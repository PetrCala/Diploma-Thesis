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EE16941B-8CE8-4A05-94C4-C832B2F5DDAC}"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 name="Sheet1" sheetId="23" r:id="rId9"/>
  </sheets>
  <definedNames>
    <definedName name="_xlnm._FilterDatabase" localSheetId="2" hidden="1">country_info!$A$1:$M$124</definedName>
    <definedName name="_xlnm._FilterDatabase" localSheetId="0" hidden="1">data_set!$A$1:$CV$1661</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1116" i="10" l="1"/>
  <c r="AM1116" i="10"/>
  <c r="X1116" i="10"/>
  <c r="W1116" i="10"/>
  <c r="H1116" i="10"/>
  <c r="G1116" i="10"/>
  <c r="F1116" i="10"/>
  <c r="I1116" i="10" s="1"/>
  <c r="AU1115" i="10"/>
  <c r="AM1115" i="10"/>
  <c r="X1115" i="10"/>
  <c r="W1115" i="10"/>
  <c r="K1115" i="10"/>
  <c r="J1115" i="10"/>
  <c r="I1115" i="10"/>
  <c r="M1115" i="10" s="1"/>
  <c r="H1115" i="10"/>
  <c r="G1115" i="10"/>
  <c r="F1115" i="10"/>
  <c r="AU1114" i="10"/>
  <c r="AM1114" i="10"/>
  <c r="X1114" i="10"/>
  <c r="W1114" i="10"/>
  <c r="H1114" i="10"/>
  <c r="G1114" i="10"/>
  <c r="F1114" i="10"/>
  <c r="I1114" i="10" s="1"/>
  <c r="AU1113" i="10"/>
  <c r="AM1113" i="10"/>
  <c r="X1113" i="10"/>
  <c r="W1113" i="10"/>
  <c r="K1113" i="10"/>
  <c r="J1113" i="10"/>
  <c r="I1113" i="10"/>
  <c r="M1113" i="10" s="1"/>
  <c r="H1113" i="10"/>
  <c r="G1113" i="10"/>
  <c r="F1113" i="10"/>
  <c r="AU1112" i="10"/>
  <c r="AM1112" i="10"/>
  <c r="X1112" i="10"/>
  <c r="W1112" i="10"/>
  <c r="H1112" i="10"/>
  <c r="G1112" i="10"/>
  <c r="F1112" i="10"/>
  <c r="I1112" i="10" s="1"/>
  <c r="AU1111" i="10"/>
  <c r="AM1111" i="10"/>
  <c r="X1111" i="10"/>
  <c r="W1111" i="10"/>
  <c r="K1111" i="10"/>
  <c r="J1111" i="10"/>
  <c r="I1111" i="10"/>
  <c r="M1111" i="10" s="1"/>
  <c r="H1111" i="10"/>
  <c r="G1111" i="10"/>
  <c r="F1111" i="10"/>
  <c r="AU1110" i="10"/>
  <c r="AM1110" i="10"/>
  <c r="X1110" i="10"/>
  <c r="W1110" i="10"/>
  <c r="H1110" i="10"/>
  <c r="G1110" i="10"/>
  <c r="F1110" i="10"/>
  <c r="I1110" i="10" s="1"/>
  <c r="AU1109" i="10"/>
  <c r="AM1109" i="10"/>
  <c r="X1109" i="10"/>
  <c r="W1109" i="10"/>
  <c r="K1109" i="10"/>
  <c r="J1109" i="10"/>
  <c r="I1109" i="10"/>
  <c r="M1109" i="10" s="1"/>
  <c r="H1109" i="10"/>
  <c r="G1109" i="10"/>
  <c r="F1109" i="10"/>
  <c r="AU1108" i="10"/>
  <c r="AM1108" i="10"/>
  <c r="X1108" i="10"/>
  <c r="W1108" i="10"/>
  <c r="H1108" i="10"/>
  <c r="G1108" i="10"/>
  <c r="F1108" i="10"/>
  <c r="I1108" i="10" s="1"/>
  <c r="AU1107" i="10"/>
  <c r="AM1107" i="10"/>
  <c r="X1107" i="10"/>
  <c r="W1107" i="10"/>
  <c r="K1107" i="10"/>
  <c r="J1107" i="10"/>
  <c r="I1107" i="10"/>
  <c r="M1107" i="10" s="1"/>
  <c r="H1107" i="10"/>
  <c r="G1107" i="10"/>
  <c r="F1107" i="10"/>
  <c r="AU1106" i="10"/>
  <c r="AM1106" i="10"/>
  <c r="X1106" i="10"/>
  <c r="W1106" i="10"/>
  <c r="H1106" i="10"/>
  <c r="G1106" i="10"/>
  <c r="F1106" i="10"/>
  <c r="I1106" i="10" s="1"/>
  <c r="AU1105" i="10"/>
  <c r="AM1105" i="10"/>
  <c r="X1105" i="10"/>
  <c r="W1105" i="10"/>
  <c r="K1105" i="10"/>
  <c r="J1105" i="10"/>
  <c r="I1105" i="10"/>
  <c r="M1105" i="10" s="1"/>
  <c r="H1105" i="10"/>
  <c r="G1105" i="10"/>
  <c r="F1105" i="10"/>
  <c r="AU1104" i="10"/>
  <c r="AM1104" i="10"/>
  <c r="X1104" i="10"/>
  <c r="W1104" i="10"/>
  <c r="H1104" i="10"/>
  <c r="G1104" i="10"/>
  <c r="F1104" i="10"/>
  <c r="I1104" i="10" s="1"/>
  <c r="AU1103" i="10"/>
  <c r="AM1103" i="10"/>
  <c r="X1103" i="10"/>
  <c r="W1103" i="10"/>
  <c r="K1103" i="10"/>
  <c r="J1103" i="10"/>
  <c r="I1103" i="10"/>
  <c r="M1103" i="10" s="1"/>
  <c r="H1103" i="10"/>
  <c r="G1103" i="10"/>
  <c r="F1103" i="10"/>
  <c r="AU1102" i="10"/>
  <c r="AP1102" i="10"/>
  <c r="AM1102" i="10"/>
  <c r="X1102" i="10"/>
  <c r="W1102" i="10"/>
  <c r="I1102" i="10" s="1"/>
  <c r="H1102" i="10"/>
  <c r="G1102" i="10"/>
  <c r="E1102" i="10"/>
  <c r="AU1101" i="10"/>
  <c r="AP1101" i="10"/>
  <c r="AM1101" i="10"/>
  <c r="X1101" i="10"/>
  <c r="W1101" i="10"/>
  <c r="I1101" i="10"/>
  <c r="G1101" i="10"/>
  <c r="E1101" i="10"/>
  <c r="H1101" i="10" s="1"/>
  <c r="AU1100" i="10"/>
  <c r="AP1100" i="10"/>
  <c r="AM1100" i="10"/>
  <c r="X1100" i="10"/>
  <c r="W1100" i="10"/>
  <c r="I1100" i="10" s="1"/>
  <c r="E1100" i="10"/>
  <c r="H1100" i="10" s="1"/>
  <c r="AU1099" i="10"/>
  <c r="AP1099" i="10"/>
  <c r="AM1099" i="10"/>
  <c r="X1099" i="10"/>
  <c r="W1099" i="10"/>
  <c r="I1099" i="10"/>
  <c r="G1099" i="10"/>
  <c r="E1099" i="10"/>
  <c r="H1099" i="10" s="1"/>
  <c r="AP1098" i="10"/>
  <c r="AM1098" i="10"/>
  <c r="X1098" i="10"/>
  <c r="W1098" i="10"/>
  <c r="M1098" i="10"/>
  <c r="K1098" i="10"/>
  <c r="J1098" i="10"/>
  <c r="I1098" i="10"/>
  <c r="L1098" i="10" s="1"/>
  <c r="H1098" i="10"/>
  <c r="G1098" i="10"/>
  <c r="E1098" i="10"/>
  <c r="AP1097" i="10"/>
  <c r="AM1097" i="10"/>
  <c r="X1097" i="10"/>
  <c r="W1097" i="10"/>
  <c r="I1097" i="10"/>
  <c r="G1097" i="10"/>
  <c r="E1097" i="10"/>
  <c r="H1097" i="10" s="1"/>
  <c r="AP1096" i="10"/>
  <c r="AM1096" i="10"/>
  <c r="X1096" i="10"/>
  <c r="W1096" i="10"/>
  <c r="M1096" i="10"/>
  <c r="K1096" i="10"/>
  <c r="J1096" i="10"/>
  <c r="I1096" i="10"/>
  <c r="L1096" i="10" s="1"/>
  <c r="H1096" i="10"/>
  <c r="G1096" i="10"/>
  <c r="E1096" i="10"/>
  <c r="AP1095" i="10"/>
  <c r="AM1095" i="10"/>
  <c r="X1095" i="10"/>
  <c r="W1095" i="10"/>
  <c r="I1095" i="10"/>
  <c r="G1095" i="10"/>
  <c r="E1095" i="10"/>
  <c r="H1095" i="10" s="1"/>
  <c r="AU1094" i="10"/>
  <c r="AP1094" i="10"/>
  <c r="AM1094" i="10"/>
  <c r="X1094" i="10"/>
  <c r="W1094" i="10"/>
  <c r="I1094" i="10" s="1"/>
  <c r="H1094" i="10"/>
  <c r="E1094" i="10"/>
  <c r="G1094" i="10" s="1"/>
  <c r="AU1093" i="10"/>
  <c r="AP1093" i="10"/>
  <c r="AM1093" i="10"/>
  <c r="X1093" i="10"/>
  <c r="W1093" i="10"/>
  <c r="I1093" i="10"/>
  <c r="H1093" i="10"/>
  <c r="E1093" i="10"/>
  <c r="G1093" i="10" s="1"/>
  <c r="AU1092" i="10"/>
  <c r="AP1092" i="10"/>
  <c r="AM1092" i="10"/>
  <c r="X1092" i="10"/>
  <c r="W1092" i="10"/>
  <c r="I1092" i="10" s="1"/>
  <c r="J1092" i="10" s="1"/>
  <c r="K1092" i="10" s="1"/>
  <c r="E1092" i="10"/>
  <c r="AU1091" i="10"/>
  <c r="AP1091" i="10"/>
  <c r="AM1091" i="10"/>
  <c r="X1091" i="10"/>
  <c r="W1091" i="10"/>
  <c r="I1091" i="10" s="1"/>
  <c r="H1091" i="10"/>
  <c r="G1091" i="10"/>
  <c r="E1091" i="10"/>
  <c r="AM1090" i="10"/>
  <c r="X1090" i="10"/>
  <c r="W1090" i="10"/>
  <c r="H1090" i="10"/>
  <c r="G1090" i="10"/>
  <c r="F1090" i="10"/>
  <c r="AM1089" i="10"/>
  <c r="X1089" i="10"/>
  <c r="W1089" i="10"/>
  <c r="I1089" i="10"/>
  <c r="H1089" i="10"/>
  <c r="G1089" i="10"/>
  <c r="F1089" i="10"/>
  <c r="AM1088" i="10"/>
  <c r="X1088" i="10"/>
  <c r="W1088" i="10"/>
  <c r="H1088" i="10"/>
  <c r="G1088" i="10"/>
  <c r="F1088" i="10"/>
  <c r="I1088" i="10" s="1"/>
  <c r="AM1087" i="10"/>
  <c r="X1087" i="10"/>
  <c r="W1087" i="10"/>
  <c r="J1087" i="10"/>
  <c r="I1087" i="10"/>
  <c r="H1087" i="10"/>
  <c r="G1087" i="10"/>
  <c r="F1087" i="10"/>
  <c r="AM1086" i="10"/>
  <c r="X1086" i="10"/>
  <c r="W1086" i="10"/>
  <c r="H1086" i="10"/>
  <c r="G1086" i="10"/>
  <c r="F1086" i="10"/>
  <c r="AM1085" i="10"/>
  <c r="X1085" i="10"/>
  <c r="W1085" i="10"/>
  <c r="I1085" i="10"/>
  <c r="H1085" i="10"/>
  <c r="G1085" i="10"/>
  <c r="F1085" i="10"/>
  <c r="AM1084" i="10"/>
  <c r="X1084" i="10"/>
  <c r="W1084" i="10"/>
  <c r="L1084" i="10"/>
  <c r="K1084" i="10"/>
  <c r="J1084" i="10"/>
  <c r="I1084" i="10"/>
  <c r="M1084" i="10" s="1"/>
  <c r="H1084" i="10"/>
  <c r="G1084" i="10"/>
  <c r="F1084" i="10"/>
  <c r="AM1083" i="10"/>
  <c r="X1083" i="10"/>
  <c r="W1083" i="10"/>
  <c r="H1083" i="10"/>
  <c r="G1083" i="10"/>
  <c r="F1083" i="10"/>
  <c r="I1083" i="10" s="1"/>
  <c r="AM1082" i="10"/>
  <c r="X1082" i="10"/>
  <c r="W1082" i="10"/>
  <c r="H1082" i="10"/>
  <c r="G1082" i="10"/>
  <c r="F1082" i="10"/>
  <c r="I1082" i="10" s="1"/>
  <c r="AM1081" i="10"/>
  <c r="X1081" i="10"/>
  <c r="W1081" i="10"/>
  <c r="M1081" i="10"/>
  <c r="L1081" i="10"/>
  <c r="I1081" i="10"/>
  <c r="J1081" i="10" s="1"/>
  <c r="K1081" i="10" s="1"/>
  <c r="H1081" i="10"/>
  <c r="G1081" i="10"/>
  <c r="F1081" i="10"/>
  <c r="AM1080" i="10"/>
  <c r="X1080" i="10"/>
  <c r="W1080" i="10"/>
  <c r="I1080" i="10" s="1"/>
  <c r="H1080" i="10"/>
  <c r="G1080" i="10"/>
  <c r="E1080" i="10"/>
  <c r="AM1079" i="10"/>
  <c r="X1079" i="10"/>
  <c r="W1079" i="10"/>
  <c r="J1079" i="10"/>
  <c r="M1079" i="10" s="1"/>
  <c r="I1079" i="10"/>
  <c r="H1079" i="10"/>
  <c r="G1079" i="10"/>
  <c r="E1079" i="10"/>
  <c r="AM1078" i="10"/>
  <c r="X1078" i="10"/>
  <c r="W1078" i="10"/>
  <c r="I1078" i="10" s="1"/>
  <c r="E1078" i="10"/>
  <c r="AM1077" i="10"/>
  <c r="X1077" i="10"/>
  <c r="W1077" i="10"/>
  <c r="I1077" i="10"/>
  <c r="H1077" i="10"/>
  <c r="G1077" i="10"/>
  <c r="E1077" i="10"/>
  <c r="AM1076" i="10"/>
  <c r="X1076" i="10"/>
  <c r="W1076" i="10"/>
  <c r="I1076" i="10" s="1"/>
  <c r="H1076" i="10"/>
  <c r="E1076" i="10"/>
  <c r="G1076" i="10" s="1"/>
  <c r="AM1075" i="10"/>
  <c r="X1075" i="10"/>
  <c r="W1075" i="10"/>
  <c r="I1075" i="10" s="1"/>
  <c r="G1075" i="10"/>
  <c r="E1075" i="10"/>
  <c r="H1075" i="10" s="1"/>
  <c r="AM1074" i="10"/>
  <c r="X1074" i="10"/>
  <c r="W1074" i="10"/>
  <c r="I1074" i="10" s="1"/>
  <c r="E1074" i="10"/>
  <c r="AM1073" i="10"/>
  <c r="X1073" i="10"/>
  <c r="W1073" i="10"/>
  <c r="I1073" i="10"/>
  <c r="J1073" i="10" s="1"/>
  <c r="K1073" i="10" s="1"/>
  <c r="H1073" i="10"/>
  <c r="G1073" i="10"/>
  <c r="E1073" i="10"/>
  <c r="AM1072" i="10"/>
  <c r="X1072" i="10"/>
  <c r="W1072" i="10"/>
  <c r="I1072" i="10" s="1"/>
  <c r="J1072" i="10"/>
  <c r="K1072" i="10" s="1"/>
  <c r="H1072" i="10"/>
  <c r="G1072" i="10"/>
  <c r="E1072" i="10"/>
  <c r="AM1071" i="10"/>
  <c r="X1071" i="10"/>
  <c r="W1071" i="10"/>
  <c r="M1071" i="10"/>
  <c r="K1071" i="10"/>
  <c r="J1071" i="10"/>
  <c r="I1071" i="10"/>
  <c r="L1071" i="10" s="1"/>
  <c r="H1071" i="10"/>
  <c r="G1071" i="10"/>
  <c r="E1071" i="10"/>
  <c r="AM1070" i="10"/>
  <c r="X1070" i="10"/>
  <c r="W1070" i="10"/>
  <c r="I1070" i="10" s="1"/>
  <c r="M1070" i="10" s="1"/>
  <c r="J1070" i="10"/>
  <c r="K1070" i="10" s="1"/>
  <c r="H1070" i="10"/>
  <c r="E1070" i="10"/>
  <c r="G1070" i="10" s="1"/>
  <c r="AM1069" i="10"/>
  <c r="X1069" i="10"/>
  <c r="W1069" i="10"/>
  <c r="I1069" i="10"/>
  <c r="H1069" i="10"/>
  <c r="G1069" i="10"/>
  <c r="E1069" i="10"/>
  <c r="AM1068" i="10"/>
  <c r="X1068" i="10"/>
  <c r="W1068" i="10"/>
  <c r="I1068" i="10" s="1"/>
  <c r="H1068" i="10"/>
  <c r="E1068" i="10"/>
  <c r="G1068" i="10" s="1"/>
  <c r="AM1067" i="10"/>
  <c r="X1067" i="10"/>
  <c r="W1067" i="10"/>
  <c r="I1067" i="10" s="1"/>
  <c r="E1067" i="10"/>
  <c r="AM1066" i="10"/>
  <c r="X1066" i="10"/>
  <c r="W1066" i="10"/>
  <c r="I1066" i="10" s="1"/>
  <c r="E1066" i="10"/>
  <c r="AM1065" i="10"/>
  <c r="X1065" i="10"/>
  <c r="W1065" i="10"/>
  <c r="I1065" i="10"/>
  <c r="J1065" i="10" s="1"/>
  <c r="K1065" i="10" s="1"/>
  <c r="H1065" i="10"/>
  <c r="G1065" i="10"/>
  <c r="E1065" i="10"/>
  <c r="AM1064" i="10"/>
  <c r="X1064" i="10"/>
  <c r="W1064" i="10"/>
  <c r="I1064" i="10" s="1"/>
  <c r="J1064" i="10"/>
  <c r="K1064" i="10" s="1"/>
  <c r="H1064" i="10"/>
  <c r="G1064" i="10"/>
  <c r="E1064" i="10"/>
  <c r="AM1063" i="10"/>
  <c r="X1063" i="10"/>
  <c r="W1063" i="10"/>
  <c r="M1063" i="10"/>
  <c r="K1063" i="10"/>
  <c r="J1063" i="10"/>
  <c r="I1063" i="10"/>
  <c r="L1063" i="10" s="1"/>
  <c r="H1063" i="10"/>
  <c r="G1063" i="10"/>
  <c r="E1063" i="10"/>
  <c r="AM1062" i="10"/>
  <c r="X1062" i="10"/>
  <c r="W1062" i="10"/>
  <c r="I1062" i="10" s="1"/>
  <c r="M1062" i="10" s="1"/>
  <c r="J1062" i="10"/>
  <c r="K1062" i="10" s="1"/>
  <c r="H1062" i="10"/>
  <c r="E1062" i="10"/>
  <c r="G1062" i="10" s="1"/>
  <c r="AM1061" i="10"/>
  <c r="X1061" i="10"/>
  <c r="W1061" i="10"/>
  <c r="I1061" i="10"/>
  <c r="H1061" i="10"/>
  <c r="G1061" i="10"/>
  <c r="E1061" i="10"/>
  <c r="AM1060" i="10"/>
  <c r="X1060" i="10"/>
  <c r="W1060" i="10"/>
  <c r="I1060" i="10" s="1"/>
  <c r="L1060" i="10" s="1"/>
  <c r="J1060" i="10"/>
  <c r="K1060" i="10" s="1"/>
  <c r="E1060" i="10"/>
  <c r="G1060" i="10" s="1"/>
  <c r="AM1059" i="10"/>
  <c r="X1059" i="10"/>
  <c r="W1059" i="10"/>
  <c r="I1059" i="10"/>
  <c r="E1059" i="10"/>
  <c r="H1059" i="10" s="1"/>
  <c r="AM1058" i="10"/>
  <c r="X1058" i="10"/>
  <c r="W1058" i="10"/>
  <c r="I1058" i="10"/>
  <c r="E1058" i="10"/>
  <c r="G1058" i="10" s="1"/>
  <c r="AM1057" i="10"/>
  <c r="X1057" i="10"/>
  <c r="W1057" i="10"/>
  <c r="L1057" i="10"/>
  <c r="K1057" i="10"/>
  <c r="I1057" i="10"/>
  <c r="J1057" i="10" s="1"/>
  <c r="H1057" i="10"/>
  <c r="G1057" i="10"/>
  <c r="E1057" i="10"/>
  <c r="AM1056" i="10"/>
  <c r="X1056" i="10"/>
  <c r="W1056" i="10"/>
  <c r="I1056" i="10" s="1"/>
  <c r="J1056" i="10" s="1"/>
  <c r="K1056" i="10" s="1"/>
  <c r="H1056" i="10"/>
  <c r="E1056" i="10"/>
  <c r="G1056" i="10" s="1"/>
  <c r="AM1055" i="10"/>
  <c r="X1055" i="10"/>
  <c r="W1055" i="10"/>
  <c r="M1055" i="10"/>
  <c r="J1055" i="10"/>
  <c r="K1055" i="10" s="1"/>
  <c r="I1055" i="10"/>
  <c r="H1055" i="10"/>
  <c r="G1055" i="10"/>
  <c r="E1055" i="10"/>
  <c r="AM1054" i="10"/>
  <c r="X1054" i="10"/>
  <c r="W1054" i="10"/>
  <c r="I1054" i="10" s="1"/>
  <c r="L1054" i="10" s="1"/>
  <c r="M1054" i="10"/>
  <c r="J1054" i="10"/>
  <c r="K1054" i="10" s="1"/>
  <c r="E1054" i="10"/>
  <c r="G1054" i="10" s="1"/>
  <c r="AM1053" i="10"/>
  <c r="X1053" i="10"/>
  <c r="W1053" i="10"/>
  <c r="I1053" i="10"/>
  <c r="H1053" i="10"/>
  <c r="G1053" i="10"/>
  <c r="E1053" i="10"/>
  <c r="AM1052" i="10"/>
  <c r="X1052" i="10"/>
  <c r="W1052" i="10"/>
  <c r="I1052" i="10" s="1"/>
  <c r="E1052" i="10"/>
  <c r="G1052" i="10" s="1"/>
  <c r="AM1051" i="10"/>
  <c r="X1051" i="10"/>
  <c r="W1051" i="10"/>
  <c r="I1051" i="10" s="1"/>
  <c r="E1051" i="10"/>
  <c r="H1051" i="10" s="1"/>
  <c r="AM1050" i="10"/>
  <c r="X1050" i="10"/>
  <c r="W1050" i="10"/>
  <c r="H1050" i="10"/>
  <c r="G1050" i="10"/>
  <c r="F1050" i="10"/>
  <c r="I1050" i="10" s="1"/>
  <c r="AM1049" i="10"/>
  <c r="X1049" i="10"/>
  <c r="W1049" i="10"/>
  <c r="I1049" i="10"/>
  <c r="H1049" i="10"/>
  <c r="G1049" i="10"/>
  <c r="F1049" i="10"/>
  <c r="AM1048" i="10"/>
  <c r="X1048" i="10"/>
  <c r="W1048" i="10"/>
  <c r="L1048" i="10"/>
  <c r="H1048" i="10"/>
  <c r="G1048" i="10"/>
  <c r="F1048" i="10"/>
  <c r="I1048" i="10" s="1"/>
  <c r="J1048" i="10" s="1"/>
  <c r="BN1047" i="10"/>
  <c r="AM1047" i="10"/>
  <c r="X1047" i="10"/>
  <c r="W1047" i="10"/>
  <c r="I1047" i="10" s="1"/>
  <c r="H1047" i="10"/>
  <c r="E1047" i="10"/>
  <c r="G1047" i="10" s="1"/>
  <c r="BN1046" i="10"/>
  <c r="AM1046" i="10"/>
  <c r="X1046" i="10"/>
  <c r="W1046" i="10"/>
  <c r="I1046" i="10" s="1"/>
  <c r="E1046" i="10"/>
  <c r="BN1045" i="10"/>
  <c r="AM1045" i="10"/>
  <c r="X1045" i="10"/>
  <c r="W1045" i="10"/>
  <c r="I1045" i="10"/>
  <c r="H1045" i="10"/>
  <c r="G1045" i="10"/>
  <c r="E1045" i="10"/>
  <c r="BN1044" i="10"/>
  <c r="AM1044" i="10"/>
  <c r="X1044" i="10"/>
  <c r="W1044" i="10"/>
  <c r="I1044" i="10" s="1"/>
  <c r="J1044" i="10" s="1"/>
  <c r="K1044" i="10" s="1"/>
  <c r="E1044" i="10"/>
  <c r="H1044" i="10" s="1"/>
  <c r="BN1043" i="10"/>
  <c r="AM1043" i="10"/>
  <c r="X1043" i="10"/>
  <c r="W1043" i="10"/>
  <c r="I1043" i="10" s="1"/>
  <c r="G1043" i="10"/>
  <c r="E1043" i="10"/>
  <c r="H1043" i="10" s="1"/>
  <c r="BN1042" i="10"/>
  <c r="AM1042" i="10"/>
  <c r="X1042" i="10"/>
  <c r="W1042" i="10"/>
  <c r="I1042" i="10" s="1"/>
  <c r="K1042" i="10"/>
  <c r="J1042" i="10"/>
  <c r="M1042" i="10" s="1"/>
  <c r="H1042" i="10"/>
  <c r="E1042" i="10"/>
  <c r="G1042" i="10" s="1"/>
  <c r="BN1041" i="10"/>
  <c r="AM1041" i="10"/>
  <c r="X1041" i="10"/>
  <c r="W1041" i="10"/>
  <c r="I1041" i="10" s="1"/>
  <c r="E1041" i="10"/>
  <c r="H1041" i="10" s="1"/>
  <c r="BN1040" i="10"/>
  <c r="AM1040" i="10"/>
  <c r="X1040" i="10"/>
  <c r="W1040" i="10"/>
  <c r="I1040" i="10" s="1"/>
  <c r="J1040" i="10"/>
  <c r="M1040" i="10" s="1"/>
  <c r="H1040" i="10"/>
  <c r="E1040" i="10"/>
  <c r="G1040" i="10" s="1"/>
  <c r="BN1039" i="10"/>
  <c r="AM1039" i="10"/>
  <c r="X1039" i="10"/>
  <c r="W1039" i="10"/>
  <c r="I1039" i="10"/>
  <c r="G1039" i="10"/>
  <c r="E1039" i="10"/>
  <c r="H1039" i="10" s="1"/>
  <c r="BN1038" i="10"/>
  <c r="AM1038" i="10"/>
  <c r="X1038" i="10"/>
  <c r="W1038" i="10"/>
  <c r="I1038" i="10" s="1"/>
  <c r="L1038" i="10" s="1"/>
  <c r="M1038" i="10"/>
  <c r="K1038" i="10"/>
  <c r="J1038" i="10"/>
  <c r="E1038" i="10"/>
  <c r="BN1037" i="10"/>
  <c r="AM1037" i="10"/>
  <c r="X1037" i="10"/>
  <c r="W1037" i="10"/>
  <c r="I1037" i="10"/>
  <c r="H1037" i="10"/>
  <c r="G1037" i="10"/>
  <c r="E1037" i="10"/>
  <c r="BN1036" i="10"/>
  <c r="AM1036" i="10"/>
  <c r="X1036" i="10"/>
  <c r="W1036" i="10"/>
  <c r="I1036" i="10" s="1"/>
  <c r="J1036" i="10" s="1"/>
  <c r="K1036" i="10" s="1"/>
  <c r="E1036" i="10"/>
  <c r="H1036" i="10" s="1"/>
  <c r="BN1035" i="10"/>
  <c r="AM1035" i="10"/>
  <c r="X1035" i="10"/>
  <c r="W1035" i="10"/>
  <c r="I1035" i="10" s="1"/>
  <c r="H1035" i="10"/>
  <c r="G1035" i="10"/>
  <c r="E1035" i="10"/>
  <c r="BN1034" i="10"/>
  <c r="AM1034" i="10"/>
  <c r="X1034" i="10"/>
  <c r="W1034" i="10"/>
  <c r="I1034" i="10" s="1"/>
  <c r="L1034" i="10"/>
  <c r="K1034" i="10"/>
  <c r="J1034" i="10"/>
  <c r="M1034" i="10" s="1"/>
  <c r="H1034" i="10"/>
  <c r="E1034" i="10"/>
  <c r="G1034" i="10" s="1"/>
  <c r="BN1033" i="10"/>
  <c r="AM1033" i="10"/>
  <c r="X1033" i="10"/>
  <c r="W1033" i="10"/>
  <c r="I1033" i="10" s="1"/>
  <c r="E1033" i="10"/>
  <c r="H1033" i="10" s="1"/>
  <c r="BN1032" i="10"/>
  <c r="AM1032" i="10"/>
  <c r="X1032" i="10"/>
  <c r="W1032" i="10"/>
  <c r="I1032" i="10" s="1"/>
  <c r="J1032" i="10"/>
  <c r="M1032" i="10" s="1"/>
  <c r="H1032" i="10"/>
  <c r="E1032" i="10"/>
  <c r="G1032" i="10" s="1"/>
  <c r="BN1031" i="10"/>
  <c r="AM1031" i="10"/>
  <c r="X1031" i="10"/>
  <c r="W1031" i="10"/>
  <c r="I1031" i="10"/>
  <c r="G1031" i="10"/>
  <c r="E1031" i="10"/>
  <c r="H1031" i="10" s="1"/>
  <c r="BN1030" i="10"/>
  <c r="AM1030" i="10"/>
  <c r="X1030" i="10"/>
  <c r="W1030" i="10"/>
  <c r="I1030" i="10" s="1"/>
  <c r="E1030" i="10"/>
  <c r="BN1029" i="10"/>
  <c r="AM1029" i="10"/>
  <c r="X1029" i="10"/>
  <c r="W1029" i="10"/>
  <c r="I1029" i="10"/>
  <c r="H1029" i="10"/>
  <c r="G1029" i="10"/>
  <c r="E1029" i="10"/>
  <c r="BN1028" i="10"/>
  <c r="AM1028" i="10"/>
  <c r="X1028" i="10"/>
  <c r="W1028" i="10"/>
  <c r="I1028" i="10" s="1"/>
  <c r="J1028" i="10" s="1"/>
  <c r="K1028" i="10" s="1"/>
  <c r="E1028" i="10"/>
  <c r="H1028" i="10" s="1"/>
  <c r="BN1027" i="10"/>
  <c r="AM1027" i="10"/>
  <c r="X1027" i="10"/>
  <c r="W1027" i="10"/>
  <c r="I1027" i="10" s="1"/>
  <c r="H1027" i="10"/>
  <c r="G1027" i="10"/>
  <c r="E1027" i="10"/>
  <c r="BN1026" i="10"/>
  <c r="AM1026" i="10"/>
  <c r="X1026" i="10"/>
  <c r="W1026" i="10"/>
  <c r="I1026" i="10" s="1"/>
  <c r="L1026" i="10"/>
  <c r="K1026" i="10"/>
  <c r="J1026" i="10"/>
  <c r="M1026" i="10" s="1"/>
  <c r="H1026" i="10"/>
  <c r="E1026" i="10"/>
  <c r="G1026" i="10" s="1"/>
  <c r="BN1025" i="10"/>
  <c r="AM1025" i="10"/>
  <c r="X1025" i="10"/>
  <c r="W1025" i="10"/>
  <c r="I1025" i="10" s="1"/>
  <c r="E1025" i="10"/>
  <c r="H1025" i="10" s="1"/>
  <c r="BN1024" i="10"/>
  <c r="AM1024" i="10"/>
  <c r="X1024" i="10"/>
  <c r="W1024" i="10"/>
  <c r="I1024" i="10" s="1"/>
  <c r="J1024" i="10"/>
  <c r="M1024" i="10" s="1"/>
  <c r="H1024" i="10"/>
  <c r="E1024" i="10"/>
  <c r="G1024" i="10" s="1"/>
  <c r="BN1023" i="10"/>
  <c r="AU1023" i="10"/>
  <c r="AM1023" i="10"/>
  <c r="X1023" i="10"/>
  <c r="W1023" i="10"/>
  <c r="M1023" i="10"/>
  <c r="K1023" i="10"/>
  <c r="I1023" i="10"/>
  <c r="J1023" i="10" s="1"/>
  <c r="H1023" i="10"/>
  <c r="G1023" i="10"/>
  <c r="E1023" i="10"/>
  <c r="BN1022" i="10"/>
  <c r="AU1022" i="10"/>
  <c r="AM1022" i="10"/>
  <c r="X1022" i="10"/>
  <c r="W1022" i="10"/>
  <c r="I1022" i="10"/>
  <c r="H1022" i="10"/>
  <c r="G1022" i="10"/>
  <c r="E1022" i="10"/>
  <c r="BN1021" i="10"/>
  <c r="AU1021" i="10"/>
  <c r="AM1021" i="10"/>
  <c r="X1021" i="10"/>
  <c r="W1021" i="10"/>
  <c r="I1021" i="10" s="1"/>
  <c r="E1021" i="10"/>
  <c r="H1021" i="10" s="1"/>
  <c r="BN1020" i="10"/>
  <c r="AU1020" i="10"/>
  <c r="AM1020" i="10"/>
  <c r="X1020" i="10"/>
  <c r="W1020" i="10"/>
  <c r="I1020" i="10"/>
  <c r="H1020" i="10"/>
  <c r="G1020" i="10"/>
  <c r="E1020" i="10"/>
  <c r="BN1019" i="10"/>
  <c r="AU1019" i="10"/>
  <c r="AM1019" i="10"/>
  <c r="X1019" i="10"/>
  <c r="W1019" i="10"/>
  <c r="I1019" i="10" s="1"/>
  <c r="E1019" i="10"/>
  <c r="BN1018" i="10"/>
  <c r="AU1018" i="10"/>
  <c r="AM1018" i="10"/>
  <c r="X1018" i="10"/>
  <c r="W1018" i="10"/>
  <c r="I1018" i="10" s="1"/>
  <c r="J1018" i="10"/>
  <c r="K1018" i="10" s="1"/>
  <c r="H1018" i="10"/>
  <c r="E1018" i="10"/>
  <c r="G1018" i="10" s="1"/>
  <c r="BN1017" i="10"/>
  <c r="AU1017" i="10"/>
  <c r="AM1017" i="10"/>
  <c r="X1017" i="10"/>
  <c r="W1017" i="10"/>
  <c r="I1017" i="10" s="1"/>
  <c r="E1017" i="10"/>
  <c r="BN1016" i="10"/>
  <c r="AU1016" i="10"/>
  <c r="AM1016" i="10"/>
  <c r="X1016" i="10"/>
  <c r="W1016" i="10"/>
  <c r="I1016" i="10" s="1"/>
  <c r="J1016" i="10"/>
  <c r="L1016" i="10" s="1"/>
  <c r="H1016" i="10"/>
  <c r="G1016" i="10"/>
  <c r="E1016" i="10"/>
  <c r="BN1015" i="10"/>
  <c r="AU1015" i="10"/>
  <c r="AM1015" i="10"/>
  <c r="X1015" i="10"/>
  <c r="W1015" i="10"/>
  <c r="L1015" i="10"/>
  <c r="J1015" i="10"/>
  <c r="K1015" i="10" s="1"/>
  <c r="I1015" i="10"/>
  <c r="H1015" i="10"/>
  <c r="G1015" i="10"/>
  <c r="E1015" i="10"/>
  <c r="BN1014" i="10"/>
  <c r="AU1014" i="10"/>
  <c r="AM1014" i="10"/>
  <c r="X1014" i="10"/>
  <c r="W1014" i="10"/>
  <c r="J1014" i="10"/>
  <c r="I1014" i="10"/>
  <c r="H1014" i="10"/>
  <c r="E1014" i="10"/>
  <c r="G1014" i="10" s="1"/>
  <c r="BN1013" i="10"/>
  <c r="AU1013" i="10"/>
  <c r="AM1013" i="10"/>
  <c r="X1013" i="10"/>
  <c r="W1013" i="10"/>
  <c r="I1013" i="10"/>
  <c r="G1013" i="10"/>
  <c r="E1013" i="10"/>
  <c r="H1013" i="10" s="1"/>
  <c r="BN1012" i="10"/>
  <c r="AU1012" i="10"/>
  <c r="AM1012" i="10"/>
  <c r="X1012" i="10"/>
  <c r="W1012" i="10"/>
  <c r="J1012" i="10"/>
  <c r="L1012" i="10" s="1"/>
  <c r="I1012" i="10"/>
  <c r="H1012" i="10"/>
  <c r="E1012" i="10"/>
  <c r="G1012" i="10" s="1"/>
  <c r="AU1011" i="10"/>
  <c r="AM1011" i="10"/>
  <c r="X1011" i="10"/>
  <c r="W1011" i="10"/>
  <c r="H1011" i="10"/>
  <c r="G1011" i="10"/>
  <c r="F1011" i="10"/>
  <c r="AU1010" i="10"/>
  <c r="AM1010" i="10"/>
  <c r="X1010" i="10"/>
  <c r="W1010" i="10"/>
  <c r="J1010" i="10"/>
  <c r="K1010" i="10" s="1"/>
  <c r="I1010" i="10"/>
  <c r="H1010" i="10"/>
  <c r="G1010" i="10"/>
  <c r="F1010" i="10"/>
  <c r="AU1009" i="10"/>
  <c r="AM1009" i="10"/>
  <c r="X1009" i="10"/>
  <c r="W1009" i="10"/>
  <c r="H1009" i="10"/>
  <c r="G1009" i="10"/>
  <c r="F1009" i="10"/>
  <c r="AU1008" i="10"/>
  <c r="AM1008" i="10"/>
  <c r="X1008" i="10"/>
  <c r="W1008" i="10"/>
  <c r="I1008" i="10"/>
  <c r="H1008" i="10"/>
  <c r="G1008" i="10"/>
  <c r="F1008" i="10"/>
  <c r="AU1007" i="10"/>
  <c r="AM1007" i="10"/>
  <c r="X1007" i="10"/>
  <c r="W1007" i="10"/>
  <c r="H1007" i="10"/>
  <c r="G1007" i="10"/>
  <c r="F1007" i="10"/>
  <c r="I1007" i="10" s="1"/>
  <c r="AU1006" i="10"/>
  <c r="AM1006" i="10"/>
  <c r="X1006" i="10"/>
  <c r="W1006" i="10"/>
  <c r="I1006" i="10"/>
  <c r="H1006" i="10"/>
  <c r="G1006" i="10"/>
  <c r="F1006" i="10"/>
  <c r="AU1005" i="10"/>
  <c r="AM1005" i="10"/>
  <c r="X1005" i="10"/>
  <c r="W1005" i="10"/>
  <c r="H1005" i="10"/>
  <c r="G1005" i="10"/>
  <c r="F1005" i="10"/>
  <c r="I1005" i="10" s="1"/>
  <c r="AU1004" i="10"/>
  <c r="AM1004" i="10"/>
  <c r="X1004" i="10"/>
  <c r="W1004" i="10"/>
  <c r="J1004" i="10"/>
  <c r="K1004" i="10" s="1"/>
  <c r="I1004" i="10"/>
  <c r="H1004" i="10"/>
  <c r="G1004" i="10"/>
  <c r="F1004" i="10"/>
  <c r="AU1003" i="10"/>
  <c r="AM1003" i="10"/>
  <c r="X1003" i="10"/>
  <c r="W1003" i="10"/>
  <c r="H1003" i="10"/>
  <c r="G1003" i="10"/>
  <c r="F1003" i="10"/>
  <c r="AU1002" i="10"/>
  <c r="AM1002" i="10"/>
  <c r="X1002" i="10"/>
  <c r="W1002" i="10"/>
  <c r="I1002" i="10"/>
  <c r="H1002" i="10"/>
  <c r="G1002" i="10"/>
  <c r="F1002" i="10"/>
  <c r="AU1001" i="10"/>
  <c r="AM1001" i="10"/>
  <c r="X1001" i="10"/>
  <c r="W1001" i="10"/>
  <c r="I1001" i="10"/>
  <c r="H1001" i="10"/>
  <c r="G1001" i="10"/>
  <c r="F1001" i="10"/>
  <c r="AU1000" i="10"/>
  <c r="AM1000" i="10"/>
  <c r="X1000" i="10"/>
  <c r="W1000" i="10"/>
  <c r="J1000" i="10"/>
  <c r="I1000" i="10"/>
  <c r="H1000" i="10"/>
  <c r="G1000" i="10"/>
  <c r="F1000" i="10"/>
  <c r="AU999" i="10"/>
  <c r="AM999" i="10"/>
  <c r="X999" i="10"/>
  <c r="W999" i="10"/>
  <c r="H999" i="10"/>
  <c r="G999" i="10"/>
  <c r="F999" i="10"/>
  <c r="AU998" i="10"/>
  <c r="AM998" i="10"/>
  <c r="X998" i="10"/>
  <c r="W998" i="10"/>
  <c r="I998" i="10"/>
  <c r="H998" i="10"/>
  <c r="G998" i="10"/>
  <c r="F998" i="10"/>
  <c r="AU997" i="10"/>
  <c r="AM997" i="10"/>
  <c r="X997" i="10"/>
  <c r="W997" i="10"/>
  <c r="I997" i="10"/>
  <c r="H997" i="10"/>
  <c r="G997" i="10"/>
  <c r="F997" i="10"/>
  <c r="BA996" i="10"/>
  <c r="AU996" i="10"/>
  <c r="AM996" i="10"/>
  <c r="Z996" i="10"/>
  <c r="X996" i="10"/>
  <c r="W996" i="10"/>
  <c r="M996" i="10"/>
  <c r="K996" i="10"/>
  <c r="I996" i="10"/>
  <c r="J996" i="10" s="1"/>
  <c r="H996" i="10"/>
  <c r="G996" i="10"/>
  <c r="F996" i="10"/>
  <c r="BA995" i="10"/>
  <c r="AU995" i="10"/>
  <c r="AM995" i="10"/>
  <c r="Z995" i="10"/>
  <c r="X995" i="10"/>
  <c r="W995" i="10"/>
  <c r="K995" i="10"/>
  <c r="I995" i="10"/>
  <c r="J995" i="10" s="1"/>
  <c r="M995" i="10" s="1"/>
  <c r="H995" i="10"/>
  <c r="G995" i="10"/>
  <c r="F995" i="10"/>
  <c r="AU994" i="10"/>
  <c r="AM994" i="10"/>
  <c r="Z994" i="10"/>
  <c r="X994" i="10"/>
  <c r="W994" i="10"/>
  <c r="J994" i="10"/>
  <c r="K994" i="10" s="1"/>
  <c r="H994" i="10"/>
  <c r="G994" i="10"/>
  <c r="F994" i="10"/>
  <c r="I994" i="10" s="1"/>
  <c r="AU993" i="10"/>
  <c r="AM993" i="10"/>
  <c r="Z993" i="10"/>
  <c r="X993" i="10"/>
  <c r="W993" i="10"/>
  <c r="I993" i="10"/>
  <c r="H993" i="10"/>
  <c r="G993" i="10"/>
  <c r="F993" i="10"/>
  <c r="BA992" i="10"/>
  <c r="AM992" i="10"/>
  <c r="Z992" i="10"/>
  <c r="X992" i="10"/>
  <c r="W992" i="10"/>
  <c r="H992" i="10"/>
  <c r="G992" i="10"/>
  <c r="F992" i="10"/>
  <c r="BA991" i="10"/>
  <c r="AM991" i="10"/>
  <c r="Z991" i="10"/>
  <c r="X991" i="10"/>
  <c r="W991" i="10"/>
  <c r="H991" i="10"/>
  <c r="G991" i="10"/>
  <c r="F991" i="10"/>
  <c r="I991" i="10" s="1"/>
  <c r="BA990" i="10"/>
  <c r="AU990" i="10"/>
  <c r="AM990" i="10"/>
  <c r="Z990" i="10"/>
  <c r="X990" i="10"/>
  <c r="W990" i="10"/>
  <c r="M990" i="10"/>
  <c r="L990" i="10"/>
  <c r="K990" i="10"/>
  <c r="I990" i="10"/>
  <c r="J990" i="10" s="1"/>
  <c r="H990" i="10"/>
  <c r="G990" i="10"/>
  <c r="F990" i="10"/>
  <c r="BA989" i="10"/>
  <c r="AU989" i="10"/>
  <c r="AM989" i="10"/>
  <c r="Z989" i="10"/>
  <c r="X989" i="10"/>
  <c r="W989" i="10"/>
  <c r="I989" i="10"/>
  <c r="H989" i="10"/>
  <c r="G989" i="10"/>
  <c r="F989" i="10"/>
  <c r="AU988" i="10"/>
  <c r="AM988" i="10"/>
  <c r="Z988" i="10"/>
  <c r="X988" i="10"/>
  <c r="W988" i="10"/>
  <c r="H988" i="10"/>
  <c r="G988" i="10"/>
  <c r="F988" i="10"/>
  <c r="AU987" i="10"/>
  <c r="AM987" i="10"/>
  <c r="Z987" i="10"/>
  <c r="X987" i="10"/>
  <c r="W987" i="10"/>
  <c r="L987" i="10"/>
  <c r="I987" i="10"/>
  <c r="J987" i="10" s="1"/>
  <c r="K987" i="10" s="1"/>
  <c r="H987" i="10"/>
  <c r="G987" i="10"/>
  <c r="F987" i="10"/>
  <c r="BA986" i="10"/>
  <c r="AM986" i="10"/>
  <c r="Z986" i="10"/>
  <c r="X986" i="10"/>
  <c r="W986" i="10"/>
  <c r="H986" i="10"/>
  <c r="G986" i="10"/>
  <c r="F986" i="10"/>
  <c r="I986" i="10" s="1"/>
  <c r="BA985" i="10"/>
  <c r="AM985" i="10"/>
  <c r="Z985" i="10"/>
  <c r="X985" i="10"/>
  <c r="W985" i="10"/>
  <c r="H985" i="10"/>
  <c r="G985" i="10"/>
  <c r="F985" i="10"/>
  <c r="I985" i="10" s="1"/>
  <c r="BA984" i="10"/>
  <c r="AU984" i="10"/>
  <c r="AM984" i="10"/>
  <c r="Z984" i="10"/>
  <c r="X984" i="10"/>
  <c r="W984" i="10"/>
  <c r="I984" i="10"/>
  <c r="J984" i="10" s="1"/>
  <c r="H984" i="10"/>
  <c r="G984" i="10"/>
  <c r="F984" i="10"/>
  <c r="BA983" i="10"/>
  <c r="AU983" i="10"/>
  <c r="AM983" i="10"/>
  <c r="Z983" i="10"/>
  <c r="X983" i="10"/>
  <c r="W983" i="10"/>
  <c r="I983" i="10"/>
  <c r="H983" i="10"/>
  <c r="G983" i="10"/>
  <c r="F983" i="10"/>
  <c r="BA982" i="10"/>
  <c r="AU982" i="10"/>
  <c r="AM982" i="10"/>
  <c r="Z982" i="10"/>
  <c r="X982" i="10"/>
  <c r="W982" i="10"/>
  <c r="H982" i="10"/>
  <c r="G982" i="10"/>
  <c r="F982" i="10"/>
  <c r="I982" i="10" s="1"/>
  <c r="BA981" i="10"/>
  <c r="AU981" i="10"/>
  <c r="AM981" i="10"/>
  <c r="Z981" i="10"/>
  <c r="X981" i="10"/>
  <c r="W981" i="10"/>
  <c r="H981" i="10"/>
  <c r="G981" i="10"/>
  <c r="F981" i="10"/>
  <c r="I981" i="10" s="1"/>
  <c r="BA980" i="10"/>
  <c r="AU980" i="10"/>
  <c r="AM980" i="10"/>
  <c r="Z980" i="10"/>
  <c r="X980" i="10"/>
  <c r="W980" i="10"/>
  <c r="I980" i="10"/>
  <c r="H980" i="10"/>
  <c r="G980" i="10"/>
  <c r="F980" i="10"/>
  <c r="BA979" i="10"/>
  <c r="AU979" i="10"/>
  <c r="AM979" i="10"/>
  <c r="Z979" i="10"/>
  <c r="X979" i="10"/>
  <c r="W979" i="10"/>
  <c r="I979" i="10"/>
  <c r="H979" i="10"/>
  <c r="G979" i="10"/>
  <c r="F979" i="10"/>
  <c r="BA978" i="10"/>
  <c r="AU978" i="10"/>
  <c r="AM978" i="10"/>
  <c r="Z978" i="10"/>
  <c r="X978" i="10"/>
  <c r="W978" i="10"/>
  <c r="I978" i="10"/>
  <c r="H978" i="10"/>
  <c r="G978" i="10"/>
  <c r="F978" i="10"/>
  <c r="BA977" i="10"/>
  <c r="AU977" i="10"/>
  <c r="AM977" i="10"/>
  <c r="Z977" i="10"/>
  <c r="X977" i="10"/>
  <c r="W977" i="10"/>
  <c r="H977" i="10"/>
  <c r="G977" i="10"/>
  <c r="F977" i="10"/>
  <c r="I977" i="10" s="1"/>
  <c r="AW976" i="10"/>
  <c r="AN976" i="10"/>
  <c r="AM976" i="10"/>
  <c r="Z976" i="10"/>
  <c r="X976" i="10"/>
  <c r="W976" i="10"/>
  <c r="L976" i="10"/>
  <c r="I976" i="10"/>
  <c r="J976" i="10" s="1"/>
  <c r="H976" i="10"/>
  <c r="G976" i="10"/>
  <c r="F976" i="10"/>
  <c r="AW975" i="10"/>
  <c r="AN975" i="10"/>
  <c r="AM975" i="10"/>
  <c r="Z975" i="10"/>
  <c r="X975" i="10"/>
  <c r="W975" i="10"/>
  <c r="I975" i="10"/>
  <c r="H975" i="10"/>
  <c r="G975" i="10"/>
  <c r="F975" i="10"/>
  <c r="AW974" i="10"/>
  <c r="AN974" i="10"/>
  <c r="AM974" i="10"/>
  <c r="Z974" i="10"/>
  <c r="X974" i="10"/>
  <c r="W974" i="10"/>
  <c r="H974" i="10"/>
  <c r="G974" i="10"/>
  <c r="F974" i="10"/>
  <c r="I974" i="10" s="1"/>
  <c r="AW973" i="10"/>
  <c r="AN973" i="10"/>
  <c r="AM973" i="10"/>
  <c r="Z973" i="10"/>
  <c r="X973" i="10"/>
  <c r="W973" i="10"/>
  <c r="H973" i="10"/>
  <c r="G973" i="10"/>
  <c r="F973" i="10"/>
  <c r="I973" i="10" s="1"/>
  <c r="AW972" i="10"/>
  <c r="AN972" i="10"/>
  <c r="AM972" i="10"/>
  <c r="Z972" i="10"/>
  <c r="X972" i="10"/>
  <c r="W972" i="10"/>
  <c r="I972" i="10"/>
  <c r="H972" i="10"/>
  <c r="G972" i="10"/>
  <c r="F972" i="10"/>
  <c r="AW971" i="10"/>
  <c r="AN971" i="10"/>
  <c r="AM971" i="10"/>
  <c r="Z971" i="10"/>
  <c r="X971" i="10"/>
  <c r="W971" i="10"/>
  <c r="I971" i="10"/>
  <c r="H971" i="10"/>
  <c r="G971" i="10"/>
  <c r="F971" i="10"/>
  <c r="AW970" i="10"/>
  <c r="AN970" i="10"/>
  <c r="AM970" i="10"/>
  <c r="Z970" i="10"/>
  <c r="X970" i="10"/>
  <c r="W970" i="10"/>
  <c r="I970" i="10"/>
  <c r="H970" i="10"/>
  <c r="G970" i="10"/>
  <c r="F970" i="10"/>
  <c r="AW969" i="10"/>
  <c r="AU969" i="10"/>
  <c r="AM969" i="10"/>
  <c r="Z969" i="10"/>
  <c r="X969" i="10"/>
  <c r="W969" i="10"/>
  <c r="H969" i="10"/>
  <c r="G969" i="10"/>
  <c r="F969" i="10"/>
  <c r="I969" i="10" s="1"/>
  <c r="AW968" i="10"/>
  <c r="AU968" i="10"/>
  <c r="AM968" i="10"/>
  <c r="Z968" i="10"/>
  <c r="X968" i="10"/>
  <c r="W968" i="10"/>
  <c r="I968" i="10"/>
  <c r="J968" i="10" s="1"/>
  <c r="H968" i="10"/>
  <c r="G968" i="10"/>
  <c r="F968" i="10"/>
  <c r="AW967" i="10"/>
  <c r="AU967" i="10"/>
  <c r="AM967" i="10"/>
  <c r="Z967" i="10"/>
  <c r="X967" i="10"/>
  <c r="W967" i="10"/>
  <c r="I967" i="10"/>
  <c r="H967" i="10"/>
  <c r="G967" i="10"/>
  <c r="F967" i="10"/>
  <c r="AW966" i="10"/>
  <c r="AU966" i="10"/>
  <c r="AM966" i="10"/>
  <c r="Z966" i="10"/>
  <c r="X966" i="10"/>
  <c r="W966" i="10"/>
  <c r="I966" i="10"/>
  <c r="H966" i="10"/>
  <c r="G966" i="10"/>
  <c r="F966" i="10"/>
  <c r="AW965" i="10"/>
  <c r="AU965" i="10"/>
  <c r="AM965" i="10"/>
  <c r="Z965" i="10"/>
  <c r="X965" i="10"/>
  <c r="W965" i="10"/>
  <c r="H965" i="10"/>
  <c r="G965" i="10"/>
  <c r="F965" i="10"/>
  <c r="I965" i="10" s="1"/>
  <c r="AW964" i="10"/>
  <c r="AU964" i="10"/>
  <c r="AM964" i="10"/>
  <c r="Z964" i="10"/>
  <c r="X964" i="10"/>
  <c r="W964" i="10"/>
  <c r="I964" i="10"/>
  <c r="H964" i="10"/>
  <c r="G964" i="10"/>
  <c r="F964" i="10"/>
  <c r="AW963" i="10"/>
  <c r="AU963" i="10"/>
  <c r="AM963" i="10"/>
  <c r="Z963" i="10"/>
  <c r="X963" i="10"/>
  <c r="W963" i="10"/>
  <c r="I963" i="10"/>
  <c r="H963" i="10"/>
  <c r="G963" i="10"/>
  <c r="F963" i="10"/>
  <c r="AW962" i="10"/>
  <c r="AU962" i="10"/>
  <c r="AM962" i="10"/>
  <c r="Z962" i="10"/>
  <c r="X962" i="10"/>
  <c r="W962" i="10"/>
  <c r="I962" i="10"/>
  <c r="H962" i="10"/>
  <c r="G962" i="10"/>
  <c r="F962" i="10"/>
  <c r="AU961" i="10"/>
  <c r="AM961" i="10"/>
  <c r="Z961" i="10"/>
  <c r="X961" i="10"/>
  <c r="W961" i="10"/>
  <c r="H961" i="10"/>
  <c r="G961" i="10"/>
  <c r="F961" i="10"/>
  <c r="AU960" i="10"/>
  <c r="AM960" i="10"/>
  <c r="Z960" i="10"/>
  <c r="X960" i="10"/>
  <c r="W960" i="10"/>
  <c r="I960" i="10"/>
  <c r="H960" i="10"/>
  <c r="G960" i="10"/>
  <c r="F960" i="10"/>
  <c r="AU959" i="10"/>
  <c r="AR959" i="10"/>
  <c r="AM959" i="10"/>
  <c r="Z959" i="10"/>
  <c r="X959" i="10"/>
  <c r="W959" i="10"/>
  <c r="I959" i="10"/>
  <c r="H959" i="10"/>
  <c r="G959" i="10"/>
  <c r="F959" i="10"/>
  <c r="AU958" i="10"/>
  <c r="AM958" i="10"/>
  <c r="Z958" i="10"/>
  <c r="X958" i="10"/>
  <c r="W958" i="10"/>
  <c r="H958" i="10"/>
  <c r="G958" i="10"/>
  <c r="F958" i="10"/>
  <c r="AU957" i="10"/>
  <c r="AM957" i="10"/>
  <c r="Z957" i="10"/>
  <c r="X957" i="10"/>
  <c r="W957" i="10"/>
  <c r="J957" i="10"/>
  <c r="K957" i="10" s="1"/>
  <c r="I957" i="10"/>
  <c r="L957" i="10" s="1"/>
  <c r="H957" i="10"/>
  <c r="G957" i="10"/>
  <c r="F957" i="10"/>
  <c r="AU956" i="10"/>
  <c r="AR956" i="10"/>
  <c r="AM956" i="10"/>
  <c r="Z956" i="10"/>
  <c r="X956" i="10"/>
  <c r="W956" i="10"/>
  <c r="H956" i="10"/>
  <c r="G956" i="10"/>
  <c r="F956" i="10"/>
  <c r="I956" i="10" s="1"/>
  <c r="AU955" i="10"/>
  <c r="AM955" i="10"/>
  <c r="Z955" i="10"/>
  <c r="X955" i="10"/>
  <c r="W955" i="10"/>
  <c r="H955" i="10"/>
  <c r="G955" i="10"/>
  <c r="F955" i="10"/>
  <c r="I955" i="10" s="1"/>
  <c r="AU954" i="10"/>
  <c r="AM954" i="10"/>
  <c r="Z954" i="10"/>
  <c r="X954" i="10"/>
  <c r="W954" i="10"/>
  <c r="L954" i="10"/>
  <c r="I954" i="10"/>
  <c r="J954" i="10" s="1"/>
  <c r="H954" i="10"/>
  <c r="G954" i="10"/>
  <c r="F954" i="10"/>
  <c r="AU953" i="10"/>
  <c r="AR953" i="10"/>
  <c r="AM953" i="10"/>
  <c r="Z953" i="10"/>
  <c r="X953" i="10"/>
  <c r="W953" i="10"/>
  <c r="I953" i="10"/>
  <c r="H953" i="10"/>
  <c r="G953" i="10"/>
  <c r="F953" i="10"/>
  <c r="AU952" i="10"/>
  <c r="AM952" i="10"/>
  <c r="Z952" i="10"/>
  <c r="X952" i="10"/>
  <c r="W952" i="10"/>
  <c r="H952" i="10"/>
  <c r="G952" i="10"/>
  <c r="F952" i="10"/>
  <c r="AU951" i="10"/>
  <c r="AM951" i="10"/>
  <c r="Z951" i="10"/>
  <c r="X951" i="10"/>
  <c r="W951" i="10"/>
  <c r="J951" i="10"/>
  <c r="K951" i="10" s="1"/>
  <c r="I951" i="10"/>
  <c r="H951" i="10"/>
  <c r="G951" i="10"/>
  <c r="F951" i="10"/>
  <c r="AU950" i="10"/>
  <c r="AR950" i="10"/>
  <c r="AM950" i="10"/>
  <c r="Z950" i="10"/>
  <c r="X950" i="10"/>
  <c r="W950" i="10"/>
  <c r="H950" i="10"/>
  <c r="G950" i="10"/>
  <c r="F950" i="10"/>
  <c r="I950" i="10" s="1"/>
  <c r="AU949" i="10"/>
  <c r="AM949" i="10"/>
  <c r="Z949" i="10"/>
  <c r="X949" i="10"/>
  <c r="W949" i="10"/>
  <c r="M949" i="10"/>
  <c r="L949" i="10"/>
  <c r="H949" i="10"/>
  <c r="G949" i="10"/>
  <c r="F949" i="10"/>
  <c r="I949" i="10" s="1"/>
  <c r="J949" i="10" s="1"/>
  <c r="K949" i="10" s="1"/>
  <c r="AU948" i="10"/>
  <c r="AM948" i="10"/>
  <c r="Z948" i="10"/>
  <c r="X948" i="10"/>
  <c r="W948" i="10"/>
  <c r="I948" i="10"/>
  <c r="H948" i="10"/>
  <c r="G948" i="10"/>
  <c r="F948" i="10"/>
  <c r="AU947" i="10"/>
  <c r="AR947" i="10"/>
  <c r="AM947" i="10"/>
  <c r="Z947" i="10"/>
  <c r="X947" i="10"/>
  <c r="W947" i="10"/>
  <c r="H947" i="10"/>
  <c r="G947" i="10"/>
  <c r="F947" i="10"/>
  <c r="AU946" i="10"/>
  <c r="AM946" i="10"/>
  <c r="Z946" i="10"/>
  <c r="X946" i="10"/>
  <c r="W946" i="10"/>
  <c r="J946" i="10"/>
  <c r="K946" i="10" s="1"/>
  <c r="H946" i="10"/>
  <c r="G946" i="10"/>
  <c r="F946" i="10"/>
  <c r="I946" i="10" s="1"/>
  <c r="AU945" i="10"/>
  <c r="AM945" i="10"/>
  <c r="Z945" i="10"/>
  <c r="X945" i="10"/>
  <c r="W945" i="10"/>
  <c r="K945" i="10"/>
  <c r="J945" i="10"/>
  <c r="M945" i="10" s="1"/>
  <c r="I945" i="10"/>
  <c r="L945" i="10" s="1"/>
  <c r="H945" i="10"/>
  <c r="G945" i="10"/>
  <c r="F945" i="10"/>
  <c r="AU944" i="10"/>
  <c r="AR944" i="10"/>
  <c r="AM944" i="10"/>
  <c r="Z944" i="10"/>
  <c r="X944" i="10"/>
  <c r="W944" i="10"/>
  <c r="H944" i="10"/>
  <c r="G944" i="10"/>
  <c r="F944" i="10"/>
  <c r="I944" i="10" s="1"/>
  <c r="AU943" i="10"/>
  <c r="AM943" i="10"/>
  <c r="Z943" i="10"/>
  <c r="X943" i="10"/>
  <c r="W943" i="10"/>
  <c r="H943" i="10"/>
  <c r="G943" i="10"/>
  <c r="F943" i="10"/>
  <c r="I943" i="10" s="1"/>
  <c r="AU942" i="10"/>
  <c r="AM942" i="10"/>
  <c r="Z942" i="10"/>
  <c r="X942" i="10"/>
  <c r="W942" i="10"/>
  <c r="M942" i="10"/>
  <c r="L942" i="10"/>
  <c r="I942" i="10"/>
  <c r="J942" i="10" s="1"/>
  <c r="K942" i="10" s="1"/>
  <c r="H942" i="10"/>
  <c r="G942" i="10"/>
  <c r="F942" i="10"/>
  <c r="AU941" i="10"/>
  <c r="AR941" i="10"/>
  <c r="AM941" i="10"/>
  <c r="Z941" i="10"/>
  <c r="X941" i="10"/>
  <c r="W941" i="10"/>
  <c r="J941" i="10"/>
  <c r="K941" i="10" s="1"/>
  <c r="I941" i="10"/>
  <c r="H941" i="10"/>
  <c r="G941" i="10"/>
  <c r="F941" i="10"/>
  <c r="AU940" i="10"/>
  <c r="AM940" i="10"/>
  <c r="Z940" i="10"/>
  <c r="X940" i="10"/>
  <c r="W940" i="10"/>
  <c r="H940" i="10"/>
  <c r="G940" i="10"/>
  <c r="F940" i="10"/>
  <c r="I940" i="10" s="1"/>
  <c r="AU939" i="10"/>
  <c r="AM939" i="10"/>
  <c r="Z939" i="10"/>
  <c r="X939" i="10"/>
  <c r="W939" i="10"/>
  <c r="J939" i="10"/>
  <c r="K939" i="10" s="1"/>
  <c r="I939" i="10"/>
  <c r="M939" i="10" s="1"/>
  <c r="H939" i="10"/>
  <c r="G939" i="10"/>
  <c r="F939" i="10"/>
  <c r="AU938" i="10"/>
  <c r="AR938" i="10"/>
  <c r="AM938" i="10"/>
  <c r="Z938" i="10"/>
  <c r="X938" i="10"/>
  <c r="W938" i="10"/>
  <c r="H938" i="10"/>
  <c r="G938" i="10"/>
  <c r="F938" i="10"/>
  <c r="I938" i="10" s="1"/>
  <c r="BN937" i="10"/>
  <c r="AV937" i="10"/>
  <c r="AU937" i="10"/>
  <c r="AP937" i="10"/>
  <c r="AM937" i="10"/>
  <c r="X937" i="10"/>
  <c r="W937" i="10"/>
  <c r="I937" i="10" s="1"/>
  <c r="E937" i="10"/>
  <c r="BN936" i="10"/>
  <c r="AV936" i="10"/>
  <c r="AU936" i="10"/>
  <c r="AP936" i="10"/>
  <c r="AM936" i="10"/>
  <c r="X936" i="10"/>
  <c r="W936" i="10"/>
  <c r="I936" i="10" s="1"/>
  <c r="J936" i="10" s="1"/>
  <c r="K936" i="10" s="1"/>
  <c r="M936" i="10"/>
  <c r="L936" i="10"/>
  <c r="H936" i="10"/>
  <c r="E936" i="10"/>
  <c r="G936" i="10" s="1"/>
  <c r="BN935" i="10"/>
  <c r="AV935" i="10"/>
  <c r="AU935" i="10"/>
  <c r="AP935" i="10"/>
  <c r="AM935" i="10"/>
  <c r="X935" i="10"/>
  <c r="W935" i="10"/>
  <c r="I935" i="10" s="1"/>
  <c r="L935" i="10" s="1"/>
  <c r="M935" i="10"/>
  <c r="K935" i="10"/>
  <c r="J935" i="10"/>
  <c r="E935" i="10"/>
  <c r="G935" i="10" s="1"/>
  <c r="BN934" i="10"/>
  <c r="AV934" i="10"/>
  <c r="AU934" i="10"/>
  <c r="AP934" i="10"/>
  <c r="AM934" i="10"/>
  <c r="X934" i="10"/>
  <c r="W934" i="10"/>
  <c r="I934" i="10"/>
  <c r="H934" i="10"/>
  <c r="G934" i="10"/>
  <c r="E934" i="10"/>
  <c r="BN933" i="10"/>
  <c r="AV933" i="10"/>
  <c r="AU933" i="10"/>
  <c r="AP933" i="10"/>
  <c r="AM933" i="10"/>
  <c r="X933" i="10"/>
  <c r="W933" i="10"/>
  <c r="I933" i="10" s="1"/>
  <c r="E933" i="10"/>
  <c r="H933" i="10" s="1"/>
  <c r="BN932" i="10"/>
  <c r="AV932" i="10"/>
  <c r="AU932" i="10"/>
  <c r="AP932" i="10"/>
  <c r="AM932" i="10"/>
  <c r="X932" i="10"/>
  <c r="W932" i="10"/>
  <c r="I932" i="10"/>
  <c r="G932" i="10"/>
  <c r="E932" i="10"/>
  <c r="H932" i="10" s="1"/>
  <c r="BN931" i="10"/>
  <c r="AV931" i="10"/>
  <c r="AU931" i="10"/>
  <c r="AP931" i="10"/>
  <c r="AM931" i="10"/>
  <c r="X931" i="10"/>
  <c r="W931" i="10"/>
  <c r="I931" i="10" s="1"/>
  <c r="E931" i="10"/>
  <c r="G931" i="10" s="1"/>
  <c r="BN930" i="10"/>
  <c r="AV930" i="10"/>
  <c r="AU930" i="10"/>
  <c r="AP930" i="10"/>
  <c r="AM930" i="10"/>
  <c r="X930" i="10"/>
  <c r="W930" i="10"/>
  <c r="K930" i="10"/>
  <c r="I930" i="10"/>
  <c r="J930" i="10" s="1"/>
  <c r="H930" i="10"/>
  <c r="G930" i="10"/>
  <c r="E930" i="10"/>
  <c r="BN929" i="10"/>
  <c r="AV929" i="10"/>
  <c r="AU929" i="10"/>
  <c r="AP929" i="10"/>
  <c r="AM929" i="10"/>
  <c r="X929" i="10"/>
  <c r="W929" i="10"/>
  <c r="I929" i="10" s="1"/>
  <c r="J929" i="10"/>
  <c r="L929" i="10" s="1"/>
  <c r="G929" i="10"/>
  <c r="E929" i="10"/>
  <c r="H929" i="10" s="1"/>
  <c r="BN928" i="10"/>
  <c r="AV928" i="10"/>
  <c r="AU928" i="10"/>
  <c r="AP928" i="10"/>
  <c r="AM928" i="10"/>
  <c r="X928" i="10"/>
  <c r="W928" i="10"/>
  <c r="I928" i="10" s="1"/>
  <c r="E928" i="10"/>
  <c r="H928" i="10" s="1"/>
  <c r="BN927" i="10"/>
  <c r="AV927" i="10"/>
  <c r="AU927" i="10"/>
  <c r="AP927" i="10"/>
  <c r="AM927" i="10"/>
  <c r="X927" i="10"/>
  <c r="W927" i="10"/>
  <c r="J927" i="10"/>
  <c r="K927" i="10" s="1"/>
  <c r="I927" i="10"/>
  <c r="M927" i="10" s="1"/>
  <c r="H927" i="10"/>
  <c r="E927" i="10"/>
  <c r="G927" i="10" s="1"/>
  <c r="BN926" i="10"/>
  <c r="AV926" i="10"/>
  <c r="AU926" i="10"/>
  <c r="AP926" i="10"/>
  <c r="AM926" i="10"/>
  <c r="X926" i="10"/>
  <c r="W926" i="10"/>
  <c r="I926" i="10"/>
  <c r="J926" i="10" s="1"/>
  <c r="K926" i="10" s="1"/>
  <c r="H926" i="10"/>
  <c r="G926" i="10"/>
  <c r="E926" i="10"/>
  <c r="AO925" i="10"/>
  <c r="AN925" i="10"/>
  <c r="AM925" i="10"/>
  <c r="Z925" i="10"/>
  <c r="X925" i="10"/>
  <c r="W925" i="10"/>
  <c r="I925" i="10" s="1"/>
  <c r="G925" i="10"/>
  <c r="E925" i="10"/>
  <c r="H925" i="10" s="1"/>
  <c r="AO924" i="10"/>
  <c r="AN924" i="10"/>
  <c r="AM924" i="10"/>
  <c r="Z924" i="10"/>
  <c r="X924" i="10"/>
  <c r="W924" i="10"/>
  <c r="K924" i="10"/>
  <c r="I924" i="10"/>
  <c r="J924" i="10" s="1"/>
  <c r="H924" i="10"/>
  <c r="G924" i="10"/>
  <c r="E924" i="10"/>
  <c r="AO923" i="10"/>
  <c r="AN923" i="10"/>
  <c r="AM923" i="10"/>
  <c r="Z923" i="10"/>
  <c r="X923" i="10"/>
  <c r="W923" i="10"/>
  <c r="I923" i="10" s="1"/>
  <c r="E923" i="10"/>
  <c r="H923" i="10" s="1"/>
  <c r="AO922" i="10"/>
  <c r="AN922" i="10"/>
  <c r="AM922" i="10"/>
  <c r="Z922" i="10"/>
  <c r="X922" i="10"/>
  <c r="W922" i="10"/>
  <c r="I922" i="10"/>
  <c r="J922" i="10" s="1"/>
  <c r="K922" i="10" s="1"/>
  <c r="H922" i="10"/>
  <c r="G922" i="10"/>
  <c r="E922" i="10"/>
  <c r="AO921" i="10"/>
  <c r="AN921" i="10"/>
  <c r="AM921" i="10"/>
  <c r="Z921" i="10"/>
  <c r="X921" i="10"/>
  <c r="W921" i="10"/>
  <c r="I921" i="10" s="1"/>
  <c r="G921" i="10"/>
  <c r="E921" i="10"/>
  <c r="H921" i="10" s="1"/>
  <c r="AO920" i="10"/>
  <c r="AN920" i="10"/>
  <c r="AM920" i="10"/>
  <c r="Z920" i="10"/>
  <c r="X920" i="10"/>
  <c r="W920" i="10"/>
  <c r="K920" i="10"/>
  <c r="I920" i="10"/>
  <c r="J920" i="10" s="1"/>
  <c r="H920" i="10"/>
  <c r="G920" i="10"/>
  <c r="E920" i="10"/>
  <c r="AU919" i="10"/>
  <c r="AO919" i="10"/>
  <c r="AN919" i="10"/>
  <c r="AM919" i="10"/>
  <c r="Z919" i="10"/>
  <c r="X919" i="10"/>
  <c r="W919" i="10"/>
  <c r="I919" i="10" s="1"/>
  <c r="J919" i="10"/>
  <c r="L919" i="10" s="1"/>
  <c r="G919" i="10"/>
  <c r="E919" i="10"/>
  <c r="H919" i="10" s="1"/>
  <c r="AU918" i="10"/>
  <c r="AO918" i="10"/>
  <c r="AN918" i="10"/>
  <c r="AM918" i="10"/>
  <c r="Z918" i="10"/>
  <c r="X918" i="10"/>
  <c r="W918" i="10"/>
  <c r="I918" i="10" s="1"/>
  <c r="E918" i="10"/>
  <c r="H918" i="10" s="1"/>
  <c r="AU917" i="10"/>
  <c r="AM917" i="10"/>
  <c r="X917" i="10"/>
  <c r="W917" i="10"/>
  <c r="H917" i="10"/>
  <c r="G917" i="10"/>
  <c r="F917" i="10"/>
  <c r="I917" i="10" s="1"/>
  <c r="AU916" i="10"/>
  <c r="AM916" i="10"/>
  <c r="X916" i="10"/>
  <c r="W916" i="10"/>
  <c r="J916" i="10"/>
  <c r="K916" i="10" s="1"/>
  <c r="I916" i="10"/>
  <c r="M916" i="10" s="1"/>
  <c r="H916" i="10"/>
  <c r="G916" i="10"/>
  <c r="F916" i="10"/>
  <c r="AU915" i="10"/>
  <c r="AM915" i="10"/>
  <c r="X915" i="10"/>
  <c r="W915" i="10"/>
  <c r="H915" i="10"/>
  <c r="G915" i="10"/>
  <c r="F915" i="10"/>
  <c r="I915" i="10" s="1"/>
  <c r="AU914" i="10"/>
  <c r="AM914" i="10"/>
  <c r="X914" i="10"/>
  <c r="W914" i="10"/>
  <c r="I914" i="10"/>
  <c r="H914" i="10"/>
  <c r="G914" i="10"/>
  <c r="F914" i="10"/>
  <c r="AU913" i="10"/>
  <c r="AM913" i="10"/>
  <c r="X913" i="10"/>
  <c r="W913" i="10"/>
  <c r="K913" i="10"/>
  <c r="J913" i="10"/>
  <c r="M913" i="10" s="1"/>
  <c r="I913" i="10"/>
  <c r="H913" i="10"/>
  <c r="G913" i="10"/>
  <c r="F913" i="10"/>
  <c r="AU912" i="10"/>
  <c r="AM912" i="10"/>
  <c r="X912" i="10"/>
  <c r="W912" i="10"/>
  <c r="H912" i="10"/>
  <c r="G912" i="10"/>
  <c r="F912" i="10"/>
  <c r="I912" i="10" s="1"/>
  <c r="AU911" i="10"/>
  <c r="AM911" i="10"/>
  <c r="X911" i="10"/>
  <c r="W911" i="10"/>
  <c r="I911" i="10"/>
  <c r="H911" i="10"/>
  <c r="G911" i="10"/>
  <c r="F911" i="10"/>
  <c r="AU910" i="10"/>
  <c r="AM910" i="10"/>
  <c r="X910" i="10"/>
  <c r="W910" i="10"/>
  <c r="H910" i="10"/>
  <c r="G910" i="10"/>
  <c r="F910" i="10"/>
  <c r="I910" i="10" s="1"/>
  <c r="AU909" i="10"/>
  <c r="AM909" i="10"/>
  <c r="X909" i="10"/>
  <c r="W909" i="10"/>
  <c r="H909" i="10"/>
  <c r="G909" i="10"/>
  <c r="F909" i="10"/>
  <c r="I909" i="10" s="1"/>
  <c r="AU908" i="10"/>
  <c r="AM908" i="10"/>
  <c r="X908" i="10"/>
  <c r="W908" i="10"/>
  <c r="J908" i="10"/>
  <c r="K908" i="10" s="1"/>
  <c r="I908" i="10"/>
  <c r="H908" i="10"/>
  <c r="G908" i="10"/>
  <c r="F908" i="10"/>
  <c r="AU907" i="10"/>
  <c r="AM907" i="10"/>
  <c r="X907" i="10"/>
  <c r="W907" i="10"/>
  <c r="H907" i="10"/>
  <c r="G907" i="10"/>
  <c r="F907" i="10"/>
  <c r="AU906" i="10"/>
  <c r="AM906" i="10"/>
  <c r="X906" i="10"/>
  <c r="W906" i="10"/>
  <c r="I906" i="10"/>
  <c r="H906" i="10"/>
  <c r="G906" i="10"/>
  <c r="F906" i="10"/>
  <c r="AU905" i="10"/>
  <c r="AM905" i="10"/>
  <c r="X905" i="10"/>
  <c r="W905" i="10"/>
  <c r="K905" i="10"/>
  <c r="J905" i="10"/>
  <c r="M905" i="10" s="1"/>
  <c r="I905" i="10"/>
  <c r="H905" i="10"/>
  <c r="G905" i="10"/>
  <c r="F905" i="10"/>
  <c r="AU904" i="10"/>
  <c r="AM904" i="10"/>
  <c r="X904" i="10"/>
  <c r="W904" i="10"/>
  <c r="H904" i="10"/>
  <c r="G904" i="10"/>
  <c r="F904" i="10"/>
  <c r="I904" i="10" s="1"/>
  <c r="AU903" i="10"/>
  <c r="AM903" i="10"/>
  <c r="X903" i="10"/>
  <c r="W903" i="10"/>
  <c r="I903" i="10"/>
  <c r="H903" i="10"/>
  <c r="G903" i="10"/>
  <c r="F903" i="10"/>
  <c r="AU902" i="10"/>
  <c r="AM902" i="10"/>
  <c r="X902" i="10"/>
  <c r="W902" i="10"/>
  <c r="H902" i="10"/>
  <c r="G902" i="10"/>
  <c r="F902" i="10"/>
  <c r="I902" i="10" s="1"/>
  <c r="AU901" i="10"/>
  <c r="AM901" i="10"/>
  <c r="X901" i="10"/>
  <c r="W901" i="10"/>
  <c r="H901" i="10"/>
  <c r="G901" i="10"/>
  <c r="F901" i="10"/>
  <c r="I901" i="10" s="1"/>
  <c r="AU900" i="10"/>
  <c r="AM900" i="10"/>
  <c r="X900" i="10"/>
  <c r="W900" i="10"/>
  <c r="J900" i="10"/>
  <c r="K900" i="10" s="1"/>
  <c r="I900" i="10"/>
  <c r="H900" i="10"/>
  <c r="G900" i="10"/>
  <c r="F900" i="10"/>
  <c r="AU899" i="10"/>
  <c r="AM899" i="10"/>
  <c r="X899" i="10"/>
  <c r="W899" i="10"/>
  <c r="H899" i="10"/>
  <c r="G899" i="10"/>
  <c r="F899" i="10"/>
  <c r="AU898" i="10"/>
  <c r="AM898" i="10"/>
  <c r="X898" i="10"/>
  <c r="W898" i="10"/>
  <c r="I898" i="10"/>
  <c r="H898" i="10"/>
  <c r="G898" i="10"/>
  <c r="F898" i="10"/>
  <c r="AU897" i="10"/>
  <c r="AM897" i="10"/>
  <c r="X897" i="10"/>
  <c r="W897" i="10"/>
  <c r="K897" i="10"/>
  <c r="J897" i="10"/>
  <c r="M897" i="10" s="1"/>
  <c r="I897" i="10"/>
  <c r="H897" i="10"/>
  <c r="G897" i="10"/>
  <c r="F897" i="10"/>
  <c r="AU896" i="10"/>
  <c r="AM896" i="10"/>
  <c r="X896" i="10"/>
  <c r="W896" i="10"/>
  <c r="H896" i="10"/>
  <c r="G896" i="10"/>
  <c r="F896" i="10"/>
  <c r="I896" i="10" s="1"/>
  <c r="BN895" i="10"/>
  <c r="AU895" i="10"/>
  <c r="AM895" i="10"/>
  <c r="Z895" i="10"/>
  <c r="Y895" i="10"/>
  <c r="X895" i="10"/>
  <c r="W895" i="10"/>
  <c r="H895" i="10"/>
  <c r="G895" i="10"/>
  <c r="F895" i="10"/>
  <c r="I895" i="10" s="1"/>
  <c r="AU894" i="10"/>
  <c r="AM894" i="10"/>
  <c r="X894" i="10"/>
  <c r="W894" i="10"/>
  <c r="H894" i="10"/>
  <c r="G894" i="10"/>
  <c r="F894" i="10"/>
  <c r="I894" i="10" s="1"/>
  <c r="AU893" i="10"/>
  <c r="AM893" i="10"/>
  <c r="X893" i="10"/>
  <c r="W893" i="10"/>
  <c r="J893" i="10"/>
  <c r="K893" i="10" s="1"/>
  <c r="I893" i="10"/>
  <c r="M893" i="10" s="1"/>
  <c r="H893" i="10"/>
  <c r="G893" i="10"/>
  <c r="F893" i="10"/>
  <c r="BN892" i="10"/>
  <c r="AU892" i="10"/>
  <c r="AM892" i="10"/>
  <c r="Z892" i="10"/>
  <c r="Y892" i="10"/>
  <c r="X892" i="10"/>
  <c r="W892" i="10"/>
  <c r="I892" i="10"/>
  <c r="J892" i="10" s="1"/>
  <c r="K892" i="10" s="1"/>
  <c r="H892" i="10"/>
  <c r="G892" i="10"/>
  <c r="F892" i="10"/>
  <c r="AU891" i="10"/>
  <c r="AM891" i="10"/>
  <c r="X891" i="10"/>
  <c r="W891" i="10"/>
  <c r="L891" i="10"/>
  <c r="K891" i="10"/>
  <c r="I891" i="10"/>
  <c r="J891" i="10" s="1"/>
  <c r="H891" i="10"/>
  <c r="G891" i="10"/>
  <c r="F891" i="10"/>
  <c r="AU890" i="10"/>
  <c r="AM890" i="10"/>
  <c r="X890" i="10"/>
  <c r="W890" i="10"/>
  <c r="M890" i="10"/>
  <c r="K890" i="10"/>
  <c r="I890" i="10"/>
  <c r="J890" i="10" s="1"/>
  <c r="H890" i="10"/>
  <c r="G890" i="10"/>
  <c r="F890" i="10"/>
  <c r="BN889" i="10"/>
  <c r="AU889" i="10"/>
  <c r="AM889" i="10"/>
  <c r="Z889" i="10"/>
  <c r="Y889" i="10"/>
  <c r="X889" i="10"/>
  <c r="W889" i="10"/>
  <c r="H889" i="10"/>
  <c r="G889" i="10"/>
  <c r="F889" i="10"/>
  <c r="AU888" i="10"/>
  <c r="AM888" i="10"/>
  <c r="X888" i="10"/>
  <c r="W888" i="10"/>
  <c r="H888" i="10"/>
  <c r="G888" i="10"/>
  <c r="F888" i="10"/>
  <c r="AU887" i="10"/>
  <c r="AM887" i="10"/>
  <c r="X887" i="10"/>
  <c r="W887" i="10"/>
  <c r="H887" i="10"/>
  <c r="G887" i="10"/>
  <c r="F887" i="10"/>
  <c r="I887" i="10" s="1"/>
  <c r="BN886" i="10"/>
  <c r="AU886" i="10"/>
  <c r="AM886" i="10"/>
  <c r="Z886" i="10"/>
  <c r="Y886" i="10"/>
  <c r="X886" i="10"/>
  <c r="W886" i="10"/>
  <c r="H886" i="10"/>
  <c r="G886" i="10"/>
  <c r="F886" i="10"/>
  <c r="I886" i="10" s="1"/>
  <c r="AM885" i="10"/>
  <c r="X885" i="10"/>
  <c r="W885" i="10"/>
  <c r="H885" i="10"/>
  <c r="G885" i="10"/>
  <c r="F885" i="10"/>
  <c r="I885" i="10" s="1"/>
  <c r="AM884" i="10"/>
  <c r="X884" i="10"/>
  <c r="W884" i="10"/>
  <c r="I884" i="10"/>
  <c r="H884" i="10"/>
  <c r="G884" i="10"/>
  <c r="F884" i="10"/>
  <c r="AM883" i="10"/>
  <c r="X883" i="10"/>
  <c r="W883" i="10"/>
  <c r="H883" i="10"/>
  <c r="G883" i="10"/>
  <c r="F883" i="10"/>
  <c r="AM882" i="10"/>
  <c r="X882" i="10"/>
  <c r="W882" i="10"/>
  <c r="H882" i="10"/>
  <c r="G882" i="10"/>
  <c r="F882" i="10"/>
  <c r="I882" i="10" s="1"/>
  <c r="AM881" i="10"/>
  <c r="X881" i="10"/>
  <c r="W881" i="10"/>
  <c r="H881" i="10"/>
  <c r="G881" i="10"/>
  <c r="F881" i="10"/>
  <c r="I881" i="10" s="1"/>
  <c r="AM880" i="10"/>
  <c r="X880" i="10"/>
  <c r="W880" i="10"/>
  <c r="I880" i="10"/>
  <c r="J880" i="10" s="1"/>
  <c r="K880" i="10" s="1"/>
  <c r="H880" i="10"/>
  <c r="G880" i="10"/>
  <c r="F880" i="10"/>
  <c r="AM879" i="10"/>
  <c r="X879" i="10"/>
  <c r="W879" i="10"/>
  <c r="H879" i="10"/>
  <c r="G879" i="10"/>
  <c r="F879" i="10"/>
  <c r="AM878" i="10"/>
  <c r="X878" i="10"/>
  <c r="W878" i="10"/>
  <c r="K878" i="10"/>
  <c r="J878" i="10"/>
  <c r="I878" i="10"/>
  <c r="M878" i="10" s="1"/>
  <c r="H878" i="10"/>
  <c r="G878" i="10"/>
  <c r="F878" i="10"/>
  <c r="AM877" i="10"/>
  <c r="X877" i="10"/>
  <c r="W877" i="10"/>
  <c r="H877" i="10"/>
  <c r="G877" i="10"/>
  <c r="F877" i="10"/>
  <c r="I877" i="10" s="1"/>
  <c r="AM876" i="10"/>
  <c r="X876" i="10"/>
  <c r="W876" i="10"/>
  <c r="I876" i="10"/>
  <c r="J876" i="10" s="1"/>
  <c r="K876" i="10" s="1"/>
  <c r="H876" i="10"/>
  <c r="G876" i="10"/>
  <c r="F876" i="10"/>
  <c r="AM875" i="10"/>
  <c r="X875" i="10"/>
  <c r="W875" i="10"/>
  <c r="H875" i="10"/>
  <c r="G875" i="10"/>
  <c r="F875" i="10"/>
  <c r="I875" i="10" s="1"/>
  <c r="AM874" i="10"/>
  <c r="X874" i="10"/>
  <c r="W874" i="10"/>
  <c r="J874" i="10"/>
  <c r="K874" i="10" s="1"/>
  <c r="I874" i="10"/>
  <c r="H874" i="10"/>
  <c r="G874" i="10"/>
  <c r="F874" i="10"/>
  <c r="AM873" i="10"/>
  <c r="X873" i="10"/>
  <c r="W873" i="10"/>
  <c r="H873" i="10"/>
  <c r="G873" i="10"/>
  <c r="F873" i="10"/>
  <c r="I873" i="10" s="1"/>
  <c r="AM872" i="10"/>
  <c r="X872" i="10"/>
  <c r="W872" i="10"/>
  <c r="M872" i="10"/>
  <c r="K872" i="10"/>
  <c r="I872" i="10"/>
  <c r="J872" i="10" s="1"/>
  <c r="H872" i="10"/>
  <c r="G872" i="10"/>
  <c r="F872" i="10"/>
  <c r="AM871" i="10"/>
  <c r="X871" i="10"/>
  <c r="W871" i="10"/>
  <c r="H871" i="10"/>
  <c r="G871" i="10"/>
  <c r="F871" i="10"/>
  <c r="I871" i="10" s="1"/>
  <c r="AM870" i="10"/>
  <c r="X870" i="10"/>
  <c r="W870" i="10"/>
  <c r="I870" i="10"/>
  <c r="H870" i="10"/>
  <c r="G870" i="10"/>
  <c r="F870" i="10"/>
  <c r="AM869" i="10"/>
  <c r="X869" i="10"/>
  <c r="W869" i="10"/>
  <c r="L869" i="10"/>
  <c r="J869" i="10"/>
  <c r="K869" i="10" s="1"/>
  <c r="I869" i="10"/>
  <c r="M869" i="10" s="1"/>
  <c r="H869" i="10"/>
  <c r="G869" i="10"/>
  <c r="F869" i="10"/>
  <c r="AM868" i="10"/>
  <c r="X868" i="10"/>
  <c r="W868" i="10"/>
  <c r="M868" i="10"/>
  <c r="L868" i="10"/>
  <c r="J868" i="10"/>
  <c r="K868" i="10" s="1"/>
  <c r="I868" i="10"/>
  <c r="H868" i="10"/>
  <c r="G868" i="10"/>
  <c r="F868" i="10"/>
  <c r="AM867" i="10"/>
  <c r="X867" i="10"/>
  <c r="W867" i="10"/>
  <c r="H867" i="10"/>
  <c r="G867" i="10"/>
  <c r="F867" i="10"/>
  <c r="I867" i="10" s="1"/>
  <c r="AM866" i="10"/>
  <c r="X866" i="10"/>
  <c r="W866" i="10"/>
  <c r="J866" i="10"/>
  <c r="K866" i="10" s="1"/>
  <c r="I866" i="10"/>
  <c r="M866" i="10" s="1"/>
  <c r="H866" i="10"/>
  <c r="G866" i="10"/>
  <c r="F866" i="10"/>
  <c r="AM865" i="10"/>
  <c r="X865" i="10"/>
  <c r="W865" i="10"/>
  <c r="H865" i="10"/>
  <c r="G865" i="10"/>
  <c r="F865" i="10"/>
  <c r="I865" i="10" s="1"/>
  <c r="AM864" i="10"/>
  <c r="X864" i="10"/>
  <c r="W864" i="10"/>
  <c r="H864" i="10"/>
  <c r="G864" i="10"/>
  <c r="F864" i="10"/>
  <c r="I864" i="10" s="1"/>
  <c r="AM863" i="10"/>
  <c r="X863" i="10"/>
  <c r="W863" i="10"/>
  <c r="I863" i="10"/>
  <c r="H863" i="10"/>
  <c r="G863" i="10"/>
  <c r="F863" i="10"/>
  <c r="AM862" i="10"/>
  <c r="X862" i="10"/>
  <c r="W862" i="10"/>
  <c r="L862" i="10"/>
  <c r="K862" i="10"/>
  <c r="J862" i="10"/>
  <c r="M862" i="10" s="1"/>
  <c r="I862" i="10"/>
  <c r="H862" i="10"/>
  <c r="G862" i="10"/>
  <c r="F862" i="10"/>
  <c r="AM861" i="10"/>
  <c r="X861" i="10"/>
  <c r="W861" i="10"/>
  <c r="H861" i="10"/>
  <c r="G861" i="10"/>
  <c r="F861" i="10"/>
  <c r="AM860" i="10"/>
  <c r="X860" i="10"/>
  <c r="W860" i="10"/>
  <c r="J860" i="10"/>
  <c r="K860" i="10" s="1"/>
  <c r="I860" i="10"/>
  <c r="H860" i="10"/>
  <c r="G860" i="10"/>
  <c r="F860" i="10"/>
  <c r="AM859" i="10"/>
  <c r="X859" i="10"/>
  <c r="W859" i="10"/>
  <c r="M859" i="10"/>
  <c r="L859" i="10"/>
  <c r="H859" i="10"/>
  <c r="G859" i="10"/>
  <c r="F859" i="10"/>
  <c r="I859" i="10" s="1"/>
  <c r="J859" i="10" s="1"/>
  <c r="K859" i="10" s="1"/>
  <c r="AM858" i="10"/>
  <c r="X858" i="10"/>
  <c r="W858" i="10"/>
  <c r="H858" i="10"/>
  <c r="G858" i="10"/>
  <c r="F858" i="10"/>
  <c r="I858" i="10" s="1"/>
  <c r="AM857" i="10"/>
  <c r="X857" i="10"/>
  <c r="W857" i="10"/>
  <c r="K857" i="10"/>
  <c r="J857" i="10"/>
  <c r="I857" i="10"/>
  <c r="M857" i="10" s="1"/>
  <c r="H857" i="10"/>
  <c r="G857" i="10"/>
  <c r="F857" i="10"/>
  <c r="AM856" i="10"/>
  <c r="X856" i="10"/>
  <c r="W856" i="10"/>
  <c r="H856" i="10"/>
  <c r="G856" i="10"/>
  <c r="F856" i="10"/>
  <c r="AM855" i="10"/>
  <c r="X855" i="10"/>
  <c r="W855" i="10"/>
  <c r="I855" i="10"/>
  <c r="H855" i="10"/>
  <c r="G855" i="10"/>
  <c r="F855" i="10"/>
  <c r="AM854" i="10"/>
  <c r="X854" i="10"/>
  <c r="W854" i="10"/>
  <c r="L854" i="10"/>
  <c r="K854" i="10"/>
  <c r="J854" i="10"/>
  <c r="M854" i="10" s="1"/>
  <c r="I854" i="10"/>
  <c r="H854" i="10"/>
  <c r="G854" i="10"/>
  <c r="F854" i="10"/>
  <c r="AM853" i="10"/>
  <c r="X853" i="10"/>
  <c r="W853" i="10"/>
  <c r="H853" i="10"/>
  <c r="G853" i="10"/>
  <c r="F853" i="10"/>
  <c r="AM852" i="10"/>
  <c r="X852" i="10"/>
  <c r="W852" i="10"/>
  <c r="J852" i="10"/>
  <c r="K852" i="10" s="1"/>
  <c r="I852" i="10"/>
  <c r="H852" i="10"/>
  <c r="G852" i="10"/>
  <c r="F852" i="10"/>
  <c r="AM851" i="10"/>
  <c r="X851" i="10"/>
  <c r="W851" i="10"/>
  <c r="M851" i="10"/>
  <c r="L851" i="10"/>
  <c r="H851" i="10"/>
  <c r="G851" i="10"/>
  <c r="F851" i="10"/>
  <c r="I851" i="10" s="1"/>
  <c r="J851" i="10" s="1"/>
  <c r="K851" i="10" s="1"/>
  <c r="AM850" i="10"/>
  <c r="X850" i="10"/>
  <c r="W850" i="10"/>
  <c r="H850" i="10"/>
  <c r="G850" i="10"/>
  <c r="F850" i="10"/>
  <c r="I850" i="10" s="1"/>
  <c r="AM849" i="10"/>
  <c r="X849" i="10"/>
  <c r="W849" i="10"/>
  <c r="K849" i="10"/>
  <c r="J849" i="10"/>
  <c r="I849" i="10"/>
  <c r="M849" i="10" s="1"/>
  <c r="H849" i="10"/>
  <c r="G849" i="10"/>
  <c r="F849" i="10"/>
  <c r="AM848" i="10"/>
  <c r="X848" i="10"/>
  <c r="W848" i="10"/>
  <c r="H848" i="10"/>
  <c r="G848" i="10"/>
  <c r="F848" i="10"/>
  <c r="AM847" i="10"/>
  <c r="X847" i="10"/>
  <c r="W847" i="10"/>
  <c r="I847" i="10"/>
  <c r="H847" i="10"/>
  <c r="G847" i="10"/>
  <c r="F847" i="10"/>
  <c r="AM846" i="10"/>
  <c r="X846" i="10"/>
  <c r="W846" i="10"/>
  <c r="L846" i="10"/>
  <c r="K846" i="10"/>
  <c r="J846" i="10"/>
  <c r="M846" i="10" s="1"/>
  <c r="I846" i="10"/>
  <c r="H846" i="10"/>
  <c r="G846" i="10"/>
  <c r="F846" i="10"/>
  <c r="AM845" i="10"/>
  <c r="X845" i="10"/>
  <c r="W845" i="10"/>
  <c r="H845" i="10"/>
  <c r="G845" i="10"/>
  <c r="F845" i="10"/>
  <c r="AM844" i="10"/>
  <c r="Z844" i="10"/>
  <c r="X844" i="10"/>
  <c r="W844" i="10"/>
  <c r="J844" i="10"/>
  <c r="K844" i="10" s="1"/>
  <c r="I844" i="10"/>
  <c r="H844" i="10"/>
  <c r="G844" i="10"/>
  <c r="E844" i="10"/>
  <c r="AM843" i="10"/>
  <c r="Z843" i="10"/>
  <c r="X843" i="10"/>
  <c r="W843" i="10"/>
  <c r="I843" i="10" s="1"/>
  <c r="E843" i="10"/>
  <c r="H843" i="10" s="1"/>
  <c r="AM842" i="10"/>
  <c r="Z842" i="10"/>
  <c r="X842" i="10"/>
  <c r="W842" i="10"/>
  <c r="K842" i="10"/>
  <c r="J842" i="10"/>
  <c r="I842" i="10"/>
  <c r="H842" i="10"/>
  <c r="G842" i="10"/>
  <c r="E842" i="10"/>
  <c r="AM841" i="10"/>
  <c r="Z841" i="10"/>
  <c r="X841" i="10"/>
  <c r="W841" i="10"/>
  <c r="I841" i="10" s="1"/>
  <c r="G841" i="10"/>
  <c r="E841" i="10"/>
  <c r="H841" i="10" s="1"/>
  <c r="AM840" i="10"/>
  <c r="Z840" i="10"/>
  <c r="X840" i="10"/>
  <c r="W840" i="10"/>
  <c r="I840" i="10"/>
  <c r="H840" i="10"/>
  <c r="G840" i="10"/>
  <c r="E840" i="10"/>
  <c r="AM839" i="10"/>
  <c r="Z839" i="10"/>
  <c r="X839" i="10"/>
  <c r="W839" i="10"/>
  <c r="I839" i="10" s="1"/>
  <c r="E839" i="10"/>
  <c r="H839" i="10" s="1"/>
  <c r="AM838" i="10"/>
  <c r="Z838" i="10"/>
  <c r="X838" i="10"/>
  <c r="W838" i="10"/>
  <c r="J838" i="10"/>
  <c r="K838" i="10" s="1"/>
  <c r="I838" i="10"/>
  <c r="H838" i="10"/>
  <c r="G838" i="10"/>
  <c r="E838" i="10"/>
  <c r="AM837" i="10"/>
  <c r="Z837" i="10"/>
  <c r="X837" i="10"/>
  <c r="W837" i="10"/>
  <c r="I837" i="10" s="1"/>
  <c r="G837" i="10"/>
  <c r="E837" i="10"/>
  <c r="H837" i="10" s="1"/>
  <c r="AU836" i="10"/>
  <c r="AM836" i="10"/>
  <c r="Y836" i="10"/>
  <c r="X836" i="10"/>
  <c r="W836" i="10"/>
  <c r="L836" i="10"/>
  <c r="K836" i="10"/>
  <c r="J836" i="10"/>
  <c r="M836" i="10" s="1"/>
  <c r="I836" i="10"/>
  <c r="H836" i="10"/>
  <c r="G836" i="10"/>
  <c r="AU835" i="10"/>
  <c r="AM835" i="10"/>
  <c r="Y835" i="10"/>
  <c r="X835" i="10"/>
  <c r="W835" i="10"/>
  <c r="I835" i="10" s="1"/>
  <c r="H835" i="10"/>
  <c r="G835" i="10"/>
  <c r="AU834" i="10"/>
  <c r="AM834" i="10"/>
  <c r="Y834" i="10"/>
  <c r="X834" i="10"/>
  <c r="W834" i="10"/>
  <c r="L834" i="10"/>
  <c r="K834" i="10"/>
  <c r="J834" i="10"/>
  <c r="M834" i="10" s="1"/>
  <c r="I834" i="10"/>
  <c r="H834" i="10"/>
  <c r="G834" i="10"/>
  <c r="AU833" i="10"/>
  <c r="AM833" i="10"/>
  <c r="Y833" i="10"/>
  <c r="X833" i="10"/>
  <c r="W833" i="10"/>
  <c r="I833" i="10" s="1"/>
  <c r="H833" i="10"/>
  <c r="G833" i="10"/>
  <c r="AU832" i="10"/>
  <c r="AM832" i="10"/>
  <c r="Y832" i="10"/>
  <c r="X832" i="10"/>
  <c r="W832" i="10"/>
  <c r="J832" i="10"/>
  <c r="M832" i="10" s="1"/>
  <c r="I832" i="10"/>
  <c r="H832" i="10"/>
  <c r="G832" i="10"/>
  <c r="AU831" i="10"/>
  <c r="AM831" i="10"/>
  <c r="Y831" i="10"/>
  <c r="X831" i="10"/>
  <c r="W831" i="10"/>
  <c r="I831" i="10" s="1"/>
  <c r="H831" i="10"/>
  <c r="G831" i="10"/>
  <c r="AU830" i="10"/>
  <c r="AM830" i="10"/>
  <c r="Y830" i="10"/>
  <c r="X830" i="10"/>
  <c r="W830" i="10"/>
  <c r="J830" i="10"/>
  <c r="M830" i="10" s="1"/>
  <c r="I830" i="10"/>
  <c r="H830" i="10"/>
  <c r="G830" i="10"/>
  <c r="AU829" i="10"/>
  <c r="AM829" i="10"/>
  <c r="Y829" i="10"/>
  <c r="X829" i="10"/>
  <c r="W829" i="10"/>
  <c r="I829" i="10" s="1"/>
  <c r="H829" i="10"/>
  <c r="G829" i="10"/>
  <c r="AU828" i="10"/>
  <c r="AM828" i="10"/>
  <c r="Y828" i="10"/>
  <c r="X828" i="10"/>
  <c r="W828" i="10"/>
  <c r="L828" i="10"/>
  <c r="K828" i="10"/>
  <c r="J828" i="10"/>
  <c r="M828" i="10" s="1"/>
  <c r="I828" i="10"/>
  <c r="H828" i="10"/>
  <c r="G828" i="10"/>
  <c r="AU827" i="10"/>
  <c r="AM827" i="10"/>
  <c r="Y827" i="10"/>
  <c r="X827" i="10"/>
  <c r="W827" i="10"/>
  <c r="I827" i="10" s="1"/>
  <c r="H827" i="10"/>
  <c r="G827" i="10"/>
  <c r="AU826" i="10"/>
  <c r="AM826" i="10"/>
  <c r="Y826" i="10"/>
  <c r="X826" i="10"/>
  <c r="W826" i="10"/>
  <c r="J826" i="10"/>
  <c r="M826" i="10" s="1"/>
  <c r="I826" i="10"/>
  <c r="H826" i="10"/>
  <c r="G826" i="10"/>
  <c r="AU825" i="10"/>
  <c r="AM825" i="10"/>
  <c r="Y825" i="10"/>
  <c r="X825" i="10"/>
  <c r="W825" i="10"/>
  <c r="I825" i="10" s="1"/>
  <c r="H825" i="10"/>
  <c r="G825" i="10"/>
  <c r="AZ824" i="10"/>
  <c r="AU824" i="10"/>
  <c r="AR824" i="10"/>
  <c r="AM824" i="10"/>
  <c r="Z824" i="10"/>
  <c r="X824" i="10"/>
  <c r="W824" i="10"/>
  <c r="I824" i="10" s="1"/>
  <c r="H824" i="10"/>
  <c r="G824" i="10"/>
  <c r="AZ823" i="10"/>
  <c r="AU823" i="10"/>
  <c r="AR823" i="10"/>
  <c r="AM823" i="10"/>
  <c r="Z823" i="10"/>
  <c r="X823" i="10"/>
  <c r="W823" i="10"/>
  <c r="K823" i="10"/>
  <c r="J823" i="10"/>
  <c r="M823" i="10" s="1"/>
  <c r="I823" i="10"/>
  <c r="H823" i="10"/>
  <c r="G823" i="10"/>
  <c r="AZ822" i="10"/>
  <c r="AU822" i="10"/>
  <c r="AR822" i="10"/>
  <c r="AM822" i="10"/>
  <c r="Z822" i="10"/>
  <c r="X822" i="10"/>
  <c r="W822" i="10"/>
  <c r="J822" i="10"/>
  <c r="K822" i="10" s="1"/>
  <c r="I822" i="10"/>
  <c r="H822" i="10"/>
  <c r="G822" i="10"/>
  <c r="AZ821" i="10"/>
  <c r="AU821" i="10"/>
  <c r="AR821" i="10"/>
  <c r="AM821" i="10"/>
  <c r="Z821" i="10"/>
  <c r="X821" i="10"/>
  <c r="W821" i="10"/>
  <c r="I821" i="10" s="1"/>
  <c r="H821" i="10"/>
  <c r="G821" i="10"/>
  <c r="AZ820" i="10"/>
  <c r="AU820" i="10"/>
  <c r="AR820" i="10"/>
  <c r="AM820" i="10"/>
  <c r="Z820" i="10"/>
  <c r="X820" i="10"/>
  <c r="W820" i="10"/>
  <c r="J820" i="10"/>
  <c r="K820" i="10" s="1"/>
  <c r="I820" i="10"/>
  <c r="M820" i="10" s="1"/>
  <c r="H820" i="10"/>
  <c r="G820" i="10"/>
  <c r="AZ819" i="10"/>
  <c r="AU819" i="10"/>
  <c r="AR819" i="10"/>
  <c r="AM819" i="10"/>
  <c r="Z819" i="10"/>
  <c r="X819" i="10"/>
  <c r="W819" i="10"/>
  <c r="L819" i="10"/>
  <c r="K819" i="10"/>
  <c r="J819" i="10"/>
  <c r="M819" i="10" s="1"/>
  <c r="I819" i="10"/>
  <c r="H819" i="10"/>
  <c r="G819" i="10"/>
  <c r="AZ818" i="10"/>
  <c r="AU818" i="10"/>
  <c r="AR818" i="10"/>
  <c r="AM818" i="10"/>
  <c r="Z818" i="10"/>
  <c r="X818" i="10"/>
  <c r="W818" i="10"/>
  <c r="J818" i="10"/>
  <c r="K818" i="10" s="1"/>
  <c r="I818" i="10"/>
  <c r="H818" i="10"/>
  <c r="G818" i="10"/>
  <c r="AZ817" i="10"/>
  <c r="AU817" i="10"/>
  <c r="AR817" i="10"/>
  <c r="AM817" i="10"/>
  <c r="Z817" i="10"/>
  <c r="X817" i="10"/>
  <c r="W817" i="10"/>
  <c r="I817" i="10" s="1"/>
  <c r="H817" i="10"/>
  <c r="G817" i="10"/>
  <c r="AZ816" i="10"/>
  <c r="AU816" i="10"/>
  <c r="AR816" i="10"/>
  <c r="AM816" i="10"/>
  <c r="Z816" i="10"/>
  <c r="X816" i="10"/>
  <c r="W816" i="10"/>
  <c r="J816" i="10"/>
  <c r="K816" i="10" s="1"/>
  <c r="I816" i="10"/>
  <c r="M816" i="10" s="1"/>
  <c r="H816" i="10"/>
  <c r="G816" i="10"/>
  <c r="AZ815" i="10"/>
  <c r="AU815" i="10"/>
  <c r="AR815" i="10"/>
  <c r="AM815" i="10"/>
  <c r="Z815" i="10"/>
  <c r="X815" i="10"/>
  <c r="W815" i="10"/>
  <c r="M815" i="10"/>
  <c r="L815" i="10"/>
  <c r="J815" i="10"/>
  <c r="K815" i="10" s="1"/>
  <c r="I815" i="10"/>
  <c r="H815" i="10"/>
  <c r="G815" i="10"/>
  <c r="AZ814" i="10"/>
  <c r="AU814" i="10"/>
  <c r="AR814" i="10"/>
  <c r="AM814" i="10"/>
  <c r="Z814" i="10"/>
  <c r="X814" i="10"/>
  <c r="W814" i="10"/>
  <c r="I814" i="10" s="1"/>
  <c r="H814" i="10"/>
  <c r="G814" i="10"/>
  <c r="AZ813" i="10"/>
  <c r="AU813" i="10"/>
  <c r="AR813" i="10"/>
  <c r="AM813" i="10"/>
  <c r="Z813" i="10"/>
  <c r="X813" i="10"/>
  <c r="W813" i="10"/>
  <c r="I813" i="10"/>
  <c r="H813" i="10"/>
  <c r="G813" i="10"/>
  <c r="AM812" i="10"/>
  <c r="Y812" i="10"/>
  <c r="Z812" i="10" s="1"/>
  <c r="X812" i="10"/>
  <c r="W812" i="10"/>
  <c r="J812" i="10"/>
  <c r="M812" i="10" s="1"/>
  <c r="I812" i="10"/>
  <c r="H812" i="10"/>
  <c r="G812" i="10"/>
  <c r="AM811" i="10"/>
  <c r="Y811" i="10"/>
  <c r="Z811" i="10" s="1"/>
  <c r="X811" i="10"/>
  <c r="W811" i="10"/>
  <c r="I811" i="10" s="1"/>
  <c r="H811" i="10"/>
  <c r="G811" i="10"/>
  <c r="AM810" i="10"/>
  <c r="Y810" i="10"/>
  <c r="Z810" i="10" s="1"/>
  <c r="X810" i="10"/>
  <c r="W810" i="10"/>
  <c r="J810" i="10"/>
  <c r="M810" i="10" s="1"/>
  <c r="I810" i="10"/>
  <c r="H810" i="10"/>
  <c r="G810" i="10"/>
  <c r="AM809" i="10"/>
  <c r="Z809" i="10"/>
  <c r="Y809" i="10"/>
  <c r="X809" i="10"/>
  <c r="W809" i="10"/>
  <c r="I809" i="10"/>
  <c r="H809" i="10"/>
  <c r="G809" i="10"/>
  <c r="AM808" i="10"/>
  <c r="Y808" i="10"/>
  <c r="Z808" i="10" s="1"/>
  <c r="X808" i="10"/>
  <c r="W808" i="10"/>
  <c r="M808" i="10"/>
  <c r="L808" i="10"/>
  <c r="K808" i="10"/>
  <c r="J808" i="10"/>
  <c r="I808" i="10"/>
  <c r="H808" i="10"/>
  <c r="G808" i="10"/>
  <c r="AM807" i="10"/>
  <c r="Y807" i="10"/>
  <c r="Z807" i="10" s="1"/>
  <c r="X807" i="10"/>
  <c r="W807" i="10"/>
  <c r="I807" i="10"/>
  <c r="H807" i="10"/>
  <c r="G807" i="10"/>
  <c r="AM806" i="10"/>
  <c r="Y806" i="10"/>
  <c r="Z806" i="10" s="1"/>
  <c r="X806" i="10"/>
  <c r="W806" i="10"/>
  <c r="J806" i="10"/>
  <c r="M806" i="10" s="1"/>
  <c r="I806" i="10"/>
  <c r="H806" i="10"/>
  <c r="G806" i="10"/>
  <c r="AM805" i="10"/>
  <c r="Y805" i="10"/>
  <c r="Z805" i="10" s="1"/>
  <c r="X805" i="10"/>
  <c r="W805" i="10"/>
  <c r="I805" i="10" s="1"/>
  <c r="H805" i="10"/>
  <c r="G805" i="10"/>
  <c r="AM804" i="10"/>
  <c r="Y804" i="10"/>
  <c r="Z804" i="10" s="1"/>
  <c r="X804" i="10"/>
  <c r="W804" i="10"/>
  <c r="M804" i="10"/>
  <c r="L804" i="10"/>
  <c r="J804" i="10"/>
  <c r="K804" i="10" s="1"/>
  <c r="I804" i="10"/>
  <c r="H804" i="10"/>
  <c r="G804" i="10"/>
  <c r="AM803" i="10"/>
  <c r="Z803" i="10"/>
  <c r="Y803" i="10"/>
  <c r="X803" i="10"/>
  <c r="W803" i="10"/>
  <c r="I803" i="10"/>
  <c r="H803" i="10"/>
  <c r="G803" i="10"/>
  <c r="AM802" i="10"/>
  <c r="Y802" i="10"/>
  <c r="Z802" i="10" s="1"/>
  <c r="X802" i="10"/>
  <c r="W802" i="10"/>
  <c r="K802" i="10"/>
  <c r="J802" i="10"/>
  <c r="M802" i="10" s="1"/>
  <c r="I802" i="10"/>
  <c r="H802" i="10"/>
  <c r="G802" i="10"/>
  <c r="AM801" i="10"/>
  <c r="Y801" i="10"/>
  <c r="Z801" i="10" s="1"/>
  <c r="X801" i="10"/>
  <c r="W801" i="10"/>
  <c r="I801" i="10" s="1"/>
  <c r="H801" i="10"/>
  <c r="G801" i="10"/>
  <c r="AM800" i="10"/>
  <c r="Y800" i="10"/>
  <c r="Z800" i="10" s="1"/>
  <c r="X800" i="10"/>
  <c r="W800" i="10"/>
  <c r="I800" i="10"/>
  <c r="H800" i="10"/>
  <c r="G800" i="10"/>
  <c r="AM799" i="10"/>
  <c r="Y799" i="10"/>
  <c r="Z799" i="10" s="1"/>
  <c r="X799" i="10"/>
  <c r="W799" i="10"/>
  <c r="I799" i="10" s="1"/>
  <c r="H799" i="10"/>
  <c r="G799" i="10"/>
  <c r="AM798" i="10"/>
  <c r="Y798" i="10"/>
  <c r="Z798" i="10" s="1"/>
  <c r="X798" i="10"/>
  <c r="W798" i="10"/>
  <c r="J798" i="10"/>
  <c r="K798" i="10" s="1"/>
  <c r="I798" i="10"/>
  <c r="M798" i="10" s="1"/>
  <c r="H798" i="10"/>
  <c r="G798" i="10"/>
  <c r="BN797" i="10"/>
  <c r="AM797" i="10"/>
  <c r="X797" i="10"/>
  <c r="W797" i="10"/>
  <c r="I797" i="10" s="1"/>
  <c r="J797" i="10"/>
  <c r="M797" i="10" s="1"/>
  <c r="H797" i="10"/>
  <c r="G797" i="10"/>
  <c r="E797" i="10"/>
  <c r="BN796" i="10"/>
  <c r="AM796" i="10"/>
  <c r="X796" i="10"/>
  <c r="W796" i="10"/>
  <c r="I796" i="10" s="1"/>
  <c r="E796" i="10"/>
  <c r="H796" i="10" s="1"/>
  <c r="BN795" i="10"/>
  <c r="AM795" i="10"/>
  <c r="X795" i="10"/>
  <c r="W795" i="10"/>
  <c r="I795" i="10" s="1"/>
  <c r="M795" i="10" s="1"/>
  <c r="J795" i="10"/>
  <c r="K795" i="10" s="1"/>
  <c r="G795" i="10"/>
  <c r="E795" i="10"/>
  <c r="H795" i="10" s="1"/>
  <c r="BN794" i="10"/>
  <c r="AM794" i="10"/>
  <c r="X794" i="10"/>
  <c r="W794" i="10"/>
  <c r="J794" i="10"/>
  <c r="K794" i="10" s="1"/>
  <c r="I794" i="10"/>
  <c r="H794" i="10"/>
  <c r="E794" i="10"/>
  <c r="G794" i="10" s="1"/>
  <c r="BN793" i="10"/>
  <c r="AM793" i="10"/>
  <c r="X793" i="10"/>
  <c r="W793" i="10"/>
  <c r="I793" i="10" s="1"/>
  <c r="E793" i="10"/>
  <c r="H793" i="10" s="1"/>
  <c r="BN792" i="10"/>
  <c r="AM792" i="10"/>
  <c r="X792" i="10"/>
  <c r="W792" i="10"/>
  <c r="I792" i="10"/>
  <c r="H792" i="10"/>
  <c r="G792" i="10"/>
  <c r="E792" i="10"/>
  <c r="BN791" i="10"/>
  <c r="AM791" i="10"/>
  <c r="X791" i="10"/>
  <c r="W791" i="10"/>
  <c r="I791" i="10" s="1"/>
  <c r="J791" i="10" s="1"/>
  <c r="E791" i="10"/>
  <c r="H791" i="10" s="1"/>
  <c r="BN790" i="10"/>
  <c r="AM790" i="10"/>
  <c r="X790" i="10"/>
  <c r="W790" i="10"/>
  <c r="I790" i="10" s="1"/>
  <c r="E790" i="10"/>
  <c r="H790" i="10" s="1"/>
  <c r="BN789" i="10"/>
  <c r="AM789" i="10"/>
  <c r="X789" i="10"/>
  <c r="W789" i="10"/>
  <c r="I789" i="10" s="1"/>
  <c r="J789" i="10"/>
  <c r="M789" i="10" s="1"/>
  <c r="H789" i="10"/>
  <c r="G789" i="10"/>
  <c r="E789" i="10"/>
  <c r="BN788" i="10"/>
  <c r="AM788" i="10"/>
  <c r="X788" i="10"/>
  <c r="W788" i="10"/>
  <c r="I788" i="10" s="1"/>
  <c r="E788" i="10"/>
  <c r="H788" i="10" s="1"/>
  <c r="BN787" i="10"/>
  <c r="AM787" i="10"/>
  <c r="X787" i="10"/>
  <c r="W787" i="10"/>
  <c r="I787" i="10" s="1"/>
  <c r="M787" i="10" s="1"/>
  <c r="J787" i="10"/>
  <c r="K787" i="10" s="1"/>
  <c r="G787" i="10"/>
  <c r="E787" i="10"/>
  <c r="H787" i="10" s="1"/>
  <c r="AM786" i="10"/>
  <c r="Z786" i="10"/>
  <c r="X786" i="10"/>
  <c r="W786" i="10"/>
  <c r="J786" i="10"/>
  <c r="K786" i="10" s="1"/>
  <c r="I786" i="10"/>
  <c r="H786" i="10"/>
  <c r="G786" i="10"/>
  <c r="F786" i="10"/>
  <c r="AM785" i="10"/>
  <c r="Z785" i="10"/>
  <c r="X785" i="10"/>
  <c r="W785" i="10"/>
  <c r="H785" i="10"/>
  <c r="G785" i="10"/>
  <c r="F785" i="10"/>
  <c r="AM784" i="10"/>
  <c r="Z784" i="10"/>
  <c r="X784" i="10"/>
  <c r="W784" i="10"/>
  <c r="I784" i="10"/>
  <c r="H784" i="10"/>
  <c r="G784" i="10"/>
  <c r="F784" i="10"/>
  <c r="AM783" i="10"/>
  <c r="Z783" i="10"/>
  <c r="X783" i="10"/>
  <c r="W783" i="10"/>
  <c r="H783" i="10"/>
  <c r="G783" i="10"/>
  <c r="F783" i="10"/>
  <c r="I783" i="10" s="1"/>
  <c r="J783" i="10" s="1"/>
  <c r="AM782" i="10"/>
  <c r="Z782" i="10"/>
  <c r="X782" i="10"/>
  <c r="W782" i="10"/>
  <c r="H782" i="10"/>
  <c r="G782" i="10"/>
  <c r="F782" i="10"/>
  <c r="I782" i="10" s="1"/>
  <c r="AM781" i="10"/>
  <c r="Z781" i="10"/>
  <c r="X781" i="10"/>
  <c r="W781" i="10"/>
  <c r="J781" i="10"/>
  <c r="M781" i="10" s="1"/>
  <c r="H781" i="10"/>
  <c r="G781" i="10"/>
  <c r="F781" i="10"/>
  <c r="I781" i="10" s="1"/>
  <c r="AM780" i="10"/>
  <c r="Z780" i="10"/>
  <c r="X780" i="10"/>
  <c r="W780" i="10"/>
  <c r="H780" i="10"/>
  <c r="G780" i="10"/>
  <c r="F780" i="10"/>
  <c r="I780" i="10" s="1"/>
  <c r="AM779" i="10"/>
  <c r="Z779" i="10"/>
  <c r="X779" i="10"/>
  <c r="W779" i="10"/>
  <c r="H779" i="10"/>
  <c r="G779" i="10"/>
  <c r="F779" i="10"/>
  <c r="I779" i="10" s="1"/>
  <c r="AM778" i="10"/>
  <c r="X778" i="10"/>
  <c r="W778" i="10"/>
  <c r="I778" i="10"/>
  <c r="H778" i="10"/>
  <c r="G778" i="10"/>
  <c r="F778" i="10"/>
  <c r="AM777" i="10"/>
  <c r="Z777" i="10"/>
  <c r="X777" i="10"/>
  <c r="W777" i="10"/>
  <c r="H777" i="10"/>
  <c r="G777" i="10"/>
  <c r="F777" i="10"/>
  <c r="I777" i="10" s="1"/>
  <c r="AM776" i="10"/>
  <c r="Z776" i="10"/>
  <c r="X776" i="10"/>
  <c r="W776" i="10"/>
  <c r="J776" i="10"/>
  <c r="K776" i="10" s="1"/>
  <c r="I776" i="10"/>
  <c r="H776" i="10"/>
  <c r="G776" i="10"/>
  <c r="F776" i="10"/>
  <c r="AM775" i="10"/>
  <c r="Z775" i="10"/>
  <c r="X775" i="10"/>
  <c r="W775" i="10"/>
  <c r="H775" i="10"/>
  <c r="G775" i="10"/>
  <c r="F775" i="10"/>
  <c r="I775" i="10" s="1"/>
  <c r="AM774" i="10"/>
  <c r="Z774" i="10"/>
  <c r="X774" i="10"/>
  <c r="W774" i="10"/>
  <c r="H774" i="10"/>
  <c r="G774" i="10"/>
  <c r="F774" i="10"/>
  <c r="I774" i="10" s="1"/>
  <c r="AM773" i="10"/>
  <c r="Z773" i="10"/>
  <c r="X773" i="10"/>
  <c r="W773" i="10"/>
  <c r="H773" i="10"/>
  <c r="G773" i="10"/>
  <c r="F773" i="10"/>
  <c r="I773" i="10" s="1"/>
  <c r="AM772" i="10"/>
  <c r="Z772" i="10"/>
  <c r="X772" i="10"/>
  <c r="W772" i="10"/>
  <c r="H772" i="10"/>
  <c r="G772" i="10"/>
  <c r="F772" i="10"/>
  <c r="I772" i="10" s="1"/>
  <c r="AZ771" i="10"/>
  <c r="AM771" i="10"/>
  <c r="Z771" i="10"/>
  <c r="Y771" i="10"/>
  <c r="X771" i="10"/>
  <c r="W771" i="10"/>
  <c r="H771" i="10"/>
  <c r="G771" i="10"/>
  <c r="F771" i="10"/>
  <c r="I771" i="10" s="1"/>
  <c r="AZ770" i="10"/>
  <c r="AM770" i="10"/>
  <c r="Z770" i="10"/>
  <c r="Y770" i="10"/>
  <c r="X770" i="10"/>
  <c r="W770" i="10"/>
  <c r="I770" i="10"/>
  <c r="H770" i="10"/>
  <c r="G770" i="10"/>
  <c r="F770" i="10"/>
  <c r="AZ769" i="10"/>
  <c r="AM769" i="10"/>
  <c r="Z769" i="10"/>
  <c r="Y769" i="10"/>
  <c r="X769" i="10"/>
  <c r="W769" i="10"/>
  <c r="J769" i="10"/>
  <c r="K769" i="10" s="1"/>
  <c r="I769" i="10"/>
  <c r="M769" i="10" s="1"/>
  <c r="H769" i="10"/>
  <c r="G769" i="10"/>
  <c r="F769" i="10"/>
  <c r="AZ768" i="10"/>
  <c r="AM768" i="10"/>
  <c r="Y768" i="10"/>
  <c r="Z768" i="10" s="1"/>
  <c r="X768" i="10"/>
  <c r="W768" i="10"/>
  <c r="H768" i="10"/>
  <c r="G768" i="10"/>
  <c r="F768" i="10"/>
  <c r="I768" i="10" s="1"/>
  <c r="BN767" i="10"/>
  <c r="AZ767" i="10"/>
  <c r="AU767" i="10"/>
  <c r="AP767" i="10"/>
  <c r="AM767" i="10"/>
  <c r="X767" i="10"/>
  <c r="W767" i="10"/>
  <c r="J767" i="10"/>
  <c r="K767" i="10" s="1"/>
  <c r="I767" i="10"/>
  <c r="M767" i="10" s="1"/>
  <c r="H767" i="10"/>
  <c r="G767" i="10"/>
  <c r="F767" i="10"/>
  <c r="BN766" i="10"/>
  <c r="AZ766" i="10"/>
  <c r="AU766" i="10"/>
  <c r="AP766" i="10"/>
  <c r="AM766" i="10"/>
  <c r="X766" i="10"/>
  <c r="W766" i="10"/>
  <c r="H766" i="10"/>
  <c r="G766" i="10"/>
  <c r="F766" i="10"/>
  <c r="I766" i="10" s="1"/>
  <c r="BN765" i="10"/>
  <c r="AZ765" i="10"/>
  <c r="AP765" i="10"/>
  <c r="AM765" i="10"/>
  <c r="X765" i="10"/>
  <c r="W765" i="10"/>
  <c r="H765" i="10"/>
  <c r="G765" i="10"/>
  <c r="F765" i="10"/>
  <c r="BN764" i="10"/>
  <c r="AZ764" i="10"/>
  <c r="AP764" i="10"/>
  <c r="AM764" i="10"/>
  <c r="X764" i="10"/>
  <c r="W764" i="10"/>
  <c r="L764" i="10"/>
  <c r="K764" i="10"/>
  <c r="J764" i="10"/>
  <c r="M764" i="10" s="1"/>
  <c r="I764" i="10"/>
  <c r="H764" i="10"/>
  <c r="G764" i="10"/>
  <c r="F764" i="10"/>
  <c r="BN763" i="10"/>
  <c r="AZ763" i="10"/>
  <c r="AU763" i="10"/>
  <c r="AP763" i="10"/>
  <c r="AM763" i="10"/>
  <c r="X763" i="10"/>
  <c r="W763" i="10"/>
  <c r="J763" i="10"/>
  <c r="K763" i="10" s="1"/>
  <c r="I763" i="10"/>
  <c r="H763" i="10"/>
  <c r="G763" i="10"/>
  <c r="F763" i="10"/>
  <c r="BN762" i="10"/>
  <c r="AZ762" i="10"/>
  <c r="AP762" i="10"/>
  <c r="AM762" i="10"/>
  <c r="X762" i="10"/>
  <c r="W762" i="10"/>
  <c r="H762" i="10"/>
  <c r="G762" i="10"/>
  <c r="F762" i="10"/>
  <c r="I762" i="10" s="1"/>
  <c r="BN761" i="10"/>
  <c r="AZ761" i="10"/>
  <c r="AP761" i="10"/>
  <c r="AM761" i="10"/>
  <c r="X761" i="10"/>
  <c r="W761" i="10"/>
  <c r="H761" i="10"/>
  <c r="G761" i="10"/>
  <c r="F761" i="10"/>
  <c r="I761" i="10" s="1"/>
  <c r="J761" i="10" s="1"/>
  <c r="M761" i="10" s="1"/>
  <c r="BN760" i="10"/>
  <c r="AZ760" i="10"/>
  <c r="AP760" i="10"/>
  <c r="AM760" i="10"/>
  <c r="X760" i="10"/>
  <c r="W760" i="10"/>
  <c r="J760" i="10"/>
  <c r="K760" i="10" s="1"/>
  <c r="I760" i="10"/>
  <c r="H760" i="10"/>
  <c r="G760" i="10"/>
  <c r="F760" i="10"/>
  <c r="BN759" i="10"/>
  <c r="AZ759" i="10"/>
  <c r="AP759" i="10"/>
  <c r="AM759" i="10"/>
  <c r="X759" i="10"/>
  <c r="W759" i="10"/>
  <c r="H759" i="10"/>
  <c r="G759" i="10"/>
  <c r="F759" i="10"/>
  <c r="I759" i="10" s="1"/>
  <c r="BN758" i="10"/>
  <c r="AZ758" i="10"/>
  <c r="AU758" i="10"/>
  <c r="AP758" i="10"/>
  <c r="AM758" i="10"/>
  <c r="X758" i="10"/>
  <c r="W758" i="10"/>
  <c r="H758" i="10"/>
  <c r="G758" i="10"/>
  <c r="F758" i="10"/>
  <c r="I758" i="10" s="1"/>
  <c r="BA757" i="10"/>
  <c r="AV757" i="10"/>
  <c r="AT757" i="10"/>
  <c r="AM757" i="10"/>
  <c r="Y757" i="10"/>
  <c r="Z757" i="10" s="1"/>
  <c r="X757" i="10"/>
  <c r="W757" i="10"/>
  <c r="H757" i="10"/>
  <c r="G757" i="10"/>
  <c r="F757" i="10"/>
  <c r="I757" i="10" s="1"/>
  <c r="BA756" i="10"/>
  <c r="AV756" i="10"/>
  <c r="AT756" i="10"/>
  <c r="AM756" i="10"/>
  <c r="Y756" i="10"/>
  <c r="Z756" i="10" s="1"/>
  <c r="X756" i="10"/>
  <c r="W756" i="10"/>
  <c r="H756" i="10"/>
  <c r="G756" i="10"/>
  <c r="F756" i="10"/>
  <c r="I756" i="10" s="1"/>
  <c r="BA755" i="10"/>
  <c r="AV755" i="10"/>
  <c r="AT755" i="10"/>
  <c r="AM755" i="10"/>
  <c r="Z755" i="10"/>
  <c r="Y755" i="10"/>
  <c r="X755" i="10"/>
  <c r="W755" i="10"/>
  <c r="J755" i="10"/>
  <c r="K755" i="10" s="1"/>
  <c r="I755" i="10"/>
  <c r="H755" i="10"/>
  <c r="G755" i="10"/>
  <c r="F755" i="10"/>
  <c r="BA754" i="10"/>
  <c r="AV754" i="10"/>
  <c r="AT754" i="10"/>
  <c r="AM754" i="10"/>
  <c r="Z754" i="10"/>
  <c r="Y754" i="10"/>
  <c r="X754" i="10"/>
  <c r="W754" i="10"/>
  <c r="I754" i="10"/>
  <c r="H754" i="10"/>
  <c r="G754" i="10"/>
  <c r="F754" i="10"/>
  <c r="BA753" i="10"/>
  <c r="AV753" i="10"/>
  <c r="AT753" i="10"/>
  <c r="AM753" i="10"/>
  <c r="Z753" i="10"/>
  <c r="Y753" i="10"/>
  <c r="X753" i="10"/>
  <c r="W753" i="10"/>
  <c r="J753" i="10"/>
  <c r="K753" i="10" s="1"/>
  <c r="I753" i="10"/>
  <c r="H753" i="10"/>
  <c r="G753" i="10"/>
  <c r="F753" i="10"/>
  <c r="BA752" i="10"/>
  <c r="AV752" i="10"/>
  <c r="AT752" i="10"/>
  <c r="AM752" i="10"/>
  <c r="Y752" i="10"/>
  <c r="Z752" i="10" s="1"/>
  <c r="X752" i="10"/>
  <c r="W752" i="10"/>
  <c r="H752" i="10"/>
  <c r="G752" i="10"/>
  <c r="F752" i="10"/>
  <c r="I752" i="10" s="1"/>
  <c r="BA751" i="10"/>
  <c r="AV751" i="10"/>
  <c r="AT751" i="10"/>
  <c r="AM751" i="10"/>
  <c r="Z751" i="10"/>
  <c r="Y751" i="10"/>
  <c r="X751" i="10"/>
  <c r="W751" i="10"/>
  <c r="H751" i="10"/>
  <c r="G751" i="10"/>
  <c r="F751" i="10"/>
  <c r="I751" i="10" s="1"/>
  <c r="BA750" i="10"/>
  <c r="AV750" i="10"/>
  <c r="AT750" i="10"/>
  <c r="AM750" i="10"/>
  <c r="Y750" i="10"/>
  <c r="Z750" i="10" s="1"/>
  <c r="X750" i="10"/>
  <c r="W750" i="10"/>
  <c r="H750" i="10"/>
  <c r="G750" i="10"/>
  <c r="F750" i="10"/>
  <c r="BA749" i="10"/>
  <c r="AV749" i="10"/>
  <c r="AT749" i="10"/>
  <c r="AM749" i="10"/>
  <c r="Y749" i="10"/>
  <c r="Z749" i="10" s="1"/>
  <c r="X749" i="10"/>
  <c r="W749" i="10"/>
  <c r="H749" i="10"/>
  <c r="G749" i="10"/>
  <c r="F749" i="10"/>
  <c r="I749" i="10" s="1"/>
  <c r="AR748" i="10"/>
  <c r="AM748" i="10"/>
  <c r="Z748" i="10"/>
  <c r="X748" i="10"/>
  <c r="W748" i="10"/>
  <c r="L748" i="10"/>
  <c r="K748" i="10"/>
  <c r="J748" i="10"/>
  <c r="H748" i="10"/>
  <c r="G748" i="10"/>
  <c r="F748" i="10"/>
  <c r="I748" i="10" s="1"/>
  <c r="M748" i="10" s="1"/>
  <c r="AR747" i="10"/>
  <c r="AM747" i="10"/>
  <c r="Z747" i="10"/>
  <c r="X747" i="10"/>
  <c r="W747" i="10"/>
  <c r="I747" i="10"/>
  <c r="J747" i="10" s="1"/>
  <c r="H747" i="10"/>
  <c r="G747" i="10"/>
  <c r="F747" i="10"/>
  <c r="AR746" i="10"/>
  <c r="AM746" i="10"/>
  <c r="Z746" i="10"/>
  <c r="X746" i="10"/>
  <c r="W746" i="10"/>
  <c r="I746" i="10"/>
  <c r="H746" i="10"/>
  <c r="G746" i="10"/>
  <c r="F746" i="10"/>
  <c r="AR745" i="10"/>
  <c r="AM745" i="10"/>
  <c r="Z745" i="10"/>
  <c r="X745" i="10"/>
  <c r="W745" i="10"/>
  <c r="H745" i="10"/>
  <c r="G745" i="10"/>
  <c r="F745" i="10"/>
  <c r="AR744" i="10"/>
  <c r="AM744" i="10"/>
  <c r="Z744" i="10"/>
  <c r="X744" i="10"/>
  <c r="W744" i="10"/>
  <c r="J744" i="10"/>
  <c r="K744" i="10" s="1"/>
  <c r="I744" i="10"/>
  <c r="H744" i="10"/>
  <c r="G744" i="10"/>
  <c r="F744" i="10"/>
  <c r="AR743" i="10"/>
  <c r="AM743" i="10"/>
  <c r="Z743" i="10"/>
  <c r="X743" i="10"/>
  <c r="W743" i="10"/>
  <c r="H743" i="10"/>
  <c r="G743" i="10"/>
  <c r="F743" i="10"/>
  <c r="I743" i="10" s="1"/>
  <c r="AR742" i="10"/>
  <c r="AM742" i="10"/>
  <c r="Z742" i="10"/>
  <c r="X742" i="10"/>
  <c r="W742" i="10"/>
  <c r="H742" i="10"/>
  <c r="G742" i="10"/>
  <c r="F742" i="10"/>
  <c r="I742" i="10" s="1"/>
  <c r="AR741" i="10"/>
  <c r="AM741" i="10"/>
  <c r="Z741" i="10"/>
  <c r="X741" i="10"/>
  <c r="W741" i="10"/>
  <c r="J741" i="10"/>
  <c r="K741" i="10" s="1"/>
  <c r="I741" i="10"/>
  <c r="M741" i="10" s="1"/>
  <c r="H741" i="10"/>
  <c r="G741" i="10"/>
  <c r="F741" i="10"/>
  <c r="AR740" i="10"/>
  <c r="AM740" i="10"/>
  <c r="Z740" i="10"/>
  <c r="X740" i="10"/>
  <c r="W740" i="10"/>
  <c r="H740" i="10"/>
  <c r="G740" i="10"/>
  <c r="F740" i="10"/>
  <c r="I740" i="10" s="1"/>
  <c r="AR739" i="10"/>
  <c r="AM739" i="10"/>
  <c r="Z739" i="10"/>
  <c r="X739" i="10"/>
  <c r="W739" i="10"/>
  <c r="J739" i="10"/>
  <c r="K739" i="10" s="1"/>
  <c r="I739" i="10"/>
  <c r="H739" i="10"/>
  <c r="G739" i="10"/>
  <c r="F739" i="10"/>
  <c r="AR738" i="10"/>
  <c r="AM738" i="10"/>
  <c r="Z738" i="10"/>
  <c r="X738" i="10"/>
  <c r="W738" i="10"/>
  <c r="H738" i="10"/>
  <c r="G738" i="10"/>
  <c r="F738" i="10"/>
  <c r="I738" i="10" s="1"/>
  <c r="AR737" i="10"/>
  <c r="AM737" i="10"/>
  <c r="Z737" i="10"/>
  <c r="X737" i="10"/>
  <c r="W737" i="10"/>
  <c r="H737" i="10"/>
  <c r="G737" i="10"/>
  <c r="F737" i="10"/>
  <c r="I737" i="10" s="1"/>
  <c r="AR736" i="10"/>
  <c r="AM736" i="10"/>
  <c r="Z736" i="10"/>
  <c r="X736" i="10"/>
  <c r="W736" i="10"/>
  <c r="I736" i="10"/>
  <c r="H736" i="10"/>
  <c r="G736" i="10"/>
  <c r="F736" i="10"/>
  <c r="AR735" i="10"/>
  <c r="AM735" i="10"/>
  <c r="Z735" i="10"/>
  <c r="X735" i="10"/>
  <c r="W735" i="10"/>
  <c r="H735" i="10"/>
  <c r="G735" i="10"/>
  <c r="F735" i="10"/>
  <c r="BN734" i="10"/>
  <c r="AZ734" i="10"/>
  <c r="AV734" i="10"/>
  <c r="AT734" i="10"/>
  <c r="AM734" i="10"/>
  <c r="X734" i="10"/>
  <c r="W734" i="10"/>
  <c r="I734" i="10" s="1"/>
  <c r="H734" i="10"/>
  <c r="G734" i="10"/>
  <c r="BN733" i="10"/>
  <c r="AZ733" i="10"/>
  <c r="AV733" i="10"/>
  <c r="AT733" i="10"/>
  <c r="AM733" i="10"/>
  <c r="X733" i="10"/>
  <c r="W733" i="10"/>
  <c r="I733" i="10" s="1"/>
  <c r="H733" i="10"/>
  <c r="G733" i="10"/>
  <c r="BN732" i="10"/>
  <c r="AZ732" i="10"/>
  <c r="AV732" i="10"/>
  <c r="AT732" i="10"/>
  <c r="AM732" i="10"/>
  <c r="X732" i="10"/>
  <c r="W732" i="10"/>
  <c r="I732" i="10"/>
  <c r="H732" i="10"/>
  <c r="G732" i="10"/>
  <c r="BN731" i="10"/>
  <c r="AZ731" i="10"/>
  <c r="AV731" i="10"/>
  <c r="AT731" i="10"/>
  <c r="AM731" i="10"/>
  <c r="X731" i="10"/>
  <c r="W731" i="10"/>
  <c r="I731" i="10" s="1"/>
  <c r="H731" i="10"/>
  <c r="G731" i="10"/>
  <c r="BN730" i="10"/>
  <c r="AZ730" i="10"/>
  <c r="AV730" i="10"/>
  <c r="AT730" i="10"/>
  <c r="AM730" i="10"/>
  <c r="X730" i="10"/>
  <c r="W730" i="10"/>
  <c r="I730" i="10" s="1"/>
  <c r="H730" i="10"/>
  <c r="G730" i="10"/>
  <c r="BN729" i="10"/>
  <c r="AZ729" i="10"/>
  <c r="AV729" i="10"/>
  <c r="AT729" i="10"/>
  <c r="AM729" i="10"/>
  <c r="X729" i="10"/>
  <c r="W729" i="10"/>
  <c r="M729" i="10"/>
  <c r="K729" i="10"/>
  <c r="J729" i="10"/>
  <c r="L729" i="10" s="1"/>
  <c r="I729" i="10"/>
  <c r="H729" i="10"/>
  <c r="G729" i="10"/>
  <c r="BN728" i="10"/>
  <c r="AZ728" i="10"/>
  <c r="AV728" i="10"/>
  <c r="AT728" i="10"/>
  <c r="AM728" i="10"/>
  <c r="X728" i="10"/>
  <c r="W728" i="10"/>
  <c r="I728" i="10"/>
  <c r="H728" i="10"/>
  <c r="G728" i="10"/>
  <c r="BN727" i="10"/>
  <c r="AZ727" i="10"/>
  <c r="AV727" i="10"/>
  <c r="AT727" i="10"/>
  <c r="AM727" i="10"/>
  <c r="X727" i="10"/>
  <c r="W727" i="10"/>
  <c r="I727" i="10"/>
  <c r="H727" i="10"/>
  <c r="G727" i="10"/>
  <c r="BN726" i="10"/>
  <c r="AZ726" i="10"/>
  <c r="AV726" i="10"/>
  <c r="AT726" i="10"/>
  <c r="AM726" i="10"/>
  <c r="X726" i="10"/>
  <c r="W726" i="10"/>
  <c r="I726" i="10" s="1"/>
  <c r="H726" i="10"/>
  <c r="G726" i="10"/>
  <c r="BN725" i="10"/>
  <c r="AZ725" i="10"/>
  <c r="AV725" i="10"/>
  <c r="AT725" i="10"/>
  <c r="AM725" i="10"/>
  <c r="X725" i="10"/>
  <c r="W725" i="10"/>
  <c r="M725" i="10"/>
  <c r="K725" i="10"/>
  <c r="J725" i="10"/>
  <c r="I725" i="10"/>
  <c r="L725" i="10" s="1"/>
  <c r="H725" i="10"/>
  <c r="G725" i="10"/>
  <c r="BN724" i="10"/>
  <c r="AZ724" i="10"/>
  <c r="AV724" i="10"/>
  <c r="AT724" i="10"/>
  <c r="AM724" i="10"/>
  <c r="X724" i="10"/>
  <c r="W724" i="10"/>
  <c r="I724" i="10"/>
  <c r="H724" i="10"/>
  <c r="G724" i="10"/>
  <c r="BN723" i="10"/>
  <c r="AZ723" i="10"/>
  <c r="AV723" i="10"/>
  <c r="AT723" i="10"/>
  <c r="AM723" i="10"/>
  <c r="X723" i="10"/>
  <c r="W723" i="10"/>
  <c r="I723" i="10"/>
  <c r="H723" i="10"/>
  <c r="G723" i="10"/>
  <c r="BN722" i="10"/>
  <c r="AZ722" i="10"/>
  <c r="AV722" i="10"/>
  <c r="AT722" i="10"/>
  <c r="AM722" i="10"/>
  <c r="X722" i="10"/>
  <c r="W722" i="10"/>
  <c r="I722" i="10" s="1"/>
  <c r="H722" i="10"/>
  <c r="G722" i="10"/>
  <c r="BN721" i="10"/>
  <c r="AZ721" i="10"/>
  <c r="AV721" i="10"/>
  <c r="AT721" i="10"/>
  <c r="AM721" i="10"/>
  <c r="X721" i="10"/>
  <c r="W721" i="10"/>
  <c r="M721" i="10"/>
  <c r="K721" i="10"/>
  <c r="J721" i="10"/>
  <c r="I721" i="10"/>
  <c r="L721" i="10" s="1"/>
  <c r="H721" i="10"/>
  <c r="G721" i="10"/>
  <c r="BN720" i="10"/>
  <c r="AZ720" i="10"/>
  <c r="AV720" i="10"/>
  <c r="AT720" i="10"/>
  <c r="AM720" i="10"/>
  <c r="X720" i="10"/>
  <c r="W720" i="10"/>
  <c r="I720" i="10"/>
  <c r="H720" i="10"/>
  <c r="G720" i="10"/>
  <c r="BN719" i="10"/>
  <c r="AZ719" i="10"/>
  <c r="AV719" i="10"/>
  <c r="AT719" i="10"/>
  <c r="AM719" i="10"/>
  <c r="X719" i="10"/>
  <c r="W719" i="10"/>
  <c r="I719" i="10"/>
  <c r="H719" i="10"/>
  <c r="G719" i="10"/>
  <c r="BN718" i="10"/>
  <c r="AZ718" i="10"/>
  <c r="AV718" i="10"/>
  <c r="AT718" i="10"/>
  <c r="AM718" i="10"/>
  <c r="X718" i="10"/>
  <c r="W718" i="10"/>
  <c r="M718" i="10"/>
  <c r="I718" i="10"/>
  <c r="J718" i="10" s="1"/>
  <c r="H718" i="10"/>
  <c r="G718" i="10"/>
  <c r="BN717" i="10"/>
  <c r="AZ717" i="10"/>
  <c r="AV717" i="10"/>
  <c r="AT717" i="10"/>
  <c r="AM717" i="10"/>
  <c r="X717" i="10"/>
  <c r="W717" i="10"/>
  <c r="M717" i="10"/>
  <c r="K717" i="10"/>
  <c r="J717" i="10"/>
  <c r="I717" i="10"/>
  <c r="L717" i="10" s="1"/>
  <c r="H717" i="10"/>
  <c r="G717" i="10"/>
  <c r="BN716" i="10"/>
  <c r="AZ716" i="10"/>
  <c r="AV716" i="10"/>
  <c r="AT716" i="10"/>
  <c r="AM716" i="10"/>
  <c r="X716" i="10"/>
  <c r="W716" i="10"/>
  <c r="I716" i="10"/>
  <c r="H716" i="10"/>
  <c r="G716" i="10"/>
  <c r="BN715" i="10"/>
  <c r="AZ715" i="10"/>
  <c r="AV715" i="10"/>
  <c r="AT715" i="10"/>
  <c r="AM715" i="10"/>
  <c r="X715" i="10"/>
  <c r="W715" i="10"/>
  <c r="I715" i="10"/>
  <c r="H715" i="10"/>
  <c r="G715" i="10"/>
  <c r="BN714" i="10"/>
  <c r="AZ714" i="10"/>
  <c r="AV714" i="10"/>
  <c r="AT714" i="10"/>
  <c r="AM714" i="10"/>
  <c r="X714" i="10"/>
  <c r="W714" i="10"/>
  <c r="M714" i="10"/>
  <c r="I714" i="10"/>
  <c r="J714" i="10" s="1"/>
  <c r="H714" i="10"/>
  <c r="G714" i="10"/>
  <c r="BN713" i="10"/>
  <c r="AZ713" i="10"/>
  <c r="AV713" i="10"/>
  <c r="AT713" i="10"/>
  <c r="AM713" i="10"/>
  <c r="X713" i="10"/>
  <c r="W713" i="10"/>
  <c r="I713" i="10"/>
  <c r="H713" i="10"/>
  <c r="G713" i="10"/>
  <c r="BN712" i="10"/>
  <c r="AZ712" i="10"/>
  <c r="AV712" i="10"/>
  <c r="AT712" i="10"/>
  <c r="AM712" i="10"/>
  <c r="X712" i="10"/>
  <c r="W712" i="10"/>
  <c r="I712" i="10"/>
  <c r="H712" i="10"/>
  <c r="G712" i="10"/>
  <c r="BN711" i="10"/>
  <c r="AZ711" i="10"/>
  <c r="AV711" i="10"/>
  <c r="AT711" i="10"/>
  <c r="AM711" i="10"/>
  <c r="X711" i="10"/>
  <c r="W711" i="10"/>
  <c r="I711" i="10"/>
  <c r="H711" i="10"/>
  <c r="G711" i="10"/>
  <c r="BN710" i="10"/>
  <c r="AZ710" i="10"/>
  <c r="AV710" i="10"/>
  <c r="AT710" i="10"/>
  <c r="AM710" i="10"/>
  <c r="X710" i="10"/>
  <c r="W710" i="10"/>
  <c r="M710" i="10"/>
  <c r="I710" i="10"/>
  <c r="J710" i="10" s="1"/>
  <c r="L710" i="10" s="1"/>
  <c r="H710" i="10"/>
  <c r="G710" i="10"/>
  <c r="BN709" i="10"/>
  <c r="AZ709" i="10"/>
  <c r="AV709" i="10"/>
  <c r="AT709" i="10"/>
  <c r="AM709" i="10"/>
  <c r="X709" i="10"/>
  <c r="W709" i="10"/>
  <c r="I709" i="10"/>
  <c r="H709" i="10"/>
  <c r="G709" i="10"/>
  <c r="BN708" i="10"/>
  <c r="AZ708" i="10"/>
  <c r="AV708" i="10"/>
  <c r="AT708" i="10"/>
  <c r="AM708" i="10"/>
  <c r="X708" i="10"/>
  <c r="W708" i="10"/>
  <c r="I708" i="10"/>
  <c r="H708" i="10"/>
  <c r="G708" i="10"/>
  <c r="BN707" i="10"/>
  <c r="AZ707" i="10"/>
  <c r="AV707" i="10"/>
  <c r="AT707" i="10"/>
  <c r="AM707" i="10"/>
  <c r="X707" i="10"/>
  <c r="W707" i="10"/>
  <c r="I707" i="10"/>
  <c r="H707" i="10"/>
  <c r="G707" i="10"/>
  <c r="BN706" i="10"/>
  <c r="AZ706" i="10"/>
  <c r="AV706" i="10"/>
  <c r="AT706" i="10"/>
  <c r="AM706" i="10"/>
  <c r="X706" i="10"/>
  <c r="W706" i="10"/>
  <c r="M706" i="10"/>
  <c r="I706" i="10"/>
  <c r="J706" i="10" s="1"/>
  <c r="L706" i="10" s="1"/>
  <c r="H706" i="10"/>
  <c r="G706" i="10"/>
  <c r="BN705" i="10"/>
  <c r="AZ705" i="10"/>
  <c r="AV705" i="10"/>
  <c r="AT705" i="10"/>
  <c r="AM705" i="10"/>
  <c r="X705" i="10"/>
  <c r="W705" i="10"/>
  <c r="I705" i="10"/>
  <c r="H705" i="10"/>
  <c r="G705" i="10"/>
  <c r="AM704" i="10"/>
  <c r="X704" i="10"/>
  <c r="W704" i="10"/>
  <c r="M704" i="10"/>
  <c r="L704" i="10"/>
  <c r="K704" i="10"/>
  <c r="I704" i="10"/>
  <c r="J704" i="10" s="1"/>
  <c r="H704" i="10"/>
  <c r="G704" i="10"/>
  <c r="AM703" i="10"/>
  <c r="X703" i="10"/>
  <c r="W703" i="10"/>
  <c r="I703" i="10" s="1"/>
  <c r="H703" i="10"/>
  <c r="G703" i="10"/>
  <c r="AM702" i="10"/>
  <c r="X702" i="10"/>
  <c r="W702" i="10"/>
  <c r="I702" i="10"/>
  <c r="H702" i="10"/>
  <c r="G702" i="10"/>
  <c r="AM701" i="10"/>
  <c r="X701" i="10"/>
  <c r="W701" i="10"/>
  <c r="M701" i="10"/>
  <c r="K701" i="10"/>
  <c r="J701" i="10"/>
  <c r="I701" i="10"/>
  <c r="H701" i="10"/>
  <c r="G701" i="10"/>
  <c r="AM700" i="10"/>
  <c r="X700" i="10"/>
  <c r="W700" i="10"/>
  <c r="M700" i="10"/>
  <c r="I700" i="10"/>
  <c r="J700" i="10" s="1"/>
  <c r="K700" i="10" s="1"/>
  <c r="H700" i="10"/>
  <c r="G700" i="10"/>
  <c r="AM699" i="10"/>
  <c r="X699" i="10"/>
  <c r="W699" i="10"/>
  <c r="I699" i="10" s="1"/>
  <c r="H699" i="10"/>
  <c r="G699" i="10"/>
  <c r="AV698" i="10"/>
  <c r="AM698" i="10"/>
  <c r="Y698" i="10"/>
  <c r="Z698" i="10" s="1"/>
  <c r="X698" i="10"/>
  <c r="W698" i="10"/>
  <c r="I698" i="10" s="1"/>
  <c r="L698" i="10"/>
  <c r="J698" i="10"/>
  <c r="K698" i="10" s="1"/>
  <c r="H698" i="10"/>
  <c r="G698" i="10"/>
  <c r="AV697" i="10"/>
  <c r="AM697" i="10"/>
  <c r="Y697" i="10"/>
  <c r="Z697" i="10" s="1"/>
  <c r="X697" i="10"/>
  <c r="W697" i="10"/>
  <c r="I697" i="10"/>
  <c r="H697" i="10"/>
  <c r="G697" i="10"/>
  <c r="AV696" i="10"/>
  <c r="AM696" i="10"/>
  <c r="Y696" i="10"/>
  <c r="Z696" i="10" s="1"/>
  <c r="X696" i="10"/>
  <c r="W696" i="10"/>
  <c r="I696" i="10" s="1"/>
  <c r="H696" i="10"/>
  <c r="G696" i="10"/>
  <c r="AV695" i="10"/>
  <c r="AM695" i="10"/>
  <c r="Z695" i="10"/>
  <c r="Y695" i="10"/>
  <c r="X695" i="10"/>
  <c r="W695" i="10"/>
  <c r="I695" i="10"/>
  <c r="H695" i="10"/>
  <c r="G695" i="10"/>
  <c r="AV694" i="10"/>
  <c r="AM694" i="10"/>
  <c r="Y694" i="10"/>
  <c r="Z694" i="10" s="1"/>
  <c r="X694" i="10"/>
  <c r="W694" i="10"/>
  <c r="I694" i="10" s="1"/>
  <c r="L694" i="10"/>
  <c r="J694" i="10"/>
  <c r="K694" i="10" s="1"/>
  <c r="H694" i="10"/>
  <c r="G694" i="10"/>
  <c r="AV693" i="10"/>
  <c r="AM693" i="10"/>
  <c r="Z693" i="10"/>
  <c r="Y693" i="10"/>
  <c r="X693" i="10"/>
  <c r="W693" i="10"/>
  <c r="M693" i="10"/>
  <c r="I693" i="10"/>
  <c r="J693" i="10" s="1"/>
  <c r="K693" i="10" s="1"/>
  <c r="H693" i="10"/>
  <c r="G693" i="10"/>
  <c r="AV692" i="10"/>
  <c r="AM692" i="10"/>
  <c r="Z692" i="10"/>
  <c r="Y692" i="10"/>
  <c r="X692" i="10"/>
  <c r="W692" i="10"/>
  <c r="I692" i="10"/>
  <c r="H692" i="10"/>
  <c r="G692" i="10"/>
  <c r="AV691" i="10"/>
  <c r="AM691" i="10"/>
  <c r="Z691" i="10"/>
  <c r="Y691" i="10"/>
  <c r="X691" i="10"/>
  <c r="W691" i="10"/>
  <c r="I691" i="10" s="1"/>
  <c r="H691" i="10"/>
  <c r="G691" i="10"/>
  <c r="AV690" i="10"/>
  <c r="AM690" i="10"/>
  <c r="Y690" i="10"/>
  <c r="Z690" i="10" s="1"/>
  <c r="X690" i="10"/>
  <c r="W690" i="10"/>
  <c r="I690" i="10" s="1"/>
  <c r="H690" i="10"/>
  <c r="G690" i="10"/>
  <c r="AV689" i="10"/>
  <c r="AM689" i="10"/>
  <c r="Z689" i="10"/>
  <c r="Y689" i="10"/>
  <c r="X689" i="10"/>
  <c r="W689" i="10"/>
  <c r="I689" i="10"/>
  <c r="H689" i="10"/>
  <c r="G689" i="10"/>
  <c r="AV688" i="10"/>
  <c r="AM688" i="10"/>
  <c r="Y688" i="10"/>
  <c r="Z688" i="10" s="1"/>
  <c r="X688" i="10"/>
  <c r="W688" i="10"/>
  <c r="I688" i="10" s="1"/>
  <c r="M688" i="10"/>
  <c r="J688" i="10"/>
  <c r="K688" i="10" s="1"/>
  <c r="H688" i="10"/>
  <c r="G688" i="10"/>
  <c r="AV687" i="10"/>
  <c r="AM687" i="10"/>
  <c r="Z687" i="10"/>
  <c r="Y687" i="10"/>
  <c r="X687" i="10"/>
  <c r="W687" i="10"/>
  <c r="I687" i="10"/>
  <c r="H687" i="10"/>
  <c r="G687" i="10"/>
  <c r="AV686" i="10"/>
  <c r="AM686" i="10"/>
  <c r="Y686" i="10"/>
  <c r="Z686" i="10" s="1"/>
  <c r="X686" i="10"/>
  <c r="W686" i="10"/>
  <c r="I686" i="10" s="1"/>
  <c r="J686" i="10" s="1"/>
  <c r="H686" i="10"/>
  <c r="G686" i="10"/>
  <c r="AV685" i="10"/>
  <c r="AM685" i="10"/>
  <c r="Z685" i="10"/>
  <c r="Y685" i="10"/>
  <c r="X685" i="10"/>
  <c r="W685" i="10"/>
  <c r="M685" i="10"/>
  <c r="L685" i="10"/>
  <c r="K685" i="10"/>
  <c r="I685" i="10"/>
  <c r="J685" i="10" s="1"/>
  <c r="H685" i="10"/>
  <c r="G685" i="10"/>
  <c r="AV684" i="10"/>
  <c r="AM684" i="10"/>
  <c r="Z684" i="10"/>
  <c r="Y684" i="10"/>
  <c r="X684" i="10"/>
  <c r="W684" i="10"/>
  <c r="I684" i="10"/>
  <c r="H684" i="10"/>
  <c r="G684" i="10"/>
  <c r="AV683" i="10"/>
  <c r="AM683" i="10"/>
  <c r="Z683" i="10"/>
  <c r="Y683" i="10"/>
  <c r="X683" i="10"/>
  <c r="W683" i="10"/>
  <c r="I683" i="10" s="1"/>
  <c r="H683" i="10"/>
  <c r="G683" i="10"/>
  <c r="AV682" i="10"/>
  <c r="AM682" i="10"/>
  <c r="Y682" i="10"/>
  <c r="Z682" i="10" s="1"/>
  <c r="X682" i="10"/>
  <c r="W682" i="10"/>
  <c r="I682" i="10" s="1"/>
  <c r="H682" i="10"/>
  <c r="G682" i="10"/>
  <c r="AV681" i="10"/>
  <c r="AM681" i="10"/>
  <c r="Z681" i="10"/>
  <c r="Y681" i="10"/>
  <c r="X681" i="10"/>
  <c r="W681" i="10"/>
  <c r="I681" i="10"/>
  <c r="H681" i="10"/>
  <c r="G681" i="10"/>
  <c r="AM680" i="10"/>
  <c r="Z680" i="10"/>
  <c r="X680" i="10"/>
  <c r="W680" i="10"/>
  <c r="I680" i="10" s="1"/>
  <c r="L680" i="10"/>
  <c r="K680" i="10"/>
  <c r="J680" i="10"/>
  <c r="H680" i="10"/>
  <c r="G680" i="10"/>
  <c r="AM679" i="10"/>
  <c r="Z679" i="10"/>
  <c r="X679" i="10"/>
  <c r="W679" i="10"/>
  <c r="I679" i="10" s="1"/>
  <c r="J679" i="10" s="1"/>
  <c r="K679" i="10" s="1"/>
  <c r="H679" i="10"/>
  <c r="G679" i="10"/>
  <c r="AM678" i="10"/>
  <c r="Z678" i="10"/>
  <c r="X678" i="10"/>
  <c r="W678" i="10"/>
  <c r="M678" i="10"/>
  <c r="J678" i="10"/>
  <c r="K678" i="10" s="1"/>
  <c r="I678" i="10"/>
  <c r="H678" i="10"/>
  <c r="G678" i="10"/>
  <c r="AM677" i="10"/>
  <c r="Z677" i="10"/>
  <c r="X677" i="10"/>
  <c r="W677" i="10"/>
  <c r="M677" i="10"/>
  <c r="I677" i="10"/>
  <c r="J677" i="10" s="1"/>
  <c r="K677" i="10" s="1"/>
  <c r="H677" i="10"/>
  <c r="G677" i="10"/>
  <c r="AM676" i="10"/>
  <c r="Z676" i="10"/>
  <c r="X676" i="10"/>
  <c r="W676" i="10"/>
  <c r="I676" i="10" s="1"/>
  <c r="J676" i="10"/>
  <c r="L676" i="10" s="1"/>
  <c r="H676" i="10"/>
  <c r="G676" i="10"/>
  <c r="AM675" i="10"/>
  <c r="Z675" i="10"/>
  <c r="X675" i="10"/>
  <c r="W675" i="10"/>
  <c r="I675" i="10"/>
  <c r="H675" i="10"/>
  <c r="G675" i="10"/>
  <c r="AM674" i="10"/>
  <c r="Z674" i="10"/>
  <c r="X674" i="10"/>
  <c r="W674" i="10"/>
  <c r="I674" i="10"/>
  <c r="H674" i="10"/>
  <c r="G674" i="10"/>
  <c r="AM673" i="10"/>
  <c r="Z673" i="10"/>
  <c r="X673" i="10"/>
  <c r="W673" i="10"/>
  <c r="I673" i="10"/>
  <c r="J673" i="10" s="1"/>
  <c r="H673" i="10"/>
  <c r="G673" i="10"/>
  <c r="AM672" i="10"/>
  <c r="Z672" i="10"/>
  <c r="X672" i="10"/>
  <c r="W672" i="10"/>
  <c r="I672" i="10" s="1"/>
  <c r="H672" i="10"/>
  <c r="G672" i="10"/>
  <c r="AM671" i="10"/>
  <c r="Z671" i="10"/>
  <c r="X671" i="10"/>
  <c r="W671" i="10"/>
  <c r="I671" i="10" s="1"/>
  <c r="H671" i="10"/>
  <c r="G671" i="10"/>
  <c r="AM670" i="10"/>
  <c r="Z670" i="10"/>
  <c r="X670" i="10"/>
  <c r="W670" i="10"/>
  <c r="M670" i="10"/>
  <c r="I670" i="10"/>
  <c r="J670" i="10" s="1"/>
  <c r="K670" i="10" s="1"/>
  <c r="H670" i="10"/>
  <c r="G670" i="10"/>
  <c r="AM669" i="10"/>
  <c r="Z669" i="10"/>
  <c r="X669" i="10"/>
  <c r="W669" i="10"/>
  <c r="I669" i="10" s="1"/>
  <c r="H669" i="10"/>
  <c r="G669" i="10"/>
  <c r="AM668" i="10"/>
  <c r="Z668" i="10"/>
  <c r="X668" i="10"/>
  <c r="W668" i="10"/>
  <c r="I668" i="10"/>
  <c r="H668" i="10"/>
  <c r="G668" i="10"/>
  <c r="AM667" i="10"/>
  <c r="Z667" i="10"/>
  <c r="X667" i="10"/>
  <c r="W667" i="10"/>
  <c r="L667" i="10"/>
  <c r="J667" i="10"/>
  <c r="K667" i="10" s="1"/>
  <c r="I667" i="10"/>
  <c r="M667" i="10" s="1"/>
  <c r="H667" i="10"/>
  <c r="G667" i="10"/>
  <c r="AM666" i="10"/>
  <c r="Z666" i="10"/>
  <c r="X666" i="10"/>
  <c r="W666" i="10"/>
  <c r="I666" i="10"/>
  <c r="J666" i="10" s="1"/>
  <c r="H666" i="10"/>
  <c r="G666" i="10"/>
  <c r="AM665" i="10"/>
  <c r="Z665" i="10"/>
  <c r="X665" i="10"/>
  <c r="W665" i="10"/>
  <c r="I665" i="10"/>
  <c r="H665" i="10"/>
  <c r="G665" i="10"/>
  <c r="AM664" i="10"/>
  <c r="Z664" i="10"/>
  <c r="X664" i="10"/>
  <c r="W664" i="10"/>
  <c r="I664" i="10" s="1"/>
  <c r="M664" i="10" s="1"/>
  <c r="L664" i="10"/>
  <c r="J664" i="10"/>
  <c r="K664" i="10" s="1"/>
  <c r="H664" i="10"/>
  <c r="G664" i="10"/>
  <c r="AM663" i="10"/>
  <c r="Z663" i="10"/>
  <c r="X663" i="10"/>
  <c r="W663" i="10"/>
  <c r="I663" i="10" s="1"/>
  <c r="H663" i="10"/>
  <c r="G663" i="10"/>
  <c r="AM662" i="10"/>
  <c r="Z662" i="10"/>
  <c r="X662" i="10"/>
  <c r="W662" i="10"/>
  <c r="I662" i="10" s="1"/>
  <c r="H662" i="10"/>
  <c r="G662" i="10"/>
  <c r="AM661" i="10"/>
  <c r="Z661" i="10"/>
  <c r="X661" i="10"/>
  <c r="W661" i="10"/>
  <c r="I661" i="10" s="1"/>
  <c r="H661" i="10"/>
  <c r="G661" i="10"/>
  <c r="AM660" i="10"/>
  <c r="Z660" i="10"/>
  <c r="X660" i="10"/>
  <c r="W660" i="10"/>
  <c r="L660" i="10"/>
  <c r="J660" i="10"/>
  <c r="K660" i="10" s="1"/>
  <c r="I660" i="10"/>
  <c r="H660" i="10"/>
  <c r="G660" i="10"/>
  <c r="AM659" i="10"/>
  <c r="Z659" i="10"/>
  <c r="X659" i="10"/>
  <c r="W659" i="10"/>
  <c r="M659" i="10"/>
  <c r="J659" i="10"/>
  <c r="K659" i="10" s="1"/>
  <c r="I659" i="10"/>
  <c r="L659" i="10" s="1"/>
  <c r="H659" i="10"/>
  <c r="G659" i="10"/>
  <c r="AM658" i="10"/>
  <c r="Z658" i="10"/>
  <c r="X658" i="10"/>
  <c r="W658" i="10"/>
  <c r="I658" i="10"/>
  <c r="H658" i="10"/>
  <c r="G658" i="10"/>
  <c r="AM657" i="10"/>
  <c r="Z657" i="10"/>
  <c r="X657" i="10"/>
  <c r="W657" i="10"/>
  <c r="L657" i="10"/>
  <c r="J657" i="10"/>
  <c r="K657" i="10" s="1"/>
  <c r="I657" i="10"/>
  <c r="M657" i="10" s="1"/>
  <c r="H657" i="10"/>
  <c r="G657" i="10"/>
  <c r="AP656" i="10"/>
  <c r="AM656" i="10"/>
  <c r="X656" i="10"/>
  <c r="W656" i="10"/>
  <c r="I656" i="10" s="1"/>
  <c r="M656" i="10"/>
  <c r="J656" i="10"/>
  <c r="L656" i="10" s="1"/>
  <c r="H656" i="10"/>
  <c r="G656" i="10"/>
  <c r="AP655" i="10"/>
  <c r="AM655" i="10"/>
  <c r="X655" i="10"/>
  <c r="W655" i="10"/>
  <c r="I655" i="10"/>
  <c r="H655" i="10"/>
  <c r="G655" i="10"/>
  <c r="AP654" i="10"/>
  <c r="AM654" i="10"/>
  <c r="X654" i="10"/>
  <c r="W654" i="10"/>
  <c r="L654" i="10"/>
  <c r="J654" i="10"/>
  <c r="K654" i="10" s="1"/>
  <c r="I654" i="10"/>
  <c r="M654" i="10" s="1"/>
  <c r="H654" i="10"/>
  <c r="G654" i="10"/>
  <c r="AP653" i="10"/>
  <c r="AM653" i="10"/>
  <c r="X653" i="10"/>
  <c r="W653" i="10"/>
  <c r="M653" i="10"/>
  <c r="J653" i="10"/>
  <c r="L653" i="10" s="1"/>
  <c r="I653" i="10"/>
  <c r="H653" i="10"/>
  <c r="G653" i="10"/>
  <c r="AP652" i="10"/>
  <c r="AM652" i="10"/>
  <c r="X652" i="10"/>
  <c r="W652" i="10"/>
  <c r="I652" i="10" s="1"/>
  <c r="H652" i="10"/>
  <c r="G652" i="10"/>
  <c r="AP651" i="10"/>
  <c r="AM651" i="10"/>
  <c r="X651" i="10"/>
  <c r="W651" i="10"/>
  <c r="M651" i="10"/>
  <c r="K651" i="10"/>
  <c r="J651" i="10"/>
  <c r="I651" i="10"/>
  <c r="L651" i="10" s="1"/>
  <c r="H651" i="10"/>
  <c r="G651" i="10"/>
  <c r="AP650" i="10"/>
  <c r="AM650" i="10"/>
  <c r="X650" i="10"/>
  <c r="W650" i="10"/>
  <c r="I650" i="10" s="1"/>
  <c r="H650" i="10"/>
  <c r="G650" i="10"/>
  <c r="AP649" i="10"/>
  <c r="AM649" i="10"/>
  <c r="X649" i="10"/>
  <c r="W649" i="10"/>
  <c r="I649" i="10"/>
  <c r="H649" i="10"/>
  <c r="G649" i="10"/>
  <c r="AP648" i="10"/>
  <c r="AM648" i="10"/>
  <c r="X648" i="10"/>
  <c r="W648" i="10"/>
  <c r="I648" i="10" s="1"/>
  <c r="H648" i="10"/>
  <c r="G648" i="10"/>
  <c r="AP647" i="10"/>
  <c r="AM647" i="10"/>
  <c r="X647" i="10"/>
  <c r="W647" i="10"/>
  <c r="I647" i="10"/>
  <c r="H647" i="10"/>
  <c r="G647" i="10"/>
  <c r="AP646" i="10"/>
  <c r="AM646" i="10"/>
  <c r="X646" i="10"/>
  <c r="W646" i="10"/>
  <c r="L646" i="10"/>
  <c r="J646" i="10"/>
  <c r="K646" i="10" s="1"/>
  <c r="I646" i="10"/>
  <c r="M646" i="10" s="1"/>
  <c r="H646" i="10"/>
  <c r="G646" i="10"/>
  <c r="F646" i="10"/>
  <c r="AP645" i="10"/>
  <c r="AM645" i="10"/>
  <c r="X645" i="10"/>
  <c r="W645" i="10"/>
  <c r="H645" i="10"/>
  <c r="G645" i="10"/>
  <c r="F645" i="10"/>
  <c r="I645" i="10" s="1"/>
  <c r="AP644" i="10"/>
  <c r="AM644" i="10"/>
  <c r="X644" i="10"/>
  <c r="W644" i="10"/>
  <c r="L644" i="10"/>
  <c r="J644" i="10"/>
  <c r="K644" i="10" s="1"/>
  <c r="I644" i="10"/>
  <c r="M644" i="10" s="1"/>
  <c r="H644" i="10"/>
  <c r="G644" i="10"/>
  <c r="F644" i="10"/>
  <c r="AP643" i="10"/>
  <c r="AM643" i="10"/>
  <c r="X643" i="10"/>
  <c r="W643" i="10"/>
  <c r="H643" i="10"/>
  <c r="G643" i="10"/>
  <c r="F643" i="10"/>
  <c r="I643" i="10" s="1"/>
  <c r="AP642" i="10"/>
  <c r="AM642" i="10"/>
  <c r="X642" i="10"/>
  <c r="W642" i="10"/>
  <c r="L642" i="10"/>
  <c r="J642" i="10"/>
  <c r="K642" i="10" s="1"/>
  <c r="I642" i="10"/>
  <c r="M642" i="10" s="1"/>
  <c r="H642" i="10"/>
  <c r="G642" i="10"/>
  <c r="F642" i="10"/>
  <c r="BN641" i="10"/>
  <c r="AN641" i="10"/>
  <c r="AM641" i="10"/>
  <c r="X641" i="10"/>
  <c r="W641" i="10"/>
  <c r="I641" i="10"/>
  <c r="H641" i="10"/>
  <c r="G641" i="10"/>
  <c r="F641" i="10"/>
  <c r="BN640" i="10"/>
  <c r="AN640" i="10"/>
  <c r="AM640" i="10"/>
  <c r="X640" i="10"/>
  <c r="W640" i="10"/>
  <c r="H640" i="10"/>
  <c r="G640" i="10"/>
  <c r="F640" i="10"/>
  <c r="I640" i="10" s="1"/>
  <c r="BN639" i="10"/>
  <c r="AN639" i="10"/>
  <c r="AM639" i="10"/>
  <c r="X639" i="10"/>
  <c r="W639" i="10"/>
  <c r="H639" i="10"/>
  <c r="G639" i="10"/>
  <c r="F639" i="10"/>
  <c r="I639" i="10" s="1"/>
  <c r="BN638" i="10"/>
  <c r="AN638" i="10"/>
  <c r="AM638" i="10"/>
  <c r="X638" i="10"/>
  <c r="W638" i="10"/>
  <c r="H638" i="10"/>
  <c r="G638" i="10"/>
  <c r="F638" i="10"/>
  <c r="I638" i="10" s="1"/>
  <c r="BN637" i="10"/>
  <c r="AN637" i="10"/>
  <c r="AM637" i="10"/>
  <c r="X637" i="10"/>
  <c r="W637" i="10"/>
  <c r="M637" i="10"/>
  <c r="K637" i="10"/>
  <c r="J637" i="10"/>
  <c r="L637" i="10" s="1"/>
  <c r="I637" i="10"/>
  <c r="H637" i="10"/>
  <c r="G637" i="10"/>
  <c r="F637" i="10"/>
  <c r="BN636" i="10"/>
  <c r="AN636" i="10"/>
  <c r="AM636" i="10"/>
  <c r="X636" i="10"/>
  <c r="W636" i="10"/>
  <c r="J636" i="10"/>
  <c r="I636" i="10"/>
  <c r="H636" i="10"/>
  <c r="G636" i="10"/>
  <c r="F636" i="10"/>
  <c r="BN635" i="10"/>
  <c r="AN635" i="10"/>
  <c r="AM635" i="10"/>
  <c r="X635" i="10"/>
  <c r="W635" i="10"/>
  <c r="J635" i="10"/>
  <c r="M635" i="10" s="1"/>
  <c r="I635" i="10"/>
  <c r="H635" i="10"/>
  <c r="G635" i="10"/>
  <c r="F635" i="10"/>
  <c r="BN634" i="10"/>
  <c r="AN634" i="10"/>
  <c r="AM634" i="10"/>
  <c r="X634" i="10"/>
  <c r="W634" i="10"/>
  <c r="I634" i="10"/>
  <c r="J634" i="10" s="1"/>
  <c r="K634" i="10" s="1"/>
  <c r="H634" i="10"/>
  <c r="G634" i="10"/>
  <c r="F634" i="10"/>
  <c r="BN633" i="10"/>
  <c r="AN633" i="10"/>
  <c r="AM633" i="10"/>
  <c r="X633" i="10"/>
  <c r="W633" i="10"/>
  <c r="I633" i="10"/>
  <c r="H633" i="10"/>
  <c r="G633" i="10"/>
  <c r="F633" i="10"/>
  <c r="BN632" i="10"/>
  <c r="AN632" i="10"/>
  <c r="AM632" i="10"/>
  <c r="X632" i="10"/>
  <c r="W632" i="10"/>
  <c r="H632" i="10"/>
  <c r="G632" i="10"/>
  <c r="F632" i="10"/>
  <c r="BN631" i="10"/>
  <c r="AN631" i="10"/>
  <c r="AM631" i="10"/>
  <c r="X631" i="10"/>
  <c r="W631" i="10"/>
  <c r="H631" i="10"/>
  <c r="G631" i="10"/>
  <c r="F631" i="10"/>
  <c r="I631" i="10" s="1"/>
  <c r="BN630" i="10"/>
  <c r="AN630" i="10"/>
  <c r="AM630" i="10"/>
  <c r="X630" i="10"/>
  <c r="W630" i="10"/>
  <c r="H630" i="10"/>
  <c r="G630" i="10"/>
  <c r="F630" i="10"/>
  <c r="I630" i="10" s="1"/>
  <c r="BN629" i="10"/>
  <c r="AN629" i="10"/>
  <c r="AM629" i="10"/>
  <c r="X629" i="10"/>
  <c r="W629" i="10"/>
  <c r="M629" i="10"/>
  <c r="K629" i="10"/>
  <c r="J629" i="10"/>
  <c r="L629" i="10" s="1"/>
  <c r="I629" i="10"/>
  <c r="H629" i="10"/>
  <c r="G629" i="10"/>
  <c r="F629" i="10"/>
  <c r="BN628" i="10"/>
  <c r="AN628" i="10"/>
  <c r="AM628" i="10"/>
  <c r="X628" i="10"/>
  <c r="W628" i="10"/>
  <c r="J628" i="10"/>
  <c r="I628" i="10"/>
  <c r="H628" i="10"/>
  <c r="G628" i="10"/>
  <c r="F628" i="10"/>
  <c r="BN627" i="10"/>
  <c r="AN627" i="10"/>
  <c r="AM627" i="10"/>
  <c r="X627" i="10"/>
  <c r="W627" i="10"/>
  <c r="J627" i="10"/>
  <c r="M627" i="10" s="1"/>
  <c r="I627" i="10"/>
  <c r="H627" i="10"/>
  <c r="G627" i="10"/>
  <c r="F627" i="10"/>
  <c r="BN626" i="10"/>
  <c r="AN626" i="10"/>
  <c r="AM626" i="10"/>
  <c r="X626" i="10"/>
  <c r="W626" i="10"/>
  <c r="L626" i="10"/>
  <c r="I626" i="10"/>
  <c r="J626" i="10" s="1"/>
  <c r="K626" i="10" s="1"/>
  <c r="H626" i="10"/>
  <c r="G626" i="10"/>
  <c r="F626" i="10"/>
  <c r="BN625" i="10"/>
  <c r="AN625" i="10"/>
  <c r="AM625" i="10"/>
  <c r="X625" i="10"/>
  <c r="W625" i="10"/>
  <c r="I625" i="10"/>
  <c r="H625" i="10"/>
  <c r="G625" i="10"/>
  <c r="F625" i="10"/>
  <c r="BN624" i="10"/>
  <c r="AM624" i="10"/>
  <c r="X624" i="10"/>
  <c r="W624" i="10"/>
  <c r="M624" i="10"/>
  <c r="K624" i="10"/>
  <c r="J624" i="10"/>
  <c r="L624" i="10" s="1"/>
  <c r="I624" i="10"/>
  <c r="H624" i="10"/>
  <c r="G624" i="10"/>
  <c r="F624" i="10"/>
  <c r="BN623" i="10"/>
  <c r="AM623" i="10"/>
  <c r="X623" i="10"/>
  <c r="W623" i="10"/>
  <c r="I623" i="10"/>
  <c r="H623" i="10"/>
  <c r="G623" i="10"/>
  <c r="F623" i="10"/>
  <c r="BN622" i="10"/>
  <c r="AM622" i="10"/>
  <c r="X622" i="10"/>
  <c r="W622" i="10"/>
  <c r="M622" i="10"/>
  <c r="K622" i="10"/>
  <c r="J622" i="10"/>
  <c r="L622" i="10" s="1"/>
  <c r="I622" i="10"/>
  <c r="H622" i="10"/>
  <c r="G622" i="10"/>
  <c r="F622" i="10"/>
  <c r="BN621" i="10"/>
  <c r="AM621" i="10"/>
  <c r="X621" i="10"/>
  <c r="W621" i="10"/>
  <c r="I621" i="10"/>
  <c r="H621" i="10"/>
  <c r="G621" i="10"/>
  <c r="F621" i="10"/>
  <c r="BN620" i="10"/>
  <c r="AU620" i="10"/>
  <c r="AM620" i="10"/>
  <c r="X620" i="10"/>
  <c r="W620" i="10"/>
  <c r="H620" i="10"/>
  <c r="G620" i="10"/>
  <c r="F620" i="10"/>
  <c r="I620" i="10" s="1"/>
  <c r="BN619" i="10"/>
  <c r="AU619" i="10"/>
  <c r="AM619" i="10"/>
  <c r="X619" i="10"/>
  <c r="W619" i="10"/>
  <c r="I619" i="10"/>
  <c r="H619" i="10"/>
  <c r="G619" i="10"/>
  <c r="F619" i="10"/>
  <c r="BN618" i="10"/>
  <c r="AU618" i="10"/>
  <c r="AM618" i="10"/>
  <c r="X618" i="10"/>
  <c r="W618" i="10"/>
  <c r="H618" i="10"/>
  <c r="G618" i="10"/>
  <c r="F618" i="10"/>
  <c r="BN617" i="10"/>
  <c r="AU617" i="10"/>
  <c r="AM617" i="10"/>
  <c r="X617" i="10"/>
  <c r="W617" i="10"/>
  <c r="M617" i="10"/>
  <c r="K617" i="10"/>
  <c r="J617" i="10"/>
  <c r="L617" i="10" s="1"/>
  <c r="I617" i="10"/>
  <c r="H617" i="10"/>
  <c r="G617" i="10"/>
  <c r="F617" i="10"/>
  <c r="BN616" i="10"/>
  <c r="AU616" i="10"/>
  <c r="AM616" i="10"/>
  <c r="Y616" i="10"/>
  <c r="X616" i="10"/>
  <c r="W616" i="10"/>
  <c r="I616" i="10"/>
  <c r="H616" i="10"/>
  <c r="G616" i="10"/>
  <c r="F616" i="10"/>
  <c r="BN615" i="10"/>
  <c r="AU615" i="10"/>
  <c r="AM615" i="10"/>
  <c r="Y615" i="10"/>
  <c r="X615" i="10"/>
  <c r="W615" i="10"/>
  <c r="H615" i="10"/>
  <c r="G615" i="10"/>
  <c r="F615" i="10"/>
  <c r="I615" i="10" s="1"/>
  <c r="AO614" i="10"/>
  <c r="Y614" i="10" s="1"/>
  <c r="Z614" i="10" s="1"/>
  <c r="AM614" i="10"/>
  <c r="X614" i="10"/>
  <c r="W614" i="10"/>
  <c r="J614" i="10"/>
  <c r="K614" i="10" s="1"/>
  <c r="I614" i="10"/>
  <c r="H614" i="10"/>
  <c r="G614" i="10"/>
  <c r="F614" i="10"/>
  <c r="AO613" i="10"/>
  <c r="AM613" i="10"/>
  <c r="Y613" i="10"/>
  <c r="Z613" i="10" s="1"/>
  <c r="X613" i="10"/>
  <c r="W613" i="10"/>
  <c r="J613" i="10"/>
  <c r="L613" i="10" s="1"/>
  <c r="I613" i="10"/>
  <c r="H613" i="10"/>
  <c r="G613" i="10"/>
  <c r="F613" i="10"/>
  <c r="AO612" i="10"/>
  <c r="Y612" i="10" s="1"/>
  <c r="Z612" i="10" s="1"/>
  <c r="AM612" i="10"/>
  <c r="X612" i="10"/>
  <c r="W612" i="10"/>
  <c r="I612" i="10"/>
  <c r="H612" i="10"/>
  <c r="G612" i="10"/>
  <c r="F612" i="10"/>
  <c r="AO611" i="10"/>
  <c r="Y611" i="10" s="1"/>
  <c r="AM611" i="10"/>
  <c r="Z611" i="10"/>
  <c r="X611" i="10"/>
  <c r="W611" i="10"/>
  <c r="H611" i="10"/>
  <c r="G611" i="10"/>
  <c r="F611" i="10"/>
  <c r="I611" i="10" s="1"/>
  <c r="AO610" i="10"/>
  <c r="Y610" i="10" s="1"/>
  <c r="Z610" i="10" s="1"/>
  <c r="AM610" i="10"/>
  <c r="X610" i="10"/>
  <c r="W610" i="10"/>
  <c r="I610" i="10"/>
  <c r="H610" i="10"/>
  <c r="G610" i="10"/>
  <c r="F610" i="10"/>
  <c r="AO609" i="10"/>
  <c r="Y609" i="10" s="1"/>
  <c r="Z609" i="10" s="1"/>
  <c r="AM609" i="10"/>
  <c r="X609" i="10"/>
  <c r="W609" i="10"/>
  <c r="M609" i="10"/>
  <c r="J609" i="10"/>
  <c r="K609" i="10" s="1"/>
  <c r="I609" i="10"/>
  <c r="L609" i="10" s="1"/>
  <c r="H609" i="10"/>
  <c r="G609" i="10"/>
  <c r="F609" i="10"/>
  <c r="AO608" i="10"/>
  <c r="Y608" i="10" s="1"/>
  <c r="Z608" i="10" s="1"/>
  <c r="AM608" i="10"/>
  <c r="X608" i="10"/>
  <c r="W608" i="10"/>
  <c r="I608" i="10"/>
  <c r="H608" i="10"/>
  <c r="G608" i="10"/>
  <c r="F608" i="10"/>
  <c r="AO607" i="10"/>
  <c r="Y607" i="10" s="1"/>
  <c r="Z607" i="10" s="1"/>
  <c r="AM607" i="10"/>
  <c r="X607" i="10"/>
  <c r="W607" i="10"/>
  <c r="H607" i="10"/>
  <c r="G607" i="10"/>
  <c r="F607" i="10"/>
  <c r="I607" i="10" s="1"/>
  <c r="AO606" i="10"/>
  <c r="Y606" i="10" s="1"/>
  <c r="Z606" i="10" s="1"/>
  <c r="AM606" i="10"/>
  <c r="X606" i="10"/>
  <c r="W606" i="10"/>
  <c r="J606" i="10"/>
  <c r="K606" i="10" s="1"/>
  <c r="I606" i="10"/>
  <c r="M606" i="10" s="1"/>
  <c r="H606" i="10"/>
  <c r="G606" i="10"/>
  <c r="F606" i="10"/>
  <c r="AO605" i="10"/>
  <c r="AM605" i="10"/>
  <c r="Y605" i="10"/>
  <c r="Z605" i="10" s="1"/>
  <c r="X605" i="10"/>
  <c r="W605" i="10"/>
  <c r="M605" i="10"/>
  <c r="K605" i="10"/>
  <c r="J605" i="10"/>
  <c r="I605" i="10"/>
  <c r="H605" i="10"/>
  <c r="G605" i="10"/>
  <c r="F605" i="10"/>
  <c r="AO604" i="10"/>
  <c r="AM604" i="10"/>
  <c r="Z604" i="10"/>
  <c r="Y604" i="10"/>
  <c r="X604" i="10"/>
  <c r="W604" i="10"/>
  <c r="H604" i="10"/>
  <c r="G604" i="10"/>
  <c r="F604" i="10"/>
  <c r="I604" i="10" s="1"/>
  <c r="AO603" i="10"/>
  <c r="Y603" i="10" s="1"/>
  <c r="AM603" i="10"/>
  <c r="Z603" i="10"/>
  <c r="X603" i="10"/>
  <c r="W603" i="10"/>
  <c r="H603" i="10"/>
  <c r="G603" i="10"/>
  <c r="F603" i="10"/>
  <c r="I603" i="10" s="1"/>
  <c r="AO602" i="10"/>
  <c r="Y602" i="10" s="1"/>
  <c r="AM602" i="10"/>
  <c r="Z602" i="10"/>
  <c r="X602" i="10"/>
  <c r="W602" i="10"/>
  <c r="I602" i="10"/>
  <c r="J602" i="10" s="1"/>
  <c r="H602" i="10"/>
  <c r="G602" i="10"/>
  <c r="F602" i="10"/>
  <c r="AO601" i="10"/>
  <c r="Y601" i="10" s="1"/>
  <c r="Z601" i="10" s="1"/>
  <c r="AM601" i="10"/>
  <c r="X601" i="10"/>
  <c r="W601" i="10"/>
  <c r="I601" i="10"/>
  <c r="H601" i="10"/>
  <c r="G601" i="10"/>
  <c r="F601" i="10"/>
  <c r="AO600" i="10"/>
  <c r="AM600" i="10"/>
  <c r="Y600" i="10"/>
  <c r="Z600" i="10" s="1"/>
  <c r="X600" i="10"/>
  <c r="W600" i="10"/>
  <c r="H600" i="10"/>
  <c r="G600" i="10"/>
  <c r="F600" i="10"/>
  <c r="I600" i="10" s="1"/>
  <c r="AO599" i="10"/>
  <c r="Y599" i="10" s="1"/>
  <c r="Z599" i="10" s="1"/>
  <c r="AM599" i="10"/>
  <c r="X599" i="10"/>
  <c r="W599" i="10"/>
  <c r="I599" i="10"/>
  <c r="H599" i="10"/>
  <c r="G599" i="10"/>
  <c r="F599" i="10"/>
  <c r="AO598" i="10"/>
  <c r="Y598" i="10" s="1"/>
  <c r="AM598" i="10"/>
  <c r="Z598" i="10"/>
  <c r="X598" i="10"/>
  <c r="W598" i="10"/>
  <c r="I598" i="10"/>
  <c r="H598" i="10"/>
  <c r="G598" i="10"/>
  <c r="F598" i="10"/>
  <c r="AO597" i="10"/>
  <c r="Y597" i="10" s="1"/>
  <c r="Z597" i="10" s="1"/>
  <c r="AM597" i="10"/>
  <c r="X597" i="10"/>
  <c r="W597" i="10"/>
  <c r="K597" i="10"/>
  <c r="J597" i="10"/>
  <c r="M597" i="10" s="1"/>
  <c r="I597" i="10"/>
  <c r="H597" i="10"/>
  <c r="G597" i="10"/>
  <c r="F597" i="10"/>
  <c r="AO596" i="10"/>
  <c r="AM596" i="10"/>
  <c r="Z596" i="10"/>
  <c r="Y596" i="10"/>
  <c r="X596" i="10"/>
  <c r="W596" i="10"/>
  <c r="H596" i="10"/>
  <c r="G596" i="10"/>
  <c r="F596" i="10"/>
  <c r="I596" i="10" s="1"/>
  <c r="AO595" i="10"/>
  <c r="Y595" i="10" s="1"/>
  <c r="AM595" i="10"/>
  <c r="Z595" i="10"/>
  <c r="X595" i="10"/>
  <c r="W595" i="10"/>
  <c r="H595" i="10"/>
  <c r="G595" i="10"/>
  <c r="F595" i="10"/>
  <c r="I595" i="10" s="1"/>
  <c r="AO594" i="10"/>
  <c r="Y594" i="10" s="1"/>
  <c r="AM594" i="10"/>
  <c r="Z594" i="10"/>
  <c r="X594" i="10"/>
  <c r="W594" i="10"/>
  <c r="I594" i="10"/>
  <c r="H594" i="10"/>
  <c r="G594" i="10"/>
  <c r="F594" i="10"/>
  <c r="AO593" i="10"/>
  <c r="Y593" i="10" s="1"/>
  <c r="Z593" i="10" s="1"/>
  <c r="AM593" i="10"/>
  <c r="X593" i="10"/>
  <c r="W593" i="10"/>
  <c r="M593" i="10"/>
  <c r="J593" i="10"/>
  <c r="K593" i="10" s="1"/>
  <c r="I593" i="10"/>
  <c r="H593" i="10"/>
  <c r="G593" i="10"/>
  <c r="F593" i="10"/>
  <c r="AO592" i="10"/>
  <c r="Y592" i="10" s="1"/>
  <c r="Z592" i="10" s="1"/>
  <c r="AM592" i="10"/>
  <c r="X592" i="10"/>
  <c r="W592" i="10"/>
  <c r="I592" i="10"/>
  <c r="H592" i="10"/>
  <c r="G592" i="10"/>
  <c r="F592" i="10"/>
  <c r="AO591" i="10"/>
  <c r="Y591" i="10" s="1"/>
  <c r="Z591" i="10" s="1"/>
  <c r="AM591" i="10"/>
  <c r="X591" i="10"/>
  <c r="W591" i="10"/>
  <c r="H591" i="10"/>
  <c r="G591" i="10"/>
  <c r="F591" i="10"/>
  <c r="I591" i="10" s="1"/>
  <c r="AO590" i="10"/>
  <c r="Y590" i="10" s="1"/>
  <c r="Z590" i="10" s="1"/>
  <c r="AM590" i="10"/>
  <c r="X590" i="10"/>
  <c r="W590" i="10"/>
  <c r="J590" i="10"/>
  <c r="K590" i="10" s="1"/>
  <c r="I590" i="10"/>
  <c r="M590" i="10" s="1"/>
  <c r="H590" i="10"/>
  <c r="G590" i="10"/>
  <c r="F590" i="10"/>
  <c r="AO589" i="10"/>
  <c r="AM589" i="10"/>
  <c r="Y589" i="10"/>
  <c r="Z589" i="10" s="1"/>
  <c r="X589" i="10"/>
  <c r="W589" i="10"/>
  <c r="M589" i="10"/>
  <c r="J589" i="10"/>
  <c r="K589" i="10" s="1"/>
  <c r="I589" i="10"/>
  <c r="H589" i="10"/>
  <c r="G589" i="10"/>
  <c r="F589" i="10"/>
  <c r="AO588" i="10"/>
  <c r="AM588" i="10"/>
  <c r="Y588" i="10"/>
  <c r="Z588" i="10" s="1"/>
  <c r="X588" i="10"/>
  <c r="W588" i="10"/>
  <c r="H588" i="10"/>
  <c r="G588" i="10"/>
  <c r="F588" i="10"/>
  <c r="I588" i="10" s="1"/>
  <c r="AO587" i="10"/>
  <c r="Y587" i="10" s="1"/>
  <c r="AM587" i="10"/>
  <c r="Z587" i="10"/>
  <c r="X587" i="10"/>
  <c r="W587" i="10"/>
  <c r="H587" i="10"/>
  <c r="G587" i="10"/>
  <c r="F587" i="10"/>
  <c r="I587" i="10" s="1"/>
  <c r="AO586" i="10"/>
  <c r="Y586" i="10" s="1"/>
  <c r="AM586" i="10"/>
  <c r="Z586" i="10"/>
  <c r="X586" i="10"/>
  <c r="W586" i="10"/>
  <c r="L586" i="10"/>
  <c r="I586" i="10"/>
  <c r="J586" i="10" s="1"/>
  <c r="H586" i="10"/>
  <c r="G586" i="10"/>
  <c r="F586" i="10"/>
  <c r="AO585" i="10"/>
  <c r="Y585" i="10" s="1"/>
  <c r="Z585" i="10" s="1"/>
  <c r="AM585" i="10"/>
  <c r="X585" i="10"/>
  <c r="W585" i="10"/>
  <c r="I585" i="10"/>
  <c r="H585" i="10"/>
  <c r="G585" i="10"/>
  <c r="F585" i="10"/>
  <c r="AO584" i="10"/>
  <c r="AM584" i="10"/>
  <c r="Y584" i="10"/>
  <c r="Z584" i="10" s="1"/>
  <c r="X584" i="10"/>
  <c r="W584" i="10"/>
  <c r="H584" i="10"/>
  <c r="G584" i="10"/>
  <c r="F584" i="10"/>
  <c r="I584" i="10" s="1"/>
  <c r="AO583" i="10"/>
  <c r="Y583" i="10" s="1"/>
  <c r="Z583" i="10" s="1"/>
  <c r="AM583" i="10"/>
  <c r="X583" i="10"/>
  <c r="W583" i="10"/>
  <c r="I583" i="10"/>
  <c r="H583" i="10"/>
  <c r="G583" i="10"/>
  <c r="F583" i="10"/>
  <c r="AO582" i="10"/>
  <c r="Y582" i="10" s="1"/>
  <c r="AM582" i="10"/>
  <c r="Z582" i="10"/>
  <c r="X582" i="10"/>
  <c r="W582" i="10"/>
  <c r="I582" i="10"/>
  <c r="H582" i="10"/>
  <c r="G582" i="10"/>
  <c r="F582" i="10"/>
  <c r="AO581" i="10"/>
  <c r="Y581" i="10" s="1"/>
  <c r="Z581" i="10" s="1"/>
  <c r="AM581" i="10"/>
  <c r="X581" i="10"/>
  <c r="W581" i="10"/>
  <c r="K581" i="10"/>
  <c r="J581" i="10"/>
  <c r="M581" i="10" s="1"/>
  <c r="I581" i="10"/>
  <c r="H581" i="10"/>
  <c r="G581" i="10"/>
  <c r="F581" i="10"/>
  <c r="AO580" i="10"/>
  <c r="AM580" i="10"/>
  <c r="Z580" i="10"/>
  <c r="Y580" i="10"/>
  <c r="X580" i="10"/>
  <c r="W580" i="10"/>
  <c r="H580" i="10"/>
  <c r="G580" i="10"/>
  <c r="F580" i="10"/>
  <c r="I580" i="10" s="1"/>
  <c r="AO579" i="10"/>
  <c r="Y579" i="10" s="1"/>
  <c r="AM579" i="10"/>
  <c r="Z579" i="10"/>
  <c r="X579" i="10"/>
  <c r="W579" i="10"/>
  <c r="H579" i="10"/>
  <c r="G579" i="10"/>
  <c r="F579" i="10"/>
  <c r="I579" i="10" s="1"/>
  <c r="AO578" i="10"/>
  <c r="Y578" i="10" s="1"/>
  <c r="AM578" i="10"/>
  <c r="Z578" i="10"/>
  <c r="X578" i="10"/>
  <c r="W578" i="10"/>
  <c r="I578" i="10"/>
  <c r="H578" i="10"/>
  <c r="G578" i="10"/>
  <c r="F578" i="10"/>
  <c r="AO577" i="10"/>
  <c r="Y577" i="10" s="1"/>
  <c r="Z577" i="10" s="1"/>
  <c r="AM577" i="10"/>
  <c r="X577" i="10"/>
  <c r="W577" i="10"/>
  <c r="M577" i="10"/>
  <c r="J577" i="10"/>
  <c r="K577" i="10" s="1"/>
  <c r="I577" i="10"/>
  <c r="H577" i="10"/>
  <c r="G577" i="10"/>
  <c r="F577" i="10"/>
  <c r="AO576" i="10"/>
  <c r="Y576" i="10" s="1"/>
  <c r="Z576" i="10" s="1"/>
  <c r="AM576" i="10"/>
  <c r="X576" i="10"/>
  <c r="W576" i="10"/>
  <c r="I576" i="10"/>
  <c r="H576" i="10"/>
  <c r="G576" i="10"/>
  <c r="F576" i="10"/>
  <c r="AO575" i="10"/>
  <c r="Y575" i="10" s="1"/>
  <c r="Z575" i="10" s="1"/>
  <c r="AM575" i="10"/>
  <c r="X575" i="10"/>
  <c r="W575" i="10"/>
  <c r="H575" i="10"/>
  <c r="G575" i="10"/>
  <c r="F575" i="10"/>
  <c r="I575" i="10" s="1"/>
  <c r="AO574" i="10"/>
  <c r="Y574" i="10" s="1"/>
  <c r="Z574" i="10" s="1"/>
  <c r="AM574" i="10"/>
  <c r="X574" i="10"/>
  <c r="W574" i="10"/>
  <c r="J574" i="10"/>
  <c r="K574" i="10" s="1"/>
  <c r="I574" i="10"/>
  <c r="H574" i="10"/>
  <c r="G574" i="10"/>
  <c r="F574" i="10"/>
  <c r="AO573" i="10"/>
  <c r="AM573" i="10"/>
  <c r="Y573" i="10"/>
  <c r="Z573" i="10" s="1"/>
  <c r="X573" i="10"/>
  <c r="W573" i="10"/>
  <c r="M573" i="10"/>
  <c r="J573" i="10"/>
  <c r="K573" i="10" s="1"/>
  <c r="I573" i="10"/>
  <c r="H573" i="10"/>
  <c r="G573" i="10"/>
  <c r="F573" i="10"/>
  <c r="AO572" i="10"/>
  <c r="AM572" i="10"/>
  <c r="Y572" i="10"/>
  <c r="Z572" i="10" s="1"/>
  <c r="X572" i="10"/>
  <c r="W572" i="10"/>
  <c r="H572" i="10"/>
  <c r="G572" i="10"/>
  <c r="F572" i="10"/>
  <c r="AO571" i="10"/>
  <c r="Y571" i="10" s="1"/>
  <c r="AM571" i="10"/>
  <c r="Z571" i="10"/>
  <c r="X571" i="10"/>
  <c r="W571" i="10"/>
  <c r="H571" i="10"/>
  <c r="G571" i="10"/>
  <c r="F571" i="10"/>
  <c r="I571" i="10" s="1"/>
  <c r="AO570" i="10"/>
  <c r="Y570" i="10" s="1"/>
  <c r="AM570" i="10"/>
  <c r="Z570" i="10"/>
  <c r="X570" i="10"/>
  <c r="W570" i="10"/>
  <c r="M570" i="10"/>
  <c r="K570" i="10"/>
  <c r="I570" i="10"/>
  <c r="J570" i="10" s="1"/>
  <c r="L570" i="10" s="1"/>
  <c r="H570" i="10"/>
  <c r="G570" i="10"/>
  <c r="F570" i="10"/>
  <c r="AO569" i="10"/>
  <c r="Y569" i="10" s="1"/>
  <c r="Z569" i="10" s="1"/>
  <c r="AM569" i="10"/>
  <c r="X569" i="10"/>
  <c r="W569" i="10"/>
  <c r="I569" i="10"/>
  <c r="H569" i="10"/>
  <c r="G569" i="10"/>
  <c r="F569" i="10"/>
  <c r="AO568" i="10"/>
  <c r="AM568" i="10"/>
  <c r="Y568" i="10"/>
  <c r="Z568" i="10" s="1"/>
  <c r="X568" i="10"/>
  <c r="W568" i="10"/>
  <c r="H568" i="10"/>
  <c r="G568" i="10"/>
  <c r="F568" i="10"/>
  <c r="I568" i="10" s="1"/>
  <c r="AO567" i="10"/>
  <c r="Y567" i="10" s="1"/>
  <c r="Z567" i="10" s="1"/>
  <c r="AM567" i="10"/>
  <c r="X567" i="10"/>
  <c r="W567" i="10"/>
  <c r="I567" i="10"/>
  <c r="H567" i="10"/>
  <c r="G567" i="10"/>
  <c r="F567" i="10"/>
  <c r="AO566" i="10"/>
  <c r="Y566" i="10" s="1"/>
  <c r="AM566" i="10"/>
  <c r="Z566" i="10"/>
  <c r="X566" i="10"/>
  <c r="W566" i="10"/>
  <c r="H566" i="10"/>
  <c r="G566" i="10"/>
  <c r="F566" i="10"/>
  <c r="AO565" i="10"/>
  <c r="Y565" i="10" s="1"/>
  <c r="AM565" i="10"/>
  <c r="Z565" i="10"/>
  <c r="X565" i="10"/>
  <c r="W565" i="10"/>
  <c r="L565" i="10"/>
  <c r="I565" i="10"/>
  <c r="J565" i="10" s="1"/>
  <c r="K565" i="10" s="1"/>
  <c r="H565" i="10"/>
  <c r="G565" i="10"/>
  <c r="F565" i="10"/>
  <c r="BN564" i="10"/>
  <c r="AQ564" i="10"/>
  <c r="AM564" i="10"/>
  <c r="X564" i="10"/>
  <c r="W564" i="10"/>
  <c r="I564" i="10"/>
  <c r="H564" i="10"/>
  <c r="G564" i="10"/>
  <c r="F564" i="10"/>
  <c r="BN563" i="10"/>
  <c r="AQ563" i="10"/>
  <c r="AM563" i="10"/>
  <c r="X563" i="10"/>
  <c r="W563" i="10"/>
  <c r="H563" i="10"/>
  <c r="G563" i="10"/>
  <c r="F563" i="10"/>
  <c r="BN562" i="10"/>
  <c r="AQ562" i="10"/>
  <c r="AM562" i="10"/>
  <c r="X562" i="10"/>
  <c r="W562" i="10"/>
  <c r="H562" i="10"/>
  <c r="G562" i="10"/>
  <c r="F562" i="10"/>
  <c r="I562" i="10" s="1"/>
  <c r="BN561" i="10"/>
  <c r="AQ561" i="10"/>
  <c r="AM561" i="10"/>
  <c r="X561" i="10"/>
  <c r="W561" i="10"/>
  <c r="H561" i="10"/>
  <c r="G561" i="10"/>
  <c r="F561" i="10"/>
  <c r="BN560" i="10"/>
  <c r="AQ560" i="10"/>
  <c r="AM560" i="10"/>
  <c r="X560" i="10"/>
  <c r="W560" i="10"/>
  <c r="I560" i="10"/>
  <c r="H560" i="10"/>
  <c r="G560" i="10"/>
  <c r="F560" i="10"/>
  <c r="BN559" i="10"/>
  <c r="AQ559" i="10"/>
  <c r="AM559" i="10"/>
  <c r="X559" i="10"/>
  <c r="W559" i="10"/>
  <c r="H559" i="10"/>
  <c r="G559" i="10"/>
  <c r="F559" i="10"/>
  <c r="BN558" i="10"/>
  <c r="AQ558" i="10"/>
  <c r="AM558" i="10"/>
  <c r="X558" i="10"/>
  <c r="W558" i="10"/>
  <c r="H558" i="10"/>
  <c r="G558" i="10"/>
  <c r="F558" i="10"/>
  <c r="BN557" i="10"/>
  <c r="AQ557" i="10"/>
  <c r="AM557" i="10"/>
  <c r="X557" i="10"/>
  <c r="W557" i="10"/>
  <c r="L557" i="10"/>
  <c r="J557" i="10"/>
  <c r="K557" i="10" s="1"/>
  <c r="I557" i="10"/>
  <c r="M557" i="10" s="1"/>
  <c r="H557" i="10"/>
  <c r="G557" i="10"/>
  <c r="F557" i="10"/>
  <c r="BN556" i="10"/>
  <c r="AQ556" i="10"/>
  <c r="AM556" i="10"/>
  <c r="X556" i="10"/>
  <c r="W556" i="10"/>
  <c r="M556" i="10"/>
  <c r="L556" i="10"/>
  <c r="J556" i="10"/>
  <c r="K556" i="10" s="1"/>
  <c r="H556" i="10"/>
  <c r="G556" i="10"/>
  <c r="F556" i="10"/>
  <c r="I556" i="10" s="1"/>
  <c r="BN555" i="10"/>
  <c r="AQ555" i="10"/>
  <c r="AM555" i="10"/>
  <c r="X555" i="10"/>
  <c r="W555" i="10"/>
  <c r="I555" i="10"/>
  <c r="H555" i="10"/>
  <c r="G555" i="10"/>
  <c r="F555" i="10"/>
  <c r="BN554" i="10"/>
  <c r="AQ554" i="10"/>
  <c r="AM554" i="10"/>
  <c r="X554" i="10"/>
  <c r="W554" i="10"/>
  <c r="I554" i="10"/>
  <c r="H554" i="10"/>
  <c r="G554" i="10"/>
  <c r="F554" i="10"/>
  <c r="BN553" i="10"/>
  <c r="AQ553" i="10"/>
  <c r="AM553" i="10"/>
  <c r="X553" i="10"/>
  <c r="W553" i="10"/>
  <c r="I553" i="10" s="1"/>
  <c r="H553" i="10"/>
  <c r="G553" i="10"/>
  <c r="F553" i="10"/>
  <c r="BN552" i="10"/>
  <c r="AQ552" i="10"/>
  <c r="AM552" i="10"/>
  <c r="X552" i="10"/>
  <c r="W552" i="10"/>
  <c r="H552" i="10"/>
  <c r="G552" i="10"/>
  <c r="F552" i="10"/>
  <c r="I552" i="10" s="1"/>
  <c r="BN551" i="10"/>
  <c r="AQ551" i="10"/>
  <c r="AM551" i="10"/>
  <c r="X551" i="10"/>
  <c r="W551" i="10"/>
  <c r="I551" i="10"/>
  <c r="H551" i="10"/>
  <c r="G551" i="10"/>
  <c r="F551" i="10"/>
  <c r="BN550" i="10"/>
  <c r="AQ550" i="10"/>
  <c r="AM550" i="10"/>
  <c r="X550" i="10"/>
  <c r="W550" i="10"/>
  <c r="H550" i="10"/>
  <c r="G550" i="10"/>
  <c r="F550" i="10"/>
  <c r="BN549" i="10"/>
  <c r="BA549" i="10"/>
  <c r="AW549" i="10"/>
  <c r="AM549" i="10"/>
  <c r="X549" i="10"/>
  <c r="W549" i="10"/>
  <c r="L549" i="10"/>
  <c r="J549" i="10"/>
  <c r="K549" i="10" s="1"/>
  <c r="H549" i="10"/>
  <c r="G549" i="10"/>
  <c r="F549" i="10"/>
  <c r="I549" i="10" s="1"/>
  <c r="M549" i="10" s="1"/>
  <c r="BN548" i="10"/>
  <c r="BA548" i="10"/>
  <c r="AW548" i="10"/>
  <c r="AM548" i="10"/>
  <c r="X548" i="10"/>
  <c r="W548" i="10"/>
  <c r="H548" i="10"/>
  <c r="G548" i="10"/>
  <c r="F548" i="10"/>
  <c r="I548" i="10" s="1"/>
  <c r="BN547" i="10"/>
  <c r="BA547" i="10"/>
  <c r="AW547" i="10"/>
  <c r="AM547" i="10"/>
  <c r="X547" i="10"/>
  <c r="W547" i="10"/>
  <c r="J547" i="10"/>
  <c r="K547" i="10" s="1"/>
  <c r="I547" i="10"/>
  <c r="H547" i="10"/>
  <c r="G547" i="10"/>
  <c r="F547" i="10"/>
  <c r="BN546" i="10"/>
  <c r="BA546" i="10"/>
  <c r="AW546" i="10"/>
  <c r="AM546" i="10"/>
  <c r="X546" i="10"/>
  <c r="W546" i="10"/>
  <c r="H546" i="10"/>
  <c r="G546" i="10"/>
  <c r="F546" i="10"/>
  <c r="BN545" i="10"/>
  <c r="BA545" i="10"/>
  <c r="AW545" i="10"/>
  <c r="AM545" i="10"/>
  <c r="X545" i="10"/>
  <c r="W545" i="10"/>
  <c r="H545" i="10"/>
  <c r="G545" i="10"/>
  <c r="F545" i="10"/>
  <c r="I545" i="10" s="1"/>
  <c r="BN544" i="10"/>
  <c r="BA544" i="10"/>
  <c r="AW544" i="10"/>
  <c r="AM544" i="10"/>
  <c r="X544" i="10"/>
  <c r="W544" i="10"/>
  <c r="H544" i="10"/>
  <c r="G544" i="10"/>
  <c r="F544" i="10"/>
  <c r="AW543" i="10"/>
  <c r="AV543" i="10" s="1"/>
  <c r="AM543" i="10"/>
  <c r="Z543" i="10"/>
  <c r="Y543" i="10"/>
  <c r="BN543" i="10" s="1"/>
  <c r="X543" i="10"/>
  <c r="W543" i="10"/>
  <c r="I543" i="10" s="1"/>
  <c r="L543" i="10" s="1"/>
  <c r="K543" i="10"/>
  <c r="J543" i="10"/>
  <c r="E543" i="10"/>
  <c r="G543" i="10" s="1"/>
  <c r="AW542" i="10"/>
  <c r="AV542" i="10"/>
  <c r="AM542" i="10"/>
  <c r="Z542" i="10"/>
  <c r="Y542" i="10"/>
  <c r="BN542" i="10" s="1"/>
  <c r="X542" i="10"/>
  <c r="W542" i="10"/>
  <c r="I542" i="10" s="1"/>
  <c r="H542" i="10"/>
  <c r="E542" i="10"/>
  <c r="G542" i="10" s="1"/>
  <c r="AW541" i="10"/>
  <c r="AV541" i="10" s="1"/>
  <c r="AU541" i="10"/>
  <c r="Y541" i="10" s="1"/>
  <c r="AM541" i="10"/>
  <c r="X541" i="10"/>
  <c r="W541" i="10"/>
  <c r="I541" i="10"/>
  <c r="J541" i="10" s="1"/>
  <c r="K541" i="10" s="1"/>
  <c r="H541" i="10"/>
  <c r="G541" i="10"/>
  <c r="E541" i="10"/>
  <c r="AW540" i="10"/>
  <c r="AV540" i="10"/>
  <c r="AM540" i="10"/>
  <c r="Z540" i="10"/>
  <c r="BN540" i="10" s="1"/>
  <c r="Y540" i="10"/>
  <c r="X540" i="10"/>
  <c r="W540" i="10"/>
  <c r="K540" i="10"/>
  <c r="I540" i="10"/>
  <c r="J540" i="10" s="1"/>
  <c r="H540" i="10"/>
  <c r="G540" i="10"/>
  <c r="E540" i="10"/>
  <c r="BN539" i="10"/>
  <c r="AW539" i="10"/>
  <c r="AV539" i="10" s="1"/>
  <c r="AM539" i="10"/>
  <c r="Z539" i="10"/>
  <c r="Y539" i="10"/>
  <c r="X539" i="10"/>
  <c r="W539" i="10"/>
  <c r="M539" i="10"/>
  <c r="I539" i="10"/>
  <c r="J539" i="10" s="1"/>
  <c r="K539" i="10" s="1"/>
  <c r="H539" i="10"/>
  <c r="G539" i="10"/>
  <c r="E539" i="10"/>
  <c r="AW538" i="10"/>
  <c r="AV538" i="10" s="1"/>
  <c r="AU538" i="10"/>
  <c r="AM538" i="10"/>
  <c r="Z538" i="10"/>
  <c r="Y538" i="10"/>
  <c r="BN538" i="10" s="1"/>
  <c r="X538" i="10"/>
  <c r="W538" i="10"/>
  <c r="I538" i="10" s="1"/>
  <c r="H538" i="10"/>
  <c r="E538" i="10"/>
  <c r="G538" i="10" s="1"/>
  <c r="AU537" i="10"/>
  <c r="Z537" i="10" s="1"/>
  <c r="AM537" i="10"/>
  <c r="X537" i="10"/>
  <c r="W537" i="10"/>
  <c r="I537" i="10"/>
  <c r="E537" i="10"/>
  <c r="H537" i="10" s="1"/>
  <c r="AU536" i="10"/>
  <c r="AW536" i="10" s="1"/>
  <c r="AV536" i="10" s="1"/>
  <c r="AM536" i="10"/>
  <c r="Z536" i="10"/>
  <c r="BN536" i="10" s="1"/>
  <c r="Y536" i="10"/>
  <c r="X536" i="10"/>
  <c r="W536" i="10"/>
  <c r="I536" i="10"/>
  <c r="H536" i="10"/>
  <c r="G536" i="10"/>
  <c r="E536" i="10"/>
  <c r="AU535" i="10"/>
  <c r="AW535" i="10" s="1"/>
  <c r="AV535" i="10" s="1"/>
  <c r="AM535" i="10"/>
  <c r="Y535" i="10"/>
  <c r="X535" i="10"/>
  <c r="W535" i="10"/>
  <c r="J535" i="10"/>
  <c r="K535" i="10" s="1"/>
  <c r="I535" i="10"/>
  <c r="H535" i="10"/>
  <c r="G535" i="10"/>
  <c r="E535" i="10"/>
  <c r="BN534" i="10"/>
  <c r="AU534" i="10"/>
  <c r="AW534" i="10" s="1"/>
  <c r="AV534" i="10" s="1"/>
  <c r="AM534" i="10"/>
  <c r="Z534" i="10"/>
  <c r="Y534" i="10"/>
  <c r="X534" i="10"/>
  <c r="W534" i="10"/>
  <c r="I534" i="10"/>
  <c r="E534" i="10"/>
  <c r="G534" i="10" s="1"/>
  <c r="AW533" i="10"/>
  <c r="AV533" i="10" s="1"/>
  <c r="AU533" i="10"/>
  <c r="Y533" i="10" s="1"/>
  <c r="AM533" i="10"/>
  <c r="X533" i="10"/>
  <c r="W533" i="10"/>
  <c r="L533" i="10"/>
  <c r="J533" i="10"/>
  <c r="M533" i="10" s="1"/>
  <c r="I533" i="10"/>
  <c r="G533" i="10"/>
  <c r="E533" i="10"/>
  <c r="H533" i="10" s="1"/>
  <c r="AW532" i="10"/>
  <c r="AV532" i="10"/>
  <c r="AU532" i="10"/>
  <c r="Z532" i="10" s="1"/>
  <c r="AM532" i="10"/>
  <c r="X532" i="10"/>
  <c r="W532" i="10"/>
  <c r="I532" i="10" s="1"/>
  <c r="H532" i="10"/>
  <c r="E532" i="10"/>
  <c r="G532" i="10" s="1"/>
  <c r="BN531" i="10"/>
  <c r="AW531" i="10"/>
  <c r="AV531" i="10"/>
  <c r="AM531" i="10"/>
  <c r="Z531" i="10"/>
  <c r="Y531" i="10"/>
  <c r="X531" i="10"/>
  <c r="W531" i="10"/>
  <c r="I531" i="10" s="1"/>
  <c r="J531" i="10"/>
  <c r="M531" i="10" s="1"/>
  <c r="H531" i="10"/>
  <c r="G531" i="10"/>
  <c r="E531" i="10"/>
  <c r="AW530" i="10"/>
  <c r="AV530" i="10" s="1"/>
  <c r="AM530" i="10"/>
  <c r="Z530" i="10"/>
  <c r="Y530" i="10"/>
  <c r="BN530" i="10" s="1"/>
  <c r="X530" i="10"/>
  <c r="W530" i="10"/>
  <c r="I530" i="10" s="1"/>
  <c r="M530" i="10" s="1"/>
  <c r="L530" i="10"/>
  <c r="J530" i="10"/>
  <c r="K530" i="10" s="1"/>
  <c r="H530" i="10"/>
  <c r="E530" i="10"/>
  <c r="G530" i="10" s="1"/>
  <c r="AU529" i="10"/>
  <c r="AW529" i="10" s="1"/>
  <c r="AV529" i="10" s="1"/>
  <c r="AM529" i="10"/>
  <c r="Z529" i="10"/>
  <c r="X529" i="10"/>
  <c r="W529" i="10"/>
  <c r="L529" i="10"/>
  <c r="I529" i="10"/>
  <c r="J529" i="10" s="1"/>
  <c r="K529" i="10" s="1"/>
  <c r="H529" i="10"/>
  <c r="E529" i="10"/>
  <c r="G529" i="10" s="1"/>
  <c r="BA528" i="10"/>
  <c r="AR528" i="10"/>
  <c r="AN528" i="10"/>
  <c r="AM528" i="10"/>
  <c r="Z528" i="10"/>
  <c r="X528" i="10"/>
  <c r="W528" i="10"/>
  <c r="H528" i="10"/>
  <c r="G528" i="10"/>
  <c r="F528" i="10"/>
  <c r="I528" i="10" s="1"/>
  <c r="BA527" i="10"/>
  <c r="AR527" i="10"/>
  <c r="AN527" i="10"/>
  <c r="AM527" i="10"/>
  <c r="Z527" i="10"/>
  <c r="X527" i="10"/>
  <c r="W527" i="10"/>
  <c r="H527" i="10"/>
  <c r="G527" i="10"/>
  <c r="F527" i="10"/>
  <c r="I527" i="10" s="1"/>
  <c r="BA526" i="10"/>
  <c r="AR526" i="10"/>
  <c r="AN526" i="10"/>
  <c r="AM526" i="10"/>
  <c r="Z526" i="10"/>
  <c r="X526" i="10"/>
  <c r="W526" i="10"/>
  <c r="H526" i="10"/>
  <c r="G526" i="10"/>
  <c r="F526" i="10"/>
  <c r="I526" i="10" s="1"/>
  <c r="BA525" i="10"/>
  <c r="AR525" i="10"/>
  <c r="AN525" i="10"/>
  <c r="AM525" i="10"/>
  <c r="Z525" i="10"/>
  <c r="X525" i="10"/>
  <c r="W525" i="10"/>
  <c r="I525" i="10"/>
  <c r="H525" i="10"/>
  <c r="G525" i="10"/>
  <c r="F525" i="10"/>
  <c r="BA524" i="10"/>
  <c r="AR524" i="10"/>
  <c r="AN524" i="10"/>
  <c r="AM524" i="10"/>
  <c r="Z524" i="10"/>
  <c r="X524" i="10"/>
  <c r="W524" i="10"/>
  <c r="I524" i="10"/>
  <c r="H524" i="10"/>
  <c r="G524" i="10"/>
  <c r="F524" i="10"/>
  <c r="D524" i="10"/>
  <c r="BA523" i="10"/>
  <c r="AR523" i="10"/>
  <c r="AN523" i="10"/>
  <c r="AM523" i="10"/>
  <c r="Z523" i="10"/>
  <c r="X523" i="10"/>
  <c r="W523" i="10"/>
  <c r="H523" i="10"/>
  <c r="G523" i="10"/>
  <c r="F523" i="10"/>
  <c r="I523" i="10" s="1"/>
  <c r="BA522" i="10"/>
  <c r="AR522" i="10"/>
  <c r="AN522" i="10"/>
  <c r="AM522" i="10"/>
  <c r="Z522" i="10"/>
  <c r="X522" i="10"/>
  <c r="W522" i="10"/>
  <c r="H522" i="10"/>
  <c r="G522" i="10"/>
  <c r="F522" i="10"/>
  <c r="I522" i="10" s="1"/>
  <c r="BA521" i="10"/>
  <c r="AR521" i="10"/>
  <c r="AN521" i="10"/>
  <c r="AM521" i="10"/>
  <c r="Z521" i="10"/>
  <c r="X521" i="10"/>
  <c r="W521" i="10"/>
  <c r="H521" i="10"/>
  <c r="G521" i="10"/>
  <c r="F521" i="10"/>
  <c r="I521" i="10" s="1"/>
  <c r="BA520" i="10"/>
  <c r="AR520" i="10"/>
  <c r="AN520" i="10"/>
  <c r="AM520" i="10"/>
  <c r="Z520" i="10"/>
  <c r="X520" i="10"/>
  <c r="W520" i="10"/>
  <c r="H520" i="10"/>
  <c r="G520" i="10"/>
  <c r="F520" i="10"/>
  <c r="I520" i="10" s="1"/>
  <c r="BA519" i="10"/>
  <c r="AR519" i="10"/>
  <c r="AN519" i="10"/>
  <c r="AM519" i="10"/>
  <c r="Z519" i="10"/>
  <c r="X519" i="10"/>
  <c r="W519" i="10"/>
  <c r="H519" i="10"/>
  <c r="G519" i="10"/>
  <c r="F519" i="10"/>
  <c r="I519" i="10" s="1"/>
  <c r="BA518" i="10"/>
  <c r="AR518" i="10"/>
  <c r="AN518" i="10"/>
  <c r="AM518" i="10"/>
  <c r="Z518" i="10"/>
  <c r="X518" i="10"/>
  <c r="W518" i="10"/>
  <c r="I518" i="10"/>
  <c r="H518" i="10"/>
  <c r="G518" i="10"/>
  <c r="F518" i="10"/>
  <c r="BA517" i="10"/>
  <c r="AR517" i="10"/>
  <c r="AN517" i="10"/>
  <c r="AM517" i="10"/>
  <c r="Z517" i="10"/>
  <c r="X517" i="10"/>
  <c r="W517" i="10"/>
  <c r="H517" i="10"/>
  <c r="G517" i="10"/>
  <c r="F517" i="10"/>
  <c r="I517" i="10" s="1"/>
  <c r="BA516" i="10"/>
  <c r="AR516" i="10"/>
  <c r="AN516" i="10"/>
  <c r="AM516" i="10"/>
  <c r="Z516" i="10"/>
  <c r="X516" i="10"/>
  <c r="W516" i="10"/>
  <c r="I516" i="10"/>
  <c r="J516" i="10" s="1"/>
  <c r="H516" i="10"/>
  <c r="G516" i="10"/>
  <c r="F516" i="10"/>
  <c r="BA515" i="10"/>
  <c r="AR515" i="10"/>
  <c r="AN515" i="10"/>
  <c r="AM515" i="10"/>
  <c r="Z515" i="10"/>
  <c r="X515" i="10"/>
  <c r="W515" i="10"/>
  <c r="I515" i="10" s="1"/>
  <c r="H515" i="10"/>
  <c r="G515" i="10"/>
  <c r="F515" i="10"/>
  <c r="BA514" i="10"/>
  <c r="AR514" i="10"/>
  <c r="AN514" i="10"/>
  <c r="AM514" i="10"/>
  <c r="Z514" i="10"/>
  <c r="X514" i="10"/>
  <c r="W514" i="10"/>
  <c r="H514" i="10"/>
  <c r="G514" i="10"/>
  <c r="F514" i="10"/>
  <c r="I514" i="10" s="1"/>
  <c r="BA513" i="10"/>
  <c r="AR513" i="10"/>
  <c r="AN513" i="10"/>
  <c r="AM513" i="10"/>
  <c r="Z513" i="10"/>
  <c r="X513" i="10"/>
  <c r="W513" i="10"/>
  <c r="I513" i="10"/>
  <c r="H513" i="10"/>
  <c r="G513" i="10"/>
  <c r="F513" i="10"/>
  <c r="BA512" i="10"/>
  <c r="AR512" i="10"/>
  <c r="AN512" i="10"/>
  <c r="AM512" i="10"/>
  <c r="Z512" i="10"/>
  <c r="X512" i="10"/>
  <c r="W512" i="10"/>
  <c r="H512" i="10"/>
  <c r="G512" i="10"/>
  <c r="F512" i="10"/>
  <c r="I512" i="10" s="1"/>
  <c r="BA511" i="10"/>
  <c r="AR511" i="10"/>
  <c r="AN511" i="10"/>
  <c r="AM511" i="10"/>
  <c r="Z511" i="10"/>
  <c r="X511" i="10"/>
  <c r="W511" i="10"/>
  <c r="I511" i="10"/>
  <c r="H511" i="10"/>
  <c r="G511" i="10"/>
  <c r="F511" i="10"/>
  <c r="BA510" i="10"/>
  <c r="AR510" i="10"/>
  <c r="AN510" i="10"/>
  <c r="AM510" i="10"/>
  <c r="Z510" i="10"/>
  <c r="X510" i="10"/>
  <c r="W510" i="10"/>
  <c r="H510" i="10"/>
  <c r="G510" i="10"/>
  <c r="F510" i="10"/>
  <c r="I510" i="10" s="1"/>
  <c r="BA509" i="10"/>
  <c r="AR509" i="10"/>
  <c r="AN509" i="10"/>
  <c r="AM509" i="10"/>
  <c r="Z509" i="10"/>
  <c r="X509" i="10"/>
  <c r="W509" i="10"/>
  <c r="H509" i="10"/>
  <c r="G509" i="10"/>
  <c r="F509" i="10"/>
  <c r="I509" i="10" s="1"/>
  <c r="BA508" i="10"/>
  <c r="AR508" i="10"/>
  <c r="AN508" i="10"/>
  <c r="AM508" i="10"/>
  <c r="Z508" i="10"/>
  <c r="X508" i="10"/>
  <c r="W508" i="10"/>
  <c r="H508" i="10"/>
  <c r="G508" i="10"/>
  <c r="F508" i="10"/>
  <c r="I508" i="10" s="1"/>
  <c r="BA507" i="10"/>
  <c r="AS507" i="10"/>
  <c r="AR507" i="10" s="1"/>
  <c r="AN507" i="10"/>
  <c r="AM507" i="10"/>
  <c r="Z507" i="10"/>
  <c r="X507" i="10"/>
  <c r="W507" i="10"/>
  <c r="H507" i="10"/>
  <c r="G507" i="10"/>
  <c r="F507" i="10"/>
  <c r="I507" i="10" s="1"/>
  <c r="BA506" i="10"/>
  <c r="AS506" i="10"/>
  <c r="AR506" i="10" s="1"/>
  <c r="AN506" i="10"/>
  <c r="AM506" i="10"/>
  <c r="Z506" i="10"/>
  <c r="X506" i="10"/>
  <c r="W506" i="10"/>
  <c r="H506" i="10"/>
  <c r="G506" i="10"/>
  <c r="F506" i="10"/>
  <c r="I506" i="10" s="1"/>
  <c r="BA505" i="10"/>
  <c r="AS505" i="10"/>
  <c r="AR505" i="10" s="1"/>
  <c r="AN505" i="10"/>
  <c r="AM505" i="10"/>
  <c r="Z505" i="10"/>
  <c r="X505" i="10"/>
  <c r="W505" i="10"/>
  <c r="H505" i="10"/>
  <c r="G505" i="10"/>
  <c r="F505" i="10"/>
  <c r="I505" i="10" s="1"/>
  <c r="AZ504" i="10"/>
  <c r="AW504" i="10"/>
  <c r="AM504" i="10"/>
  <c r="X504" i="10"/>
  <c r="W504" i="10"/>
  <c r="I504" i="10"/>
  <c r="H504" i="10"/>
  <c r="G504" i="10"/>
  <c r="AZ503" i="10"/>
  <c r="AW503" i="10"/>
  <c r="AM503" i="10"/>
  <c r="X503" i="10"/>
  <c r="W503" i="10"/>
  <c r="I503" i="10" s="1"/>
  <c r="H503" i="10"/>
  <c r="G503" i="10"/>
  <c r="AZ502" i="10"/>
  <c r="AW502" i="10"/>
  <c r="AM502" i="10"/>
  <c r="X502" i="10"/>
  <c r="W502" i="10"/>
  <c r="I502" i="10"/>
  <c r="H502" i="10"/>
  <c r="G502" i="10"/>
  <c r="AZ501" i="10"/>
  <c r="AW501" i="10"/>
  <c r="AM501" i="10"/>
  <c r="X501" i="10"/>
  <c r="W501" i="10"/>
  <c r="I501" i="10" s="1"/>
  <c r="H501" i="10"/>
  <c r="G501" i="10"/>
  <c r="AZ500" i="10"/>
  <c r="AW500" i="10"/>
  <c r="AT500" i="10"/>
  <c r="AM500" i="10"/>
  <c r="X500" i="10"/>
  <c r="W500" i="10"/>
  <c r="J500" i="10"/>
  <c r="M500" i="10" s="1"/>
  <c r="I500" i="10"/>
  <c r="H500" i="10"/>
  <c r="G500" i="10"/>
  <c r="AZ499" i="10"/>
  <c r="AW499" i="10"/>
  <c r="AT499" i="10"/>
  <c r="AM499" i="10"/>
  <c r="X499" i="10"/>
  <c r="W499" i="10"/>
  <c r="I499" i="10"/>
  <c r="H499" i="10"/>
  <c r="G499" i="10"/>
  <c r="AZ498" i="10"/>
  <c r="AW498" i="10"/>
  <c r="AT498" i="10"/>
  <c r="AM498" i="10"/>
  <c r="X498" i="10"/>
  <c r="W498" i="10"/>
  <c r="I498" i="10" s="1"/>
  <c r="H498" i="10"/>
  <c r="G498" i="10"/>
  <c r="AZ497" i="10"/>
  <c r="AW497" i="10"/>
  <c r="AT497" i="10"/>
  <c r="AM497" i="10"/>
  <c r="X497" i="10"/>
  <c r="W497" i="10"/>
  <c r="I497" i="10"/>
  <c r="H497" i="10"/>
  <c r="G497" i="10"/>
  <c r="AZ496" i="10"/>
  <c r="AW496" i="10"/>
  <c r="AT496" i="10"/>
  <c r="AM496" i="10"/>
  <c r="X496" i="10"/>
  <c r="W496" i="10"/>
  <c r="I496" i="10" s="1"/>
  <c r="H496" i="10"/>
  <c r="G496" i="10"/>
  <c r="AZ495" i="10"/>
  <c r="AW495" i="10"/>
  <c r="AT495" i="10"/>
  <c r="AM495" i="10"/>
  <c r="X495" i="10"/>
  <c r="W495" i="10"/>
  <c r="I495" i="10"/>
  <c r="H495" i="10"/>
  <c r="G495" i="10"/>
  <c r="AZ494" i="10"/>
  <c r="AW494" i="10"/>
  <c r="AT494" i="10"/>
  <c r="AM494" i="10"/>
  <c r="X494" i="10"/>
  <c r="W494" i="10"/>
  <c r="I494" i="10" s="1"/>
  <c r="H494" i="10"/>
  <c r="G494" i="10"/>
  <c r="AZ493" i="10"/>
  <c r="AW493" i="10"/>
  <c r="AT493" i="10"/>
  <c r="AM493" i="10"/>
  <c r="X493" i="10"/>
  <c r="W493" i="10"/>
  <c r="I493" i="10" s="1"/>
  <c r="H493" i="10"/>
  <c r="G493" i="10"/>
  <c r="AZ492" i="10"/>
  <c r="AW492" i="10"/>
  <c r="AT492" i="10"/>
  <c r="AM492" i="10"/>
  <c r="X492" i="10"/>
  <c r="W492" i="10"/>
  <c r="J492" i="10"/>
  <c r="M492" i="10" s="1"/>
  <c r="I492" i="10"/>
  <c r="H492" i="10"/>
  <c r="G492" i="10"/>
  <c r="AZ491" i="10"/>
  <c r="AW491" i="10"/>
  <c r="AT491" i="10"/>
  <c r="AM491" i="10"/>
  <c r="X491" i="10"/>
  <c r="W491" i="10"/>
  <c r="I491" i="10"/>
  <c r="H491" i="10"/>
  <c r="G491" i="10"/>
  <c r="AZ490" i="10"/>
  <c r="AW490" i="10"/>
  <c r="AT490" i="10"/>
  <c r="AM490" i="10"/>
  <c r="X490" i="10"/>
  <c r="W490" i="10"/>
  <c r="I490" i="10" s="1"/>
  <c r="H490" i="10"/>
  <c r="G490" i="10"/>
  <c r="AZ489" i="10"/>
  <c r="AW489" i="10"/>
  <c r="AT489" i="10"/>
  <c r="AM489" i="10"/>
  <c r="X489" i="10"/>
  <c r="W489" i="10"/>
  <c r="I489" i="10"/>
  <c r="H489" i="10"/>
  <c r="G489" i="10"/>
  <c r="AQ488" i="10"/>
  <c r="AM488" i="10"/>
  <c r="X488" i="10"/>
  <c r="W488" i="10"/>
  <c r="H488" i="10"/>
  <c r="G488" i="10"/>
  <c r="F488" i="10"/>
  <c r="I488" i="10" s="1"/>
  <c r="AQ487" i="10"/>
  <c r="AM487" i="10"/>
  <c r="X487" i="10"/>
  <c r="W487" i="10"/>
  <c r="H487" i="10"/>
  <c r="G487" i="10"/>
  <c r="F487" i="10"/>
  <c r="I487" i="10" s="1"/>
  <c r="AQ486" i="10"/>
  <c r="AM486" i="10"/>
  <c r="X486" i="10"/>
  <c r="W486" i="10"/>
  <c r="H486" i="10"/>
  <c r="G486" i="10"/>
  <c r="F486" i="10"/>
  <c r="I486" i="10" s="1"/>
  <c r="AQ485" i="10"/>
  <c r="AM485" i="10"/>
  <c r="X485" i="10"/>
  <c r="W485" i="10"/>
  <c r="H485" i="10"/>
  <c r="G485" i="10"/>
  <c r="F485" i="10"/>
  <c r="I485" i="10" s="1"/>
  <c r="AQ484" i="10"/>
  <c r="AM484" i="10"/>
  <c r="X484" i="10"/>
  <c r="W484" i="10"/>
  <c r="H484" i="10"/>
  <c r="G484" i="10"/>
  <c r="F484" i="10"/>
  <c r="I484" i="10" s="1"/>
  <c r="AQ483" i="10"/>
  <c r="AM483" i="10"/>
  <c r="X483" i="10"/>
  <c r="W483" i="10"/>
  <c r="H483" i="10"/>
  <c r="G483" i="10"/>
  <c r="F483" i="10"/>
  <c r="I483" i="10" s="1"/>
  <c r="AM482" i="10"/>
  <c r="X482" i="10"/>
  <c r="W482" i="10"/>
  <c r="I482" i="10" s="1"/>
  <c r="E482" i="10"/>
  <c r="H482" i="10" s="1"/>
  <c r="AM481" i="10"/>
  <c r="X481" i="10"/>
  <c r="W481" i="10"/>
  <c r="I481" i="10" s="1"/>
  <c r="E481" i="10"/>
  <c r="H481" i="10" s="1"/>
  <c r="AM480" i="10"/>
  <c r="X480" i="10"/>
  <c r="W480" i="10"/>
  <c r="I480" i="10"/>
  <c r="H480" i="10"/>
  <c r="G480" i="10"/>
  <c r="E480" i="10"/>
  <c r="AM479" i="10"/>
  <c r="X479" i="10"/>
  <c r="W479" i="10"/>
  <c r="I479" i="10" s="1"/>
  <c r="G479" i="10"/>
  <c r="E479" i="10"/>
  <c r="H479" i="10" s="1"/>
  <c r="AM478" i="10"/>
  <c r="X478" i="10"/>
  <c r="W478" i="10"/>
  <c r="J478" i="10"/>
  <c r="K478" i="10" s="1"/>
  <c r="I478" i="10"/>
  <c r="M478" i="10" s="1"/>
  <c r="G478" i="10"/>
  <c r="E478" i="10"/>
  <c r="H478" i="10" s="1"/>
  <c r="AM477" i="10"/>
  <c r="X477" i="10"/>
  <c r="W477" i="10"/>
  <c r="J477" i="10"/>
  <c r="M477" i="10" s="1"/>
  <c r="I477" i="10"/>
  <c r="H477" i="10"/>
  <c r="G477" i="10"/>
  <c r="E477" i="10"/>
  <c r="AM476" i="10"/>
  <c r="X476" i="10"/>
  <c r="W476" i="10"/>
  <c r="I476" i="10" s="1"/>
  <c r="H476" i="10"/>
  <c r="G476" i="10"/>
  <c r="E476" i="10"/>
  <c r="AM475" i="10"/>
  <c r="X475" i="10"/>
  <c r="W475" i="10"/>
  <c r="I475" i="10" s="1"/>
  <c r="H475" i="10"/>
  <c r="E475" i="10"/>
  <c r="G475" i="10" s="1"/>
  <c r="AM474" i="10"/>
  <c r="X474" i="10"/>
  <c r="W474" i="10"/>
  <c r="I474" i="10" s="1"/>
  <c r="E474" i="10"/>
  <c r="H474" i="10" s="1"/>
  <c r="AM473" i="10"/>
  <c r="X473" i="10"/>
  <c r="W473" i="10"/>
  <c r="I473" i="10" s="1"/>
  <c r="E473" i="10"/>
  <c r="H473" i="10" s="1"/>
  <c r="AM472" i="10"/>
  <c r="X472" i="10"/>
  <c r="W472" i="10"/>
  <c r="I472" i="10"/>
  <c r="H472" i="10"/>
  <c r="G472" i="10"/>
  <c r="E472" i="10"/>
  <c r="AM471" i="10"/>
  <c r="X471" i="10"/>
  <c r="W471" i="10"/>
  <c r="I471" i="10" s="1"/>
  <c r="G471" i="10"/>
  <c r="E471" i="10"/>
  <c r="H471" i="10" s="1"/>
  <c r="AM470" i="10"/>
  <c r="X470" i="10"/>
  <c r="W470" i="10"/>
  <c r="J470" i="10"/>
  <c r="K470" i="10" s="1"/>
  <c r="I470" i="10"/>
  <c r="M470" i="10" s="1"/>
  <c r="G470" i="10"/>
  <c r="E470" i="10"/>
  <c r="H470" i="10" s="1"/>
  <c r="AM469" i="10"/>
  <c r="X469" i="10"/>
  <c r="W469" i="10"/>
  <c r="J469" i="10"/>
  <c r="M469" i="10" s="1"/>
  <c r="I469" i="10"/>
  <c r="H469" i="10"/>
  <c r="G469" i="10"/>
  <c r="E469" i="10"/>
  <c r="AM468" i="10"/>
  <c r="X468" i="10"/>
  <c r="W468" i="10"/>
  <c r="I468" i="10" s="1"/>
  <c r="H468" i="10"/>
  <c r="G468" i="10"/>
  <c r="E468" i="10"/>
  <c r="AM467" i="10"/>
  <c r="X467" i="10"/>
  <c r="W467" i="10"/>
  <c r="I467" i="10" s="1"/>
  <c r="H467" i="10"/>
  <c r="E467" i="10"/>
  <c r="G467" i="10" s="1"/>
  <c r="AV466" i="10"/>
  <c r="AT466" i="10"/>
  <c r="AM466" i="10"/>
  <c r="X466" i="10"/>
  <c r="W466" i="10"/>
  <c r="I466" i="10" s="1"/>
  <c r="H466" i="10"/>
  <c r="G466" i="10"/>
  <c r="E466" i="10"/>
  <c r="AV465" i="10"/>
  <c r="AT465" i="10"/>
  <c r="AM465" i="10"/>
  <c r="X465" i="10"/>
  <c r="W465" i="10"/>
  <c r="J465" i="10"/>
  <c r="M465" i="10" s="1"/>
  <c r="I465" i="10"/>
  <c r="H465" i="10"/>
  <c r="G465" i="10"/>
  <c r="E465" i="10"/>
  <c r="AV464" i="10"/>
  <c r="AT464" i="10"/>
  <c r="AM464" i="10"/>
  <c r="X464" i="10"/>
  <c r="W464" i="10"/>
  <c r="I464" i="10"/>
  <c r="G464" i="10"/>
  <c r="E464" i="10"/>
  <c r="H464" i="10" s="1"/>
  <c r="AV463" i="10"/>
  <c r="AT463" i="10"/>
  <c r="AM463" i="10"/>
  <c r="X463" i="10"/>
  <c r="W463" i="10"/>
  <c r="I463" i="10" s="1"/>
  <c r="G463" i="10"/>
  <c r="E463" i="10"/>
  <c r="H463" i="10" s="1"/>
  <c r="AV462" i="10"/>
  <c r="AT462" i="10"/>
  <c r="AM462" i="10"/>
  <c r="X462" i="10"/>
  <c r="W462" i="10"/>
  <c r="I462" i="10"/>
  <c r="H462" i="10"/>
  <c r="G462" i="10"/>
  <c r="E462" i="10"/>
  <c r="AV461" i="10"/>
  <c r="AT461" i="10"/>
  <c r="AM461" i="10"/>
  <c r="X461" i="10"/>
  <c r="W461" i="10"/>
  <c r="I461" i="10" s="1"/>
  <c r="E461" i="10"/>
  <c r="H461" i="10" s="1"/>
  <c r="BY460" i="10"/>
  <c r="AV460" i="10"/>
  <c r="AT460" i="10"/>
  <c r="AM460" i="10"/>
  <c r="X460" i="10"/>
  <c r="W460" i="10"/>
  <c r="I460" i="10" s="1"/>
  <c r="G460" i="10"/>
  <c r="E460" i="10"/>
  <c r="H460" i="10" s="1"/>
  <c r="BY459" i="10"/>
  <c r="AV459" i="10"/>
  <c r="AT459" i="10"/>
  <c r="AM459" i="10"/>
  <c r="X459" i="10"/>
  <c r="W459" i="10"/>
  <c r="J459" i="10"/>
  <c r="M459" i="10" s="1"/>
  <c r="I459" i="10"/>
  <c r="H459" i="10"/>
  <c r="G459" i="10"/>
  <c r="E459" i="10"/>
  <c r="BY458" i="10"/>
  <c r="AV458" i="10"/>
  <c r="AT458" i="10"/>
  <c r="AM458" i="10"/>
  <c r="X458" i="10"/>
  <c r="W458" i="10"/>
  <c r="I458" i="10" s="1"/>
  <c r="H458" i="10"/>
  <c r="E458" i="10"/>
  <c r="G458" i="10" s="1"/>
  <c r="BY457" i="10"/>
  <c r="AV457" i="10"/>
  <c r="AT457" i="10"/>
  <c r="AM457" i="10"/>
  <c r="X457" i="10"/>
  <c r="W457" i="10"/>
  <c r="I457" i="10" s="1"/>
  <c r="E457" i="10"/>
  <c r="H457" i="10" s="1"/>
  <c r="BY456" i="10"/>
  <c r="AV456" i="10"/>
  <c r="AT456" i="10"/>
  <c r="AM456" i="10"/>
  <c r="X456" i="10"/>
  <c r="W456" i="10"/>
  <c r="I456" i="10" s="1"/>
  <c r="G456" i="10"/>
  <c r="E456" i="10"/>
  <c r="H456" i="10" s="1"/>
  <c r="BY455" i="10"/>
  <c r="AV455" i="10"/>
  <c r="AT455" i="10"/>
  <c r="AM455" i="10"/>
  <c r="X455" i="10"/>
  <c r="W455" i="10"/>
  <c r="J455" i="10"/>
  <c r="M455" i="10" s="1"/>
  <c r="I455" i="10"/>
  <c r="H455" i="10"/>
  <c r="G455" i="10"/>
  <c r="E455" i="10"/>
  <c r="AV454" i="10"/>
  <c r="AP454" i="10"/>
  <c r="AM454" i="10"/>
  <c r="Z454" i="10"/>
  <c r="X454" i="10"/>
  <c r="W454" i="10"/>
  <c r="H454" i="10"/>
  <c r="G454" i="10"/>
  <c r="F454" i="10"/>
  <c r="I454" i="10" s="1"/>
  <c r="AV453" i="10"/>
  <c r="AP453" i="10"/>
  <c r="AM453" i="10"/>
  <c r="Z453" i="10"/>
  <c r="X453" i="10"/>
  <c r="W453" i="10"/>
  <c r="H453" i="10"/>
  <c r="G453" i="10"/>
  <c r="F453" i="10"/>
  <c r="I453" i="10" s="1"/>
  <c r="AV452" i="10"/>
  <c r="AP452" i="10"/>
  <c r="AM452" i="10"/>
  <c r="Z452" i="10"/>
  <c r="X452" i="10"/>
  <c r="W452" i="10"/>
  <c r="H452" i="10"/>
  <c r="G452" i="10"/>
  <c r="F452" i="10"/>
  <c r="I452" i="10" s="1"/>
  <c r="AV451" i="10"/>
  <c r="AP451" i="10"/>
  <c r="AM451" i="10"/>
  <c r="Z451" i="10"/>
  <c r="X451" i="10"/>
  <c r="W451" i="10"/>
  <c r="J451" i="10"/>
  <c r="M451" i="10" s="1"/>
  <c r="I451" i="10"/>
  <c r="H451" i="10"/>
  <c r="G451" i="10"/>
  <c r="F451" i="10"/>
  <c r="AV450" i="10"/>
  <c r="AP450" i="10"/>
  <c r="AM450" i="10"/>
  <c r="Z450" i="10"/>
  <c r="X450" i="10"/>
  <c r="W450" i="10"/>
  <c r="H450" i="10"/>
  <c r="G450" i="10"/>
  <c r="F450" i="10"/>
  <c r="I450" i="10" s="1"/>
  <c r="AV449" i="10"/>
  <c r="AP449" i="10"/>
  <c r="AM449" i="10"/>
  <c r="Z449" i="10"/>
  <c r="X449" i="10"/>
  <c r="W449" i="10"/>
  <c r="H449" i="10"/>
  <c r="G449" i="10"/>
  <c r="F449" i="10"/>
  <c r="I449" i="10" s="1"/>
  <c r="AV448" i="10"/>
  <c r="AU448" i="10"/>
  <c r="AP448" i="10"/>
  <c r="AM448" i="10"/>
  <c r="Z448" i="10"/>
  <c r="X448" i="10"/>
  <c r="W448" i="10"/>
  <c r="H448" i="10"/>
  <c r="G448" i="10"/>
  <c r="F448" i="10"/>
  <c r="I448" i="10" s="1"/>
  <c r="AV447" i="10"/>
  <c r="AP447" i="10"/>
  <c r="AM447" i="10"/>
  <c r="Z447" i="10"/>
  <c r="X447" i="10"/>
  <c r="W447" i="10"/>
  <c r="H447" i="10"/>
  <c r="G447" i="10"/>
  <c r="F447" i="10"/>
  <c r="I447" i="10" s="1"/>
  <c r="AV446" i="10"/>
  <c r="AP446" i="10"/>
  <c r="AM446" i="10"/>
  <c r="Z446" i="10"/>
  <c r="X446" i="10"/>
  <c r="W446" i="10"/>
  <c r="I446" i="10"/>
  <c r="H446" i="10"/>
  <c r="G446" i="10"/>
  <c r="F446" i="10"/>
  <c r="AV445" i="10"/>
  <c r="AU445" i="10"/>
  <c r="AP445" i="10"/>
  <c r="AM445" i="10"/>
  <c r="Z445" i="10"/>
  <c r="X445" i="10"/>
  <c r="W445" i="10"/>
  <c r="H445" i="10"/>
  <c r="G445" i="10"/>
  <c r="F445" i="10"/>
  <c r="I445" i="10" s="1"/>
  <c r="AV444" i="10"/>
  <c r="AM444" i="10"/>
  <c r="X444" i="10"/>
  <c r="W444" i="10"/>
  <c r="I444" i="10" s="1"/>
  <c r="H444" i="10"/>
  <c r="G444" i="10"/>
  <c r="AV443" i="10"/>
  <c r="AM443" i="10"/>
  <c r="X443" i="10"/>
  <c r="W443" i="10"/>
  <c r="J443" i="10"/>
  <c r="K443" i="10" s="1"/>
  <c r="I443" i="10"/>
  <c r="M443" i="10" s="1"/>
  <c r="H443" i="10"/>
  <c r="G443" i="10"/>
  <c r="AV442" i="10"/>
  <c r="AM442" i="10"/>
  <c r="X442" i="10"/>
  <c r="W442" i="10"/>
  <c r="J442" i="10"/>
  <c r="I442" i="10"/>
  <c r="H442" i="10"/>
  <c r="G442" i="10"/>
  <c r="AV441" i="10"/>
  <c r="AM441" i="10"/>
  <c r="X441" i="10"/>
  <c r="W441" i="10"/>
  <c r="I441" i="10" s="1"/>
  <c r="H441" i="10"/>
  <c r="G441" i="10"/>
  <c r="AV440" i="10"/>
  <c r="AM440" i="10"/>
  <c r="X440" i="10"/>
  <c r="W440" i="10"/>
  <c r="I440" i="10" s="1"/>
  <c r="H440" i="10"/>
  <c r="G440" i="10"/>
  <c r="AV439" i="10"/>
  <c r="AM439" i="10"/>
  <c r="X439" i="10"/>
  <c r="W439" i="10"/>
  <c r="I439" i="10" s="1"/>
  <c r="H439" i="10"/>
  <c r="G439" i="10"/>
  <c r="AV438" i="10"/>
  <c r="AM438" i="10"/>
  <c r="X438" i="10"/>
  <c r="W438" i="10"/>
  <c r="I438" i="10" s="1"/>
  <c r="H438" i="10"/>
  <c r="G438" i="10"/>
  <c r="AV437" i="10"/>
  <c r="AM437" i="10"/>
  <c r="X437" i="10"/>
  <c r="W437" i="10"/>
  <c r="I437" i="10"/>
  <c r="H437" i="10"/>
  <c r="G437" i="10"/>
  <c r="AV436" i="10"/>
  <c r="AM436" i="10"/>
  <c r="X436" i="10"/>
  <c r="W436" i="10"/>
  <c r="I436" i="10" s="1"/>
  <c r="H436" i="10"/>
  <c r="G436" i="10"/>
  <c r="AV435" i="10"/>
  <c r="AM435" i="10"/>
  <c r="X435" i="10"/>
  <c r="W435" i="10"/>
  <c r="J435" i="10"/>
  <c r="K435" i="10" s="1"/>
  <c r="I435" i="10"/>
  <c r="M435" i="10" s="1"/>
  <c r="H435" i="10"/>
  <c r="G435" i="10"/>
  <c r="AV434" i="10"/>
  <c r="AM434" i="10"/>
  <c r="X434" i="10"/>
  <c r="W434" i="10"/>
  <c r="J434" i="10"/>
  <c r="I434" i="10"/>
  <c r="H434" i="10"/>
  <c r="G434" i="10"/>
  <c r="AV433" i="10"/>
  <c r="AM433" i="10"/>
  <c r="X433" i="10"/>
  <c r="W433" i="10"/>
  <c r="I433" i="10" s="1"/>
  <c r="H433" i="10"/>
  <c r="G433" i="10"/>
  <c r="AV432" i="10"/>
  <c r="AM432" i="10"/>
  <c r="X432" i="10"/>
  <c r="W432" i="10"/>
  <c r="I432" i="10" s="1"/>
  <c r="H432" i="10"/>
  <c r="G432" i="10"/>
  <c r="AV431" i="10"/>
  <c r="AM431" i="10"/>
  <c r="X431" i="10"/>
  <c r="W431" i="10"/>
  <c r="I431" i="10" s="1"/>
  <c r="H431" i="10"/>
  <c r="G431" i="10"/>
  <c r="AV430" i="10"/>
  <c r="AM430" i="10"/>
  <c r="X430" i="10"/>
  <c r="W430" i="10"/>
  <c r="I430" i="10" s="1"/>
  <c r="H430" i="10"/>
  <c r="G430" i="10"/>
  <c r="AV429" i="10"/>
  <c r="AM429" i="10"/>
  <c r="X429" i="10"/>
  <c r="W429" i="10"/>
  <c r="I429" i="10"/>
  <c r="H429" i="10"/>
  <c r="G429" i="10"/>
  <c r="AV428" i="10"/>
  <c r="AM428" i="10"/>
  <c r="X428" i="10"/>
  <c r="W428" i="10"/>
  <c r="I428" i="10" s="1"/>
  <c r="H428" i="10"/>
  <c r="G428" i="10"/>
  <c r="AV427" i="10"/>
  <c r="AM427" i="10"/>
  <c r="X427" i="10"/>
  <c r="W427" i="10"/>
  <c r="J427" i="10"/>
  <c r="K427" i="10" s="1"/>
  <c r="I427" i="10"/>
  <c r="H427" i="10"/>
  <c r="G427" i="10"/>
  <c r="AV426" i="10"/>
  <c r="AM426" i="10"/>
  <c r="X426" i="10"/>
  <c r="W426" i="10"/>
  <c r="M426" i="10"/>
  <c r="J426" i="10"/>
  <c r="I426" i="10"/>
  <c r="H426" i="10"/>
  <c r="G426" i="10"/>
  <c r="F426" i="10"/>
  <c r="AV425" i="10"/>
  <c r="AM425" i="10"/>
  <c r="X425" i="10"/>
  <c r="W425" i="10"/>
  <c r="H425" i="10"/>
  <c r="G425" i="10"/>
  <c r="F425" i="10"/>
  <c r="I425" i="10" s="1"/>
  <c r="AV424" i="10"/>
  <c r="AM424" i="10"/>
  <c r="X424" i="10"/>
  <c r="W424" i="10"/>
  <c r="M424" i="10"/>
  <c r="J424" i="10"/>
  <c r="I424" i="10"/>
  <c r="H424" i="10"/>
  <c r="G424" i="10"/>
  <c r="F424" i="10"/>
  <c r="AV423" i="10"/>
  <c r="AM423" i="10"/>
  <c r="X423" i="10"/>
  <c r="W423" i="10"/>
  <c r="H423" i="10"/>
  <c r="G423" i="10"/>
  <c r="F423" i="10"/>
  <c r="I423" i="10" s="1"/>
  <c r="AV422" i="10"/>
  <c r="AM422" i="10"/>
  <c r="X422" i="10"/>
  <c r="W422" i="10"/>
  <c r="J422" i="10"/>
  <c r="I422" i="10"/>
  <c r="H422" i="10"/>
  <c r="G422" i="10"/>
  <c r="F422" i="10"/>
  <c r="AV421" i="10"/>
  <c r="AM421" i="10"/>
  <c r="X421" i="10"/>
  <c r="W421" i="10"/>
  <c r="I421" i="10"/>
  <c r="H421" i="10"/>
  <c r="G421" i="10"/>
  <c r="F421" i="10"/>
  <c r="AV420" i="10"/>
  <c r="AM420" i="10"/>
  <c r="X420" i="10"/>
  <c r="W420" i="10"/>
  <c r="M420" i="10"/>
  <c r="J420" i="10"/>
  <c r="I420" i="10"/>
  <c r="H420" i="10"/>
  <c r="G420" i="10"/>
  <c r="F420" i="10"/>
  <c r="AV419" i="10"/>
  <c r="AM419" i="10"/>
  <c r="X419" i="10"/>
  <c r="W419" i="10"/>
  <c r="I419" i="10"/>
  <c r="H419" i="10"/>
  <c r="G419" i="10"/>
  <c r="F419" i="10"/>
  <c r="AV418" i="10"/>
  <c r="AM418" i="10"/>
  <c r="X418" i="10"/>
  <c r="W418" i="10"/>
  <c r="M418" i="10"/>
  <c r="J418" i="10"/>
  <c r="I418" i="10"/>
  <c r="H418" i="10"/>
  <c r="G418" i="10"/>
  <c r="F418" i="10"/>
  <c r="AM417" i="10"/>
  <c r="X417" i="10"/>
  <c r="W417" i="10"/>
  <c r="I417" i="10" s="1"/>
  <c r="H417" i="10"/>
  <c r="G417" i="10"/>
  <c r="E417" i="10"/>
  <c r="AM416" i="10"/>
  <c r="X416" i="10"/>
  <c r="W416" i="10"/>
  <c r="I416" i="10" s="1"/>
  <c r="H416" i="10"/>
  <c r="G416" i="10"/>
  <c r="E416" i="10"/>
  <c r="AM415" i="10"/>
  <c r="X415" i="10"/>
  <c r="W415" i="10"/>
  <c r="I415" i="10" s="1"/>
  <c r="E415" i="10"/>
  <c r="AM414" i="10"/>
  <c r="X414" i="10"/>
  <c r="W414" i="10"/>
  <c r="I414" i="10" s="1"/>
  <c r="E414" i="10"/>
  <c r="AM413" i="10"/>
  <c r="X413" i="10"/>
  <c r="W413" i="10"/>
  <c r="I413" i="10"/>
  <c r="E413" i="10"/>
  <c r="G413" i="10" s="1"/>
  <c r="AM412" i="10"/>
  <c r="X412" i="10"/>
  <c r="W412" i="10"/>
  <c r="I412" i="10"/>
  <c r="J412" i="10" s="1"/>
  <c r="K412" i="10" s="1"/>
  <c r="G412" i="10"/>
  <c r="E412" i="10"/>
  <c r="H412" i="10" s="1"/>
  <c r="AM411" i="10"/>
  <c r="X411" i="10"/>
  <c r="W411" i="10"/>
  <c r="J411" i="10"/>
  <c r="I411" i="10"/>
  <c r="G411" i="10"/>
  <c r="E411" i="10"/>
  <c r="H411" i="10" s="1"/>
  <c r="AM410" i="10"/>
  <c r="X410" i="10"/>
  <c r="W410" i="10"/>
  <c r="J410" i="10"/>
  <c r="I410" i="10"/>
  <c r="H410" i="10"/>
  <c r="G410" i="10"/>
  <c r="E410" i="10"/>
  <c r="AM409" i="10"/>
  <c r="Z409" i="10"/>
  <c r="X409" i="10"/>
  <c r="W409" i="10"/>
  <c r="I409" i="10" s="1"/>
  <c r="H409" i="10"/>
  <c r="G409" i="10"/>
  <c r="F409" i="10"/>
  <c r="AM408" i="10"/>
  <c r="Z408" i="10"/>
  <c r="X408" i="10"/>
  <c r="W408" i="10"/>
  <c r="J408" i="10"/>
  <c r="I408" i="10"/>
  <c r="H408" i="10"/>
  <c r="G408" i="10"/>
  <c r="F408" i="10"/>
  <c r="AM407" i="10"/>
  <c r="Z407" i="10"/>
  <c r="X407" i="10"/>
  <c r="W407" i="10"/>
  <c r="H407" i="10"/>
  <c r="G407" i="10"/>
  <c r="F407" i="10"/>
  <c r="I407" i="10" s="1"/>
  <c r="AM406" i="10"/>
  <c r="Z406" i="10"/>
  <c r="X406" i="10"/>
  <c r="W406" i="10"/>
  <c r="M406" i="10"/>
  <c r="J406" i="10"/>
  <c r="I406" i="10"/>
  <c r="H406" i="10"/>
  <c r="G406" i="10"/>
  <c r="F406" i="10"/>
  <c r="AM405" i="10"/>
  <c r="Z405" i="10"/>
  <c r="X405" i="10"/>
  <c r="W405" i="10"/>
  <c r="H405" i="10"/>
  <c r="G405" i="10"/>
  <c r="F405" i="10"/>
  <c r="I405" i="10" s="1"/>
  <c r="AM404" i="10"/>
  <c r="Z404" i="10"/>
  <c r="X404" i="10"/>
  <c r="W404" i="10"/>
  <c r="J404" i="10"/>
  <c r="I404" i="10"/>
  <c r="H404" i="10"/>
  <c r="G404" i="10"/>
  <c r="F404" i="10"/>
  <c r="AM403" i="10"/>
  <c r="Z403" i="10"/>
  <c r="X403" i="10"/>
  <c r="W403" i="10"/>
  <c r="I403" i="10"/>
  <c r="H403" i="10"/>
  <c r="G403" i="10"/>
  <c r="F403" i="10"/>
  <c r="AM402" i="10"/>
  <c r="Z402" i="10"/>
  <c r="X402" i="10"/>
  <c r="W402" i="10"/>
  <c r="M402" i="10"/>
  <c r="K402" i="10"/>
  <c r="J402" i="10"/>
  <c r="L402" i="10" s="1"/>
  <c r="I402" i="10"/>
  <c r="H402" i="10"/>
  <c r="G402" i="10"/>
  <c r="F402" i="10"/>
  <c r="AM401" i="10"/>
  <c r="Z401" i="10"/>
  <c r="X401" i="10"/>
  <c r="W401" i="10"/>
  <c r="I401" i="10"/>
  <c r="H401" i="10"/>
  <c r="G401" i="10"/>
  <c r="F401" i="10"/>
  <c r="AM400" i="10"/>
  <c r="Z400" i="10"/>
  <c r="X400" i="10"/>
  <c r="W400" i="10"/>
  <c r="J400" i="10"/>
  <c r="L400" i="10" s="1"/>
  <c r="I400" i="10"/>
  <c r="H400" i="10"/>
  <c r="G400" i="10"/>
  <c r="F400" i="10"/>
  <c r="AM399" i="10"/>
  <c r="Z399" i="10"/>
  <c r="X399" i="10"/>
  <c r="W399" i="10"/>
  <c r="I399" i="10"/>
  <c r="H399" i="10"/>
  <c r="G399" i="10"/>
  <c r="F399" i="10"/>
  <c r="AM398" i="10"/>
  <c r="Z398" i="10"/>
  <c r="X398" i="10"/>
  <c r="W398" i="10"/>
  <c r="M398" i="10"/>
  <c r="K398" i="10"/>
  <c r="J398" i="10"/>
  <c r="L398" i="10" s="1"/>
  <c r="I398" i="10"/>
  <c r="H398" i="10"/>
  <c r="G398" i="10"/>
  <c r="F398" i="10"/>
  <c r="AZ397" i="10"/>
  <c r="AM397" i="10"/>
  <c r="Z397" i="10"/>
  <c r="X397" i="10"/>
  <c r="W397" i="10"/>
  <c r="J397" i="10"/>
  <c r="K397" i="10" s="1"/>
  <c r="I397" i="10"/>
  <c r="M397" i="10" s="1"/>
  <c r="H397" i="10"/>
  <c r="G397" i="10"/>
  <c r="F397" i="10"/>
  <c r="AZ396" i="10"/>
  <c r="AM396" i="10"/>
  <c r="Z396" i="10"/>
  <c r="X396" i="10"/>
  <c r="W396" i="10"/>
  <c r="L396" i="10"/>
  <c r="I396" i="10"/>
  <c r="J396" i="10" s="1"/>
  <c r="K396" i="10" s="1"/>
  <c r="H396" i="10"/>
  <c r="G396" i="10"/>
  <c r="F396" i="10"/>
  <c r="AZ395" i="10"/>
  <c r="AM395" i="10"/>
  <c r="Z395" i="10"/>
  <c r="X395" i="10"/>
  <c r="W395" i="10"/>
  <c r="I395" i="10" s="1"/>
  <c r="H395" i="10"/>
  <c r="G395" i="10"/>
  <c r="F395" i="10"/>
  <c r="AZ394" i="10"/>
  <c r="AM394" i="10"/>
  <c r="Z394" i="10"/>
  <c r="X394" i="10"/>
  <c r="W394" i="10"/>
  <c r="I394" i="10"/>
  <c r="H394" i="10"/>
  <c r="G394" i="10"/>
  <c r="F394" i="10"/>
  <c r="AZ393" i="10"/>
  <c r="AQ393" i="10"/>
  <c r="AM393" i="10"/>
  <c r="X393" i="10"/>
  <c r="W393" i="10"/>
  <c r="H393" i="10"/>
  <c r="G393" i="10"/>
  <c r="F393" i="10"/>
  <c r="AZ392" i="10"/>
  <c r="AQ392" i="10"/>
  <c r="AM392" i="10"/>
  <c r="X392" i="10"/>
  <c r="W392" i="10"/>
  <c r="I392" i="10"/>
  <c r="H392" i="10"/>
  <c r="G392" i="10"/>
  <c r="F392" i="10"/>
  <c r="AZ391" i="10"/>
  <c r="AQ391" i="10"/>
  <c r="AM391" i="10"/>
  <c r="X391" i="10"/>
  <c r="W391" i="10"/>
  <c r="H391" i="10"/>
  <c r="G391" i="10"/>
  <c r="F391" i="10"/>
  <c r="I391" i="10" s="1"/>
  <c r="AZ390" i="10"/>
  <c r="AQ390" i="10"/>
  <c r="AM390" i="10"/>
  <c r="X390" i="10"/>
  <c r="W390" i="10"/>
  <c r="M390" i="10"/>
  <c r="K390" i="10"/>
  <c r="J390" i="10"/>
  <c r="L390" i="10" s="1"/>
  <c r="I390" i="10"/>
  <c r="H390" i="10"/>
  <c r="G390" i="10"/>
  <c r="F390" i="10"/>
  <c r="AZ389" i="10"/>
  <c r="AQ389" i="10"/>
  <c r="AM389" i="10"/>
  <c r="X389" i="10"/>
  <c r="W389" i="10"/>
  <c r="I389" i="10"/>
  <c r="H389" i="10"/>
  <c r="G389" i="10"/>
  <c r="AZ388" i="10"/>
  <c r="AQ388" i="10"/>
  <c r="AM388" i="10"/>
  <c r="X388" i="10"/>
  <c r="W388" i="10"/>
  <c r="I388" i="10" s="1"/>
  <c r="J388" i="10" s="1"/>
  <c r="K388" i="10" s="1"/>
  <c r="M388" i="10"/>
  <c r="L388" i="10"/>
  <c r="H388" i="10"/>
  <c r="G388" i="10"/>
  <c r="AZ387" i="10"/>
  <c r="AQ387" i="10"/>
  <c r="AM387" i="10"/>
  <c r="X387" i="10"/>
  <c r="W387" i="10"/>
  <c r="J387" i="10"/>
  <c r="K387" i="10" s="1"/>
  <c r="I387" i="10"/>
  <c r="H387" i="10"/>
  <c r="G387" i="10"/>
  <c r="AZ386" i="10"/>
  <c r="AQ386" i="10"/>
  <c r="AM386" i="10"/>
  <c r="X386" i="10"/>
  <c r="W386" i="10"/>
  <c r="I386" i="10" s="1"/>
  <c r="J386" i="10" s="1"/>
  <c r="K386" i="10" s="1"/>
  <c r="H386" i="10"/>
  <c r="G386" i="10"/>
  <c r="AZ385" i="10"/>
  <c r="AQ385" i="10"/>
  <c r="AM385" i="10"/>
  <c r="X385" i="10"/>
  <c r="W385" i="10"/>
  <c r="I385" i="10"/>
  <c r="H385" i="10"/>
  <c r="G385" i="10"/>
  <c r="AZ384" i="10"/>
  <c r="AQ384" i="10"/>
  <c r="AM384" i="10"/>
  <c r="X384" i="10"/>
  <c r="W384" i="10"/>
  <c r="I384" i="10" s="1"/>
  <c r="J384" i="10" s="1"/>
  <c r="K384" i="10" s="1"/>
  <c r="M384" i="10"/>
  <c r="L384" i="10"/>
  <c r="H384" i="10"/>
  <c r="G384" i="10"/>
  <c r="AZ383" i="10"/>
  <c r="AQ383" i="10"/>
  <c r="AM383" i="10"/>
  <c r="X383" i="10"/>
  <c r="W383" i="10"/>
  <c r="J383" i="10"/>
  <c r="K383" i="10" s="1"/>
  <c r="I383" i="10"/>
  <c r="H383" i="10"/>
  <c r="G383" i="10"/>
  <c r="F383" i="10"/>
  <c r="AZ382" i="10"/>
  <c r="AQ382" i="10"/>
  <c r="AM382" i="10"/>
  <c r="X382" i="10"/>
  <c r="W382" i="10"/>
  <c r="I382" i="10" s="1"/>
  <c r="H382" i="10"/>
  <c r="G382" i="10"/>
  <c r="AZ381" i="10"/>
  <c r="AQ381" i="10"/>
  <c r="AM381" i="10"/>
  <c r="X381" i="10"/>
  <c r="W381" i="10"/>
  <c r="K381" i="10"/>
  <c r="J381" i="10"/>
  <c r="M381" i="10" s="1"/>
  <c r="I381" i="10"/>
  <c r="H381" i="10"/>
  <c r="G381" i="10"/>
  <c r="AZ380" i="10"/>
  <c r="AQ380" i="10"/>
  <c r="AM380" i="10"/>
  <c r="X380" i="10"/>
  <c r="W380" i="10"/>
  <c r="I380" i="10" s="1"/>
  <c r="H380" i="10"/>
  <c r="G380" i="10"/>
  <c r="AZ379" i="10"/>
  <c r="AQ379" i="10"/>
  <c r="AM379" i="10"/>
  <c r="X379" i="10"/>
  <c r="W379" i="10"/>
  <c r="I379" i="10"/>
  <c r="H379" i="10"/>
  <c r="G379" i="10"/>
  <c r="AZ378" i="10"/>
  <c r="AQ378" i="10"/>
  <c r="AM378" i="10"/>
  <c r="X378" i="10"/>
  <c r="W378" i="10"/>
  <c r="I378" i="10"/>
  <c r="J378" i="10" s="1"/>
  <c r="K378" i="10" s="1"/>
  <c r="H378" i="10"/>
  <c r="G378" i="10"/>
  <c r="AZ377" i="10"/>
  <c r="AQ377" i="10"/>
  <c r="AM377" i="10"/>
  <c r="X377" i="10"/>
  <c r="W377" i="10"/>
  <c r="I377" i="10"/>
  <c r="H377" i="10"/>
  <c r="G377" i="10"/>
  <c r="AZ376" i="10"/>
  <c r="AQ376" i="10"/>
  <c r="AM376" i="10"/>
  <c r="X376" i="10"/>
  <c r="W376" i="10"/>
  <c r="K376" i="10"/>
  <c r="I376" i="10"/>
  <c r="J376" i="10" s="1"/>
  <c r="H376" i="10"/>
  <c r="G376" i="10"/>
  <c r="F376" i="10"/>
  <c r="AZ375" i="10"/>
  <c r="AQ375" i="10"/>
  <c r="AM375" i="10"/>
  <c r="X375" i="10"/>
  <c r="W375" i="10"/>
  <c r="I375" i="10" s="1"/>
  <c r="H375" i="10"/>
  <c r="G375" i="10"/>
  <c r="AZ374" i="10"/>
  <c r="AQ374" i="10"/>
  <c r="AM374" i="10"/>
  <c r="X374" i="10"/>
  <c r="W374" i="10"/>
  <c r="I374" i="10" s="1"/>
  <c r="M374" i="10" s="1"/>
  <c r="J374" i="10"/>
  <c r="K374" i="10" s="1"/>
  <c r="H374" i="10"/>
  <c r="G374" i="10"/>
  <c r="AZ373" i="10"/>
  <c r="AQ373" i="10"/>
  <c r="AM373" i="10"/>
  <c r="X373" i="10"/>
  <c r="W373" i="10"/>
  <c r="I373" i="10"/>
  <c r="H373" i="10"/>
  <c r="G373" i="10"/>
  <c r="AZ372" i="10"/>
  <c r="AQ372" i="10"/>
  <c r="AM372" i="10"/>
  <c r="X372" i="10"/>
  <c r="W372" i="10"/>
  <c r="I372" i="10" s="1"/>
  <c r="M372" i="10"/>
  <c r="L372" i="10"/>
  <c r="J372" i="10"/>
  <c r="K372" i="10" s="1"/>
  <c r="H372" i="10"/>
  <c r="G372" i="10"/>
  <c r="AZ371" i="10"/>
  <c r="AQ371" i="10"/>
  <c r="AM371" i="10"/>
  <c r="X371" i="10"/>
  <c r="W371" i="10"/>
  <c r="J371" i="10"/>
  <c r="K371" i="10" s="1"/>
  <c r="I371" i="10"/>
  <c r="H371" i="10"/>
  <c r="G371" i="10"/>
  <c r="AZ370" i="10"/>
  <c r="AQ370" i="10"/>
  <c r="AM370" i="10"/>
  <c r="X370" i="10"/>
  <c r="W370" i="10"/>
  <c r="I370" i="10" s="1"/>
  <c r="H370" i="10"/>
  <c r="G370" i="10"/>
  <c r="AZ369" i="10"/>
  <c r="AQ369" i="10"/>
  <c r="AM369" i="10"/>
  <c r="X369" i="10"/>
  <c r="W369" i="10"/>
  <c r="I369" i="10" s="1"/>
  <c r="H369" i="10"/>
  <c r="G369" i="10"/>
  <c r="F369" i="10"/>
  <c r="AZ368" i="10"/>
  <c r="AQ368" i="10"/>
  <c r="AM368" i="10"/>
  <c r="X368" i="10"/>
  <c r="W368" i="10"/>
  <c r="I368" i="10"/>
  <c r="J368" i="10" s="1"/>
  <c r="K368" i="10" s="1"/>
  <c r="H368" i="10"/>
  <c r="G368" i="10"/>
  <c r="AZ367" i="10"/>
  <c r="AQ367" i="10"/>
  <c r="AM367" i="10"/>
  <c r="X367" i="10"/>
  <c r="W367" i="10"/>
  <c r="M367" i="10"/>
  <c r="L367" i="10"/>
  <c r="J367" i="10"/>
  <c r="K367" i="10" s="1"/>
  <c r="I367" i="10"/>
  <c r="H367" i="10"/>
  <c r="G367" i="10"/>
  <c r="AZ366" i="10"/>
  <c r="AQ366" i="10"/>
  <c r="AM366" i="10"/>
  <c r="X366" i="10"/>
  <c r="W366" i="10"/>
  <c r="I366" i="10" s="1"/>
  <c r="H366" i="10"/>
  <c r="G366" i="10"/>
  <c r="AZ365" i="10"/>
  <c r="AQ365" i="10"/>
  <c r="AM365" i="10"/>
  <c r="X365" i="10"/>
  <c r="W365" i="10"/>
  <c r="I365" i="10"/>
  <c r="J365" i="10" s="1"/>
  <c r="H365" i="10"/>
  <c r="G365" i="10"/>
  <c r="AZ364" i="10"/>
  <c r="AQ364" i="10"/>
  <c r="AM364" i="10"/>
  <c r="X364" i="10"/>
  <c r="W364" i="10"/>
  <c r="K364" i="10"/>
  <c r="I364" i="10"/>
  <c r="J364" i="10" s="1"/>
  <c r="H364" i="10"/>
  <c r="G364" i="10"/>
  <c r="AZ363" i="10"/>
  <c r="AQ363" i="10"/>
  <c r="AM363" i="10"/>
  <c r="X363" i="10"/>
  <c r="W363" i="10"/>
  <c r="M363" i="10"/>
  <c r="K363" i="10"/>
  <c r="J363" i="10"/>
  <c r="I363" i="10"/>
  <c r="L363" i="10" s="1"/>
  <c r="H363" i="10"/>
  <c r="G363" i="10"/>
  <c r="AZ362" i="10"/>
  <c r="AQ362" i="10"/>
  <c r="AM362" i="10"/>
  <c r="X362" i="10"/>
  <c r="W362" i="10"/>
  <c r="H362" i="10"/>
  <c r="G362" i="10"/>
  <c r="F362" i="10"/>
  <c r="I362" i="10" s="1"/>
  <c r="AM361" i="10"/>
  <c r="Z361" i="10"/>
  <c r="X361" i="10"/>
  <c r="W361" i="10"/>
  <c r="J361" i="10"/>
  <c r="M361" i="10" s="1"/>
  <c r="I361" i="10"/>
  <c r="H361" i="10"/>
  <c r="G361" i="10"/>
  <c r="F361" i="10"/>
  <c r="AM360" i="10"/>
  <c r="Z360" i="10"/>
  <c r="X360" i="10"/>
  <c r="W360" i="10"/>
  <c r="I360" i="10" s="1"/>
  <c r="H360" i="10"/>
  <c r="G360" i="10"/>
  <c r="F360" i="10"/>
  <c r="AM359" i="10"/>
  <c r="Z359" i="10"/>
  <c r="X359" i="10"/>
  <c r="W359" i="10"/>
  <c r="I359" i="10"/>
  <c r="H359" i="10"/>
  <c r="G359" i="10"/>
  <c r="F359" i="10"/>
  <c r="AM358" i="10"/>
  <c r="Z358" i="10"/>
  <c r="X358" i="10"/>
  <c r="W358" i="10"/>
  <c r="H358" i="10"/>
  <c r="G358" i="10"/>
  <c r="F358" i="10"/>
  <c r="I358" i="10" s="1"/>
  <c r="AM357" i="10"/>
  <c r="Z357" i="10"/>
  <c r="X357" i="10"/>
  <c r="W357" i="10"/>
  <c r="K357" i="10"/>
  <c r="J357" i="10"/>
  <c r="M357" i="10" s="1"/>
  <c r="I357" i="10"/>
  <c r="H357" i="10"/>
  <c r="G357" i="10"/>
  <c r="F357" i="10"/>
  <c r="AM356" i="10"/>
  <c r="Z356" i="10"/>
  <c r="X356" i="10"/>
  <c r="W356" i="10"/>
  <c r="H356" i="10"/>
  <c r="G356" i="10"/>
  <c r="F356" i="10"/>
  <c r="I356" i="10" s="1"/>
  <c r="AM355" i="10"/>
  <c r="Z355" i="10"/>
  <c r="X355" i="10"/>
  <c r="W355" i="10"/>
  <c r="J355" i="10"/>
  <c r="K355" i="10" s="1"/>
  <c r="I355" i="10"/>
  <c r="M355" i="10" s="1"/>
  <c r="H355" i="10"/>
  <c r="G355" i="10"/>
  <c r="F355" i="10"/>
  <c r="AM354" i="10"/>
  <c r="Z354" i="10"/>
  <c r="X354" i="10"/>
  <c r="W354" i="10"/>
  <c r="I354" i="10" s="1"/>
  <c r="H354" i="10"/>
  <c r="G354" i="10"/>
  <c r="F354" i="10"/>
  <c r="AM353" i="10"/>
  <c r="Z353" i="10"/>
  <c r="X353" i="10"/>
  <c r="W353" i="10"/>
  <c r="I353" i="10"/>
  <c r="H353" i="10"/>
  <c r="G353" i="10"/>
  <c r="F353" i="10"/>
  <c r="AM352" i="10"/>
  <c r="Z352" i="10"/>
  <c r="X352" i="10"/>
  <c r="W352" i="10"/>
  <c r="I352" i="10"/>
  <c r="J352" i="10" s="1"/>
  <c r="K352" i="10" s="1"/>
  <c r="H352" i="10"/>
  <c r="G352" i="10"/>
  <c r="F352" i="10"/>
  <c r="AM351" i="10"/>
  <c r="Z351" i="10"/>
  <c r="X351" i="10"/>
  <c r="W351" i="10"/>
  <c r="M351" i="10"/>
  <c r="L351" i="10"/>
  <c r="J351" i="10"/>
  <c r="K351" i="10" s="1"/>
  <c r="I351" i="10"/>
  <c r="H351" i="10"/>
  <c r="G351" i="10"/>
  <c r="F351" i="10"/>
  <c r="AM350" i="10"/>
  <c r="Z350" i="10"/>
  <c r="X350" i="10"/>
  <c r="W350" i="10"/>
  <c r="H350" i="10"/>
  <c r="G350" i="10"/>
  <c r="F350" i="10"/>
  <c r="I350" i="10" s="1"/>
  <c r="AM349" i="10"/>
  <c r="Z349" i="10"/>
  <c r="X349" i="10"/>
  <c r="W349" i="10"/>
  <c r="I349" i="10"/>
  <c r="J349" i="10" s="1"/>
  <c r="H349" i="10"/>
  <c r="G349" i="10"/>
  <c r="F349" i="10"/>
  <c r="AM348" i="10"/>
  <c r="Z348" i="10"/>
  <c r="X348" i="10"/>
  <c r="W348" i="10"/>
  <c r="H348" i="10"/>
  <c r="G348" i="10"/>
  <c r="F348" i="10"/>
  <c r="I348" i="10" s="1"/>
  <c r="AM347" i="10"/>
  <c r="Z347" i="10"/>
  <c r="X347" i="10"/>
  <c r="W347" i="10"/>
  <c r="K347" i="10"/>
  <c r="J347" i="10"/>
  <c r="M347" i="10" s="1"/>
  <c r="I347" i="10"/>
  <c r="L347" i="10" s="1"/>
  <c r="H347" i="10"/>
  <c r="G347" i="10"/>
  <c r="F347" i="10"/>
  <c r="AW346" i="10"/>
  <c r="AT346" i="10"/>
  <c r="AM346" i="10"/>
  <c r="X346" i="10"/>
  <c r="W346" i="10"/>
  <c r="I346" i="10" s="1"/>
  <c r="E346" i="10"/>
  <c r="G346" i="10" s="1"/>
  <c r="AW345" i="10"/>
  <c r="AT345" i="10"/>
  <c r="AM345" i="10"/>
  <c r="X345" i="10"/>
  <c r="W345" i="10"/>
  <c r="I345" i="10" s="1"/>
  <c r="E345" i="10"/>
  <c r="H345" i="10" s="1"/>
  <c r="AW344" i="10"/>
  <c r="AT344" i="10"/>
  <c r="AM344" i="10"/>
  <c r="X344" i="10"/>
  <c r="W344" i="10"/>
  <c r="I344" i="10" s="1"/>
  <c r="E344" i="10"/>
  <c r="H344" i="10" s="1"/>
  <c r="AW343" i="10"/>
  <c r="AT343" i="10"/>
  <c r="AM343" i="10"/>
  <c r="X343" i="10"/>
  <c r="W343" i="10"/>
  <c r="I343" i="10"/>
  <c r="J343" i="10" s="1"/>
  <c r="K343" i="10" s="1"/>
  <c r="H343" i="10"/>
  <c r="E343" i="10"/>
  <c r="G343" i="10" s="1"/>
  <c r="AW342" i="10"/>
  <c r="AQ342" i="10"/>
  <c r="AM342" i="10"/>
  <c r="X342" i="10"/>
  <c r="W342" i="10"/>
  <c r="I342" i="10" s="1"/>
  <c r="H342" i="10"/>
  <c r="E342" i="10"/>
  <c r="G342" i="10" s="1"/>
  <c r="AW341" i="10"/>
  <c r="AQ341" i="10"/>
  <c r="AM341" i="10"/>
  <c r="X341" i="10"/>
  <c r="W341" i="10"/>
  <c r="I341" i="10"/>
  <c r="E341" i="10"/>
  <c r="G341" i="10" s="1"/>
  <c r="AW340" i="10"/>
  <c r="AQ340" i="10"/>
  <c r="AM340" i="10"/>
  <c r="X340" i="10"/>
  <c r="W340" i="10"/>
  <c r="I340" i="10" s="1"/>
  <c r="H340" i="10"/>
  <c r="G340" i="10"/>
  <c r="E340" i="10"/>
  <c r="AW339" i="10"/>
  <c r="AQ339" i="10"/>
  <c r="AM339" i="10"/>
  <c r="X339" i="10"/>
  <c r="W339" i="10"/>
  <c r="J339" i="10"/>
  <c r="M339" i="10" s="1"/>
  <c r="I339" i="10"/>
  <c r="L339" i="10" s="1"/>
  <c r="H339" i="10"/>
  <c r="G339" i="10"/>
  <c r="E339" i="10"/>
  <c r="AW338" i="10"/>
  <c r="AQ338" i="10"/>
  <c r="AM338" i="10"/>
  <c r="X338" i="10"/>
  <c r="W338" i="10"/>
  <c r="I338" i="10"/>
  <c r="E338" i="10"/>
  <c r="H338" i="10" s="1"/>
  <c r="AW337" i="10"/>
  <c r="AQ337" i="10"/>
  <c r="AM337" i="10"/>
  <c r="X337" i="10"/>
  <c r="W337" i="10"/>
  <c r="I337" i="10" s="1"/>
  <c r="G337" i="10"/>
  <c r="E337" i="10"/>
  <c r="H337" i="10" s="1"/>
  <c r="AW336" i="10"/>
  <c r="AQ336" i="10"/>
  <c r="AM336" i="10"/>
  <c r="X336" i="10"/>
  <c r="W336" i="10"/>
  <c r="I336" i="10"/>
  <c r="E336" i="10"/>
  <c r="H336" i="10" s="1"/>
  <c r="AW335" i="10"/>
  <c r="AQ335" i="10"/>
  <c r="AM335" i="10"/>
  <c r="X335" i="10"/>
  <c r="W335" i="10"/>
  <c r="I335" i="10" s="1"/>
  <c r="G335" i="10"/>
  <c r="E335" i="10"/>
  <c r="H335" i="10" s="1"/>
  <c r="AW334" i="10"/>
  <c r="AQ334" i="10"/>
  <c r="AM334" i="10"/>
  <c r="X334" i="10"/>
  <c r="W334" i="10"/>
  <c r="I334" i="10" s="1"/>
  <c r="E334" i="10"/>
  <c r="G334" i="10" s="1"/>
  <c r="AW333" i="10"/>
  <c r="AQ333" i="10"/>
  <c r="AM333" i="10"/>
  <c r="X333" i="10"/>
  <c r="W333" i="10"/>
  <c r="I333" i="10" s="1"/>
  <c r="E333" i="10"/>
  <c r="H333" i="10" s="1"/>
  <c r="AW332" i="10"/>
  <c r="AQ332" i="10"/>
  <c r="AM332" i="10"/>
  <c r="X332" i="10"/>
  <c r="W332" i="10"/>
  <c r="I332" i="10" s="1"/>
  <c r="M332" i="10" s="1"/>
  <c r="J332" i="10"/>
  <c r="L332" i="10" s="1"/>
  <c r="E332" i="10"/>
  <c r="H332" i="10" s="1"/>
  <c r="AW331" i="10"/>
  <c r="AQ331" i="10"/>
  <c r="AM331" i="10"/>
  <c r="X331" i="10"/>
  <c r="W331" i="10"/>
  <c r="K331" i="10"/>
  <c r="J331" i="10"/>
  <c r="M331" i="10" s="1"/>
  <c r="I331" i="10"/>
  <c r="L331" i="10" s="1"/>
  <c r="H331" i="10"/>
  <c r="G331" i="10"/>
  <c r="E331" i="10"/>
  <c r="AW330" i="10"/>
  <c r="AQ330" i="10"/>
  <c r="AM330" i="10"/>
  <c r="X330" i="10"/>
  <c r="W330" i="10"/>
  <c r="L330" i="10"/>
  <c r="J330" i="10"/>
  <c r="K330" i="10" s="1"/>
  <c r="I330" i="10"/>
  <c r="G330" i="10"/>
  <c r="E330" i="10"/>
  <c r="H330" i="10" s="1"/>
  <c r="AW329" i="10"/>
  <c r="AQ329" i="10"/>
  <c r="AM329" i="10"/>
  <c r="X329" i="10"/>
  <c r="W329" i="10"/>
  <c r="I329" i="10"/>
  <c r="J329" i="10" s="1"/>
  <c r="E329" i="10"/>
  <c r="H329" i="10" s="1"/>
  <c r="AW328" i="10"/>
  <c r="AQ328" i="10"/>
  <c r="AM328" i="10"/>
  <c r="X328" i="10"/>
  <c r="W328" i="10"/>
  <c r="J328" i="10"/>
  <c r="L328" i="10" s="1"/>
  <c r="I328" i="10"/>
  <c r="G328" i="10"/>
  <c r="E328" i="10"/>
  <c r="H328" i="10" s="1"/>
  <c r="AW327" i="10"/>
  <c r="AQ327" i="10"/>
  <c r="AM327" i="10"/>
  <c r="X327" i="10"/>
  <c r="W327" i="10"/>
  <c r="I327" i="10" s="1"/>
  <c r="E327" i="10"/>
  <c r="H327" i="10" s="1"/>
  <c r="AW326" i="10"/>
  <c r="AT326" i="10"/>
  <c r="AQ326" i="10"/>
  <c r="AM326" i="10"/>
  <c r="X326" i="10"/>
  <c r="W326" i="10"/>
  <c r="I326" i="10" s="1"/>
  <c r="E326" i="10"/>
  <c r="H326" i="10" s="1"/>
  <c r="AW325" i="10"/>
  <c r="AT325" i="10"/>
  <c r="AO325" i="10"/>
  <c r="AM325" i="10"/>
  <c r="X325" i="10"/>
  <c r="W325" i="10"/>
  <c r="I325" i="10"/>
  <c r="E325" i="10"/>
  <c r="G325" i="10" s="1"/>
  <c r="AW324" i="10"/>
  <c r="AT324" i="10"/>
  <c r="AO324" i="10"/>
  <c r="AO343" i="10" s="1"/>
  <c r="AM324" i="10"/>
  <c r="X324" i="10"/>
  <c r="W324" i="10"/>
  <c r="I324" i="10"/>
  <c r="E324" i="10"/>
  <c r="G324" i="10" s="1"/>
  <c r="AW323" i="10"/>
  <c r="AT323" i="10"/>
  <c r="AQ324" i="10" s="1"/>
  <c r="AO323" i="10"/>
  <c r="AM323" i="10"/>
  <c r="X323" i="10"/>
  <c r="W323" i="10"/>
  <c r="J323" i="10"/>
  <c r="M323" i="10" s="1"/>
  <c r="I323" i="10"/>
  <c r="L323" i="10" s="1"/>
  <c r="H323" i="10"/>
  <c r="G323" i="10"/>
  <c r="E323" i="10"/>
  <c r="AZ322" i="10"/>
  <c r="AM322" i="10"/>
  <c r="Z322" i="10"/>
  <c r="X322" i="10"/>
  <c r="W322" i="10"/>
  <c r="H322" i="10"/>
  <c r="G322" i="10"/>
  <c r="F322" i="10"/>
  <c r="I322" i="10" s="1"/>
  <c r="AZ321" i="10"/>
  <c r="AM321" i="10"/>
  <c r="Z321" i="10"/>
  <c r="X321" i="10"/>
  <c r="W321" i="10"/>
  <c r="H321" i="10"/>
  <c r="G321" i="10"/>
  <c r="F321" i="10"/>
  <c r="I321" i="10" s="1"/>
  <c r="AZ320" i="10"/>
  <c r="AM320" i="10"/>
  <c r="Z320" i="10"/>
  <c r="X320" i="10"/>
  <c r="W320" i="10"/>
  <c r="H320" i="10"/>
  <c r="G320" i="10"/>
  <c r="F320" i="10"/>
  <c r="I320" i="10" s="1"/>
  <c r="AZ319" i="10"/>
  <c r="AM319" i="10"/>
  <c r="Z319" i="10"/>
  <c r="X319" i="10"/>
  <c r="W319" i="10"/>
  <c r="H319" i="10"/>
  <c r="G319" i="10"/>
  <c r="F319" i="10"/>
  <c r="I319" i="10" s="1"/>
  <c r="AZ318" i="10"/>
  <c r="AT318" i="10"/>
  <c r="AM318" i="10"/>
  <c r="Z318" i="10"/>
  <c r="X318" i="10"/>
  <c r="W318" i="10"/>
  <c r="I318" i="10"/>
  <c r="H318" i="10"/>
  <c r="G318" i="10"/>
  <c r="F318" i="10"/>
  <c r="AZ317" i="10"/>
  <c r="AT317" i="10"/>
  <c r="AM317" i="10"/>
  <c r="Z317" i="10"/>
  <c r="X317" i="10"/>
  <c r="W317" i="10"/>
  <c r="J317" i="10"/>
  <c r="L317" i="10" s="1"/>
  <c r="I317" i="10"/>
  <c r="M317" i="10" s="1"/>
  <c r="H317" i="10"/>
  <c r="G317" i="10"/>
  <c r="F317" i="10"/>
  <c r="AZ316" i="10"/>
  <c r="AT316" i="10"/>
  <c r="AM316" i="10"/>
  <c r="Z316" i="10"/>
  <c r="X316" i="10"/>
  <c r="W316" i="10"/>
  <c r="I316" i="10"/>
  <c r="H316" i="10"/>
  <c r="G316" i="10"/>
  <c r="F316" i="10"/>
  <c r="AZ315" i="10"/>
  <c r="AT315" i="10"/>
  <c r="AM315" i="10"/>
  <c r="Z315" i="10"/>
  <c r="X315" i="10"/>
  <c r="W315" i="10"/>
  <c r="H315" i="10"/>
  <c r="G315" i="10"/>
  <c r="F315" i="10"/>
  <c r="I315" i="10" s="1"/>
  <c r="AZ314" i="10"/>
  <c r="AT314" i="10"/>
  <c r="AM314" i="10"/>
  <c r="Z314" i="10"/>
  <c r="X314" i="10"/>
  <c r="W314" i="10"/>
  <c r="H314" i="10"/>
  <c r="G314" i="10"/>
  <c r="F314" i="10"/>
  <c r="I314" i="10" s="1"/>
  <c r="AZ313" i="10"/>
  <c r="AT313" i="10"/>
  <c r="AM313" i="10"/>
  <c r="Z313" i="10"/>
  <c r="X313" i="10"/>
  <c r="W313" i="10"/>
  <c r="H313" i="10"/>
  <c r="G313" i="10"/>
  <c r="F313" i="10"/>
  <c r="I313" i="10" s="1"/>
  <c r="AZ312" i="10"/>
  <c r="AT312" i="10"/>
  <c r="AM312" i="10"/>
  <c r="Z312" i="10"/>
  <c r="X312" i="10"/>
  <c r="W312" i="10"/>
  <c r="I312" i="10"/>
  <c r="J312" i="10" s="1"/>
  <c r="H312" i="10"/>
  <c r="G312" i="10"/>
  <c r="F312" i="10"/>
  <c r="AZ311" i="10"/>
  <c r="AT311" i="10"/>
  <c r="AM311" i="10"/>
  <c r="Z311" i="10"/>
  <c r="X311" i="10"/>
  <c r="W311" i="10"/>
  <c r="H311" i="10"/>
  <c r="G311" i="10"/>
  <c r="F311" i="10"/>
  <c r="I311" i="10" s="1"/>
  <c r="AM310" i="10"/>
  <c r="Z310" i="10"/>
  <c r="X310" i="10"/>
  <c r="W310" i="10"/>
  <c r="H310" i="10"/>
  <c r="G310" i="10"/>
  <c r="F310" i="10"/>
  <c r="I310" i="10" s="1"/>
  <c r="AM309" i="10"/>
  <c r="Z309" i="10"/>
  <c r="X309" i="10"/>
  <c r="W309" i="10"/>
  <c r="H309" i="10"/>
  <c r="G309" i="10"/>
  <c r="F309" i="10"/>
  <c r="I309" i="10" s="1"/>
  <c r="AM308" i="10"/>
  <c r="Z308" i="10"/>
  <c r="X308" i="10"/>
  <c r="W308" i="10"/>
  <c r="H308" i="10"/>
  <c r="G308" i="10"/>
  <c r="F308" i="10"/>
  <c r="I308" i="10" s="1"/>
  <c r="AM307" i="10"/>
  <c r="Z307" i="10"/>
  <c r="X307" i="10"/>
  <c r="W307" i="10"/>
  <c r="H307" i="10"/>
  <c r="G307" i="10"/>
  <c r="F307" i="10"/>
  <c r="I307" i="10" s="1"/>
  <c r="AM306" i="10"/>
  <c r="Z306" i="10"/>
  <c r="X306" i="10"/>
  <c r="W306" i="10"/>
  <c r="H306" i="10"/>
  <c r="G306" i="10"/>
  <c r="F306" i="10"/>
  <c r="I306" i="10" s="1"/>
  <c r="AM305" i="10"/>
  <c r="Z305" i="10"/>
  <c r="X305" i="10"/>
  <c r="W305" i="10"/>
  <c r="H305" i="10"/>
  <c r="G305" i="10"/>
  <c r="F305" i="10"/>
  <c r="I305" i="10" s="1"/>
  <c r="AM304" i="10"/>
  <c r="Z304" i="10"/>
  <c r="X304" i="10"/>
  <c r="W304" i="10"/>
  <c r="H304" i="10"/>
  <c r="G304" i="10"/>
  <c r="F304" i="10"/>
  <c r="I304" i="10" s="1"/>
  <c r="AM303" i="10"/>
  <c r="Z303" i="10"/>
  <c r="X303" i="10"/>
  <c r="W303" i="10"/>
  <c r="H303" i="10"/>
  <c r="G303" i="10"/>
  <c r="F303" i="10"/>
  <c r="I303" i="10" s="1"/>
  <c r="AM302" i="10"/>
  <c r="Z302" i="10"/>
  <c r="X302" i="10"/>
  <c r="W302" i="10"/>
  <c r="H302" i="10"/>
  <c r="G302" i="10"/>
  <c r="F302" i="10"/>
  <c r="I302" i="10" s="1"/>
  <c r="AM301" i="10"/>
  <c r="Z301" i="10"/>
  <c r="X301" i="10"/>
  <c r="W301" i="10"/>
  <c r="H301" i="10"/>
  <c r="G301" i="10"/>
  <c r="F301" i="10"/>
  <c r="I301" i="10" s="1"/>
  <c r="AM300" i="10"/>
  <c r="Z300" i="10"/>
  <c r="X300" i="10"/>
  <c r="W300" i="10"/>
  <c r="H300" i="10"/>
  <c r="G300" i="10"/>
  <c r="F300" i="10"/>
  <c r="I300" i="10" s="1"/>
  <c r="AM299" i="10"/>
  <c r="Z299" i="10"/>
  <c r="X299" i="10"/>
  <c r="W299" i="10"/>
  <c r="H299" i="10"/>
  <c r="G299" i="10"/>
  <c r="F299" i="10"/>
  <c r="I299" i="10" s="1"/>
  <c r="AM298" i="10"/>
  <c r="Z298" i="10"/>
  <c r="X298" i="10"/>
  <c r="W298" i="10"/>
  <c r="H298" i="10"/>
  <c r="G298" i="10"/>
  <c r="F298" i="10"/>
  <c r="I298" i="10" s="1"/>
  <c r="AM297" i="10"/>
  <c r="Z297" i="10"/>
  <c r="X297" i="10"/>
  <c r="W297" i="10"/>
  <c r="H297" i="10"/>
  <c r="G297" i="10"/>
  <c r="F297" i="10"/>
  <c r="I297" i="10" s="1"/>
  <c r="AM296" i="10"/>
  <c r="Z296" i="10"/>
  <c r="X296" i="10"/>
  <c r="W296" i="10"/>
  <c r="H296" i="10"/>
  <c r="G296" i="10"/>
  <c r="F296" i="10"/>
  <c r="I296" i="10" s="1"/>
  <c r="AM295" i="10"/>
  <c r="Z295" i="10"/>
  <c r="X295" i="10"/>
  <c r="W295" i="10"/>
  <c r="H295" i="10"/>
  <c r="G295" i="10"/>
  <c r="F295" i="10"/>
  <c r="I295" i="10" s="1"/>
  <c r="AU294" i="10"/>
  <c r="AN294" i="10"/>
  <c r="AM294" i="10"/>
  <c r="Z294" i="10"/>
  <c r="X294" i="10"/>
  <c r="W294" i="10"/>
  <c r="I294" i="10"/>
  <c r="J294" i="10" s="1"/>
  <c r="H294" i="10"/>
  <c r="G294" i="10"/>
  <c r="AU293" i="10"/>
  <c r="AN293" i="10"/>
  <c r="AM293" i="10"/>
  <c r="Z293" i="10"/>
  <c r="X293" i="10"/>
  <c r="W293" i="10"/>
  <c r="J293" i="10"/>
  <c r="K293" i="10" s="1"/>
  <c r="I293" i="10"/>
  <c r="L293" i="10" s="1"/>
  <c r="H293" i="10"/>
  <c r="G293" i="10"/>
  <c r="AU292" i="10"/>
  <c r="AN292" i="10"/>
  <c r="AM292" i="10"/>
  <c r="Z292" i="10"/>
  <c r="X292" i="10"/>
  <c r="W292" i="10"/>
  <c r="I292" i="10" s="1"/>
  <c r="H292" i="10"/>
  <c r="G292" i="10"/>
  <c r="AU291" i="10"/>
  <c r="AN291" i="10"/>
  <c r="AM291" i="10"/>
  <c r="Z291" i="10"/>
  <c r="X291" i="10"/>
  <c r="W291" i="10"/>
  <c r="I291" i="10" s="1"/>
  <c r="H291" i="10"/>
  <c r="G291" i="10"/>
  <c r="AU290" i="10"/>
  <c r="AN290" i="10"/>
  <c r="AM290" i="10"/>
  <c r="Z290" i="10"/>
  <c r="X290" i="10"/>
  <c r="W290" i="10"/>
  <c r="I290" i="10"/>
  <c r="J290" i="10" s="1"/>
  <c r="K290" i="10" s="1"/>
  <c r="H290" i="10"/>
  <c r="G290" i="10"/>
  <c r="AU289" i="10"/>
  <c r="AN289" i="10"/>
  <c r="AM289" i="10"/>
  <c r="Z289" i="10"/>
  <c r="X289" i="10"/>
  <c r="W289" i="10"/>
  <c r="I289" i="10" s="1"/>
  <c r="H289" i="10"/>
  <c r="G289" i="10"/>
  <c r="AU288" i="10"/>
  <c r="AN288" i="10"/>
  <c r="AM288" i="10"/>
  <c r="Z288" i="10"/>
  <c r="X288" i="10"/>
  <c r="W288" i="10"/>
  <c r="I288" i="10" s="1"/>
  <c r="H288" i="10"/>
  <c r="G288" i="10"/>
  <c r="AU287" i="10"/>
  <c r="AN287" i="10"/>
  <c r="AM287" i="10"/>
  <c r="Z287" i="10"/>
  <c r="X287" i="10"/>
  <c r="W287" i="10"/>
  <c r="I287" i="10" s="1"/>
  <c r="H287" i="10"/>
  <c r="G287" i="10"/>
  <c r="AU286" i="10"/>
  <c r="AN286" i="10"/>
  <c r="AM286" i="10"/>
  <c r="Z286" i="10"/>
  <c r="X286" i="10"/>
  <c r="W286" i="10"/>
  <c r="I286" i="10"/>
  <c r="J286" i="10" s="1"/>
  <c r="H286" i="10"/>
  <c r="G286" i="10"/>
  <c r="AU285" i="10"/>
  <c r="AN285" i="10"/>
  <c r="AM285" i="10"/>
  <c r="Z285" i="10"/>
  <c r="X285" i="10"/>
  <c r="W285" i="10"/>
  <c r="J285" i="10"/>
  <c r="K285" i="10" s="1"/>
  <c r="I285" i="10"/>
  <c r="L285" i="10" s="1"/>
  <c r="H285" i="10"/>
  <c r="G285" i="10"/>
  <c r="AU284" i="10"/>
  <c r="AN284" i="10"/>
  <c r="AM284" i="10"/>
  <c r="Z284" i="10"/>
  <c r="X284" i="10"/>
  <c r="W284" i="10"/>
  <c r="J284" i="10"/>
  <c r="M284" i="10" s="1"/>
  <c r="I284" i="10"/>
  <c r="L284" i="10" s="1"/>
  <c r="H284" i="10"/>
  <c r="G284" i="10"/>
  <c r="AU283" i="10"/>
  <c r="AN283" i="10"/>
  <c r="AM283" i="10"/>
  <c r="Z283" i="10"/>
  <c r="X283" i="10"/>
  <c r="W283" i="10"/>
  <c r="I283" i="10" s="1"/>
  <c r="H283" i="10"/>
  <c r="G283" i="10"/>
  <c r="AU282" i="10"/>
  <c r="AN282" i="10"/>
  <c r="AM282" i="10"/>
  <c r="Z282" i="10"/>
  <c r="X282" i="10"/>
  <c r="W282" i="10"/>
  <c r="I282" i="10"/>
  <c r="J282" i="10" s="1"/>
  <c r="K282" i="10" s="1"/>
  <c r="H282" i="10"/>
  <c r="G282" i="10"/>
  <c r="AU281" i="10"/>
  <c r="AN281" i="10"/>
  <c r="AM281" i="10"/>
  <c r="Z281" i="10"/>
  <c r="X281" i="10"/>
  <c r="W281" i="10"/>
  <c r="I281" i="10" s="1"/>
  <c r="H281" i="10"/>
  <c r="G281" i="10"/>
  <c r="AU280" i="10"/>
  <c r="AN280" i="10"/>
  <c r="AM280" i="10"/>
  <c r="Z280" i="10"/>
  <c r="X280" i="10"/>
  <c r="W280" i="10"/>
  <c r="I280" i="10" s="1"/>
  <c r="H280" i="10"/>
  <c r="G280" i="10"/>
  <c r="AU279" i="10"/>
  <c r="AN279" i="10"/>
  <c r="AM279" i="10"/>
  <c r="Z279" i="10"/>
  <c r="X279" i="10"/>
  <c r="W279" i="10"/>
  <c r="I279" i="10" s="1"/>
  <c r="H279" i="10"/>
  <c r="G279" i="10"/>
  <c r="AM278" i="10"/>
  <c r="Z278" i="10"/>
  <c r="X278" i="10"/>
  <c r="W278" i="10"/>
  <c r="H278" i="10"/>
  <c r="G278" i="10"/>
  <c r="F278" i="10"/>
  <c r="I278" i="10" s="1"/>
  <c r="AM277" i="10"/>
  <c r="Z277" i="10"/>
  <c r="X277" i="10"/>
  <c r="W277" i="10"/>
  <c r="H277" i="10"/>
  <c r="G277" i="10"/>
  <c r="F277" i="10"/>
  <c r="I277" i="10" s="1"/>
  <c r="AM276" i="10"/>
  <c r="Z276" i="10"/>
  <c r="X276" i="10"/>
  <c r="W276" i="10"/>
  <c r="H276" i="10"/>
  <c r="G276" i="10"/>
  <c r="F276" i="10"/>
  <c r="I276" i="10" s="1"/>
  <c r="AM275" i="10"/>
  <c r="Z275" i="10"/>
  <c r="X275" i="10"/>
  <c r="W275" i="10"/>
  <c r="H275" i="10"/>
  <c r="G275" i="10"/>
  <c r="F275" i="10"/>
  <c r="I275" i="10" s="1"/>
  <c r="AM274" i="10"/>
  <c r="Z274" i="10"/>
  <c r="X274" i="10"/>
  <c r="W274" i="10"/>
  <c r="H274" i="10"/>
  <c r="G274" i="10"/>
  <c r="F274" i="10"/>
  <c r="I274" i="10" s="1"/>
  <c r="AM273" i="10"/>
  <c r="Z273" i="10"/>
  <c r="X273" i="10"/>
  <c r="W273" i="10"/>
  <c r="H273" i="10"/>
  <c r="G273" i="10"/>
  <c r="F273" i="10"/>
  <c r="I273" i="10" s="1"/>
  <c r="AM272" i="10"/>
  <c r="Z272" i="10"/>
  <c r="X272" i="10"/>
  <c r="W272" i="10"/>
  <c r="H272" i="10"/>
  <c r="G272" i="10"/>
  <c r="F272" i="10"/>
  <c r="I272" i="10" s="1"/>
  <c r="AM271" i="10"/>
  <c r="Z271" i="10"/>
  <c r="X271" i="10"/>
  <c r="W271" i="10"/>
  <c r="H271" i="10"/>
  <c r="G271" i="10"/>
  <c r="F271" i="10"/>
  <c r="I271" i="10" s="1"/>
  <c r="AM270" i="10"/>
  <c r="Z270" i="10"/>
  <c r="X270" i="10"/>
  <c r="W270" i="10"/>
  <c r="H270" i="10"/>
  <c r="G270" i="10"/>
  <c r="F270" i="10"/>
  <c r="I270" i="10" s="1"/>
  <c r="AM269" i="10"/>
  <c r="Z269" i="10"/>
  <c r="X269" i="10"/>
  <c r="W269" i="10"/>
  <c r="H269" i="10"/>
  <c r="G269" i="10"/>
  <c r="F269" i="10"/>
  <c r="I269" i="10" s="1"/>
  <c r="AM268" i="10"/>
  <c r="Z268" i="10"/>
  <c r="X268" i="10"/>
  <c r="W268" i="10"/>
  <c r="H268" i="10"/>
  <c r="G268" i="10"/>
  <c r="F268" i="10"/>
  <c r="I268" i="10" s="1"/>
  <c r="AM267" i="10"/>
  <c r="Z267" i="10"/>
  <c r="X267" i="10"/>
  <c r="W267" i="10"/>
  <c r="H267" i="10"/>
  <c r="G267" i="10"/>
  <c r="F267" i="10"/>
  <c r="I267" i="10" s="1"/>
  <c r="AM266" i="10"/>
  <c r="Z266" i="10"/>
  <c r="X266" i="10"/>
  <c r="W266" i="10"/>
  <c r="I266" i="10" s="1"/>
  <c r="H266" i="10"/>
  <c r="G266" i="10"/>
  <c r="AM265" i="10"/>
  <c r="Z265" i="10"/>
  <c r="X265" i="10"/>
  <c r="W265" i="10"/>
  <c r="I265" i="10" s="1"/>
  <c r="H265" i="10"/>
  <c r="G265" i="10"/>
  <c r="AM264" i="10"/>
  <c r="Z264" i="10"/>
  <c r="X264" i="10"/>
  <c r="W264" i="10"/>
  <c r="I264" i="10"/>
  <c r="H264" i="10"/>
  <c r="G264" i="10"/>
  <c r="AM263" i="10"/>
  <c r="Z263" i="10"/>
  <c r="X263" i="10"/>
  <c r="W263" i="10"/>
  <c r="I263" i="10" s="1"/>
  <c r="H263" i="10"/>
  <c r="G263" i="10"/>
  <c r="AM262" i="10"/>
  <c r="Z262" i="10"/>
  <c r="X262" i="10"/>
  <c r="W262" i="10"/>
  <c r="I262" i="10" s="1"/>
  <c r="H262" i="10"/>
  <c r="G262" i="10"/>
  <c r="AM261" i="10"/>
  <c r="Z261" i="10"/>
  <c r="X261" i="10"/>
  <c r="W261" i="10"/>
  <c r="I261" i="10" s="1"/>
  <c r="H261" i="10"/>
  <c r="G261" i="10"/>
  <c r="AM260" i="10"/>
  <c r="Z260" i="10"/>
  <c r="X260" i="10"/>
  <c r="W260" i="10"/>
  <c r="I260" i="10"/>
  <c r="H260" i="10"/>
  <c r="G260" i="10"/>
  <c r="AM259" i="10"/>
  <c r="Z259" i="10"/>
  <c r="X259" i="10"/>
  <c r="W259" i="10"/>
  <c r="I259" i="10" s="1"/>
  <c r="H259" i="10"/>
  <c r="G259" i="10"/>
  <c r="AM258" i="10"/>
  <c r="Z258" i="10"/>
  <c r="X258" i="10"/>
  <c r="W258" i="10"/>
  <c r="I258" i="10" s="1"/>
  <c r="H258" i="10"/>
  <c r="G258" i="10"/>
  <c r="AM257" i="10"/>
  <c r="Z257" i="10"/>
  <c r="X257" i="10"/>
  <c r="W257" i="10"/>
  <c r="I257" i="10" s="1"/>
  <c r="H257" i="10"/>
  <c r="G257" i="10"/>
  <c r="AM256" i="10"/>
  <c r="Z256" i="10"/>
  <c r="X256" i="10"/>
  <c r="W256" i="10"/>
  <c r="I256" i="10"/>
  <c r="H256" i="10"/>
  <c r="G256" i="10"/>
  <c r="AM255" i="10"/>
  <c r="Z255" i="10"/>
  <c r="X255" i="10"/>
  <c r="W255" i="10"/>
  <c r="I255" i="10" s="1"/>
  <c r="H255" i="10"/>
  <c r="G255" i="10"/>
  <c r="AM254" i="10"/>
  <c r="Z254" i="10"/>
  <c r="X254" i="10"/>
  <c r="W254" i="10"/>
  <c r="H254" i="10"/>
  <c r="G254" i="10"/>
  <c r="F254" i="10"/>
  <c r="I254" i="10" s="1"/>
  <c r="AM253" i="10"/>
  <c r="Z253" i="10"/>
  <c r="X253" i="10"/>
  <c r="W253" i="10"/>
  <c r="H253" i="10"/>
  <c r="G253" i="10"/>
  <c r="F253" i="10"/>
  <c r="I253" i="10" s="1"/>
  <c r="AM252" i="10"/>
  <c r="Z252" i="10"/>
  <c r="X252" i="10"/>
  <c r="W252" i="10"/>
  <c r="H252" i="10"/>
  <c r="G252" i="10"/>
  <c r="F252" i="10"/>
  <c r="I252" i="10" s="1"/>
  <c r="AM251" i="10"/>
  <c r="Z251" i="10"/>
  <c r="X251" i="10"/>
  <c r="W251" i="10"/>
  <c r="H251" i="10"/>
  <c r="G251" i="10"/>
  <c r="F251" i="10"/>
  <c r="I251" i="10" s="1"/>
  <c r="AM250" i="10"/>
  <c r="Z250" i="10"/>
  <c r="X250" i="10"/>
  <c r="W250" i="10"/>
  <c r="H250" i="10"/>
  <c r="G250" i="10"/>
  <c r="F250" i="10"/>
  <c r="I250" i="10" s="1"/>
  <c r="AM249" i="10"/>
  <c r="Z249" i="10"/>
  <c r="X249" i="10"/>
  <c r="W249" i="10"/>
  <c r="H249" i="10"/>
  <c r="G249" i="10"/>
  <c r="F249" i="10"/>
  <c r="I249" i="10" s="1"/>
  <c r="AM248" i="10"/>
  <c r="Z248" i="10"/>
  <c r="X248" i="10"/>
  <c r="W248" i="10"/>
  <c r="H248" i="10"/>
  <c r="G248" i="10"/>
  <c r="F248" i="10"/>
  <c r="I248" i="10" s="1"/>
  <c r="AM247" i="10"/>
  <c r="Z247" i="10"/>
  <c r="X247" i="10"/>
  <c r="W247" i="10"/>
  <c r="H247" i="10"/>
  <c r="G247" i="10"/>
  <c r="F247" i="10"/>
  <c r="I247" i="10" s="1"/>
  <c r="AM246" i="10"/>
  <c r="Z246" i="10"/>
  <c r="X246" i="10"/>
  <c r="W246" i="10"/>
  <c r="H246" i="10"/>
  <c r="G246" i="10"/>
  <c r="F246" i="10"/>
  <c r="I246" i="10" s="1"/>
  <c r="AM245" i="10"/>
  <c r="Z245" i="10"/>
  <c r="X245" i="10"/>
  <c r="W245" i="10"/>
  <c r="H245" i="10"/>
  <c r="G245" i="10"/>
  <c r="F245" i="10"/>
  <c r="I245" i="10" s="1"/>
  <c r="AM244" i="10"/>
  <c r="Z244" i="10"/>
  <c r="X244" i="10"/>
  <c r="W244" i="10"/>
  <c r="H244" i="10"/>
  <c r="G244" i="10"/>
  <c r="F244" i="10"/>
  <c r="I244" i="10" s="1"/>
  <c r="AM243" i="10"/>
  <c r="Z243" i="10"/>
  <c r="X243" i="10"/>
  <c r="W243" i="10"/>
  <c r="H243" i="10"/>
  <c r="G243" i="10"/>
  <c r="F243" i="10"/>
  <c r="I243" i="10" s="1"/>
  <c r="AM242" i="10"/>
  <c r="Z242" i="10"/>
  <c r="X242" i="10"/>
  <c r="W242" i="10"/>
  <c r="I242" i="10" s="1"/>
  <c r="H242" i="10"/>
  <c r="G242" i="10"/>
  <c r="AM241" i="10"/>
  <c r="Z241" i="10"/>
  <c r="X241" i="10"/>
  <c r="W241" i="10"/>
  <c r="I241" i="10" s="1"/>
  <c r="H241" i="10"/>
  <c r="G241" i="10"/>
  <c r="AM240" i="10"/>
  <c r="Z240" i="10"/>
  <c r="X240" i="10"/>
  <c r="W240" i="10"/>
  <c r="I240" i="10"/>
  <c r="H240" i="10"/>
  <c r="G240" i="10"/>
  <c r="AM239" i="10"/>
  <c r="Z239" i="10"/>
  <c r="X239" i="10"/>
  <c r="W239" i="10"/>
  <c r="I239" i="10" s="1"/>
  <c r="H239" i="10"/>
  <c r="G239" i="10"/>
  <c r="AM238" i="10"/>
  <c r="Z238" i="10"/>
  <c r="X238" i="10"/>
  <c r="W238" i="10"/>
  <c r="I238" i="10" s="1"/>
  <c r="H238" i="10"/>
  <c r="G238" i="10"/>
  <c r="AM237" i="10"/>
  <c r="Z237" i="10"/>
  <c r="X237" i="10"/>
  <c r="W237" i="10"/>
  <c r="J237" i="10"/>
  <c r="K237" i="10" s="1"/>
  <c r="I237" i="10"/>
  <c r="H237" i="10"/>
  <c r="G237" i="10"/>
  <c r="AM236" i="10"/>
  <c r="Z236" i="10"/>
  <c r="X236" i="10"/>
  <c r="W236" i="10"/>
  <c r="M236" i="10"/>
  <c r="L236" i="10"/>
  <c r="I236" i="10"/>
  <c r="J236" i="10" s="1"/>
  <c r="K236" i="10" s="1"/>
  <c r="H236" i="10"/>
  <c r="G236" i="10"/>
  <c r="AM235" i="10"/>
  <c r="Z235" i="10"/>
  <c r="X235" i="10"/>
  <c r="W235" i="10"/>
  <c r="I235" i="10" s="1"/>
  <c r="H235" i="10"/>
  <c r="G235" i="10"/>
  <c r="AM234" i="10"/>
  <c r="Z234" i="10"/>
  <c r="X234" i="10"/>
  <c r="W234" i="10"/>
  <c r="I234" i="10" s="1"/>
  <c r="J234" i="10" s="1"/>
  <c r="K234" i="10" s="1"/>
  <c r="H234" i="10"/>
  <c r="G234" i="10"/>
  <c r="AM233" i="10"/>
  <c r="Z233" i="10"/>
  <c r="X233" i="10"/>
  <c r="W233" i="10"/>
  <c r="I233" i="10" s="1"/>
  <c r="J233" i="10" s="1"/>
  <c r="H233" i="10"/>
  <c r="G233" i="10"/>
  <c r="AM232" i="10"/>
  <c r="Z232" i="10"/>
  <c r="X232" i="10"/>
  <c r="W232" i="10"/>
  <c r="I232" i="10"/>
  <c r="H232" i="10"/>
  <c r="G232" i="10"/>
  <c r="AM231" i="10"/>
  <c r="Z231" i="10"/>
  <c r="X231" i="10"/>
  <c r="W231" i="10"/>
  <c r="I231" i="10" s="1"/>
  <c r="H231" i="10"/>
  <c r="G231" i="10"/>
  <c r="AM230" i="10"/>
  <c r="X230" i="10"/>
  <c r="W230" i="10"/>
  <c r="I230" i="10" s="1"/>
  <c r="J230" i="10"/>
  <c r="K230" i="10" s="1"/>
  <c r="E230" i="10"/>
  <c r="AM229" i="10"/>
  <c r="X229" i="10"/>
  <c r="W229" i="10"/>
  <c r="I229" i="10"/>
  <c r="H229" i="10"/>
  <c r="G229" i="10"/>
  <c r="E229" i="10"/>
  <c r="AU228" i="10"/>
  <c r="AM228" i="10"/>
  <c r="X228" i="10"/>
  <c r="W228" i="10"/>
  <c r="I228" i="10"/>
  <c r="J228" i="10" s="1"/>
  <c r="K228" i="10" s="1"/>
  <c r="H228" i="10"/>
  <c r="G228" i="10"/>
  <c r="E228" i="10"/>
  <c r="AU227" i="10"/>
  <c r="AM227" i="10"/>
  <c r="X227" i="10"/>
  <c r="W227" i="10"/>
  <c r="I227" i="10"/>
  <c r="H227" i="10"/>
  <c r="G227" i="10"/>
  <c r="E227" i="10"/>
  <c r="AM226" i="10"/>
  <c r="X226" i="10"/>
  <c r="W226" i="10"/>
  <c r="I226" i="10" s="1"/>
  <c r="H226" i="10"/>
  <c r="E226" i="10"/>
  <c r="G226" i="10" s="1"/>
  <c r="AM225" i="10"/>
  <c r="X225" i="10"/>
  <c r="W225" i="10"/>
  <c r="I225" i="10" s="1"/>
  <c r="G225" i="10"/>
  <c r="E225" i="10"/>
  <c r="H225" i="10" s="1"/>
  <c r="AM224" i="10"/>
  <c r="X224" i="10"/>
  <c r="W224" i="10"/>
  <c r="I224" i="10" s="1"/>
  <c r="E224" i="10"/>
  <c r="AU223" i="10"/>
  <c r="AM223" i="10"/>
  <c r="X223" i="10"/>
  <c r="W223" i="10"/>
  <c r="I223" i="10" s="1"/>
  <c r="E223" i="10"/>
  <c r="AZ222" i="10"/>
  <c r="AU222" i="10"/>
  <c r="AM222" i="10"/>
  <c r="Z222" i="10"/>
  <c r="X222" i="10"/>
  <c r="W222" i="10"/>
  <c r="I222" i="10" s="1"/>
  <c r="H222" i="10"/>
  <c r="G222" i="10"/>
  <c r="AZ221" i="10"/>
  <c r="AU221" i="10"/>
  <c r="AM221" i="10"/>
  <c r="Z221" i="10"/>
  <c r="X221" i="10"/>
  <c r="W221" i="10"/>
  <c r="I221" i="10"/>
  <c r="H221" i="10"/>
  <c r="G221" i="10"/>
  <c r="AZ220" i="10"/>
  <c r="AU220" i="10"/>
  <c r="AM220" i="10"/>
  <c r="Z220" i="10"/>
  <c r="X220" i="10"/>
  <c r="W220" i="10"/>
  <c r="I220" i="10" s="1"/>
  <c r="H220" i="10"/>
  <c r="G220" i="10"/>
  <c r="AZ219" i="10"/>
  <c r="AU219" i="10"/>
  <c r="AM219" i="10"/>
  <c r="Z219" i="10"/>
  <c r="X219" i="10"/>
  <c r="W219" i="10"/>
  <c r="K219" i="10"/>
  <c r="J219" i="10"/>
  <c r="M219" i="10" s="1"/>
  <c r="I219" i="10"/>
  <c r="H219" i="10"/>
  <c r="G219" i="10"/>
  <c r="AZ218" i="10"/>
  <c r="AU218" i="10"/>
  <c r="AM218" i="10"/>
  <c r="Z218" i="10"/>
  <c r="X218" i="10"/>
  <c r="W218" i="10"/>
  <c r="I218" i="10" s="1"/>
  <c r="H218" i="10"/>
  <c r="G218" i="10"/>
  <c r="AZ217" i="10"/>
  <c r="AU217" i="10"/>
  <c r="AM217" i="10"/>
  <c r="Z217" i="10"/>
  <c r="X217" i="10"/>
  <c r="W217" i="10"/>
  <c r="L217" i="10"/>
  <c r="I217" i="10"/>
  <c r="J217" i="10" s="1"/>
  <c r="K217" i="10" s="1"/>
  <c r="H217" i="10"/>
  <c r="G217" i="10"/>
  <c r="AZ216" i="10"/>
  <c r="AU216" i="10"/>
  <c r="AM216" i="10"/>
  <c r="Z216" i="10"/>
  <c r="X216" i="10"/>
  <c r="W216" i="10"/>
  <c r="I216" i="10"/>
  <c r="H216" i="10"/>
  <c r="G216" i="10"/>
  <c r="AZ215" i="10"/>
  <c r="AU215" i="10"/>
  <c r="AM215" i="10"/>
  <c r="Z215" i="10"/>
  <c r="X215" i="10"/>
  <c r="W215" i="10"/>
  <c r="I215" i="10" s="1"/>
  <c r="H215" i="10"/>
  <c r="G215" i="10"/>
  <c r="AZ214" i="10"/>
  <c r="AU214" i="10"/>
  <c r="AQ214" i="10"/>
  <c r="AN214" i="10"/>
  <c r="AM214" i="10"/>
  <c r="Z214" i="10"/>
  <c r="X214" i="10"/>
  <c r="W214" i="10"/>
  <c r="I214" i="10" s="1"/>
  <c r="J214" i="10"/>
  <c r="K214" i="10" s="1"/>
  <c r="H214" i="10"/>
  <c r="G214" i="10"/>
  <c r="AZ213" i="10"/>
  <c r="AU213" i="10"/>
  <c r="AQ213" i="10"/>
  <c r="AN213" i="10"/>
  <c r="AM213" i="10"/>
  <c r="Z213" i="10"/>
  <c r="X213" i="10"/>
  <c r="W213" i="10"/>
  <c r="M213" i="10"/>
  <c r="L213" i="10"/>
  <c r="I213" i="10"/>
  <c r="J213" i="10" s="1"/>
  <c r="K213" i="10" s="1"/>
  <c r="H213" i="10"/>
  <c r="G213" i="10"/>
  <c r="AZ212" i="10"/>
  <c r="AU212" i="10"/>
  <c r="AQ212" i="10"/>
  <c r="AN212" i="10"/>
  <c r="AM212" i="10"/>
  <c r="Z212" i="10"/>
  <c r="X212" i="10"/>
  <c r="W212" i="10"/>
  <c r="I212" i="10" s="1"/>
  <c r="H212" i="10"/>
  <c r="G212" i="10"/>
  <c r="AZ211" i="10"/>
  <c r="AU211" i="10"/>
  <c r="AQ211" i="10"/>
  <c r="AN211" i="10"/>
  <c r="AM211" i="10"/>
  <c r="Z211" i="10"/>
  <c r="X211" i="10"/>
  <c r="W211" i="10"/>
  <c r="I211" i="10" s="1"/>
  <c r="H211" i="10"/>
  <c r="G211" i="10"/>
  <c r="AZ210" i="10"/>
  <c r="AU210" i="10"/>
  <c r="AQ210" i="10"/>
  <c r="AN210" i="10"/>
  <c r="AM210" i="10"/>
  <c r="Z210" i="10"/>
  <c r="X210" i="10"/>
  <c r="W210" i="10"/>
  <c r="I210" i="10" s="1"/>
  <c r="H210" i="10"/>
  <c r="G210" i="10"/>
  <c r="AZ209" i="10"/>
  <c r="AU209" i="10"/>
  <c r="AQ209" i="10"/>
  <c r="AN209" i="10"/>
  <c r="AM209" i="10"/>
  <c r="Z209" i="10"/>
  <c r="X209" i="10"/>
  <c r="W209" i="10"/>
  <c r="I209" i="10"/>
  <c r="H209" i="10"/>
  <c r="G209" i="10"/>
  <c r="AZ208" i="10"/>
  <c r="AU208" i="10"/>
  <c r="AQ208" i="10"/>
  <c r="AN208" i="10"/>
  <c r="AM208" i="10"/>
  <c r="Z208" i="10"/>
  <c r="X208" i="10"/>
  <c r="W208" i="10"/>
  <c r="I208" i="10" s="1"/>
  <c r="L208" i="10"/>
  <c r="J208" i="10"/>
  <c r="K208" i="10" s="1"/>
  <c r="H208" i="10"/>
  <c r="G208" i="10"/>
  <c r="AZ207" i="10"/>
  <c r="AU207" i="10"/>
  <c r="AQ207" i="10"/>
  <c r="AN207" i="10"/>
  <c r="AM207" i="10"/>
  <c r="Z207" i="10"/>
  <c r="X207" i="10"/>
  <c r="W207" i="10"/>
  <c r="I207" i="10"/>
  <c r="H207" i="10"/>
  <c r="G207" i="10"/>
  <c r="AZ206" i="10"/>
  <c r="AU206" i="10"/>
  <c r="AQ206" i="10"/>
  <c r="AN206" i="10"/>
  <c r="AM206" i="10"/>
  <c r="Z206" i="10"/>
  <c r="X206" i="10"/>
  <c r="W206" i="10"/>
  <c r="I206" i="10" s="1"/>
  <c r="M206" i="10"/>
  <c r="J206" i="10"/>
  <c r="K206" i="10" s="1"/>
  <c r="H206" i="10"/>
  <c r="G206" i="10"/>
  <c r="AZ205" i="10"/>
  <c r="AU205" i="10"/>
  <c r="AQ205" i="10"/>
  <c r="AN205" i="10"/>
  <c r="AM205" i="10"/>
  <c r="Z205" i="10"/>
  <c r="X205" i="10"/>
  <c r="W205" i="10"/>
  <c r="L205" i="10"/>
  <c r="I205" i="10"/>
  <c r="J205" i="10" s="1"/>
  <c r="K205" i="10" s="1"/>
  <c r="H205" i="10"/>
  <c r="G205" i="10"/>
  <c r="AZ204" i="10"/>
  <c r="AU204" i="10"/>
  <c r="AQ204" i="10"/>
  <c r="AN204" i="10"/>
  <c r="AM204" i="10"/>
  <c r="Z204" i="10"/>
  <c r="X204" i="10"/>
  <c r="W204" i="10"/>
  <c r="I204" i="10" s="1"/>
  <c r="H204" i="10"/>
  <c r="G204" i="10"/>
  <c r="AZ203" i="10"/>
  <c r="AU203" i="10"/>
  <c r="AQ203" i="10"/>
  <c r="AN203" i="10"/>
  <c r="AM203" i="10"/>
  <c r="Z203" i="10"/>
  <c r="X203" i="10"/>
  <c r="W203" i="10"/>
  <c r="I203" i="10" s="1"/>
  <c r="M203" i="10"/>
  <c r="K203" i="10"/>
  <c r="J203" i="10"/>
  <c r="H203" i="10"/>
  <c r="G203" i="10"/>
  <c r="AZ202" i="10"/>
  <c r="AU202" i="10"/>
  <c r="AQ202" i="10"/>
  <c r="AN202" i="10"/>
  <c r="AM202" i="10"/>
  <c r="Z202" i="10"/>
  <c r="X202" i="10"/>
  <c r="W202" i="10"/>
  <c r="I202" i="10" s="1"/>
  <c r="H202" i="10"/>
  <c r="G202" i="10"/>
  <c r="AZ201" i="10"/>
  <c r="AU201" i="10"/>
  <c r="AQ201" i="10"/>
  <c r="AN201" i="10"/>
  <c r="AM201" i="10"/>
  <c r="Z201" i="10"/>
  <c r="X201" i="10"/>
  <c r="W201" i="10"/>
  <c r="I201" i="10"/>
  <c r="H201" i="10"/>
  <c r="G201" i="10"/>
  <c r="AZ200" i="10"/>
  <c r="AU200" i="10"/>
  <c r="AQ200" i="10"/>
  <c r="AN200" i="10"/>
  <c r="AM200" i="10"/>
  <c r="Z200" i="10"/>
  <c r="X200" i="10"/>
  <c r="W200" i="10"/>
  <c r="I200" i="10" s="1"/>
  <c r="L200" i="10" s="1"/>
  <c r="J200" i="10"/>
  <c r="K200" i="10" s="1"/>
  <c r="H200" i="10"/>
  <c r="G200" i="10"/>
  <c r="AZ199" i="10"/>
  <c r="AU199" i="10"/>
  <c r="AQ199" i="10"/>
  <c r="AN199" i="10"/>
  <c r="AM199" i="10"/>
  <c r="Z199" i="10"/>
  <c r="X199" i="10"/>
  <c r="W199" i="10"/>
  <c r="I199" i="10" s="1"/>
  <c r="H199" i="10"/>
  <c r="G199" i="10"/>
  <c r="AZ198" i="10"/>
  <c r="AU198" i="10"/>
  <c r="AQ198" i="10"/>
  <c r="AN198" i="10"/>
  <c r="AM198" i="10"/>
  <c r="Z198" i="10"/>
  <c r="X198" i="10"/>
  <c r="W198" i="10"/>
  <c r="I198" i="10" s="1"/>
  <c r="H198" i="10"/>
  <c r="G198" i="10"/>
  <c r="AZ197" i="10"/>
  <c r="AU197" i="10"/>
  <c r="AQ197" i="10"/>
  <c r="AN197" i="10"/>
  <c r="AM197" i="10"/>
  <c r="Z197" i="10"/>
  <c r="X197" i="10"/>
  <c r="W197" i="10"/>
  <c r="L197" i="10"/>
  <c r="K197" i="10"/>
  <c r="I197" i="10"/>
  <c r="J197" i="10" s="1"/>
  <c r="H197" i="10"/>
  <c r="G197" i="10"/>
  <c r="AZ196" i="10"/>
  <c r="AU196" i="10"/>
  <c r="AQ196" i="10"/>
  <c r="AN196" i="10"/>
  <c r="AM196" i="10"/>
  <c r="Z196" i="10"/>
  <c r="X196" i="10"/>
  <c r="W196" i="10"/>
  <c r="I196" i="10" s="1"/>
  <c r="H196" i="10"/>
  <c r="G196" i="10"/>
  <c r="AZ195" i="10"/>
  <c r="AU195" i="10"/>
  <c r="AQ195" i="10"/>
  <c r="AN195" i="10"/>
  <c r="AM195" i="10"/>
  <c r="Z195" i="10"/>
  <c r="X195" i="10"/>
  <c r="W195" i="10"/>
  <c r="I195" i="10"/>
  <c r="H195" i="10"/>
  <c r="G195" i="10"/>
  <c r="AZ194" i="10"/>
  <c r="AU194" i="10"/>
  <c r="AQ194" i="10"/>
  <c r="AN194" i="10"/>
  <c r="AM194" i="10"/>
  <c r="Z194" i="10"/>
  <c r="X194" i="10"/>
  <c r="W194" i="10"/>
  <c r="I194" i="10"/>
  <c r="H194" i="10"/>
  <c r="G194" i="10"/>
  <c r="AZ193" i="10"/>
  <c r="AU193" i="10"/>
  <c r="AQ193" i="10"/>
  <c r="AN193" i="10"/>
  <c r="AM193" i="10"/>
  <c r="Z193" i="10"/>
  <c r="X193" i="10"/>
  <c r="W193" i="10"/>
  <c r="K193" i="10"/>
  <c r="I193" i="10"/>
  <c r="J193" i="10" s="1"/>
  <c r="H193" i="10"/>
  <c r="G193" i="10"/>
  <c r="AZ192" i="10"/>
  <c r="AU192" i="10"/>
  <c r="AQ192" i="10"/>
  <c r="AN192" i="10"/>
  <c r="AM192" i="10"/>
  <c r="Z192" i="10"/>
  <c r="X192" i="10"/>
  <c r="W192" i="10"/>
  <c r="I192" i="10" s="1"/>
  <c r="H192" i="10"/>
  <c r="G192" i="10"/>
  <c r="AZ191" i="10"/>
  <c r="AU191" i="10"/>
  <c r="AQ191" i="10"/>
  <c r="AN191" i="10"/>
  <c r="AM191" i="10"/>
  <c r="Z191" i="10"/>
  <c r="X191" i="10"/>
  <c r="W191" i="10"/>
  <c r="I191" i="10" s="1"/>
  <c r="H191" i="10"/>
  <c r="G191" i="10"/>
  <c r="AZ190" i="10"/>
  <c r="AU190" i="10"/>
  <c r="AQ190" i="10"/>
  <c r="AN190" i="10"/>
  <c r="AM190" i="10"/>
  <c r="Z190" i="10"/>
  <c r="X190" i="10"/>
  <c r="W190" i="10"/>
  <c r="I190" i="10"/>
  <c r="H190" i="10"/>
  <c r="G190" i="10"/>
  <c r="AZ189" i="10"/>
  <c r="AU189" i="10"/>
  <c r="AQ189" i="10"/>
  <c r="AN189" i="10"/>
  <c r="AM189" i="10"/>
  <c r="Z189" i="10"/>
  <c r="X189" i="10"/>
  <c r="W189" i="10"/>
  <c r="I189" i="10"/>
  <c r="J189" i="10" s="1"/>
  <c r="K189" i="10" s="1"/>
  <c r="H189" i="10"/>
  <c r="G189" i="10"/>
  <c r="AZ188" i="10"/>
  <c r="AU188" i="10"/>
  <c r="AQ188" i="10"/>
  <c r="AN188" i="10"/>
  <c r="AM188" i="10"/>
  <c r="Z188" i="10"/>
  <c r="X188" i="10"/>
  <c r="W188" i="10"/>
  <c r="I188" i="10" s="1"/>
  <c r="L188" i="10"/>
  <c r="J188" i="10"/>
  <c r="K188" i="10" s="1"/>
  <c r="H188" i="10"/>
  <c r="G188" i="10"/>
  <c r="AZ187" i="10"/>
  <c r="AU187" i="10"/>
  <c r="AQ187" i="10"/>
  <c r="AN187" i="10"/>
  <c r="AM187" i="10"/>
  <c r="Z187" i="10"/>
  <c r="X187" i="10"/>
  <c r="W187" i="10"/>
  <c r="I187" i="10"/>
  <c r="H187" i="10"/>
  <c r="G187" i="10"/>
  <c r="AZ186" i="10"/>
  <c r="AU186" i="10"/>
  <c r="AQ186" i="10"/>
  <c r="AN186" i="10"/>
  <c r="AM186" i="10"/>
  <c r="Z186" i="10"/>
  <c r="X186" i="10"/>
  <c r="W186" i="10"/>
  <c r="I186" i="10" s="1"/>
  <c r="H186" i="10"/>
  <c r="G186" i="10"/>
  <c r="AZ185" i="10"/>
  <c r="AU185" i="10"/>
  <c r="AQ185" i="10"/>
  <c r="AN185" i="10"/>
  <c r="AM185" i="10"/>
  <c r="Z185" i="10"/>
  <c r="X185" i="10"/>
  <c r="W185" i="10"/>
  <c r="M185" i="10"/>
  <c r="L185" i="10"/>
  <c r="K185" i="10"/>
  <c r="I185" i="10"/>
  <c r="J185" i="10" s="1"/>
  <c r="H185" i="10"/>
  <c r="G185" i="10"/>
  <c r="AZ184" i="10"/>
  <c r="AU184" i="10"/>
  <c r="AQ184" i="10"/>
  <c r="AN184" i="10"/>
  <c r="AM184" i="10"/>
  <c r="Z184" i="10"/>
  <c r="X184" i="10"/>
  <c r="W184" i="10"/>
  <c r="I184" i="10" s="1"/>
  <c r="K184" i="10"/>
  <c r="J184" i="10"/>
  <c r="L184" i="10" s="1"/>
  <c r="H184" i="10"/>
  <c r="G184" i="10"/>
  <c r="AZ183" i="10"/>
  <c r="AU183" i="10"/>
  <c r="AQ183" i="10"/>
  <c r="AN183" i="10"/>
  <c r="AM183" i="10"/>
  <c r="Z183" i="10"/>
  <c r="X183" i="10"/>
  <c r="W183" i="10"/>
  <c r="I183" i="10"/>
  <c r="H183" i="10"/>
  <c r="G183" i="10"/>
  <c r="AZ182" i="10"/>
  <c r="AU182" i="10"/>
  <c r="AQ182" i="10"/>
  <c r="AN182" i="10"/>
  <c r="AM182" i="10"/>
  <c r="Z182" i="10"/>
  <c r="X182" i="10"/>
  <c r="W182" i="10"/>
  <c r="I182" i="10"/>
  <c r="H182" i="10"/>
  <c r="G182" i="10"/>
  <c r="AZ181" i="10"/>
  <c r="AU181" i="10"/>
  <c r="AQ181" i="10"/>
  <c r="AN181" i="10"/>
  <c r="AM181" i="10"/>
  <c r="Z181" i="10"/>
  <c r="X181" i="10"/>
  <c r="W181" i="10"/>
  <c r="I181" i="10" s="1"/>
  <c r="H181" i="10"/>
  <c r="G181" i="10"/>
  <c r="AZ180" i="10"/>
  <c r="AU180" i="10"/>
  <c r="AQ180" i="10"/>
  <c r="AN180" i="10"/>
  <c r="AM180" i="10"/>
  <c r="Z180" i="10"/>
  <c r="X180" i="10"/>
  <c r="W180" i="10"/>
  <c r="I180" i="10" s="1"/>
  <c r="H180" i="10"/>
  <c r="G180" i="10"/>
  <c r="AZ179" i="10"/>
  <c r="AU179" i="10"/>
  <c r="AQ179" i="10"/>
  <c r="AN179" i="10"/>
  <c r="AM179" i="10"/>
  <c r="Z179" i="10"/>
  <c r="X179" i="10"/>
  <c r="W179" i="10"/>
  <c r="I179" i="10"/>
  <c r="H179" i="10"/>
  <c r="G179" i="10"/>
  <c r="AZ178" i="10"/>
  <c r="AU178" i="10"/>
  <c r="AQ178" i="10"/>
  <c r="AN178" i="10"/>
  <c r="AM178" i="10"/>
  <c r="Z178" i="10"/>
  <c r="X178" i="10"/>
  <c r="W178" i="10"/>
  <c r="I178" i="10" s="1"/>
  <c r="H178" i="10"/>
  <c r="G178" i="10"/>
  <c r="AZ177" i="10"/>
  <c r="AU177" i="10"/>
  <c r="AQ177" i="10"/>
  <c r="AN177" i="10"/>
  <c r="AM177" i="10"/>
  <c r="Z177" i="10"/>
  <c r="X177" i="10"/>
  <c r="W177" i="10"/>
  <c r="J177" i="10"/>
  <c r="M177" i="10" s="1"/>
  <c r="I177" i="10"/>
  <c r="L177" i="10" s="1"/>
  <c r="H177" i="10"/>
  <c r="G177" i="10"/>
  <c r="AZ176" i="10"/>
  <c r="AU176" i="10"/>
  <c r="AQ176" i="10"/>
  <c r="AN176" i="10"/>
  <c r="AM176" i="10"/>
  <c r="Z176" i="10"/>
  <c r="X176" i="10"/>
  <c r="W176" i="10"/>
  <c r="I176" i="10" s="1"/>
  <c r="H176" i="10"/>
  <c r="G176" i="10"/>
  <c r="AZ175" i="10"/>
  <c r="AU175" i="10"/>
  <c r="AQ175" i="10"/>
  <c r="AN175" i="10"/>
  <c r="AM175" i="10"/>
  <c r="Z175" i="10"/>
  <c r="X175" i="10"/>
  <c r="W175" i="10"/>
  <c r="I175" i="10"/>
  <c r="H175" i="10"/>
  <c r="G175" i="10"/>
  <c r="BA174" i="10"/>
  <c r="AU174" i="10"/>
  <c r="AQ174" i="10"/>
  <c r="AM174" i="10"/>
  <c r="X174" i="10"/>
  <c r="W174" i="10"/>
  <c r="I174" i="10" s="1"/>
  <c r="H174" i="10"/>
  <c r="G174" i="10"/>
  <c r="BA173" i="10"/>
  <c r="AU173" i="10"/>
  <c r="AQ173" i="10"/>
  <c r="AM173" i="10"/>
  <c r="X173" i="10"/>
  <c r="W173" i="10"/>
  <c r="L173" i="10"/>
  <c r="J173" i="10"/>
  <c r="M173" i="10" s="1"/>
  <c r="I173" i="10"/>
  <c r="H173" i="10"/>
  <c r="G173" i="10"/>
  <c r="BA172" i="10"/>
  <c r="AU172" i="10"/>
  <c r="AQ172" i="10"/>
  <c r="AM172" i="10"/>
  <c r="X172" i="10"/>
  <c r="W172" i="10"/>
  <c r="I172" i="10"/>
  <c r="H172" i="10"/>
  <c r="G172" i="10"/>
  <c r="BA171" i="10"/>
  <c r="AU171" i="10"/>
  <c r="AQ171" i="10"/>
  <c r="AM171" i="10"/>
  <c r="X171" i="10"/>
  <c r="W171" i="10"/>
  <c r="I171" i="10" s="1"/>
  <c r="H171" i="10"/>
  <c r="G171" i="10"/>
  <c r="BA170" i="10"/>
  <c r="AU170" i="10"/>
  <c r="AQ170" i="10"/>
  <c r="AM170" i="10"/>
  <c r="X170" i="10"/>
  <c r="W170" i="10"/>
  <c r="I170" i="10"/>
  <c r="H170" i="10"/>
  <c r="G170" i="10"/>
  <c r="BA169" i="10"/>
  <c r="AU169" i="10"/>
  <c r="AQ169" i="10"/>
  <c r="AM169" i="10"/>
  <c r="X169" i="10"/>
  <c r="W169" i="10"/>
  <c r="I169" i="10" s="1"/>
  <c r="H169" i="10"/>
  <c r="G169" i="10"/>
  <c r="BA168" i="10"/>
  <c r="AU168" i="10"/>
  <c r="AQ168" i="10"/>
  <c r="AM168" i="10"/>
  <c r="X168" i="10"/>
  <c r="W168" i="10"/>
  <c r="J168" i="10"/>
  <c r="M168" i="10" s="1"/>
  <c r="I168" i="10"/>
  <c r="H168" i="10"/>
  <c r="G168" i="10"/>
  <c r="BA167" i="10"/>
  <c r="AU167" i="10"/>
  <c r="AQ167" i="10"/>
  <c r="AM167" i="10"/>
  <c r="X167" i="10"/>
  <c r="W167" i="10"/>
  <c r="I167" i="10"/>
  <c r="H167" i="10"/>
  <c r="G167" i="10"/>
  <c r="BA166" i="10"/>
  <c r="AU166" i="10"/>
  <c r="AQ166" i="10"/>
  <c r="AM166" i="10"/>
  <c r="X166" i="10"/>
  <c r="W166" i="10"/>
  <c r="I166" i="10" s="1"/>
  <c r="H166" i="10"/>
  <c r="G166" i="10"/>
  <c r="BA165" i="10"/>
  <c r="AU165" i="10"/>
  <c r="AQ165" i="10"/>
  <c r="AM165" i="10"/>
  <c r="X165" i="10"/>
  <c r="W165" i="10"/>
  <c r="J165" i="10"/>
  <c r="M165" i="10" s="1"/>
  <c r="I165" i="10"/>
  <c r="L165" i="10" s="1"/>
  <c r="H165" i="10"/>
  <c r="G165" i="10"/>
  <c r="BA164" i="10"/>
  <c r="AU164" i="10"/>
  <c r="AQ164" i="10"/>
  <c r="AM164" i="10"/>
  <c r="X164" i="10"/>
  <c r="W164" i="10"/>
  <c r="I164" i="10"/>
  <c r="H164" i="10"/>
  <c r="G164" i="10"/>
  <c r="BA163" i="10"/>
  <c r="AU163" i="10"/>
  <c r="AQ163" i="10"/>
  <c r="AM163" i="10"/>
  <c r="X163" i="10"/>
  <c r="W163" i="10"/>
  <c r="I163" i="10" s="1"/>
  <c r="H163" i="10"/>
  <c r="G163" i="10"/>
  <c r="BA162" i="10"/>
  <c r="AU162" i="10"/>
  <c r="AQ162" i="10"/>
  <c r="AM162" i="10"/>
  <c r="X162" i="10"/>
  <c r="W162" i="10"/>
  <c r="I162" i="10" s="1"/>
  <c r="H162" i="10"/>
  <c r="G162" i="10"/>
  <c r="BA161" i="10"/>
  <c r="AU161" i="10"/>
  <c r="AQ161" i="10"/>
  <c r="AM161" i="10"/>
  <c r="X161" i="10"/>
  <c r="W161" i="10"/>
  <c r="L161" i="10"/>
  <c r="K161" i="10"/>
  <c r="I161" i="10"/>
  <c r="J161" i="10" s="1"/>
  <c r="H161" i="10"/>
  <c r="G161" i="10"/>
  <c r="BA160" i="10"/>
  <c r="AU160" i="10"/>
  <c r="AQ160" i="10"/>
  <c r="AM160" i="10"/>
  <c r="X160" i="10"/>
  <c r="W160" i="10"/>
  <c r="I160" i="10" s="1"/>
  <c r="H160" i="10"/>
  <c r="G160" i="10"/>
  <c r="BA159" i="10"/>
  <c r="AU159" i="10"/>
  <c r="AQ159" i="10"/>
  <c r="AM159" i="10"/>
  <c r="X159" i="10"/>
  <c r="W159" i="10"/>
  <c r="I159" i="10"/>
  <c r="H159" i="10"/>
  <c r="G159" i="10"/>
  <c r="F159" i="10"/>
  <c r="BA158" i="10"/>
  <c r="AU158" i="10"/>
  <c r="AQ158" i="10"/>
  <c r="AM158" i="10"/>
  <c r="X158" i="10"/>
  <c r="W158" i="10"/>
  <c r="H158" i="10"/>
  <c r="G158" i="10"/>
  <c r="F158" i="10"/>
  <c r="I158" i="10" s="1"/>
  <c r="BA157" i="10"/>
  <c r="AU157" i="10"/>
  <c r="AQ157" i="10"/>
  <c r="AM157" i="10"/>
  <c r="X157" i="10"/>
  <c r="W157" i="10"/>
  <c r="H157" i="10"/>
  <c r="G157" i="10"/>
  <c r="F157" i="10"/>
  <c r="I157" i="10" s="1"/>
  <c r="BA156" i="10"/>
  <c r="AU156" i="10"/>
  <c r="AQ156" i="10"/>
  <c r="AM156" i="10"/>
  <c r="X156" i="10"/>
  <c r="W156" i="10"/>
  <c r="J156" i="10"/>
  <c r="M156" i="10" s="1"/>
  <c r="I156" i="10"/>
  <c r="H156" i="10"/>
  <c r="G156" i="10"/>
  <c r="F156" i="10"/>
  <c r="BA155" i="10"/>
  <c r="AU155" i="10"/>
  <c r="AQ155" i="10"/>
  <c r="AM155" i="10"/>
  <c r="X155" i="10"/>
  <c r="W155" i="10"/>
  <c r="H155" i="10"/>
  <c r="G155" i="10"/>
  <c r="F155" i="10"/>
  <c r="I155" i="10" s="1"/>
  <c r="AM154" i="10"/>
  <c r="Z154" i="10"/>
  <c r="X154" i="10"/>
  <c r="W154" i="10"/>
  <c r="I154" i="10" s="1"/>
  <c r="H154" i="10"/>
  <c r="G154" i="10"/>
  <c r="AM153" i="10"/>
  <c r="Z153" i="10"/>
  <c r="X153" i="10"/>
  <c r="W153" i="10"/>
  <c r="I153" i="10" s="1"/>
  <c r="H153" i="10"/>
  <c r="G153" i="10"/>
  <c r="AM152" i="10"/>
  <c r="Z152" i="10"/>
  <c r="X152" i="10"/>
  <c r="W152" i="10"/>
  <c r="I152" i="10"/>
  <c r="H152" i="10"/>
  <c r="G152" i="10"/>
  <c r="AM151" i="10"/>
  <c r="Z151" i="10"/>
  <c r="X151" i="10"/>
  <c r="W151" i="10"/>
  <c r="I151" i="10" s="1"/>
  <c r="H151" i="10"/>
  <c r="G151" i="10"/>
  <c r="AM150" i="10"/>
  <c r="Z150" i="10"/>
  <c r="X150" i="10"/>
  <c r="W150" i="10"/>
  <c r="I150" i="10" s="1"/>
  <c r="H150" i="10"/>
  <c r="G150" i="10"/>
  <c r="AM149" i="10"/>
  <c r="Z149" i="10"/>
  <c r="X149" i="10"/>
  <c r="W149" i="10"/>
  <c r="I149" i="10" s="1"/>
  <c r="H149" i="10"/>
  <c r="G149" i="10"/>
  <c r="AM148" i="10"/>
  <c r="Z148" i="10"/>
  <c r="X148" i="10"/>
  <c r="W148" i="10"/>
  <c r="J148" i="10"/>
  <c r="M148" i="10" s="1"/>
  <c r="I148" i="10"/>
  <c r="L148" i="10" s="1"/>
  <c r="H148" i="10"/>
  <c r="G148" i="10"/>
  <c r="AM147" i="10"/>
  <c r="Z147" i="10"/>
  <c r="X147" i="10"/>
  <c r="W147" i="10"/>
  <c r="I147" i="10" s="1"/>
  <c r="H147" i="10"/>
  <c r="G147" i="10"/>
  <c r="AM146" i="10"/>
  <c r="Z146" i="10"/>
  <c r="X146" i="10"/>
  <c r="W146" i="10"/>
  <c r="I146" i="10" s="1"/>
  <c r="H146" i="10"/>
  <c r="G146" i="10"/>
  <c r="AM145" i="10"/>
  <c r="Z145" i="10"/>
  <c r="X145" i="10"/>
  <c r="W145" i="10"/>
  <c r="I145" i="10" s="1"/>
  <c r="H145" i="10"/>
  <c r="G145" i="10"/>
  <c r="AM144" i="10"/>
  <c r="Z144" i="10"/>
  <c r="X144" i="10"/>
  <c r="W144" i="10"/>
  <c r="I144" i="10" s="1"/>
  <c r="H144" i="10"/>
  <c r="G144" i="10"/>
  <c r="AM143" i="10"/>
  <c r="Z143" i="10"/>
  <c r="X143" i="10"/>
  <c r="W143" i="10"/>
  <c r="I143" i="10"/>
  <c r="H143" i="10"/>
  <c r="G143" i="10"/>
  <c r="AM142" i="10"/>
  <c r="X142" i="10"/>
  <c r="W142" i="10"/>
  <c r="I142" i="10" s="1"/>
  <c r="E142" i="10"/>
  <c r="H142" i="10" s="1"/>
  <c r="AM141" i="10"/>
  <c r="X141" i="10"/>
  <c r="W141" i="10"/>
  <c r="I141" i="10" s="1"/>
  <c r="E141" i="10"/>
  <c r="H141" i="10" s="1"/>
  <c r="AM140" i="10"/>
  <c r="X140" i="10"/>
  <c r="W140" i="10"/>
  <c r="I140" i="10"/>
  <c r="H140" i="10"/>
  <c r="G140" i="10"/>
  <c r="E140" i="10"/>
  <c r="AM139" i="10"/>
  <c r="X139" i="10"/>
  <c r="W139" i="10"/>
  <c r="I139" i="10" s="1"/>
  <c r="G139" i="10"/>
  <c r="E139" i="10"/>
  <c r="H139" i="10" s="1"/>
  <c r="AM138" i="10"/>
  <c r="X138" i="10"/>
  <c r="W138" i="10"/>
  <c r="I138" i="10" s="1"/>
  <c r="G138" i="10"/>
  <c r="E138" i="10"/>
  <c r="H138" i="10" s="1"/>
  <c r="AM137" i="10"/>
  <c r="X137" i="10"/>
  <c r="W137" i="10"/>
  <c r="J137" i="10"/>
  <c r="M137" i="10" s="1"/>
  <c r="I137" i="10"/>
  <c r="L137" i="10" s="1"/>
  <c r="H137" i="10"/>
  <c r="G137" i="10"/>
  <c r="E137" i="10"/>
  <c r="AM136" i="10"/>
  <c r="X136" i="10"/>
  <c r="W136" i="10"/>
  <c r="H136" i="10"/>
  <c r="G136" i="10"/>
  <c r="F136" i="10"/>
  <c r="I136" i="10" s="1"/>
  <c r="AZ135" i="10"/>
  <c r="AM135" i="10"/>
  <c r="X135" i="10"/>
  <c r="W135" i="10"/>
  <c r="I135" i="10"/>
  <c r="H135" i="10"/>
  <c r="G135" i="10"/>
  <c r="F135" i="10"/>
  <c r="AZ134" i="10"/>
  <c r="AM134" i="10"/>
  <c r="X134" i="10"/>
  <c r="W134" i="10"/>
  <c r="H134" i="10"/>
  <c r="G134" i="10"/>
  <c r="F134" i="10"/>
  <c r="I134" i="10" s="1"/>
  <c r="AZ133" i="10"/>
  <c r="AT133" i="10"/>
  <c r="AM133" i="10"/>
  <c r="X133" i="10"/>
  <c r="W133" i="10"/>
  <c r="J133" i="10"/>
  <c r="M133" i="10" s="1"/>
  <c r="I133" i="10"/>
  <c r="L133" i="10" s="1"/>
  <c r="H133" i="10"/>
  <c r="G133" i="10"/>
  <c r="F133" i="10"/>
  <c r="AZ132" i="10"/>
  <c r="AM132" i="10"/>
  <c r="X132" i="10"/>
  <c r="W132" i="10"/>
  <c r="H132" i="10"/>
  <c r="G132" i="10"/>
  <c r="F132" i="10"/>
  <c r="I132" i="10" s="1"/>
  <c r="AZ131" i="10"/>
  <c r="AM131" i="10"/>
  <c r="X131" i="10"/>
  <c r="W131" i="10"/>
  <c r="J131" i="10"/>
  <c r="M131" i="10" s="1"/>
  <c r="I131" i="10"/>
  <c r="L131" i="10" s="1"/>
  <c r="H131" i="10"/>
  <c r="G131" i="10"/>
  <c r="F131" i="10"/>
  <c r="AZ130" i="10"/>
  <c r="AT130" i="10"/>
  <c r="AM130" i="10"/>
  <c r="X130" i="10"/>
  <c r="W130" i="10"/>
  <c r="H130" i="10"/>
  <c r="G130" i="10"/>
  <c r="F130" i="10"/>
  <c r="I130" i="10" s="1"/>
  <c r="AZ129" i="10"/>
  <c r="AM129" i="10"/>
  <c r="X129" i="10"/>
  <c r="W129" i="10"/>
  <c r="H129" i="10"/>
  <c r="G129" i="10"/>
  <c r="F129" i="10"/>
  <c r="I129" i="10" s="1"/>
  <c r="AZ128" i="10"/>
  <c r="AM128" i="10"/>
  <c r="X128" i="10"/>
  <c r="W128" i="10"/>
  <c r="H128" i="10"/>
  <c r="G128" i="10"/>
  <c r="F128" i="10"/>
  <c r="I128" i="10" s="1"/>
  <c r="AZ127" i="10"/>
  <c r="AT127" i="10"/>
  <c r="AM127" i="10"/>
  <c r="X127" i="10"/>
  <c r="W127" i="10"/>
  <c r="L127" i="10"/>
  <c r="J127" i="10"/>
  <c r="K127" i="10" s="1"/>
  <c r="I127" i="10"/>
  <c r="M127" i="10" s="1"/>
  <c r="H127" i="10"/>
  <c r="G127" i="10"/>
  <c r="F127" i="10"/>
  <c r="AZ126" i="10"/>
  <c r="AM126" i="10"/>
  <c r="X126" i="10"/>
  <c r="W126" i="10"/>
  <c r="H126" i="10"/>
  <c r="G126" i="10"/>
  <c r="F126" i="10"/>
  <c r="I126" i="10" s="1"/>
  <c r="AZ125" i="10"/>
  <c r="AM125" i="10"/>
  <c r="X125" i="10"/>
  <c r="W125" i="10"/>
  <c r="L125" i="10"/>
  <c r="J125" i="10"/>
  <c r="K125" i="10" s="1"/>
  <c r="I125" i="10"/>
  <c r="M125" i="10" s="1"/>
  <c r="H125" i="10"/>
  <c r="G125" i="10"/>
  <c r="F125" i="10"/>
  <c r="AZ124" i="10"/>
  <c r="AT124" i="10"/>
  <c r="AM124" i="10"/>
  <c r="X124" i="10"/>
  <c r="W124" i="10"/>
  <c r="I124" i="10"/>
  <c r="H124" i="10"/>
  <c r="G124" i="10"/>
  <c r="F124" i="10"/>
  <c r="AZ123" i="10"/>
  <c r="AM123" i="10"/>
  <c r="X123" i="10"/>
  <c r="W123" i="10"/>
  <c r="H123" i="10"/>
  <c r="G123" i="10"/>
  <c r="F123" i="10"/>
  <c r="I123" i="10" s="1"/>
  <c r="AZ122" i="10"/>
  <c r="AM122" i="10"/>
  <c r="X122" i="10"/>
  <c r="W122" i="10"/>
  <c r="I122" i="10"/>
  <c r="H122" i="10"/>
  <c r="G122" i="10"/>
  <c r="F122" i="10"/>
  <c r="AZ121" i="10"/>
  <c r="AT121" i="10"/>
  <c r="AM121" i="10"/>
  <c r="X121" i="10"/>
  <c r="W121" i="10"/>
  <c r="H121" i="10"/>
  <c r="G121" i="10"/>
  <c r="F121" i="10"/>
  <c r="I121" i="10" s="1"/>
  <c r="AR120" i="10"/>
  <c r="AM120" i="10"/>
  <c r="Z120" i="10"/>
  <c r="X120" i="10"/>
  <c r="W120" i="10"/>
  <c r="H120" i="10"/>
  <c r="G120" i="10"/>
  <c r="F120" i="10"/>
  <c r="I120" i="10" s="1"/>
  <c r="AR119" i="10"/>
  <c r="AM119" i="10"/>
  <c r="Z119" i="10"/>
  <c r="X119" i="10"/>
  <c r="W119" i="10"/>
  <c r="H119" i="10"/>
  <c r="G119" i="10"/>
  <c r="F119" i="10"/>
  <c r="I119" i="10" s="1"/>
  <c r="AR118" i="10"/>
  <c r="AM118" i="10"/>
  <c r="Z118" i="10"/>
  <c r="X118" i="10"/>
  <c r="W118" i="10"/>
  <c r="H118" i="10"/>
  <c r="G118" i="10"/>
  <c r="F118" i="10"/>
  <c r="I118" i="10" s="1"/>
  <c r="AR117" i="10"/>
  <c r="AM117" i="10"/>
  <c r="Z117" i="10"/>
  <c r="X117" i="10"/>
  <c r="W117" i="10"/>
  <c r="J117" i="10"/>
  <c r="M117" i="10" s="1"/>
  <c r="I117" i="10"/>
  <c r="L117" i="10" s="1"/>
  <c r="H117" i="10"/>
  <c r="G117" i="10"/>
  <c r="F117" i="10"/>
  <c r="AR116" i="10"/>
  <c r="AM116" i="10"/>
  <c r="Z116" i="10"/>
  <c r="X116" i="10"/>
  <c r="W116" i="10"/>
  <c r="H116" i="10"/>
  <c r="G116" i="10"/>
  <c r="F116" i="10"/>
  <c r="I116" i="10" s="1"/>
  <c r="AR115" i="10"/>
  <c r="AM115" i="10"/>
  <c r="Z115" i="10"/>
  <c r="X115" i="10"/>
  <c r="W115" i="10"/>
  <c r="H115" i="10"/>
  <c r="G115" i="10"/>
  <c r="F115" i="10"/>
  <c r="I115" i="10" s="1"/>
  <c r="AP114" i="10"/>
  <c r="AO114" i="10"/>
  <c r="AM114" i="10"/>
  <c r="Z114" i="10"/>
  <c r="X114" i="10"/>
  <c r="W114" i="10"/>
  <c r="J114" i="10"/>
  <c r="M114" i="10" s="1"/>
  <c r="I114" i="10"/>
  <c r="L114" i="10" s="1"/>
  <c r="H114" i="10"/>
  <c r="G114" i="10"/>
  <c r="E114" i="10"/>
  <c r="AP113" i="10"/>
  <c r="AO113" i="10"/>
  <c r="AM113" i="10"/>
  <c r="Z113" i="10"/>
  <c r="X113" i="10"/>
  <c r="W113" i="10"/>
  <c r="I113" i="10" s="1"/>
  <c r="H113" i="10"/>
  <c r="E113" i="10"/>
  <c r="G113" i="10" s="1"/>
  <c r="AP112" i="10"/>
  <c r="AO112" i="10"/>
  <c r="AM112" i="10"/>
  <c r="Z112" i="10"/>
  <c r="X112" i="10"/>
  <c r="W112" i="10"/>
  <c r="I112" i="10" s="1"/>
  <c r="E112" i="10"/>
  <c r="H112" i="10" s="1"/>
  <c r="AP111" i="10"/>
  <c r="AO111" i="10"/>
  <c r="AM111" i="10"/>
  <c r="Z111" i="10"/>
  <c r="X111" i="10"/>
  <c r="W111" i="10"/>
  <c r="L111" i="10"/>
  <c r="J111" i="10"/>
  <c r="K111" i="10" s="1"/>
  <c r="I111" i="10"/>
  <c r="M111" i="10" s="1"/>
  <c r="G111" i="10"/>
  <c r="E111" i="10"/>
  <c r="H111" i="10" s="1"/>
  <c r="AP110" i="10"/>
  <c r="AO110" i="10"/>
  <c r="AM110" i="10"/>
  <c r="Z110" i="10"/>
  <c r="X110" i="10"/>
  <c r="W110" i="10"/>
  <c r="J110" i="10"/>
  <c r="M110" i="10" s="1"/>
  <c r="I110" i="10"/>
  <c r="L110" i="10" s="1"/>
  <c r="H110" i="10"/>
  <c r="G110" i="10"/>
  <c r="E110" i="10"/>
  <c r="AP109" i="10"/>
  <c r="AO109" i="10"/>
  <c r="AM109" i="10"/>
  <c r="Z109" i="10"/>
  <c r="X109" i="10"/>
  <c r="W109" i="10"/>
  <c r="I109" i="10" s="1"/>
  <c r="H109" i="10"/>
  <c r="G109" i="10"/>
  <c r="E109" i="10"/>
  <c r="AP108" i="10"/>
  <c r="AO108" i="10"/>
  <c r="AM108" i="10"/>
  <c r="Z108" i="10"/>
  <c r="X108" i="10"/>
  <c r="W108" i="10"/>
  <c r="I108" i="10" s="1"/>
  <c r="E108" i="10"/>
  <c r="H108" i="10" s="1"/>
  <c r="AP107" i="10"/>
  <c r="AO107" i="10"/>
  <c r="AM107" i="10"/>
  <c r="Z107" i="10"/>
  <c r="X107" i="10"/>
  <c r="W107" i="10"/>
  <c r="L107" i="10"/>
  <c r="K107" i="10"/>
  <c r="J107" i="10"/>
  <c r="I107" i="10"/>
  <c r="M107" i="10" s="1"/>
  <c r="G107" i="10"/>
  <c r="E107" i="10"/>
  <c r="H107" i="10" s="1"/>
  <c r="AP106" i="10"/>
  <c r="AO106" i="10"/>
  <c r="AM106" i="10"/>
  <c r="Z106" i="10"/>
  <c r="X106" i="10"/>
  <c r="W106" i="10"/>
  <c r="M106" i="10"/>
  <c r="J106" i="10"/>
  <c r="K106" i="10" s="1"/>
  <c r="I106" i="10"/>
  <c r="L106" i="10" s="1"/>
  <c r="H106" i="10"/>
  <c r="G106" i="10"/>
  <c r="E106" i="10"/>
  <c r="AP105" i="10"/>
  <c r="AO105" i="10"/>
  <c r="AM105" i="10"/>
  <c r="Z105" i="10"/>
  <c r="X105" i="10"/>
  <c r="W105" i="10"/>
  <c r="I105" i="10" s="1"/>
  <c r="H105" i="10"/>
  <c r="G105" i="10"/>
  <c r="E105" i="10"/>
  <c r="AP104" i="10"/>
  <c r="AO104" i="10"/>
  <c r="AM104" i="10"/>
  <c r="Z104" i="10"/>
  <c r="X104" i="10"/>
  <c r="W104" i="10"/>
  <c r="I104" i="10"/>
  <c r="E104" i="10"/>
  <c r="H104" i="10" s="1"/>
  <c r="AP103" i="10"/>
  <c r="AO103" i="10"/>
  <c r="AM103" i="10"/>
  <c r="Z103" i="10"/>
  <c r="X103" i="10"/>
  <c r="W103" i="10"/>
  <c r="I103" i="10"/>
  <c r="J103" i="10" s="1"/>
  <c r="G103" i="10"/>
  <c r="E103" i="10"/>
  <c r="H103" i="10" s="1"/>
  <c r="AP102" i="10"/>
  <c r="AO102" i="10"/>
  <c r="AM102" i="10"/>
  <c r="Z102" i="10"/>
  <c r="X102" i="10"/>
  <c r="W102" i="10"/>
  <c r="M102" i="10"/>
  <c r="J102" i="10"/>
  <c r="K102" i="10" s="1"/>
  <c r="I102" i="10"/>
  <c r="L102" i="10" s="1"/>
  <c r="H102" i="10"/>
  <c r="G102" i="10"/>
  <c r="E102" i="10"/>
  <c r="AP101" i="10"/>
  <c r="AO101" i="10"/>
  <c r="AM101" i="10"/>
  <c r="Z101" i="10"/>
  <c r="X101" i="10"/>
  <c r="W101" i="10"/>
  <c r="I101" i="10" s="1"/>
  <c r="H101" i="10"/>
  <c r="G101" i="10"/>
  <c r="E101" i="10"/>
  <c r="AP100" i="10"/>
  <c r="AO100" i="10"/>
  <c r="AM100" i="10"/>
  <c r="Z100" i="10"/>
  <c r="X100" i="10"/>
  <c r="W100" i="10"/>
  <c r="I100" i="10"/>
  <c r="E100" i="10"/>
  <c r="H100" i="10" s="1"/>
  <c r="BA99" i="10"/>
  <c r="AU99" i="10"/>
  <c r="AM99" i="10"/>
  <c r="X99" i="10"/>
  <c r="W99" i="10"/>
  <c r="H99" i="10"/>
  <c r="G99" i="10"/>
  <c r="F99" i="10"/>
  <c r="I99" i="10" s="1"/>
  <c r="BA98" i="10"/>
  <c r="AM98" i="10"/>
  <c r="X98" i="10"/>
  <c r="W98" i="10"/>
  <c r="H98" i="10"/>
  <c r="G98" i="10"/>
  <c r="F98" i="10"/>
  <c r="I98" i="10" s="1"/>
  <c r="BA97" i="10"/>
  <c r="AM97" i="10"/>
  <c r="X97" i="10"/>
  <c r="W97" i="10"/>
  <c r="H97" i="10"/>
  <c r="G97" i="10"/>
  <c r="F97" i="10"/>
  <c r="I97" i="10" s="1"/>
  <c r="BA96" i="10"/>
  <c r="AU96" i="10"/>
  <c r="AM96" i="10"/>
  <c r="X96" i="10"/>
  <c r="W96" i="10"/>
  <c r="H96" i="10"/>
  <c r="G96" i="10"/>
  <c r="F96" i="10"/>
  <c r="I96" i="10" s="1"/>
  <c r="BA95" i="10"/>
  <c r="AU95" i="10"/>
  <c r="AM95" i="10"/>
  <c r="X95" i="10"/>
  <c r="W95" i="10"/>
  <c r="H95" i="10"/>
  <c r="G95" i="10"/>
  <c r="F95" i="10"/>
  <c r="I95" i="10" s="1"/>
  <c r="BA94" i="10"/>
  <c r="AU94" i="10"/>
  <c r="AM94" i="10"/>
  <c r="X94" i="10"/>
  <c r="W94" i="10"/>
  <c r="M94" i="10"/>
  <c r="J94" i="10"/>
  <c r="K94" i="10" s="1"/>
  <c r="I94" i="10"/>
  <c r="L94" i="10" s="1"/>
  <c r="H94" i="10"/>
  <c r="G94" i="10"/>
  <c r="F94" i="10"/>
  <c r="BA93" i="10"/>
  <c r="AU93" i="10"/>
  <c r="AM93" i="10"/>
  <c r="X93" i="10"/>
  <c r="W93" i="10"/>
  <c r="H93" i="10"/>
  <c r="G93" i="10"/>
  <c r="F93" i="10"/>
  <c r="I93" i="10" s="1"/>
  <c r="BA92" i="10"/>
  <c r="AU92" i="10"/>
  <c r="AM92" i="10"/>
  <c r="X92" i="10"/>
  <c r="W92" i="10"/>
  <c r="I92" i="10"/>
  <c r="J92" i="10" s="1"/>
  <c r="H92" i="10"/>
  <c r="G92" i="10"/>
  <c r="F92" i="10"/>
  <c r="BA91" i="10"/>
  <c r="AU91" i="10"/>
  <c r="AM91" i="10"/>
  <c r="X91" i="10"/>
  <c r="W91" i="10"/>
  <c r="I91" i="10"/>
  <c r="H91" i="10"/>
  <c r="G91" i="10"/>
  <c r="F91" i="10"/>
  <c r="BA90" i="10"/>
  <c r="AU90" i="10"/>
  <c r="AM90" i="10"/>
  <c r="X90" i="10"/>
  <c r="W90" i="10"/>
  <c r="I90" i="10"/>
  <c r="H90" i="10"/>
  <c r="G90" i="10"/>
  <c r="F90" i="10"/>
  <c r="BA89" i="10"/>
  <c r="AU89" i="10"/>
  <c r="AM89" i="10"/>
  <c r="X89" i="10"/>
  <c r="W89" i="10"/>
  <c r="H89" i="10"/>
  <c r="G89" i="10"/>
  <c r="F89" i="10"/>
  <c r="I89" i="10" s="1"/>
  <c r="BA88" i="10"/>
  <c r="AU88" i="10"/>
  <c r="AM88" i="10"/>
  <c r="X88" i="10"/>
  <c r="W88" i="10"/>
  <c r="H88" i="10"/>
  <c r="G88" i="10"/>
  <c r="F88" i="10"/>
  <c r="I88" i="10" s="1"/>
  <c r="BA87" i="10"/>
  <c r="AS87" i="10"/>
  <c r="AM87" i="10"/>
  <c r="X87" i="10"/>
  <c r="W87" i="10"/>
  <c r="H87" i="10"/>
  <c r="G87" i="10"/>
  <c r="F87" i="10"/>
  <c r="I87" i="10" s="1"/>
  <c r="BA86" i="10"/>
  <c r="AS86" i="10"/>
  <c r="AM86" i="10"/>
  <c r="X86" i="10"/>
  <c r="W86" i="10"/>
  <c r="M86" i="10"/>
  <c r="J86" i="10"/>
  <c r="K86" i="10" s="1"/>
  <c r="I86" i="10"/>
  <c r="L86" i="10" s="1"/>
  <c r="H86" i="10"/>
  <c r="G86" i="10"/>
  <c r="F86" i="10"/>
  <c r="BA85" i="10"/>
  <c r="AS85" i="10"/>
  <c r="AM85" i="10"/>
  <c r="X85" i="10"/>
  <c r="W85" i="10"/>
  <c r="H85" i="10"/>
  <c r="G85" i="10"/>
  <c r="F85" i="10"/>
  <c r="I85" i="10" s="1"/>
  <c r="BA84" i="10"/>
  <c r="AS84" i="10"/>
  <c r="AM84" i="10"/>
  <c r="X84" i="10"/>
  <c r="W84" i="10"/>
  <c r="I84" i="10"/>
  <c r="J84" i="10" s="1"/>
  <c r="H84" i="10"/>
  <c r="G84" i="10"/>
  <c r="F84" i="10"/>
  <c r="AT83" i="10"/>
  <c r="AM83" i="10"/>
  <c r="X83" i="10"/>
  <c r="W83" i="10"/>
  <c r="H83" i="10"/>
  <c r="G83" i="10"/>
  <c r="F83" i="10"/>
  <c r="I83" i="10" s="1"/>
  <c r="E83" i="10"/>
  <c r="D83" i="10"/>
  <c r="AT82" i="10"/>
  <c r="AM82" i="10"/>
  <c r="X82" i="10"/>
  <c r="W82" i="10"/>
  <c r="F82" i="10"/>
  <c r="E82" i="10" s="1"/>
  <c r="G82" i="10" s="1"/>
  <c r="D82" i="10"/>
  <c r="H82" i="10" s="1"/>
  <c r="AT81" i="10"/>
  <c r="AM81" i="10"/>
  <c r="X81" i="10"/>
  <c r="W81" i="10"/>
  <c r="L81" i="10"/>
  <c r="I81" i="10"/>
  <c r="J81" i="10" s="1"/>
  <c r="K81" i="10" s="1"/>
  <c r="F81" i="10"/>
  <c r="D81" i="10"/>
  <c r="AV80" i="10"/>
  <c r="AR80" i="10"/>
  <c r="AM80" i="10"/>
  <c r="X80" i="10"/>
  <c r="W80" i="10"/>
  <c r="I80" i="10" s="1"/>
  <c r="E80" i="10"/>
  <c r="AV79" i="10"/>
  <c r="AR79" i="10"/>
  <c r="AM79" i="10"/>
  <c r="X79" i="10"/>
  <c r="W79" i="10"/>
  <c r="I79" i="10"/>
  <c r="H79" i="10"/>
  <c r="G79" i="10"/>
  <c r="E79" i="10"/>
  <c r="AV78" i="10"/>
  <c r="AR78" i="10"/>
  <c r="AM78" i="10"/>
  <c r="X78" i="10"/>
  <c r="W78" i="10"/>
  <c r="I78" i="10" s="1"/>
  <c r="H78" i="10"/>
  <c r="E78" i="10"/>
  <c r="G78" i="10" s="1"/>
  <c r="AV77" i="10"/>
  <c r="AR77" i="10"/>
  <c r="AM77" i="10"/>
  <c r="X77" i="10"/>
  <c r="W77" i="10"/>
  <c r="M77" i="10"/>
  <c r="J77" i="10"/>
  <c r="K77" i="10" s="1"/>
  <c r="I77" i="10"/>
  <c r="L77" i="10" s="1"/>
  <c r="H77" i="10"/>
  <c r="G77" i="10"/>
  <c r="E77" i="10"/>
  <c r="AU76" i="10"/>
  <c r="AM76" i="10"/>
  <c r="X76" i="10"/>
  <c r="V76" i="10"/>
  <c r="W76" i="10" s="1"/>
  <c r="H76" i="10"/>
  <c r="G76" i="10"/>
  <c r="F76" i="10"/>
  <c r="AU75" i="10"/>
  <c r="AM75" i="10"/>
  <c r="X75" i="10"/>
  <c r="W75" i="10"/>
  <c r="I75" i="10" s="1"/>
  <c r="V75" i="10"/>
  <c r="H75" i="10"/>
  <c r="G75" i="10"/>
  <c r="F75" i="10"/>
  <c r="AU74" i="10"/>
  <c r="AM74" i="10"/>
  <c r="X74" i="10"/>
  <c r="V74" i="10"/>
  <c r="W74" i="10" s="1"/>
  <c r="I74" i="10"/>
  <c r="H74" i="10"/>
  <c r="G74" i="10"/>
  <c r="F74" i="10"/>
  <c r="AU73" i="10"/>
  <c r="AM73" i="10"/>
  <c r="X73" i="10"/>
  <c r="V73" i="10"/>
  <c r="W73" i="10" s="1"/>
  <c r="H73" i="10"/>
  <c r="G73" i="10"/>
  <c r="F73" i="10"/>
  <c r="I73" i="10" s="1"/>
  <c r="AU72" i="10"/>
  <c r="AM72" i="10"/>
  <c r="X72" i="10"/>
  <c r="V72" i="10"/>
  <c r="W72" i="10" s="1"/>
  <c r="J72" i="10"/>
  <c r="K72" i="10" s="1"/>
  <c r="H72" i="10"/>
  <c r="G72" i="10"/>
  <c r="F72" i="10"/>
  <c r="I72" i="10" s="1"/>
  <c r="AU71" i="10"/>
  <c r="AM71" i="10"/>
  <c r="X71" i="10"/>
  <c r="W71" i="10"/>
  <c r="I71" i="10" s="1"/>
  <c r="V71" i="10"/>
  <c r="H71" i="10"/>
  <c r="G71" i="10"/>
  <c r="F71" i="10"/>
  <c r="AU70" i="10"/>
  <c r="AM70" i="10"/>
  <c r="X70" i="10"/>
  <c r="V70" i="10"/>
  <c r="W70" i="10" s="1"/>
  <c r="H70" i="10"/>
  <c r="G70" i="10"/>
  <c r="F70" i="10"/>
  <c r="AU69" i="10"/>
  <c r="AM69" i="10"/>
  <c r="X69" i="10"/>
  <c r="W69" i="10"/>
  <c r="V69" i="10"/>
  <c r="I69" i="10"/>
  <c r="H69" i="10"/>
  <c r="G69" i="10"/>
  <c r="F69" i="10"/>
  <c r="AM68" i="10"/>
  <c r="X68" i="10"/>
  <c r="W68" i="10"/>
  <c r="H68" i="10"/>
  <c r="G68" i="10"/>
  <c r="F68" i="10"/>
  <c r="I68" i="10" s="1"/>
  <c r="J68" i="10" s="1"/>
  <c r="K68" i="10" s="1"/>
  <c r="AM67" i="10"/>
  <c r="X67" i="10"/>
  <c r="W67" i="10"/>
  <c r="I67" i="10"/>
  <c r="H67" i="10"/>
  <c r="G67" i="10"/>
  <c r="F67" i="10"/>
  <c r="AM66" i="10"/>
  <c r="X66" i="10"/>
  <c r="W66" i="10"/>
  <c r="H66" i="10"/>
  <c r="G66" i="10"/>
  <c r="F66" i="10"/>
  <c r="I66" i="10" s="1"/>
  <c r="AM65" i="10"/>
  <c r="X65" i="10"/>
  <c r="W65" i="10"/>
  <c r="H65" i="10"/>
  <c r="G65" i="10"/>
  <c r="F65" i="10"/>
  <c r="I65" i="10" s="1"/>
  <c r="AM64" i="10"/>
  <c r="X64" i="10"/>
  <c r="W64" i="10"/>
  <c r="I64" i="10"/>
  <c r="H64" i="10"/>
  <c r="G64" i="10"/>
  <c r="F64" i="10"/>
  <c r="AV63" i="10"/>
  <c r="AT63" i="10"/>
  <c r="AM63" i="10"/>
  <c r="X63" i="10"/>
  <c r="W63" i="10"/>
  <c r="I63" i="10"/>
  <c r="E63" i="10"/>
  <c r="AV62" i="10"/>
  <c r="AT62" i="10"/>
  <c r="AM62" i="10"/>
  <c r="X62" i="10"/>
  <c r="W62" i="10"/>
  <c r="I62" i="10" s="1"/>
  <c r="J62" i="10"/>
  <c r="K62" i="10" s="1"/>
  <c r="E62" i="10"/>
  <c r="AV61" i="10"/>
  <c r="AT61" i="10"/>
  <c r="AM61" i="10"/>
  <c r="X61" i="10"/>
  <c r="W61" i="10"/>
  <c r="I61" i="10"/>
  <c r="H61" i="10"/>
  <c r="G61" i="10"/>
  <c r="E61" i="10"/>
  <c r="AV60" i="10"/>
  <c r="AT60" i="10"/>
  <c r="AM60" i="10"/>
  <c r="X60" i="10"/>
  <c r="W60" i="10"/>
  <c r="I60" i="10" s="1"/>
  <c r="J60" i="10" s="1"/>
  <c r="K60" i="10" s="1"/>
  <c r="M60" i="10"/>
  <c r="H60" i="10"/>
  <c r="E60" i="10"/>
  <c r="G60" i="10" s="1"/>
  <c r="AV59" i="10"/>
  <c r="AT59" i="10"/>
  <c r="AM59" i="10"/>
  <c r="X59" i="10"/>
  <c r="W59" i="10"/>
  <c r="J59" i="10"/>
  <c r="K59" i="10" s="1"/>
  <c r="I59" i="10"/>
  <c r="M59" i="10" s="1"/>
  <c r="H59" i="10"/>
  <c r="G59" i="10"/>
  <c r="E59" i="10"/>
  <c r="AV58" i="10"/>
  <c r="AT58" i="10"/>
  <c r="AM58" i="10"/>
  <c r="X58" i="10"/>
  <c r="W58" i="10"/>
  <c r="I58" i="10" s="1"/>
  <c r="E58" i="10"/>
  <c r="H58" i="10" s="1"/>
  <c r="AV57" i="10"/>
  <c r="AT57" i="10"/>
  <c r="AM57" i="10"/>
  <c r="X57" i="10"/>
  <c r="W57" i="10"/>
  <c r="I57" i="10"/>
  <c r="G57" i="10"/>
  <c r="E57" i="10"/>
  <c r="H57" i="10" s="1"/>
  <c r="AV56" i="10"/>
  <c r="AT56" i="10"/>
  <c r="AM56" i="10"/>
  <c r="X56" i="10"/>
  <c r="W56" i="10"/>
  <c r="I56" i="10"/>
  <c r="E56" i="10"/>
  <c r="G56" i="10" s="1"/>
  <c r="AV55" i="10"/>
  <c r="AT55" i="10"/>
  <c r="AM55" i="10"/>
  <c r="X55" i="10"/>
  <c r="W55" i="10"/>
  <c r="I55" i="10"/>
  <c r="E55" i="10"/>
  <c r="AV54" i="10"/>
  <c r="AT54" i="10"/>
  <c r="AM54" i="10"/>
  <c r="X54" i="10"/>
  <c r="W54" i="10"/>
  <c r="I54" i="10" s="1"/>
  <c r="J54" i="10"/>
  <c r="K54" i="10" s="1"/>
  <c r="H54" i="10"/>
  <c r="E54" i="10"/>
  <c r="G54" i="10" s="1"/>
  <c r="AT53" i="10"/>
  <c r="AM53" i="10"/>
  <c r="X53" i="10"/>
  <c r="W53" i="10"/>
  <c r="I53" i="10" s="1"/>
  <c r="U53" i="10"/>
  <c r="H53" i="10"/>
  <c r="G53" i="10"/>
  <c r="AT52" i="10"/>
  <c r="AM52" i="10"/>
  <c r="X52" i="10"/>
  <c r="W52" i="10"/>
  <c r="U52" i="10"/>
  <c r="I52" i="10"/>
  <c r="H52" i="10"/>
  <c r="G52" i="10"/>
  <c r="AT51" i="10"/>
  <c r="AM51" i="10"/>
  <c r="X51" i="10"/>
  <c r="W51" i="10"/>
  <c r="I51" i="10" s="1"/>
  <c r="U51" i="10"/>
  <c r="H51" i="10"/>
  <c r="G51" i="10"/>
  <c r="AT50" i="10"/>
  <c r="AM50" i="10"/>
  <c r="X50" i="10"/>
  <c r="W50" i="10"/>
  <c r="U50" i="10"/>
  <c r="I50" i="10"/>
  <c r="H50" i="10"/>
  <c r="G50" i="10"/>
  <c r="AT49" i="10"/>
  <c r="AM49" i="10"/>
  <c r="X49" i="10"/>
  <c r="W49" i="10"/>
  <c r="I49" i="10" s="1"/>
  <c r="U49" i="10"/>
  <c r="H49" i="10"/>
  <c r="G49" i="10"/>
  <c r="AT48" i="10"/>
  <c r="AM48" i="10"/>
  <c r="X48" i="10"/>
  <c r="W48" i="10"/>
  <c r="U48" i="10"/>
  <c r="I48" i="10"/>
  <c r="H48" i="10"/>
  <c r="G48" i="10"/>
  <c r="AT47" i="10"/>
  <c r="AM47" i="10"/>
  <c r="X47" i="10"/>
  <c r="W47" i="10"/>
  <c r="I47" i="10" s="1"/>
  <c r="U47" i="10"/>
  <c r="H47" i="10"/>
  <c r="G47" i="10"/>
  <c r="AT46" i="10"/>
  <c r="AM46" i="10"/>
  <c r="X46" i="10"/>
  <c r="W46" i="10"/>
  <c r="I46" i="10" s="1"/>
  <c r="U46" i="10"/>
  <c r="H46" i="10"/>
  <c r="G46" i="10"/>
  <c r="AT45" i="10"/>
  <c r="AM45" i="10"/>
  <c r="X45" i="10"/>
  <c r="W45" i="10"/>
  <c r="I45" i="10" s="1"/>
  <c r="J45" i="10" s="1"/>
  <c r="U45" i="10"/>
  <c r="M45" i="10"/>
  <c r="L45" i="10"/>
  <c r="K45" i="10"/>
  <c r="H45" i="10"/>
  <c r="G45" i="10"/>
  <c r="AT44" i="10"/>
  <c r="AM44" i="10"/>
  <c r="X44" i="10"/>
  <c r="W44" i="10"/>
  <c r="U44" i="10"/>
  <c r="I44" i="10"/>
  <c r="H44" i="10"/>
  <c r="G44" i="10"/>
  <c r="AT43" i="10"/>
  <c r="AM43" i="10"/>
  <c r="X43" i="10"/>
  <c r="W43" i="10"/>
  <c r="I43" i="10" s="1"/>
  <c r="J43" i="10" s="1"/>
  <c r="K43" i="10" s="1"/>
  <c r="U43" i="10"/>
  <c r="M43" i="10"/>
  <c r="L43" i="10"/>
  <c r="H43" i="10"/>
  <c r="G43" i="10"/>
  <c r="AT42" i="10"/>
  <c r="AM42" i="10"/>
  <c r="X42" i="10"/>
  <c r="W42" i="10"/>
  <c r="I42" i="10" s="1"/>
  <c r="U42" i="10"/>
  <c r="H42" i="10"/>
  <c r="G42" i="10"/>
  <c r="AT41" i="10"/>
  <c r="AM41" i="10"/>
  <c r="X41" i="10"/>
  <c r="W41" i="10"/>
  <c r="I41" i="10" s="1"/>
  <c r="J41" i="10" s="1"/>
  <c r="U41" i="10"/>
  <c r="L41" i="10"/>
  <c r="K41" i="10"/>
  <c r="H41" i="10"/>
  <c r="G41" i="10"/>
  <c r="AT40" i="10"/>
  <c r="U40" i="10" s="1"/>
  <c r="W40" i="10" s="1"/>
  <c r="I40" i="10" s="1"/>
  <c r="AM40" i="10"/>
  <c r="X40" i="10"/>
  <c r="H40" i="10"/>
  <c r="G40" i="10"/>
  <c r="AT39" i="10"/>
  <c r="AM39" i="10"/>
  <c r="X39" i="10"/>
  <c r="W39" i="10"/>
  <c r="I39" i="10" s="1"/>
  <c r="J39" i="10" s="1"/>
  <c r="U39" i="10"/>
  <c r="L39" i="10"/>
  <c r="K39" i="10"/>
  <c r="H39" i="10"/>
  <c r="G39" i="10"/>
  <c r="AT38" i="10"/>
  <c r="U38" i="10" s="1"/>
  <c r="W38" i="10" s="1"/>
  <c r="I38" i="10" s="1"/>
  <c r="AM38" i="10"/>
  <c r="X38" i="10"/>
  <c r="H38" i="10"/>
  <c r="G38" i="10"/>
  <c r="AT37" i="10"/>
  <c r="AM37" i="10"/>
  <c r="X37" i="10"/>
  <c r="W37" i="10"/>
  <c r="I37" i="10" s="1"/>
  <c r="U37" i="10"/>
  <c r="H37" i="10"/>
  <c r="G37" i="10"/>
  <c r="AT36" i="10"/>
  <c r="U36" i="10" s="1"/>
  <c r="W36" i="10" s="1"/>
  <c r="I36" i="10" s="1"/>
  <c r="AM36" i="10"/>
  <c r="X36" i="10"/>
  <c r="H36" i="10"/>
  <c r="G36" i="10"/>
  <c r="AT35" i="10"/>
  <c r="AM35" i="10"/>
  <c r="X35" i="10"/>
  <c r="W35" i="10"/>
  <c r="I35" i="10" s="1"/>
  <c r="U35" i="10"/>
  <c r="H35" i="10"/>
  <c r="G35" i="10"/>
  <c r="AT34" i="10"/>
  <c r="U34" i="10" s="1"/>
  <c r="AM34" i="10"/>
  <c r="X34" i="10"/>
  <c r="W34" i="10"/>
  <c r="I34" i="10" s="1"/>
  <c r="H34" i="10"/>
  <c r="G34" i="10"/>
  <c r="AT33" i="10"/>
  <c r="AM33" i="10"/>
  <c r="X33" i="10"/>
  <c r="W33" i="10"/>
  <c r="U33" i="10"/>
  <c r="M33" i="10"/>
  <c r="L33" i="10"/>
  <c r="K33" i="10"/>
  <c r="I33" i="10"/>
  <c r="J33" i="10" s="1"/>
  <c r="H33" i="10"/>
  <c r="G33" i="10"/>
  <c r="AT32" i="10"/>
  <c r="U32" i="10" s="1"/>
  <c r="AM32" i="10"/>
  <c r="X32" i="10"/>
  <c r="W32" i="10"/>
  <c r="I32" i="10"/>
  <c r="J32" i="10" s="1"/>
  <c r="K32" i="10" s="1"/>
  <c r="H32" i="10"/>
  <c r="G32" i="10"/>
  <c r="AT31" i="10"/>
  <c r="AM31" i="10"/>
  <c r="X31" i="10"/>
  <c r="W31" i="10"/>
  <c r="U31" i="10"/>
  <c r="M31" i="10"/>
  <c r="K31" i="10"/>
  <c r="I31" i="10"/>
  <c r="J31" i="10" s="1"/>
  <c r="H31" i="10"/>
  <c r="G31" i="10"/>
  <c r="AT30" i="10"/>
  <c r="U30" i="10" s="1"/>
  <c r="W30" i="10" s="1"/>
  <c r="I30" i="10" s="1"/>
  <c r="AM30" i="10"/>
  <c r="X30" i="10"/>
  <c r="H30" i="10"/>
  <c r="G30" i="10"/>
  <c r="AT29" i="10"/>
  <c r="AM29" i="10"/>
  <c r="X29" i="10"/>
  <c r="W29" i="10"/>
  <c r="U29" i="10"/>
  <c r="I29" i="10"/>
  <c r="J29" i="10" s="1"/>
  <c r="K29" i="10" s="1"/>
  <c r="H29" i="10"/>
  <c r="G29" i="10"/>
  <c r="AT28" i="10"/>
  <c r="AM28" i="10"/>
  <c r="X28" i="10"/>
  <c r="W28" i="10"/>
  <c r="U28" i="10"/>
  <c r="M28" i="10"/>
  <c r="K28" i="10"/>
  <c r="I28" i="10"/>
  <c r="J28" i="10" s="1"/>
  <c r="H28" i="10"/>
  <c r="G28" i="10"/>
  <c r="AT27" i="10"/>
  <c r="AM27" i="10"/>
  <c r="X27" i="10"/>
  <c r="W27" i="10"/>
  <c r="U27" i="10"/>
  <c r="M27" i="10"/>
  <c r="L27" i="10"/>
  <c r="K27" i="10"/>
  <c r="I27" i="10"/>
  <c r="J27" i="10" s="1"/>
  <c r="H27" i="10"/>
  <c r="G27" i="10"/>
  <c r="AT26" i="10"/>
  <c r="AM26" i="10"/>
  <c r="X26" i="10"/>
  <c r="W26" i="10"/>
  <c r="I26" i="10" s="1"/>
  <c r="U26" i="10"/>
  <c r="H26" i="10"/>
  <c r="G26" i="10"/>
  <c r="AT25" i="10"/>
  <c r="AM25" i="10"/>
  <c r="X25" i="10"/>
  <c r="W25" i="10"/>
  <c r="I25" i="10" s="1"/>
  <c r="U25" i="10"/>
  <c r="H25" i="10"/>
  <c r="G25" i="10"/>
  <c r="AT24" i="10"/>
  <c r="AM24" i="10"/>
  <c r="X24" i="10"/>
  <c r="W24" i="10"/>
  <c r="U24" i="10"/>
  <c r="I24" i="10"/>
  <c r="J24" i="10" s="1"/>
  <c r="K24" i="10" s="1"/>
  <c r="H24" i="10"/>
  <c r="G24" i="10"/>
  <c r="AT23" i="10"/>
  <c r="AM23" i="10"/>
  <c r="X23" i="10"/>
  <c r="W23" i="10"/>
  <c r="I23" i="10" s="1"/>
  <c r="U23" i="10"/>
  <c r="H23" i="10"/>
  <c r="G23" i="10"/>
  <c r="AT22" i="10"/>
  <c r="AM22" i="10"/>
  <c r="X22" i="10"/>
  <c r="W22" i="10"/>
  <c r="I22" i="10" s="1"/>
  <c r="U22" i="10"/>
  <c r="H22" i="10"/>
  <c r="G22" i="10"/>
  <c r="AT21" i="10"/>
  <c r="AM21" i="10"/>
  <c r="X21" i="10"/>
  <c r="W21" i="10"/>
  <c r="U21" i="10"/>
  <c r="I21" i="10"/>
  <c r="J21" i="10" s="1"/>
  <c r="K21" i="10" s="1"/>
  <c r="H21" i="10"/>
  <c r="G21" i="10"/>
  <c r="AT20" i="10"/>
  <c r="AM20" i="10"/>
  <c r="X20" i="10"/>
  <c r="W20" i="10"/>
  <c r="U20" i="10"/>
  <c r="M20" i="10"/>
  <c r="K20" i="10"/>
  <c r="I20" i="10"/>
  <c r="J20" i="10" s="1"/>
  <c r="H20" i="10"/>
  <c r="G20" i="10"/>
  <c r="AT19" i="10"/>
  <c r="AM19" i="10"/>
  <c r="X19" i="10"/>
  <c r="W19" i="10"/>
  <c r="U19" i="10"/>
  <c r="M19" i="10"/>
  <c r="L19" i="10"/>
  <c r="K19" i="10"/>
  <c r="I19" i="10"/>
  <c r="J19" i="10" s="1"/>
  <c r="H19" i="10"/>
  <c r="G19" i="10"/>
  <c r="AT18" i="10"/>
  <c r="AM18" i="10"/>
  <c r="X18" i="10"/>
  <c r="W18" i="10"/>
  <c r="I18" i="10" s="1"/>
  <c r="U18" i="10"/>
  <c r="H18" i="10"/>
  <c r="G18" i="10"/>
  <c r="AT17" i="10"/>
  <c r="AM17" i="10"/>
  <c r="X17" i="10"/>
  <c r="W17" i="10"/>
  <c r="I17" i="10" s="1"/>
  <c r="U17" i="10"/>
  <c r="H17" i="10"/>
  <c r="G17" i="10"/>
  <c r="AT16" i="10"/>
  <c r="U16" i="10" s="1"/>
  <c r="W16" i="10" s="1"/>
  <c r="I16" i="10" s="1"/>
  <c r="AM16" i="10"/>
  <c r="X16" i="10"/>
  <c r="H16" i="10"/>
  <c r="G16" i="10"/>
  <c r="AT15" i="10"/>
  <c r="AM15" i="10"/>
  <c r="X15" i="10"/>
  <c r="W15" i="10"/>
  <c r="I15" i="10" s="1"/>
  <c r="U15" i="10"/>
  <c r="H15" i="10"/>
  <c r="G15" i="10"/>
  <c r="AT14" i="10"/>
  <c r="U14" i="10" s="1"/>
  <c r="AM14" i="10"/>
  <c r="X14" i="10"/>
  <c r="W14" i="10"/>
  <c r="I14" i="10" s="1"/>
  <c r="H14" i="10"/>
  <c r="G14" i="10"/>
  <c r="AT13" i="10"/>
  <c r="AM13" i="10"/>
  <c r="X13" i="10"/>
  <c r="W13" i="10"/>
  <c r="U13" i="10"/>
  <c r="M13" i="10"/>
  <c r="L13" i="10"/>
  <c r="K13" i="10"/>
  <c r="I13" i="10"/>
  <c r="J13" i="10" s="1"/>
  <c r="H13" i="10"/>
  <c r="G13" i="10"/>
  <c r="AT12" i="10"/>
  <c r="U12" i="10" s="1"/>
  <c r="AM12" i="10"/>
  <c r="X12" i="10"/>
  <c r="W12" i="10"/>
  <c r="I12" i="10"/>
  <c r="J12" i="10" s="1"/>
  <c r="K12" i="10" s="1"/>
  <c r="H12" i="10"/>
  <c r="G12" i="10"/>
  <c r="AT11" i="10"/>
  <c r="AM11" i="10"/>
  <c r="X11" i="10"/>
  <c r="W11" i="10"/>
  <c r="U11" i="10"/>
  <c r="M11" i="10"/>
  <c r="I11" i="10"/>
  <c r="J11" i="10" s="1"/>
  <c r="K11" i="10" s="1"/>
  <c r="H11" i="10"/>
  <c r="G11" i="10"/>
  <c r="AT10" i="10"/>
  <c r="U10" i="10" s="1"/>
  <c r="W10" i="10" s="1"/>
  <c r="I10" i="10" s="1"/>
  <c r="AM10" i="10"/>
  <c r="X10" i="10"/>
  <c r="H10" i="10"/>
  <c r="G10" i="10"/>
  <c r="AT9" i="10"/>
  <c r="AM9" i="10"/>
  <c r="X9" i="10"/>
  <c r="W9" i="10"/>
  <c r="U9" i="10"/>
  <c r="I9" i="10"/>
  <c r="J9" i="10" s="1"/>
  <c r="K9" i="10" s="1"/>
  <c r="H9" i="10"/>
  <c r="G9" i="10"/>
  <c r="AT8" i="10"/>
  <c r="U8" i="10" s="1"/>
  <c r="W8" i="10" s="1"/>
  <c r="I8" i="10" s="1"/>
  <c r="AM8" i="10"/>
  <c r="X8" i="10"/>
  <c r="H8" i="10"/>
  <c r="G8" i="10"/>
  <c r="AT7" i="10"/>
  <c r="AM7" i="10"/>
  <c r="X7" i="10"/>
  <c r="W7" i="10"/>
  <c r="I7" i="10" s="1"/>
  <c r="U7" i="10"/>
  <c r="H7" i="10"/>
  <c r="G7" i="10"/>
  <c r="AT6" i="10"/>
  <c r="U6" i="10" s="1"/>
  <c r="W6" i="10" s="1"/>
  <c r="I6" i="10" s="1"/>
  <c r="AM6" i="10"/>
  <c r="X6" i="10"/>
  <c r="H6" i="10"/>
  <c r="G6" i="10"/>
  <c r="AM5" i="10"/>
  <c r="Z5" i="10"/>
  <c r="X5" i="10"/>
  <c r="W5" i="10"/>
  <c r="F5" i="10"/>
  <c r="AM4" i="10"/>
  <c r="Z4" i="10"/>
  <c r="X4" i="10"/>
  <c r="W4" i="10"/>
  <c r="M4" i="10"/>
  <c r="I4" i="10"/>
  <c r="J4" i="10" s="1"/>
  <c r="K4" i="10" s="1"/>
  <c r="F4" i="10"/>
  <c r="E4" i="10"/>
  <c r="H4" i="10" s="1"/>
  <c r="AM3" i="10"/>
  <c r="Z3" i="10"/>
  <c r="X3" i="10"/>
  <c r="W3" i="10"/>
  <c r="I3" i="10"/>
  <c r="H3" i="10"/>
  <c r="F3" i="10"/>
  <c r="E3" i="10"/>
  <c r="G3" i="10" s="1"/>
  <c r="AM2" i="10"/>
  <c r="Z2" i="10"/>
  <c r="X2" i="10"/>
  <c r="W2" i="10"/>
  <c r="F2" i="10"/>
  <c r="I2" i="10" s="1"/>
  <c r="E2" i="10"/>
  <c r="H2" i="10" s="1"/>
  <c r="J14" i="10" l="1"/>
  <c r="K14" i="10" s="1"/>
  <c r="J30" i="10"/>
  <c r="K30" i="10" s="1"/>
  <c r="L30" i="10"/>
  <c r="J40" i="10"/>
  <c r="J15" i="10"/>
  <c r="K15" i="10" s="1"/>
  <c r="M15" i="10"/>
  <c r="L15" i="10"/>
  <c r="J6" i="10"/>
  <c r="K6" i="10" s="1"/>
  <c r="L6" i="10"/>
  <c r="J10" i="10"/>
  <c r="K10" i="10" s="1"/>
  <c r="J38" i="10"/>
  <c r="K38" i="10" s="1"/>
  <c r="L38" i="10"/>
  <c r="J35" i="10"/>
  <c r="J18" i="10"/>
  <c r="K18" i="10" s="1"/>
  <c r="J37" i="10"/>
  <c r="K37" i="10" s="1"/>
  <c r="M37" i="10"/>
  <c r="L37" i="10"/>
  <c r="L2" i="10"/>
  <c r="J2" i="10"/>
  <c r="K2" i="10" s="1"/>
  <c r="J17" i="10"/>
  <c r="K17" i="10" s="1"/>
  <c r="M17" i="10"/>
  <c r="L17" i="10"/>
  <c r="J26" i="10"/>
  <c r="L65" i="10"/>
  <c r="J65" i="10"/>
  <c r="K65" i="10" s="1"/>
  <c r="M65" i="10"/>
  <c r="J73" i="10"/>
  <c r="J22" i="10"/>
  <c r="K22" i="10" s="1"/>
  <c r="J25" i="10"/>
  <c r="K25" i="10" s="1"/>
  <c r="L25" i="10"/>
  <c r="L48" i="10"/>
  <c r="J7" i="10"/>
  <c r="K7" i="10" s="1"/>
  <c r="M7" i="10"/>
  <c r="L7" i="10"/>
  <c r="J8" i="10"/>
  <c r="K8" i="10" s="1"/>
  <c r="L8" i="10"/>
  <c r="M8" i="10"/>
  <c r="J23" i="10"/>
  <c r="K23" i="10" s="1"/>
  <c r="M23" i="10"/>
  <c r="J42" i="10"/>
  <c r="K42" i="10" s="1"/>
  <c r="J36" i="10"/>
  <c r="K36" i="10" s="1"/>
  <c r="L36" i="10"/>
  <c r="L58" i="10"/>
  <c r="J16" i="10"/>
  <c r="K16" i="10" s="1"/>
  <c r="M16" i="10"/>
  <c r="L16" i="10"/>
  <c r="J34" i="10"/>
  <c r="K34" i="10" s="1"/>
  <c r="M34" i="10"/>
  <c r="J46" i="10"/>
  <c r="K46" i="10" s="1"/>
  <c r="M46" i="10"/>
  <c r="L75" i="10"/>
  <c r="J44" i="10"/>
  <c r="K44" i="10" s="1"/>
  <c r="J3" i="10"/>
  <c r="K3" i="10" s="1"/>
  <c r="L9" i="10"/>
  <c r="L12" i="10"/>
  <c r="L21" i="10"/>
  <c r="L29" i="10"/>
  <c r="L32" i="10"/>
  <c r="M39" i="10"/>
  <c r="J47" i="10"/>
  <c r="H56" i="10"/>
  <c r="L60" i="10"/>
  <c r="H81" i="10"/>
  <c r="E81" i="10"/>
  <c r="G81" i="10" s="1"/>
  <c r="L112" i="10"/>
  <c r="J112" i="10"/>
  <c r="K112" i="10" s="1"/>
  <c r="J113" i="10"/>
  <c r="K113" i="10" s="1"/>
  <c r="J147" i="10"/>
  <c r="L24" i="10"/>
  <c r="L44" i="10"/>
  <c r="J50" i="10"/>
  <c r="K50" i="10" s="1"/>
  <c r="M50" i="10"/>
  <c r="L53" i="10"/>
  <c r="J53" i="10"/>
  <c r="M54" i="10"/>
  <c r="L54" i="10"/>
  <c r="J56" i="10"/>
  <c r="H62" i="10"/>
  <c r="G62" i="10"/>
  <c r="H63" i="10"/>
  <c r="G63" i="10"/>
  <c r="H80" i="10"/>
  <c r="G80" i="10"/>
  <c r="M93" i="10"/>
  <c r="L93" i="10"/>
  <c r="J93" i="10"/>
  <c r="K93" i="10" s="1"/>
  <c r="L103" i="10"/>
  <c r="K103" i="10"/>
  <c r="J115" i="10"/>
  <c r="M116" i="10"/>
  <c r="J116" i="10"/>
  <c r="K116" i="10" s="1"/>
  <c r="L155" i="10"/>
  <c r="J155" i="10"/>
  <c r="K155" i="10" s="1"/>
  <c r="J181" i="10"/>
  <c r="K181" i="10" s="1"/>
  <c r="M181" i="10"/>
  <c r="L181" i="10"/>
  <c r="J199" i="10"/>
  <c r="K199" i="10" s="1"/>
  <c r="M202" i="10"/>
  <c r="L202" i="10"/>
  <c r="J202" i="10"/>
  <c r="K202" i="10" s="1"/>
  <c r="M12" i="10"/>
  <c r="M24" i="10"/>
  <c r="J57" i="10"/>
  <c r="K57" i="10" s="1"/>
  <c r="J63" i="10"/>
  <c r="K63" i="10" s="1"/>
  <c r="M71" i="10"/>
  <c r="J71" i="10"/>
  <c r="K71" i="10" s="1"/>
  <c r="J78" i="10"/>
  <c r="L78" i="10" s="1"/>
  <c r="J83" i="10"/>
  <c r="M99" i="10"/>
  <c r="L99" i="10"/>
  <c r="J99" i="10"/>
  <c r="K99" i="10" s="1"/>
  <c r="L108" i="10"/>
  <c r="J108" i="10"/>
  <c r="K108" i="10" s="1"/>
  <c r="M108" i="10"/>
  <c r="M142" i="10"/>
  <c r="J142" i="10"/>
  <c r="K142" i="10" s="1"/>
  <c r="M146" i="10"/>
  <c r="J146" i="10"/>
  <c r="K146" i="10" s="1"/>
  <c r="M178" i="10"/>
  <c r="L178" i="10"/>
  <c r="J178" i="10"/>
  <c r="K178" i="10" s="1"/>
  <c r="L191" i="10"/>
  <c r="M191" i="10"/>
  <c r="J191" i="10"/>
  <c r="K191" i="10" s="1"/>
  <c r="M9" i="10"/>
  <c r="M21" i="10"/>
  <c r="M41" i="10"/>
  <c r="J49" i="10"/>
  <c r="L49" i="10" s="1"/>
  <c r="L50" i="10"/>
  <c r="G58" i="10"/>
  <c r="J74" i="10"/>
  <c r="I76" i="10"/>
  <c r="L80" i="10"/>
  <c r="J80" i="10"/>
  <c r="K80" i="10" s="1"/>
  <c r="I82" i="10"/>
  <c r="J85" i="10"/>
  <c r="K85" i="10" s="1"/>
  <c r="L92" i="10"/>
  <c r="K92" i="10"/>
  <c r="M98" i="10"/>
  <c r="L98" i="10"/>
  <c r="J98" i="10"/>
  <c r="K98" i="10" s="1"/>
  <c r="J105" i="10"/>
  <c r="L109" i="10"/>
  <c r="J109" i="10"/>
  <c r="K109" i="10" s="1"/>
  <c r="J118" i="10"/>
  <c r="K118" i="10" s="1"/>
  <c r="M119" i="10"/>
  <c r="L119" i="10"/>
  <c r="J119" i="10"/>
  <c r="K119" i="10" s="1"/>
  <c r="M120" i="10"/>
  <c r="L120" i="10"/>
  <c r="J120" i="10"/>
  <c r="K120" i="10" s="1"/>
  <c r="L121" i="10"/>
  <c r="J121" i="10"/>
  <c r="K121" i="10" s="1"/>
  <c r="M121" i="10"/>
  <c r="J123" i="10"/>
  <c r="J139" i="10"/>
  <c r="K139" i="10" s="1"/>
  <c r="J160" i="10"/>
  <c r="K160" i="10" s="1"/>
  <c r="M160" i="10"/>
  <c r="L160" i="10"/>
  <c r="M186" i="10"/>
  <c r="L186" i="10"/>
  <c r="J186" i="10"/>
  <c r="K186" i="10" s="1"/>
  <c r="G2" i="10"/>
  <c r="L3" i="10"/>
  <c r="G4" i="10"/>
  <c r="M32" i="10"/>
  <c r="J52" i="10"/>
  <c r="M52" i="10" s="1"/>
  <c r="J58" i="10"/>
  <c r="K58" i="10" s="1"/>
  <c r="M62" i="10"/>
  <c r="L62" i="10"/>
  <c r="J64" i="10"/>
  <c r="K64" i="10" s="1"/>
  <c r="J66" i="10"/>
  <c r="K66" i="10" s="1"/>
  <c r="L68" i="10"/>
  <c r="I70" i="10"/>
  <c r="J95" i="10"/>
  <c r="M96" i="10"/>
  <c r="L96" i="10"/>
  <c r="J96" i="10"/>
  <c r="K96" i="10" s="1"/>
  <c r="J97" i="10"/>
  <c r="L145" i="10"/>
  <c r="J145" i="10"/>
  <c r="K145" i="10" s="1"/>
  <c r="L150" i="10"/>
  <c r="J150" i="10"/>
  <c r="K150" i="10" s="1"/>
  <c r="J169" i="10"/>
  <c r="K169" i="10" s="1"/>
  <c r="L169" i="10"/>
  <c r="M176" i="10"/>
  <c r="J176" i="10"/>
  <c r="K176" i="10" s="1"/>
  <c r="M210" i="10"/>
  <c r="L210" i="10"/>
  <c r="J210" i="10"/>
  <c r="K210" i="10" s="1"/>
  <c r="M29" i="10"/>
  <c r="E5" i="10"/>
  <c r="I5" i="10"/>
  <c r="L4" i="10"/>
  <c r="L11" i="10"/>
  <c r="L20" i="10"/>
  <c r="L28" i="10"/>
  <c r="L31" i="10"/>
  <c r="L64" i="10"/>
  <c r="M68" i="10"/>
  <c r="J69" i="10"/>
  <c r="L69" i="10" s="1"/>
  <c r="L84" i="10"/>
  <c r="K84" i="10"/>
  <c r="M101" i="10"/>
  <c r="L101" i="10"/>
  <c r="J101" i="10"/>
  <c r="K101" i="10" s="1"/>
  <c r="M124" i="10"/>
  <c r="M126" i="10"/>
  <c r="L126" i="10"/>
  <c r="J126" i="10"/>
  <c r="K126" i="10" s="1"/>
  <c r="J130" i="10"/>
  <c r="L154" i="10"/>
  <c r="J154" i="10"/>
  <c r="K154" i="10" s="1"/>
  <c r="J157" i="10"/>
  <c r="K157" i="10" s="1"/>
  <c r="J171" i="10"/>
  <c r="K171" i="10" s="1"/>
  <c r="M171" i="10"/>
  <c r="J224" i="10"/>
  <c r="K224" i="10" s="1"/>
  <c r="K233" i="10"/>
  <c r="M233" i="10"/>
  <c r="J48" i="10"/>
  <c r="K48" i="10" s="1"/>
  <c r="L51" i="10"/>
  <c r="J51" i="10"/>
  <c r="K51" i="10" s="1"/>
  <c r="H55" i="10"/>
  <c r="G55" i="10"/>
  <c r="M58" i="10"/>
  <c r="L59" i="10"/>
  <c r="M72" i="10"/>
  <c r="L72" i="10"/>
  <c r="J87" i="10"/>
  <c r="K87" i="10" s="1"/>
  <c r="M88" i="10"/>
  <c r="L88" i="10"/>
  <c r="J88" i="10"/>
  <c r="K88" i="10" s="1"/>
  <c r="M89" i="10"/>
  <c r="L89" i="10"/>
  <c r="J89" i="10"/>
  <c r="K89" i="10" s="1"/>
  <c r="J129" i="10"/>
  <c r="J132" i="10"/>
  <c r="K132" i="10" s="1"/>
  <c r="J136" i="10"/>
  <c r="K136" i="10" s="1"/>
  <c r="M138" i="10"/>
  <c r="L138" i="10"/>
  <c r="J138" i="10"/>
  <c r="K138" i="10" s="1"/>
  <c r="L141" i="10"/>
  <c r="J141" i="10"/>
  <c r="K141" i="10" s="1"/>
  <c r="L144" i="10"/>
  <c r="J144" i="10"/>
  <c r="K144" i="10" s="1"/>
  <c r="M144" i="10"/>
  <c r="M149" i="10"/>
  <c r="J149" i="10"/>
  <c r="K149" i="10" s="1"/>
  <c r="J158" i="10"/>
  <c r="K158" i="10" s="1"/>
  <c r="J162" i="10"/>
  <c r="K162" i="10" s="1"/>
  <c r="L162" i="10"/>
  <c r="L163" i="10"/>
  <c r="J163" i="10"/>
  <c r="K163" i="10" s="1"/>
  <c r="M164" i="10"/>
  <c r="J55" i="10"/>
  <c r="J75" i="10"/>
  <c r="K75" i="10" s="1"/>
  <c r="M75" i="10"/>
  <c r="M128" i="10"/>
  <c r="L128" i="10"/>
  <c r="J128" i="10"/>
  <c r="K128" i="10" s="1"/>
  <c r="J134" i="10"/>
  <c r="K134" i="10" s="1"/>
  <c r="M134" i="10"/>
  <c r="L134" i="10"/>
  <c r="L153" i="10"/>
  <c r="J153" i="10"/>
  <c r="K153" i="10" s="1"/>
  <c r="M198" i="10"/>
  <c r="L198" i="10"/>
  <c r="J198" i="10"/>
  <c r="K198" i="10" s="1"/>
  <c r="M90" i="10"/>
  <c r="J151" i="10"/>
  <c r="K151" i="10" s="1"/>
  <c r="J164" i="10"/>
  <c r="J166" i="10"/>
  <c r="K166" i="10" s="1"/>
  <c r="K173" i="10"/>
  <c r="J175" i="10"/>
  <c r="K175" i="10" s="1"/>
  <c r="J180" i="10"/>
  <c r="K180" i="10" s="1"/>
  <c r="J195" i="10"/>
  <c r="K195" i="10" s="1"/>
  <c r="L201" i="10"/>
  <c r="J201" i="10"/>
  <c r="K201" i="10" s="1"/>
  <c r="J222" i="10"/>
  <c r="L276" i="10"/>
  <c r="J276" i="10"/>
  <c r="K276" i="10" s="1"/>
  <c r="J277" i="10"/>
  <c r="L287" i="10"/>
  <c r="J287" i="10"/>
  <c r="K287" i="10" s="1"/>
  <c r="L288" i="10"/>
  <c r="J288" i="10"/>
  <c r="K288" i="10" s="1"/>
  <c r="M289" i="10"/>
  <c r="L289" i="10"/>
  <c r="J289" i="10"/>
  <c r="K289" i="10" s="1"/>
  <c r="M297" i="10"/>
  <c r="L297" i="10"/>
  <c r="J297" i="10"/>
  <c r="K297" i="10" s="1"/>
  <c r="J305" i="10"/>
  <c r="K305" i="10" s="1"/>
  <c r="M318" i="10"/>
  <c r="J346" i="10"/>
  <c r="K346" i="10" s="1"/>
  <c r="M346" i="10"/>
  <c r="L346" i="10"/>
  <c r="J356" i="10"/>
  <c r="K356" i="10" s="1"/>
  <c r="M356" i="10"/>
  <c r="L356" i="10"/>
  <c r="J362" i="10"/>
  <c r="K362" i="10" s="1"/>
  <c r="M370" i="10"/>
  <c r="L407" i="10"/>
  <c r="J407" i="10"/>
  <c r="K407" i="10" s="1"/>
  <c r="M407" i="10"/>
  <c r="J204" i="10"/>
  <c r="L215" i="10"/>
  <c r="J215" i="10"/>
  <c r="K215" i="10" s="1"/>
  <c r="L223" i="10"/>
  <c r="M259" i="10"/>
  <c r="J259" i="10"/>
  <c r="K259" i="10" s="1"/>
  <c r="L266" i="10"/>
  <c r="J266" i="10"/>
  <c r="K266" i="10" s="1"/>
  <c r="J274" i="10"/>
  <c r="K274" i="10" s="1"/>
  <c r="M274" i="10"/>
  <c r="L275" i="10"/>
  <c r="J275" i="10"/>
  <c r="K275" i="10" s="1"/>
  <c r="M279" i="10"/>
  <c r="L279" i="10"/>
  <c r="J279" i="10"/>
  <c r="K279" i="10" s="1"/>
  <c r="M291" i="10"/>
  <c r="L291" i="10"/>
  <c r="J291" i="10"/>
  <c r="K291" i="10" s="1"/>
  <c r="M292" i="10"/>
  <c r="L292" i="10"/>
  <c r="J292" i="10"/>
  <c r="K292" i="10" s="1"/>
  <c r="L296" i="10"/>
  <c r="J296" i="10"/>
  <c r="K296" i="10" s="1"/>
  <c r="M296" i="10"/>
  <c r="L304" i="10"/>
  <c r="J304" i="10"/>
  <c r="K304" i="10" s="1"/>
  <c r="M304" i="10"/>
  <c r="L329" i="10"/>
  <c r="K329" i="10"/>
  <c r="J335" i="10"/>
  <c r="K335" i="10" s="1"/>
  <c r="L335" i="10"/>
  <c r="L349" i="10"/>
  <c r="K349" i="10"/>
  <c r="J358" i="10"/>
  <c r="K358" i="10" s="1"/>
  <c r="M369" i="10"/>
  <c r="J369" i="10"/>
  <c r="K369" i="10" s="1"/>
  <c r="L369" i="10"/>
  <c r="M81" i="10"/>
  <c r="M84" i="10"/>
  <c r="J91" i="10"/>
  <c r="M91" i="10" s="1"/>
  <c r="M92" i="10"/>
  <c r="G100" i="10"/>
  <c r="M103" i="10"/>
  <c r="G104" i="10"/>
  <c r="G108" i="10"/>
  <c r="K110" i="10"/>
  <c r="G112" i="10"/>
  <c r="K114" i="10"/>
  <c r="K117" i="10"/>
  <c r="J122" i="10"/>
  <c r="K122" i="10" s="1"/>
  <c r="J124" i="10"/>
  <c r="K124" i="10" s="1"/>
  <c r="K131" i="10"/>
  <c r="K133" i="10"/>
  <c r="J135" i="10"/>
  <c r="K137" i="10"/>
  <c r="J140" i="10"/>
  <c r="K140" i="10" s="1"/>
  <c r="G141" i="10"/>
  <c r="J143" i="10"/>
  <c r="K143" i="10" s="1"/>
  <c r="K148" i="10"/>
  <c r="L151" i="10"/>
  <c r="K156" i="10"/>
  <c r="J159" i="10"/>
  <c r="K168" i="10"/>
  <c r="J170" i="10"/>
  <c r="K170" i="10" s="1"/>
  <c r="J179" i="10"/>
  <c r="K179" i="10" s="1"/>
  <c r="J187" i="10"/>
  <c r="K187" i="10" s="1"/>
  <c r="M188" i="10"/>
  <c r="J194" i="10"/>
  <c r="M201" i="10"/>
  <c r="L206" i="10"/>
  <c r="M208" i="10"/>
  <c r="J216" i="10"/>
  <c r="K216" i="10" s="1"/>
  <c r="J220" i="10"/>
  <c r="K220" i="10" s="1"/>
  <c r="J240" i="10"/>
  <c r="J241" i="10"/>
  <c r="K241" i="10" s="1"/>
  <c r="M265" i="10"/>
  <c r="L265" i="10"/>
  <c r="J265" i="10"/>
  <c r="K265" i="10" s="1"/>
  <c r="L272" i="10"/>
  <c r="J272" i="10"/>
  <c r="K272" i="10" s="1"/>
  <c r="M272" i="10"/>
  <c r="M273" i="10"/>
  <c r="J273" i="10"/>
  <c r="K273" i="10" s="1"/>
  <c r="L280" i="10"/>
  <c r="J280" i="10"/>
  <c r="K280" i="10" s="1"/>
  <c r="J281" i="10"/>
  <c r="L295" i="10"/>
  <c r="J295" i="10"/>
  <c r="K295" i="10" s="1"/>
  <c r="M303" i="10"/>
  <c r="L303" i="10"/>
  <c r="J303" i="10"/>
  <c r="K303" i="10" s="1"/>
  <c r="M311" i="10"/>
  <c r="L311" i="10"/>
  <c r="J311" i="10"/>
  <c r="K311" i="10" s="1"/>
  <c r="J327" i="10"/>
  <c r="K327" i="10" s="1"/>
  <c r="J334" i="10"/>
  <c r="K334" i="10" s="1"/>
  <c r="J345" i="10"/>
  <c r="M375" i="10"/>
  <c r="L375" i="10"/>
  <c r="J375" i="10"/>
  <c r="K375" i="10" s="1"/>
  <c r="J414" i="10"/>
  <c r="K414" i="10" s="1"/>
  <c r="M414" i="10"/>
  <c r="L423" i="10"/>
  <c r="J423" i="10"/>
  <c r="K423" i="10" s="1"/>
  <c r="J61" i="10"/>
  <c r="J67" i="10"/>
  <c r="J79" i="10"/>
  <c r="J152" i="10"/>
  <c r="L156" i="10"/>
  <c r="L168" i="10"/>
  <c r="J172" i="10"/>
  <c r="J174" i="10"/>
  <c r="K174" i="10" s="1"/>
  <c r="J183" i="10"/>
  <c r="K183" i="10" s="1"/>
  <c r="M184" i="10"/>
  <c r="J190" i="10"/>
  <c r="L227" i="10"/>
  <c r="J227" i="10"/>
  <c r="H230" i="10"/>
  <c r="G230" i="10"/>
  <c r="L232" i="10"/>
  <c r="J232" i="10"/>
  <c r="M237" i="10"/>
  <c r="L237" i="10"/>
  <c r="M242" i="10"/>
  <c r="J242" i="10"/>
  <c r="K242" i="10" s="1"/>
  <c r="L258" i="10"/>
  <c r="J258" i="10"/>
  <c r="K258" i="10" s="1"/>
  <c r="J264" i="10"/>
  <c r="K264" i="10" s="1"/>
  <c r="M264" i="10"/>
  <c r="L264" i="10"/>
  <c r="J270" i="10"/>
  <c r="K270" i="10" s="1"/>
  <c r="M271" i="10"/>
  <c r="L271" i="10"/>
  <c r="J271" i="10"/>
  <c r="K271" i="10" s="1"/>
  <c r="M283" i="10"/>
  <c r="L283" i="10"/>
  <c r="J283" i="10"/>
  <c r="K283" i="10" s="1"/>
  <c r="M294" i="10"/>
  <c r="L294" i="10"/>
  <c r="K294" i="10"/>
  <c r="L302" i="10"/>
  <c r="J302" i="10"/>
  <c r="K302" i="10" s="1"/>
  <c r="M302" i="10"/>
  <c r="L310" i="10"/>
  <c r="J310" i="10"/>
  <c r="K310" i="10" s="1"/>
  <c r="M310" i="10"/>
  <c r="M326" i="10"/>
  <c r="L326" i="10"/>
  <c r="J326" i="10"/>
  <c r="K326" i="10" s="1"/>
  <c r="J354" i="10"/>
  <c r="K354" i="10" s="1"/>
  <c r="M354" i="10"/>
  <c r="M359" i="10"/>
  <c r="J360" i="10"/>
  <c r="K360" i="10" s="1"/>
  <c r="J380" i="10"/>
  <c r="K380" i="10" s="1"/>
  <c r="M380" i="10"/>
  <c r="L380" i="10"/>
  <c r="J409" i="10"/>
  <c r="K409" i="10" s="1"/>
  <c r="L425" i="10"/>
  <c r="J425" i="10"/>
  <c r="K425" i="10" s="1"/>
  <c r="L436" i="10"/>
  <c r="L122" i="10"/>
  <c r="L124" i="10"/>
  <c r="L143" i="10"/>
  <c r="L170" i="10"/>
  <c r="L179" i="10"/>
  <c r="L207" i="10"/>
  <c r="J207" i="10"/>
  <c r="K207" i="10" s="1"/>
  <c r="L209" i="10"/>
  <c r="J209" i="10"/>
  <c r="K209" i="10" s="1"/>
  <c r="L220" i="10"/>
  <c r="L221" i="10"/>
  <c r="J221" i="10"/>
  <c r="K221" i="10" s="1"/>
  <c r="M235" i="10"/>
  <c r="J235" i="10"/>
  <c r="K235" i="10" s="1"/>
  <c r="L238" i="10"/>
  <c r="J238" i="10"/>
  <c r="K238" i="10" s="1"/>
  <c r="J239" i="10"/>
  <c r="L241" i="10"/>
  <c r="M257" i="10"/>
  <c r="L257" i="10"/>
  <c r="J257" i="10"/>
  <c r="K257" i="10" s="1"/>
  <c r="L268" i="10"/>
  <c r="J268" i="10"/>
  <c r="K268" i="10" s="1"/>
  <c r="M268" i="10"/>
  <c r="M269" i="10"/>
  <c r="J269" i="10"/>
  <c r="K269" i="10" s="1"/>
  <c r="M301" i="10"/>
  <c r="L301" i="10"/>
  <c r="J301" i="10"/>
  <c r="K301" i="10" s="1"/>
  <c r="J309" i="10"/>
  <c r="M333" i="10"/>
  <c r="J333" i="10"/>
  <c r="K333" i="10" s="1"/>
  <c r="J382" i="10"/>
  <c r="K382" i="10" s="1"/>
  <c r="L382" i="10"/>
  <c r="J90" i="10"/>
  <c r="K90" i="10" s="1"/>
  <c r="J100" i="10"/>
  <c r="K100" i="10" s="1"/>
  <c r="J104" i="10"/>
  <c r="K104" i="10" s="1"/>
  <c r="G142" i="10"/>
  <c r="M161" i="10"/>
  <c r="K165" i="10"/>
  <c r="J167" i="10"/>
  <c r="K177" i="10"/>
  <c r="J182" i="10"/>
  <c r="K182" i="10" s="1"/>
  <c r="M183" i="10"/>
  <c r="L193" i="10"/>
  <c r="J196" i="10"/>
  <c r="M197" i="10"/>
  <c r="L203" i="10"/>
  <c r="M205" i="10"/>
  <c r="M212" i="10"/>
  <c r="J212" i="10"/>
  <c r="M214" i="10"/>
  <c r="M217" i="10"/>
  <c r="M221" i="10"/>
  <c r="G224" i="10"/>
  <c r="H224" i="10"/>
  <c r="J226" i="10"/>
  <c r="M226" i="10" s="1"/>
  <c r="L228" i="10"/>
  <c r="M230" i="10"/>
  <c r="M231" i="10"/>
  <c r="J231" i="10"/>
  <c r="L233" i="10"/>
  <c r="M234" i="10"/>
  <c r="L234" i="10"/>
  <c r="L253" i="10"/>
  <c r="J253" i="10"/>
  <c r="K253" i="10" s="1"/>
  <c r="J254" i="10"/>
  <c r="K254" i="10" s="1"/>
  <c r="J256" i="10"/>
  <c r="M263" i="10"/>
  <c r="J263" i="10"/>
  <c r="J267" i="10"/>
  <c r="K267" i="10" s="1"/>
  <c r="L300" i="10"/>
  <c r="J300" i="10"/>
  <c r="K300" i="10" s="1"/>
  <c r="M300" i="10"/>
  <c r="L308" i="10"/>
  <c r="J308" i="10"/>
  <c r="K308" i="10" s="1"/>
  <c r="J313" i="10"/>
  <c r="K313" i="10" s="1"/>
  <c r="M313" i="10"/>
  <c r="L182" i="10"/>
  <c r="L189" i="10"/>
  <c r="J192" i="10"/>
  <c r="K192" i="10" s="1"/>
  <c r="M193" i="10"/>
  <c r="M200" i="10"/>
  <c r="M209" i="10"/>
  <c r="J211" i="10"/>
  <c r="L214" i="10"/>
  <c r="H223" i="10"/>
  <c r="G223" i="10"/>
  <c r="L225" i="10"/>
  <c r="J225" i="10"/>
  <c r="K225" i="10" s="1"/>
  <c r="M228" i="10"/>
  <c r="L229" i="10"/>
  <c r="J229" i="10"/>
  <c r="L230" i="10"/>
  <c r="L251" i="10"/>
  <c r="J251" i="10"/>
  <c r="K251" i="10" s="1"/>
  <c r="J252" i="10"/>
  <c r="L262" i="10"/>
  <c r="J262" i="10"/>
  <c r="K262" i="10" s="1"/>
  <c r="M299" i="10"/>
  <c r="L299" i="10"/>
  <c r="J299" i="10"/>
  <c r="K299" i="10" s="1"/>
  <c r="M307" i="10"/>
  <c r="L307" i="10"/>
  <c r="J307" i="10"/>
  <c r="K307" i="10" s="1"/>
  <c r="L312" i="10"/>
  <c r="K312" i="10"/>
  <c r="M314" i="10"/>
  <c r="L314" i="10"/>
  <c r="J314" i="10"/>
  <c r="K314" i="10" s="1"/>
  <c r="J342" i="10"/>
  <c r="J350" i="10"/>
  <c r="K350" i="10" s="1"/>
  <c r="L365" i="10"/>
  <c r="K365" i="10"/>
  <c r="J366" i="10"/>
  <c r="K366" i="10" s="1"/>
  <c r="M366" i="10"/>
  <c r="M395" i="10"/>
  <c r="L395" i="10"/>
  <c r="J395" i="10"/>
  <c r="K395" i="10" s="1"/>
  <c r="L428" i="10"/>
  <c r="L175" i="10"/>
  <c r="M189" i="10"/>
  <c r="L195" i="10"/>
  <c r="M218" i="10"/>
  <c r="J218" i="10"/>
  <c r="K218" i="10" s="1"/>
  <c r="L219" i="10"/>
  <c r="J223" i="10"/>
  <c r="K223" i="10" s="1"/>
  <c r="J243" i="10"/>
  <c r="M244" i="10"/>
  <c r="L244" i="10"/>
  <c r="J244" i="10"/>
  <c r="K244" i="10" s="1"/>
  <c r="L245" i="10"/>
  <c r="J245" i="10"/>
  <c r="K245" i="10" s="1"/>
  <c r="M245" i="10"/>
  <c r="M246" i="10"/>
  <c r="J246" i="10"/>
  <c r="K246" i="10" s="1"/>
  <c r="L247" i="10"/>
  <c r="J247" i="10"/>
  <c r="K247" i="10" s="1"/>
  <c r="J248" i="10"/>
  <c r="J249" i="10"/>
  <c r="K249" i="10" s="1"/>
  <c r="M250" i="10"/>
  <c r="L250" i="10"/>
  <c r="J250" i="10"/>
  <c r="K250" i="10" s="1"/>
  <c r="J255" i="10"/>
  <c r="J261" i="10"/>
  <c r="K261" i="10" s="1"/>
  <c r="L278" i="10"/>
  <c r="J278" i="10"/>
  <c r="K278" i="10" s="1"/>
  <c r="M286" i="10"/>
  <c r="L286" i="10"/>
  <c r="K286" i="10"/>
  <c r="J298" i="10"/>
  <c r="K298" i="10" s="1"/>
  <c r="L306" i="10"/>
  <c r="J306" i="10"/>
  <c r="K306" i="10" s="1"/>
  <c r="M315" i="10"/>
  <c r="L315" i="10"/>
  <c r="J315" i="10"/>
  <c r="K315" i="10" s="1"/>
  <c r="J319" i="10"/>
  <c r="K319" i="10" s="1"/>
  <c r="J320" i="10"/>
  <c r="K320" i="10" s="1"/>
  <c r="M321" i="10"/>
  <c r="J321" i="10"/>
  <c r="K321" i="10" s="1"/>
  <c r="M322" i="10"/>
  <c r="L322" i="10"/>
  <c r="J322" i="10"/>
  <c r="K322" i="10" s="1"/>
  <c r="J337" i="10"/>
  <c r="J348" i="10"/>
  <c r="K348" i="10" s="1"/>
  <c r="M348" i="10"/>
  <c r="L348" i="10"/>
  <c r="L405" i="10"/>
  <c r="J405" i="10"/>
  <c r="K405" i="10" s="1"/>
  <c r="AN323" i="10"/>
  <c r="H324" i="10"/>
  <c r="AN324" i="10"/>
  <c r="H325" i="10"/>
  <c r="AN325" i="10"/>
  <c r="AO326" i="10"/>
  <c r="H341" i="10"/>
  <c r="J344" i="10"/>
  <c r="K344" i="10" s="1"/>
  <c r="M353" i="10"/>
  <c r="J370" i="10"/>
  <c r="K370" i="10" s="1"/>
  <c r="M383" i="10"/>
  <c r="M386" i="10"/>
  <c r="M387" i="10"/>
  <c r="L418" i="10"/>
  <c r="K418" i="10"/>
  <c r="L426" i="10"/>
  <c r="K426" i="10"/>
  <c r="M427" i="10"/>
  <c r="J444" i="10"/>
  <c r="K444" i="10" s="1"/>
  <c r="J447" i="10"/>
  <c r="K447" i="10" s="1"/>
  <c r="J452" i="10"/>
  <c r="J456" i="10"/>
  <c r="K456" i="10" s="1"/>
  <c r="J468" i="10"/>
  <c r="K468" i="10" s="1"/>
  <c r="M468" i="10"/>
  <c r="M475" i="10"/>
  <c r="L475" i="10"/>
  <c r="J475" i="10"/>
  <c r="K475" i="10" s="1"/>
  <c r="J487" i="10"/>
  <c r="J503" i="10"/>
  <c r="K503" i="10" s="1"/>
  <c r="K516" i="10"/>
  <c r="M516" i="10"/>
  <c r="L517" i="10"/>
  <c r="J517" i="10"/>
  <c r="K517" i="10" s="1"/>
  <c r="M517" i="10"/>
  <c r="J527" i="10"/>
  <c r="K527" i="10" s="1"/>
  <c r="J562" i="10"/>
  <c r="L282" i="10"/>
  <c r="M285" i="10"/>
  <c r="L290" i="10"/>
  <c r="M293" i="10"/>
  <c r="L341" i="10"/>
  <c r="M373" i="10"/>
  <c r="L399" i="10"/>
  <c r="J399" i="10"/>
  <c r="K399" i="10" s="1"/>
  <c r="L403" i="10"/>
  <c r="J403" i="10"/>
  <c r="K403" i="10" s="1"/>
  <c r="M403" i="10"/>
  <c r="L408" i="10"/>
  <c r="K408" i="10"/>
  <c r="H415" i="10"/>
  <c r="G415" i="10"/>
  <c r="J417" i="10"/>
  <c r="K417" i="10" s="1"/>
  <c r="J419" i="10"/>
  <c r="K419" i="10" s="1"/>
  <c r="M419" i="10"/>
  <c r="J428" i="10"/>
  <c r="K428" i="10" s="1"/>
  <c r="M428" i="10"/>
  <c r="M434" i="10"/>
  <c r="L434" i="10"/>
  <c r="K434" i="10"/>
  <c r="J436" i="10"/>
  <c r="K436" i="10" s="1"/>
  <c r="M436" i="10"/>
  <c r="M442" i="10"/>
  <c r="L442" i="10"/>
  <c r="K442" i="10"/>
  <c r="J448" i="10"/>
  <c r="K448" i="10" s="1"/>
  <c r="J453" i="10"/>
  <c r="L461" i="10"/>
  <c r="J461" i="10"/>
  <c r="K461" i="10" s="1"/>
  <c r="J463" i="10"/>
  <c r="K463" i="10" s="1"/>
  <c r="M463" i="10"/>
  <c r="L463" i="10"/>
  <c r="L482" i="10"/>
  <c r="J482" i="10"/>
  <c r="K482" i="10" s="1"/>
  <c r="J486" i="10"/>
  <c r="K486" i="10" s="1"/>
  <c r="J490" i="10"/>
  <c r="K490" i="10" s="1"/>
  <c r="M490" i="10"/>
  <c r="M491" i="10"/>
  <c r="J501" i="10"/>
  <c r="K501" i="10" s="1"/>
  <c r="J507" i="10"/>
  <c r="K507" i="10" s="1"/>
  <c r="M507" i="10"/>
  <c r="L507" i="10"/>
  <c r="M514" i="10"/>
  <c r="L514" i="10"/>
  <c r="J514" i="10"/>
  <c r="K514" i="10" s="1"/>
  <c r="J521" i="10"/>
  <c r="K521" i="10" s="1"/>
  <c r="L521" i="10"/>
  <c r="M282" i="10"/>
  <c r="K284" i="10"/>
  <c r="M290" i="10"/>
  <c r="M312" i="10"/>
  <c r="J318" i="10"/>
  <c r="K318" i="10" s="1"/>
  <c r="K323" i="10"/>
  <c r="AP323" i="10"/>
  <c r="J324" i="10"/>
  <c r="K324" i="10" s="1"/>
  <c r="AP324" i="10"/>
  <c r="J325" i="10"/>
  <c r="K325" i="10" s="1"/>
  <c r="AP325" i="10"/>
  <c r="M329" i="10"/>
  <c r="G332" i="10"/>
  <c r="H334" i="10"/>
  <c r="G336" i="10"/>
  <c r="G338" i="10"/>
  <c r="K339" i="10"/>
  <c r="J341" i="10"/>
  <c r="K341" i="10" s="1"/>
  <c r="L344" i="10"/>
  <c r="M349" i="10"/>
  <c r="J359" i="10"/>
  <c r="K359" i="10" s="1"/>
  <c r="K361" i="10"/>
  <c r="M365" i="10"/>
  <c r="L370" i="10"/>
  <c r="J373" i="10"/>
  <c r="L381" i="10"/>
  <c r="L383" i="10"/>
  <c r="L387" i="10"/>
  <c r="M396" i="10"/>
  <c r="M408" i="10"/>
  <c r="M411" i="10"/>
  <c r="L412" i="10"/>
  <c r="M416" i="10"/>
  <c r="J416" i="10"/>
  <c r="K416" i="10" s="1"/>
  <c r="L420" i="10"/>
  <c r="K420" i="10"/>
  <c r="J433" i="10"/>
  <c r="L433" i="10" s="1"/>
  <c r="J441" i="10"/>
  <c r="L441" i="10"/>
  <c r="L454" i="10"/>
  <c r="J454" i="10"/>
  <c r="K454" i="10" s="1"/>
  <c r="J460" i="10"/>
  <c r="K460" i="10" s="1"/>
  <c r="M467" i="10"/>
  <c r="L467" i="10"/>
  <c r="J467" i="10"/>
  <c r="K467" i="10" s="1"/>
  <c r="J479" i="10"/>
  <c r="K479" i="10" s="1"/>
  <c r="J485" i="10"/>
  <c r="L538" i="10"/>
  <c r="J553" i="10"/>
  <c r="K553" i="10" s="1"/>
  <c r="M575" i="10"/>
  <c r="J260" i="10"/>
  <c r="AQ323" i="10"/>
  <c r="M328" i="10"/>
  <c r="L343" i="10"/>
  <c r="L352" i="10"/>
  <c r="L361" i="10"/>
  <c r="L368" i="10"/>
  <c r="M371" i="10"/>
  <c r="L378" i="10"/>
  <c r="J394" i="10"/>
  <c r="K394" i="10" s="1"/>
  <c r="L404" i="10"/>
  <c r="K404" i="10"/>
  <c r="L410" i="10"/>
  <c r="K410" i="10"/>
  <c r="L411" i="10"/>
  <c r="K411" i="10"/>
  <c r="M415" i="10"/>
  <c r="L415" i="10"/>
  <c r="J415" i="10"/>
  <c r="K415" i="10" s="1"/>
  <c r="L421" i="10"/>
  <c r="J421" i="10"/>
  <c r="K421" i="10" s="1"/>
  <c r="M421" i="10"/>
  <c r="M432" i="10"/>
  <c r="J432" i="10"/>
  <c r="K432" i="10" s="1"/>
  <c r="M440" i="10"/>
  <c r="L440" i="10"/>
  <c r="J440" i="10"/>
  <c r="K440" i="10" s="1"/>
  <c r="J449" i="10"/>
  <c r="K449" i="10" s="1"/>
  <c r="M449" i="10"/>
  <c r="J466" i="10"/>
  <c r="K466" i="10" s="1"/>
  <c r="M466" i="10"/>
  <c r="L466" i="10"/>
  <c r="M474" i="10"/>
  <c r="L474" i="10"/>
  <c r="J474" i="10"/>
  <c r="K474" i="10" s="1"/>
  <c r="J484" i="10"/>
  <c r="K484" i="10" s="1"/>
  <c r="M484" i="10"/>
  <c r="J508" i="10"/>
  <c r="K508" i="10" s="1"/>
  <c r="J522" i="10"/>
  <c r="K522" i="10" s="1"/>
  <c r="L318" i="10"/>
  <c r="AP326" i="10"/>
  <c r="AQ325" i="10"/>
  <c r="AQ346" i="10" s="1"/>
  <c r="M325" i="10"/>
  <c r="M341" i="10"/>
  <c r="M343" i="10"/>
  <c r="M352" i="10"/>
  <c r="M368" i="10"/>
  <c r="M378" i="10"/>
  <c r="J391" i="10"/>
  <c r="M391" i="10" s="1"/>
  <c r="K400" i="10"/>
  <c r="M404" i="10"/>
  <c r="M410" i="10"/>
  <c r="H414" i="10"/>
  <c r="G414" i="10"/>
  <c r="L422" i="10"/>
  <c r="K422" i="10"/>
  <c r="M445" i="10"/>
  <c r="J445" i="10"/>
  <c r="K445" i="10" s="1"/>
  <c r="M450" i="10"/>
  <c r="L450" i="10"/>
  <c r="J450" i="10"/>
  <c r="K450" i="10" s="1"/>
  <c r="J471" i="10"/>
  <c r="K471" i="10" s="1"/>
  <c r="M471" i="10"/>
  <c r="L471" i="10"/>
  <c r="L483" i="10"/>
  <c r="J483" i="10"/>
  <c r="K483" i="10" s="1"/>
  <c r="J493" i="10"/>
  <c r="K493" i="10" s="1"/>
  <c r="M494" i="10"/>
  <c r="L494" i="10"/>
  <c r="J494" i="10"/>
  <c r="K494" i="10" s="1"/>
  <c r="M495" i="10"/>
  <c r="L511" i="10"/>
  <c r="M512" i="10"/>
  <c r="L512" i="10"/>
  <c r="J512" i="10"/>
  <c r="K512" i="10" s="1"/>
  <c r="K317" i="10"/>
  <c r="G327" i="10"/>
  <c r="K328" i="10"/>
  <c r="G329" i="10"/>
  <c r="K332" i="10"/>
  <c r="J336" i="10"/>
  <c r="K336" i="10" s="1"/>
  <c r="J338" i="10"/>
  <c r="K338" i="10" s="1"/>
  <c r="J340" i="10"/>
  <c r="K340" i="10" s="1"/>
  <c r="G345" i="10"/>
  <c r="H346" i="10"/>
  <c r="J353" i="10"/>
  <c r="K353" i="10" s="1"/>
  <c r="L357" i="10"/>
  <c r="L364" i="10"/>
  <c r="L376" i="10"/>
  <c r="J379" i="10"/>
  <c r="K379" i="10" s="1"/>
  <c r="J385" i="10"/>
  <c r="K385" i="10" s="1"/>
  <c r="J389" i="10"/>
  <c r="K389" i="10" s="1"/>
  <c r="L397" i="10"/>
  <c r="M400" i="10"/>
  <c r="L401" i="10"/>
  <c r="J401" i="10"/>
  <c r="K401" i="10" s="1"/>
  <c r="M422" i="10"/>
  <c r="M431" i="10"/>
  <c r="L431" i="10"/>
  <c r="J431" i="10"/>
  <c r="K431" i="10" s="1"/>
  <c r="M439" i="10"/>
  <c r="L439" i="10"/>
  <c r="J439" i="10"/>
  <c r="K439" i="10" s="1"/>
  <c r="L481" i="10"/>
  <c r="J481" i="10"/>
  <c r="K481" i="10" s="1"/>
  <c r="M481" i="10"/>
  <c r="L496" i="10"/>
  <c r="J496" i="10"/>
  <c r="K496" i="10" s="1"/>
  <c r="M496" i="10"/>
  <c r="J505" i="10"/>
  <c r="K505" i="10" s="1"/>
  <c r="J509" i="10"/>
  <c r="K509" i="10" s="1"/>
  <c r="M509" i="10"/>
  <c r="M519" i="10"/>
  <c r="M523" i="10"/>
  <c r="L523" i="10"/>
  <c r="J523" i="10"/>
  <c r="K523" i="10" s="1"/>
  <c r="M545" i="10"/>
  <c r="G326" i="10"/>
  <c r="M330" i="10"/>
  <c r="G333" i="10"/>
  <c r="L338" i="10"/>
  <c r="G344" i="10"/>
  <c r="L355" i="10"/>
  <c r="M364" i="10"/>
  <c r="L371" i="10"/>
  <c r="L374" i="10"/>
  <c r="M376" i="10"/>
  <c r="L385" i="10"/>
  <c r="J392" i="10"/>
  <c r="I393" i="10"/>
  <c r="L406" i="10"/>
  <c r="K406" i="10"/>
  <c r="L424" i="10"/>
  <c r="K424" i="10"/>
  <c r="J430" i="10"/>
  <c r="K430" i="10" s="1"/>
  <c r="M430" i="10"/>
  <c r="J438" i="10"/>
  <c r="K438" i="10" s="1"/>
  <c r="J476" i="10"/>
  <c r="K476" i="10" s="1"/>
  <c r="J498" i="10"/>
  <c r="K498" i="10" s="1"/>
  <c r="M498" i="10"/>
  <c r="M515" i="10"/>
  <c r="L515" i="10"/>
  <c r="J515" i="10"/>
  <c r="K515" i="10" s="1"/>
  <c r="J526" i="10"/>
  <c r="K526" i="10" s="1"/>
  <c r="M526" i="10"/>
  <c r="J316" i="10"/>
  <c r="L316" i="10" s="1"/>
  <c r="AN326" i="10"/>
  <c r="L336" i="10"/>
  <c r="AO344" i="10"/>
  <c r="AO345" i="10"/>
  <c r="AO346" i="10"/>
  <c r="J377" i="10"/>
  <c r="L386" i="10"/>
  <c r="M413" i="10"/>
  <c r="J413" i="10"/>
  <c r="J429" i="10"/>
  <c r="K429" i="10" s="1"/>
  <c r="M437" i="10"/>
  <c r="J437" i="10"/>
  <c r="K437" i="10" s="1"/>
  <c r="L457" i="10"/>
  <c r="J457" i="10"/>
  <c r="K457" i="10" s="1"/>
  <c r="J458" i="10"/>
  <c r="J473" i="10"/>
  <c r="K473" i="10" s="1"/>
  <c r="J488" i="10"/>
  <c r="K488" i="10" s="1"/>
  <c r="M504" i="10"/>
  <c r="J506" i="10"/>
  <c r="L510" i="10"/>
  <c r="J510" i="10"/>
  <c r="K510" i="10" s="1"/>
  <c r="J520" i="10"/>
  <c r="K520" i="10" s="1"/>
  <c r="M520" i="10"/>
  <c r="L520" i="10"/>
  <c r="H413" i="10"/>
  <c r="J495" i="10"/>
  <c r="K495" i="10" s="1"/>
  <c r="L516" i="10"/>
  <c r="J525" i="10"/>
  <c r="K525" i="10" s="1"/>
  <c r="Y529" i="10"/>
  <c r="BN529" i="10" s="1"/>
  <c r="J532" i="10"/>
  <c r="K533" i="10"/>
  <c r="AW537" i="10"/>
  <c r="AV537" i="10" s="1"/>
  <c r="Z541" i="10"/>
  <c r="BN541" i="10" s="1"/>
  <c r="M565" i="10"/>
  <c r="M574" i="10"/>
  <c r="L574" i="10"/>
  <c r="J584" i="10"/>
  <c r="J603" i="10"/>
  <c r="K603" i="10" s="1"/>
  <c r="J604" i="10"/>
  <c r="M611" i="10"/>
  <c r="J611" i="10"/>
  <c r="K611" i="10" s="1"/>
  <c r="L611" i="10"/>
  <c r="M524" i="10"/>
  <c r="J568" i="10"/>
  <c r="L592" i="10"/>
  <c r="J592" i="10"/>
  <c r="K592" i="10" s="1"/>
  <c r="J595" i="10"/>
  <c r="K595" i="10" s="1"/>
  <c r="J599" i="10"/>
  <c r="K599" i="10" s="1"/>
  <c r="M599" i="10"/>
  <c r="L601" i="10"/>
  <c r="M601" i="10"/>
  <c r="J601" i="10"/>
  <c r="K601" i="10" s="1"/>
  <c r="M602" i="10"/>
  <c r="K602" i="10"/>
  <c r="J608" i="10"/>
  <c r="K686" i="10"/>
  <c r="L686" i="10"/>
  <c r="J772" i="10"/>
  <c r="K772" i="10" s="1"/>
  <c r="M783" i="10"/>
  <c r="L783" i="10"/>
  <c r="K783" i="10"/>
  <c r="J799" i="10"/>
  <c r="K799" i="10" s="1"/>
  <c r="M412" i="10"/>
  <c r="J446" i="10"/>
  <c r="K446" i="10" s="1"/>
  <c r="K451" i="10"/>
  <c r="K455" i="10"/>
  <c r="G457" i="10"/>
  <c r="K459" i="10"/>
  <c r="G461" i="10"/>
  <c r="J462" i="10"/>
  <c r="K462" i="10" s="1"/>
  <c r="K465" i="10"/>
  <c r="K469" i="10"/>
  <c r="J472" i="10"/>
  <c r="G473" i="10"/>
  <c r="K477" i="10"/>
  <c r="J480" i="10"/>
  <c r="K480" i="10" s="1"/>
  <c r="G481" i="10"/>
  <c r="J489" i="10"/>
  <c r="K489" i="10" s="1"/>
  <c r="K492" i="10"/>
  <c r="L495" i="10"/>
  <c r="J497" i="10"/>
  <c r="K500" i="10"/>
  <c r="J502" i="10"/>
  <c r="K502" i="10" s="1"/>
  <c r="J504" i="10"/>
  <c r="K504" i="10" s="1"/>
  <c r="J513" i="10"/>
  <c r="K513" i="10" s="1"/>
  <c r="J519" i="10"/>
  <c r="K519" i="10" s="1"/>
  <c r="J524" i="10"/>
  <c r="K524" i="10" s="1"/>
  <c r="L525" i="10"/>
  <c r="K531" i="10"/>
  <c r="Z535" i="10"/>
  <c r="BN535" i="10" s="1"/>
  <c r="J536" i="10"/>
  <c r="K536" i="10" s="1"/>
  <c r="H543" i="10"/>
  <c r="J551" i="10"/>
  <c r="K551" i="10" s="1"/>
  <c r="J554" i="10"/>
  <c r="L560" i="10"/>
  <c r="I561" i="10"/>
  <c r="L576" i="10"/>
  <c r="J576" i="10"/>
  <c r="K576" i="10" s="1"/>
  <c r="J587" i="10"/>
  <c r="L588" i="10"/>
  <c r="J588" i="10"/>
  <c r="K588" i="10" s="1"/>
  <c r="L596" i="10"/>
  <c r="J596" i="10"/>
  <c r="K596" i="10" s="1"/>
  <c r="M596" i="10"/>
  <c r="L602" i="10"/>
  <c r="L451" i="10"/>
  <c r="L455" i="10"/>
  <c r="L459" i="10"/>
  <c r="L465" i="10"/>
  <c r="L469" i="10"/>
  <c r="L477" i="10"/>
  <c r="L492" i="10"/>
  <c r="L500" i="10"/>
  <c r="L531" i="10"/>
  <c r="H534" i="10"/>
  <c r="L535" i="10"/>
  <c r="M547" i="10"/>
  <c r="J560" i="10"/>
  <c r="K560" i="10" s="1"/>
  <c r="J567" i="10"/>
  <c r="K567" i="10" s="1"/>
  <c r="M567" i="10"/>
  <c r="J579" i="10"/>
  <c r="M579" i="10" s="1"/>
  <c r="J583" i="10"/>
  <c r="K583" i="10" s="1"/>
  <c r="L585" i="10"/>
  <c r="M585" i="10"/>
  <c r="J585" i="10"/>
  <c r="K585" i="10" s="1"/>
  <c r="M586" i="10"/>
  <c r="K586" i="10"/>
  <c r="M594" i="10"/>
  <c r="J610" i="10"/>
  <c r="K610" i="10" s="1"/>
  <c r="M623" i="10"/>
  <c r="J623" i="10"/>
  <c r="K623" i="10" s="1"/>
  <c r="L623" i="10"/>
  <c r="L462" i="10"/>
  <c r="J464" i="10"/>
  <c r="K464" i="10" s="1"/>
  <c r="L480" i="10"/>
  <c r="L489" i="10"/>
  <c r="J491" i="10"/>
  <c r="K491" i="10" s="1"/>
  <c r="J499" i="10"/>
  <c r="K499" i="10" s="1"/>
  <c r="J511" i="10"/>
  <c r="L513" i="10"/>
  <c r="J518" i="10"/>
  <c r="L524" i="10"/>
  <c r="J528" i="10"/>
  <c r="K528" i="10" s="1"/>
  <c r="Y537" i="10"/>
  <c r="BN537" i="10" s="1"/>
  <c r="L541" i="10"/>
  <c r="J545" i="10"/>
  <c r="K545" i="10" s="1"/>
  <c r="M548" i="10"/>
  <c r="I550" i="10"/>
  <c r="M551" i="10"/>
  <c r="M564" i="10"/>
  <c r="L564" i="10"/>
  <c r="J564" i="10"/>
  <c r="K564" i="10" s="1"/>
  <c r="M569" i="10"/>
  <c r="L580" i="10"/>
  <c r="J580" i="10"/>
  <c r="K580" i="10" s="1"/>
  <c r="M580" i="10"/>
  <c r="L595" i="10"/>
  <c r="M615" i="10"/>
  <c r="J615" i="10"/>
  <c r="K615" i="10" s="1"/>
  <c r="L671" i="10"/>
  <c r="M671" i="10"/>
  <c r="J671" i="10"/>
  <c r="K671" i="10" s="1"/>
  <c r="M722" i="10"/>
  <c r="G474" i="10"/>
  <c r="G482" i="10"/>
  <c r="M529" i="10"/>
  <c r="Z533" i="10"/>
  <c r="BN533" i="10" s="1"/>
  <c r="J534" i="10"/>
  <c r="G537" i="10"/>
  <c r="J538" i="10"/>
  <c r="L540" i="10"/>
  <c r="M541" i="10"/>
  <c r="I544" i="10"/>
  <c r="I546" i="10"/>
  <c r="L547" i="10"/>
  <c r="J552" i="10"/>
  <c r="J555" i="10"/>
  <c r="L555" i="10" s="1"/>
  <c r="J569" i="10"/>
  <c r="K569" i="10" s="1"/>
  <c r="M578" i="10"/>
  <c r="J620" i="10"/>
  <c r="K620" i="10" s="1"/>
  <c r="M620" i="10"/>
  <c r="L620" i="10"/>
  <c r="L427" i="10"/>
  <c r="L435" i="10"/>
  <c r="L443" i="10"/>
  <c r="L464" i="10"/>
  <c r="L470" i="10"/>
  <c r="L478" i="10"/>
  <c r="L491" i="10"/>
  <c r="L499" i="10"/>
  <c r="Y532" i="10"/>
  <c r="BN532" i="10" s="1"/>
  <c r="M535" i="10"/>
  <c r="L539" i="10"/>
  <c r="M540" i="10"/>
  <c r="M543" i="10"/>
  <c r="I559" i="10"/>
  <c r="I563" i="10"/>
  <c r="I566" i="10"/>
  <c r="L600" i="10"/>
  <c r="J600" i="10"/>
  <c r="K600" i="10" s="1"/>
  <c r="M614" i="10"/>
  <c r="J711" i="10"/>
  <c r="K711" i="10" s="1"/>
  <c r="M711" i="10"/>
  <c r="J537" i="10"/>
  <c r="L537" i="10" s="1"/>
  <c r="J542" i="10"/>
  <c r="M542" i="10" s="1"/>
  <c r="J548" i="10"/>
  <c r="J571" i="10"/>
  <c r="K571" i="10" s="1"/>
  <c r="L571" i="10"/>
  <c r="I572" i="10"/>
  <c r="J575" i="10"/>
  <c r="K575" i="10" s="1"/>
  <c r="L575" i="10"/>
  <c r="J591" i="10"/>
  <c r="K591" i="10" s="1"/>
  <c r="J607" i="10"/>
  <c r="K607" i="10" s="1"/>
  <c r="L607" i="10"/>
  <c r="M607" i="10"/>
  <c r="L619" i="10"/>
  <c r="J619" i="10"/>
  <c r="K619" i="10" s="1"/>
  <c r="L648" i="10"/>
  <c r="J648" i="10"/>
  <c r="K648" i="10" s="1"/>
  <c r="J612" i="10"/>
  <c r="J616" i="10"/>
  <c r="K616" i="10" s="1"/>
  <c r="M636" i="10"/>
  <c r="L636" i="10"/>
  <c r="K636" i="10"/>
  <c r="L652" i="10"/>
  <c r="M655" i="10"/>
  <c r="J655" i="10"/>
  <c r="K655" i="10" s="1"/>
  <c r="M658" i="10"/>
  <c r="L658" i="10"/>
  <c r="J658" i="10"/>
  <c r="K658" i="10" s="1"/>
  <c r="J662" i="10"/>
  <c r="J699" i="10"/>
  <c r="K699" i="10" s="1"/>
  <c r="L614" i="10"/>
  <c r="M633" i="10"/>
  <c r="L633" i="10"/>
  <c r="J633" i="10"/>
  <c r="K633" i="10" s="1"/>
  <c r="M638" i="10"/>
  <c r="L638" i="10"/>
  <c r="J638" i="10"/>
  <c r="K638" i="10" s="1"/>
  <c r="J639" i="10"/>
  <c r="K639" i="10" s="1"/>
  <c r="M647" i="10"/>
  <c r="J647" i="10"/>
  <c r="K647" i="10" s="1"/>
  <c r="J661" i="10"/>
  <c r="K661" i="10" s="1"/>
  <c r="J669" i="10"/>
  <c r="K669" i="10" s="1"/>
  <c r="M669" i="10"/>
  <c r="L669" i="10"/>
  <c r="J689" i="10"/>
  <c r="K689" i="10" s="1"/>
  <c r="L691" i="10"/>
  <c r="J691" i="10"/>
  <c r="K691" i="10" s="1"/>
  <c r="M692" i="10"/>
  <c r="L692" i="10"/>
  <c r="J692" i="10"/>
  <c r="K692" i="10" s="1"/>
  <c r="M762" i="10"/>
  <c r="L762" i="10"/>
  <c r="J762" i="10"/>
  <c r="K762" i="10" s="1"/>
  <c r="L573" i="10"/>
  <c r="J578" i="10"/>
  <c r="K578" i="10" s="1"/>
  <c r="L589" i="10"/>
  <c r="L590" i="10"/>
  <c r="J594" i="10"/>
  <c r="K594" i="10" s="1"/>
  <c r="L605" i="10"/>
  <c r="L606" i="10"/>
  <c r="L640" i="10"/>
  <c r="J640" i="10"/>
  <c r="K640" i="10" s="1"/>
  <c r="K666" i="10"/>
  <c r="M666" i="10"/>
  <c r="L666" i="10"/>
  <c r="M668" i="10"/>
  <c r="L668" i="10"/>
  <c r="J668" i="10"/>
  <c r="K668" i="10" s="1"/>
  <c r="L690" i="10"/>
  <c r="J703" i="10"/>
  <c r="K703" i="10" s="1"/>
  <c r="M703" i="10"/>
  <c r="L758" i="10"/>
  <c r="J758" i="10"/>
  <c r="K758" i="10" s="1"/>
  <c r="M628" i="10"/>
  <c r="L628" i="10"/>
  <c r="K628" i="10"/>
  <c r="L634" i="10"/>
  <c r="L665" i="10"/>
  <c r="J665" i="10"/>
  <c r="K665" i="10" s="1"/>
  <c r="J675" i="10"/>
  <c r="K675" i="10" s="1"/>
  <c r="L679" i="10"/>
  <c r="M679" i="10"/>
  <c r="M682" i="10"/>
  <c r="J682" i="10"/>
  <c r="K682" i="10" s="1"/>
  <c r="L683" i="10"/>
  <c r="J683" i="10"/>
  <c r="K683" i="10" s="1"/>
  <c r="M683" i="10"/>
  <c r="M724" i="10"/>
  <c r="J724" i="10"/>
  <c r="K724" i="10" s="1"/>
  <c r="M734" i="10"/>
  <c r="I558" i="10"/>
  <c r="L577" i="10"/>
  <c r="L578" i="10"/>
  <c r="J582" i="10"/>
  <c r="L593" i="10"/>
  <c r="L594" i="10"/>
  <c r="J598" i="10"/>
  <c r="I618" i="10"/>
  <c r="M621" i="10"/>
  <c r="J621" i="10"/>
  <c r="K621" i="10" s="1"/>
  <c r="J625" i="10"/>
  <c r="K625" i="10" s="1"/>
  <c r="L673" i="10"/>
  <c r="K673" i="10"/>
  <c r="K613" i="10"/>
  <c r="L621" i="10"/>
  <c r="J630" i="10"/>
  <c r="K630" i="10" s="1"/>
  <c r="M631" i="10"/>
  <c r="J631" i="10"/>
  <c r="K631" i="10" s="1"/>
  <c r="M641" i="10"/>
  <c r="L641" i="10"/>
  <c r="J641" i="10"/>
  <c r="K641" i="10" s="1"/>
  <c r="J643" i="10"/>
  <c r="J663" i="10"/>
  <c r="K663" i="10" s="1"/>
  <c r="L695" i="10"/>
  <c r="M695" i="10"/>
  <c r="J695" i="10"/>
  <c r="K695" i="10" s="1"/>
  <c r="K747" i="10"/>
  <c r="L747" i="10"/>
  <c r="M747" i="10"/>
  <c r="L581" i="10"/>
  <c r="L597" i="10"/>
  <c r="M613" i="10"/>
  <c r="I632" i="10"/>
  <c r="M645" i="10"/>
  <c r="L645" i="10"/>
  <c r="J645" i="10"/>
  <c r="K645" i="10" s="1"/>
  <c r="M649" i="10"/>
  <c r="M650" i="10"/>
  <c r="L650" i="10"/>
  <c r="J650" i="10"/>
  <c r="K650" i="10" s="1"/>
  <c r="J652" i="10"/>
  <c r="K652" i="10" s="1"/>
  <c r="M672" i="10"/>
  <c r="L696" i="10"/>
  <c r="J707" i="10"/>
  <c r="K707" i="10" s="1"/>
  <c r="J649" i="10"/>
  <c r="K649" i="10" s="1"/>
  <c r="L670" i="10"/>
  <c r="M673" i="10"/>
  <c r="J674" i="10"/>
  <c r="L678" i="10"/>
  <c r="L688" i="10"/>
  <c r="J705" i="10"/>
  <c r="K705" i="10" s="1"/>
  <c r="J709" i="10"/>
  <c r="K709" i="10" s="1"/>
  <c r="M716" i="10"/>
  <c r="L716" i="10"/>
  <c r="J716" i="10"/>
  <c r="K716" i="10" s="1"/>
  <c r="K718" i="10"/>
  <c r="L718" i="10"/>
  <c r="M739" i="10"/>
  <c r="M746" i="10"/>
  <c r="L746" i="10"/>
  <c r="J746" i="10"/>
  <c r="K746" i="10" s="1"/>
  <c r="J751" i="10"/>
  <c r="K751" i="10" s="1"/>
  <c r="J771" i="10"/>
  <c r="M773" i="10"/>
  <c r="L773" i="10"/>
  <c r="J773" i="10"/>
  <c r="K773" i="10" s="1"/>
  <c r="J788" i="10"/>
  <c r="K788" i="10" s="1"/>
  <c r="L788" i="10"/>
  <c r="M865" i="10"/>
  <c r="M626" i="10"/>
  <c r="M634" i="10"/>
  <c r="J672" i="10"/>
  <c r="K672" i="10" s="1"/>
  <c r="M694" i="10"/>
  <c r="J726" i="10"/>
  <c r="M733" i="10"/>
  <c r="L733" i="10"/>
  <c r="J733" i="10"/>
  <c r="K733" i="10" s="1"/>
  <c r="J742" i="10"/>
  <c r="K742" i="10" s="1"/>
  <c r="L768" i="10"/>
  <c r="J768" i="10"/>
  <c r="K768" i="10" s="1"/>
  <c r="M782" i="10"/>
  <c r="L782" i="10"/>
  <c r="J782" i="10"/>
  <c r="K782" i="10" s="1"/>
  <c r="M791" i="10"/>
  <c r="L791" i="10"/>
  <c r="K791" i="10"/>
  <c r="L681" i="10"/>
  <c r="J681" i="10"/>
  <c r="K681" i="10" s="1"/>
  <c r="M684" i="10"/>
  <c r="L687" i="10"/>
  <c r="K714" i="10"/>
  <c r="L714" i="10"/>
  <c r="J719" i="10"/>
  <c r="I735" i="10"/>
  <c r="J743" i="10"/>
  <c r="K743" i="10" s="1"/>
  <c r="J749" i="10"/>
  <c r="L752" i="10"/>
  <c r="J752" i="10"/>
  <c r="K752" i="10" s="1"/>
  <c r="L756" i="10"/>
  <c r="M756" i="10"/>
  <c r="J756" i="10"/>
  <c r="K756" i="10" s="1"/>
  <c r="J759" i="10"/>
  <c r="I765" i="10"/>
  <c r="M780" i="10"/>
  <c r="J780" i="10"/>
  <c r="K780" i="10" s="1"/>
  <c r="M796" i="10"/>
  <c r="J796" i="10"/>
  <c r="K796" i="10" s="1"/>
  <c r="L796" i="10"/>
  <c r="M837" i="10"/>
  <c r="L672" i="10"/>
  <c r="K676" i="10"/>
  <c r="J684" i="10"/>
  <c r="K684" i="10" s="1"/>
  <c r="M686" i="10"/>
  <c r="J687" i="10"/>
  <c r="K687" i="10" s="1"/>
  <c r="J690" i="10"/>
  <c r="K690" i="10" s="1"/>
  <c r="M708" i="10"/>
  <c r="L708" i="10"/>
  <c r="J708" i="10"/>
  <c r="K708" i="10" s="1"/>
  <c r="M712" i="10"/>
  <c r="L712" i="10"/>
  <c r="J712" i="10"/>
  <c r="K712" i="10" s="1"/>
  <c r="J734" i="10"/>
  <c r="K734" i="10" s="1"/>
  <c r="J737" i="10"/>
  <c r="K737" i="10" s="1"/>
  <c r="M737" i="10"/>
  <c r="J766" i="10"/>
  <c r="K766" i="10" s="1"/>
  <c r="M766" i="10"/>
  <c r="L766" i="10"/>
  <c r="J824" i="10"/>
  <c r="K824" i="10" s="1"/>
  <c r="K627" i="10"/>
  <c r="K635" i="10"/>
  <c r="K653" i="10"/>
  <c r="K656" i="10"/>
  <c r="M680" i="10"/>
  <c r="M681" i="10"/>
  <c r="J696" i="10"/>
  <c r="M698" i="10"/>
  <c r="L701" i="10"/>
  <c r="K706" i="10"/>
  <c r="K710" i="10"/>
  <c r="M720" i="10"/>
  <c r="L720" i="10"/>
  <c r="J720" i="10"/>
  <c r="K720" i="10" s="1"/>
  <c r="M728" i="10"/>
  <c r="L728" i="10"/>
  <c r="J728" i="10"/>
  <c r="K728" i="10" s="1"/>
  <c r="J730" i="10"/>
  <c r="L730" i="10" s="1"/>
  <c r="M738" i="10"/>
  <c r="L738" i="10"/>
  <c r="J738" i="10"/>
  <c r="K738" i="10" s="1"/>
  <c r="I745" i="10"/>
  <c r="L754" i="10"/>
  <c r="J754" i="10"/>
  <c r="K754" i="10" s="1"/>
  <c r="M768" i="10"/>
  <c r="M790" i="10"/>
  <c r="L790" i="10"/>
  <c r="J790" i="10"/>
  <c r="K790" i="10" s="1"/>
  <c r="L825" i="10"/>
  <c r="L627" i="10"/>
  <c r="L635" i="10"/>
  <c r="M660" i="10"/>
  <c r="M676" i="10"/>
  <c r="L677" i="10"/>
  <c r="M687" i="10"/>
  <c r="L693" i="10"/>
  <c r="L700" i="10"/>
  <c r="L702" i="10"/>
  <c r="J702" i="10"/>
  <c r="M715" i="10"/>
  <c r="L715" i="10"/>
  <c r="J715" i="10"/>
  <c r="K715" i="10" s="1"/>
  <c r="J722" i="10"/>
  <c r="K722" i="10" s="1"/>
  <c r="M731" i="10"/>
  <c r="L731" i="10"/>
  <c r="J731" i="10"/>
  <c r="K731" i="10" s="1"/>
  <c r="M736" i="10"/>
  <c r="L736" i="10"/>
  <c r="J736" i="10"/>
  <c r="K736" i="10" s="1"/>
  <c r="I750" i="10"/>
  <c r="J757" i="10"/>
  <c r="J775" i="10"/>
  <c r="J777" i="10"/>
  <c r="K777" i="10" s="1"/>
  <c r="J801" i="10"/>
  <c r="K801" i="10" s="1"/>
  <c r="L801" i="10"/>
  <c r="M690" i="10"/>
  <c r="L697" i="10"/>
  <c r="J697" i="10"/>
  <c r="L713" i="10"/>
  <c r="M723" i="10"/>
  <c r="J723" i="10"/>
  <c r="K723" i="10" s="1"/>
  <c r="M732" i="10"/>
  <c r="L732" i="10"/>
  <c r="J732" i="10"/>
  <c r="K732" i="10" s="1"/>
  <c r="J740" i="10"/>
  <c r="K740" i="10" s="1"/>
  <c r="L740" i="10"/>
  <c r="M760" i="10"/>
  <c r="K761" i="10"/>
  <c r="L761" i="10"/>
  <c r="L774" i="10"/>
  <c r="M774" i="10"/>
  <c r="J774" i="10"/>
  <c r="K774" i="10" s="1"/>
  <c r="M800" i="10"/>
  <c r="J805" i="10"/>
  <c r="K805" i="10" s="1"/>
  <c r="M811" i="10"/>
  <c r="J811" i="10"/>
  <c r="K811" i="10" s="1"/>
  <c r="L814" i="10"/>
  <c r="M814" i="10"/>
  <c r="J814" i="10"/>
  <c r="K814" i="10" s="1"/>
  <c r="J713" i="10"/>
  <c r="M744" i="10"/>
  <c r="L755" i="10"/>
  <c r="M763" i="10"/>
  <c r="M786" i="10"/>
  <c r="M794" i="10"/>
  <c r="L841" i="10"/>
  <c r="J841" i="10"/>
  <c r="K841" i="10" s="1"/>
  <c r="M844" i="10"/>
  <c r="L844" i="10"/>
  <c r="M852" i="10"/>
  <c r="L852" i="10"/>
  <c r="L855" i="10"/>
  <c r="J855" i="10"/>
  <c r="K855" i="10" s="1"/>
  <c r="L778" i="10"/>
  <c r="M809" i="10"/>
  <c r="J809" i="10"/>
  <c r="K809" i="10" s="1"/>
  <c r="J817" i="10"/>
  <c r="J829" i="10"/>
  <c r="K829" i="10" s="1"/>
  <c r="L843" i="10"/>
  <c r="J843" i="10"/>
  <c r="K843" i="10" s="1"/>
  <c r="J864" i="10"/>
  <c r="K864" i="10" s="1"/>
  <c r="L864" i="10"/>
  <c r="M877" i="10"/>
  <c r="J877" i="10"/>
  <c r="K877" i="10" s="1"/>
  <c r="M885" i="10"/>
  <c r="L885" i="10"/>
  <c r="J885" i="10"/>
  <c r="K885" i="10" s="1"/>
  <c r="J895" i="10"/>
  <c r="L753" i="10"/>
  <c r="L767" i="10"/>
  <c r="J770" i="10"/>
  <c r="K770" i="10" s="1"/>
  <c r="L776" i="10"/>
  <c r="J778" i="10"/>
  <c r="K778" i="10" s="1"/>
  <c r="K781" i="10"/>
  <c r="I785" i="10"/>
  <c r="K789" i="10"/>
  <c r="G790" i="10"/>
  <c r="K797" i="10"/>
  <c r="L802" i="10"/>
  <c r="J803" i="10"/>
  <c r="K803" i="10" s="1"/>
  <c r="K812" i="10"/>
  <c r="L818" i="10"/>
  <c r="M821" i="10"/>
  <c r="J821" i="10"/>
  <c r="L823" i="10"/>
  <c r="K830" i="10"/>
  <c r="J835" i="10"/>
  <c r="I861" i="10"/>
  <c r="M870" i="10"/>
  <c r="J870" i="10"/>
  <c r="K870" i="10" s="1"/>
  <c r="M894" i="10"/>
  <c r="L894" i="10"/>
  <c r="J894" i="10"/>
  <c r="K894" i="10" s="1"/>
  <c r="L739" i="10"/>
  <c r="L744" i="10"/>
  <c r="M755" i="10"/>
  <c r="L760" i="10"/>
  <c r="L763" i="10"/>
  <c r="J779" i="10"/>
  <c r="K779" i="10" s="1"/>
  <c r="L781" i="10"/>
  <c r="J784" i="10"/>
  <c r="K784" i="10" s="1"/>
  <c r="L786" i="10"/>
  <c r="L789" i="10"/>
  <c r="J792" i="10"/>
  <c r="K792" i="10" s="1"/>
  <c r="G793" i="10"/>
  <c r="L794" i="10"/>
  <c r="L797" i="10"/>
  <c r="J800" i="10"/>
  <c r="K800" i="10" s="1"/>
  <c r="K806" i="10"/>
  <c r="L809" i="10"/>
  <c r="L812" i="10"/>
  <c r="M813" i="10"/>
  <c r="J813" i="10"/>
  <c r="K813" i="10" s="1"/>
  <c r="L822" i="10"/>
  <c r="M825" i="10"/>
  <c r="J825" i="10"/>
  <c r="K825" i="10" s="1"/>
  <c r="L830" i="10"/>
  <c r="M847" i="10"/>
  <c r="J847" i="10"/>
  <c r="K847" i="10" s="1"/>
  <c r="L921" i="10"/>
  <c r="M921" i="10"/>
  <c r="J921" i="10"/>
  <c r="K921" i="10" s="1"/>
  <c r="J727" i="10"/>
  <c r="K727" i="10" s="1"/>
  <c r="L770" i="10"/>
  <c r="M778" i="10"/>
  <c r="G788" i="10"/>
  <c r="G796" i="10"/>
  <c r="L803" i="10"/>
  <c r="L806" i="10"/>
  <c r="M807" i="10"/>
  <c r="J807" i="10"/>
  <c r="K807" i="10" s="1"/>
  <c r="L816" i="10"/>
  <c r="M818" i="10"/>
  <c r="K826" i="10"/>
  <c r="M831" i="10"/>
  <c r="J831" i="10"/>
  <c r="I856" i="10"/>
  <c r="J858" i="10"/>
  <c r="K858" i="10" s="1"/>
  <c r="L875" i="10"/>
  <c r="J882" i="10"/>
  <c r="K882" i="10" s="1"/>
  <c r="L896" i="10"/>
  <c r="M896" i="10"/>
  <c r="J896" i="10"/>
  <c r="K896" i="10" s="1"/>
  <c r="J902" i="10"/>
  <c r="M904" i="10"/>
  <c r="J904" i="10"/>
  <c r="K904" i="10" s="1"/>
  <c r="L910" i="10"/>
  <c r="J910" i="10"/>
  <c r="J912" i="10"/>
  <c r="J923" i="10"/>
  <c r="K923" i="10" s="1"/>
  <c r="L928" i="10"/>
  <c r="M928" i="10"/>
  <c r="J928" i="10"/>
  <c r="K928" i="10" s="1"/>
  <c r="L741" i="10"/>
  <c r="M753" i="10"/>
  <c r="M776" i="10"/>
  <c r="L779" i="10"/>
  <c r="L787" i="10"/>
  <c r="G791" i="10"/>
  <c r="L792" i="10"/>
  <c r="J793" i="10"/>
  <c r="L795" i="10"/>
  <c r="L800" i="10"/>
  <c r="K810" i="10"/>
  <c r="L820" i="10"/>
  <c r="M822" i="10"/>
  <c r="L826" i="10"/>
  <c r="K832" i="10"/>
  <c r="M838" i="10"/>
  <c r="L838" i="10"/>
  <c r="G839" i="10"/>
  <c r="I853" i="10"/>
  <c r="M860" i="10"/>
  <c r="L860" i="10"/>
  <c r="M863" i="10"/>
  <c r="L863" i="10"/>
  <c r="J863" i="10"/>
  <c r="K863" i="10" s="1"/>
  <c r="J873" i="10"/>
  <c r="J884" i="10"/>
  <c r="K884" i="10" s="1"/>
  <c r="I899" i="10"/>
  <c r="L901" i="10"/>
  <c r="J901" i="10"/>
  <c r="K901" i="10" s="1"/>
  <c r="I907" i="10"/>
  <c r="L909" i="10"/>
  <c r="M909" i="10"/>
  <c r="J909" i="10"/>
  <c r="K909" i="10" s="1"/>
  <c r="L915" i="10"/>
  <c r="M915" i="10"/>
  <c r="J915" i="10"/>
  <c r="K915" i="10" s="1"/>
  <c r="L917" i="10"/>
  <c r="M917" i="10"/>
  <c r="J917" i="10"/>
  <c r="K917" i="10" s="1"/>
  <c r="J918" i="10"/>
  <c r="K918" i="10" s="1"/>
  <c r="M937" i="10"/>
  <c r="L727" i="10"/>
  <c r="L769" i="10"/>
  <c r="L798" i="10"/>
  <c r="L807" i="10"/>
  <c r="L810" i="10"/>
  <c r="J827" i="10"/>
  <c r="L832" i="10"/>
  <c r="J837" i="10"/>
  <c r="K837" i="10" s="1"/>
  <c r="M840" i="10"/>
  <c r="L840" i="10"/>
  <c r="M881" i="10"/>
  <c r="L881" i="10"/>
  <c r="J881" i="10"/>
  <c r="K881" i="10" s="1"/>
  <c r="J833" i="10"/>
  <c r="K833" i="10" s="1"/>
  <c r="L839" i="10"/>
  <c r="J839" i="10"/>
  <c r="J840" i="10"/>
  <c r="K840" i="10" s="1"/>
  <c r="M841" i="10"/>
  <c r="M842" i="10"/>
  <c r="L842" i="10"/>
  <c r="G843" i="10"/>
  <c r="I845" i="10"/>
  <c r="I848" i="10"/>
  <c r="J850" i="10"/>
  <c r="K850" i="10" s="1"/>
  <c r="L865" i="10"/>
  <c r="J865" i="10"/>
  <c r="K865" i="10" s="1"/>
  <c r="M874" i="10"/>
  <c r="M882" i="10"/>
  <c r="L886" i="10"/>
  <c r="M886" i="10"/>
  <c r="J886" i="10"/>
  <c r="K886" i="10" s="1"/>
  <c r="M900" i="10"/>
  <c r="L903" i="10"/>
  <c r="J903" i="10"/>
  <c r="K903" i="10" s="1"/>
  <c r="M908" i="10"/>
  <c r="L911" i="10"/>
  <c r="M911" i="10"/>
  <c r="J911" i="10"/>
  <c r="K911" i="10" s="1"/>
  <c r="J925" i="10"/>
  <c r="J932" i="10"/>
  <c r="K932" i="10" s="1"/>
  <c r="L962" i="10"/>
  <c r="J962" i="10"/>
  <c r="K962" i="10" s="1"/>
  <c r="J970" i="10"/>
  <c r="L983" i="10"/>
  <c r="M983" i="10"/>
  <c r="J983" i="10"/>
  <c r="K983" i="10" s="1"/>
  <c r="J989" i="10"/>
  <c r="K989" i="10" s="1"/>
  <c r="J997" i="10"/>
  <c r="M1000" i="10"/>
  <c r="K1000" i="10"/>
  <c r="L849" i="10"/>
  <c r="L857" i="10"/>
  <c r="J867" i="10"/>
  <c r="K867" i="10" s="1"/>
  <c r="J875" i="10"/>
  <c r="K875" i="10" s="1"/>
  <c r="I888" i="10"/>
  <c r="M891" i="10"/>
  <c r="L893" i="10"/>
  <c r="L906" i="10"/>
  <c r="L920" i="10"/>
  <c r="L927" i="10"/>
  <c r="L930" i="10"/>
  <c r="J934" i="10"/>
  <c r="L944" i="10"/>
  <c r="J944" i="10"/>
  <c r="K944" i="10" s="1"/>
  <c r="I947" i="10"/>
  <c r="M951" i="10"/>
  <c r="I952" i="10"/>
  <c r="L975" i="10"/>
  <c r="M975" i="10"/>
  <c r="J975" i="10"/>
  <c r="K975" i="10" s="1"/>
  <c r="J871" i="10"/>
  <c r="K871" i="10" s="1"/>
  <c r="J887" i="10"/>
  <c r="K887" i="10" s="1"/>
  <c r="J898" i="10"/>
  <c r="J906" i="10"/>
  <c r="K906" i="10" s="1"/>
  <c r="J914" i="10"/>
  <c r="K914" i="10" s="1"/>
  <c r="M920" i="10"/>
  <c r="L922" i="10"/>
  <c r="M930" i="10"/>
  <c r="J940" i="10"/>
  <c r="L967" i="10"/>
  <c r="M967" i="10"/>
  <c r="J967" i="10"/>
  <c r="K967" i="10" s="1"/>
  <c r="J981" i="10"/>
  <c r="K981" i="10" s="1"/>
  <c r="M981" i="10"/>
  <c r="M984" i="10"/>
  <c r="K984" i="10"/>
  <c r="J985" i="10"/>
  <c r="K985" i="10" s="1"/>
  <c r="M986" i="10"/>
  <c r="L986" i="10"/>
  <c r="L880" i="10"/>
  <c r="I889" i="10"/>
  <c r="L892" i="10"/>
  <c r="G918" i="10"/>
  <c r="K919" i="10"/>
  <c r="M922" i="10"/>
  <c r="G923" i="10"/>
  <c r="L924" i="10"/>
  <c r="G928" i="10"/>
  <c r="K929" i="10"/>
  <c r="H931" i="10"/>
  <c r="G933" i="10"/>
  <c r="H937" i="10"/>
  <c r="G937" i="10"/>
  <c r="J965" i="10"/>
  <c r="K965" i="10" s="1"/>
  <c r="M965" i="10"/>
  <c r="L965" i="10"/>
  <c r="J973" i="10"/>
  <c r="K973" i="10" s="1"/>
  <c r="M976" i="10"/>
  <c r="K976" i="10"/>
  <c r="J977" i="10"/>
  <c r="K977" i="10" s="1"/>
  <c r="M977" i="10"/>
  <c r="L977" i="10"/>
  <c r="M980" i="10"/>
  <c r="L984" i="10"/>
  <c r="L876" i="10"/>
  <c r="M880" i="10"/>
  <c r="I883" i="10"/>
  <c r="M892" i="10"/>
  <c r="M906" i="10"/>
  <c r="M924" i="10"/>
  <c r="L926" i="10"/>
  <c r="J931" i="10"/>
  <c r="H935" i="10"/>
  <c r="J937" i="10"/>
  <c r="K937" i="10" s="1"/>
  <c r="L953" i="10"/>
  <c r="M953" i="10"/>
  <c r="J953" i="10"/>
  <c r="K953" i="10" s="1"/>
  <c r="M968" i="10"/>
  <c r="K968" i="10"/>
  <c r="J969" i="10"/>
  <c r="L969" i="10"/>
  <c r="L982" i="10"/>
  <c r="J982" i="10"/>
  <c r="K982" i="10" s="1"/>
  <c r="J991" i="10"/>
  <c r="L991" i="10" s="1"/>
  <c r="I992" i="10"/>
  <c r="L872" i="10"/>
  <c r="M876" i="10"/>
  <c r="I879" i="10"/>
  <c r="L890" i="10"/>
  <c r="M919" i="10"/>
  <c r="M926" i="10"/>
  <c r="M929" i="10"/>
  <c r="J933" i="10"/>
  <c r="M933" i="10" s="1"/>
  <c r="L938" i="10"/>
  <c r="J938" i="10"/>
  <c r="M944" i="10"/>
  <c r="M948" i="10"/>
  <c r="L948" i="10"/>
  <c r="J948" i="10"/>
  <c r="K948" i="10" s="1"/>
  <c r="L950" i="10"/>
  <c r="M950" i="10"/>
  <c r="J950" i="10"/>
  <c r="K950" i="10" s="1"/>
  <c r="M955" i="10"/>
  <c r="M956" i="10"/>
  <c r="J956" i="10"/>
  <c r="L968" i="10"/>
  <c r="J974" i="10"/>
  <c r="J986" i="10"/>
  <c r="K986" i="10" s="1"/>
  <c r="I999" i="10"/>
  <c r="M875" i="10"/>
  <c r="L878" i="10"/>
  <c r="L897" i="10"/>
  <c r="L905" i="10"/>
  <c r="L913" i="10"/>
  <c r="L937" i="10"/>
  <c r="L941" i="10"/>
  <c r="M941" i="10"/>
  <c r="M954" i="10"/>
  <c r="K954" i="10"/>
  <c r="L866" i="10"/>
  <c r="M871" i="10"/>
  <c r="L874" i="10"/>
  <c r="L900" i="10"/>
  <c r="L908" i="10"/>
  <c r="L916" i="10"/>
  <c r="M946" i="10"/>
  <c r="L960" i="10"/>
  <c r="M960" i="10"/>
  <c r="J960" i="10"/>
  <c r="K960" i="10" s="1"/>
  <c r="L978" i="10"/>
  <c r="J978" i="10"/>
  <c r="K978" i="10" s="1"/>
  <c r="M978" i="10"/>
  <c r="J993" i="10"/>
  <c r="L993" i="10"/>
  <c r="M957" i="10"/>
  <c r="L1000" i="10"/>
  <c r="M1004" i="10"/>
  <c r="L1004" i="10"/>
  <c r="M1010" i="10"/>
  <c r="L1010" i="10"/>
  <c r="H1017" i="10"/>
  <c r="G1017" i="10"/>
  <c r="H1019" i="10"/>
  <c r="G1019" i="10"/>
  <c r="M1028" i="10"/>
  <c r="J1029" i="10"/>
  <c r="H1067" i="10"/>
  <c r="G1067" i="10"/>
  <c r="M1082" i="10"/>
  <c r="L1082" i="10"/>
  <c r="J1082" i="10"/>
  <c r="K1082" i="10" s="1"/>
  <c r="M1049" i="10"/>
  <c r="L1049" i="10"/>
  <c r="J1049" i="10"/>
  <c r="K1049" i="10" s="1"/>
  <c r="M1058" i="10"/>
  <c r="L1058" i="10"/>
  <c r="J1058" i="10"/>
  <c r="K1058" i="10" s="1"/>
  <c r="J1067" i="10"/>
  <c r="M1087" i="10"/>
  <c r="K1087" i="10"/>
  <c r="M1116" i="10"/>
  <c r="L1116" i="10"/>
  <c r="J1116" i="10"/>
  <c r="K1116" i="10" s="1"/>
  <c r="I961" i="10"/>
  <c r="M994" i="10"/>
  <c r="J1007" i="10"/>
  <c r="K1007" i="10" s="1"/>
  <c r="L1007" i="10"/>
  <c r="K1012" i="10"/>
  <c r="K1016" i="10"/>
  <c r="L1017" i="10"/>
  <c r="J1017" i="10"/>
  <c r="K1017" i="10" s="1"/>
  <c r="J1019" i="10"/>
  <c r="M1019" i="10" s="1"/>
  <c r="L1020" i="10"/>
  <c r="J1020" i="10"/>
  <c r="J1021" i="10"/>
  <c r="J1022" i="10"/>
  <c r="J1033" i="10"/>
  <c r="L1033" i="10"/>
  <c r="M1035" i="10"/>
  <c r="L1035" i="10"/>
  <c r="J1035" i="10"/>
  <c r="K1035" i="10" s="1"/>
  <c r="M1043" i="10"/>
  <c r="L1043" i="10"/>
  <c r="J1043" i="10"/>
  <c r="K1043" i="10" s="1"/>
  <c r="L939" i="10"/>
  <c r="J943" i="10"/>
  <c r="L946" i="10"/>
  <c r="L951" i="10"/>
  <c r="J955" i="10"/>
  <c r="J964" i="10"/>
  <c r="J972" i="10"/>
  <c r="M972" i="10" s="1"/>
  <c r="J980" i="10"/>
  <c r="L998" i="10"/>
  <c r="J1001" i="10"/>
  <c r="L1001" i="10" s="1"/>
  <c r="M1016" i="10"/>
  <c r="M1018" i="10"/>
  <c r="L1018" i="10"/>
  <c r="J1025" i="10"/>
  <c r="K1025" i="10" s="1"/>
  <c r="J1027" i="10"/>
  <c r="M1047" i="10"/>
  <c r="J1047" i="10"/>
  <c r="K1047" i="10" s="1"/>
  <c r="L1047" i="10"/>
  <c r="L1056" i="10"/>
  <c r="I988" i="10"/>
  <c r="J998" i="10"/>
  <c r="K998" i="10" s="1"/>
  <c r="I1003" i="10"/>
  <c r="J1006" i="10"/>
  <c r="I1009" i="10"/>
  <c r="K1014" i="10"/>
  <c r="M1014" i="10"/>
  <c r="H1038" i="10"/>
  <c r="G1038" i="10"/>
  <c r="J1041" i="10"/>
  <c r="L1041" i="10"/>
  <c r="H1046" i="10"/>
  <c r="G1046" i="10"/>
  <c r="J1051" i="10"/>
  <c r="J959" i="10"/>
  <c r="J966" i="10"/>
  <c r="L971" i="10"/>
  <c r="L979" i="10"/>
  <c r="L1014" i="10"/>
  <c r="H1030" i="10"/>
  <c r="G1030" i="10"/>
  <c r="M1046" i="10"/>
  <c r="M1050" i="10"/>
  <c r="L1050" i="10"/>
  <c r="J1050" i="10"/>
  <c r="K1050" i="10" s="1"/>
  <c r="M1066" i="10"/>
  <c r="L1066" i="10"/>
  <c r="J1066" i="10"/>
  <c r="K1066" i="10" s="1"/>
  <c r="I958" i="10"/>
  <c r="J963" i="10"/>
  <c r="L963" i="10" s="1"/>
  <c r="J971" i="10"/>
  <c r="J979" i="10"/>
  <c r="K979" i="10" s="1"/>
  <c r="M987" i="10"/>
  <c r="L994" i="10"/>
  <c r="L996" i="10"/>
  <c r="J1002" i="10"/>
  <c r="M1007" i="10"/>
  <c r="M1008" i="10"/>
  <c r="I1011" i="10"/>
  <c r="L1039" i="10"/>
  <c r="J1059" i="10"/>
  <c r="M1059" i="10" s="1"/>
  <c r="L995" i="10"/>
  <c r="J1005" i="10"/>
  <c r="J1008" i="10"/>
  <c r="M1036" i="10"/>
  <c r="M1037" i="10"/>
  <c r="L1037" i="10"/>
  <c r="J1037" i="10"/>
  <c r="K1037" i="10" s="1"/>
  <c r="M1044" i="10"/>
  <c r="J1045" i="10"/>
  <c r="K1048" i="10"/>
  <c r="M1048" i="10"/>
  <c r="J1074" i="10"/>
  <c r="M1012" i="10"/>
  <c r="M1015" i="10"/>
  <c r="L1023" i="10"/>
  <c r="L1028" i="10"/>
  <c r="J1031" i="10"/>
  <c r="L1036" i="10"/>
  <c r="J1039" i="10"/>
  <c r="K1039" i="10" s="1"/>
  <c r="L1044" i="10"/>
  <c r="H1058" i="10"/>
  <c r="G1059" i="10"/>
  <c r="H1060" i="10"/>
  <c r="J1077" i="10"/>
  <c r="K1079" i="10"/>
  <c r="M1080" i="10"/>
  <c r="J1080" i="10"/>
  <c r="J1085" i="10"/>
  <c r="L1087" i="10"/>
  <c r="J1089" i="10"/>
  <c r="J1091" i="10"/>
  <c r="J1094" i="10"/>
  <c r="M1114" i="10"/>
  <c r="L1114" i="10"/>
  <c r="J1114" i="10"/>
  <c r="K1114" i="10" s="1"/>
  <c r="L1042" i="10"/>
  <c r="M1056" i="10"/>
  <c r="L1061" i="10"/>
  <c r="J1061" i="10"/>
  <c r="K1061" i="10" s="1"/>
  <c r="H1066" i="10"/>
  <c r="G1066" i="10"/>
  <c r="L1069" i="10"/>
  <c r="J1069" i="10"/>
  <c r="K1069" i="10" s="1"/>
  <c r="H1074" i="10"/>
  <c r="G1074" i="10"/>
  <c r="J1076" i="10"/>
  <c r="M1097" i="10"/>
  <c r="G1021" i="10"/>
  <c r="K1024" i="10"/>
  <c r="G1025" i="10"/>
  <c r="K1032" i="10"/>
  <c r="G1033" i="10"/>
  <c r="K1040" i="10"/>
  <c r="G1041" i="10"/>
  <c r="G1051" i="10"/>
  <c r="H1052" i="10"/>
  <c r="M1057" i="10"/>
  <c r="J1075" i="10"/>
  <c r="M1101" i="10"/>
  <c r="J1104" i="10"/>
  <c r="J1013" i="10"/>
  <c r="L1013" i="10" s="1"/>
  <c r="L1024" i="10"/>
  <c r="G1028" i="10"/>
  <c r="J1030" i="10"/>
  <c r="L1030" i="10" s="1"/>
  <c r="L1032" i="10"/>
  <c r="G1036" i="10"/>
  <c r="L1040" i="10"/>
  <c r="G1044" i="10"/>
  <c r="J1046" i="10"/>
  <c r="K1046" i="10" s="1"/>
  <c r="J1052" i="10"/>
  <c r="K1052" i="10" s="1"/>
  <c r="H1054" i="10"/>
  <c r="M1060" i="10"/>
  <c r="M1061" i="10"/>
  <c r="L1062" i="10"/>
  <c r="J1068" i="10"/>
  <c r="K1068" i="10" s="1"/>
  <c r="M1068" i="10"/>
  <c r="M1069" i="10"/>
  <c r="L1070" i="10"/>
  <c r="J1083" i="10"/>
  <c r="J1100" i="10"/>
  <c r="M1100" i="10"/>
  <c r="J1102" i="10"/>
  <c r="M1106" i="10"/>
  <c r="L1106" i="10"/>
  <c r="J1106" i="10"/>
  <c r="K1106" i="10" s="1"/>
  <c r="L1053" i="10"/>
  <c r="J1053" i="10"/>
  <c r="L1064" i="10"/>
  <c r="L1065" i="10"/>
  <c r="L1072" i="10"/>
  <c r="L1073" i="10"/>
  <c r="H1078" i="10"/>
  <c r="G1078" i="10"/>
  <c r="I1086" i="10"/>
  <c r="I1090" i="10"/>
  <c r="H1092" i="10"/>
  <c r="G1092" i="10"/>
  <c r="J1108" i="10"/>
  <c r="L1055" i="10"/>
  <c r="M1064" i="10"/>
  <c r="M1065" i="10"/>
  <c r="M1072" i="10"/>
  <c r="M1073" i="10"/>
  <c r="J1078" i="10"/>
  <c r="L1079" i="10"/>
  <c r="M1088" i="10"/>
  <c r="J1088" i="10"/>
  <c r="J1093" i="10"/>
  <c r="J1110" i="10"/>
  <c r="M1039" i="10"/>
  <c r="M1052" i="10"/>
  <c r="M1092" i="10"/>
  <c r="L1092" i="10"/>
  <c r="M1112" i="10"/>
  <c r="L1112" i="10"/>
  <c r="J1112" i="10"/>
  <c r="K1112" i="10" s="1"/>
  <c r="J1095" i="10"/>
  <c r="J1097" i="10"/>
  <c r="J1099" i="10"/>
  <c r="K1099" i="10" s="1"/>
  <c r="L1099" i="10"/>
  <c r="G1100" i="10"/>
  <c r="J1101" i="10"/>
  <c r="K1101" i="10" s="1"/>
  <c r="L1101" i="10"/>
  <c r="L1103" i="10"/>
  <c r="L1105" i="10"/>
  <c r="L1107" i="10"/>
  <c r="L1109" i="10"/>
  <c r="L1111" i="10"/>
  <c r="L1113" i="10"/>
  <c r="L1115" i="10"/>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M1005" i="10" l="1"/>
  <c r="K1005" i="10"/>
  <c r="L1005" i="10"/>
  <c r="K1022" i="10"/>
  <c r="M1022" i="10"/>
  <c r="K159" i="10"/>
  <c r="L159" i="10"/>
  <c r="M159" i="10"/>
  <c r="M988" i="10"/>
  <c r="J988" i="10"/>
  <c r="K988" i="10" s="1"/>
  <c r="L988" i="10"/>
  <c r="L1022" i="10"/>
  <c r="K931" i="10"/>
  <c r="M931" i="10"/>
  <c r="K895" i="10"/>
  <c r="M895" i="10"/>
  <c r="L895" i="10"/>
  <c r="J1086" i="10"/>
  <c r="K1086" i="10" s="1"/>
  <c r="M1086" i="10"/>
  <c r="K1083" i="10"/>
  <c r="M1083" i="10"/>
  <c r="K1027" i="10"/>
  <c r="M1027" i="10"/>
  <c r="L1027" i="10"/>
  <c r="M943" i="10"/>
  <c r="K943" i="10"/>
  <c r="L943" i="10"/>
  <c r="K1088" i="10"/>
  <c r="L1088" i="10"/>
  <c r="L1046" i="10"/>
  <c r="L1083" i="10"/>
  <c r="K1094" i="10"/>
  <c r="L1094" i="10"/>
  <c r="M1094" i="10"/>
  <c r="K1008" i="10"/>
  <c r="L1008" i="10"/>
  <c r="K971" i="10"/>
  <c r="M971" i="10"/>
  <c r="K966" i="10"/>
  <c r="M966" i="10"/>
  <c r="L966" i="10"/>
  <c r="K1041" i="10"/>
  <c r="M1041" i="10"/>
  <c r="L1025" i="10"/>
  <c r="K1033" i="10"/>
  <c r="M1033" i="10"/>
  <c r="K993" i="10"/>
  <c r="M993" i="10"/>
  <c r="K759" i="10"/>
  <c r="M759" i="10"/>
  <c r="L759" i="10"/>
  <c r="K643" i="10"/>
  <c r="M643" i="10"/>
  <c r="L643" i="10"/>
  <c r="K485" i="10"/>
  <c r="M485" i="10"/>
  <c r="L485" i="10"/>
  <c r="K452" i="10"/>
  <c r="L452" i="10"/>
  <c r="M452" i="10"/>
  <c r="K1108" i="10"/>
  <c r="L1108" i="10"/>
  <c r="K1077" i="10"/>
  <c r="M1077" i="10"/>
  <c r="K472" i="10"/>
  <c r="M472" i="10"/>
  <c r="L472" i="10"/>
  <c r="K211" i="10"/>
  <c r="M211" i="10"/>
  <c r="L211" i="10"/>
  <c r="K135" i="10"/>
  <c r="L135" i="10"/>
  <c r="M135" i="10"/>
  <c r="K222" i="10"/>
  <c r="L222" i="10"/>
  <c r="M222" i="10"/>
  <c r="K1076" i="10"/>
  <c r="L1076" i="10"/>
  <c r="M1076" i="10"/>
  <c r="K959" i="10"/>
  <c r="M959" i="10"/>
  <c r="L959" i="10"/>
  <c r="K1029" i="10"/>
  <c r="M1029" i="10"/>
  <c r="K775" i="10"/>
  <c r="M775" i="10"/>
  <c r="L775" i="10"/>
  <c r="K552" i="10"/>
  <c r="M552" i="10"/>
  <c r="L552" i="10"/>
  <c r="K337" i="10"/>
  <c r="M337" i="10"/>
  <c r="L337" i="10"/>
  <c r="K256" i="10"/>
  <c r="L256" i="10"/>
  <c r="M256" i="10"/>
  <c r="K105" i="10"/>
  <c r="M105" i="10"/>
  <c r="L105" i="10"/>
  <c r="K1031" i="10"/>
  <c r="M1031" i="10"/>
  <c r="J889" i="10"/>
  <c r="K889" i="10" s="1"/>
  <c r="K562" i="10"/>
  <c r="M562" i="10"/>
  <c r="L562" i="10"/>
  <c r="K309" i="10"/>
  <c r="M309" i="10"/>
  <c r="L309" i="10"/>
  <c r="L1077" i="10"/>
  <c r="K1089" i="10"/>
  <c r="M1089" i="10"/>
  <c r="L1089" i="10"/>
  <c r="L1068" i="10"/>
  <c r="K1002" i="10"/>
  <c r="M1002" i="10"/>
  <c r="K1051" i="10"/>
  <c r="M1051" i="10"/>
  <c r="L1031" i="10"/>
  <c r="L964" i="10"/>
  <c r="K964" i="10"/>
  <c r="M964" i="10"/>
  <c r="K1021" i="10"/>
  <c r="L1021" i="10"/>
  <c r="M1021" i="10"/>
  <c r="L1029" i="10"/>
  <c r="K974" i="10"/>
  <c r="M974" i="10"/>
  <c r="L931" i="10"/>
  <c r="M992" i="10"/>
  <c r="J992" i="10"/>
  <c r="K992" i="10" s="1"/>
  <c r="L992" i="10"/>
  <c r="K898" i="10"/>
  <c r="L898" i="10"/>
  <c r="M898" i="10"/>
  <c r="J785" i="10"/>
  <c r="K785" i="10" s="1"/>
  <c r="M785" i="10"/>
  <c r="K662" i="10"/>
  <c r="M662" i="10"/>
  <c r="L662" i="10"/>
  <c r="K608" i="10"/>
  <c r="L608" i="10"/>
  <c r="M608" i="10"/>
  <c r="K458" i="10"/>
  <c r="M458" i="10"/>
  <c r="L458" i="10"/>
  <c r="K392" i="10"/>
  <c r="L392" i="10"/>
  <c r="K453" i="10"/>
  <c r="L453" i="10"/>
  <c r="M453" i="10"/>
  <c r="K248" i="10"/>
  <c r="M248" i="10"/>
  <c r="L248" i="10"/>
  <c r="K152" i="10"/>
  <c r="M152" i="10"/>
  <c r="L152" i="10"/>
  <c r="K56" i="10"/>
  <c r="L56" i="10"/>
  <c r="M56" i="10"/>
  <c r="K35" i="10"/>
  <c r="M35" i="10"/>
  <c r="L35" i="10"/>
  <c r="K1045" i="10"/>
  <c r="L1045" i="10"/>
  <c r="K970" i="10"/>
  <c r="L970" i="10"/>
  <c r="M970" i="10"/>
  <c r="K497" i="10"/>
  <c r="L497" i="10"/>
  <c r="M497" i="10"/>
  <c r="K55" i="10"/>
  <c r="M55" i="10"/>
  <c r="L55" i="10"/>
  <c r="K95" i="10"/>
  <c r="L95" i="10"/>
  <c r="M95" i="10"/>
  <c r="K26" i="10"/>
  <c r="L26" i="10"/>
  <c r="M26" i="10"/>
  <c r="M1045" i="10"/>
  <c r="L972" i="10"/>
  <c r="K972" i="10"/>
  <c r="K933" i="10"/>
  <c r="L933" i="10"/>
  <c r="K1104" i="10"/>
  <c r="M1104" i="10"/>
  <c r="L1104" i="10"/>
  <c r="L1051" i="10"/>
  <c r="K1020" i="10"/>
  <c r="M1020" i="10"/>
  <c r="L974" i="10"/>
  <c r="K997" i="10"/>
  <c r="L997" i="10"/>
  <c r="M997" i="10"/>
  <c r="K726" i="10"/>
  <c r="M726" i="10"/>
  <c r="L726" i="10"/>
  <c r="L554" i="10"/>
  <c r="K554" i="10"/>
  <c r="M554" i="10"/>
  <c r="K532" i="10"/>
  <c r="M532" i="10"/>
  <c r="L532" i="10"/>
  <c r="M377" i="10"/>
  <c r="K377" i="10"/>
  <c r="L377" i="10"/>
  <c r="K391" i="10"/>
  <c r="L391" i="10"/>
  <c r="K260" i="10"/>
  <c r="M260" i="10"/>
  <c r="L260" i="10"/>
  <c r="M392" i="10"/>
  <c r="K129" i="10"/>
  <c r="M129" i="10"/>
  <c r="L129" i="10"/>
  <c r="M76" i="10"/>
  <c r="J76" i="10"/>
  <c r="K76" i="10" s="1"/>
  <c r="K83" i="10"/>
  <c r="M83" i="10"/>
  <c r="L83" i="10"/>
  <c r="K147" i="10"/>
  <c r="L147" i="10"/>
  <c r="M147" i="10"/>
  <c r="K40" i="10"/>
  <c r="L40" i="10"/>
  <c r="M40" i="10"/>
  <c r="M958" i="10"/>
  <c r="L958" i="10"/>
  <c r="J958" i="10"/>
  <c r="K958" i="10" s="1"/>
  <c r="K1078" i="10"/>
  <c r="M1078" i="10"/>
  <c r="L1078" i="10"/>
  <c r="K1095" i="10"/>
  <c r="L1095" i="10"/>
  <c r="M1095" i="10"/>
  <c r="K1085" i="10"/>
  <c r="M1085" i="10"/>
  <c r="L1085" i="10"/>
  <c r="L1002" i="10"/>
  <c r="K991" i="10"/>
  <c r="M991" i="10"/>
  <c r="K940" i="10"/>
  <c r="L940" i="10"/>
  <c r="M940" i="10"/>
  <c r="K925" i="10"/>
  <c r="L925" i="10"/>
  <c r="M925" i="10"/>
  <c r="K793" i="10"/>
  <c r="L793" i="10"/>
  <c r="M793" i="10"/>
  <c r="K817" i="10"/>
  <c r="M817" i="10"/>
  <c r="L817" i="10"/>
  <c r="L563" i="10"/>
  <c r="J563" i="10"/>
  <c r="K563" i="10" s="1"/>
  <c r="M518" i="10"/>
  <c r="K518" i="10"/>
  <c r="L518" i="10"/>
  <c r="K584" i="10"/>
  <c r="L584" i="10"/>
  <c r="M584" i="10"/>
  <c r="K252" i="10"/>
  <c r="M252" i="10"/>
  <c r="L252" i="10"/>
  <c r="K167" i="10"/>
  <c r="L167" i="10"/>
  <c r="M167" i="10"/>
  <c r="K240" i="10"/>
  <c r="M240" i="10"/>
  <c r="L240" i="10"/>
  <c r="K130" i="10"/>
  <c r="M130" i="10"/>
  <c r="L130" i="10"/>
  <c r="K97" i="10"/>
  <c r="M97" i="10"/>
  <c r="L97" i="10"/>
  <c r="K123" i="10"/>
  <c r="L123" i="10"/>
  <c r="M123" i="10"/>
  <c r="K73" i="10"/>
  <c r="L73" i="10"/>
  <c r="M73" i="10"/>
  <c r="K1091" i="10"/>
  <c r="M1091" i="10"/>
  <c r="K963" i="10"/>
  <c r="M963" i="10"/>
  <c r="J572" i="10"/>
  <c r="K572" i="10" s="1"/>
  <c r="M572" i="10"/>
  <c r="K487" i="10"/>
  <c r="M487" i="10"/>
  <c r="L487" i="10"/>
  <c r="K281" i="10"/>
  <c r="M281" i="10"/>
  <c r="L281" i="10"/>
  <c r="M1108" i="10"/>
  <c r="K969" i="10"/>
  <c r="M969" i="10"/>
  <c r="M1099" i="10"/>
  <c r="K1097" i="10"/>
  <c r="L1097" i="10"/>
  <c r="K1102" i="10"/>
  <c r="M1102" i="10"/>
  <c r="L1102" i="10"/>
  <c r="K1110" i="10"/>
  <c r="M1110" i="10"/>
  <c r="K1059" i="10"/>
  <c r="L1059" i="10"/>
  <c r="L1110" i="10"/>
  <c r="M1090" i="10"/>
  <c r="J1090" i="10"/>
  <c r="K1090" i="10" s="1"/>
  <c r="M1053" i="10"/>
  <c r="K1053" i="10"/>
  <c r="K1100" i="10"/>
  <c r="L1100" i="10"/>
  <c r="K1075" i="10"/>
  <c r="M1075" i="10"/>
  <c r="L1075" i="10"/>
  <c r="K1080" i="10"/>
  <c r="L1080" i="10"/>
  <c r="K1074" i="10"/>
  <c r="M1074" i="10"/>
  <c r="L1074" i="10"/>
  <c r="J1009" i="10"/>
  <c r="K1009" i="10" s="1"/>
  <c r="L1009" i="10"/>
  <c r="M1009" i="10"/>
  <c r="K1067" i="10"/>
  <c r="M1067" i="10"/>
  <c r="L1067" i="10"/>
  <c r="K956" i="10"/>
  <c r="L956" i="10"/>
  <c r="K934" i="10"/>
  <c r="M934" i="10"/>
  <c r="L934" i="10"/>
  <c r="K902" i="10"/>
  <c r="M902" i="10"/>
  <c r="L902" i="10"/>
  <c r="M861" i="10"/>
  <c r="J861" i="10"/>
  <c r="K861" i="10" s="1"/>
  <c r="K612" i="10"/>
  <c r="M612" i="10"/>
  <c r="L612" i="10"/>
  <c r="K568" i="10"/>
  <c r="L568" i="10"/>
  <c r="M568" i="10"/>
  <c r="K373" i="10"/>
  <c r="L373" i="10"/>
  <c r="AP343" i="10"/>
  <c r="AP346" i="10"/>
  <c r="AP345" i="10"/>
  <c r="AP344" i="10"/>
  <c r="K255" i="10"/>
  <c r="L255" i="10"/>
  <c r="M255" i="10"/>
  <c r="K243" i="10"/>
  <c r="L243" i="10"/>
  <c r="M243" i="10"/>
  <c r="K239" i="10"/>
  <c r="L239" i="10"/>
  <c r="M239" i="10"/>
  <c r="K345" i="10"/>
  <c r="L345" i="10"/>
  <c r="M345" i="10"/>
  <c r="K204" i="10"/>
  <c r="L204" i="10"/>
  <c r="M204" i="10"/>
  <c r="K277" i="10"/>
  <c r="M277" i="10"/>
  <c r="L277" i="10"/>
  <c r="K912" i="10"/>
  <c r="L912" i="10"/>
  <c r="M912" i="10"/>
  <c r="K719" i="10"/>
  <c r="M719" i="10"/>
  <c r="L719" i="10"/>
  <c r="K1013" i="10"/>
  <c r="M1013" i="10"/>
  <c r="L1091" i="10"/>
  <c r="M1025" i="10"/>
  <c r="K1093" i="10"/>
  <c r="M1093" i="10"/>
  <c r="L1093" i="10"/>
  <c r="M1030" i="10"/>
  <c r="K1030" i="10"/>
  <c r="K1006" i="10"/>
  <c r="M1006" i="10"/>
  <c r="L1006" i="10"/>
  <c r="K1001" i="10"/>
  <c r="M1001" i="10"/>
  <c r="K1019" i="10"/>
  <c r="L1019" i="10"/>
  <c r="M883" i="10"/>
  <c r="J883" i="10"/>
  <c r="K883" i="10" s="1"/>
  <c r="K771" i="10"/>
  <c r="L771" i="10"/>
  <c r="M771" i="10"/>
  <c r="K587" i="10"/>
  <c r="L587" i="10"/>
  <c r="M587" i="10"/>
  <c r="K506" i="10"/>
  <c r="L506" i="10"/>
  <c r="M506" i="10"/>
  <c r="K342" i="10"/>
  <c r="L342" i="10"/>
  <c r="M342" i="10"/>
  <c r="K115" i="10"/>
  <c r="L115" i="10"/>
  <c r="M115" i="10"/>
  <c r="M923" i="10"/>
  <c r="L829" i="10"/>
  <c r="M998" i="10"/>
  <c r="L980" i="10"/>
  <c r="K980" i="10"/>
  <c r="L1052" i="10"/>
  <c r="L867" i="10"/>
  <c r="L981" i="10"/>
  <c r="J952" i="10"/>
  <c r="K952" i="10" s="1"/>
  <c r="M952" i="10"/>
  <c r="J888" i="10"/>
  <c r="K888" i="10" s="1"/>
  <c r="M903" i="10"/>
  <c r="L837" i="10"/>
  <c r="M901" i="10"/>
  <c r="L923" i="10"/>
  <c r="L904" i="10"/>
  <c r="L882" i="10"/>
  <c r="L847" i="10"/>
  <c r="L870" i="10"/>
  <c r="L877" i="10"/>
  <c r="M829" i="10"/>
  <c r="M855" i="10"/>
  <c r="M805" i="10"/>
  <c r="L723" i="10"/>
  <c r="M843" i="10"/>
  <c r="K702" i="10"/>
  <c r="M702" i="10"/>
  <c r="M754" i="10"/>
  <c r="L765" i="10"/>
  <c r="J765" i="10"/>
  <c r="K765" i="10" s="1"/>
  <c r="M765" i="10"/>
  <c r="M752" i="10"/>
  <c r="M727" i="10"/>
  <c r="L707" i="10"/>
  <c r="L663" i="10"/>
  <c r="L631" i="10"/>
  <c r="L724" i="10"/>
  <c r="M665" i="10"/>
  <c r="M709" i="10"/>
  <c r="L689" i="10"/>
  <c r="L647" i="10"/>
  <c r="L699" i="10"/>
  <c r="L655" i="10"/>
  <c r="L616" i="10"/>
  <c r="M619" i="10"/>
  <c r="J566" i="10"/>
  <c r="K566" i="10" s="1"/>
  <c r="M566" i="10"/>
  <c r="L528" i="10"/>
  <c r="K538" i="10"/>
  <c r="M538" i="10"/>
  <c r="M550" i="10"/>
  <c r="J550" i="10"/>
  <c r="K550" i="10" s="1"/>
  <c r="L519" i="10"/>
  <c r="L567" i="10"/>
  <c r="M560" i="10"/>
  <c r="L599" i="10"/>
  <c r="L473" i="10"/>
  <c r="L437" i="10"/>
  <c r="M379" i="10"/>
  <c r="L526" i="10"/>
  <c r="L498" i="10"/>
  <c r="L438" i="10"/>
  <c r="J393" i="10"/>
  <c r="K393" i="10" s="1"/>
  <c r="L393" i="10"/>
  <c r="L509" i="10"/>
  <c r="M483" i="10"/>
  <c r="L445" i="10"/>
  <c r="L359" i="10"/>
  <c r="L484" i="10"/>
  <c r="L432" i="10"/>
  <c r="L394" i="10"/>
  <c r="M528" i="10"/>
  <c r="M454" i="10"/>
  <c r="L416" i="10"/>
  <c r="M513" i="10"/>
  <c r="L490" i="10"/>
  <c r="M482" i="10"/>
  <c r="M489" i="10"/>
  <c r="L468" i="10"/>
  <c r="AN344" i="10"/>
  <c r="AN346" i="10"/>
  <c r="AN345" i="10"/>
  <c r="AN343" i="10"/>
  <c r="L321" i="10"/>
  <c r="L298" i="10"/>
  <c r="L249" i="10"/>
  <c r="L246" i="10"/>
  <c r="L366" i="10"/>
  <c r="M262" i="10"/>
  <c r="K229" i="10"/>
  <c r="M229" i="10"/>
  <c r="M338" i="10"/>
  <c r="L174" i="10"/>
  <c r="L333" i="10"/>
  <c r="L269" i="10"/>
  <c r="M187" i="10"/>
  <c r="L409" i="10"/>
  <c r="L354" i="10"/>
  <c r="L270" i="10"/>
  <c r="L242" i="10"/>
  <c r="K227" i="10"/>
  <c r="M227" i="10"/>
  <c r="M417" i="10"/>
  <c r="M295" i="10"/>
  <c r="L273" i="10"/>
  <c r="K194" i="10"/>
  <c r="M194" i="10"/>
  <c r="L166" i="10"/>
  <c r="M275" i="10"/>
  <c r="L259" i="10"/>
  <c r="AQ343" i="10"/>
  <c r="M287" i="10"/>
  <c r="M261" i="10"/>
  <c r="M143" i="10"/>
  <c r="M163" i="10"/>
  <c r="L149" i="10"/>
  <c r="L132" i="10"/>
  <c r="L171" i="10"/>
  <c r="M154" i="10"/>
  <c r="M169" i="10"/>
  <c r="M145" i="10"/>
  <c r="M64" i="10"/>
  <c r="M182" i="10"/>
  <c r="M109" i="10"/>
  <c r="M80" i="10"/>
  <c r="L142" i="10"/>
  <c r="L71" i="10"/>
  <c r="L199" i="10"/>
  <c r="M155" i="10"/>
  <c r="L90" i="10"/>
  <c r="L46" i="10"/>
  <c r="L23" i="10"/>
  <c r="M2" i="10"/>
  <c r="M6" i="10"/>
  <c r="K827" i="10"/>
  <c r="L827" i="10"/>
  <c r="L899" i="10"/>
  <c r="M899" i="10"/>
  <c r="J899" i="10"/>
  <c r="K899" i="10" s="1"/>
  <c r="K757" i="10"/>
  <c r="M757" i="10"/>
  <c r="J745" i="10"/>
  <c r="K745" i="10" s="1"/>
  <c r="M745" i="10"/>
  <c r="K696" i="10"/>
  <c r="M696" i="10"/>
  <c r="K749" i="10"/>
  <c r="M749" i="10"/>
  <c r="K674" i="10"/>
  <c r="L674" i="10"/>
  <c r="M740" i="10"/>
  <c r="K582" i="10"/>
  <c r="M582" i="10"/>
  <c r="L559" i="10"/>
  <c r="J559" i="10"/>
  <c r="K559" i="10" s="1"/>
  <c r="L534" i="10"/>
  <c r="K534" i="10"/>
  <c r="L582" i="10"/>
  <c r="K604" i="10"/>
  <c r="M604" i="10"/>
  <c r="M389" i="10"/>
  <c r="K441" i="10"/>
  <c r="M441" i="10"/>
  <c r="K190" i="10"/>
  <c r="L190" i="10"/>
  <c r="M79" i="10"/>
  <c r="K79" i="10"/>
  <c r="J70" i="10"/>
  <c r="K70" i="10" s="1"/>
  <c r="K74" i="10"/>
  <c r="L74" i="10"/>
  <c r="L235" i="10"/>
  <c r="M140" i="10"/>
  <c r="L104" i="10"/>
  <c r="L947" i="10"/>
  <c r="J947" i="10"/>
  <c r="K947" i="10" s="1"/>
  <c r="K835" i="10"/>
  <c r="L835" i="10"/>
  <c r="M784" i="10"/>
  <c r="J1011" i="10"/>
  <c r="K1011" i="10" s="1"/>
  <c r="M1011" i="10"/>
  <c r="L1011" i="10"/>
  <c r="J1003" i="10"/>
  <c r="K1003" i="10" s="1"/>
  <c r="L955" i="10"/>
  <c r="K955" i="10"/>
  <c r="M1017" i="10"/>
  <c r="J999" i="10"/>
  <c r="K999" i="10" s="1"/>
  <c r="L999" i="10"/>
  <c r="M982" i="10"/>
  <c r="L973" i="10"/>
  <c r="L985" i="10"/>
  <c r="M932" i="10"/>
  <c r="L914" i="10"/>
  <c r="M989" i="10"/>
  <c r="M962" i="10"/>
  <c r="L850" i="10"/>
  <c r="L871" i="10"/>
  <c r="M827" i="10"/>
  <c r="M918" i="10"/>
  <c r="L884" i="10"/>
  <c r="L858" i="10"/>
  <c r="M835" i="10"/>
  <c r="M803" i="10"/>
  <c r="L887" i="10"/>
  <c r="M864" i="10"/>
  <c r="L811" i="10"/>
  <c r="L737" i="10"/>
  <c r="L709" i="10"/>
  <c r="M801" i="10"/>
  <c r="L757" i="10"/>
  <c r="L722" i="10"/>
  <c r="L684" i="10"/>
  <c r="L824" i="10"/>
  <c r="L734" i="10"/>
  <c r="L749" i="10"/>
  <c r="L742" i="10"/>
  <c r="M788" i="10"/>
  <c r="M751" i="10"/>
  <c r="L632" i="10"/>
  <c r="J632" i="10"/>
  <c r="K632" i="10" s="1"/>
  <c r="L630" i="10"/>
  <c r="M625" i="10"/>
  <c r="M675" i="10"/>
  <c r="L703" i="10"/>
  <c r="M640" i="10"/>
  <c r="M691" i="10"/>
  <c r="L639" i="10"/>
  <c r="M616" i="10"/>
  <c r="M652" i="10"/>
  <c r="M648" i="10"/>
  <c r="M571" i="10"/>
  <c r="L711" i="10"/>
  <c r="M546" i="10"/>
  <c r="L546" i="10"/>
  <c r="J546" i="10"/>
  <c r="K546" i="10" s="1"/>
  <c r="L615" i="10"/>
  <c r="L569" i="10"/>
  <c r="M511" i="10"/>
  <c r="K511" i="10"/>
  <c r="L610" i="10"/>
  <c r="L583" i="10"/>
  <c r="M576" i="10"/>
  <c r="M772" i="10"/>
  <c r="M595" i="10"/>
  <c r="L551" i="10"/>
  <c r="L604" i="10"/>
  <c r="L488" i="10"/>
  <c r="L429" i="10"/>
  <c r="M525" i="10"/>
  <c r="L476" i="10"/>
  <c r="L430" i="10"/>
  <c r="L389" i="10"/>
  <c r="L505" i="10"/>
  <c r="L493" i="10"/>
  <c r="M385" i="10"/>
  <c r="M522" i="10"/>
  <c r="L449" i="10"/>
  <c r="L553" i="10"/>
  <c r="L460" i="10"/>
  <c r="M521" i="10"/>
  <c r="L486" i="10"/>
  <c r="L448" i="10"/>
  <c r="L419" i="10"/>
  <c r="L325" i="10"/>
  <c r="M464" i="10"/>
  <c r="L447" i="10"/>
  <c r="M405" i="10"/>
  <c r="L320" i="10"/>
  <c r="M306" i="10"/>
  <c r="M225" i="10"/>
  <c r="L313" i="10"/>
  <c r="L267" i="10"/>
  <c r="L254" i="10"/>
  <c r="L231" i="10"/>
  <c r="K231" i="10"/>
  <c r="L196" i="10"/>
  <c r="K196" i="10"/>
  <c r="M382" i="10"/>
  <c r="M238" i="10"/>
  <c r="M425" i="10"/>
  <c r="L353" i="10"/>
  <c r="M67" i="10"/>
  <c r="K67" i="10"/>
  <c r="L414" i="10"/>
  <c r="L334" i="10"/>
  <c r="L183" i="10"/>
  <c r="M335" i="10"/>
  <c r="L274" i="10"/>
  <c r="L216" i="10"/>
  <c r="M192" i="10"/>
  <c r="L362" i="10"/>
  <c r="L305" i="10"/>
  <c r="M288" i="10"/>
  <c r="K164" i="10"/>
  <c r="L164" i="10"/>
  <c r="M190" i="10"/>
  <c r="M162" i="10"/>
  <c r="L136" i="10"/>
  <c r="L87" i="10"/>
  <c r="L224" i="10"/>
  <c r="L157" i="10"/>
  <c r="L192" i="10"/>
  <c r="M150" i="10"/>
  <c r="L118" i="10"/>
  <c r="L85" i="10"/>
  <c r="M74" i="10"/>
  <c r="M151" i="10"/>
  <c r="L63" i="10"/>
  <c r="L66" i="10"/>
  <c r="M223" i="10"/>
  <c r="L113" i="10"/>
  <c r="L34" i="10"/>
  <c r="M36" i="10"/>
  <c r="M25" i="10"/>
  <c r="M51" i="10"/>
  <c r="M38" i="10"/>
  <c r="M30" i="10"/>
  <c r="L961" i="10"/>
  <c r="J961" i="10"/>
  <c r="K961" i="10" s="1"/>
  <c r="K938" i="10"/>
  <c r="M938" i="10"/>
  <c r="M879" i="10"/>
  <c r="J879" i="10"/>
  <c r="K879" i="10" s="1"/>
  <c r="M973" i="10"/>
  <c r="M985" i="10"/>
  <c r="M979" i="10"/>
  <c r="L989" i="10"/>
  <c r="M850" i="10"/>
  <c r="K839" i="10"/>
  <c r="M839" i="10"/>
  <c r="M867" i="10"/>
  <c r="L918" i="10"/>
  <c r="M884" i="10"/>
  <c r="K910" i="10"/>
  <c r="M910" i="10"/>
  <c r="M858" i="10"/>
  <c r="L705" i="10"/>
  <c r="L777" i="10"/>
  <c r="J750" i="10"/>
  <c r="K750" i="10" s="1"/>
  <c r="M824" i="10"/>
  <c r="L743" i="10"/>
  <c r="M742" i="10"/>
  <c r="L649" i="10"/>
  <c r="L751" i="10"/>
  <c r="M630" i="10"/>
  <c r="L675" i="10"/>
  <c r="L661" i="10"/>
  <c r="M639" i="10"/>
  <c r="M591" i="10"/>
  <c r="M588" i="10"/>
  <c r="L545" i="10"/>
  <c r="L504" i="10"/>
  <c r="M610" i="10"/>
  <c r="M583" i="10"/>
  <c r="L799" i="10"/>
  <c r="L772" i="10"/>
  <c r="M536" i="10"/>
  <c r="L603" i="10"/>
  <c r="M510" i="10"/>
  <c r="M488" i="10"/>
  <c r="M457" i="10"/>
  <c r="M429" i="10"/>
  <c r="M476" i="10"/>
  <c r="M505" i="10"/>
  <c r="M401" i="10"/>
  <c r="M493" i="10"/>
  <c r="L379" i="10"/>
  <c r="M336" i="10"/>
  <c r="L522" i="10"/>
  <c r="M553" i="10"/>
  <c r="L479" i="10"/>
  <c r="M460" i="10"/>
  <c r="K433" i="10"/>
  <c r="M433" i="10"/>
  <c r="L501" i="10"/>
  <c r="M486" i="10"/>
  <c r="M462" i="10"/>
  <c r="M448" i="10"/>
  <c r="L417" i="10"/>
  <c r="M324" i="10"/>
  <c r="L527" i="10"/>
  <c r="L503" i="10"/>
  <c r="M480" i="10"/>
  <c r="L456" i="10"/>
  <c r="M447" i="10"/>
  <c r="M340" i="10"/>
  <c r="M320" i="10"/>
  <c r="M278" i="10"/>
  <c r="M247" i="10"/>
  <c r="M251" i="10"/>
  <c r="M308" i="10"/>
  <c r="M267" i="10"/>
  <c r="M254" i="10"/>
  <c r="M360" i="10"/>
  <c r="M258" i="10"/>
  <c r="K232" i="10"/>
  <c r="M232" i="10"/>
  <c r="M61" i="10"/>
  <c r="K61" i="10"/>
  <c r="M334" i="10"/>
  <c r="M280" i="10"/>
  <c r="L180" i="10"/>
  <c r="M266" i="10"/>
  <c r="M216" i="10"/>
  <c r="L187" i="10"/>
  <c r="M362" i="10"/>
  <c r="L340" i="10"/>
  <c r="M305" i="10"/>
  <c r="M276" i="10"/>
  <c r="M180" i="10"/>
  <c r="L158" i="10"/>
  <c r="M136" i="10"/>
  <c r="M122" i="10"/>
  <c r="M87" i="10"/>
  <c r="M224" i="10"/>
  <c r="M157" i="10"/>
  <c r="M179" i="10"/>
  <c r="L57" i="10"/>
  <c r="M241" i="10"/>
  <c r="L139" i="10"/>
  <c r="M118" i="10"/>
  <c r="L100" i="10"/>
  <c r="M85" i="10"/>
  <c r="M63" i="10"/>
  <c r="L194" i="10"/>
  <c r="L79" i="10"/>
  <c r="L61" i="10"/>
  <c r="M175" i="10"/>
  <c r="M66" i="10"/>
  <c r="M220" i="10"/>
  <c r="M113" i="10"/>
  <c r="M47" i="10"/>
  <c r="K47" i="10"/>
  <c r="L18" i="10"/>
  <c r="M887" i="10"/>
  <c r="M914" i="10"/>
  <c r="J848" i="10"/>
  <c r="K848" i="10" s="1"/>
  <c r="J853" i="10"/>
  <c r="K853" i="10" s="1"/>
  <c r="L813" i="10"/>
  <c r="L784" i="10"/>
  <c r="J856" i="10"/>
  <c r="K856" i="10" s="1"/>
  <c r="K713" i="10"/>
  <c r="M713" i="10"/>
  <c r="K697" i="10"/>
  <c r="M697" i="10"/>
  <c r="M777" i="10"/>
  <c r="M779" i="10"/>
  <c r="L780" i="10"/>
  <c r="M743" i="10"/>
  <c r="L625" i="10"/>
  <c r="J558" i="10"/>
  <c r="K558" i="10" s="1"/>
  <c r="L682" i="10"/>
  <c r="M674" i="10"/>
  <c r="M758" i="10"/>
  <c r="M661" i="10"/>
  <c r="L591" i="10"/>
  <c r="L548" i="10"/>
  <c r="K548" i="10"/>
  <c r="M600" i="10"/>
  <c r="J544" i="10"/>
  <c r="K544" i="10" s="1"/>
  <c r="M534" i="10"/>
  <c r="L502" i="10"/>
  <c r="L536" i="10"/>
  <c r="M799" i="10"/>
  <c r="M770" i="10"/>
  <c r="M592" i="10"/>
  <c r="M603" i="10"/>
  <c r="K413" i="10"/>
  <c r="L413" i="10"/>
  <c r="L508" i="10"/>
  <c r="M479" i="10"/>
  <c r="M501" i="10"/>
  <c r="M461" i="10"/>
  <c r="M399" i="10"/>
  <c r="M527" i="10"/>
  <c r="M503" i="10"/>
  <c r="M456" i="10"/>
  <c r="L444" i="10"/>
  <c r="L319" i="10"/>
  <c r="L350" i="10"/>
  <c r="K263" i="10"/>
  <c r="L263" i="10"/>
  <c r="M253" i="10"/>
  <c r="M344" i="10"/>
  <c r="M207" i="10"/>
  <c r="L360" i="10"/>
  <c r="M423" i="10"/>
  <c r="L327" i="10"/>
  <c r="L358" i="10"/>
  <c r="M215" i="10"/>
  <c r="M170" i="10"/>
  <c r="AQ344" i="10"/>
  <c r="M196" i="10"/>
  <c r="M104" i="10"/>
  <c r="M153" i="10"/>
  <c r="M158" i="10"/>
  <c r="M141" i="10"/>
  <c r="L218" i="10"/>
  <c r="K69" i="10"/>
  <c r="M69" i="10"/>
  <c r="M5" i="10"/>
  <c r="J5" i="10"/>
  <c r="K5" i="10" s="1"/>
  <c r="L5" i="10"/>
  <c r="L176" i="10"/>
  <c r="L67" i="10"/>
  <c r="M139" i="10"/>
  <c r="J82" i="10"/>
  <c r="K82" i="10" s="1"/>
  <c r="L146" i="10"/>
  <c r="M57" i="10"/>
  <c r="M174" i="10"/>
  <c r="L116" i="10"/>
  <c r="M53" i="10"/>
  <c r="K53" i="10"/>
  <c r="M112" i="10"/>
  <c r="L47" i="10"/>
  <c r="M44" i="10"/>
  <c r="L42" i="10"/>
  <c r="L22" i="10"/>
  <c r="M3" i="10"/>
  <c r="M18" i="10"/>
  <c r="L10" i="10"/>
  <c r="M14" i="10"/>
  <c r="L845" i="10"/>
  <c r="J845" i="10"/>
  <c r="K845" i="10" s="1"/>
  <c r="M845" i="10"/>
  <c r="L907" i="10"/>
  <c r="M907" i="10"/>
  <c r="J907" i="10"/>
  <c r="K907" i="10" s="1"/>
  <c r="K873" i="10"/>
  <c r="M873" i="10"/>
  <c r="K831" i="10"/>
  <c r="L831" i="10"/>
  <c r="L821" i="10"/>
  <c r="K821" i="10"/>
  <c r="M792" i="10"/>
  <c r="L833" i="10"/>
  <c r="L805" i="10"/>
  <c r="M707" i="10"/>
  <c r="M663" i="10"/>
  <c r="J618" i="10"/>
  <c r="K618" i="10" s="1"/>
  <c r="M689" i="10"/>
  <c r="M699" i="10"/>
  <c r="L542" i="10"/>
  <c r="K542" i="10"/>
  <c r="L446" i="10"/>
  <c r="J561" i="10"/>
  <c r="K561" i="10" s="1"/>
  <c r="L561" i="10"/>
  <c r="M561" i="10"/>
  <c r="M705" i="10"/>
  <c r="M473" i="10"/>
  <c r="M438" i="10"/>
  <c r="L324" i="10"/>
  <c r="M508" i="10"/>
  <c r="M394" i="10"/>
  <c r="M446" i="10"/>
  <c r="M444" i="10"/>
  <c r="M319" i="10"/>
  <c r="M298" i="10"/>
  <c r="M249" i="10"/>
  <c r="M350" i="10"/>
  <c r="L212" i="10"/>
  <c r="K212" i="10"/>
  <c r="L140" i="10"/>
  <c r="M409" i="10"/>
  <c r="M270" i="10"/>
  <c r="K172" i="10"/>
  <c r="L172" i="10"/>
  <c r="M327" i="10"/>
  <c r="M358" i="10"/>
  <c r="AQ345" i="10"/>
  <c r="M100" i="10"/>
  <c r="M132" i="10"/>
  <c r="M48" i="10"/>
  <c r="M195" i="10"/>
  <c r="H5" i="10"/>
  <c r="G5" i="10"/>
  <c r="L52" i="10"/>
  <c r="K52" i="10"/>
  <c r="K78" i="10"/>
  <c r="M78" i="10"/>
  <c r="M199" i="10"/>
  <c r="M166" i="10"/>
  <c r="M42" i="10"/>
  <c r="M22" i="10"/>
  <c r="M10" i="10"/>
  <c r="L14" i="10"/>
  <c r="L932" i="10"/>
  <c r="M833" i="10"/>
  <c r="L873" i="10"/>
  <c r="K730" i="10"/>
  <c r="M730" i="10"/>
  <c r="L735" i="10"/>
  <c r="J735" i="10"/>
  <c r="K735" i="10" s="1"/>
  <c r="K598" i="10"/>
  <c r="M598" i="10"/>
  <c r="M537" i="10"/>
  <c r="K537" i="10"/>
  <c r="M555" i="10"/>
  <c r="K555" i="10"/>
  <c r="K579" i="10"/>
  <c r="L579" i="10"/>
  <c r="L598" i="10"/>
  <c r="M316" i="10"/>
  <c r="K316" i="10"/>
  <c r="M499" i="10"/>
  <c r="M502" i="10"/>
  <c r="L226" i="10"/>
  <c r="K226" i="10"/>
  <c r="L91" i="10"/>
  <c r="K91" i="10"/>
  <c r="L261" i="10"/>
  <c r="M172" i="10"/>
  <c r="M49" i="10"/>
  <c r="K49" i="10"/>
  <c r="J54" i="18"/>
  <c r="K54" i="18" a="1"/>
  <c r="K54" i="18" s="1"/>
  <c r="L82" i="10" l="1"/>
  <c r="M889" i="10"/>
  <c r="M544" i="10"/>
  <c r="M961" i="10"/>
  <c r="L888" i="10"/>
  <c r="L544" i="10"/>
  <c r="L848" i="10"/>
  <c r="L558" i="10"/>
  <c r="M750" i="10"/>
  <c r="L745" i="10"/>
  <c r="M393" i="10"/>
  <c r="M888" i="10"/>
  <c r="L1090" i="10"/>
  <c r="L572" i="10"/>
  <c r="L76" i="10"/>
  <c r="L856" i="10"/>
  <c r="L618" i="10"/>
  <c r="M558" i="10"/>
  <c r="L853" i="10"/>
  <c r="L750" i="10"/>
  <c r="M1003" i="10"/>
  <c r="M563" i="10"/>
  <c r="M735" i="10"/>
  <c r="M618" i="10"/>
  <c r="M853" i="10"/>
  <c r="L879" i="10"/>
  <c r="M632" i="10"/>
  <c r="L1003" i="10"/>
  <c r="M947" i="10"/>
  <c r="M70" i="10"/>
  <c r="M559" i="10"/>
  <c r="L550" i="10"/>
  <c r="L566" i="10"/>
  <c r="L952" i="10"/>
  <c r="L883" i="10"/>
  <c r="L861" i="10"/>
  <c r="L785" i="10"/>
  <c r="L1086" i="10"/>
  <c r="M82" i="10"/>
  <c r="M856" i="10"/>
  <c r="M848" i="10"/>
  <c r="M999" i="10"/>
  <c r="L70" i="10"/>
  <c r="L889" i="10"/>
  <c r="J64" i="18"/>
  <c r="J65" i="18"/>
  <c r="J66" i="18"/>
  <c r="J67" i="18"/>
  <c r="J68" i="18"/>
  <c r="J69" i="18"/>
  <c r="E567" i="12"/>
  <c r="E568" i="12"/>
  <c r="E569" i="12"/>
  <c r="E56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H549" i="12" l="1"/>
  <c r="I549" i="12" s="1"/>
  <c r="N549" i="12" s="1"/>
  <c r="J549" i="12"/>
  <c r="P549" i="12" s="1"/>
  <c r="H550" i="12"/>
  <c r="I550" i="12" s="1"/>
  <c r="N550" i="12" s="1"/>
  <c r="J550" i="12"/>
  <c r="P550" i="12" s="1"/>
  <c r="H551" i="12"/>
  <c r="I551" i="12" s="1"/>
  <c r="N551" i="12" s="1"/>
  <c r="J551" i="12"/>
  <c r="P551" i="12" s="1"/>
  <c r="H552" i="12"/>
  <c r="I552" i="12" s="1"/>
  <c r="N552" i="12" s="1"/>
  <c r="J552" i="12"/>
  <c r="P552" i="12" s="1"/>
  <c r="H553" i="12"/>
  <c r="I553" i="12" s="1"/>
  <c r="N553" i="12" s="1"/>
  <c r="J553" i="12"/>
  <c r="P553" i="12" s="1"/>
  <c r="H554" i="12"/>
  <c r="I554" i="12" s="1"/>
  <c r="N554" i="12" s="1"/>
  <c r="J554" i="12"/>
  <c r="P554" i="12" s="1"/>
  <c r="H555" i="12"/>
  <c r="I555" i="12" s="1"/>
  <c r="N555" i="12" s="1"/>
  <c r="J555" i="12"/>
  <c r="P555" i="12" s="1"/>
  <c r="H556" i="12"/>
  <c r="I556" i="12" s="1"/>
  <c r="N556" i="12" s="1"/>
  <c r="J556" i="12"/>
  <c r="P556" i="12" s="1"/>
  <c r="H557" i="12"/>
  <c r="I557" i="12" s="1"/>
  <c r="N557" i="12" s="1"/>
  <c r="J557" i="12"/>
  <c r="P557" i="12" s="1"/>
  <c r="H558" i="12"/>
  <c r="I558" i="12" s="1"/>
  <c r="N558" i="12" s="1"/>
  <c r="J558" i="12"/>
  <c r="P558" i="12" s="1"/>
  <c r="J548" i="12"/>
  <c r="P548" i="12" s="1"/>
  <c r="H548" i="12"/>
  <c r="I548" i="12" s="1"/>
  <c r="N548" i="12" s="1"/>
  <c r="J547" i="12"/>
  <c r="P547" i="12" s="1"/>
  <c r="H547" i="12"/>
  <c r="I547" i="12" s="1"/>
  <c r="N547" i="12" s="1"/>
  <c r="O555" i="12" l="1"/>
  <c r="O552" i="12"/>
  <c r="O549" i="12"/>
  <c r="O556" i="12"/>
  <c r="O550" i="12"/>
  <c r="O553" i="12"/>
  <c r="O557" i="12"/>
  <c r="O554" i="12"/>
  <c r="O551" i="12"/>
  <c r="O558" i="12"/>
  <c r="O548" i="12"/>
  <c r="O54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s="1"/>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L478" i="12" s="1"/>
  <c r="Q478" i="12" s="1"/>
  <c r="K477" i="12"/>
  <c r="L477" i="12" s="1"/>
  <c r="Q477" i="12" s="1"/>
  <c r="K476" i="12"/>
  <c r="L476" i="12" s="1"/>
  <c r="Q476" i="12" s="1"/>
  <c r="K475" i="12"/>
  <c r="L475" i="12" s="1"/>
  <c r="Q475" i="12" s="1"/>
  <c r="K474" i="12"/>
  <c r="L474" i="12" s="1"/>
  <c r="Q474" i="12" s="1"/>
  <c r="K473" i="12"/>
  <c r="L473" i="12" s="1"/>
  <c r="Q473" i="12" s="1"/>
  <c r="K472" i="12"/>
  <c r="L472" i="12" s="1"/>
  <c r="Q472" i="12" s="1"/>
  <c r="K471" i="12"/>
  <c r="L471" i="12" s="1"/>
  <c r="Q471" i="12" s="1"/>
  <c r="K470" i="12"/>
  <c r="L470" i="12" s="1"/>
  <c r="Q470" i="12" s="1"/>
  <c r="K469" i="12"/>
  <c r="L469" i="12" s="1"/>
  <c r="Q469" i="12" s="1"/>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M478" i="12"/>
  <c r="M477" i="12"/>
  <c r="M476" i="12"/>
  <c r="M475" i="12"/>
  <c r="M474" i="12"/>
  <c r="M473" i="12"/>
  <c r="M472" i="12"/>
  <c r="M471" i="12"/>
  <c r="M470" i="12"/>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K78" i="12" l="1"/>
  <c r="O78" i="12" s="1"/>
  <c r="K70" i="12"/>
  <c r="O70" i="12" s="1"/>
  <c r="Q427" i="12"/>
  <c r="P393" i="12"/>
  <c r="N209" i="12"/>
  <c r="P147" i="12"/>
  <c r="R147" i="12" s="1"/>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236" i="12" s="1"/>
  <c r="Q419"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R12" i="12" s="1"/>
  <c r="S311" i="12"/>
  <c r="R261" i="12"/>
  <c r="S313" i="12"/>
  <c r="R378" i="12"/>
  <c r="R369" i="12"/>
  <c r="S315" i="12"/>
  <c r="P226" i="12"/>
  <c r="Q226" i="12" s="1"/>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N25" i="12"/>
  <c r="Q25" i="12" s="1"/>
  <c r="R25" i="12" s="1"/>
  <c r="N23" i="12"/>
  <c r="Q23" i="12" s="1"/>
  <c r="R23" i="12" s="1"/>
  <c r="P19" i="12"/>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N207" i="12"/>
  <c r="N204" i="12"/>
  <c r="N193" i="12"/>
  <c r="N190" i="12"/>
  <c r="G365" i="12"/>
  <c r="H365" i="12"/>
  <c r="O234" i="12"/>
  <c r="P234" i="12"/>
  <c r="L142" i="12"/>
  <c r="Q142" i="12" s="1"/>
  <c r="P142" i="12"/>
  <c r="L366" i="12"/>
  <c r="M366" i="12"/>
  <c r="L379" i="12"/>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L148" i="12"/>
  <c r="Q148" i="12" s="1"/>
  <c r="R148" i="12" s="1"/>
  <c r="P137" i="12"/>
  <c r="R137" i="12" s="1"/>
  <c r="O110" i="12"/>
  <c r="Q110" i="12" s="1"/>
  <c r="O102" i="12"/>
  <c r="Q102" i="12" s="1"/>
  <c r="K71" i="12"/>
  <c r="O71" i="12" s="1"/>
  <c r="N71" i="12"/>
  <c r="N55" i="12"/>
  <c r="Q55" i="12" s="1"/>
  <c r="P55" i="12"/>
  <c r="P24" i="12"/>
  <c r="N24" i="12"/>
  <c r="Q24" i="12" s="1"/>
  <c r="P11" i="12"/>
  <c r="N11" i="12"/>
  <c r="Q11" i="12" s="1"/>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P39" i="12"/>
  <c r="P33" i="12"/>
  <c r="P20" i="12"/>
  <c r="P70" i="12" l="1"/>
  <c r="R28" i="12"/>
  <c r="R125" i="12"/>
  <c r="R52" i="12"/>
  <c r="L383" i="12"/>
  <c r="R19" i="12"/>
  <c r="R149" i="12"/>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7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610AD47E-9387-4EBD-8DC9-2102B0C673EE}">
      <text>
        <r>
          <rPr>
            <sz val="11"/>
            <color theme="1"/>
            <rFont val="Calibri"/>
            <family val="2"/>
            <scheme val="minor"/>
          </rPr>
          <t>Petr Čala:
Main effect, private returns to schooling</t>
        </r>
      </text>
    </comment>
    <comment ref="E1" authorId="0" shapeId="0" xr:uid="{E3A51A01-6912-4A56-8748-9AF2C0ADF711}">
      <text>
        <r>
          <rPr>
            <sz val="11"/>
            <color theme="1"/>
            <rFont val="Calibri"/>
            <family val="2"/>
            <scheme val="minor"/>
          </rPr>
          <t>Petr Čala:
Standard error</t>
        </r>
      </text>
    </comment>
    <comment ref="N1" authorId="0" shapeId="0" xr:uid="{530CA7D3-139E-4326-91A4-709AFC88F237}">
      <text>
        <r>
          <rPr>
            <sz val="11"/>
            <color theme="1"/>
            <rFont val="Calibri"/>
            <family val="2"/>
            <scheme val="minor"/>
          </rPr>
          <t>Petr Čala:
Estimate is a short run type</t>
        </r>
      </text>
    </comment>
    <comment ref="O1" authorId="0" shapeId="0" xr:uid="{3BE2F6D9-D101-4F4F-BBC1-38DF0FEAF8B0}">
      <text>
        <r>
          <rPr>
            <sz val="11"/>
            <color theme="1"/>
            <rFont val="Calibri"/>
            <family val="2"/>
            <scheme val="minor"/>
          </rPr>
          <t>Petr Čala:
Estimate is a long run type</t>
        </r>
      </text>
    </comment>
    <comment ref="P1" authorId="0" shapeId="0" xr:uid="{344DFB46-48B0-4408-9D4E-C4EA9E0038D1}">
      <text>
        <r>
          <rPr>
            <sz val="11"/>
            <color theme="1"/>
            <rFont val="Calibri"/>
            <family val="2"/>
            <scheme val="minor"/>
          </rPr>
          <t>Petr Čala:
Estimate can be aggregated on the level of a city</t>
        </r>
      </text>
    </comment>
    <comment ref="Q1" authorId="0" shapeId="0" xr:uid="{D3531CF7-A72F-4554-8FED-E81CB3045733}">
      <text>
        <r>
          <rPr>
            <sz val="11"/>
            <color theme="1"/>
            <rFont val="Calibri"/>
            <family val="2"/>
            <scheme val="minor"/>
          </rPr>
          <t>Petr Čala:
Estimate can be aggregated on the level of a small region</t>
        </r>
      </text>
    </comment>
    <comment ref="R1" authorId="0" shapeId="0" xr:uid="{52D5E083-96A2-4BDC-9E00-B8E0F70165FD}">
      <text>
        <r>
          <rPr>
            <sz val="11"/>
            <color theme="1"/>
            <rFont val="Calibri"/>
            <family val="2"/>
            <scheme val="minor"/>
          </rPr>
          <t>Petr Čala:
Estimate can be aggregated on the level of a large region of countries</t>
        </r>
      </text>
    </comment>
    <comment ref="S1" authorId="0" shapeId="0" xr:uid="{951C6098-5A0A-41C0-9DEE-C85F96ADAC0E}">
      <text>
        <r>
          <rPr>
            <sz val="11"/>
            <color theme="1"/>
            <rFont val="Calibri"/>
            <family val="2"/>
            <scheme val="minor"/>
          </rPr>
          <t>Petr Čala:
Estimate can be aggregated on the level of a country</t>
        </r>
      </text>
    </comment>
    <comment ref="T1" authorId="0" shapeId="0" xr:uid="{C85BE17C-5CAF-4258-9C9E-9088954FDB6F}">
      <text>
        <r>
          <rPr>
            <sz val="11"/>
            <color theme="1"/>
            <rFont val="Calibri"/>
            <family val="2"/>
            <scheme val="minor"/>
          </rPr>
          <t>Petr Čala:
Estimate can be aggregated on the level of a body of mass larger than a country</t>
        </r>
      </text>
    </comment>
    <comment ref="U1" authorId="0" shapeId="0" xr:uid="{2C8F72A2-DDEA-483B-BFC1-3D5CD43B05D7}">
      <text>
        <r>
          <rPr>
            <sz val="11"/>
            <color theme="1"/>
            <rFont val="Calibri"/>
            <family val="2"/>
            <scheme val="minor"/>
          </rPr>
          <t>Petr Čala:
Number of observations used in the estimation (put to log later)</t>
        </r>
      </text>
    </comment>
    <comment ref="V1" authorId="0" shapeId="0" xr:uid="{CA9BFDF7-E3EB-4352-B33E-36FEB1612303}">
      <text>
        <r>
          <rPr>
            <sz val="11"/>
            <color theme="1"/>
            <rFont val="Calibri"/>
            <family val="2"/>
            <scheme val="minor"/>
          </rPr>
          <t>Petr Čala:
Number of regressands in the regression</t>
        </r>
      </text>
    </comment>
    <comment ref="W1" authorId="0" shapeId="0" xr:uid="{18945729-F189-433F-B623-83896DC2D1A2}">
      <text>
        <r>
          <rPr>
            <sz val="11"/>
            <color theme="1"/>
            <rFont val="Calibri"/>
            <family val="2"/>
            <scheme val="minor"/>
          </rPr>
          <t>Petr Čala:
The number of Degrees of Freedom computed as "n_obs - regressands - 1" for a regression and "n_obs - 1" for means</t>
        </r>
      </text>
    </comment>
    <comment ref="X1" authorId="0" shapeId="0" xr:uid="{F4AA21E3-4E54-4694-9513-59258427F946}">
      <text>
        <r>
          <rPr>
            <sz val="11"/>
            <color theme="1"/>
            <rFont val="Calibri"/>
            <family val="2"/>
            <scheme val="minor"/>
          </rPr>
          <t>Petr Čala:
Number of estimates per this study</t>
        </r>
      </text>
    </comment>
    <comment ref="Y1" authorId="0" shapeId="0" xr:uid="{F3063146-A1FD-4627-90B0-E7F037FC79FD}">
      <text>
        <r>
          <rPr>
            <sz val="11"/>
            <color theme="1"/>
            <rFont val="Calibri"/>
            <family val="2"/>
            <scheme val="minor"/>
          </rPr>
          <t>Petr Čala:
Mean years of schooling</t>
        </r>
      </text>
    </comment>
    <comment ref="Z1" authorId="0" shapeId="0" xr:uid="{34F3F187-48AF-415A-B978-BBD31CB01640}">
      <text>
        <r>
          <rPr>
            <sz val="11"/>
            <color theme="1"/>
            <rFont val="Calibri"/>
            <family val="2"/>
            <scheme val="minor"/>
          </rPr>
          <t>Petr Čala:
Mean years of experience</t>
        </r>
      </text>
    </comment>
    <comment ref="AA1" authorId="0" shapeId="0" xr:uid="{69B2C5B6-0287-4E1E-AE84-8FE531001A1C}">
      <text>
        <r>
          <rPr>
            <sz val="11"/>
            <color theme="1"/>
            <rFont val="Calibri"/>
            <family val="2"/>
            <scheme val="minor"/>
          </rPr>
          <t>Petr Čala:
The study reports the number of years directly (using years of schooling)</t>
        </r>
      </text>
    </comment>
    <comment ref="AB1" authorId="0" shapeId="0" xr:uid="{9B64AC6E-055B-41C9-B5C1-F989162C678F}">
      <text>
        <r>
          <rPr>
            <sz val="11"/>
            <color theme="1"/>
            <rFont val="Calibri"/>
            <family val="2"/>
            <scheme val="minor"/>
          </rPr>
          <t>Petr Čala:
The study instead uses levels of schooling (primary, sec, …) in the mincer regression</t>
        </r>
      </text>
    </comment>
    <comment ref="AC1" authorId="0" shapeId="0" xr:uid="{A359721F-127E-4010-B059-082B519A340D}">
      <text>
        <r>
          <rPr>
            <sz val="11"/>
            <color theme="1"/>
            <rFont val="Calibri"/>
            <family val="2"/>
            <scheme val="minor"/>
          </rPr>
          <t>Petr Čala:
Wage is defined as log hourly</t>
        </r>
      </text>
    </comment>
    <comment ref="AD1" authorId="0" shapeId="0" xr:uid="{7AAF7E55-6224-4F2C-9BC1-5B2CF2742900}">
      <text>
        <r>
          <rPr>
            <sz val="11"/>
            <color theme="1"/>
            <rFont val="Calibri"/>
            <family val="2"/>
            <scheme val="minor"/>
          </rPr>
          <t xml:space="preserve">Petr Čala:
Daily or weekly wage
</t>
        </r>
      </text>
    </comment>
    <comment ref="AE1" authorId="0" shapeId="0" xr:uid="{A1511575-0D50-4555-80FF-9FD37C41861E}">
      <text>
        <r>
          <rPr>
            <sz val="11"/>
            <color theme="1"/>
            <rFont val="Calibri"/>
            <family val="2"/>
            <scheme val="minor"/>
          </rPr>
          <t>Petr Čala:
Placeholder for the wage dummy</t>
        </r>
      </text>
    </comment>
    <comment ref="AF1" authorId="0" shapeId="0" xr:uid="{F8843518-39DC-483B-9D20-CE76AE63C0B8}">
      <text>
        <r>
          <rPr>
            <sz val="11"/>
            <color theme="1"/>
            <rFont val="Calibri"/>
            <family val="2"/>
            <scheme val="minor"/>
          </rPr>
          <t>Petr Čala:
Wage is defined as mean annual earnings per worker</t>
        </r>
      </text>
    </comment>
    <comment ref="AG1" authorId="0" shapeId="0" xr:uid="{2B742BBD-11EB-4053-A33C-9048931FA93B}">
      <text>
        <r>
          <rPr>
            <sz val="11"/>
            <color theme="1"/>
            <rFont val="Calibri"/>
            <family val="2"/>
            <scheme val="minor"/>
          </rPr>
          <t>Petr Čala:
Data are input micro data</t>
        </r>
      </text>
    </comment>
    <comment ref="AH1" authorId="0" shapeId="0" xr:uid="{D884CBD4-895A-4C1B-B954-5F3314AFBE28}">
      <text>
        <r>
          <rPr>
            <sz val="11"/>
            <color theme="1"/>
            <rFont val="Calibri"/>
            <family val="2"/>
            <scheme val="minor"/>
          </rPr>
          <t>Petr Čala:
Data come from a survey (household or employers, maybe split later)</t>
        </r>
      </text>
    </comment>
    <comment ref="AI1" authorId="0" shapeId="0" xr:uid="{33D66134-8E2F-45F7-9193-7D6C20ABF573}">
      <text>
        <r>
          <rPr>
            <sz val="11"/>
            <color theme="1"/>
            <rFont val="Calibri"/>
            <family val="2"/>
            <scheme val="minor"/>
          </rPr>
          <t>Petr Čala:
Data come from a national register</t>
        </r>
      </text>
    </comment>
    <comment ref="AJ1" authorId="0" shapeId="0" xr:uid="{F5D6BD43-7A4D-4206-9D64-941088462B9E}">
      <text>
        <r>
          <rPr>
            <sz val="11"/>
            <color theme="1"/>
            <rFont val="Calibri"/>
            <family val="2"/>
            <scheme val="minor"/>
          </rPr>
          <t>Petr Čala:
Data type = cross-section -&gt; snapshot of the population in a given year</t>
        </r>
      </text>
    </comment>
    <comment ref="AK1" authorId="0" shapeId="0" xr:uid="{26A0F780-E4B0-4ABF-85B0-EFF9CFDE89CA}">
      <text>
        <r>
          <rPr>
            <sz val="11"/>
            <color theme="1"/>
            <rFont val="Calibri"/>
            <family val="2"/>
            <scheme val="minor"/>
          </rPr>
          <t>Petr Čala:
Data type = panel -&gt; various countries, groups observed over their life</t>
        </r>
      </text>
    </comment>
    <comment ref="AL1" authorId="0" shapeId="0" xr:uid="{F56FB5FA-BED5-4BEF-8879-1B765A2FC3D7}">
      <text>
        <r>
          <rPr>
            <sz val="11"/>
            <color theme="1"/>
            <rFont val="Calibri"/>
            <family val="2"/>
            <scheme val="minor"/>
          </rPr>
          <t>Petr Čala:
Average original year, DELETE LATER</t>
        </r>
      </text>
    </comment>
    <comment ref="AM1" authorId="0" shapeId="0" xr:uid="{1829F402-56A6-4210-B1E6-C95FBC5BA0F7}">
      <text>
        <r>
          <rPr>
            <sz val="11"/>
            <color theme="1"/>
            <rFont val="Calibri"/>
            <family val="2"/>
            <scheme val="minor"/>
          </rPr>
          <t>Petr Čala:
Logarithm of the year the data sample was taken from - if more years, use average</t>
        </r>
      </text>
    </comment>
    <comment ref="AN1" authorId="0" shapeId="0" xr:uid="{5294D2B3-B262-42A7-B183-1D6797CB09C5}">
      <text>
        <r>
          <rPr>
            <sz val="11"/>
            <color theme="1"/>
            <rFont val="Calibri"/>
            <family val="2"/>
            <scheme val="minor"/>
          </rPr>
          <t>Petr Čala:
Percentage of subjects with no education - country aggregated</t>
        </r>
      </text>
    </comment>
    <comment ref="AO1" authorId="0" shapeId="0" xr:uid="{97AF6315-B053-4EA8-A0FC-D946489F23F8}">
      <text>
        <r>
          <rPr>
            <sz val="11"/>
            <color theme="1"/>
            <rFont val="Calibri"/>
            <family val="2"/>
            <scheme val="minor"/>
          </rPr>
          <t>Petr Čala:
Percentage of subjects with primary education - country aggregated</t>
        </r>
      </text>
    </comment>
    <comment ref="AP1" authorId="0" shapeId="0" xr:uid="{F5B0E6AB-701F-4EAD-951F-0385D1533D9C}">
      <text>
        <r>
          <rPr>
            <sz val="11"/>
            <color theme="1"/>
            <rFont val="Calibri"/>
            <family val="2"/>
            <scheme val="minor"/>
          </rPr>
          <t>Petr Čala:
Percentage of subjects with secondary education</t>
        </r>
      </text>
    </comment>
    <comment ref="AQ1" authorId="0" shapeId="0" xr:uid="{5499B14F-09D1-4526-9E0A-D935D7B4B696}">
      <text>
        <r>
          <rPr>
            <sz val="11"/>
            <color theme="1"/>
            <rFont val="Calibri"/>
            <family val="2"/>
            <scheme val="minor"/>
          </rPr>
          <t>Petr Čala:
Percentage of subjects with higher education</t>
        </r>
      </text>
    </comment>
    <comment ref="AR1" authorId="0" shapeId="0" xr:uid="{790D6A6D-72BD-43A1-A433-72394E97B441}">
      <text>
        <r>
          <rPr>
            <sz val="11"/>
            <color theme="1"/>
            <rFont val="Calibri"/>
            <family val="2"/>
            <scheme val="minor"/>
          </rPr>
          <t>Petr Čala:
Percentage of workers from sample, that are wage earners</t>
        </r>
      </text>
    </comment>
    <comment ref="AS1" authorId="0" shapeId="0" xr:uid="{AD58B367-9B34-412D-8F8C-A02153481602}">
      <text>
        <r>
          <rPr>
            <sz val="11"/>
            <color theme="1"/>
            <rFont val="Calibri"/>
            <family val="2"/>
            <scheme val="minor"/>
          </rPr>
          <t>Petr Čala:
Percentage of workers from sample, that are self employed</t>
        </r>
      </text>
    </comment>
    <comment ref="AV1" authorId="0" shapeId="0" xr:uid="{ABFB7488-8837-4C35-B0C7-C78B359CF97D}">
      <text>
        <r>
          <rPr>
            <sz val="11"/>
            <color theme="1"/>
            <rFont val="Calibri"/>
            <family val="2"/>
            <scheme val="minor"/>
          </rPr>
          <t>Petr Čala:
Percentage of workers from sample, that work in the private sector</t>
        </r>
      </text>
    </comment>
    <comment ref="AW1" authorId="0" shapeId="0" xr:uid="{5E1D3009-6616-4240-877F-1E2A81EA68E9}">
      <text>
        <r>
          <rPr>
            <sz val="11"/>
            <color theme="1"/>
            <rFont val="Calibri"/>
            <family val="2"/>
            <scheme val="minor"/>
          </rPr>
          <t>Petr Čala:
Percentage of workers from sample, that work in the public sector</t>
        </r>
      </text>
    </comment>
    <comment ref="AX1" authorId="0" shapeId="0" xr:uid="{6D171E78-1002-4C81-AC91-7FFE305DED90}">
      <text>
        <r>
          <rPr>
            <sz val="11"/>
            <color theme="1"/>
            <rFont val="Calibri"/>
            <family val="2"/>
            <scheme val="minor"/>
          </rPr>
          <t>Petr Čala:
Caucasion (european ancestry) ethnicity</t>
        </r>
      </text>
    </comment>
    <comment ref="AY1" authorId="0" shapeId="0" xr:uid="{7BB73957-B89A-4392-96F2-4FB3B97D5F13}">
      <text>
        <r>
          <rPr>
            <sz val="11"/>
            <color theme="1"/>
            <rFont val="Calibri"/>
            <family val="2"/>
            <scheme val="minor"/>
          </rPr>
          <t>Petr Čala:
Other ethnicity</t>
        </r>
      </text>
    </comment>
    <comment ref="AZ1" authorId="0" shapeId="0" xr:uid="{A5FD4DD1-5015-4B9D-A90F-C3B98537693B}">
      <text>
        <r>
          <rPr>
            <sz val="11"/>
            <color theme="1"/>
            <rFont val="Calibri"/>
            <family val="2"/>
            <scheme val="minor"/>
          </rPr>
          <t>Petr Čala:
Rural sector</t>
        </r>
      </text>
    </comment>
    <comment ref="BA1" authorId="0" shapeId="0" xr:uid="{EB14216E-04D8-4201-A895-4EE688F27591}">
      <text>
        <r>
          <rPr>
            <sz val="11"/>
            <color theme="1"/>
            <rFont val="Calibri"/>
            <family val="2"/>
            <scheme val="minor"/>
          </rPr>
          <t>Petr Čala:
Urban sector</t>
        </r>
      </text>
    </comment>
    <comment ref="BC1" authorId="0" shapeId="0" xr:uid="{12839DC2-F5E2-4F2A-B8CC-A2B773F33B85}">
      <text>
        <r>
          <rPr>
            <sz val="11"/>
            <color theme="1"/>
            <rFont val="Calibri"/>
            <family val="2"/>
            <scheme val="minor"/>
          </rPr>
          <t>Petr Čala:
Region - possibly dummify this</t>
        </r>
      </text>
    </comment>
    <comment ref="BL1" authorId="0" shapeId="0" xr:uid="{A40415ED-72F8-42FB-A7CC-39DE631832DE}">
      <text>
        <r>
          <rPr>
            <sz val="11"/>
            <color theme="1"/>
            <rFont val="Calibri"/>
            <family val="2"/>
            <scheme val="minor"/>
          </rPr>
          <t>Petr Čala:
Logarithm of median monthly expenditure in that country around year 2000</t>
        </r>
      </text>
    </comment>
    <comment ref="BM1" authorId="0" shapeId="0" xr:uid="{EA7ED24E-180E-4FCB-86EA-19112E08F76F}">
      <text>
        <r>
          <rPr>
            <sz val="11"/>
            <color theme="1"/>
            <rFont val="Calibri"/>
            <family val="2"/>
            <scheme val="minor"/>
          </rPr>
          <t>Petr Čala:
Logarithm of the minimal monthly wage in that country around year 2000</t>
        </r>
      </text>
    </comment>
    <comment ref="BN1" authorId="0" shapeId="0" xr:uid="{58357689-5C74-4426-92C7-12B4CFFACED0}">
      <text>
        <r>
          <rPr>
            <sz val="11"/>
            <color theme="1"/>
            <rFont val="Calibri"/>
            <family val="2"/>
            <scheme val="minor"/>
          </rPr>
          <t>Petr Čala:
Mean age of subjects</t>
        </r>
      </text>
    </comment>
    <comment ref="BP1" authorId="0" shapeId="0" xr:uid="{2037460F-03CB-4578-A14A-5E30581D1821}">
      <text>
        <r>
          <rPr>
            <sz val="11"/>
            <color theme="1"/>
            <rFont val="Calibri"/>
            <family val="2"/>
            <scheme val="minor"/>
          </rPr>
          <t>Petr Čala:
Double hurdle model</t>
        </r>
      </text>
    </comment>
    <comment ref="BQ1" authorId="0" shapeId="0" xr:uid="{C84A2E35-1FB6-4836-9F6E-B09386EE666B}">
      <text>
        <r>
          <rPr>
            <sz val="11"/>
            <color theme="1"/>
            <rFont val="Calibri"/>
            <family val="2"/>
            <scheme val="minor"/>
          </rPr>
          <t xml:space="preserve">Petr Čala:
Cohort years to average out the individual effect (ability)
If not enough obs, merge with FE
</t>
        </r>
      </text>
    </comment>
    <comment ref="BR1" authorId="0" shapeId="0" xr:uid="{6BF673DC-D370-48FF-9EE7-D957FA44E2A0}">
      <text>
        <r>
          <rPr>
            <sz val="11"/>
            <color theme="1"/>
            <rFont val="Calibri"/>
            <family val="2"/>
            <scheme val="minor"/>
          </rPr>
          <t xml:space="preserve">Petr Čala:
Fixed or random effects
</t>
        </r>
      </text>
    </comment>
    <comment ref="BT1" authorId="0" shapeId="0" xr:uid="{E5FA0C80-64D7-4D34-846C-6F10C7517140}">
      <text>
        <r>
          <rPr>
            <sz val="11"/>
            <color theme="1"/>
            <rFont val="Calibri"/>
            <family val="2"/>
            <scheme val="minor"/>
          </rPr>
          <t>Petr Čala:
Heckman regression model</t>
        </r>
      </text>
    </comment>
    <comment ref="BW1" authorId="0" shapeId="0" xr:uid="{614BBEE7-DE2D-490A-8FE4-24B95217DA1F}">
      <text>
        <r>
          <rPr>
            <sz val="11"/>
            <color theme="1"/>
            <rFont val="Calibri"/>
            <family val="2"/>
            <scheme val="minor"/>
          </rPr>
          <t>Petr Čala:
Ability is measured directly by IQ or other measure</t>
        </r>
      </text>
    </comment>
    <comment ref="BX1" authorId="0" shapeId="0" xr:uid="{5212971E-D60A-44CC-83AE-1A4CD83288A4}">
      <text>
        <r>
          <rPr>
            <sz val="11"/>
            <color theme="1"/>
            <rFont val="Calibri"/>
            <family val="2"/>
            <scheme val="minor"/>
          </rPr>
          <t>Petr Čala:
Innate ability is not measured in the equation, but a proxy is used to control for ability or ability bias</t>
        </r>
      </text>
    </comment>
    <comment ref="BY1" authorId="0" shapeId="0" xr:uid="{56B8A47C-0400-43DB-9300-C8C1044CF683}">
      <text>
        <r>
          <rPr>
            <sz val="11"/>
            <color theme="1"/>
            <rFont val="Calibri"/>
            <family val="2"/>
            <scheme val="minor"/>
          </rPr>
          <t>Petr Čala:
Ability or ability bias is not controlled for</t>
        </r>
      </text>
    </comment>
    <comment ref="BZ1" authorId="0" shapeId="0" xr:uid="{B40B9D62-FF0E-4148-9A4B-2E3E51098E33}">
      <text>
        <r>
          <rPr>
            <sz val="11"/>
            <color theme="1"/>
            <rFont val="Calibri"/>
            <family val="2"/>
            <scheme val="minor"/>
          </rPr>
          <t>Petr Čala:
ability bias is not mentioned anywhere in the study</t>
        </r>
      </text>
    </comment>
    <comment ref="CA1" authorId="0" shapeId="0" xr:uid="{9A8261D2-8AB9-49DB-8721-65B7C4E816A8}">
      <text>
        <r>
          <rPr>
            <sz val="11"/>
            <color theme="1"/>
            <rFont val="Calibri"/>
            <family val="2"/>
            <scheme val="minor"/>
          </rPr>
          <t>Petr Čala:
The study uses parents' education as an instrument for the estimate</t>
        </r>
      </text>
    </comment>
    <comment ref="CB1" authorId="0" shapeId="0" xr:uid="{C8820DE7-C104-41E6-A4D9-C15CFD524FB1}">
      <text>
        <r>
          <rPr>
            <sz val="11"/>
            <color theme="1"/>
            <rFont val="Calibri"/>
            <family val="2"/>
            <scheme val="minor"/>
          </rPr>
          <t>Petr Čala:
Distance to school or school per area</t>
        </r>
      </text>
    </comment>
    <comment ref="CC1" authorId="0" shapeId="0" xr:uid="{B4715B28-01A5-42D6-8030-6947A9FCB801}">
      <text>
        <r>
          <rPr>
            <sz val="11"/>
            <color theme="1"/>
            <rFont val="Calibri"/>
            <family val="2"/>
            <scheme val="minor"/>
          </rPr>
          <t>Petr Čala:
The instrument is a spouse education</t>
        </r>
      </text>
    </comment>
    <comment ref="CD1" authorId="0" shapeId="0" xr:uid="{8E06F324-F660-4919-9A2C-B109E3D71179}">
      <text>
        <r>
          <rPr>
            <sz val="11"/>
            <color theme="1"/>
            <rFont val="Calibri"/>
            <family val="2"/>
            <scheme val="minor"/>
          </rPr>
          <t>Petr Čala:
The instrument is a marital status, i.e. whether the individual is married (dummy)</t>
        </r>
      </text>
    </comment>
    <comment ref="CE1" authorId="0" shapeId="0" xr:uid="{321E24AE-C433-479E-A859-6C7D7D2810FB}">
      <text>
        <r>
          <rPr>
            <sz val="11"/>
            <color theme="1"/>
            <rFont val="Calibri"/>
            <family val="2"/>
            <scheme val="minor"/>
          </rPr>
          <t>Petr Čala:
The instrument is the number of siblings</t>
        </r>
      </text>
    </comment>
    <comment ref="CF1" authorId="0" shapeId="0" xr:uid="{02EA37A0-988E-4930-8DAD-C995DFC3FDB6}">
      <text>
        <r>
          <rPr>
            <sz val="11"/>
            <color theme="1"/>
            <rFont val="Calibri"/>
            <family val="2"/>
            <scheme val="minor"/>
          </rPr>
          <t>Petr Čala:
The study uses another instrument</t>
        </r>
      </text>
    </comment>
    <comment ref="CG1" authorId="0" shapeId="0" xr:uid="{1E8D3936-6A95-4CDB-9699-D5805D8B53C0}">
      <text>
        <r>
          <rPr>
            <sz val="11"/>
            <color theme="1"/>
            <rFont val="Calibri"/>
            <family val="2"/>
            <scheme val="minor"/>
          </rPr>
          <t>Petr Čala:
Age is controlled for in the Mincer equation</t>
        </r>
      </text>
    </comment>
    <comment ref="CH1" authorId="0" shapeId="0" xr:uid="{DC078FB4-8FE6-4B14-8692-C0029605EE0D}">
      <text>
        <r>
          <rPr>
            <sz val="11"/>
            <color theme="1"/>
            <rFont val="Calibri"/>
            <family val="2"/>
            <scheme val="minor"/>
          </rPr>
          <t>Petr Čala:
Squared age is controlled for in the Mincer equation</t>
        </r>
      </text>
    </comment>
    <comment ref="CI1" authorId="0" shapeId="0" xr:uid="{492BA630-AEAB-4D4A-A97C-760AA266E00D}">
      <text>
        <r>
          <rPr>
            <sz val="11"/>
            <color theme="1"/>
            <rFont val="Calibri"/>
            <family val="2"/>
            <scheme val="minor"/>
          </rPr>
          <t>Petr Čala:
Experience control in the Mincer equation</t>
        </r>
      </text>
    </comment>
    <comment ref="CJ1" authorId="0" shapeId="0" xr:uid="{040C67CB-2A31-45AB-ACAD-1BF08CBFEF8A}">
      <text>
        <r>
          <rPr>
            <sz val="11"/>
            <color theme="1"/>
            <rFont val="Calibri"/>
            <family val="2"/>
            <scheme val="minor"/>
          </rPr>
          <t>Petr Čala:
Experience squared control</t>
        </r>
      </text>
    </comment>
    <comment ref="CK1" authorId="0" shapeId="0" xr:uid="{BDD7AA6A-3C5C-4E2A-A368-D048B499109D}">
      <text>
        <r>
          <rPr>
            <sz val="11"/>
            <color theme="1"/>
            <rFont val="Calibri"/>
            <family val="2"/>
            <scheme val="minor"/>
          </rPr>
          <t>Petr Čala:
Ethnicity control in the Mincer equation</t>
        </r>
      </text>
    </comment>
    <comment ref="CL1" authorId="0" shapeId="0" xr:uid="{E980FCC8-DE1E-4ED9-85EF-B04D5685A6B1}">
      <text>
        <r>
          <rPr>
            <sz val="11"/>
            <color theme="1"/>
            <rFont val="Calibri"/>
            <family val="2"/>
            <scheme val="minor"/>
          </rPr>
          <t>Petr Čala:
Health control in the Mincer equation</t>
        </r>
      </text>
    </comment>
    <comment ref="CM1" authorId="0" shapeId="0" xr:uid="{9558BADC-E75E-43EC-B821-4D60D2A1B214}">
      <text>
        <r>
          <rPr>
            <sz val="11"/>
            <color theme="1"/>
            <rFont val="Calibri"/>
            <family val="2"/>
            <scheme val="minor"/>
          </rPr>
          <t>Petr Čala:
Gender control in the Mincer equation</t>
        </r>
      </text>
    </comment>
    <comment ref="CN1" authorId="0" shapeId="0" xr:uid="{F07BA8E2-D8E8-4ED3-AFBE-6ADC50E25D36}">
      <text>
        <r>
          <rPr>
            <sz val="11"/>
            <color theme="1"/>
            <rFont val="Calibri"/>
            <family val="2"/>
            <scheme val="minor"/>
          </rPr>
          <t>Petr Čala:
Occupation control in the Mincer equation</t>
        </r>
      </text>
    </comment>
    <comment ref="CO1" authorId="0" shapeId="0" xr:uid="{091F33EE-4C0C-459D-BEE6-73C5DD281D8C}">
      <text>
        <r>
          <rPr>
            <sz val="11"/>
            <color theme="1"/>
            <rFont val="Calibri"/>
            <family val="2"/>
            <scheme val="minor"/>
          </rPr>
          <t>Petr Čala:
Firm characteristics control in the Mincer equation</t>
        </r>
      </text>
    </comment>
    <comment ref="CP1" authorId="0" shapeId="0" xr:uid="{5DC50CF0-3C98-4FDD-86B8-E7FF0E224820}">
      <text>
        <r>
          <rPr>
            <sz val="11"/>
            <color theme="1"/>
            <rFont val="Calibri"/>
            <family val="2"/>
            <scheme val="minor"/>
          </rPr>
          <t xml:space="preserve">Petr Čala:
Urban/rural control
</t>
        </r>
      </text>
    </comment>
    <comment ref="CQ1" authorId="0" shapeId="0" xr:uid="{515B722D-4ACC-4535-9DF3-90B425804DD0}">
      <text>
        <r>
          <rPr>
            <sz val="11"/>
            <color theme="1"/>
            <rFont val="Calibri"/>
            <family val="2"/>
            <scheme val="minor"/>
          </rPr>
          <t>Petr Čala:
Macroeconomic variables control in the Mincer equation, such as sector of activity</t>
        </r>
      </text>
    </comment>
    <comment ref="CR1" authorId="0" shapeId="0" xr:uid="{D66D4278-4184-48A0-A434-AA87ED9388A9}">
      <text>
        <r>
          <rPr>
            <sz val="11"/>
            <color theme="1"/>
            <rFont val="Calibri"/>
            <family val="2"/>
            <scheme val="minor"/>
          </rPr>
          <t>Petr Čala:
Impact factor, via tools</t>
        </r>
      </text>
    </comment>
    <comment ref="CS1" authorId="0" shapeId="0" xr:uid="{D3CDC65E-BE66-4F02-92FA-2205137251A1}">
      <text>
        <r>
          <rPr>
            <sz val="11"/>
            <color theme="1"/>
            <rFont val="Calibri"/>
            <family val="2"/>
            <scheme val="minor"/>
          </rPr>
          <t>Petr Čala:
Log number of citations in google scholar</t>
        </r>
      </text>
    </comment>
    <comment ref="CT1" authorId="0" shapeId="0" xr:uid="{1986605E-2137-432D-9036-23487D823F8E}">
      <text>
        <r>
          <rPr>
            <sz val="11"/>
            <color theme="1"/>
            <rFont val="Calibri"/>
            <family val="2"/>
            <scheme val="minor"/>
          </rPr>
          <t>Petr Čala:
1 if published in journal, 0 if working/discussion paper</t>
        </r>
      </text>
    </comment>
    <comment ref="CV1" authorId="0" shapeId="0" xr:uid="{0B4D98D0-57DB-434C-883B-D57B29118764}">
      <text>
        <r>
          <rPr>
            <sz val="11"/>
            <color theme="1"/>
            <rFont val="Calibri"/>
            <family val="2"/>
            <scheme val="minor"/>
          </rPr>
          <t>Petr Čala:
The year the study was published minus the minimum publication year of the sample</t>
        </r>
      </text>
    </comment>
    <comment ref="CW1" authorId="0" shapeId="0" xr:uid="{FA7E7F59-7496-45F1-B10D-40924E10BDC2}">
      <text>
        <r>
          <rPr>
            <sz val="11"/>
            <color theme="1"/>
            <rFont val="Calibri"/>
            <family val="2"/>
            <scheme val="minor"/>
          </rPr>
          <t>Petr Čala:
placeholder columns, for which data will be added during code preprocessing</t>
        </r>
      </text>
    </comment>
    <comment ref="D2" authorId="0" shapeId="0" xr:uid="{43154A77-69FC-49E0-85E3-8E1FA09A4768}">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875FD3-0A84-4A6E-8DBB-19BE1772F4B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06CF5C0C-B025-46DB-9415-AEE431182CAB}">
      <text>
        <r>
          <rPr>
            <sz val="11"/>
            <color theme="1"/>
            <rFont val="Calibri"/>
            <family val="2"/>
            <scheme val="minor"/>
          </rPr>
          <t>Petr Čala:
Base set listed, then dummies, and interaction terms</t>
        </r>
      </text>
    </comment>
    <comment ref="D81" authorId="0" shapeId="0" xr:uid="{A08902A6-6A02-40F3-88C8-7508F9B23A85}">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2B01A97F-9B02-4CE1-B9F7-DEBDC095C025}">
      <text>
        <r>
          <rPr>
            <sz val="11"/>
            <color theme="1"/>
            <rFont val="Calibri"/>
            <family val="2"/>
            <scheme val="minor"/>
          </rPr>
          <t>Petr Čala:
Delta of the t ratio of the two statistics</t>
        </r>
      </text>
    </comment>
    <comment ref="Y84" authorId="0" shapeId="0" xr:uid="{C67B7B43-2486-45F8-AFD9-CA8C0245EF71}">
      <text>
        <r>
          <rPr>
            <sz val="11"/>
            <color theme="1"/>
            <rFont val="Calibri"/>
            <family val="2"/>
            <scheme val="minor"/>
          </rPr>
          <t>Petr Čala:
Self calculated based on table A.1</t>
        </r>
      </text>
    </comment>
    <comment ref="D137" authorId="0" shapeId="0" xr:uid="{233B88AD-20AE-4CEE-A202-DD88FD202DE3}">
      <text>
        <r>
          <rPr>
            <sz val="11"/>
            <color theme="1"/>
            <rFont val="Calibri"/>
            <family val="2"/>
            <scheme val="minor"/>
          </rPr>
          <t>Petr Čala:
Calculated as
(exp(prim_ols)-1)/years prim</t>
        </r>
      </text>
    </comment>
    <comment ref="D138" authorId="0" shapeId="0" xr:uid="{838EBC6D-E688-4516-8F78-1AEF4F5B2C0F}">
      <text>
        <r>
          <rPr>
            <sz val="11"/>
            <color theme="1"/>
            <rFont val="Calibri"/>
            <family val="2"/>
            <scheme val="minor"/>
          </rPr>
          <t>Petr Čala:
Calculated as
(exp(sec_ols) - exp(prim_ols))/(years_sec - years_prim)</t>
        </r>
      </text>
    </comment>
    <comment ref="F138" authorId="0" shapeId="0" xr:uid="{AA62D7FD-A746-4100-97B8-3FBAA3919527}">
      <text>
        <r>
          <rPr>
            <sz val="11"/>
            <color theme="1"/>
            <rFont val="Calibri"/>
            <family val="2"/>
            <scheme val="minor"/>
          </rPr>
          <t>Petr Čala:
SQRT(t_sec^2+t_prim^2)</t>
        </r>
      </text>
    </comment>
    <comment ref="AO175" authorId="0" shapeId="0" xr:uid="{CD23C877-6B07-411C-85C1-0BC85C4FDE7E}">
      <text>
        <r>
          <rPr>
            <sz val="11"/>
            <color theme="1"/>
            <rFont val="Calibri"/>
            <family val="2"/>
            <scheme val="minor"/>
          </rPr>
          <t>Petr Čala:
Estimate</t>
        </r>
      </text>
    </comment>
    <comment ref="AO191" authorId="0" shapeId="0" xr:uid="{5CB5AF41-F282-46A6-A4B2-6DECDBC65393}">
      <text>
        <r>
          <rPr>
            <sz val="11"/>
            <color theme="1"/>
            <rFont val="Calibri"/>
            <family val="2"/>
            <scheme val="minor"/>
          </rPr>
          <t>Petr Čala:
Estimate</t>
        </r>
      </text>
    </comment>
    <comment ref="AO195" authorId="0" shapeId="0" xr:uid="{DA705B83-714D-4C1A-B044-763037652ED2}">
      <text>
        <r>
          <rPr>
            <sz val="11"/>
            <color theme="1"/>
            <rFont val="Calibri"/>
            <family val="2"/>
            <scheme val="minor"/>
          </rPr>
          <t>Petr Čala:
Estimate</t>
        </r>
      </text>
    </comment>
    <comment ref="AO311" authorId="0" shapeId="0" xr:uid="{59545EFC-FCC7-4160-A6F6-F927688B8F85}">
      <text>
        <r>
          <rPr>
            <sz val="11"/>
            <color theme="1"/>
            <rFont val="Calibri"/>
            <family val="2"/>
            <scheme val="minor"/>
          </rPr>
          <t>Petr Čala:
Roughly estimated - only clue is that 56 percent have education primary or less</t>
        </r>
      </text>
    </comment>
    <comment ref="Z768" authorId="0" shapeId="0" xr:uid="{78F3E2C8-D6D3-4ED9-B554-E5027D71C132}">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E37613DE-7021-40BD-BF85-B0AFA32233C9}">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FBB0106A-C169-4F95-8EB5-ECC09234B71A}">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4073A851-2203-42A8-B412-4A0DCE9ECF20}">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538446A4-D688-4B20-974D-C9B3A9E0C457}">
      <text>
        <r>
          <rPr>
            <b/>
            <sz val="9"/>
            <color indexed="81"/>
            <rFont val="Tahoma"/>
            <family val="2"/>
            <charset val="238"/>
          </rPr>
          <t>Petr Čala:</t>
        </r>
        <r>
          <rPr>
            <sz val="9"/>
            <color indexed="81"/>
            <rFont val="Tahoma"/>
            <family val="2"/>
            <charset val="238"/>
          </rPr>
          <t xml:space="preserve">
maybe remove later</t>
        </r>
      </text>
    </comment>
    <comment ref="K25" authorId="0" shapeId="0" xr:uid="{ED84A71A-3325-4DE1-9F39-414427B0B07A}">
      <text>
        <r>
          <rPr>
            <b/>
            <sz val="9"/>
            <color indexed="81"/>
            <rFont val="Tahoma"/>
            <family val="2"/>
            <charset val="238"/>
          </rPr>
          <t>Petr Čala:</t>
        </r>
        <r>
          <rPr>
            <sz val="9"/>
            <color indexed="81"/>
            <rFont val="Tahoma"/>
            <family val="2"/>
            <charset val="238"/>
          </rPr>
          <t xml:space="preserve">
maybe remove later</t>
        </r>
      </text>
    </comment>
    <comment ref="E41" authorId="0" shapeId="0" xr:uid="{00000000-0006-0000-0100-00000B000000}">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0000000-0006-0000-0100-00000C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600-000001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00000000-0006-0000-0600-000002000000}">
      <text>
        <r>
          <rPr>
            <b/>
            <sz val="9"/>
            <color indexed="81"/>
            <rFont val="Tahoma"/>
            <family val="2"/>
            <charset val="238"/>
          </rPr>
          <t>Petr Čala:</t>
        </r>
        <r>
          <rPr>
            <sz val="9"/>
            <color indexed="81"/>
            <rFont val="Tahoma"/>
            <family val="2"/>
            <charset val="238"/>
          </rPr>
          <t xml:space="preserve">
maybe remove later</t>
        </r>
      </text>
    </comment>
    <comment ref="A101" authorId="0" shapeId="0" xr:uid="{00000000-0006-0000-0600-000003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<sst xmlns="http://schemas.openxmlformats.org/spreadsheetml/2006/main" count="12189" uniqueCount="4209">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</sst>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0" fillId="0" borderId="0" xfId="0"/>
    <xf numFmtId="0" fontId="0" fillId="0" borderId="2" xfId="0" applyBorder="1"/>
    <xf numFmtId="0" fontId="4" fillId="15" borderId="0" xfId="0" applyFont="1" applyFill="1"/>
    <xf numFmtId="0" fontId="4" fillId="14" borderId="2" xfId="0" applyFont="1" applyFill="1" applyBorder="1"/>
  </cellXfs>
  <cellStyles count="4">
    <cellStyle name="Currency" xfId="1" builtinId="4"/>
    <cellStyle name="Currency 2" xfId="3" xr:uid="{0F0AAB56-D1A4-47C6-B681-AEDA2674E894}"/>
    <cellStyle name="Hyperlink" xfId="2" builtinId="8"/>
    <cellStyle name="Normal" xfId="0" builtinId="0"/>
  </cellStyles>
  <dxfs count="22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28">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1661"/>
  <sheetViews>
    <sheetView tabSelected="1" zoomScaleNormal="100" workbookViewId="0">
      <pane xSplit="4" ySplit="1" topLeftCell="E1093" activePane="bottomRight" state="frozen"/>
      <selection activeCell="D526" sqref="D526"/>
      <selection pane="topRight" activeCell="D526" sqref="D526"/>
      <selection pane="bottomLeft" activeCell="D526" sqref="D526"/>
      <selection pane="bottomRight" activeCell="G1106" sqref="G1106"/>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65" width="8.7109375" customWidth="1"/>
    <col min="66" max="66" width="8.7109375" style="25" customWidth="1"/>
    <col min="67" max="74" width="8.7109375" customWidth="1"/>
    <col min="75" max="75" width="8.5703125" customWidth="1"/>
    <col min="76" max="100" width="8.7109375"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4026</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126</v>
      </c>
      <c r="AD1" s="2" t="s">
        <v>141</v>
      </c>
      <c r="AE1" s="2" t="s">
        <v>136</v>
      </c>
      <c r="AF1" s="2" t="s">
        <v>127</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498</v>
      </c>
      <c r="CE1" s="4" t="s">
        <v>4064</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4029</v>
      </c>
      <c r="CX1" s="128" t="s">
        <v>4031</v>
      </c>
      <c r="CY1" s="128" t="s">
        <v>467</v>
      </c>
      <c r="CZ1" s="128" t="s">
        <v>468</v>
      </c>
      <c r="DA1" s="128" t="s">
        <v>469</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1</v>
      </c>
      <c r="AD2" s="9">
        <v>0</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12</v>
      </c>
      <c r="DB2" s="34"/>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0</v>
      </c>
      <c r="AD3" s="9">
        <v>0</v>
      </c>
      <c r="AE3" s="9">
        <v>0</v>
      </c>
      <c r="AF3" s="9">
        <v>1</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12</v>
      </c>
      <c r="DB3" s="34"/>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1</v>
      </c>
      <c r="AD4" s="9">
        <v>0</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12</v>
      </c>
      <c r="DB4" s="34"/>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0</v>
      </c>
      <c r="AD5" s="60">
        <v>0</v>
      </c>
      <c r="AE5" s="60">
        <v>0</v>
      </c>
      <c r="AF5" s="60">
        <v>1</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12</v>
      </c>
      <c r="CW5" s="68"/>
      <c r="DB5" s="68"/>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0</v>
      </c>
      <c r="AD6" s="9">
        <v>0</v>
      </c>
      <c r="AE6" s="9">
        <v>0</v>
      </c>
      <c r="AF6" s="9">
        <v>1</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17</v>
      </c>
      <c r="DB6" s="34"/>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0</v>
      </c>
      <c r="AD7" s="9">
        <v>0</v>
      </c>
      <c r="AE7" s="9">
        <v>0</v>
      </c>
      <c r="AF7" s="9">
        <v>1</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17</v>
      </c>
      <c r="DB7" s="34"/>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0</v>
      </c>
      <c r="AD8" s="9">
        <v>0</v>
      </c>
      <c r="AE8" s="9">
        <v>0</v>
      </c>
      <c r="AF8" s="9">
        <v>1</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17</v>
      </c>
      <c r="DB8" s="34"/>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0</v>
      </c>
      <c r="AD9" s="9">
        <v>0</v>
      </c>
      <c r="AE9" s="9">
        <v>0</v>
      </c>
      <c r="AF9" s="9">
        <v>1</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17</v>
      </c>
      <c r="DB9" s="34"/>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0</v>
      </c>
      <c r="AD10" s="9">
        <v>0</v>
      </c>
      <c r="AE10" s="9">
        <v>0</v>
      </c>
      <c r="AF10" s="9">
        <v>1</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17</v>
      </c>
      <c r="DB10" s="34"/>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0</v>
      </c>
      <c r="AD11" s="9">
        <v>0</v>
      </c>
      <c r="AE11" s="9">
        <v>0</v>
      </c>
      <c r="AF11" s="9">
        <v>1</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17</v>
      </c>
      <c r="DB11" s="34"/>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0</v>
      </c>
      <c r="AD12" s="9">
        <v>0</v>
      </c>
      <c r="AE12" s="9">
        <v>0</v>
      </c>
      <c r="AF12" s="9">
        <v>1</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17</v>
      </c>
      <c r="DB12" s="34"/>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0</v>
      </c>
      <c r="AD13" s="9">
        <v>0</v>
      </c>
      <c r="AE13" s="9">
        <v>0</v>
      </c>
      <c r="AF13" s="9">
        <v>1</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17</v>
      </c>
      <c r="DB13" s="34"/>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0</v>
      </c>
      <c r="AD14" s="9">
        <v>0</v>
      </c>
      <c r="AE14" s="9">
        <v>0</v>
      </c>
      <c r="AF14" s="9">
        <v>1</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17</v>
      </c>
      <c r="DB14" s="34"/>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0</v>
      </c>
      <c r="AD15" s="9">
        <v>0</v>
      </c>
      <c r="AE15" s="9">
        <v>0</v>
      </c>
      <c r="AF15" s="9">
        <v>1</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17</v>
      </c>
      <c r="DB15" s="34"/>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0</v>
      </c>
      <c r="AD16" s="9">
        <v>0</v>
      </c>
      <c r="AE16" s="9">
        <v>0</v>
      </c>
      <c r="AF16" s="9">
        <v>1</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17</v>
      </c>
      <c r="DB16" s="34"/>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0</v>
      </c>
      <c r="AD17" s="9">
        <v>0</v>
      </c>
      <c r="AE17" s="9">
        <v>0</v>
      </c>
      <c r="AF17" s="9">
        <v>1</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17</v>
      </c>
      <c r="DB17" s="34"/>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0</v>
      </c>
      <c r="AD18" s="9">
        <v>0</v>
      </c>
      <c r="AE18" s="9">
        <v>0</v>
      </c>
      <c r="AF18" s="9">
        <v>1</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17</v>
      </c>
      <c r="DB18" s="34"/>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0</v>
      </c>
      <c r="AD19" s="9">
        <v>0</v>
      </c>
      <c r="AE19" s="9">
        <v>0</v>
      </c>
      <c r="AF19" s="9">
        <v>1</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17</v>
      </c>
      <c r="DB19" s="34"/>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0</v>
      </c>
      <c r="AD20" s="9">
        <v>0</v>
      </c>
      <c r="AE20" s="9">
        <v>0</v>
      </c>
      <c r="AF20" s="9">
        <v>1</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17</v>
      </c>
      <c r="DB20" s="34"/>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0</v>
      </c>
      <c r="AD21" s="9">
        <v>0</v>
      </c>
      <c r="AE21" s="9">
        <v>0</v>
      </c>
      <c r="AF21" s="9">
        <v>1</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17</v>
      </c>
      <c r="DB21" s="34"/>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0</v>
      </c>
      <c r="AD22" s="9">
        <v>0</v>
      </c>
      <c r="AE22" s="9">
        <v>0</v>
      </c>
      <c r="AF22" s="9">
        <v>1</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17</v>
      </c>
      <c r="DB22" s="34"/>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0</v>
      </c>
      <c r="AD23" s="9">
        <v>0</v>
      </c>
      <c r="AE23" s="9">
        <v>0</v>
      </c>
      <c r="AF23" s="9">
        <v>1</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17</v>
      </c>
      <c r="DB23" s="34"/>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0</v>
      </c>
      <c r="AD24" s="9">
        <v>0</v>
      </c>
      <c r="AE24" s="9">
        <v>0</v>
      </c>
      <c r="AF24" s="9">
        <v>1</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17</v>
      </c>
      <c r="DB24" s="34"/>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0</v>
      </c>
      <c r="AD25" s="9">
        <v>0</v>
      </c>
      <c r="AE25" s="9">
        <v>0</v>
      </c>
      <c r="AF25" s="9">
        <v>1</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17</v>
      </c>
      <c r="DB25" s="34"/>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0</v>
      </c>
      <c r="AD26" s="9">
        <v>0</v>
      </c>
      <c r="AE26" s="9">
        <v>0</v>
      </c>
      <c r="AF26" s="9">
        <v>1</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17</v>
      </c>
      <c r="DB26" s="34"/>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0</v>
      </c>
      <c r="AD27" s="9">
        <v>0</v>
      </c>
      <c r="AE27" s="9">
        <v>0</v>
      </c>
      <c r="AF27" s="9">
        <v>1</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17</v>
      </c>
      <c r="DB27" s="34"/>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0</v>
      </c>
      <c r="AD28" s="9">
        <v>0</v>
      </c>
      <c r="AE28" s="9">
        <v>0</v>
      </c>
      <c r="AF28" s="9">
        <v>1</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17</v>
      </c>
      <c r="DB28" s="34"/>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0</v>
      </c>
      <c r="AD29" s="9">
        <v>0</v>
      </c>
      <c r="AE29" s="9">
        <v>0</v>
      </c>
      <c r="AF29" s="9">
        <v>1</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17</v>
      </c>
      <c r="DB29" s="34"/>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0</v>
      </c>
      <c r="AD30" s="9">
        <v>0</v>
      </c>
      <c r="AE30" s="9">
        <v>0</v>
      </c>
      <c r="AF30" s="9">
        <v>1</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17</v>
      </c>
      <c r="DB30" s="34"/>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0</v>
      </c>
      <c r="AD31" s="9">
        <v>0</v>
      </c>
      <c r="AE31" s="9">
        <v>0</v>
      </c>
      <c r="AF31" s="9">
        <v>1</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17</v>
      </c>
      <c r="DB31" s="34"/>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0</v>
      </c>
      <c r="AD32" s="9">
        <v>0</v>
      </c>
      <c r="AE32" s="9">
        <v>0</v>
      </c>
      <c r="AF32" s="9">
        <v>1</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17</v>
      </c>
      <c r="DB32" s="34"/>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0</v>
      </c>
      <c r="AD33" s="9">
        <v>0</v>
      </c>
      <c r="AE33" s="9">
        <v>0</v>
      </c>
      <c r="AF33" s="9">
        <v>1</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17</v>
      </c>
      <c r="DB33" s="34"/>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0</v>
      </c>
      <c r="AD34" s="9">
        <v>0</v>
      </c>
      <c r="AE34" s="9">
        <v>0</v>
      </c>
      <c r="AF34" s="9">
        <v>1</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17</v>
      </c>
      <c r="DB34" s="34"/>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0</v>
      </c>
      <c r="AD35" s="9">
        <v>0</v>
      </c>
      <c r="AE35" s="9">
        <v>0</v>
      </c>
      <c r="AF35" s="9">
        <v>1</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17</v>
      </c>
      <c r="DB35" s="34"/>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0</v>
      </c>
      <c r="AD36" s="9">
        <v>0</v>
      </c>
      <c r="AE36" s="9">
        <v>0</v>
      </c>
      <c r="AF36" s="9">
        <v>1</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17</v>
      </c>
      <c r="DB36" s="34"/>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0</v>
      </c>
      <c r="AD37" s="9">
        <v>0</v>
      </c>
      <c r="AE37" s="9">
        <v>0</v>
      </c>
      <c r="AF37" s="9">
        <v>1</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17</v>
      </c>
      <c r="DB37" s="34"/>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0</v>
      </c>
      <c r="AD38" s="9">
        <v>0</v>
      </c>
      <c r="AE38" s="9">
        <v>0</v>
      </c>
      <c r="AF38" s="9">
        <v>1</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17</v>
      </c>
      <c r="DB38" s="34"/>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0</v>
      </c>
      <c r="AD39" s="9">
        <v>0</v>
      </c>
      <c r="AE39" s="9">
        <v>0</v>
      </c>
      <c r="AF39" s="9">
        <v>1</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17</v>
      </c>
      <c r="DB39" s="34"/>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0</v>
      </c>
      <c r="AD40" s="9">
        <v>0</v>
      </c>
      <c r="AE40" s="9">
        <v>0</v>
      </c>
      <c r="AF40" s="9">
        <v>1</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17</v>
      </c>
      <c r="DB40" s="34"/>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0</v>
      </c>
      <c r="AD41" s="9">
        <v>0</v>
      </c>
      <c r="AE41" s="9">
        <v>0</v>
      </c>
      <c r="AF41" s="9">
        <v>1</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17</v>
      </c>
      <c r="DB41" s="34"/>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0</v>
      </c>
      <c r="AD42" s="9">
        <v>0</v>
      </c>
      <c r="AE42" s="9">
        <v>0</v>
      </c>
      <c r="AF42" s="9">
        <v>1</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17</v>
      </c>
      <c r="DB42" s="34"/>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0</v>
      </c>
      <c r="AD43" s="9">
        <v>0</v>
      </c>
      <c r="AE43" s="9">
        <v>0</v>
      </c>
      <c r="AF43" s="9">
        <v>1</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17</v>
      </c>
      <c r="DB43" s="34"/>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0</v>
      </c>
      <c r="AD44" s="9">
        <v>0</v>
      </c>
      <c r="AE44" s="9">
        <v>0</v>
      </c>
      <c r="AF44" s="9">
        <v>1</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17</v>
      </c>
      <c r="DB44" s="34"/>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0</v>
      </c>
      <c r="AD45" s="9">
        <v>0</v>
      </c>
      <c r="AE45" s="9">
        <v>0</v>
      </c>
      <c r="AF45" s="9">
        <v>1</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17</v>
      </c>
      <c r="DB45" s="34"/>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0</v>
      </c>
      <c r="AD46" s="9">
        <v>0</v>
      </c>
      <c r="AE46" s="9">
        <v>0</v>
      </c>
      <c r="AF46" s="9">
        <v>1</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17</v>
      </c>
      <c r="DB46" s="34"/>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0</v>
      </c>
      <c r="AD47" s="9">
        <v>0</v>
      </c>
      <c r="AE47" s="9">
        <v>0</v>
      </c>
      <c r="AF47" s="9">
        <v>1</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17</v>
      </c>
      <c r="DB47" s="34"/>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0</v>
      </c>
      <c r="AD48" s="9">
        <v>0</v>
      </c>
      <c r="AE48" s="9">
        <v>0</v>
      </c>
      <c r="AF48" s="9">
        <v>1</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17</v>
      </c>
      <c r="DB48" s="34"/>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0</v>
      </c>
      <c r="AD49" s="9">
        <v>0</v>
      </c>
      <c r="AE49" s="9">
        <v>0</v>
      </c>
      <c r="AF49" s="9">
        <v>1</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17</v>
      </c>
      <c r="DB49" s="34"/>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0</v>
      </c>
      <c r="AD50" s="9">
        <v>0</v>
      </c>
      <c r="AE50" s="9">
        <v>0</v>
      </c>
      <c r="AF50" s="9">
        <v>1</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17</v>
      </c>
      <c r="DB50" s="34"/>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0</v>
      </c>
      <c r="AD51" s="9">
        <v>0</v>
      </c>
      <c r="AE51" s="9">
        <v>0</v>
      </c>
      <c r="AF51" s="9">
        <v>1</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17</v>
      </c>
      <c r="DB51" s="34"/>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0</v>
      </c>
      <c r="AD52" s="9">
        <v>0</v>
      </c>
      <c r="AE52" s="9">
        <v>0</v>
      </c>
      <c r="AF52" s="9">
        <v>1</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17</v>
      </c>
      <c r="DB52" s="34"/>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0</v>
      </c>
      <c r="AD53" s="60">
        <v>0</v>
      </c>
      <c r="AE53" s="60">
        <v>0</v>
      </c>
      <c r="AF53" s="60">
        <v>1</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17</v>
      </c>
      <c r="CW53" s="68"/>
      <c r="DB53" s="68"/>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1</v>
      </c>
      <c r="AD54" s="9">
        <v>0</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10</v>
      </c>
      <c r="DB54" s="34"/>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1</v>
      </c>
      <c r="AD55" s="9">
        <v>0</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10</v>
      </c>
      <c r="DB55" s="34"/>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1</v>
      </c>
      <c r="AD56" s="9">
        <v>0</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10</v>
      </c>
      <c r="DB56" s="34"/>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1</v>
      </c>
      <c r="AD57" s="9">
        <v>0</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10</v>
      </c>
      <c r="DB57" s="34"/>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1</v>
      </c>
      <c r="AD58" s="9">
        <v>0</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10</v>
      </c>
      <c r="DB58" s="34"/>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1</v>
      </c>
      <c r="AD59" s="9">
        <v>0</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10</v>
      </c>
      <c r="DB59" s="34"/>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1</v>
      </c>
      <c r="AD60" s="9">
        <v>0</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10</v>
      </c>
      <c r="DB60" s="34"/>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1</v>
      </c>
      <c r="AD61" s="9">
        <v>0</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10</v>
      </c>
      <c r="DB61" s="34"/>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1</v>
      </c>
      <c r="AD62" s="9">
        <v>0</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10</v>
      </c>
      <c r="DB62" s="34"/>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1</v>
      </c>
      <c r="AD63" s="60">
        <v>0</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10</v>
      </c>
      <c r="CW63" s="68"/>
      <c r="DB63" s="68"/>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1</v>
      </c>
      <c r="AD64" s="9">
        <v>0</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14</v>
      </c>
      <c r="DB64" s="34"/>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1</v>
      </c>
      <c r="AD65" s="9">
        <v>0</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14</v>
      </c>
      <c r="DB65" s="34"/>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1</v>
      </c>
      <c r="AD66" s="9">
        <v>0</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14</v>
      </c>
      <c r="DB66" s="34"/>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1</v>
      </c>
      <c r="AD67" s="9">
        <v>0</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14</v>
      </c>
      <c r="DB67" s="34"/>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1</v>
      </c>
      <c r="AD68" s="60">
        <v>0</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14</v>
      </c>
      <c r="CW68" s="68"/>
      <c r="DB68" s="68"/>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1</v>
      </c>
      <c r="AD69" s="9">
        <v>0</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24</v>
      </c>
      <c r="DB69" s="34"/>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1</v>
      </c>
      <c r="AD70" s="9">
        <v>0</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24</v>
      </c>
      <c r="DB70" s="34"/>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1</v>
      </c>
      <c r="AD71" s="9">
        <v>0</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24</v>
      </c>
      <c r="DB71" s="34"/>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1</v>
      </c>
      <c r="AD72" s="9">
        <v>0</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24</v>
      </c>
      <c r="DB72" s="34"/>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1</v>
      </c>
      <c r="AD73" s="9">
        <v>0</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24</v>
      </c>
      <c r="DB73" s="34"/>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1</v>
      </c>
      <c r="AD74" s="9">
        <v>0</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24</v>
      </c>
      <c r="DB74" s="34"/>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1</v>
      </c>
      <c r="AD75" s="9">
        <v>0</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24</v>
      </c>
      <c r="DB75" s="34"/>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1</v>
      </c>
      <c r="AD76" s="60">
        <v>0</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24</v>
      </c>
      <c r="CW76" s="68"/>
      <c r="DB76" s="68"/>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1</v>
      </c>
      <c r="AF77" s="9">
        <v>0</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8</v>
      </c>
      <c r="DB77" s="34"/>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1</v>
      </c>
      <c r="AF78" s="9">
        <v>0</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8</v>
      </c>
      <c r="DB78" s="34"/>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1</v>
      </c>
      <c r="AF79" s="9">
        <v>0</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8</v>
      </c>
      <c r="DB79" s="34"/>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1</v>
      </c>
      <c r="AF80" s="60">
        <v>0</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8</v>
      </c>
      <c r="CW80" s="68"/>
      <c r="DB80" s="68"/>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1</v>
      </c>
      <c r="AF81" s="9">
        <v>0</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8</v>
      </c>
      <c r="DB81" s="34"/>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1</v>
      </c>
      <c r="AF82" s="9">
        <v>0</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8</v>
      </c>
      <c r="DB82" s="34"/>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1</v>
      </c>
      <c r="AF83" s="60">
        <v>0</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8</v>
      </c>
      <c r="CW83" s="68"/>
      <c r="DB83" s="68"/>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0</v>
      </c>
      <c r="AD84" s="9">
        <v>0</v>
      </c>
      <c r="AE84" s="9">
        <v>0</v>
      </c>
      <c r="AF84" s="9">
        <v>1</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17</v>
      </c>
      <c r="DB84" s="34"/>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0</v>
      </c>
      <c r="AD85" s="9">
        <v>0</v>
      </c>
      <c r="AE85" s="9">
        <v>0</v>
      </c>
      <c r="AF85" s="9">
        <v>1</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17</v>
      </c>
      <c r="DB85" s="34"/>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0</v>
      </c>
      <c r="AD86" s="9">
        <v>0</v>
      </c>
      <c r="AE86" s="9">
        <v>0</v>
      </c>
      <c r="AF86" s="9">
        <v>1</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17</v>
      </c>
      <c r="DB86" s="34"/>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0</v>
      </c>
      <c r="AD87" s="60">
        <v>0</v>
      </c>
      <c r="AE87" s="60">
        <v>0</v>
      </c>
      <c r="AF87" s="60">
        <v>1</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17</v>
      </c>
      <c r="CW87" s="68"/>
      <c r="DB87" s="68"/>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1</v>
      </c>
      <c r="AD88" s="9">
        <v>0</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10</v>
      </c>
      <c r="DB88" s="34"/>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1</v>
      </c>
      <c r="AD89" s="9">
        <v>0</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10</v>
      </c>
      <c r="DB89" s="34"/>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1</v>
      </c>
      <c r="AD90" s="9">
        <v>0</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10</v>
      </c>
      <c r="DB90" s="34"/>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1</v>
      </c>
      <c r="AD91" s="9">
        <v>0</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10</v>
      </c>
      <c r="DB91" s="34"/>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1</v>
      </c>
      <c r="AD92" s="9">
        <v>0</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10</v>
      </c>
      <c r="DB92" s="34"/>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1</v>
      </c>
      <c r="AD93" s="9">
        <v>0</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10</v>
      </c>
      <c r="DB93" s="34"/>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1</v>
      </c>
      <c r="AD94" s="9">
        <v>0</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10</v>
      </c>
      <c r="DB94" s="34"/>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1</v>
      </c>
      <c r="AD95" s="9">
        <v>0</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10</v>
      </c>
      <c r="DB95" s="34"/>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1</v>
      </c>
      <c r="AD96" s="9">
        <v>0</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10</v>
      </c>
      <c r="DB96" s="34"/>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1</v>
      </c>
      <c r="AD97" s="9">
        <v>0</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10</v>
      </c>
      <c r="DB97" s="34"/>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1</v>
      </c>
      <c r="AD98" s="9">
        <v>0</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10</v>
      </c>
      <c r="DB98" s="34"/>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1</v>
      </c>
      <c r="AD99" s="60">
        <v>0</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10</v>
      </c>
      <c r="CW99" s="68"/>
      <c r="DB99" s="68"/>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1</v>
      </c>
      <c r="AE100" s="9">
        <v>0</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588</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2</v>
      </c>
      <c r="DB100" s="34"/>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1</v>
      </c>
      <c r="AE101" s="9">
        <v>0</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588</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2</v>
      </c>
      <c r="DB101" s="34"/>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1</v>
      </c>
      <c r="AE102" s="9">
        <v>0</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588</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2</v>
      </c>
      <c r="DB102" s="34"/>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1</v>
      </c>
      <c r="AE103" s="9">
        <v>0</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588</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2</v>
      </c>
      <c r="DB103" s="34"/>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1</v>
      </c>
      <c r="AE104" s="9">
        <v>0</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588</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2</v>
      </c>
      <c r="DB104" s="34"/>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1</v>
      </c>
      <c r="AE105" s="9">
        <v>0</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588</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2</v>
      </c>
      <c r="DB105" s="34"/>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1</v>
      </c>
      <c r="AE106" s="9">
        <v>0</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588</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2</v>
      </c>
      <c r="DB106" s="34"/>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1</v>
      </c>
      <c r="AE107" s="9">
        <v>0</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588</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2</v>
      </c>
      <c r="DB107" s="34"/>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1</v>
      </c>
      <c r="AE108" s="9">
        <v>0</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588</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2</v>
      </c>
      <c r="DB108" s="34"/>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1</v>
      </c>
      <c r="AE109" s="9">
        <v>0</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588</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2</v>
      </c>
      <c r="DB109" s="34"/>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1</v>
      </c>
      <c r="AE110" s="9">
        <v>0</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588</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2</v>
      </c>
      <c r="DB110" s="34"/>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1</v>
      </c>
      <c r="AE111" s="9">
        <v>0</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588</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2</v>
      </c>
      <c r="DB111" s="34"/>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1</v>
      </c>
      <c r="AE112" s="9">
        <v>0</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588</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2</v>
      </c>
      <c r="DB112" s="34"/>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1</v>
      </c>
      <c r="AE113" s="9">
        <v>0</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588</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2</v>
      </c>
      <c r="DB113" s="34"/>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1</v>
      </c>
      <c r="AE114" s="60">
        <v>0</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588</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2</v>
      </c>
      <c r="CW114" s="68"/>
      <c r="DB114" s="68"/>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1</v>
      </c>
      <c r="AF115" s="9">
        <v>0</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23</v>
      </c>
      <c r="DB115" s="34"/>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1</v>
      </c>
      <c r="AF116" s="9">
        <v>0</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23</v>
      </c>
      <c r="DB116" s="34"/>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1</v>
      </c>
      <c r="AF117" s="9">
        <v>0</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23</v>
      </c>
      <c r="DB117" s="34"/>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1</v>
      </c>
      <c r="AF118" s="9">
        <v>0</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23</v>
      </c>
      <c r="DB118" s="34"/>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1</v>
      </c>
      <c r="AF119" s="9">
        <v>0</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23</v>
      </c>
      <c r="DB119" s="34"/>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1</v>
      </c>
      <c r="AF120" s="60">
        <v>0</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23</v>
      </c>
      <c r="CW120" s="68"/>
      <c r="DB120" s="68"/>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1</v>
      </c>
      <c r="AF121" s="9">
        <v>0</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19</v>
      </c>
      <c r="DB121" s="34"/>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1</v>
      </c>
      <c r="AF122" s="9">
        <v>0</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19</v>
      </c>
      <c r="DB122" s="34"/>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1</v>
      </c>
      <c r="AF123" s="9">
        <v>0</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19</v>
      </c>
      <c r="DB123" s="34"/>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1</v>
      </c>
      <c r="AF124" s="9">
        <v>0</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19</v>
      </c>
      <c r="DB124" s="34"/>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1</v>
      </c>
      <c r="AF125" s="9">
        <v>0</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19</v>
      </c>
      <c r="DB125" s="34"/>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1</v>
      </c>
      <c r="AF126" s="9">
        <v>0</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19</v>
      </c>
      <c r="DB126" s="34"/>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1</v>
      </c>
      <c r="AF127" s="9">
        <v>0</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19</v>
      </c>
      <c r="DB127" s="34"/>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1</v>
      </c>
      <c r="AF128" s="9">
        <v>0</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19</v>
      </c>
      <c r="DB128" s="34"/>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1</v>
      </c>
      <c r="AF129" s="9">
        <v>0</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19</v>
      </c>
      <c r="DB129" s="34"/>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93" si="46">U130-V130-1</f>
        <v>4587</v>
      </c>
      <c r="X130" s="9">
        <f t="shared" ref="X130:X193" si="47">COUNTIF(B:B,B130)</f>
        <v>15</v>
      </c>
      <c r="Y130" s="7">
        <v>10.68</v>
      </c>
      <c r="Z130" s="7">
        <v>7.8520000000000003</v>
      </c>
      <c r="AA130" s="9">
        <v>1</v>
      </c>
      <c r="AB130" s="9">
        <v>0</v>
      </c>
      <c r="AC130" s="9">
        <v>0</v>
      </c>
      <c r="AD130" s="9">
        <v>0</v>
      </c>
      <c r="AE130" s="9">
        <v>1</v>
      </c>
      <c r="AF130" s="9">
        <v>0</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19</v>
      </c>
      <c r="DB130" s="34"/>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1</v>
      </c>
      <c r="AF131" s="9">
        <v>0</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19</v>
      </c>
      <c r="DB131" s="34"/>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1</v>
      </c>
      <c r="AF132" s="9">
        <v>0</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19</v>
      </c>
      <c r="DB132" s="34"/>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1</v>
      </c>
      <c r="AF133" s="9">
        <v>0</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19</v>
      </c>
      <c r="DB133" s="34"/>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1</v>
      </c>
      <c r="AF134" s="9">
        <v>0</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19</v>
      </c>
      <c r="DB134" s="34"/>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1</v>
      </c>
      <c r="AF135" s="60">
        <v>0</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19</v>
      </c>
      <c r="CW135" s="68"/>
      <c r="DB135" s="68"/>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0</v>
      </c>
      <c r="AD136" s="9">
        <v>0</v>
      </c>
      <c r="AE136" s="9">
        <v>0</v>
      </c>
      <c r="AF136" s="9">
        <v>1</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18</v>
      </c>
      <c r="DB136" s="34"/>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0</v>
      </c>
      <c r="AD137" s="9">
        <v>0</v>
      </c>
      <c r="AE137" s="9">
        <v>0</v>
      </c>
      <c r="AF137" s="9">
        <v>1</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18</v>
      </c>
      <c r="DB137" s="34"/>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0</v>
      </c>
      <c r="AD138" s="9">
        <v>0</v>
      </c>
      <c r="AE138" s="9">
        <v>0</v>
      </c>
      <c r="AF138" s="9">
        <v>1</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18</v>
      </c>
      <c r="DB138" s="34"/>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0</v>
      </c>
      <c r="AD139" s="9">
        <v>0</v>
      </c>
      <c r="AE139" s="9">
        <v>0</v>
      </c>
      <c r="AF139" s="9">
        <v>1</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18</v>
      </c>
      <c r="DB139" s="34"/>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0</v>
      </c>
      <c r="AD140" s="9">
        <v>0</v>
      </c>
      <c r="AE140" s="9">
        <v>0</v>
      </c>
      <c r="AF140" s="9">
        <v>1</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18</v>
      </c>
      <c r="DB140" s="34"/>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0</v>
      </c>
      <c r="AD141" s="9">
        <v>0</v>
      </c>
      <c r="AE141" s="9">
        <v>0</v>
      </c>
      <c r="AF141" s="9">
        <v>1</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18</v>
      </c>
      <c r="DB141" s="34"/>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0</v>
      </c>
      <c r="AD142" s="60">
        <v>0</v>
      </c>
      <c r="AE142" s="60">
        <v>0</v>
      </c>
      <c r="AF142" s="60">
        <v>1</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18</v>
      </c>
      <c r="CW142" s="68"/>
      <c r="DB142" s="68"/>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1</v>
      </c>
      <c r="AD143" s="9">
        <v>0</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18</v>
      </c>
      <c r="DB143" s="34"/>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1</v>
      </c>
      <c r="AE144" s="9">
        <v>0</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18</v>
      </c>
      <c r="DB144" s="34"/>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1</v>
      </c>
      <c r="AF145" s="9">
        <v>0</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18</v>
      </c>
      <c r="DB145" s="34"/>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1</v>
      </c>
      <c r="AD146" s="9">
        <v>0</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18</v>
      </c>
      <c r="DB146" s="34"/>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1</v>
      </c>
      <c r="AE147" s="9">
        <v>0</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18</v>
      </c>
      <c r="DB147" s="34"/>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1</v>
      </c>
      <c r="AF148" s="9">
        <v>0</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18</v>
      </c>
      <c r="DB148" s="34"/>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1</v>
      </c>
      <c r="AD149" s="9">
        <v>0</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18</v>
      </c>
      <c r="DB149" s="34"/>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1</v>
      </c>
      <c r="AE150" s="9">
        <v>0</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18</v>
      </c>
      <c r="DB150" s="34"/>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1</v>
      </c>
      <c r="AF151" s="9">
        <v>0</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18</v>
      </c>
      <c r="DB151" s="34"/>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1</v>
      </c>
      <c r="AD152" s="9">
        <v>0</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18</v>
      </c>
      <c r="DB152" s="34"/>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1</v>
      </c>
      <c r="AE153" s="9">
        <v>0</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18</v>
      </c>
      <c r="DB153" s="34"/>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1</v>
      </c>
      <c r="AF154" s="60">
        <v>0</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18</v>
      </c>
      <c r="CW154" s="68"/>
      <c r="DB154" s="68"/>
    </row>
    <row r="155" spans="1:106" x14ac:dyDescent="0.25">
      <c r="A155">
        <v>154</v>
      </c>
      <c r="B155">
        <v>15</v>
      </c>
      <c r="C155" s="25" t="s">
        <v>172</v>
      </c>
      <c r="D155" s="12">
        <v>8.5</v>
      </c>
      <c r="E155" s="14">
        <v>0.1</v>
      </c>
      <c r="F155" s="7">
        <f>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si="46"/>
        <v>46955</v>
      </c>
      <c r="X155" s="9">
        <f t="shared" si="47"/>
        <v>20</v>
      </c>
      <c r="Y155" s="7">
        <v>6.134999999999998</v>
      </c>
      <c r="Z155" s="7">
        <v>25.552</v>
      </c>
      <c r="AA155" s="9">
        <v>0</v>
      </c>
      <c r="AB155" s="9">
        <v>1</v>
      </c>
      <c r="AC155" s="9">
        <v>1</v>
      </c>
      <c r="AD155" s="9">
        <v>0</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1">1-SUM(AN155:AP155)</f>
        <v>0.15199999999999991</v>
      </c>
      <c r="AR155" s="42" t="s">
        <v>104</v>
      </c>
      <c r="AS155" s="18" t="s">
        <v>104</v>
      </c>
      <c r="AT155">
        <v>0.27300000000000002</v>
      </c>
      <c r="AU155" s="40">
        <f t="shared" ref="AU155:AU218" si="52">1-AT155</f>
        <v>0.72699999999999998</v>
      </c>
      <c r="AV155" t="s">
        <v>104</v>
      </c>
      <c r="AW155" s="40" t="s">
        <v>104</v>
      </c>
      <c r="AX155">
        <v>0</v>
      </c>
      <c r="AY155" s="18">
        <v>1</v>
      </c>
      <c r="AZ155">
        <v>0.32100000000000001</v>
      </c>
      <c r="BA155" s="18">
        <f t="shared" ref="BA155:BA174" si="53">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16</v>
      </c>
      <c r="DB155" s="34"/>
    </row>
    <row r="156" spans="1:106" x14ac:dyDescent="0.25">
      <c r="A156">
        <v>155</v>
      </c>
      <c r="B156">
        <v>15</v>
      </c>
      <c r="C156" s="25" t="s">
        <v>172</v>
      </c>
      <c r="D156" s="12">
        <v>7.7</v>
      </c>
      <c r="E156" s="14">
        <v>0.1</v>
      </c>
      <c r="F156" s="7">
        <f>D156/E156</f>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46"/>
        <v>46951</v>
      </c>
      <c r="X156" s="9">
        <f t="shared" si="47"/>
        <v>20</v>
      </c>
      <c r="Y156" s="7">
        <v>6.134999999999998</v>
      </c>
      <c r="Z156" s="7">
        <v>25.552</v>
      </c>
      <c r="AA156" s="9">
        <v>0</v>
      </c>
      <c r="AB156" s="9">
        <v>1</v>
      </c>
      <c r="AC156" s="9">
        <v>1</v>
      </c>
      <c r="AD156" s="9">
        <v>0</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1"/>
        <v>0.15199999999999991</v>
      </c>
      <c r="AR156" s="42" t="s">
        <v>104</v>
      </c>
      <c r="AS156" s="18" t="s">
        <v>104</v>
      </c>
      <c r="AT156">
        <v>0.27300000000000002</v>
      </c>
      <c r="AU156" s="40">
        <f t="shared" si="52"/>
        <v>0.72699999999999998</v>
      </c>
      <c r="AV156" t="s">
        <v>104</v>
      </c>
      <c r="AW156" s="40" t="s">
        <v>104</v>
      </c>
      <c r="AX156">
        <v>0</v>
      </c>
      <c r="AY156" s="18">
        <v>1</v>
      </c>
      <c r="AZ156">
        <v>0.32100000000000001</v>
      </c>
      <c r="BA156" s="18">
        <f t="shared" si="53"/>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16</v>
      </c>
      <c r="DB156" s="34"/>
    </row>
    <row r="157" spans="1:106" x14ac:dyDescent="0.25">
      <c r="A157">
        <v>156</v>
      </c>
      <c r="B157">
        <v>15</v>
      </c>
      <c r="C157" s="25" t="s">
        <v>172</v>
      </c>
      <c r="D157" s="12">
        <v>6.8</v>
      </c>
      <c r="E157" s="14">
        <v>0.1</v>
      </c>
      <c r="F157" s="7">
        <f>D157/E157</f>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46"/>
        <v>46951</v>
      </c>
      <c r="X157" s="9">
        <f t="shared" si="47"/>
        <v>20</v>
      </c>
      <c r="Y157" s="7">
        <v>6.134999999999998</v>
      </c>
      <c r="Z157" s="7">
        <v>25.552</v>
      </c>
      <c r="AA157" s="9">
        <v>0</v>
      </c>
      <c r="AB157" s="9">
        <v>1</v>
      </c>
      <c r="AC157" s="9">
        <v>1</v>
      </c>
      <c r="AD157" s="9">
        <v>0</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1"/>
        <v>0.15199999999999991</v>
      </c>
      <c r="AR157" s="42" t="s">
        <v>104</v>
      </c>
      <c r="AS157" s="18" t="s">
        <v>104</v>
      </c>
      <c r="AT157">
        <v>0.27300000000000002</v>
      </c>
      <c r="AU157" s="40">
        <f t="shared" si="52"/>
        <v>0.72699999999999998</v>
      </c>
      <c r="AV157" t="s">
        <v>104</v>
      </c>
      <c r="AW157" s="40" t="s">
        <v>104</v>
      </c>
      <c r="AX157">
        <v>0</v>
      </c>
      <c r="AY157" s="18">
        <v>1</v>
      </c>
      <c r="AZ157">
        <v>0.32100000000000001</v>
      </c>
      <c r="BA157" s="18">
        <f t="shared" si="53"/>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16</v>
      </c>
      <c r="DB157" s="34"/>
    </row>
    <row r="158" spans="1:106" x14ac:dyDescent="0.25">
      <c r="A158">
        <v>157</v>
      </c>
      <c r="B158">
        <v>15</v>
      </c>
      <c r="C158" s="25" t="s">
        <v>172</v>
      </c>
      <c r="D158" s="12">
        <v>8.5</v>
      </c>
      <c r="E158" s="14">
        <v>0.1</v>
      </c>
      <c r="F158" s="7">
        <f>D158/E158</f>
        <v>85</v>
      </c>
      <c r="G158" s="7">
        <f t="shared" si="39"/>
        <v>8.4</v>
      </c>
      <c r="H158" s="16">
        <f t="shared" si="40"/>
        <v>8.6</v>
      </c>
      <c r="I158" s="11">
        <f t="shared" si="41"/>
        <v>0.36519386578122887</v>
      </c>
      <c r="J158" s="33">
        <f t="shared" si="42"/>
        <v>4.2963984209556331E-3</v>
      </c>
      <c r="K158" s="33">
        <f t="shared" si="43"/>
        <v>232.75308805685052</v>
      </c>
      <c r="L158" s="33">
        <f t="shared" si="44"/>
        <v>0.36089746736027323</v>
      </c>
      <c r="M158" s="33">
        <f t="shared" si="45"/>
        <v>0.3694902642021845</v>
      </c>
      <c r="N158" s="8">
        <v>1</v>
      </c>
      <c r="O158" s="9">
        <v>0</v>
      </c>
      <c r="P158" s="8">
        <v>0</v>
      </c>
      <c r="Q158" s="9">
        <v>1</v>
      </c>
      <c r="R158" s="9">
        <v>0</v>
      </c>
      <c r="S158" s="9">
        <v>0</v>
      </c>
      <c r="T158" s="9">
        <v>0</v>
      </c>
      <c r="U158" s="8">
        <v>46965</v>
      </c>
      <c r="V158" s="9">
        <v>15</v>
      </c>
      <c r="W158" s="9">
        <f t="shared" si="46"/>
        <v>46949</v>
      </c>
      <c r="X158" s="9">
        <f t="shared" si="47"/>
        <v>20</v>
      </c>
      <c r="Y158" s="7">
        <v>6.134999999999998</v>
      </c>
      <c r="Z158" s="7">
        <v>25.552</v>
      </c>
      <c r="AA158" s="9">
        <v>0</v>
      </c>
      <c r="AB158" s="9">
        <v>1</v>
      </c>
      <c r="AC158" s="9">
        <v>1</v>
      </c>
      <c r="AD158" s="9">
        <v>0</v>
      </c>
      <c r="AE158" s="9">
        <v>0</v>
      </c>
      <c r="AF158" s="9">
        <v>0</v>
      </c>
      <c r="AG158" s="8">
        <v>0</v>
      </c>
      <c r="AH158" s="9">
        <v>1</v>
      </c>
      <c r="AI158" s="30">
        <v>0</v>
      </c>
      <c r="AJ158" s="9">
        <v>1</v>
      </c>
      <c r="AK158" s="30">
        <v>0</v>
      </c>
      <c r="AL158" s="21">
        <v>2005</v>
      </c>
      <c r="AM158" s="23">
        <f t="shared" si="48"/>
        <v>7.6033993397406698</v>
      </c>
      <c r="AN158" s="33">
        <v>0.39100000000000001</v>
      </c>
      <c r="AO158" s="33">
        <v>0.14299999999999999</v>
      </c>
      <c r="AP158" s="33">
        <v>0.314</v>
      </c>
      <c r="AQ158" s="43">
        <f t="shared" si="51"/>
        <v>0.15199999999999991</v>
      </c>
      <c r="AR158" s="42" t="s">
        <v>104</v>
      </c>
      <c r="AS158" s="18" t="s">
        <v>104</v>
      </c>
      <c r="AT158">
        <v>0.27300000000000002</v>
      </c>
      <c r="AU158" s="40">
        <f t="shared" si="52"/>
        <v>0.72699999999999998</v>
      </c>
      <c r="AV158" t="s">
        <v>104</v>
      </c>
      <c r="AW158" s="40" t="s">
        <v>104</v>
      </c>
      <c r="AX158">
        <v>0</v>
      </c>
      <c r="AY158" s="18">
        <v>1</v>
      </c>
      <c r="AZ158">
        <v>0.32100000000000001</v>
      </c>
      <c r="BA158" s="18">
        <f t="shared" si="53"/>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16</v>
      </c>
      <c r="DB158" s="34"/>
    </row>
    <row r="159" spans="1:106" x14ac:dyDescent="0.25">
      <c r="A159">
        <v>158</v>
      </c>
      <c r="B159">
        <v>15</v>
      </c>
      <c r="C159" s="25" t="s">
        <v>172</v>
      </c>
      <c r="D159" s="12">
        <v>7.7</v>
      </c>
      <c r="E159" s="14">
        <v>0.1</v>
      </c>
      <c r="F159" s="7">
        <f>D159/E159</f>
        <v>77</v>
      </c>
      <c r="G159" s="7">
        <f t="shared" si="39"/>
        <v>7.6000000000000005</v>
      </c>
      <c r="H159" s="16">
        <f t="shared" si="40"/>
        <v>7.8</v>
      </c>
      <c r="I159" s="11">
        <f t="shared" si="41"/>
        <v>0.23671027339789866</v>
      </c>
      <c r="J159" s="33">
        <f t="shared" si="42"/>
        <v>3.0741593947779043E-3</v>
      </c>
      <c r="K159" s="33">
        <f t="shared" si="43"/>
        <v>325.292176358424</v>
      </c>
      <c r="L159" s="33">
        <f t="shared" si="44"/>
        <v>0.23363611400312076</v>
      </c>
      <c r="M159" s="33">
        <f t="shared" si="45"/>
        <v>0.23978443279267656</v>
      </c>
      <c r="N159" s="8">
        <v>1</v>
      </c>
      <c r="O159" s="9">
        <v>0</v>
      </c>
      <c r="P159" s="8">
        <v>0</v>
      </c>
      <c r="Q159" s="9">
        <v>1</v>
      </c>
      <c r="R159" s="9">
        <v>0</v>
      </c>
      <c r="S159" s="9">
        <v>0</v>
      </c>
      <c r="T159" s="9">
        <v>0</v>
      </c>
      <c r="U159" s="8">
        <v>99900</v>
      </c>
      <c r="V159" s="9">
        <v>13</v>
      </c>
      <c r="W159" s="9">
        <f t="shared" si="46"/>
        <v>99886</v>
      </c>
      <c r="X159" s="9">
        <f t="shared" si="47"/>
        <v>20</v>
      </c>
      <c r="Y159" s="7">
        <v>7.0349999999999993</v>
      </c>
      <c r="Z159" s="7">
        <v>25.552</v>
      </c>
      <c r="AA159" s="9">
        <v>0</v>
      </c>
      <c r="AB159" s="9">
        <v>1</v>
      </c>
      <c r="AC159" s="9">
        <v>1</v>
      </c>
      <c r="AD159" s="9">
        <v>0</v>
      </c>
      <c r="AE159" s="9">
        <v>0</v>
      </c>
      <c r="AF159" s="9">
        <v>0</v>
      </c>
      <c r="AG159" s="8">
        <v>0</v>
      </c>
      <c r="AH159" s="9">
        <v>1</v>
      </c>
      <c r="AI159" s="30">
        <v>0</v>
      </c>
      <c r="AJ159" s="9">
        <v>1</v>
      </c>
      <c r="AK159" s="30">
        <v>0</v>
      </c>
      <c r="AL159" s="21">
        <v>2005</v>
      </c>
      <c r="AM159" s="23">
        <f t="shared" si="48"/>
        <v>7.6033993397406698</v>
      </c>
      <c r="AN159" s="33">
        <v>0.39100000000000001</v>
      </c>
      <c r="AO159" s="33">
        <v>0.14299999999999999</v>
      </c>
      <c r="AP159" s="33">
        <v>0.314</v>
      </c>
      <c r="AQ159" s="43">
        <f t="shared" si="51"/>
        <v>0.15199999999999991</v>
      </c>
      <c r="AR159" s="42" t="s">
        <v>104</v>
      </c>
      <c r="AS159" s="18" t="s">
        <v>104</v>
      </c>
      <c r="AT159">
        <v>0.27300000000000002</v>
      </c>
      <c r="AU159" s="40">
        <f t="shared" si="52"/>
        <v>0.72699999999999998</v>
      </c>
      <c r="AV159" t="s">
        <v>104</v>
      </c>
      <c r="AW159" s="40" t="s">
        <v>104</v>
      </c>
      <c r="AX159">
        <v>0</v>
      </c>
      <c r="AY159" s="18">
        <v>1</v>
      </c>
      <c r="AZ159">
        <v>0.32100000000000001</v>
      </c>
      <c r="BA159" s="18">
        <f t="shared" si="53"/>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16</v>
      </c>
      <c r="DB159" s="34"/>
    </row>
    <row r="160" spans="1:106" x14ac:dyDescent="0.25">
      <c r="A160">
        <v>159</v>
      </c>
      <c r="B160">
        <v>15</v>
      </c>
      <c r="C160" s="25" t="s">
        <v>172</v>
      </c>
      <c r="D160" s="12">
        <v>5.4666666666666668</v>
      </c>
      <c r="E160" s="14">
        <v>0.29999999999999988</v>
      </c>
      <c r="F160" s="7">
        <v>18.222222222222221</v>
      </c>
      <c r="G160" s="7">
        <f t="shared" si="39"/>
        <v>5.166666666666667</v>
      </c>
      <c r="H160" s="16">
        <f t="shared" si="40"/>
        <v>5.7666666666666666</v>
      </c>
      <c r="I160" s="11">
        <f t="shared" si="41"/>
        <v>5.7562153466299733E-2</v>
      </c>
      <c r="J160" s="33">
        <f t="shared" si="42"/>
        <v>3.1588986658335223E-3</v>
      </c>
      <c r="K160" s="33">
        <f t="shared" si="43"/>
        <v>316.56602689283648</v>
      </c>
      <c r="L160" s="33">
        <f t="shared" si="44"/>
        <v>5.4403254800466212E-2</v>
      </c>
      <c r="M160" s="33">
        <f t="shared" si="45"/>
        <v>6.0721052132133253E-2</v>
      </c>
      <c r="N160" s="8">
        <v>1</v>
      </c>
      <c r="O160" s="9">
        <v>0</v>
      </c>
      <c r="P160" s="8">
        <v>0</v>
      </c>
      <c r="Q160" s="9">
        <v>1</v>
      </c>
      <c r="R160" s="9">
        <v>0</v>
      </c>
      <c r="S160" s="9">
        <v>0</v>
      </c>
      <c r="T160" s="9">
        <v>0</v>
      </c>
      <c r="U160" s="8">
        <v>99900</v>
      </c>
      <c r="V160" s="9">
        <v>17</v>
      </c>
      <c r="W160" s="9">
        <f t="shared" si="46"/>
        <v>99882</v>
      </c>
      <c r="X160" s="9">
        <f t="shared" si="47"/>
        <v>20</v>
      </c>
      <c r="Y160" s="7">
        <v>3</v>
      </c>
      <c r="Z160" s="7">
        <v>22.343</v>
      </c>
      <c r="AA160" s="9">
        <v>0</v>
      </c>
      <c r="AB160" s="9">
        <v>1</v>
      </c>
      <c r="AC160" s="9">
        <v>1</v>
      </c>
      <c r="AD160" s="9">
        <v>0</v>
      </c>
      <c r="AE160" s="9">
        <v>0</v>
      </c>
      <c r="AF160" s="9">
        <v>0</v>
      </c>
      <c r="AG160" s="8">
        <v>0</v>
      </c>
      <c r="AH160" s="9">
        <v>1</v>
      </c>
      <c r="AI160" s="30">
        <v>0</v>
      </c>
      <c r="AJ160" s="9">
        <v>1</v>
      </c>
      <c r="AK160" s="30">
        <v>0</v>
      </c>
      <c r="AL160" s="21">
        <v>2005</v>
      </c>
      <c r="AM160" s="23">
        <f t="shared" si="48"/>
        <v>7.6033993397406698</v>
      </c>
      <c r="AN160" s="33">
        <v>0.32600000000000001</v>
      </c>
      <c r="AO160" s="33">
        <v>0.127</v>
      </c>
      <c r="AP160" s="33">
        <v>0.36099999999999999</v>
      </c>
      <c r="AQ160" s="43">
        <f t="shared" si="51"/>
        <v>0.18599999999999994</v>
      </c>
      <c r="AR160" s="42" t="s">
        <v>104</v>
      </c>
      <c r="AS160" s="18" t="s">
        <v>104</v>
      </c>
      <c r="AT160">
        <v>0.504</v>
      </c>
      <c r="AU160" s="40">
        <f t="shared" si="52"/>
        <v>0.496</v>
      </c>
      <c r="AV160" t="s">
        <v>104</v>
      </c>
      <c r="AW160" s="40" t="s">
        <v>104</v>
      </c>
      <c r="AX160">
        <v>0</v>
      </c>
      <c r="AY160" s="18">
        <v>1</v>
      </c>
      <c r="AZ160">
        <v>0.32100000000000001</v>
      </c>
      <c r="BA160" s="18">
        <f t="shared" si="53"/>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16</v>
      </c>
      <c r="DB160" s="34"/>
    </row>
    <row r="161" spans="1:106" x14ac:dyDescent="0.25">
      <c r="A161">
        <v>160</v>
      </c>
      <c r="B161">
        <v>15</v>
      </c>
      <c r="C161" s="25" t="s">
        <v>172</v>
      </c>
      <c r="D161" s="12">
        <v>6.1666666666666652</v>
      </c>
      <c r="E161" s="14">
        <v>0.15902578796561601</v>
      </c>
      <c r="F161" s="7">
        <v>38.777777777777779</v>
      </c>
      <c r="G161" s="7">
        <f t="shared" si="39"/>
        <v>6.0076408787010491</v>
      </c>
      <c r="H161" s="16">
        <f t="shared" si="40"/>
        <v>6.3256924546322812</v>
      </c>
      <c r="I161" s="11">
        <f t="shared" si="41"/>
        <v>0.12178520489602178</v>
      </c>
      <c r="J161" s="33">
        <f t="shared" si="42"/>
        <v>3.1405926764017074E-3</v>
      </c>
      <c r="K161" s="33">
        <f t="shared" si="43"/>
        <v>318.41123731643444</v>
      </c>
      <c r="L161" s="33">
        <f t="shared" si="44"/>
        <v>0.11864461221962007</v>
      </c>
      <c r="M161" s="33">
        <f t="shared" si="45"/>
        <v>0.12492579757242349</v>
      </c>
      <c r="N161" s="8">
        <v>1</v>
      </c>
      <c r="O161" s="9">
        <v>0</v>
      </c>
      <c r="P161" s="8">
        <v>0</v>
      </c>
      <c r="Q161" s="9">
        <v>1</v>
      </c>
      <c r="R161" s="9">
        <v>0</v>
      </c>
      <c r="S161" s="9">
        <v>0</v>
      </c>
      <c r="T161" s="9">
        <v>0</v>
      </c>
      <c r="U161" s="8">
        <v>99900</v>
      </c>
      <c r="V161" s="9">
        <v>17</v>
      </c>
      <c r="W161" s="9">
        <f t="shared" si="46"/>
        <v>99882</v>
      </c>
      <c r="X161" s="9">
        <f t="shared" si="47"/>
        <v>20</v>
      </c>
      <c r="Y161" s="7">
        <v>6</v>
      </c>
      <c r="Z161" s="7">
        <v>22.343</v>
      </c>
      <c r="AA161" s="9">
        <v>0</v>
      </c>
      <c r="AB161" s="9">
        <v>1</v>
      </c>
      <c r="AC161" s="9">
        <v>1</v>
      </c>
      <c r="AD161" s="9">
        <v>0</v>
      </c>
      <c r="AE161" s="9">
        <v>0</v>
      </c>
      <c r="AF161" s="9">
        <v>0</v>
      </c>
      <c r="AG161" s="8">
        <v>0</v>
      </c>
      <c r="AH161" s="9">
        <v>1</v>
      </c>
      <c r="AI161" s="30">
        <v>0</v>
      </c>
      <c r="AJ161" s="9">
        <v>1</v>
      </c>
      <c r="AK161" s="30">
        <v>0</v>
      </c>
      <c r="AL161" s="21">
        <v>2005</v>
      </c>
      <c r="AM161" s="23">
        <f t="shared" si="48"/>
        <v>7.6033993397406698</v>
      </c>
      <c r="AN161" s="33">
        <v>0.32600000000000001</v>
      </c>
      <c r="AO161" s="33">
        <v>0.127</v>
      </c>
      <c r="AP161" s="33">
        <v>0.36099999999999999</v>
      </c>
      <c r="AQ161" s="43">
        <f t="shared" si="51"/>
        <v>0.18599999999999994</v>
      </c>
      <c r="AR161" s="42" t="s">
        <v>104</v>
      </c>
      <c r="AS161" s="18" t="s">
        <v>104</v>
      </c>
      <c r="AT161">
        <v>0.504</v>
      </c>
      <c r="AU161" s="40">
        <f t="shared" si="52"/>
        <v>0.496</v>
      </c>
      <c r="AV161" t="s">
        <v>104</v>
      </c>
      <c r="AW161" s="40" t="s">
        <v>104</v>
      </c>
      <c r="AX161">
        <v>0</v>
      </c>
      <c r="AY161" s="18">
        <v>1</v>
      </c>
      <c r="AZ161">
        <v>0.32100000000000001</v>
      </c>
      <c r="BA161" s="18">
        <f t="shared" si="53"/>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16</v>
      </c>
      <c r="DB161" s="34"/>
    </row>
    <row r="162" spans="1:106" x14ac:dyDescent="0.25">
      <c r="A162">
        <v>161</v>
      </c>
      <c r="B162">
        <v>15</v>
      </c>
      <c r="C162" s="25" t="s">
        <v>172</v>
      </c>
      <c r="D162" s="12">
        <v>11.35</v>
      </c>
      <c r="E162" s="14">
        <v>0.1970486111111111</v>
      </c>
      <c r="F162" s="7">
        <v>57.599999999999987</v>
      </c>
      <c r="G162" s="7">
        <f t="shared" si="39"/>
        <v>11.152951388888889</v>
      </c>
      <c r="H162" s="16">
        <f t="shared" si="40"/>
        <v>11.54704861111111</v>
      </c>
      <c r="I162" s="11">
        <f t="shared" si="41"/>
        <v>0.17930117672289236</v>
      </c>
      <c r="J162" s="33">
        <f t="shared" si="42"/>
        <v>3.1128676514391041E-3</v>
      </c>
      <c r="K162" s="33">
        <f t="shared" si="43"/>
        <v>321.24719454027922</v>
      </c>
      <c r="L162" s="33">
        <f t="shared" si="44"/>
        <v>0.17618830907145325</v>
      </c>
      <c r="M162" s="33">
        <f t="shared" si="45"/>
        <v>0.18241404437433148</v>
      </c>
      <c r="N162" s="8">
        <v>1</v>
      </c>
      <c r="O162" s="9">
        <v>0</v>
      </c>
      <c r="P162" s="8">
        <v>0</v>
      </c>
      <c r="Q162" s="9">
        <v>1</v>
      </c>
      <c r="R162" s="9">
        <v>0</v>
      </c>
      <c r="S162" s="9">
        <v>0</v>
      </c>
      <c r="T162" s="9">
        <v>0</v>
      </c>
      <c r="U162" s="8">
        <v>99900</v>
      </c>
      <c r="V162" s="9">
        <v>17</v>
      </c>
      <c r="W162" s="9">
        <f t="shared" si="46"/>
        <v>99882</v>
      </c>
      <c r="X162" s="9">
        <f t="shared" si="47"/>
        <v>20</v>
      </c>
      <c r="Y162" s="7">
        <v>8</v>
      </c>
      <c r="Z162" s="7">
        <v>22.343</v>
      </c>
      <c r="AA162" s="9">
        <v>0</v>
      </c>
      <c r="AB162" s="9">
        <v>1</v>
      </c>
      <c r="AC162" s="9">
        <v>1</v>
      </c>
      <c r="AD162" s="9">
        <v>0</v>
      </c>
      <c r="AE162" s="9">
        <v>0</v>
      </c>
      <c r="AF162" s="9">
        <v>0</v>
      </c>
      <c r="AG162" s="8">
        <v>0</v>
      </c>
      <c r="AH162" s="9">
        <v>1</v>
      </c>
      <c r="AI162" s="30">
        <v>0</v>
      </c>
      <c r="AJ162" s="9">
        <v>1</v>
      </c>
      <c r="AK162" s="30">
        <v>0</v>
      </c>
      <c r="AL162" s="21">
        <v>2005</v>
      </c>
      <c r="AM162" s="23">
        <f t="shared" si="48"/>
        <v>7.6033993397406698</v>
      </c>
      <c r="AN162" s="33">
        <v>0.32600000000000001</v>
      </c>
      <c r="AO162" s="33">
        <v>0.127</v>
      </c>
      <c r="AP162" s="33">
        <v>0.36099999999999999</v>
      </c>
      <c r="AQ162" s="43">
        <f t="shared" si="51"/>
        <v>0.18599999999999994</v>
      </c>
      <c r="AR162" s="42" t="s">
        <v>104</v>
      </c>
      <c r="AS162" s="18" t="s">
        <v>104</v>
      </c>
      <c r="AT162">
        <v>0.504</v>
      </c>
      <c r="AU162" s="40">
        <f t="shared" si="52"/>
        <v>0.496</v>
      </c>
      <c r="AV162" t="s">
        <v>104</v>
      </c>
      <c r="AW162" s="40" t="s">
        <v>104</v>
      </c>
      <c r="AX162">
        <v>0</v>
      </c>
      <c r="AY162" s="18">
        <v>1</v>
      </c>
      <c r="AZ162">
        <v>0.32100000000000001</v>
      </c>
      <c r="BA162" s="18">
        <f t="shared" si="53"/>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16</v>
      </c>
      <c r="DB162" s="34"/>
    </row>
    <row r="163" spans="1:106" x14ac:dyDescent="0.25">
      <c r="A163">
        <v>162</v>
      </c>
      <c r="B163">
        <v>15</v>
      </c>
      <c r="C163" s="25" t="s">
        <v>172</v>
      </c>
      <c r="D163" s="12">
        <v>12.2</v>
      </c>
      <c r="E163" s="14">
        <v>0.1934146341463415</v>
      </c>
      <c r="F163" s="7">
        <v>63.076923076923073</v>
      </c>
      <c r="G163" s="7">
        <f t="shared" si="39"/>
        <v>12.006585365853658</v>
      </c>
      <c r="H163" s="16">
        <f t="shared" si="40"/>
        <v>12.393414634146341</v>
      </c>
      <c r="I163" s="11">
        <f t="shared" si="41"/>
        <v>0.19572435976928337</v>
      </c>
      <c r="J163" s="33">
        <f t="shared" si="42"/>
        <v>3.1029471670740048E-3</v>
      </c>
      <c r="K163" s="33">
        <f t="shared" si="43"/>
        <v>322.27425932713282</v>
      </c>
      <c r="L163" s="33">
        <f t="shared" si="44"/>
        <v>0.19262141260220936</v>
      </c>
      <c r="M163" s="33">
        <f t="shared" si="45"/>
        <v>0.19882730693635739</v>
      </c>
      <c r="N163" s="8">
        <v>1</v>
      </c>
      <c r="O163" s="9">
        <v>0</v>
      </c>
      <c r="P163" s="8">
        <v>0</v>
      </c>
      <c r="Q163" s="9">
        <v>1</v>
      </c>
      <c r="R163" s="9">
        <v>0</v>
      </c>
      <c r="S163" s="9">
        <v>0</v>
      </c>
      <c r="T163" s="9">
        <v>0</v>
      </c>
      <c r="U163" s="8">
        <v>99900</v>
      </c>
      <c r="V163" s="9">
        <v>17</v>
      </c>
      <c r="W163" s="9">
        <f t="shared" si="46"/>
        <v>99882</v>
      </c>
      <c r="X163" s="9">
        <f t="shared" si="47"/>
        <v>20</v>
      </c>
      <c r="Y163" s="7">
        <v>10</v>
      </c>
      <c r="Z163" s="7">
        <v>22.343</v>
      </c>
      <c r="AA163" s="9">
        <v>0</v>
      </c>
      <c r="AB163" s="9">
        <v>1</v>
      </c>
      <c r="AC163" s="9">
        <v>1</v>
      </c>
      <c r="AD163" s="9">
        <v>0</v>
      </c>
      <c r="AE163" s="9">
        <v>0</v>
      </c>
      <c r="AF163" s="9">
        <v>0</v>
      </c>
      <c r="AG163" s="8">
        <v>0</v>
      </c>
      <c r="AH163" s="9">
        <v>1</v>
      </c>
      <c r="AI163" s="30">
        <v>0</v>
      </c>
      <c r="AJ163" s="9">
        <v>1</v>
      </c>
      <c r="AK163" s="30">
        <v>0</v>
      </c>
      <c r="AL163" s="21">
        <v>2005</v>
      </c>
      <c r="AM163" s="23">
        <f t="shared" si="48"/>
        <v>7.6033993397406698</v>
      </c>
      <c r="AN163" s="33">
        <v>0.32600000000000001</v>
      </c>
      <c r="AO163" s="33">
        <v>0.127</v>
      </c>
      <c r="AP163" s="33">
        <v>0.36099999999999999</v>
      </c>
      <c r="AQ163" s="43">
        <f t="shared" si="51"/>
        <v>0.18599999999999994</v>
      </c>
      <c r="AR163" s="42" t="s">
        <v>104</v>
      </c>
      <c r="AS163" s="18" t="s">
        <v>104</v>
      </c>
      <c r="AT163">
        <v>0.504</v>
      </c>
      <c r="AU163" s="40">
        <f t="shared" si="52"/>
        <v>0.496</v>
      </c>
      <c r="AV163" t="s">
        <v>104</v>
      </c>
      <c r="AW163" s="40" t="s">
        <v>104</v>
      </c>
      <c r="AX163">
        <v>0</v>
      </c>
      <c r="AY163" s="18">
        <v>1</v>
      </c>
      <c r="AZ163">
        <v>0.32100000000000001</v>
      </c>
      <c r="BA163" s="18">
        <f t="shared" si="53"/>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16</v>
      </c>
      <c r="DB163" s="34"/>
    </row>
    <row r="164" spans="1:106" x14ac:dyDescent="0.25">
      <c r="A164">
        <v>163</v>
      </c>
      <c r="B164">
        <v>15</v>
      </c>
      <c r="C164" s="25" t="s">
        <v>172</v>
      </c>
      <c r="D164" s="12">
        <v>15.866666666666671</v>
      </c>
      <c r="E164" s="14">
        <v>0.1591563786008231</v>
      </c>
      <c r="F164" s="7">
        <v>99.692307692307693</v>
      </c>
      <c r="G164" s="7">
        <f t="shared" si="39"/>
        <v>15.707510288065848</v>
      </c>
      <c r="H164" s="16">
        <f t="shared" si="40"/>
        <v>16.025823045267494</v>
      </c>
      <c r="I164" s="11">
        <f t="shared" si="41"/>
        <v>0.30082908983803991</v>
      </c>
      <c r="J164" s="33">
        <f t="shared" si="42"/>
        <v>3.0175757468321905E-3</v>
      </c>
      <c r="K164" s="33">
        <f t="shared" si="43"/>
        <v>331.39184693202355</v>
      </c>
      <c r="L164" s="33">
        <f t="shared" si="44"/>
        <v>0.29781151409120771</v>
      </c>
      <c r="M164" s="33">
        <f t="shared" si="45"/>
        <v>0.30384666558487211</v>
      </c>
      <c r="N164" s="8">
        <v>1</v>
      </c>
      <c r="O164" s="9">
        <v>0</v>
      </c>
      <c r="P164" s="8">
        <v>0</v>
      </c>
      <c r="Q164" s="9">
        <v>1</v>
      </c>
      <c r="R164" s="9">
        <v>0</v>
      </c>
      <c r="S164" s="9">
        <v>0</v>
      </c>
      <c r="T164" s="9">
        <v>0</v>
      </c>
      <c r="U164" s="8">
        <v>99900</v>
      </c>
      <c r="V164" s="9">
        <v>17</v>
      </c>
      <c r="W164" s="9">
        <f t="shared" si="46"/>
        <v>99882</v>
      </c>
      <c r="X164" s="9">
        <f t="shared" si="47"/>
        <v>20</v>
      </c>
      <c r="Y164" s="7">
        <v>13</v>
      </c>
      <c r="Z164" s="7">
        <v>22.343</v>
      </c>
      <c r="AA164" s="9">
        <v>0</v>
      </c>
      <c r="AB164" s="9">
        <v>1</v>
      </c>
      <c r="AC164" s="9">
        <v>1</v>
      </c>
      <c r="AD164" s="9">
        <v>0</v>
      </c>
      <c r="AE164" s="9">
        <v>0</v>
      </c>
      <c r="AF164" s="9">
        <v>0</v>
      </c>
      <c r="AG164" s="8">
        <v>0</v>
      </c>
      <c r="AH164" s="9">
        <v>1</v>
      </c>
      <c r="AI164" s="30">
        <v>0</v>
      </c>
      <c r="AJ164" s="9">
        <v>1</v>
      </c>
      <c r="AK164" s="30">
        <v>0</v>
      </c>
      <c r="AL164" s="21">
        <v>2005</v>
      </c>
      <c r="AM164" s="23">
        <f t="shared" si="48"/>
        <v>7.6033993397406698</v>
      </c>
      <c r="AN164" s="33">
        <v>0.32600000000000001</v>
      </c>
      <c r="AO164" s="33">
        <v>0.127</v>
      </c>
      <c r="AP164" s="33">
        <v>0.36099999999999999</v>
      </c>
      <c r="AQ164" s="43">
        <f t="shared" si="51"/>
        <v>0.18599999999999994</v>
      </c>
      <c r="AR164" s="42" t="s">
        <v>104</v>
      </c>
      <c r="AS164" s="18" t="s">
        <v>104</v>
      </c>
      <c r="AT164">
        <v>0.504</v>
      </c>
      <c r="AU164" s="40">
        <f t="shared" si="52"/>
        <v>0.496</v>
      </c>
      <c r="AV164" t="s">
        <v>104</v>
      </c>
      <c r="AW164" s="40" t="s">
        <v>104</v>
      </c>
      <c r="AX164">
        <v>0</v>
      </c>
      <c r="AY164" s="18">
        <v>1</v>
      </c>
      <c r="AZ164">
        <v>0.32100000000000001</v>
      </c>
      <c r="BA164" s="18">
        <f t="shared" si="53"/>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16</v>
      </c>
      <c r="DB164" s="34"/>
    </row>
    <row r="165" spans="1:106" x14ac:dyDescent="0.25">
      <c r="A165">
        <v>164</v>
      </c>
      <c r="B165">
        <v>15</v>
      </c>
      <c r="C165" s="25" t="s">
        <v>172</v>
      </c>
      <c r="D165" s="12">
        <v>4.6333333333333337</v>
      </c>
      <c r="E165" s="14">
        <v>0.33333333333333343</v>
      </c>
      <c r="F165" s="7">
        <v>13.9</v>
      </c>
      <c r="G165" s="7">
        <f t="shared" si="39"/>
        <v>4.3000000000000007</v>
      </c>
      <c r="H165" s="16">
        <f t="shared" si="40"/>
        <v>4.9666666666666668</v>
      </c>
      <c r="I165" s="11">
        <f t="shared" si="41"/>
        <v>5.7463430514540191E-2</v>
      </c>
      <c r="J165" s="33">
        <f t="shared" si="42"/>
        <v>4.1340597492474955E-3</v>
      </c>
      <c r="K165" s="33">
        <f t="shared" si="43"/>
        <v>241.89297220051682</v>
      </c>
      <c r="L165" s="33">
        <f t="shared" si="44"/>
        <v>5.3329370765292698E-2</v>
      </c>
      <c r="M165" s="33">
        <f t="shared" si="45"/>
        <v>6.1597490263787684E-2</v>
      </c>
      <c r="N165" s="8">
        <v>1</v>
      </c>
      <c r="O165" s="9">
        <v>0</v>
      </c>
      <c r="P165" s="8">
        <v>0</v>
      </c>
      <c r="Q165" s="9">
        <v>1</v>
      </c>
      <c r="R165" s="9">
        <v>0</v>
      </c>
      <c r="S165" s="9">
        <v>0</v>
      </c>
      <c r="T165" s="9">
        <v>0</v>
      </c>
      <c r="U165" s="8">
        <v>58336</v>
      </c>
      <c r="V165" s="9">
        <v>16</v>
      </c>
      <c r="W165" s="9">
        <f t="shared" si="46"/>
        <v>58319</v>
      </c>
      <c r="X165" s="9">
        <f t="shared" si="47"/>
        <v>20</v>
      </c>
      <c r="Y165" s="7">
        <v>3</v>
      </c>
      <c r="Z165" s="7">
        <v>22.343</v>
      </c>
      <c r="AA165" s="9">
        <v>0</v>
      </c>
      <c r="AB165" s="9">
        <v>1</v>
      </c>
      <c r="AC165" s="9">
        <v>1</v>
      </c>
      <c r="AD165" s="9">
        <v>0</v>
      </c>
      <c r="AE165" s="9">
        <v>0</v>
      </c>
      <c r="AF165" s="9">
        <v>0</v>
      </c>
      <c r="AG165" s="8">
        <v>0</v>
      </c>
      <c r="AH165" s="9">
        <v>1</v>
      </c>
      <c r="AI165" s="30">
        <v>0</v>
      </c>
      <c r="AJ165" s="9">
        <v>1</v>
      </c>
      <c r="AK165" s="30">
        <v>0</v>
      </c>
      <c r="AL165" s="21">
        <v>2005</v>
      </c>
      <c r="AM165" s="23">
        <f t="shared" si="48"/>
        <v>7.6033993397406698</v>
      </c>
      <c r="AN165" s="33">
        <v>0.32600000000000001</v>
      </c>
      <c r="AO165" s="33">
        <v>0.127</v>
      </c>
      <c r="AP165" s="33">
        <v>0.36099999999999999</v>
      </c>
      <c r="AQ165" s="43">
        <f t="shared" si="51"/>
        <v>0.18599999999999994</v>
      </c>
      <c r="AR165" s="42" t="s">
        <v>104</v>
      </c>
      <c r="AS165" s="18" t="s">
        <v>104</v>
      </c>
      <c r="AT165">
        <v>0.504</v>
      </c>
      <c r="AU165" s="40">
        <f t="shared" si="52"/>
        <v>0.496</v>
      </c>
      <c r="AV165" t="s">
        <v>104</v>
      </c>
      <c r="AW165" s="40" t="s">
        <v>104</v>
      </c>
      <c r="AX165">
        <v>0</v>
      </c>
      <c r="AY165" s="18">
        <v>1</v>
      </c>
      <c r="AZ165">
        <v>0.32100000000000001</v>
      </c>
      <c r="BA165" s="18">
        <f t="shared" si="53"/>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16</v>
      </c>
      <c r="DB165" s="34"/>
    </row>
    <row r="166" spans="1:106" x14ac:dyDescent="0.25">
      <c r="A166">
        <v>165</v>
      </c>
      <c r="B166">
        <v>15</v>
      </c>
      <c r="C166" s="25" t="s">
        <v>172</v>
      </c>
      <c r="D166" s="12">
        <v>5.8</v>
      </c>
      <c r="E166" s="14">
        <v>0.20383386581469651</v>
      </c>
      <c r="F166" s="7">
        <v>28.45454545454546</v>
      </c>
      <c r="G166" s="7">
        <f t="shared" si="39"/>
        <v>5.5961661341853031</v>
      </c>
      <c r="H166" s="16">
        <f t="shared" si="40"/>
        <v>6.0038338658146966</v>
      </c>
      <c r="I166" s="11">
        <f t="shared" si="41"/>
        <v>0.117017988825728</v>
      </c>
      <c r="J166" s="33">
        <f t="shared" si="42"/>
        <v>4.1124532814153601E-3</v>
      </c>
      <c r="K166" s="33">
        <f t="shared" si="43"/>
        <v>243.16385660090359</v>
      </c>
      <c r="L166" s="33">
        <f t="shared" si="44"/>
        <v>0.11290553554431264</v>
      </c>
      <c r="M166" s="33">
        <f t="shared" si="45"/>
        <v>0.12113044210714337</v>
      </c>
      <c r="N166" s="8">
        <v>1</v>
      </c>
      <c r="O166" s="9">
        <v>0</v>
      </c>
      <c r="P166" s="8">
        <v>0</v>
      </c>
      <c r="Q166" s="9">
        <v>1</v>
      </c>
      <c r="R166" s="9">
        <v>0</v>
      </c>
      <c r="S166" s="9">
        <v>0</v>
      </c>
      <c r="T166" s="9">
        <v>0</v>
      </c>
      <c r="U166" s="8">
        <v>58336</v>
      </c>
      <c r="V166" s="9">
        <v>16</v>
      </c>
      <c r="W166" s="9">
        <f t="shared" si="46"/>
        <v>58319</v>
      </c>
      <c r="X166" s="9">
        <f t="shared" si="47"/>
        <v>20</v>
      </c>
      <c r="Y166" s="7">
        <v>6</v>
      </c>
      <c r="Z166" s="7">
        <v>22.343</v>
      </c>
      <c r="AA166" s="9">
        <v>0</v>
      </c>
      <c r="AB166" s="9">
        <v>1</v>
      </c>
      <c r="AC166" s="9">
        <v>1</v>
      </c>
      <c r="AD166" s="9">
        <v>0</v>
      </c>
      <c r="AE166" s="9">
        <v>0</v>
      </c>
      <c r="AF166" s="9">
        <v>0</v>
      </c>
      <c r="AG166" s="8">
        <v>0</v>
      </c>
      <c r="AH166" s="9">
        <v>1</v>
      </c>
      <c r="AI166" s="30">
        <v>0</v>
      </c>
      <c r="AJ166" s="9">
        <v>1</v>
      </c>
      <c r="AK166" s="30">
        <v>0</v>
      </c>
      <c r="AL166" s="21">
        <v>2005</v>
      </c>
      <c r="AM166" s="23">
        <f t="shared" si="48"/>
        <v>7.6033993397406698</v>
      </c>
      <c r="AN166" s="33">
        <v>0.32600000000000001</v>
      </c>
      <c r="AO166" s="33">
        <v>0.127</v>
      </c>
      <c r="AP166" s="33">
        <v>0.36099999999999999</v>
      </c>
      <c r="AQ166" s="43">
        <f t="shared" si="51"/>
        <v>0.18599999999999994</v>
      </c>
      <c r="AR166" s="42" t="s">
        <v>104</v>
      </c>
      <c r="AS166" s="18" t="s">
        <v>104</v>
      </c>
      <c r="AT166">
        <v>0.504</v>
      </c>
      <c r="AU166" s="40">
        <f t="shared" si="52"/>
        <v>0.496</v>
      </c>
      <c r="AV166" t="s">
        <v>104</v>
      </c>
      <c r="AW166" s="40" t="s">
        <v>104</v>
      </c>
      <c r="AX166">
        <v>0</v>
      </c>
      <c r="AY166" s="18">
        <v>1</v>
      </c>
      <c r="AZ166">
        <v>0.32100000000000001</v>
      </c>
      <c r="BA166" s="18">
        <f t="shared" si="53"/>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16</v>
      </c>
      <c r="DB166" s="34"/>
    </row>
    <row r="167" spans="1:106" x14ac:dyDescent="0.25">
      <c r="A167">
        <v>166</v>
      </c>
      <c r="B167">
        <v>15</v>
      </c>
      <c r="C167" s="25" t="s">
        <v>172</v>
      </c>
      <c r="D167" s="12">
        <v>10.3</v>
      </c>
      <c r="E167" s="14">
        <v>0.23815028901734109</v>
      </c>
      <c r="F167" s="7">
        <v>43.25</v>
      </c>
      <c r="G167" s="7">
        <f t="shared" si="39"/>
        <v>10.06184971098266</v>
      </c>
      <c r="H167" s="16">
        <f t="shared" si="40"/>
        <v>10.538150289017342</v>
      </c>
      <c r="I167" s="11">
        <f t="shared" si="41"/>
        <v>0.17628912351109532</v>
      </c>
      <c r="J167" s="33">
        <f t="shared" si="42"/>
        <v>4.0760490985224359E-3</v>
      </c>
      <c r="K167" s="33">
        <f t="shared" si="43"/>
        <v>245.33561196858474</v>
      </c>
      <c r="L167" s="33">
        <f t="shared" si="44"/>
        <v>0.17221307441257289</v>
      </c>
      <c r="M167" s="33">
        <f t="shared" si="45"/>
        <v>0.18036517260961776</v>
      </c>
      <c r="N167" s="8">
        <v>1</v>
      </c>
      <c r="O167" s="9">
        <v>0</v>
      </c>
      <c r="P167" s="8">
        <v>0</v>
      </c>
      <c r="Q167" s="9">
        <v>1</v>
      </c>
      <c r="R167" s="9">
        <v>0</v>
      </c>
      <c r="S167" s="9">
        <v>0</v>
      </c>
      <c r="T167" s="9">
        <v>0</v>
      </c>
      <c r="U167" s="8">
        <v>58336</v>
      </c>
      <c r="V167" s="9">
        <v>16</v>
      </c>
      <c r="W167" s="9">
        <f t="shared" si="46"/>
        <v>58319</v>
      </c>
      <c r="X167" s="9">
        <f t="shared" si="47"/>
        <v>20</v>
      </c>
      <c r="Y167" s="7">
        <v>8</v>
      </c>
      <c r="Z167" s="7">
        <v>22.343</v>
      </c>
      <c r="AA167" s="9">
        <v>0</v>
      </c>
      <c r="AB167" s="9">
        <v>1</v>
      </c>
      <c r="AC167" s="9">
        <v>1</v>
      </c>
      <c r="AD167" s="9">
        <v>0</v>
      </c>
      <c r="AE167" s="9">
        <v>0</v>
      </c>
      <c r="AF167" s="9">
        <v>0</v>
      </c>
      <c r="AG167" s="8">
        <v>0</v>
      </c>
      <c r="AH167" s="9">
        <v>1</v>
      </c>
      <c r="AI167" s="30">
        <v>0</v>
      </c>
      <c r="AJ167" s="9">
        <v>1</v>
      </c>
      <c r="AK167" s="30">
        <v>0</v>
      </c>
      <c r="AL167" s="21">
        <v>2005</v>
      </c>
      <c r="AM167" s="23">
        <f t="shared" si="48"/>
        <v>7.6033993397406698</v>
      </c>
      <c r="AN167" s="33">
        <v>0.32600000000000001</v>
      </c>
      <c r="AO167" s="33">
        <v>0.127</v>
      </c>
      <c r="AP167" s="33">
        <v>0.36099999999999999</v>
      </c>
      <c r="AQ167" s="43">
        <f t="shared" si="51"/>
        <v>0.18599999999999994</v>
      </c>
      <c r="AR167" s="42" t="s">
        <v>104</v>
      </c>
      <c r="AS167" s="18" t="s">
        <v>104</v>
      </c>
      <c r="AT167">
        <v>0.504</v>
      </c>
      <c r="AU167" s="40">
        <f t="shared" si="52"/>
        <v>0.496</v>
      </c>
      <c r="AV167" t="s">
        <v>104</v>
      </c>
      <c r="AW167" s="40" t="s">
        <v>104</v>
      </c>
      <c r="AX167">
        <v>0</v>
      </c>
      <c r="AY167" s="18">
        <v>1</v>
      </c>
      <c r="AZ167">
        <v>0.32100000000000001</v>
      </c>
      <c r="BA167" s="18">
        <f t="shared" si="53"/>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16</v>
      </c>
      <c r="DB167" s="34"/>
    </row>
    <row r="168" spans="1:106" x14ac:dyDescent="0.25">
      <c r="A168">
        <v>167</v>
      </c>
      <c r="B168">
        <v>15</v>
      </c>
      <c r="C168" s="25" t="s">
        <v>172</v>
      </c>
      <c r="D168" s="12">
        <v>9.5999999999999979</v>
      </c>
      <c r="E168" s="14">
        <v>0.22953586497890291</v>
      </c>
      <c r="F168" s="7">
        <v>41.823529411764703</v>
      </c>
      <c r="G168" s="7">
        <f t="shared" si="39"/>
        <v>9.3704641350210949</v>
      </c>
      <c r="H168" s="16">
        <f t="shared" si="40"/>
        <v>9.8295358649789009</v>
      </c>
      <c r="I168" s="11">
        <f t="shared" si="41"/>
        <v>0.17064687625203045</v>
      </c>
      <c r="J168" s="33">
        <f t="shared" si="42"/>
        <v>4.080164411089336E-3</v>
      </c>
      <c r="K168" s="33">
        <f t="shared" si="43"/>
        <v>245.08816293827155</v>
      </c>
      <c r="L168" s="33">
        <f t="shared" si="44"/>
        <v>0.16656671184094113</v>
      </c>
      <c r="M168" s="33">
        <f t="shared" si="45"/>
        <v>0.17472704066311978</v>
      </c>
      <c r="N168" s="8">
        <v>1</v>
      </c>
      <c r="O168" s="9">
        <v>0</v>
      </c>
      <c r="P168" s="8">
        <v>0</v>
      </c>
      <c r="Q168" s="9">
        <v>1</v>
      </c>
      <c r="R168" s="9">
        <v>0</v>
      </c>
      <c r="S168" s="9">
        <v>0</v>
      </c>
      <c r="T168" s="9">
        <v>0</v>
      </c>
      <c r="U168" s="8">
        <v>58336</v>
      </c>
      <c r="V168" s="9">
        <v>16</v>
      </c>
      <c r="W168" s="9">
        <f t="shared" si="46"/>
        <v>58319</v>
      </c>
      <c r="X168" s="9">
        <f t="shared" si="47"/>
        <v>20</v>
      </c>
      <c r="Y168" s="7">
        <v>10</v>
      </c>
      <c r="Z168" s="7">
        <v>22.343</v>
      </c>
      <c r="AA168" s="9">
        <v>0</v>
      </c>
      <c r="AB168" s="9">
        <v>1</v>
      </c>
      <c r="AC168" s="9">
        <v>1</v>
      </c>
      <c r="AD168" s="9">
        <v>0</v>
      </c>
      <c r="AE168" s="9">
        <v>0</v>
      </c>
      <c r="AF168" s="9">
        <v>0</v>
      </c>
      <c r="AG168" s="8">
        <v>0</v>
      </c>
      <c r="AH168" s="9">
        <v>1</v>
      </c>
      <c r="AI168" s="30">
        <v>0</v>
      </c>
      <c r="AJ168" s="9">
        <v>1</v>
      </c>
      <c r="AK168" s="30">
        <v>0</v>
      </c>
      <c r="AL168" s="21">
        <v>2005</v>
      </c>
      <c r="AM168" s="23">
        <f t="shared" si="48"/>
        <v>7.6033993397406698</v>
      </c>
      <c r="AN168" s="33">
        <v>0.32600000000000001</v>
      </c>
      <c r="AO168" s="33">
        <v>0.127</v>
      </c>
      <c r="AP168" s="33">
        <v>0.36099999999999999</v>
      </c>
      <c r="AQ168" s="43">
        <f t="shared" si="51"/>
        <v>0.18599999999999994</v>
      </c>
      <c r="AR168" s="42" t="s">
        <v>104</v>
      </c>
      <c r="AS168" s="18" t="s">
        <v>104</v>
      </c>
      <c r="AT168">
        <v>0.504</v>
      </c>
      <c r="AU168" s="40">
        <f t="shared" si="52"/>
        <v>0.496</v>
      </c>
      <c r="AV168" t="s">
        <v>104</v>
      </c>
      <c r="AW168" s="40" t="s">
        <v>104</v>
      </c>
      <c r="AX168">
        <v>0</v>
      </c>
      <c r="AY168" s="18">
        <v>1</v>
      </c>
      <c r="AZ168">
        <v>0.32100000000000001</v>
      </c>
      <c r="BA168" s="18">
        <f t="shared" si="53"/>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16</v>
      </c>
      <c r="DB168" s="34"/>
    </row>
    <row r="169" spans="1:106" x14ac:dyDescent="0.25">
      <c r="A169">
        <v>168</v>
      </c>
      <c r="B169">
        <v>15</v>
      </c>
      <c r="C169" s="25" t="s">
        <v>172</v>
      </c>
      <c r="D169" s="12">
        <v>16.43333333333333</v>
      </c>
      <c r="E169" s="14">
        <v>0.25933001107419712</v>
      </c>
      <c r="F169" s="7">
        <v>63.368421052631582</v>
      </c>
      <c r="G169" s="7">
        <f t="shared" si="39"/>
        <v>16.174003322259132</v>
      </c>
      <c r="H169" s="16">
        <f t="shared" si="40"/>
        <v>16.692663344407528</v>
      </c>
      <c r="I169" s="11">
        <f t="shared" si="41"/>
        <v>0.25380983573220656</v>
      </c>
      <c r="J169" s="33">
        <f t="shared" si="42"/>
        <v>4.0053047167042562E-3</v>
      </c>
      <c r="K169" s="33">
        <f t="shared" si="43"/>
        <v>249.66889431145322</v>
      </c>
      <c r="L169" s="33">
        <f t="shared" si="44"/>
        <v>0.24980453101550229</v>
      </c>
      <c r="M169" s="33">
        <f t="shared" si="45"/>
        <v>0.2578151404489108</v>
      </c>
      <c r="N169" s="8">
        <v>1</v>
      </c>
      <c r="O169" s="9">
        <v>0</v>
      </c>
      <c r="P169" s="8">
        <v>0</v>
      </c>
      <c r="Q169" s="9">
        <v>1</v>
      </c>
      <c r="R169" s="9">
        <v>0</v>
      </c>
      <c r="S169" s="9">
        <v>0</v>
      </c>
      <c r="T169" s="9">
        <v>0</v>
      </c>
      <c r="U169" s="8">
        <v>58336</v>
      </c>
      <c r="V169" s="9">
        <v>16</v>
      </c>
      <c r="W169" s="9">
        <f t="shared" si="46"/>
        <v>58319</v>
      </c>
      <c r="X169" s="9">
        <f t="shared" si="47"/>
        <v>20</v>
      </c>
      <c r="Y169" s="7">
        <v>13</v>
      </c>
      <c r="Z169" s="7">
        <v>22.343</v>
      </c>
      <c r="AA169" s="9">
        <v>0</v>
      </c>
      <c r="AB169" s="9">
        <v>1</v>
      </c>
      <c r="AC169" s="9">
        <v>1</v>
      </c>
      <c r="AD169" s="9">
        <v>0</v>
      </c>
      <c r="AE169" s="9">
        <v>0</v>
      </c>
      <c r="AF169" s="9">
        <v>0</v>
      </c>
      <c r="AG169" s="8">
        <v>0</v>
      </c>
      <c r="AH169" s="9">
        <v>1</v>
      </c>
      <c r="AI169" s="30">
        <v>0</v>
      </c>
      <c r="AJ169" s="9">
        <v>1</v>
      </c>
      <c r="AK169" s="30">
        <v>0</v>
      </c>
      <c r="AL169" s="21">
        <v>2005</v>
      </c>
      <c r="AM169" s="23">
        <f t="shared" si="48"/>
        <v>7.6033993397406698</v>
      </c>
      <c r="AN169" s="33">
        <v>0.32600000000000001</v>
      </c>
      <c r="AO169" s="33">
        <v>0.127</v>
      </c>
      <c r="AP169" s="33">
        <v>0.36099999999999999</v>
      </c>
      <c r="AQ169" s="43">
        <f t="shared" si="51"/>
        <v>0.18599999999999994</v>
      </c>
      <c r="AR169" s="42" t="s">
        <v>104</v>
      </c>
      <c r="AS169" s="18" t="s">
        <v>104</v>
      </c>
      <c r="AT169">
        <v>0.504</v>
      </c>
      <c r="AU169" s="40">
        <f t="shared" si="52"/>
        <v>0.496</v>
      </c>
      <c r="AV169" t="s">
        <v>104</v>
      </c>
      <c r="AW169" s="40" t="s">
        <v>104</v>
      </c>
      <c r="AX169">
        <v>0</v>
      </c>
      <c r="AY169" s="18">
        <v>1</v>
      </c>
      <c r="AZ169">
        <v>0.32100000000000001</v>
      </c>
      <c r="BA169" s="18">
        <f t="shared" si="53"/>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16</v>
      </c>
      <c r="DB169" s="34"/>
    </row>
    <row r="170" spans="1:106" x14ac:dyDescent="0.25">
      <c r="A170">
        <v>169</v>
      </c>
      <c r="B170">
        <v>15</v>
      </c>
      <c r="C170" s="25" t="s">
        <v>172</v>
      </c>
      <c r="D170" s="12">
        <v>6.6000000000000014</v>
      </c>
      <c r="E170" s="14">
        <v>0.66666666666666674</v>
      </c>
      <c r="F170" s="7">
        <v>9.9</v>
      </c>
      <c r="G170" s="7">
        <f t="shared" si="39"/>
        <v>5.9333333333333345</v>
      </c>
      <c r="H170" s="16">
        <f t="shared" si="40"/>
        <v>7.2666666666666684</v>
      </c>
      <c r="I170" s="11">
        <f t="shared" si="41"/>
        <v>4.8512505975795248E-2</v>
      </c>
      <c r="J170" s="33">
        <f t="shared" si="42"/>
        <v>4.9002531288682072E-3</v>
      </c>
      <c r="K170" s="33">
        <f t="shared" si="43"/>
        <v>204.0710905542478</v>
      </c>
      <c r="L170" s="33">
        <f t="shared" si="44"/>
        <v>4.361225284692704E-2</v>
      </c>
      <c r="M170" s="33">
        <f t="shared" si="45"/>
        <v>5.3412759104663456E-2</v>
      </c>
      <c r="N170" s="8">
        <v>1</v>
      </c>
      <c r="O170" s="9">
        <v>0</v>
      </c>
      <c r="P170" s="8">
        <v>0</v>
      </c>
      <c r="Q170" s="9">
        <v>1</v>
      </c>
      <c r="R170" s="9">
        <v>0</v>
      </c>
      <c r="S170" s="9">
        <v>0</v>
      </c>
      <c r="T170" s="9">
        <v>0</v>
      </c>
      <c r="U170" s="8">
        <v>41564</v>
      </c>
      <c r="V170" s="9">
        <v>16</v>
      </c>
      <c r="W170" s="9">
        <f t="shared" si="46"/>
        <v>41547</v>
      </c>
      <c r="X170" s="9">
        <f t="shared" si="47"/>
        <v>20</v>
      </c>
      <c r="Y170" s="7">
        <v>3</v>
      </c>
      <c r="Z170" s="7">
        <v>22.343</v>
      </c>
      <c r="AA170" s="9">
        <v>0</v>
      </c>
      <c r="AB170" s="9">
        <v>1</v>
      </c>
      <c r="AC170" s="9">
        <v>1</v>
      </c>
      <c r="AD170" s="9">
        <v>0</v>
      </c>
      <c r="AE170" s="9">
        <v>0</v>
      </c>
      <c r="AF170" s="9">
        <v>0</v>
      </c>
      <c r="AG170" s="8">
        <v>0</v>
      </c>
      <c r="AH170" s="9">
        <v>1</v>
      </c>
      <c r="AI170" s="30">
        <v>0</v>
      </c>
      <c r="AJ170" s="9">
        <v>1</v>
      </c>
      <c r="AK170" s="30">
        <v>0</v>
      </c>
      <c r="AL170" s="21">
        <v>2005</v>
      </c>
      <c r="AM170" s="23">
        <f t="shared" si="48"/>
        <v>7.6033993397406698</v>
      </c>
      <c r="AN170" s="33">
        <v>0.32600000000000001</v>
      </c>
      <c r="AO170" s="33">
        <v>0.127</v>
      </c>
      <c r="AP170" s="33">
        <v>0.36099999999999999</v>
      </c>
      <c r="AQ170" s="43">
        <f t="shared" si="51"/>
        <v>0.18599999999999994</v>
      </c>
      <c r="AR170" s="42" t="s">
        <v>104</v>
      </c>
      <c r="AS170" s="18" t="s">
        <v>104</v>
      </c>
      <c r="AT170">
        <v>0.504</v>
      </c>
      <c r="AU170" s="40">
        <f t="shared" si="52"/>
        <v>0.496</v>
      </c>
      <c r="AV170" t="s">
        <v>104</v>
      </c>
      <c r="AW170" s="40" t="s">
        <v>104</v>
      </c>
      <c r="AX170">
        <v>0</v>
      </c>
      <c r="AY170" s="18">
        <v>1</v>
      </c>
      <c r="AZ170">
        <v>0.32100000000000001</v>
      </c>
      <c r="BA170" s="18">
        <f t="shared" si="53"/>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16</v>
      </c>
      <c r="DB170" s="34"/>
    </row>
    <row r="171" spans="1:106" x14ac:dyDescent="0.25">
      <c r="A171">
        <v>170</v>
      </c>
      <c r="B171">
        <v>15</v>
      </c>
      <c r="C171" s="25" t="s">
        <v>172</v>
      </c>
      <c r="D171" s="12">
        <v>6.2</v>
      </c>
      <c r="E171" s="14">
        <v>0.30677083333333333</v>
      </c>
      <c r="F171" s="7">
        <v>20.21052631578948</v>
      </c>
      <c r="G171" s="7">
        <f t="shared" si="39"/>
        <v>5.893229166666667</v>
      </c>
      <c r="H171" s="16">
        <f t="shared" si="40"/>
        <v>6.5067708333333334</v>
      </c>
      <c r="I171" s="11">
        <f t="shared" si="41"/>
        <v>9.8669596470575952E-2</v>
      </c>
      <c r="J171" s="33">
        <f t="shared" si="42"/>
        <v>4.8820894087003713E-3</v>
      </c>
      <c r="K171" s="33">
        <f t="shared" si="43"/>
        <v>204.83033313931122</v>
      </c>
      <c r="L171" s="33">
        <f t="shared" si="44"/>
        <v>9.378750706187558E-2</v>
      </c>
      <c r="M171" s="33">
        <f t="shared" si="45"/>
        <v>0.10355168587927632</v>
      </c>
      <c r="N171" s="8">
        <v>1</v>
      </c>
      <c r="O171" s="9">
        <v>0</v>
      </c>
      <c r="P171" s="8">
        <v>0</v>
      </c>
      <c r="Q171" s="9">
        <v>1</v>
      </c>
      <c r="R171" s="9">
        <v>0</v>
      </c>
      <c r="S171" s="9">
        <v>0</v>
      </c>
      <c r="T171" s="9">
        <v>0</v>
      </c>
      <c r="U171" s="8">
        <v>41564</v>
      </c>
      <c r="V171" s="9">
        <v>16</v>
      </c>
      <c r="W171" s="9">
        <f t="shared" si="46"/>
        <v>41547</v>
      </c>
      <c r="X171" s="9">
        <f t="shared" si="47"/>
        <v>20</v>
      </c>
      <c r="Y171" s="7">
        <v>6</v>
      </c>
      <c r="Z171" s="7">
        <v>22.343</v>
      </c>
      <c r="AA171" s="9">
        <v>0</v>
      </c>
      <c r="AB171" s="9">
        <v>1</v>
      </c>
      <c r="AC171" s="9">
        <v>1</v>
      </c>
      <c r="AD171" s="9">
        <v>0</v>
      </c>
      <c r="AE171" s="9">
        <v>0</v>
      </c>
      <c r="AF171" s="9">
        <v>0</v>
      </c>
      <c r="AG171" s="8">
        <v>0</v>
      </c>
      <c r="AH171" s="9">
        <v>1</v>
      </c>
      <c r="AI171" s="30">
        <v>0</v>
      </c>
      <c r="AJ171" s="9">
        <v>1</v>
      </c>
      <c r="AK171" s="30">
        <v>0</v>
      </c>
      <c r="AL171" s="21">
        <v>2005</v>
      </c>
      <c r="AM171" s="23">
        <f t="shared" si="48"/>
        <v>7.6033993397406698</v>
      </c>
      <c r="AN171" s="33">
        <v>0.32600000000000001</v>
      </c>
      <c r="AO171" s="33">
        <v>0.127</v>
      </c>
      <c r="AP171" s="33">
        <v>0.36099999999999999</v>
      </c>
      <c r="AQ171" s="43">
        <f t="shared" si="51"/>
        <v>0.18599999999999994</v>
      </c>
      <c r="AR171" s="42" t="s">
        <v>104</v>
      </c>
      <c r="AS171" s="18" t="s">
        <v>104</v>
      </c>
      <c r="AT171">
        <v>0.504</v>
      </c>
      <c r="AU171" s="40">
        <f t="shared" si="52"/>
        <v>0.496</v>
      </c>
      <c r="AV171" t="s">
        <v>104</v>
      </c>
      <c r="AW171" s="40" t="s">
        <v>104</v>
      </c>
      <c r="AX171">
        <v>0</v>
      </c>
      <c r="AY171" s="18">
        <v>1</v>
      </c>
      <c r="AZ171">
        <v>0.32100000000000001</v>
      </c>
      <c r="BA171" s="18">
        <f t="shared" si="53"/>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16</v>
      </c>
      <c r="DB171" s="34"/>
    </row>
    <row r="172" spans="1:106" x14ac:dyDescent="0.25">
      <c r="A172">
        <v>171</v>
      </c>
      <c r="B172">
        <v>15</v>
      </c>
      <c r="C172" s="25" t="s">
        <v>172</v>
      </c>
      <c r="D172" s="12">
        <v>12.75</v>
      </c>
      <c r="E172" s="14">
        <v>0.37910798122065731</v>
      </c>
      <c r="F172" s="7">
        <v>33.631578947368418</v>
      </c>
      <c r="G172" s="7">
        <f t="shared" si="39"/>
        <v>12.370892018779342</v>
      </c>
      <c r="H172" s="16">
        <f t="shared" si="40"/>
        <v>13.129107981220658</v>
      </c>
      <c r="I172" s="11">
        <f t="shared" si="41"/>
        <v>0.16279640298126366</v>
      </c>
      <c r="J172" s="33">
        <f t="shared" si="42"/>
        <v>4.8405816222910954E-3</v>
      </c>
      <c r="K172" s="33">
        <f t="shared" si="43"/>
        <v>206.5867447405401</v>
      </c>
      <c r="L172" s="33">
        <f t="shared" si="44"/>
        <v>0.15795582135897257</v>
      </c>
      <c r="M172" s="33">
        <f t="shared" si="45"/>
        <v>0.16763698460355475</v>
      </c>
      <c r="N172" s="8">
        <v>1</v>
      </c>
      <c r="O172" s="9">
        <v>0</v>
      </c>
      <c r="P172" s="8">
        <v>0</v>
      </c>
      <c r="Q172" s="9">
        <v>1</v>
      </c>
      <c r="R172" s="9">
        <v>0</v>
      </c>
      <c r="S172" s="9">
        <v>0</v>
      </c>
      <c r="T172" s="9">
        <v>0</v>
      </c>
      <c r="U172" s="8">
        <v>41564</v>
      </c>
      <c r="V172" s="9">
        <v>16</v>
      </c>
      <c r="W172" s="9">
        <f t="shared" si="46"/>
        <v>41547</v>
      </c>
      <c r="X172" s="9">
        <f t="shared" si="47"/>
        <v>20</v>
      </c>
      <c r="Y172" s="7">
        <v>8</v>
      </c>
      <c r="Z172" s="7">
        <v>22.343</v>
      </c>
      <c r="AA172" s="9">
        <v>0</v>
      </c>
      <c r="AB172" s="9">
        <v>1</v>
      </c>
      <c r="AC172" s="9">
        <v>1</v>
      </c>
      <c r="AD172" s="9">
        <v>0</v>
      </c>
      <c r="AE172" s="9">
        <v>0</v>
      </c>
      <c r="AF172" s="9">
        <v>0</v>
      </c>
      <c r="AG172" s="8">
        <v>0</v>
      </c>
      <c r="AH172" s="9">
        <v>1</v>
      </c>
      <c r="AI172" s="30">
        <v>0</v>
      </c>
      <c r="AJ172" s="9">
        <v>1</v>
      </c>
      <c r="AK172" s="30">
        <v>0</v>
      </c>
      <c r="AL172" s="21">
        <v>2005</v>
      </c>
      <c r="AM172" s="23">
        <f t="shared" si="48"/>
        <v>7.6033993397406698</v>
      </c>
      <c r="AN172" s="33">
        <v>0.32600000000000001</v>
      </c>
      <c r="AO172" s="33">
        <v>0.127</v>
      </c>
      <c r="AP172" s="33">
        <v>0.36099999999999999</v>
      </c>
      <c r="AQ172" s="43">
        <f t="shared" si="51"/>
        <v>0.18599999999999994</v>
      </c>
      <c r="AR172" s="42" t="s">
        <v>104</v>
      </c>
      <c r="AS172" s="18" t="s">
        <v>104</v>
      </c>
      <c r="AT172">
        <v>0.504</v>
      </c>
      <c r="AU172" s="40">
        <f t="shared" si="52"/>
        <v>0.496</v>
      </c>
      <c r="AV172" t="s">
        <v>104</v>
      </c>
      <c r="AW172" s="40" t="s">
        <v>104</v>
      </c>
      <c r="AX172">
        <v>0</v>
      </c>
      <c r="AY172" s="18">
        <v>1</v>
      </c>
      <c r="AZ172">
        <v>0.32100000000000001</v>
      </c>
      <c r="BA172" s="18">
        <f t="shared" si="53"/>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16</v>
      </c>
      <c r="DB172" s="34"/>
    </row>
    <row r="173" spans="1:106" x14ac:dyDescent="0.25">
      <c r="A173">
        <v>172</v>
      </c>
      <c r="B173">
        <v>15</v>
      </c>
      <c r="C173" s="25" t="s">
        <v>172</v>
      </c>
      <c r="D173" s="12">
        <v>14.65</v>
      </c>
      <c r="E173" s="14">
        <v>0.36153433476394847</v>
      </c>
      <c r="F173" s="7">
        <v>40.521739130434788</v>
      </c>
      <c r="G173" s="7">
        <f t="shared" si="39"/>
        <v>14.288465665236052</v>
      </c>
      <c r="H173" s="16">
        <f t="shared" si="40"/>
        <v>15.011534334763949</v>
      </c>
      <c r="I173" s="11">
        <f t="shared" si="41"/>
        <v>0.19498510876513081</v>
      </c>
      <c r="J173" s="33">
        <f t="shared" si="42"/>
        <v>4.8118642721008669E-3</v>
      </c>
      <c r="K173" s="33">
        <f t="shared" si="43"/>
        <v>207.81966062467481</v>
      </c>
      <c r="L173" s="33">
        <f t="shared" si="44"/>
        <v>0.19017324449302994</v>
      </c>
      <c r="M173" s="33">
        <f t="shared" si="45"/>
        <v>0.19979697303723168</v>
      </c>
      <c r="N173" s="8">
        <v>1</v>
      </c>
      <c r="O173" s="9">
        <v>0</v>
      </c>
      <c r="P173" s="8">
        <v>0</v>
      </c>
      <c r="Q173" s="9">
        <v>1</v>
      </c>
      <c r="R173" s="9">
        <v>0</v>
      </c>
      <c r="S173" s="9">
        <v>0</v>
      </c>
      <c r="T173" s="9">
        <v>0</v>
      </c>
      <c r="U173" s="8">
        <v>41564</v>
      </c>
      <c r="V173" s="9">
        <v>16</v>
      </c>
      <c r="W173" s="9">
        <f t="shared" si="46"/>
        <v>41547</v>
      </c>
      <c r="X173" s="9">
        <f t="shared" si="47"/>
        <v>20</v>
      </c>
      <c r="Y173" s="7">
        <v>10</v>
      </c>
      <c r="Z173" s="7">
        <v>22.343</v>
      </c>
      <c r="AA173" s="9">
        <v>0</v>
      </c>
      <c r="AB173" s="9">
        <v>1</v>
      </c>
      <c r="AC173" s="9">
        <v>1</v>
      </c>
      <c r="AD173" s="9">
        <v>0</v>
      </c>
      <c r="AE173" s="9">
        <v>0</v>
      </c>
      <c r="AF173" s="9">
        <v>0</v>
      </c>
      <c r="AG173" s="8">
        <v>0</v>
      </c>
      <c r="AH173" s="9">
        <v>1</v>
      </c>
      <c r="AI173" s="30">
        <v>0</v>
      </c>
      <c r="AJ173" s="9">
        <v>1</v>
      </c>
      <c r="AK173" s="30">
        <v>0</v>
      </c>
      <c r="AL173" s="21">
        <v>2005</v>
      </c>
      <c r="AM173" s="23">
        <f t="shared" si="48"/>
        <v>7.6033993397406698</v>
      </c>
      <c r="AN173" s="33">
        <v>0.32600000000000001</v>
      </c>
      <c r="AO173" s="33">
        <v>0.127</v>
      </c>
      <c r="AP173" s="33">
        <v>0.36099999999999999</v>
      </c>
      <c r="AQ173" s="43">
        <f t="shared" si="51"/>
        <v>0.18599999999999994</v>
      </c>
      <c r="AR173" s="42" t="s">
        <v>104</v>
      </c>
      <c r="AS173" s="18" t="s">
        <v>104</v>
      </c>
      <c r="AT173">
        <v>0.504</v>
      </c>
      <c r="AU173" s="40">
        <f t="shared" si="52"/>
        <v>0.496</v>
      </c>
      <c r="AV173" t="s">
        <v>104</v>
      </c>
      <c r="AW173" s="40" t="s">
        <v>104</v>
      </c>
      <c r="AX173">
        <v>0</v>
      </c>
      <c r="AY173" s="18">
        <v>1</v>
      </c>
      <c r="AZ173">
        <v>0.32100000000000001</v>
      </c>
      <c r="BA173" s="18">
        <f t="shared" si="53"/>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16</v>
      </c>
      <c r="DB173" s="34"/>
    </row>
    <row r="174" spans="1:106" s="51" customFormat="1" x14ac:dyDescent="0.25">
      <c r="A174" s="51">
        <v>173</v>
      </c>
      <c r="B174" s="51">
        <v>15</v>
      </c>
      <c r="C174" s="52" t="s">
        <v>172</v>
      </c>
      <c r="D174" s="53">
        <v>15.133333333333329</v>
      </c>
      <c r="E174" s="54">
        <v>0.24021164021164021</v>
      </c>
      <c r="F174" s="55">
        <v>63</v>
      </c>
      <c r="G174" s="55">
        <f t="shared" si="39"/>
        <v>14.893121693121689</v>
      </c>
      <c r="H174" s="56">
        <f t="shared" si="40"/>
        <v>15.37354497354497</v>
      </c>
      <c r="I174" s="57">
        <f t="shared" si="41"/>
        <v>0.29529663976656012</v>
      </c>
      <c r="J174" s="58">
        <f t="shared" si="42"/>
        <v>4.6872482502628588E-3</v>
      </c>
      <c r="K174" s="58">
        <f t="shared" si="43"/>
        <v>213.34479135896427</v>
      </c>
      <c r="L174" s="58">
        <f t="shared" si="44"/>
        <v>0.29060939151629728</v>
      </c>
      <c r="M174" s="58">
        <f t="shared" si="45"/>
        <v>0.29998388801682296</v>
      </c>
      <c r="N174" s="59">
        <v>1</v>
      </c>
      <c r="O174" s="60">
        <v>0</v>
      </c>
      <c r="P174" s="59">
        <v>0</v>
      </c>
      <c r="Q174" s="60">
        <v>1</v>
      </c>
      <c r="R174" s="60">
        <v>0</v>
      </c>
      <c r="S174" s="60">
        <v>0</v>
      </c>
      <c r="T174" s="60">
        <v>0</v>
      </c>
      <c r="U174" s="59">
        <v>41564</v>
      </c>
      <c r="V174" s="60">
        <v>16</v>
      </c>
      <c r="W174" s="60">
        <f t="shared" si="46"/>
        <v>41547</v>
      </c>
      <c r="X174" s="60">
        <f t="shared" si="47"/>
        <v>20</v>
      </c>
      <c r="Y174" s="55">
        <v>13</v>
      </c>
      <c r="Z174" s="55">
        <v>22.343</v>
      </c>
      <c r="AA174" s="60">
        <v>0</v>
      </c>
      <c r="AB174" s="60">
        <v>1</v>
      </c>
      <c r="AC174" s="60">
        <v>1</v>
      </c>
      <c r="AD174" s="60">
        <v>0</v>
      </c>
      <c r="AE174" s="60">
        <v>0</v>
      </c>
      <c r="AF174" s="60">
        <v>0</v>
      </c>
      <c r="AG174" s="59">
        <v>0</v>
      </c>
      <c r="AH174" s="60">
        <v>1</v>
      </c>
      <c r="AI174" s="61">
        <v>0</v>
      </c>
      <c r="AJ174" s="60">
        <v>1</v>
      </c>
      <c r="AK174" s="61">
        <v>0</v>
      </c>
      <c r="AL174" s="62">
        <v>2005</v>
      </c>
      <c r="AM174" s="63">
        <f t="shared" si="48"/>
        <v>7.6033993397406698</v>
      </c>
      <c r="AN174" s="58">
        <v>0.32600000000000001</v>
      </c>
      <c r="AO174" s="58">
        <v>0.127</v>
      </c>
      <c r="AP174" s="58">
        <v>0.36099999999999999</v>
      </c>
      <c r="AQ174" s="64">
        <f t="shared" si="51"/>
        <v>0.18599999999999994</v>
      </c>
      <c r="AR174" s="65" t="s">
        <v>104</v>
      </c>
      <c r="AS174" s="66" t="s">
        <v>104</v>
      </c>
      <c r="AT174" s="51">
        <v>0.504</v>
      </c>
      <c r="AU174" s="67">
        <f t="shared" si="52"/>
        <v>0.496</v>
      </c>
      <c r="AV174" s="51" t="s">
        <v>104</v>
      </c>
      <c r="AW174" s="67" t="s">
        <v>104</v>
      </c>
      <c r="AX174">
        <v>0</v>
      </c>
      <c r="AY174" s="66">
        <v>1</v>
      </c>
      <c r="AZ174" s="51">
        <v>0.32100000000000001</v>
      </c>
      <c r="BA174" s="66">
        <f t="shared" si="53"/>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16</v>
      </c>
      <c r="CW174" s="68"/>
      <c r="DB174" s="68"/>
    </row>
    <row r="175" spans="1:106" x14ac:dyDescent="0.25">
      <c r="A175">
        <v>174</v>
      </c>
      <c r="B175">
        <v>16</v>
      </c>
      <c r="C175" s="25" t="s">
        <v>198</v>
      </c>
      <c r="D175" s="12">
        <v>3.55</v>
      </c>
      <c r="E175" s="14">
        <v>0.86165048543689315</v>
      </c>
      <c r="F175" s="7">
        <v>4.12</v>
      </c>
      <c r="G175" s="7">
        <f t="shared" si="39"/>
        <v>2.6883495145631064</v>
      </c>
      <c r="H175" s="16">
        <f t="shared" si="40"/>
        <v>4.4116504854368932</v>
      </c>
      <c r="I175" s="11">
        <f t="shared" si="41"/>
        <v>7.3536563247082132E-2</v>
      </c>
      <c r="J175" s="33">
        <f t="shared" si="42"/>
        <v>1.7848680399777217E-2</v>
      </c>
      <c r="K175" s="33">
        <f t="shared" si="43"/>
        <v>56.026550848682447</v>
      </c>
      <c r="L175" s="33">
        <f t="shared" si="44"/>
        <v>5.5687882847304915E-2</v>
      </c>
      <c r="M175" s="33">
        <f t="shared" si="45"/>
        <v>9.1385243646859349E-2</v>
      </c>
      <c r="N175" s="8">
        <v>0</v>
      </c>
      <c r="O175" s="9">
        <v>1</v>
      </c>
      <c r="P175" s="8">
        <v>0</v>
      </c>
      <c r="Q175" s="9">
        <v>0</v>
      </c>
      <c r="R175" s="9">
        <v>1</v>
      </c>
      <c r="S175" s="9">
        <v>0</v>
      </c>
      <c r="T175" s="9">
        <v>0</v>
      </c>
      <c r="U175" s="8">
        <v>3132</v>
      </c>
      <c r="V175" s="9">
        <v>9</v>
      </c>
      <c r="W175" s="9">
        <f t="shared" si="46"/>
        <v>3122</v>
      </c>
      <c r="X175" s="9">
        <f t="shared" si="47"/>
        <v>48</v>
      </c>
      <c r="Y175" s="7">
        <v>9.8249999999999993</v>
      </c>
      <c r="Z175" s="7">
        <f t="shared" ref="Z175:Z222" si="54">BN175-Y175-6</f>
        <v>24.175000000000001</v>
      </c>
      <c r="AA175" s="9">
        <v>0</v>
      </c>
      <c r="AB175" s="9">
        <v>1</v>
      </c>
      <c r="AC175" s="9">
        <v>0</v>
      </c>
      <c r="AD175" s="9">
        <v>0</v>
      </c>
      <c r="AE175" s="9">
        <v>1</v>
      </c>
      <c r="AF175" s="9">
        <v>0</v>
      </c>
      <c r="AG175" s="8">
        <v>0</v>
      </c>
      <c r="AH175" s="9">
        <v>1</v>
      </c>
      <c r="AI175" s="30">
        <v>0</v>
      </c>
      <c r="AJ175" s="9">
        <v>0</v>
      </c>
      <c r="AK175" s="30">
        <v>1</v>
      </c>
      <c r="AL175" s="21">
        <v>1992</v>
      </c>
      <c r="AM175" s="23">
        <f t="shared" si="48"/>
        <v>7.5968944381445436</v>
      </c>
      <c r="AN175" s="33">
        <f t="shared" ref="AN175:AN214" si="55">(1-AO175-AP175)/2</f>
        <v>0.26250000000000001</v>
      </c>
      <c r="AO175" s="33">
        <v>0.25</v>
      </c>
      <c r="AP175" s="33">
        <v>0.22500000000000001</v>
      </c>
      <c r="AQ175" s="43">
        <f t="shared" ref="AQ175:AQ214" si="56">(1-AO175-AP175)/2</f>
        <v>0.26250000000000001</v>
      </c>
      <c r="AR175" s="42">
        <v>0.67</v>
      </c>
      <c r="AS175" s="18">
        <v>0.33</v>
      </c>
      <c r="AT175">
        <v>0</v>
      </c>
      <c r="AU175" s="40">
        <f t="shared" si="52"/>
        <v>1</v>
      </c>
      <c r="AV175">
        <v>0.38</v>
      </c>
      <c r="AW175" s="40">
        <v>0.62</v>
      </c>
      <c r="AX175">
        <v>0</v>
      </c>
      <c r="AY175" s="18">
        <v>1</v>
      </c>
      <c r="AZ175">
        <f t="shared" ref="AZ175:AZ222" si="5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12</v>
      </c>
      <c r="DB175" s="34"/>
    </row>
    <row r="176" spans="1:106" x14ac:dyDescent="0.25">
      <c r="A176">
        <v>175</v>
      </c>
      <c r="B176">
        <v>16</v>
      </c>
      <c r="C176" s="25" t="s">
        <v>198</v>
      </c>
      <c r="D176" s="12">
        <v>3.8</v>
      </c>
      <c r="E176" s="14">
        <v>0.57057057057057048</v>
      </c>
      <c r="F176" s="7">
        <v>6.660000000000001</v>
      </c>
      <c r="G176" s="7">
        <f t="shared" si="39"/>
        <v>3.2294294294294295</v>
      </c>
      <c r="H176" s="16">
        <f t="shared" si="40"/>
        <v>4.3705705705705702</v>
      </c>
      <c r="I176" s="11">
        <f t="shared" si="41"/>
        <v>0.11835711912237924</v>
      </c>
      <c r="J176" s="33">
        <f t="shared" si="42"/>
        <v>1.7771339207564449E-2</v>
      </c>
      <c r="K176" s="33">
        <f t="shared" si="43"/>
        <v>56.270379419371253</v>
      </c>
      <c r="L176" s="33">
        <f t="shared" si="44"/>
        <v>0.10058577991481479</v>
      </c>
      <c r="M176" s="33">
        <f t="shared" si="45"/>
        <v>0.13612845832994369</v>
      </c>
      <c r="N176" s="8">
        <v>0</v>
      </c>
      <c r="O176" s="9">
        <v>1</v>
      </c>
      <c r="P176" s="8">
        <v>0</v>
      </c>
      <c r="Q176" s="9">
        <v>0</v>
      </c>
      <c r="R176" s="9">
        <v>1</v>
      </c>
      <c r="S176" s="9">
        <v>0</v>
      </c>
      <c r="T176" s="9">
        <v>0</v>
      </c>
      <c r="U176" s="8">
        <v>3132</v>
      </c>
      <c r="V176" s="9">
        <v>9</v>
      </c>
      <c r="W176" s="9">
        <f t="shared" si="46"/>
        <v>3122</v>
      </c>
      <c r="X176" s="9">
        <f t="shared" si="47"/>
        <v>48</v>
      </c>
      <c r="Y176" s="7">
        <v>9.8249999999999993</v>
      </c>
      <c r="Z176" s="7">
        <f t="shared" si="54"/>
        <v>24.175000000000001</v>
      </c>
      <c r="AA176" s="9">
        <v>0</v>
      </c>
      <c r="AB176" s="9">
        <v>1</v>
      </c>
      <c r="AC176" s="9">
        <v>0</v>
      </c>
      <c r="AD176" s="9">
        <v>0</v>
      </c>
      <c r="AE176" s="9">
        <v>1</v>
      </c>
      <c r="AF176" s="9">
        <v>0</v>
      </c>
      <c r="AG176" s="8">
        <v>0</v>
      </c>
      <c r="AH176" s="9">
        <v>1</v>
      </c>
      <c r="AI176" s="30">
        <v>0</v>
      </c>
      <c r="AJ176" s="9">
        <v>0</v>
      </c>
      <c r="AK176" s="30">
        <v>1</v>
      </c>
      <c r="AL176" s="21">
        <v>1992</v>
      </c>
      <c r="AM176" s="23">
        <f t="shared" si="48"/>
        <v>7.5968944381445436</v>
      </c>
      <c r="AN176" s="33">
        <f t="shared" si="55"/>
        <v>0.26250000000000001</v>
      </c>
      <c r="AO176" s="33">
        <v>0.25</v>
      </c>
      <c r="AP176" s="33">
        <v>0.22500000000000001</v>
      </c>
      <c r="AQ176" s="43">
        <f t="shared" si="56"/>
        <v>0.26250000000000001</v>
      </c>
      <c r="AR176" s="42">
        <v>0.67</v>
      </c>
      <c r="AS176" s="18">
        <v>0.33</v>
      </c>
      <c r="AT176">
        <v>0</v>
      </c>
      <c r="AU176" s="40">
        <f t="shared" si="52"/>
        <v>1</v>
      </c>
      <c r="AV176">
        <v>0.38</v>
      </c>
      <c r="AW176" s="40">
        <v>0.62</v>
      </c>
      <c r="AX176">
        <v>0</v>
      </c>
      <c r="AY176" s="18">
        <v>1</v>
      </c>
      <c r="AZ176">
        <f t="shared" si="5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12</v>
      </c>
      <c r="DB176" s="34"/>
    </row>
    <row r="177" spans="1:106" x14ac:dyDescent="0.25">
      <c r="A177">
        <v>176</v>
      </c>
      <c r="B177">
        <v>16</v>
      </c>
      <c r="C177" s="25" t="s">
        <v>198</v>
      </c>
      <c r="D177" s="12">
        <v>7.28</v>
      </c>
      <c r="E177" s="14">
        <v>1.2072968490878939</v>
      </c>
      <c r="F177" s="7">
        <v>6.03</v>
      </c>
      <c r="G177" s="7">
        <f t="shared" si="39"/>
        <v>6.0727031509121066</v>
      </c>
      <c r="H177" s="16">
        <f t="shared" si="40"/>
        <v>8.4872968490878939</v>
      </c>
      <c r="I177" s="11">
        <f t="shared" si="41"/>
        <v>0.10729671724387244</v>
      </c>
      <c r="J177" s="33">
        <f t="shared" si="42"/>
        <v>1.7793817121703553E-2</v>
      </c>
      <c r="K177" s="33">
        <f t="shared" si="43"/>
        <v>56.199296258939043</v>
      </c>
      <c r="L177" s="33">
        <f t="shared" si="44"/>
        <v>8.9502900122168882E-2</v>
      </c>
      <c r="M177" s="33">
        <f t="shared" si="45"/>
        <v>0.12509053436557599</v>
      </c>
      <c r="N177" s="8">
        <v>0</v>
      </c>
      <c r="O177" s="9">
        <v>1</v>
      </c>
      <c r="P177" s="8">
        <v>0</v>
      </c>
      <c r="Q177" s="9">
        <v>0</v>
      </c>
      <c r="R177" s="9">
        <v>1</v>
      </c>
      <c r="S177" s="9">
        <v>0</v>
      </c>
      <c r="T177" s="9">
        <v>0</v>
      </c>
      <c r="U177" s="8">
        <v>3132</v>
      </c>
      <c r="V177" s="9">
        <v>9</v>
      </c>
      <c r="W177" s="9">
        <f t="shared" si="46"/>
        <v>3122</v>
      </c>
      <c r="X177" s="9">
        <f t="shared" si="47"/>
        <v>48</v>
      </c>
      <c r="Y177" s="7">
        <v>9.8249999999999993</v>
      </c>
      <c r="Z177" s="7">
        <f t="shared" si="54"/>
        <v>24.175000000000001</v>
      </c>
      <c r="AA177" s="9">
        <v>0</v>
      </c>
      <c r="AB177" s="9">
        <v>1</v>
      </c>
      <c r="AC177" s="9">
        <v>0</v>
      </c>
      <c r="AD177" s="9">
        <v>0</v>
      </c>
      <c r="AE177" s="9">
        <v>1</v>
      </c>
      <c r="AF177" s="9">
        <v>0</v>
      </c>
      <c r="AG177" s="8">
        <v>0</v>
      </c>
      <c r="AH177" s="9">
        <v>1</v>
      </c>
      <c r="AI177" s="30">
        <v>0</v>
      </c>
      <c r="AJ177" s="9">
        <v>0</v>
      </c>
      <c r="AK177" s="30">
        <v>1</v>
      </c>
      <c r="AL177" s="21">
        <v>1992</v>
      </c>
      <c r="AM177" s="23">
        <f t="shared" si="48"/>
        <v>7.5968944381445436</v>
      </c>
      <c r="AN177" s="33">
        <f t="shared" si="55"/>
        <v>0.26250000000000001</v>
      </c>
      <c r="AO177" s="33">
        <v>0.25</v>
      </c>
      <c r="AP177" s="33">
        <v>0.22500000000000001</v>
      </c>
      <c r="AQ177" s="43">
        <f t="shared" si="56"/>
        <v>0.26250000000000001</v>
      </c>
      <c r="AR177" s="42">
        <v>0.67</v>
      </c>
      <c r="AS177" s="18">
        <v>0.33</v>
      </c>
      <c r="AT177">
        <v>0</v>
      </c>
      <c r="AU177" s="40">
        <f t="shared" si="52"/>
        <v>1</v>
      </c>
      <c r="AV177">
        <v>0.38</v>
      </c>
      <c r="AW177" s="40">
        <v>0.62</v>
      </c>
      <c r="AX177">
        <v>0</v>
      </c>
      <c r="AY177" s="18">
        <v>1</v>
      </c>
      <c r="AZ177">
        <f t="shared" si="5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12</v>
      </c>
      <c r="DB177" s="34"/>
    </row>
    <row r="178" spans="1:106" x14ac:dyDescent="0.25">
      <c r="A178">
        <v>177</v>
      </c>
      <c r="B178">
        <v>16</v>
      </c>
      <c r="C178" s="25" t="s">
        <v>198</v>
      </c>
      <c r="D178" s="12">
        <v>11.4</v>
      </c>
      <c r="E178" s="14">
        <v>3.3727810650887582</v>
      </c>
      <c r="F178" s="7">
        <v>3.38</v>
      </c>
      <c r="G178" s="7">
        <f t="shared" si="39"/>
        <v>8.0272189349112431</v>
      </c>
      <c r="H178" s="16">
        <f t="shared" si="40"/>
        <v>14.772781065088758</v>
      </c>
      <c r="I178" s="11">
        <f t="shared" si="41"/>
        <v>6.0381943826493679E-2</v>
      </c>
      <c r="J178" s="33">
        <f t="shared" si="42"/>
        <v>1.7864480422039548E-2</v>
      </c>
      <c r="K178" s="33">
        <f t="shared" si="43"/>
        <v>55.976998847741029</v>
      </c>
      <c r="L178" s="33">
        <f t="shared" si="44"/>
        <v>4.2517463404454128E-2</v>
      </c>
      <c r="M178" s="33">
        <f t="shared" si="45"/>
        <v>7.8246424248533231E-2</v>
      </c>
      <c r="N178" s="8">
        <v>0</v>
      </c>
      <c r="O178" s="9">
        <v>1</v>
      </c>
      <c r="P178" s="8">
        <v>0</v>
      </c>
      <c r="Q178" s="9">
        <v>0</v>
      </c>
      <c r="R178" s="9">
        <v>1</v>
      </c>
      <c r="S178" s="9">
        <v>0</v>
      </c>
      <c r="T178" s="9">
        <v>0</v>
      </c>
      <c r="U178" s="8">
        <v>3132</v>
      </c>
      <c r="V178" s="9">
        <v>9</v>
      </c>
      <c r="W178" s="9">
        <f t="shared" si="46"/>
        <v>3122</v>
      </c>
      <c r="X178" s="9">
        <f t="shared" si="47"/>
        <v>48</v>
      </c>
      <c r="Y178" s="7">
        <v>9.8249999999999993</v>
      </c>
      <c r="Z178" s="7">
        <f t="shared" si="54"/>
        <v>24.175000000000001</v>
      </c>
      <c r="AA178" s="9">
        <v>0</v>
      </c>
      <c r="AB178" s="9">
        <v>1</v>
      </c>
      <c r="AC178" s="9">
        <v>0</v>
      </c>
      <c r="AD178" s="9">
        <v>0</v>
      </c>
      <c r="AE178" s="9">
        <v>1</v>
      </c>
      <c r="AF178" s="9">
        <v>0</v>
      </c>
      <c r="AG178" s="8">
        <v>0</v>
      </c>
      <c r="AH178" s="9">
        <v>1</v>
      </c>
      <c r="AI178" s="30">
        <v>0</v>
      </c>
      <c r="AJ178" s="9">
        <v>0</v>
      </c>
      <c r="AK178" s="30">
        <v>1</v>
      </c>
      <c r="AL178" s="21">
        <v>1992</v>
      </c>
      <c r="AM178" s="23">
        <f t="shared" si="48"/>
        <v>7.5968944381445436</v>
      </c>
      <c r="AN178" s="33">
        <f t="shared" si="55"/>
        <v>0.26250000000000001</v>
      </c>
      <c r="AO178" s="33">
        <v>0.25</v>
      </c>
      <c r="AP178" s="33">
        <v>0.22500000000000001</v>
      </c>
      <c r="AQ178" s="43">
        <f t="shared" si="56"/>
        <v>0.26250000000000001</v>
      </c>
      <c r="AR178" s="42">
        <v>0.67</v>
      </c>
      <c r="AS178" s="18">
        <v>0.33</v>
      </c>
      <c r="AT178">
        <v>0</v>
      </c>
      <c r="AU178" s="40">
        <f t="shared" si="52"/>
        <v>1</v>
      </c>
      <c r="AV178">
        <v>0.38</v>
      </c>
      <c r="AW178" s="40">
        <v>0.62</v>
      </c>
      <c r="AX178">
        <v>0</v>
      </c>
      <c r="AY178" s="18">
        <v>1</v>
      </c>
      <c r="AZ178">
        <f t="shared" si="5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12</v>
      </c>
      <c r="DB178" s="34"/>
    </row>
    <row r="179" spans="1:106" x14ac:dyDescent="0.25">
      <c r="A179">
        <v>178</v>
      </c>
      <c r="B179">
        <v>16</v>
      </c>
      <c r="C179" s="25" t="s">
        <v>198</v>
      </c>
      <c r="D179" s="12">
        <v>0.4</v>
      </c>
      <c r="E179" s="14">
        <v>0.83333333333333337</v>
      </c>
      <c r="F179" s="7">
        <v>0.48</v>
      </c>
      <c r="G179" s="7">
        <f t="shared" si="39"/>
        <v>-0.43333333333333335</v>
      </c>
      <c r="H179" s="16">
        <f t="shared" si="40"/>
        <v>1.2333333333333334</v>
      </c>
      <c r="I179" s="11">
        <f t="shared" si="41"/>
        <v>8.3440660789958192E-3</v>
      </c>
      <c r="J179" s="33">
        <f t="shared" si="42"/>
        <v>1.7383470997907959E-2</v>
      </c>
      <c r="K179" s="33">
        <f t="shared" si="43"/>
        <v>57.525910683795345</v>
      </c>
      <c r="L179" s="33">
        <f t="shared" si="44"/>
        <v>-9.03940491891214E-3</v>
      </c>
      <c r="M179" s="33">
        <f t="shared" si="45"/>
        <v>2.5727537076903777E-2</v>
      </c>
      <c r="N179" s="8">
        <v>0</v>
      </c>
      <c r="O179" s="9">
        <v>1</v>
      </c>
      <c r="P179" s="8">
        <v>0</v>
      </c>
      <c r="Q179" s="9">
        <v>0</v>
      </c>
      <c r="R179" s="9">
        <v>1</v>
      </c>
      <c r="S179" s="9">
        <v>0</v>
      </c>
      <c r="T179" s="9">
        <v>0</v>
      </c>
      <c r="U179" s="8">
        <v>3319</v>
      </c>
      <c r="V179" s="9">
        <v>9</v>
      </c>
      <c r="W179" s="9">
        <f t="shared" si="46"/>
        <v>3309</v>
      </c>
      <c r="X179" s="9">
        <f t="shared" si="47"/>
        <v>48</v>
      </c>
      <c r="Y179" s="7">
        <v>10.52</v>
      </c>
      <c r="Z179" s="7">
        <f t="shared" si="54"/>
        <v>23.48</v>
      </c>
      <c r="AA179" s="9">
        <v>0</v>
      </c>
      <c r="AB179" s="9">
        <v>1</v>
      </c>
      <c r="AC179" s="9">
        <v>0</v>
      </c>
      <c r="AD179" s="9">
        <v>0</v>
      </c>
      <c r="AE179" s="9">
        <v>1</v>
      </c>
      <c r="AF179" s="9">
        <v>0</v>
      </c>
      <c r="AG179" s="8">
        <v>0</v>
      </c>
      <c r="AH179" s="9">
        <v>1</v>
      </c>
      <c r="AI179" s="30">
        <v>0</v>
      </c>
      <c r="AJ179" s="9">
        <v>0</v>
      </c>
      <c r="AK179" s="30">
        <v>1</v>
      </c>
      <c r="AL179" s="21">
        <v>1992</v>
      </c>
      <c r="AM179" s="23">
        <f t="shared" si="48"/>
        <v>7.5968944381445436</v>
      </c>
      <c r="AN179" s="33">
        <f t="shared" si="55"/>
        <v>0.17</v>
      </c>
      <c r="AO179" s="33">
        <v>0.2</v>
      </c>
      <c r="AP179" s="33">
        <v>0.46</v>
      </c>
      <c r="AQ179" s="43">
        <f t="shared" si="56"/>
        <v>0.17</v>
      </c>
      <c r="AR179" s="42">
        <v>0.67</v>
      </c>
      <c r="AS179" s="18">
        <v>0.33</v>
      </c>
      <c r="AT179">
        <v>1</v>
      </c>
      <c r="AU179" s="40">
        <f t="shared" si="52"/>
        <v>0</v>
      </c>
      <c r="AV179">
        <v>0.31</v>
      </c>
      <c r="AW179" s="40">
        <v>0.69</v>
      </c>
      <c r="AX179">
        <v>0</v>
      </c>
      <c r="AY179" s="18">
        <v>1</v>
      </c>
      <c r="AZ179">
        <f t="shared" si="5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12</v>
      </c>
      <c r="DB179" s="34"/>
    </row>
    <row r="180" spans="1:106" x14ac:dyDescent="0.25">
      <c r="A180">
        <v>179</v>
      </c>
      <c r="B180">
        <v>16</v>
      </c>
      <c r="C180" s="25" t="s">
        <v>198</v>
      </c>
      <c r="D180" s="12">
        <v>4.2250000000000014</v>
      </c>
      <c r="E180" s="14">
        <v>1.053615960099751</v>
      </c>
      <c r="F180" s="7">
        <v>4.01</v>
      </c>
      <c r="G180" s="7">
        <f t="shared" si="39"/>
        <v>3.1713840399002504</v>
      </c>
      <c r="H180" s="16">
        <f t="shared" si="40"/>
        <v>5.2786159600997529</v>
      </c>
      <c r="I180" s="11">
        <f t="shared" si="41"/>
        <v>6.9541381927090723E-2</v>
      </c>
      <c r="J180" s="33">
        <f t="shared" si="42"/>
        <v>1.7341990505508911E-2</v>
      </c>
      <c r="K180" s="33">
        <f t="shared" si="43"/>
        <v>57.663507524256623</v>
      </c>
      <c r="L180" s="33">
        <f t="shared" si="44"/>
        <v>5.2199391421581809E-2</v>
      </c>
      <c r="M180" s="33">
        <f t="shared" si="45"/>
        <v>8.6883372432599637E-2</v>
      </c>
      <c r="N180" s="8">
        <v>0</v>
      </c>
      <c r="O180" s="9">
        <v>1</v>
      </c>
      <c r="P180" s="8">
        <v>0</v>
      </c>
      <c r="Q180" s="9">
        <v>0</v>
      </c>
      <c r="R180" s="9">
        <v>1</v>
      </c>
      <c r="S180" s="9">
        <v>0</v>
      </c>
      <c r="T180" s="9">
        <v>0</v>
      </c>
      <c r="U180" s="8">
        <v>3319</v>
      </c>
      <c r="V180" s="9">
        <v>9</v>
      </c>
      <c r="W180" s="9">
        <f t="shared" si="46"/>
        <v>3309</v>
      </c>
      <c r="X180" s="9">
        <f t="shared" si="47"/>
        <v>48</v>
      </c>
      <c r="Y180" s="7">
        <v>10.52</v>
      </c>
      <c r="Z180" s="7">
        <f t="shared" si="54"/>
        <v>23.48</v>
      </c>
      <c r="AA180" s="9">
        <v>0</v>
      </c>
      <c r="AB180" s="9">
        <v>1</v>
      </c>
      <c r="AC180" s="9">
        <v>0</v>
      </c>
      <c r="AD180" s="9">
        <v>0</v>
      </c>
      <c r="AE180" s="9">
        <v>1</v>
      </c>
      <c r="AF180" s="9">
        <v>0</v>
      </c>
      <c r="AG180" s="8">
        <v>0</v>
      </c>
      <c r="AH180" s="9">
        <v>1</v>
      </c>
      <c r="AI180" s="30">
        <v>0</v>
      </c>
      <c r="AJ180" s="9">
        <v>0</v>
      </c>
      <c r="AK180" s="30">
        <v>1</v>
      </c>
      <c r="AL180" s="21">
        <v>1992</v>
      </c>
      <c r="AM180" s="23">
        <f t="shared" si="48"/>
        <v>7.5968944381445436</v>
      </c>
      <c r="AN180" s="33">
        <f t="shared" si="55"/>
        <v>0.17</v>
      </c>
      <c r="AO180" s="33">
        <v>0.2</v>
      </c>
      <c r="AP180" s="33">
        <v>0.46</v>
      </c>
      <c r="AQ180" s="43">
        <f t="shared" si="56"/>
        <v>0.17</v>
      </c>
      <c r="AR180" s="42">
        <v>0.67</v>
      </c>
      <c r="AS180" s="18">
        <v>0.33</v>
      </c>
      <c r="AT180">
        <v>1</v>
      </c>
      <c r="AU180" s="40">
        <f t="shared" si="52"/>
        <v>0</v>
      </c>
      <c r="AV180">
        <v>0.31</v>
      </c>
      <c r="AW180" s="40">
        <v>0.69</v>
      </c>
      <c r="AX180">
        <v>0</v>
      </c>
      <c r="AY180" s="18">
        <v>1</v>
      </c>
      <c r="AZ180">
        <f t="shared" si="5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12</v>
      </c>
      <c r="DB180" s="34"/>
    </row>
    <row r="181" spans="1:106" x14ac:dyDescent="0.25">
      <c r="A181">
        <v>180</v>
      </c>
      <c r="B181">
        <v>16</v>
      </c>
      <c r="C181" s="25" t="s">
        <v>198</v>
      </c>
      <c r="D181" s="12">
        <v>7.3999999999999986</v>
      </c>
      <c r="E181" s="14">
        <v>1.1111111111111109</v>
      </c>
      <c r="F181" s="7">
        <v>6.66</v>
      </c>
      <c r="G181" s="7">
        <f t="shared" si="39"/>
        <v>6.2888888888888879</v>
      </c>
      <c r="H181" s="16">
        <f t="shared" si="40"/>
        <v>8.5111111111111093</v>
      </c>
      <c r="I181" s="11">
        <f t="shared" si="41"/>
        <v>0.1150096877331656</v>
      </c>
      <c r="J181" s="33">
        <f t="shared" si="42"/>
        <v>1.7268721881856693E-2</v>
      </c>
      <c r="K181" s="33">
        <f t="shared" si="43"/>
        <v>57.908165227366688</v>
      </c>
      <c r="L181" s="33">
        <f t="shared" si="44"/>
        <v>9.7740965851308897E-2</v>
      </c>
      <c r="M181" s="33">
        <f t="shared" si="45"/>
        <v>0.1322784096150223</v>
      </c>
      <c r="N181" s="8">
        <v>0</v>
      </c>
      <c r="O181" s="9">
        <v>1</v>
      </c>
      <c r="P181" s="8">
        <v>0</v>
      </c>
      <c r="Q181" s="9">
        <v>0</v>
      </c>
      <c r="R181" s="9">
        <v>1</v>
      </c>
      <c r="S181" s="9">
        <v>0</v>
      </c>
      <c r="T181" s="9">
        <v>0</v>
      </c>
      <c r="U181" s="8">
        <v>3319</v>
      </c>
      <c r="V181" s="9">
        <v>9</v>
      </c>
      <c r="W181" s="9">
        <f t="shared" si="46"/>
        <v>3309</v>
      </c>
      <c r="X181" s="9">
        <f t="shared" si="47"/>
        <v>48</v>
      </c>
      <c r="Y181" s="7">
        <v>10.52</v>
      </c>
      <c r="Z181" s="7">
        <f t="shared" si="54"/>
        <v>23.48</v>
      </c>
      <c r="AA181" s="9">
        <v>0</v>
      </c>
      <c r="AB181" s="9">
        <v>1</v>
      </c>
      <c r="AC181" s="9">
        <v>0</v>
      </c>
      <c r="AD181" s="9">
        <v>0</v>
      </c>
      <c r="AE181" s="9">
        <v>1</v>
      </c>
      <c r="AF181" s="9">
        <v>0</v>
      </c>
      <c r="AG181" s="8">
        <v>0</v>
      </c>
      <c r="AH181" s="9">
        <v>1</v>
      </c>
      <c r="AI181" s="30">
        <v>0</v>
      </c>
      <c r="AJ181" s="9">
        <v>0</v>
      </c>
      <c r="AK181" s="30">
        <v>1</v>
      </c>
      <c r="AL181" s="21">
        <v>1992</v>
      </c>
      <c r="AM181" s="23">
        <f t="shared" si="48"/>
        <v>7.5968944381445436</v>
      </c>
      <c r="AN181" s="33">
        <f t="shared" si="55"/>
        <v>0.17</v>
      </c>
      <c r="AO181" s="33">
        <v>0.2</v>
      </c>
      <c r="AP181" s="33">
        <v>0.46</v>
      </c>
      <c r="AQ181" s="43">
        <f t="shared" si="56"/>
        <v>0.17</v>
      </c>
      <c r="AR181" s="42">
        <v>0.67</v>
      </c>
      <c r="AS181" s="18">
        <v>0.33</v>
      </c>
      <c r="AT181">
        <v>1</v>
      </c>
      <c r="AU181" s="40">
        <f t="shared" si="52"/>
        <v>0</v>
      </c>
      <c r="AV181">
        <v>0.31</v>
      </c>
      <c r="AW181" s="40">
        <v>0.69</v>
      </c>
      <c r="AX181">
        <v>0</v>
      </c>
      <c r="AY181" s="18">
        <v>1</v>
      </c>
      <c r="AZ181">
        <f t="shared" si="5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12</v>
      </c>
      <c r="DB181" s="34"/>
    </row>
    <row r="182" spans="1:106" x14ac:dyDescent="0.25">
      <c r="A182">
        <v>181</v>
      </c>
      <c r="B182">
        <v>16</v>
      </c>
      <c r="C182" s="25" t="s">
        <v>198</v>
      </c>
      <c r="D182" s="12">
        <v>13.233333333333331</v>
      </c>
      <c r="E182" s="14">
        <v>2.2315907813378302</v>
      </c>
      <c r="F182" s="7">
        <v>5.93</v>
      </c>
      <c r="G182" s="7">
        <f t="shared" si="39"/>
        <v>11.0017425519955</v>
      </c>
      <c r="H182" s="16">
        <f t="shared" si="40"/>
        <v>15.464924114671161</v>
      </c>
      <c r="I182" s="11">
        <f t="shared" si="41"/>
        <v>0.10254414096067127</v>
      </c>
      <c r="J182" s="33">
        <f t="shared" si="42"/>
        <v>1.7292435237887233E-2</v>
      </c>
      <c r="K182" s="33">
        <f t="shared" si="43"/>
        <v>57.828754958065623</v>
      </c>
      <c r="L182" s="33">
        <f t="shared" si="44"/>
        <v>8.5251705722784038E-2</v>
      </c>
      <c r="M182" s="33">
        <f t="shared" si="45"/>
        <v>0.1198365761985585</v>
      </c>
      <c r="N182" s="8">
        <v>0</v>
      </c>
      <c r="O182" s="9">
        <v>1</v>
      </c>
      <c r="P182" s="8">
        <v>0</v>
      </c>
      <c r="Q182" s="9">
        <v>0</v>
      </c>
      <c r="R182" s="9">
        <v>1</v>
      </c>
      <c r="S182" s="9">
        <v>0</v>
      </c>
      <c r="T182" s="9">
        <v>0</v>
      </c>
      <c r="U182" s="8">
        <v>3319</v>
      </c>
      <c r="V182" s="9">
        <v>9</v>
      </c>
      <c r="W182" s="9">
        <f t="shared" si="46"/>
        <v>3309</v>
      </c>
      <c r="X182" s="9">
        <f t="shared" si="47"/>
        <v>48</v>
      </c>
      <c r="Y182" s="7">
        <v>10.52</v>
      </c>
      <c r="Z182" s="7">
        <f t="shared" si="54"/>
        <v>23.48</v>
      </c>
      <c r="AA182" s="9">
        <v>0</v>
      </c>
      <c r="AB182" s="9">
        <v>1</v>
      </c>
      <c r="AC182" s="9">
        <v>0</v>
      </c>
      <c r="AD182" s="9">
        <v>0</v>
      </c>
      <c r="AE182" s="9">
        <v>1</v>
      </c>
      <c r="AF182" s="9">
        <v>0</v>
      </c>
      <c r="AG182" s="8">
        <v>0</v>
      </c>
      <c r="AH182" s="9">
        <v>1</v>
      </c>
      <c r="AI182" s="30">
        <v>0</v>
      </c>
      <c r="AJ182" s="9">
        <v>0</v>
      </c>
      <c r="AK182" s="30">
        <v>1</v>
      </c>
      <c r="AL182" s="21">
        <v>1992</v>
      </c>
      <c r="AM182" s="23">
        <f t="shared" si="48"/>
        <v>7.5968944381445436</v>
      </c>
      <c r="AN182" s="33">
        <f t="shared" si="55"/>
        <v>0.17</v>
      </c>
      <c r="AO182" s="33">
        <v>0.2</v>
      </c>
      <c r="AP182" s="33">
        <v>0.46</v>
      </c>
      <c r="AQ182" s="43">
        <f t="shared" si="56"/>
        <v>0.17</v>
      </c>
      <c r="AR182" s="42">
        <v>0.67</v>
      </c>
      <c r="AS182" s="18">
        <v>0.33</v>
      </c>
      <c r="AT182">
        <v>1</v>
      </c>
      <c r="AU182" s="40">
        <f t="shared" si="52"/>
        <v>0</v>
      </c>
      <c r="AV182">
        <v>0.31</v>
      </c>
      <c r="AW182" s="40">
        <v>0.69</v>
      </c>
      <c r="AX182">
        <v>0</v>
      </c>
      <c r="AY182" s="18">
        <v>1</v>
      </c>
      <c r="AZ182">
        <f t="shared" si="5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12</v>
      </c>
      <c r="DB182" s="34"/>
    </row>
    <row r="183" spans="1:106" x14ac:dyDescent="0.25">
      <c r="A183">
        <v>182</v>
      </c>
      <c r="B183">
        <v>16</v>
      </c>
      <c r="C183" s="25" t="s">
        <v>198</v>
      </c>
      <c r="D183" s="12">
        <v>5</v>
      </c>
      <c r="E183" s="14">
        <v>1.1441647597254001</v>
      </c>
      <c r="F183" s="7">
        <v>4.37</v>
      </c>
      <c r="G183" s="7">
        <f t="shared" si="39"/>
        <v>3.8558352402746001</v>
      </c>
      <c r="H183" s="16">
        <f t="shared" si="40"/>
        <v>6.1441647597253999</v>
      </c>
      <c r="I183" s="11">
        <f t="shared" si="41"/>
        <v>9.2496418034845096E-2</v>
      </c>
      <c r="J183" s="33">
        <f t="shared" si="42"/>
        <v>2.1166228383259746E-2</v>
      </c>
      <c r="K183" s="33">
        <f t="shared" si="43"/>
        <v>47.245072758966096</v>
      </c>
      <c r="L183" s="33">
        <f t="shared" si="44"/>
        <v>7.1330189651585357E-2</v>
      </c>
      <c r="M183" s="33">
        <f t="shared" si="45"/>
        <v>0.11366264641810483</v>
      </c>
      <c r="N183" s="8">
        <v>0</v>
      </c>
      <c r="O183" s="9">
        <v>1</v>
      </c>
      <c r="P183" s="8">
        <v>0</v>
      </c>
      <c r="Q183" s="9">
        <v>0</v>
      </c>
      <c r="R183" s="9">
        <v>1</v>
      </c>
      <c r="S183" s="9">
        <v>0</v>
      </c>
      <c r="T183" s="9">
        <v>0</v>
      </c>
      <c r="U183" s="8">
        <v>2223</v>
      </c>
      <c r="V183" s="9">
        <v>9</v>
      </c>
      <c r="W183" s="9">
        <f t="shared" si="46"/>
        <v>2213</v>
      </c>
      <c r="X183" s="9">
        <f t="shared" si="47"/>
        <v>48</v>
      </c>
      <c r="Y183" s="7">
        <v>9.8450000000000006</v>
      </c>
      <c r="Z183" s="7">
        <f t="shared" si="54"/>
        <v>24.155000000000001</v>
      </c>
      <c r="AA183" s="9">
        <v>0</v>
      </c>
      <c r="AB183" s="9">
        <v>1</v>
      </c>
      <c r="AC183" s="9">
        <v>0</v>
      </c>
      <c r="AD183" s="9">
        <v>0</v>
      </c>
      <c r="AE183" s="9">
        <v>1</v>
      </c>
      <c r="AF183" s="9">
        <v>0</v>
      </c>
      <c r="AG183" s="8">
        <v>0</v>
      </c>
      <c r="AH183" s="9">
        <v>1</v>
      </c>
      <c r="AI183" s="30">
        <v>0</v>
      </c>
      <c r="AJ183" s="9">
        <v>0</v>
      </c>
      <c r="AK183" s="30">
        <v>1</v>
      </c>
      <c r="AL183" s="21">
        <v>1999</v>
      </c>
      <c r="AM183" s="23">
        <f t="shared" si="48"/>
        <v>7.6004023345003997</v>
      </c>
      <c r="AN183" s="33">
        <f t="shared" si="55"/>
        <v>0.19249999999999998</v>
      </c>
      <c r="AO183" s="33">
        <v>0.28999999999999998</v>
      </c>
      <c r="AP183" s="33">
        <v>0.32500000000000001</v>
      </c>
      <c r="AQ183" s="43">
        <f t="shared" si="56"/>
        <v>0.19249999999999998</v>
      </c>
      <c r="AR183" s="42">
        <v>0.67</v>
      </c>
      <c r="AS183" s="18">
        <v>0.33</v>
      </c>
      <c r="AT183">
        <v>0</v>
      </c>
      <c r="AU183" s="40">
        <f t="shared" si="52"/>
        <v>1</v>
      </c>
      <c r="AV183">
        <v>0.38</v>
      </c>
      <c r="AW183" s="40">
        <v>0.62</v>
      </c>
      <c r="AX183">
        <v>0</v>
      </c>
      <c r="AY183" s="18">
        <v>1</v>
      </c>
      <c r="AZ183">
        <f t="shared" si="5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12</v>
      </c>
      <c r="DB183" s="34"/>
    </row>
    <row r="184" spans="1:106" x14ac:dyDescent="0.25">
      <c r="A184">
        <v>183</v>
      </c>
      <c r="B184">
        <v>16</v>
      </c>
      <c r="C184" s="25" t="s">
        <v>198</v>
      </c>
      <c r="D184" s="12">
        <v>4.0250000000000004</v>
      </c>
      <c r="E184" s="14">
        <v>0.60254491017964085</v>
      </c>
      <c r="F184" s="7">
        <v>6.6799999999999988</v>
      </c>
      <c r="G184" s="7">
        <f t="shared" si="39"/>
        <v>3.4224550898203594</v>
      </c>
      <c r="H184" s="16">
        <f t="shared" si="40"/>
        <v>4.6275449101796413</v>
      </c>
      <c r="I184" s="11">
        <f t="shared" si="41"/>
        <v>0.1405888277505167</v>
      </c>
      <c r="J184" s="33">
        <f t="shared" si="42"/>
        <v>2.1046231699179154E-2</v>
      </c>
      <c r="K184" s="33">
        <f t="shared" si="43"/>
        <v>47.514444119656922</v>
      </c>
      <c r="L184" s="33">
        <f t="shared" si="44"/>
        <v>0.11954259605133755</v>
      </c>
      <c r="M184" s="33">
        <f t="shared" si="45"/>
        <v>0.16163505944969586</v>
      </c>
      <c r="N184" s="8">
        <v>0</v>
      </c>
      <c r="O184" s="9">
        <v>1</v>
      </c>
      <c r="P184" s="8">
        <v>0</v>
      </c>
      <c r="Q184" s="9">
        <v>0</v>
      </c>
      <c r="R184" s="9">
        <v>1</v>
      </c>
      <c r="S184" s="9">
        <v>0</v>
      </c>
      <c r="T184" s="9">
        <v>0</v>
      </c>
      <c r="U184" s="8">
        <v>2223</v>
      </c>
      <c r="V184" s="9">
        <v>9</v>
      </c>
      <c r="W184" s="9">
        <f t="shared" si="46"/>
        <v>2213</v>
      </c>
      <c r="X184" s="9">
        <f t="shared" si="47"/>
        <v>48</v>
      </c>
      <c r="Y184" s="7">
        <v>9.8450000000000006</v>
      </c>
      <c r="Z184" s="7">
        <f t="shared" si="54"/>
        <v>24.155000000000001</v>
      </c>
      <c r="AA184" s="9">
        <v>0</v>
      </c>
      <c r="AB184" s="9">
        <v>1</v>
      </c>
      <c r="AC184" s="9">
        <v>0</v>
      </c>
      <c r="AD184" s="9">
        <v>0</v>
      </c>
      <c r="AE184" s="9">
        <v>1</v>
      </c>
      <c r="AF184" s="9">
        <v>0</v>
      </c>
      <c r="AG184" s="8">
        <v>0</v>
      </c>
      <c r="AH184" s="9">
        <v>1</v>
      </c>
      <c r="AI184" s="30">
        <v>0</v>
      </c>
      <c r="AJ184" s="9">
        <v>0</v>
      </c>
      <c r="AK184" s="30">
        <v>1</v>
      </c>
      <c r="AL184" s="21">
        <v>1999</v>
      </c>
      <c r="AM184" s="23">
        <f t="shared" si="48"/>
        <v>7.6004023345003997</v>
      </c>
      <c r="AN184" s="33">
        <f t="shared" si="55"/>
        <v>0.19249999999999998</v>
      </c>
      <c r="AO184" s="33">
        <v>0.28999999999999998</v>
      </c>
      <c r="AP184" s="33">
        <v>0.32500000000000001</v>
      </c>
      <c r="AQ184" s="43">
        <f t="shared" si="56"/>
        <v>0.19249999999999998</v>
      </c>
      <c r="AR184" s="42">
        <v>0.67</v>
      </c>
      <c r="AS184" s="18">
        <v>0.33</v>
      </c>
      <c r="AT184">
        <v>0</v>
      </c>
      <c r="AU184" s="40">
        <f t="shared" si="52"/>
        <v>1</v>
      </c>
      <c r="AV184">
        <v>0.38</v>
      </c>
      <c r="AW184" s="40">
        <v>0.62</v>
      </c>
      <c r="AX184">
        <v>0</v>
      </c>
      <c r="AY184" s="18">
        <v>1</v>
      </c>
      <c r="AZ184">
        <f t="shared" si="5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12</v>
      </c>
      <c r="DB184" s="34"/>
    </row>
    <row r="185" spans="1:106" x14ac:dyDescent="0.25">
      <c r="A185">
        <v>184</v>
      </c>
      <c r="B185">
        <v>16</v>
      </c>
      <c r="C185" s="25" t="s">
        <v>198</v>
      </c>
      <c r="D185" s="12">
        <v>12.28</v>
      </c>
      <c r="E185" s="14">
        <v>2.2615101289134429</v>
      </c>
      <c r="F185" s="7">
        <v>5.43</v>
      </c>
      <c r="G185" s="7">
        <f t="shared" si="39"/>
        <v>10.018489871086556</v>
      </c>
      <c r="H185" s="16">
        <f t="shared" si="40"/>
        <v>14.541510128913442</v>
      </c>
      <c r="I185" s="11">
        <f t="shared" si="41"/>
        <v>0.11466610641194247</v>
      </c>
      <c r="J185" s="33">
        <f t="shared" si="42"/>
        <v>2.1117146668866014E-2</v>
      </c>
      <c r="K185" s="33">
        <f t="shared" si="43"/>
        <v>47.354882536017342</v>
      </c>
      <c r="L185" s="33">
        <f t="shared" si="44"/>
        <v>9.3548959743076449E-2</v>
      </c>
      <c r="M185" s="33">
        <f t="shared" si="45"/>
        <v>0.13578325308080849</v>
      </c>
      <c r="N185" s="8">
        <v>0</v>
      </c>
      <c r="O185" s="9">
        <v>1</v>
      </c>
      <c r="P185" s="8">
        <v>0</v>
      </c>
      <c r="Q185" s="9">
        <v>0</v>
      </c>
      <c r="R185" s="9">
        <v>1</v>
      </c>
      <c r="S185" s="9">
        <v>0</v>
      </c>
      <c r="T185" s="9">
        <v>0</v>
      </c>
      <c r="U185" s="8">
        <v>2223</v>
      </c>
      <c r="V185" s="9">
        <v>9</v>
      </c>
      <c r="W185" s="9">
        <f t="shared" si="46"/>
        <v>2213</v>
      </c>
      <c r="X185" s="9">
        <f t="shared" si="47"/>
        <v>48</v>
      </c>
      <c r="Y185" s="7">
        <v>9.8450000000000006</v>
      </c>
      <c r="Z185" s="7">
        <f t="shared" si="54"/>
        <v>24.155000000000001</v>
      </c>
      <c r="AA185" s="9">
        <v>0</v>
      </c>
      <c r="AB185" s="9">
        <v>1</v>
      </c>
      <c r="AC185" s="9">
        <v>0</v>
      </c>
      <c r="AD185" s="9">
        <v>0</v>
      </c>
      <c r="AE185" s="9">
        <v>1</v>
      </c>
      <c r="AF185" s="9">
        <v>0</v>
      </c>
      <c r="AG185" s="8">
        <v>0</v>
      </c>
      <c r="AH185" s="9">
        <v>1</v>
      </c>
      <c r="AI185" s="30">
        <v>0</v>
      </c>
      <c r="AJ185" s="9">
        <v>0</v>
      </c>
      <c r="AK185" s="30">
        <v>1</v>
      </c>
      <c r="AL185" s="21">
        <v>1999</v>
      </c>
      <c r="AM185" s="23">
        <f t="shared" si="48"/>
        <v>7.6004023345003997</v>
      </c>
      <c r="AN185" s="33">
        <f t="shared" si="55"/>
        <v>0.19249999999999998</v>
      </c>
      <c r="AO185" s="33">
        <v>0.28999999999999998</v>
      </c>
      <c r="AP185" s="33">
        <v>0.32500000000000001</v>
      </c>
      <c r="AQ185" s="43">
        <f t="shared" si="56"/>
        <v>0.19249999999999998</v>
      </c>
      <c r="AR185" s="42">
        <v>0.67</v>
      </c>
      <c r="AS185" s="18">
        <v>0.33</v>
      </c>
      <c r="AT185">
        <v>0</v>
      </c>
      <c r="AU185" s="40">
        <f t="shared" si="52"/>
        <v>1</v>
      </c>
      <c r="AV185">
        <v>0.38</v>
      </c>
      <c r="AW185" s="40">
        <v>0.62</v>
      </c>
      <c r="AX185">
        <v>0</v>
      </c>
      <c r="AY185" s="18">
        <v>1</v>
      </c>
      <c r="AZ185">
        <f t="shared" si="5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12</v>
      </c>
      <c r="DB185" s="34"/>
    </row>
    <row r="186" spans="1:106" x14ac:dyDescent="0.25">
      <c r="A186">
        <v>185</v>
      </c>
      <c r="B186">
        <v>16</v>
      </c>
      <c r="C186" s="25" t="s">
        <v>198</v>
      </c>
      <c r="D186" s="12">
        <v>18.350000000000001</v>
      </c>
      <c r="E186" s="14">
        <v>5.2881844380403464</v>
      </c>
      <c r="F186" s="7">
        <v>3.4700000000000011</v>
      </c>
      <c r="G186" s="7">
        <f t="shared" si="39"/>
        <v>13.061815561959655</v>
      </c>
      <c r="H186" s="16">
        <f t="shared" si="40"/>
        <v>23.638184438040348</v>
      </c>
      <c r="I186" s="11">
        <f t="shared" si="41"/>
        <v>7.3563176755564369E-2</v>
      </c>
      <c r="J186" s="33">
        <f t="shared" si="42"/>
        <v>2.1199762753764943E-2</v>
      </c>
      <c r="K186" s="33">
        <f t="shared" si="43"/>
        <v>47.17033919742363</v>
      </c>
      <c r="L186" s="33">
        <f t="shared" si="44"/>
        <v>5.2363414001799426E-2</v>
      </c>
      <c r="M186" s="33">
        <f t="shared" si="45"/>
        <v>9.4762939509329319E-2</v>
      </c>
      <c r="N186" s="8">
        <v>0</v>
      </c>
      <c r="O186" s="9">
        <v>1</v>
      </c>
      <c r="P186" s="8">
        <v>0</v>
      </c>
      <c r="Q186" s="9">
        <v>0</v>
      </c>
      <c r="R186" s="9">
        <v>1</v>
      </c>
      <c r="S186" s="9">
        <v>0</v>
      </c>
      <c r="T186" s="9">
        <v>0</v>
      </c>
      <c r="U186" s="8">
        <v>2223</v>
      </c>
      <c r="V186" s="9">
        <v>9</v>
      </c>
      <c r="W186" s="9">
        <f t="shared" si="46"/>
        <v>2213</v>
      </c>
      <c r="X186" s="9">
        <f t="shared" si="47"/>
        <v>48</v>
      </c>
      <c r="Y186" s="7">
        <v>9.8450000000000006</v>
      </c>
      <c r="Z186" s="7">
        <f t="shared" si="54"/>
        <v>24.155000000000001</v>
      </c>
      <c r="AA186" s="9">
        <v>0</v>
      </c>
      <c r="AB186" s="9">
        <v>1</v>
      </c>
      <c r="AC186" s="9">
        <v>0</v>
      </c>
      <c r="AD186" s="9">
        <v>0</v>
      </c>
      <c r="AE186" s="9">
        <v>1</v>
      </c>
      <c r="AF186" s="9">
        <v>0</v>
      </c>
      <c r="AG186" s="8">
        <v>0</v>
      </c>
      <c r="AH186" s="9">
        <v>1</v>
      </c>
      <c r="AI186" s="30">
        <v>0</v>
      </c>
      <c r="AJ186" s="9">
        <v>0</v>
      </c>
      <c r="AK186" s="30">
        <v>1</v>
      </c>
      <c r="AL186" s="21">
        <v>1999</v>
      </c>
      <c r="AM186" s="23">
        <f t="shared" si="48"/>
        <v>7.6004023345003997</v>
      </c>
      <c r="AN186" s="33">
        <f t="shared" si="55"/>
        <v>0.19249999999999998</v>
      </c>
      <c r="AO186" s="33">
        <v>0.28999999999999998</v>
      </c>
      <c r="AP186" s="33">
        <v>0.32500000000000001</v>
      </c>
      <c r="AQ186" s="43">
        <f t="shared" si="56"/>
        <v>0.19249999999999998</v>
      </c>
      <c r="AR186" s="42">
        <v>0.67</v>
      </c>
      <c r="AS186" s="18">
        <v>0.33</v>
      </c>
      <c r="AT186">
        <v>0</v>
      </c>
      <c r="AU186" s="40">
        <f t="shared" si="52"/>
        <v>1</v>
      </c>
      <c r="AV186">
        <v>0.38</v>
      </c>
      <c r="AW186" s="40">
        <v>0.62</v>
      </c>
      <c r="AX186">
        <v>0</v>
      </c>
      <c r="AY186" s="18">
        <v>1</v>
      </c>
      <c r="AZ186">
        <f t="shared" si="5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12</v>
      </c>
      <c r="DB186" s="34"/>
    </row>
    <row r="187" spans="1:106" x14ac:dyDescent="0.25">
      <c r="A187">
        <v>186</v>
      </c>
      <c r="B187">
        <v>16</v>
      </c>
      <c r="C187" s="25" t="s">
        <v>198</v>
      </c>
      <c r="D187" s="12">
        <v>1.3</v>
      </c>
      <c r="E187" s="14">
        <v>1.428571428571429</v>
      </c>
      <c r="F187" s="7">
        <v>0.91</v>
      </c>
      <c r="G187" s="7">
        <f t="shared" si="39"/>
        <v>-0.128571428571429</v>
      </c>
      <c r="H187" s="16">
        <f t="shared" si="40"/>
        <v>2.7285714285714291</v>
      </c>
      <c r="I187" s="11">
        <f t="shared" si="41"/>
        <v>2.1987937949940178E-2</v>
      </c>
      <c r="J187" s="33">
        <f t="shared" si="42"/>
        <v>2.4162569175758434E-2</v>
      </c>
      <c r="K187" s="33">
        <f t="shared" si="43"/>
        <v>41.386327452432887</v>
      </c>
      <c r="L187" s="33">
        <f t="shared" si="44"/>
        <v>-2.1746312258182562E-3</v>
      </c>
      <c r="M187" s="33">
        <f t="shared" si="45"/>
        <v>4.6150507125698612E-2</v>
      </c>
      <c r="N187" s="8">
        <v>0</v>
      </c>
      <c r="O187" s="9">
        <v>1</v>
      </c>
      <c r="P187" s="8">
        <v>0</v>
      </c>
      <c r="Q187" s="9">
        <v>0</v>
      </c>
      <c r="R187" s="9">
        <v>1</v>
      </c>
      <c r="S187" s="9">
        <v>0</v>
      </c>
      <c r="T187" s="9">
        <v>0</v>
      </c>
      <c r="U187" s="8">
        <v>1722</v>
      </c>
      <c r="V187" s="9">
        <v>9</v>
      </c>
      <c r="W187" s="9">
        <f t="shared" si="46"/>
        <v>1712</v>
      </c>
      <c r="X187" s="9">
        <f t="shared" si="47"/>
        <v>48</v>
      </c>
      <c r="Y187" s="7">
        <v>10.525</v>
      </c>
      <c r="Z187" s="7">
        <f t="shared" si="54"/>
        <v>23.475000000000001</v>
      </c>
      <c r="AA187" s="9">
        <v>0</v>
      </c>
      <c r="AB187" s="9">
        <v>1</v>
      </c>
      <c r="AC187" s="9">
        <v>0</v>
      </c>
      <c r="AD187" s="9">
        <v>0</v>
      </c>
      <c r="AE187" s="9">
        <v>1</v>
      </c>
      <c r="AF187" s="9">
        <v>0</v>
      </c>
      <c r="AG187" s="8">
        <v>0</v>
      </c>
      <c r="AH187" s="9">
        <v>1</v>
      </c>
      <c r="AI187" s="30">
        <v>0</v>
      </c>
      <c r="AJ187" s="9">
        <v>0</v>
      </c>
      <c r="AK187" s="30">
        <v>1</v>
      </c>
      <c r="AL187" s="21">
        <v>1999</v>
      </c>
      <c r="AM187" s="23">
        <f t="shared" si="48"/>
        <v>7.6004023345003997</v>
      </c>
      <c r="AN187" s="33">
        <f t="shared" si="55"/>
        <v>0.12</v>
      </c>
      <c r="AO187" s="33">
        <v>0.23</v>
      </c>
      <c r="AP187" s="33">
        <v>0.53</v>
      </c>
      <c r="AQ187" s="43">
        <f t="shared" si="56"/>
        <v>0.12</v>
      </c>
      <c r="AR187" s="42">
        <v>0.67</v>
      </c>
      <c r="AS187" s="18">
        <v>0.33</v>
      </c>
      <c r="AT187">
        <v>1</v>
      </c>
      <c r="AU187" s="40">
        <f t="shared" si="52"/>
        <v>0</v>
      </c>
      <c r="AV187">
        <v>0.31</v>
      </c>
      <c r="AW187" s="40">
        <v>0.69</v>
      </c>
      <c r="AX187">
        <v>0</v>
      </c>
      <c r="AY187" s="18">
        <v>1</v>
      </c>
      <c r="AZ187">
        <f t="shared" si="5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12</v>
      </c>
      <c r="DB187" s="34"/>
    </row>
    <row r="188" spans="1:106" x14ac:dyDescent="0.25">
      <c r="A188">
        <v>187</v>
      </c>
      <c r="B188">
        <v>16</v>
      </c>
      <c r="C188" s="25" t="s">
        <v>198</v>
      </c>
      <c r="D188" s="12">
        <v>5.5749999999999993</v>
      </c>
      <c r="E188" s="14">
        <v>1.4443005181347151</v>
      </c>
      <c r="F188" s="7">
        <v>3.86</v>
      </c>
      <c r="G188" s="7">
        <f t="shared" si="39"/>
        <v>4.1306994818652845</v>
      </c>
      <c r="H188" s="16">
        <f t="shared" si="40"/>
        <v>7.0193005181347141</v>
      </c>
      <c r="I188" s="11">
        <f t="shared" si="41"/>
        <v>9.2886748403319508E-2</v>
      </c>
      <c r="J188" s="33">
        <f t="shared" si="42"/>
        <v>2.4063924456818524E-2</v>
      </c>
      <c r="K188" s="33">
        <f t="shared" si="43"/>
        <v>41.555981518910123</v>
      </c>
      <c r="L188" s="33">
        <f t="shared" si="44"/>
        <v>6.882282394650098E-2</v>
      </c>
      <c r="M188" s="33">
        <f t="shared" si="45"/>
        <v>0.11695067286013804</v>
      </c>
      <c r="N188" s="8">
        <v>0</v>
      </c>
      <c r="O188" s="9">
        <v>1</v>
      </c>
      <c r="P188" s="8">
        <v>0</v>
      </c>
      <c r="Q188" s="9">
        <v>0</v>
      </c>
      <c r="R188" s="9">
        <v>1</v>
      </c>
      <c r="S188" s="9">
        <v>0</v>
      </c>
      <c r="T188" s="9">
        <v>0</v>
      </c>
      <c r="U188" s="8">
        <v>1722</v>
      </c>
      <c r="V188" s="9">
        <v>9</v>
      </c>
      <c r="W188" s="9">
        <f t="shared" si="46"/>
        <v>1712</v>
      </c>
      <c r="X188" s="9">
        <f t="shared" si="47"/>
        <v>48</v>
      </c>
      <c r="Y188" s="7">
        <v>10.525</v>
      </c>
      <c r="Z188" s="7">
        <f t="shared" si="54"/>
        <v>23.475000000000001</v>
      </c>
      <c r="AA188" s="9">
        <v>0</v>
      </c>
      <c r="AB188" s="9">
        <v>1</v>
      </c>
      <c r="AC188" s="9">
        <v>0</v>
      </c>
      <c r="AD188" s="9">
        <v>0</v>
      </c>
      <c r="AE188" s="9">
        <v>1</v>
      </c>
      <c r="AF188" s="9">
        <v>0</v>
      </c>
      <c r="AG188" s="8">
        <v>0</v>
      </c>
      <c r="AH188" s="9">
        <v>1</v>
      </c>
      <c r="AI188" s="30">
        <v>0</v>
      </c>
      <c r="AJ188" s="9">
        <v>0</v>
      </c>
      <c r="AK188" s="30">
        <v>1</v>
      </c>
      <c r="AL188" s="21">
        <v>1999</v>
      </c>
      <c r="AM188" s="23">
        <f t="shared" si="48"/>
        <v>7.6004023345003997</v>
      </c>
      <c r="AN188" s="33">
        <f t="shared" si="55"/>
        <v>0.12</v>
      </c>
      <c r="AO188" s="33">
        <v>0.23</v>
      </c>
      <c r="AP188" s="33">
        <v>0.53</v>
      </c>
      <c r="AQ188" s="43">
        <f t="shared" si="56"/>
        <v>0.12</v>
      </c>
      <c r="AR188" s="42">
        <v>0.67</v>
      </c>
      <c r="AS188" s="18">
        <v>0.33</v>
      </c>
      <c r="AT188">
        <v>1</v>
      </c>
      <c r="AU188" s="40">
        <f t="shared" si="52"/>
        <v>0</v>
      </c>
      <c r="AV188">
        <v>0.31</v>
      </c>
      <c r="AW188" s="40">
        <v>0.69</v>
      </c>
      <c r="AX188">
        <v>0</v>
      </c>
      <c r="AY188" s="18">
        <v>1</v>
      </c>
      <c r="AZ188">
        <f t="shared" si="5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12</v>
      </c>
      <c r="DB188" s="34"/>
    </row>
    <row r="189" spans="1:106" x14ac:dyDescent="0.25">
      <c r="A189">
        <v>188</v>
      </c>
      <c r="B189">
        <v>16</v>
      </c>
      <c r="C189" s="25" t="s">
        <v>198</v>
      </c>
      <c r="D189" s="12">
        <v>5.6999999999999993</v>
      </c>
      <c r="E189" s="14">
        <v>1.331775700934579</v>
      </c>
      <c r="F189" s="7">
        <v>4.28</v>
      </c>
      <c r="G189" s="7">
        <f t="shared" si="39"/>
        <v>4.3682242990654201</v>
      </c>
      <c r="H189" s="16">
        <f t="shared" si="40"/>
        <v>7.0317757009345785</v>
      </c>
      <c r="I189" s="11">
        <f t="shared" si="41"/>
        <v>0.10289179789375939</v>
      </c>
      <c r="J189" s="33">
        <f t="shared" si="42"/>
        <v>2.4040139694803595E-2</v>
      </c>
      <c r="K189" s="33">
        <f t="shared" si="43"/>
        <v>41.59709605248905</v>
      </c>
      <c r="L189" s="33">
        <f t="shared" si="44"/>
        <v>7.8851658198955801E-2</v>
      </c>
      <c r="M189" s="33">
        <f t="shared" si="45"/>
        <v>0.126931937588563</v>
      </c>
      <c r="N189" s="8">
        <v>0</v>
      </c>
      <c r="O189" s="9">
        <v>1</v>
      </c>
      <c r="P189" s="8">
        <v>0</v>
      </c>
      <c r="Q189" s="9">
        <v>0</v>
      </c>
      <c r="R189" s="9">
        <v>1</v>
      </c>
      <c r="S189" s="9">
        <v>0</v>
      </c>
      <c r="T189" s="9">
        <v>0</v>
      </c>
      <c r="U189" s="8">
        <v>1722</v>
      </c>
      <c r="V189" s="9">
        <v>9</v>
      </c>
      <c r="W189" s="9">
        <f t="shared" si="46"/>
        <v>1712</v>
      </c>
      <c r="X189" s="9">
        <f t="shared" si="47"/>
        <v>48</v>
      </c>
      <c r="Y189" s="7">
        <v>10.525</v>
      </c>
      <c r="Z189" s="7">
        <f t="shared" si="54"/>
        <v>23.475000000000001</v>
      </c>
      <c r="AA189" s="9">
        <v>0</v>
      </c>
      <c r="AB189" s="9">
        <v>1</v>
      </c>
      <c r="AC189" s="9">
        <v>0</v>
      </c>
      <c r="AD189" s="9">
        <v>0</v>
      </c>
      <c r="AE189" s="9">
        <v>1</v>
      </c>
      <c r="AF189" s="9">
        <v>0</v>
      </c>
      <c r="AG189" s="8">
        <v>0</v>
      </c>
      <c r="AH189" s="9">
        <v>1</v>
      </c>
      <c r="AI189" s="30">
        <v>0</v>
      </c>
      <c r="AJ189" s="9">
        <v>0</v>
      </c>
      <c r="AK189" s="30">
        <v>1</v>
      </c>
      <c r="AL189" s="21">
        <v>1999</v>
      </c>
      <c r="AM189" s="23">
        <f t="shared" si="48"/>
        <v>7.6004023345003997</v>
      </c>
      <c r="AN189" s="33">
        <f t="shared" si="55"/>
        <v>0.12</v>
      </c>
      <c r="AO189" s="33">
        <v>0.23</v>
      </c>
      <c r="AP189" s="33">
        <v>0.53</v>
      </c>
      <c r="AQ189" s="43">
        <f t="shared" si="56"/>
        <v>0.12</v>
      </c>
      <c r="AR189" s="42">
        <v>0.67</v>
      </c>
      <c r="AS189" s="18">
        <v>0.33</v>
      </c>
      <c r="AT189">
        <v>1</v>
      </c>
      <c r="AU189" s="40">
        <f t="shared" si="52"/>
        <v>0</v>
      </c>
      <c r="AV189">
        <v>0.31</v>
      </c>
      <c r="AW189" s="40">
        <v>0.69</v>
      </c>
      <c r="AX189">
        <v>0</v>
      </c>
      <c r="AY189" s="18">
        <v>1</v>
      </c>
      <c r="AZ189">
        <f t="shared" si="5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12</v>
      </c>
      <c r="DB189" s="34"/>
    </row>
    <row r="190" spans="1:106" x14ac:dyDescent="0.25">
      <c r="A190">
        <v>189</v>
      </c>
      <c r="B190">
        <v>16</v>
      </c>
      <c r="C190" s="25" t="s">
        <v>198</v>
      </c>
      <c r="D190" s="12">
        <v>18.866666666666671</v>
      </c>
      <c r="E190" s="14">
        <v>4.0573476702508957</v>
      </c>
      <c r="F190" s="7">
        <v>4.6500000000000004</v>
      </c>
      <c r="G190" s="7">
        <f t="shared" si="39"/>
        <v>14.809318996415776</v>
      </c>
      <c r="H190" s="16">
        <f t="shared" si="40"/>
        <v>22.924014336917566</v>
      </c>
      <c r="I190" s="11">
        <f t="shared" si="41"/>
        <v>0.11168007204614576</v>
      </c>
      <c r="J190" s="33">
        <f t="shared" si="42"/>
        <v>2.4017219794870051E-2</v>
      </c>
      <c r="K190" s="33">
        <f t="shared" si="43"/>
        <v>41.636792623832115</v>
      </c>
      <c r="L190" s="33">
        <f t="shared" si="44"/>
        <v>8.7662852251275708E-2</v>
      </c>
      <c r="M190" s="33">
        <f t="shared" si="45"/>
        <v>0.13569729184101581</v>
      </c>
      <c r="N190" s="8">
        <v>0</v>
      </c>
      <c r="O190" s="9">
        <v>1</v>
      </c>
      <c r="P190" s="8">
        <v>0</v>
      </c>
      <c r="Q190" s="9">
        <v>0</v>
      </c>
      <c r="R190" s="9">
        <v>1</v>
      </c>
      <c r="S190" s="9">
        <v>0</v>
      </c>
      <c r="T190" s="9">
        <v>0</v>
      </c>
      <c r="U190" s="8">
        <v>1722</v>
      </c>
      <c r="V190" s="9">
        <v>9</v>
      </c>
      <c r="W190" s="9">
        <f t="shared" si="46"/>
        <v>1712</v>
      </c>
      <c r="X190" s="9">
        <f t="shared" si="47"/>
        <v>48</v>
      </c>
      <c r="Y190" s="7">
        <v>10.53</v>
      </c>
      <c r="Z190" s="7">
        <f t="shared" si="54"/>
        <v>23.47</v>
      </c>
      <c r="AA190" s="9">
        <v>0</v>
      </c>
      <c r="AB190" s="9">
        <v>1</v>
      </c>
      <c r="AC190" s="9">
        <v>0</v>
      </c>
      <c r="AD190" s="9">
        <v>0</v>
      </c>
      <c r="AE190" s="9">
        <v>1</v>
      </c>
      <c r="AF190" s="9">
        <v>0</v>
      </c>
      <c r="AG190" s="8">
        <v>0</v>
      </c>
      <c r="AH190" s="9">
        <v>1</v>
      </c>
      <c r="AI190" s="30">
        <v>0</v>
      </c>
      <c r="AJ190" s="9">
        <v>0</v>
      </c>
      <c r="AK190" s="30">
        <v>1</v>
      </c>
      <c r="AL190" s="21">
        <v>1999</v>
      </c>
      <c r="AM190" s="23">
        <f t="shared" si="48"/>
        <v>7.6004023345003997</v>
      </c>
      <c r="AN190" s="33">
        <f t="shared" si="55"/>
        <v>0.12</v>
      </c>
      <c r="AO190" s="33">
        <v>0.23</v>
      </c>
      <c r="AP190" s="33">
        <v>0.53</v>
      </c>
      <c r="AQ190" s="43">
        <f t="shared" si="56"/>
        <v>0.12</v>
      </c>
      <c r="AR190" s="42">
        <v>0.67</v>
      </c>
      <c r="AS190" s="18">
        <v>0.33</v>
      </c>
      <c r="AT190">
        <v>1</v>
      </c>
      <c r="AU190" s="40">
        <f t="shared" si="52"/>
        <v>0</v>
      </c>
      <c r="AV190">
        <v>0.31</v>
      </c>
      <c r="AW190" s="40">
        <v>0.69</v>
      </c>
      <c r="AX190">
        <v>0</v>
      </c>
      <c r="AY190" s="18">
        <v>1</v>
      </c>
      <c r="AZ190">
        <f t="shared" si="5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12</v>
      </c>
      <c r="DB190" s="34"/>
    </row>
    <row r="191" spans="1:106" x14ac:dyDescent="0.25">
      <c r="A191">
        <v>190</v>
      </c>
      <c r="B191">
        <v>16</v>
      </c>
      <c r="C191" s="25" t="s">
        <v>198</v>
      </c>
      <c r="D191" s="12">
        <v>3.2166666666666668</v>
      </c>
      <c r="E191" s="14">
        <v>0.87647593097184384</v>
      </c>
      <c r="F191" s="7">
        <v>3.67</v>
      </c>
      <c r="G191" s="7">
        <f t="shared" si="39"/>
        <v>2.3401907356948231</v>
      </c>
      <c r="H191" s="16">
        <f t="shared" si="40"/>
        <v>4.0931425976385105</v>
      </c>
      <c r="I191" s="11">
        <f t="shared" si="41"/>
        <v>6.5656535286206769E-2</v>
      </c>
      <c r="J191" s="33">
        <f t="shared" si="42"/>
        <v>1.7890064110683043E-2</v>
      </c>
      <c r="K191" s="33">
        <f t="shared" si="43"/>
        <v>55.896948932835322</v>
      </c>
      <c r="L191" s="33">
        <f t="shared" si="44"/>
        <v>4.7766471175523725E-2</v>
      </c>
      <c r="M191" s="33">
        <f t="shared" si="45"/>
        <v>8.3546599396889812E-2</v>
      </c>
      <c r="N191" s="8">
        <v>0</v>
      </c>
      <c r="O191" s="9">
        <v>1</v>
      </c>
      <c r="P191" s="8">
        <v>0</v>
      </c>
      <c r="Q191" s="9">
        <v>0</v>
      </c>
      <c r="R191" s="9">
        <v>1</v>
      </c>
      <c r="S191" s="9">
        <v>0</v>
      </c>
      <c r="T191" s="9">
        <v>0</v>
      </c>
      <c r="U191" s="8">
        <v>3124</v>
      </c>
      <c r="V191" s="9">
        <v>12</v>
      </c>
      <c r="W191" s="9">
        <f t="shared" si="46"/>
        <v>3111</v>
      </c>
      <c r="X191" s="9">
        <f t="shared" si="47"/>
        <v>48</v>
      </c>
      <c r="Y191" s="7">
        <v>9.8249999999999993</v>
      </c>
      <c r="Z191" s="7">
        <f t="shared" si="54"/>
        <v>24.175000000000001</v>
      </c>
      <c r="AA191" s="9">
        <v>0</v>
      </c>
      <c r="AB191" s="9">
        <v>1</v>
      </c>
      <c r="AC191" s="9">
        <v>0</v>
      </c>
      <c r="AD191" s="9">
        <v>0</v>
      </c>
      <c r="AE191" s="9">
        <v>1</v>
      </c>
      <c r="AF191" s="9">
        <v>0</v>
      </c>
      <c r="AG191" s="8">
        <v>0</v>
      </c>
      <c r="AH191" s="9">
        <v>1</v>
      </c>
      <c r="AI191" s="30">
        <v>0</v>
      </c>
      <c r="AJ191" s="9">
        <v>0</v>
      </c>
      <c r="AK191" s="30">
        <v>1</v>
      </c>
      <c r="AL191" s="21">
        <v>1992</v>
      </c>
      <c r="AM191" s="23">
        <f t="shared" si="48"/>
        <v>7.5968944381445436</v>
      </c>
      <c r="AN191" s="33">
        <f t="shared" si="55"/>
        <v>0.26250000000000001</v>
      </c>
      <c r="AO191" s="33">
        <v>0.25</v>
      </c>
      <c r="AP191" s="33">
        <v>0.22500000000000001</v>
      </c>
      <c r="AQ191" s="43">
        <f t="shared" si="56"/>
        <v>0.26250000000000001</v>
      </c>
      <c r="AR191" s="42">
        <v>0.67</v>
      </c>
      <c r="AS191" s="18">
        <v>0.33</v>
      </c>
      <c r="AT191">
        <v>0</v>
      </c>
      <c r="AU191" s="40">
        <f t="shared" si="52"/>
        <v>1</v>
      </c>
      <c r="AV191">
        <v>0.38</v>
      </c>
      <c r="AW191" s="40">
        <v>0.62</v>
      </c>
      <c r="AX191">
        <v>0</v>
      </c>
      <c r="AY191" s="18">
        <v>1</v>
      </c>
      <c r="AZ191">
        <f t="shared" si="5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12</v>
      </c>
      <c r="DB191" s="34"/>
    </row>
    <row r="192" spans="1:106" x14ac:dyDescent="0.25">
      <c r="A192">
        <v>191</v>
      </c>
      <c r="B192">
        <v>16</v>
      </c>
      <c r="C192" s="25" t="s">
        <v>198</v>
      </c>
      <c r="D192" s="12">
        <v>3.6750000000000012</v>
      </c>
      <c r="E192" s="14">
        <v>0.61661073825503365</v>
      </c>
      <c r="F192" s="7">
        <v>5.96</v>
      </c>
      <c r="G192" s="7">
        <f t="shared" si="39"/>
        <v>3.0583892617449675</v>
      </c>
      <c r="H192" s="16">
        <f t="shared" si="40"/>
        <v>4.2916107382550344</v>
      </c>
      <c r="I192" s="11">
        <f t="shared" si="41"/>
        <v>0.10625048008086853</v>
      </c>
      <c r="J192" s="33">
        <f t="shared" si="42"/>
        <v>1.7827261758534989E-2</v>
      </c>
      <c r="K192" s="33">
        <f t="shared" si="43"/>
        <v>56.093864192084325</v>
      </c>
      <c r="L192" s="33">
        <f t="shared" si="44"/>
        <v>8.8423218322333547E-2</v>
      </c>
      <c r="M192" s="33">
        <f t="shared" si="45"/>
        <v>0.12407774183940351</v>
      </c>
      <c r="N192" s="8">
        <v>0</v>
      </c>
      <c r="O192" s="9">
        <v>1</v>
      </c>
      <c r="P192" s="8">
        <v>0</v>
      </c>
      <c r="Q192" s="9">
        <v>0</v>
      </c>
      <c r="R192" s="9">
        <v>1</v>
      </c>
      <c r="S192" s="9">
        <v>0</v>
      </c>
      <c r="T192" s="9">
        <v>0</v>
      </c>
      <c r="U192" s="8">
        <v>3124</v>
      </c>
      <c r="V192" s="9">
        <v>12</v>
      </c>
      <c r="W192" s="9">
        <f t="shared" si="46"/>
        <v>3111</v>
      </c>
      <c r="X192" s="9">
        <f t="shared" si="47"/>
        <v>48</v>
      </c>
      <c r="Y192" s="7">
        <v>9.8249999999999993</v>
      </c>
      <c r="Z192" s="7">
        <f t="shared" si="54"/>
        <v>24.175000000000001</v>
      </c>
      <c r="AA192" s="9">
        <v>0</v>
      </c>
      <c r="AB192" s="9">
        <v>1</v>
      </c>
      <c r="AC192" s="9">
        <v>0</v>
      </c>
      <c r="AD192" s="9">
        <v>0</v>
      </c>
      <c r="AE192" s="9">
        <v>1</v>
      </c>
      <c r="AF192" s="9">
        <v>0</v>
      </c>
      <c r="AG192" s="8">
        <v>0</v>
      </c>
      <c r="AH192" s="9">
        <v>1</v>
      </c>
      <c r="AI192" s="30">
        <v>0</v>
      </c>
      <c r="AJ192" s="9">
        <v>0</v>
      </c>
      <c r="AK192" s="30">
        <v>1</v>
      </c>
      <c r="AL192" s="21">
        <v>1992</v>
      </c>
      <c r="AM192" s="23">
        <f t="shared" si="48"/>
        <v>7.5968944381445436</v>
      </c>
      <c r="AN192" s="33">
        <f t="shared" si="55"/>
        <v>0.26250000000000001</v>
      </c>
      <c r="AO192" s="33">
        <v>0.25</v>
      </c>
      <c r="AP192" s="33">
        <v>0.22500000000000001</v>
      </c>
      <c r="AQ192" s="43">
        <f t="shared" si="56"/>
        <v>0.26250000000000001</v>
      </c>
      <c r="AR192" s="42">
        <v>0.67</v>
      </c>
      <c r="AS192" s="18">
        <v>0.33</v>
      </c>
      <c r="AT192">
        <v>0</v>
      </c>
      <c r="AU192" s="40">
        <f t="shared" si="52"/>
        <v>1</v>
      </c>
      <c r="AV192">
        <v>0.38</v>
      </c>
      <c r="AW192" s="40">
        <v>0.62</v>
      </c>
      <c r="AX192">
        <v>0</v>
      </c>
      <c r="AY192" s="18">
        <v>1</v>
      </c>
      <c r="AZ192">
        <f t="shared" si="5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12</v>
      </c>
      <c r="DB192" s="34"/>
    </row>
    <row r="193" spans="1:106" x14ac:dyDescent="0.25">
      <c r="A193">
        <v>192</v>
      </c>
      <c r="B193">
        <v>16</v>
      </c>
      <c r="C193" s="25" t="s">
        <v>198</v>
      </c>
      <c r="D193" s="12">
        <v>6.9999999999999982</v>
      </c>
      <c r="E193" s="14">
        <v>1.2635379061371841</v>
      </c>
      <c r="F193" s="7">
        <v>5.54</v>
      </c>
      <c r="G193" s="7">
        <f t="shared" si="39"/>
        <v>5.7364620938628139</v>
      </c>
      <c r="H193" s="16">
        <f t="shared" si="40"/>
        <v>8.2635379061371825</v>
      </c>
      <c r="I193" s="11">
        <f t="shared" si="41"/>
        <v>9.8838919550565105E-2</v>
      </c>
      <c r="J193" s="33">
        <f t="shared" si="42"/>
        <v>1.7840960207683235E-2</v>
      </c>
      <c r="K193" s="33">
        <f t="shared" si="43"/>
        <v>56.050794820412669</v>
      </c>
      <c r="L193" s="33">
        <f t="shared" si="44"/>
        <v>8.099795934288187E-2</v>
      </c>
      <c r="M193" s="33">
        <f t="shared" si="45"/>
        <v>0.11667987975824834</v>
      </c>
      <c r="N193" s="8">
        <v>0</v>
      </c>
      <c r="O193" s="9">
        <v>1</v>
      </c>
      <c r="P193" s="8">
        <v>0</v>
      </c>
      <c r="Q193" s="9">
        <v>0</v>
      </c>
      <c r="R193" s="9">
        <v>1</v>
      </c>
      <c r="S193" s="9">
        <v>0</v>
      </c>
      <c r="T193" s="9">
        <v>0</v>
      </c>
      <c r="U193" s="8">
        <v>3124</v>
      </c>
      <c r="V193" s="9">
        <v>12</v>
      </c>
      <c r="W193" s="9">
        <f t="shared" si="46"/>
        <v>3111</v>
      </c>
      <c r="X193" s="9">
        <f t="shared" si="47"/>
        <v>48</v>
      </c>
      <c r="Y193" s="7">
        <v>9.8249999999999993</v>
      </c>
      <c r="Z193" s="7">
        <f t="shared" si="54"/>
        <v>24.175000000000001</v>
      </c>
      <c r="AA193" s="9">
        <v>0</v>
      </c>
      <c r="AB193" s="9">
        <v>1</v>
      </c>
      <c r="AC193" s="9">
        <v>0</v>
      </c>
      <c r="AD193" s="9">
        <v>0</v>
      </c>
      <c r="AE193" s="9">
        <v>1</v>
      </c>
      <c r="AF193" s="9">
        <v>0</v>
      </c>
      <c r="AG193" s="8">
        <v>0</v>
      </c>
      <c r="AH193" s="9">
        <v>1</v>
      </c>
      <c r="AI193" s="30">
        <v>0</v>
      </c>
      <c r="AJ193" s="9">
        <v>0</v>
      </c>
      <c r="AK193" s="30">
        <v>1</v>
      </c>
      <c r="AL193" s="21">
        <v>1992</v>
      </c>
      <c r="AM193" s="23">
        <f t="shared" si="48"/>
        <v>7.5968944381445436</v>
      </c>
      <c r="AN193" s="33">
        <f t="shared" si="55"/>
        <v>0.26250000000000001</v>
      </c>
      <c r="AO193" s="33">
        <v>0.25</v>
      </c>
      <c r="AP193" s="33">
        <v>0.22500000000000001</v>
      </c>
      <c r="AQ193" s="43">
        <f t="shared" si="56"/>
        <v>0.26250000000000001</v>
      </c>
      <c r="AR193" s="42">
        <v>0.67</v>
      </c>
      <c r="AS193" s="18">
        <v>0.33</v>
      </c>
      <c r="AT193">
        <v>0</v>
      </c>
      <c r="AU193" s="40">
        <f t="shared" si="52"/>
        <v>1</v>
      </c>
      <c r="AV193">
        <v>0.38</v>
      </c>
      <c r="AW193" s="40">
        <v>0.62</v>
      </c>
      <c r="AX193">
        <v>0</v>
      </c>
      <c r="AY193" s="18">
        <v>1</v>
      </c>
      <c r="AZ193">
        <f t="shared" si="5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12</v>
      </c>
      <c r="DB193" s="34"/>
    </row>
    <row r="194" spans="1:106" x14ac:dyDescent="0.25">
      <c r="A194">
        <v>193</v>
      </c>
      <c r="B194">
        <v>16</v>
      </c>
      <c r="C194" s="25" t="s">
        <v>198</v>
      </c>
      <c r="D194" s="12">
        <v>11.28333333333333</v>
      </c>
      <c r="E194" s="14">
        <v>3.461145194274029</v>
      </c>
      <c r="F194" s="7">
        <v>3.26</v>
      </c>
      <c r="G194" s="7">
        <f t="shared" ref="G194:G257" si="58">D194-E194</f>
        <v>7.8221881390593007</v>
      </c>
      <c r="H194" s="16">
        <f t="shared" ref="H194:H257" si="59">D194+E194</f>
        <v>14.74447852760736</v>
      </c>
      <c r="I194" s="11">
        <f t="shared" ref="I194:I257" si="60">IFERROR(F194/SQRT(F194^2+W194), "X")</f>
        <v>5.834814507735156E-2</v>
      </c>
      <c r="J194" s="33">
        <f t="shared" ref="J194:J257" si="61">IFERROR(SQRT((1-I194^2)/W194), "X")</f>
        <v>1.7898204011457534E-2</v>
      </c>
      <c r="K194" s="33">
        <f t="shared" ref="K194:K257" si="62">IFERROR(1/J194, "X")</f>
        <v>55.871527632596546</v>
      </c>
      <c r="L194" s="33">
        <f t="shared" ref="L194:L257" si="63">IFERROR(I194-J194, "X")</f>
        <v>4.0449941065894029E-2</v>
      </c>
      <c r="M194" s="33">
        <f t="shared" ref="M194:M257" si="64">IFERROR(I194+J194, "X")</f>
        <v>7.624634908880909E-2</v>
      </c>
      <c r="N194" s="8">
        <v>0</v>
      </c>
      <c r="O194" s="9">
        <v>1</v>
      </c>
      <c r="P194" s="8">
        <v>0</v>
      </c>
      <c r="Q194" s="9">
        <v>0</v>
      </c>
      <c r="R194" s="9">
        <v>1</v>
      </c>
      <c r="S194" s="9">
        <v>0</v>
      </c>
      <c r="T194" s="9">
        <v>0</v>
      </c>
      <c r="U194" s="8">
        <v>3124</v>
      </c>
      <c r="V194" s="9">
        <v>12</v>
      </c>
      <c r="W194" s="9">
        <f t="shared" ref="W194:W257" si="65">U194-V194-1</f>
        <v>3111</v>
      </c>
      <c r="X194" s="9">
        <f t="shared" ref="X194:X257" si="66">COUNTIF(B:B,B194)</f>
        <v>48</v>
      </c>
      <c r="Y194" s="7">
        <v>9.8249999999999993</v>
      </c>
      <c r="Z194" s="7">
        <f t="shared" si="54"/>
        <v>24.175000000000001</v>
      </c>
      <c r="AA194" s="9">
        <v>0</v>
      </c>
      <c r="AB194" s="9">
        <v>1</v>
      </c>
      <c r="AC194" s="9">
        <v>0</v>
      </c>
      <c r="AD194" s="9">
        <v>0</v>
      </c>
      <c r="AE194" s="9">
        <v>1</v>
      </c>
      <c r="AF194" s="9">
        <v>0</v>
      </c>
      <c r="AG194" s="8">
        <v>0</v>
      </c>
      <c r="AH194" s="9">
        <v>1</v>
      </c>
      <c r="AI194" s="30">
        <v>0</v>
      </c>
      <c r="AJ194" s="9">
        <v>0</v>
      </c>
      <c r="AK194" s="30">
        <v>1</v>
      </c>
      <c r="AL194" s="21">
        <v>1992</v>
      </c>
      <c r="AM194" s="23">
        <f t="shared" ref="AM194:AM257" si="67">LN(AL194)</f>
        <v>7.5968944381445436</v>
      </c>
      <c r="AN194" s="33">
        <f t="shared" si="55"/>
        <v>0.26250000000000001</v>
      </c>
      <c r="AO194" s="33">
        <v>0.25</v>
      </c>
      <c r="AP194" s="33">
        <v>0.22500000000000001</v>
      </c>
      <c r="AQ194" s="43">
        <f t="shared" si="56"/>
        <v>0.26250000000000001</v>
      </c>
      <c r="AR194" s="42">
        <v>0.67</v>
      </c>
      <c r="AS194" s="18">
        <v>0.33</v>
      </c>
      <c r="AT194">
        <v>0</v>
      </c>
      <c r="AU194" s="40">
        <f t="shared" si="52"/>
        <v>1</v>
      </c>
      <c r="AV194">
        <v>0.38</v>
      </c>
      <c r="AW194" s="40">
        <v>0.62</v>
      </c>
      <c r="AX194">
        <v>0</v>
      </c>
      <c r="AY194" s="18">
        <v>1</v>
      </c>
      <c r="AZ194">
        <f t="shared" si="5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12</v>
      </c>
      <c r="DB194" s="34"/>
    </row>
    <row r="195" spans="1:106" x14ac:dyDescent="0.25">
      <c r="A195">
        <v>194</v>
      </c>
      <c r="B195">
        <v>16</v>
      </c>
      <c r="C195" s="25" t="s">
        <v>198</v>
      </c>
      <c r="D195" s="12">
        <v>3.3666666666666671</v>
      </c>
      <c r="E195" s="14">
        <v>0.86769759450171835</v>
      </c>
      <c r="F195" s="7">
        <v>3.88</v>
      </c>
      <c r="G195" s="7">
        <f t="shared" si="58"/>
        <v>2.4989690721649489</v>
      </c>
      <c r="H195" s="16">
        <f t="shared" si="59"/>
        <v>4.2343642611683858</v>
      </c>
      <c r="I195" s="11">
        <f t="shared" si="60"/>
        <v>6.9307217002947966E-2</v>
      </c>
      <c r="J195" s="33">
        <f t="shared" si="61"/>
        <v>1.7862684794574219E-2</v>
      </c>
      <c r="K195" s="33">
        <f t="shared" si="62"/>
        <v>55.982625876248427</v>
      </c>
      <c r="L195" s="33">
        <f t="shared" si="63"/>
        <v>5.144453220837375E-2</v>
      </c>
      <c r="M195" s="33">
        <f t="shared" si="64"/>
        <v>8.7169901797522181E-2</v>
      </c>
      <c r="N195" s="8">
        <v>0</v>
      </c>
      <c r="O195" s="9">
        <v>1</v>
      </c>
      <c r="P195" s="8">
        <v>0</v>
      </c>
      <c r="Q195" s="9">
        <v>0</v>
      </c>
      <c r="R195" s="9">
        <v>1</v>
      </c>
      <c r="S195" s="9">
        <v>0</v>
      </c>
      <c r="T195" s="9">
        <v>0</v>
      </c>
      <c r="U195" s="8">
        <v>3132</v>
      </c>
      <c r="V195" s="9">
        <v>12</v>
      </c>
      <c r="W195" s="9">
        <f t="shared" si="65"/>
        <v>3119</v>
      </c>
      <c r="X195" s="9">
        <f t="shared" si="66"/>
        <v>48</v>
      </c>
      <c r="Y195" s="7">
        <v>9.8249999999999993</v>
      </c>
      <c r="Z195" s="7">
        <f t="shared" si="54"/>
        <v>24.175000000000001</v>
      </c>
      <c r="AA195" s="9">
        <v>0</v>
      </c>
      <c r="AB195" s="9">
        <v>1</v>
      </c>
      <c r="AC195" s="9">
        <v>0</v>
      </c>
      <c r="AD195" s="9">
        <v>0</v>
      </c>
      <c r="AE195" s="9">
        <v>1</v>
      </c>
      <c r="AF195" s="9">
        <v>0</v>
      </c>
      <c r="AG195" s="8">
        <v>0</v>
      </c>
      <c r="AH195" s="9">
        <v>1</v>
      </c>
      <c r="AI195" s="30">
        <v>0</v>
      </c>
      <c r="AJ195" s="9">
        <v>0</v>
      </c>
      <c r="AK195" s="30">
        <v>1</v>
      </c>
      <c r="AL195" s="21">
        <v>1992</v>
      </c>
      <c r="AM195" s="23">
        <f t="shared" si="67"/>
        <v>7.5968944381445436</v>
      </c>
      <c r="AN195" s="33">
        <f t="shared" si="55"/>
        <v>0.26250000000000001</v>
      </c>
      <c r="AO195" s="33">
        <v>0.25</v>
      </c>
      <c r="AP195" s="33">
        <v>0.22500000000000001</v>
      </c>
      <c r="AQ195" s="43">
        <f t="shared" si="56"/>
        <v>0.26250000000000001</v>
      </c>
      <c r="AR195" s="42">
        <v>0.67</v>
      </c>
      <c r="AS195" s="18">
        <v>0.33</v>
      </c>
      <c r="AT195">
        <v>0</v>
      </c>
      <c r="AU195" s="40">
        <f t="shared" si="52"/>
        <v>1</v>
      </c>
      <c r="AV195">
        <v>0.38</v>
      </c>
      <c r="AW195" s="40">
        <v>0.62</v>
      </c>
      <c r="AX195">
        <v>0</v>
      </c>
      <c r="AY195" s="18">
        <v>1</v>
      </c>
      <c r="AZ195">
        <f t="shared" si="5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12</v>
      </c>
      <c r="DB195" s="34"/>
    </row>
    <row r="196" spans="1:106" x14ac:dyDescent="0.25">
      <c r="A196">
        <v>195</v>
      </c>
      <c r="B196">
        <v>16</v>
      </c>
      <c r="C196" s="25" t="s">
        <v>198</v>
      </c>
      <c r="D196" s="12">
        <v>3.5999999999999992</v>
      </c>
      <c r="E196" s="14">
        <v>0.5806451612903224</v>
      </c>
      <c r="F196" s="7">
        <v>6.2</v>
      </c>
      <c r="G196" s="7">
        <f t="shared" si="58"/>
        <v>3.0193548387096767</v>
      </c>
      <c r="H196" s="16">
        <f t="shared" si="59"/>
        <v>4.1806451612903217</v>
      </c>
      <c r="I196" s="11">
        <f t="shared" si="60"/>
        <v>0.11033775320857062</v>
      </c>
      <c r="J196" s="33">
        <f t="shared" si="61"/>
        <v>1.7796411807833971E-2</v>
      </c>
      <c r="K196" s="33">
        <f t="shared" si="62"/>
        <v>56.191102498527286</v>
      </c>
      <c r="L196" s="33">
        <f t="shared" si="63"/>
        <v>9.2541341400736638E-2</v>
      </c>
      <c r="M196" s="33">
        <f t="shared" si="64"/>
        <v>0.12813416501640459</v>
      </c>
      <c r="N196" s="8">
        <v>0</v>
      </c>
      <c r="O196" s="9">
        <v>1</v>
      </c>
      <c r="P196" s="8">
        <v>0</v>
      </c>
      <c r="Q196" s="9">
        <v>0</v>
      </c>
      <c r="R196" s="9">
        <v>1</v>
      </c>
      <c r="S196" s="9">
        <v>0</v>
      </c>
      <c r="T196" s="9">
        <v>0</v>
      </c>
      <c r="U196" s="8">
        <v>3132</v>
      </c>
      <c r="V196" s="9">
        <v>12</v>
      </c>
      <c r="W196" s="9">
        <f t="shared" si="65"/>
        <v>3119</v>
      </c>
      <c r="X196" s="9">
        <f t="shared" si="66"/>
        <v>48</v>
      </c>
      <c r="Y196" s="7">
        <v>9.8249999999999993</v>
      </c>
      <c r="Z196" s="7">
        <f t="shared" si="54"/>
        <v>24.175000000000001</v>
      </c>
      <c r="AA196" s="9">
        <v>0</v>
      </c>
      <c r="AB196" s="9">
        <v>1</v>
      </c>
      <c r="AC196" s="9">
        <v>0</v>
      </c>
      <c r="AD196" s="9">
        <v>0</v>
      </c>
      <c r="AE196" s="9">
        <v>1</v>
      </c>
      <c r="AF196" s="9">
        <v>0</v>
      </c>
      <c r="AG196" s="8">
        <v>0</v>
      </c>
      <c r="AH196" s="9">
        <v>1</v>
      </c>
      <c r="AI196" s="30">
        <v>0</v>
      </c>
      <c r="AJ196" s="9">
        <v>0</v>
      </c>
      <c r="AK196" s="30">
        <v>1</v>
      </c>
      <c r="AL196" s="21">
        <v>1992</v>
      </c>
      <c r="AM196" s="23">
        <f t="shared" si="67"/>
        <v>7.5968944381445436</v>
      </c>
      <c r="AN196" s="33">
        <f t="shared" si="55"/>
        <v>0.26250000000000001</v>
      </c>
      <c r="AO196" s="33">
        <v>0.25</v>
      </c>
      <c r="AP196" s="33">
        <v>0.22500000000000001</v>
      </c>
      <c r="AQ196" s="43">
        <f t="shared" si="56"/>
        <v>0.26250000000000001</v>
      </c>
      <c r="AR196" s="42">
        <v>0.67</v>
      </c>
      <c r="AS196" s="18">
        <v>0.33</v>
      </c>
      <c r="AT196">
        <v>0</v>
      </c>
      <c r="AU196" s="40">
        <f t="shared" si="52"/>
        <v>1</v>
      </c>
      <c r="AV196">
        <v>0.38</v>
      </c>
      <c r="AW196" s="40">
        <v>0.62</v>
      </c>
      <c r="AX196">
        <v>0</v>
      </c>
      <c r="AY196" s="18">
        <v>1</v>
      </c>
      <c r="AZ196">
        <f t="shared" si="5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12</v>
      </c>
      <c r="DB196" s="34"/>
    </row>
    <row r="197" spans="1:106" x14ac:dyDescent="0.25">
      <c r="A197">
        <v>196</v>
      </c>
      <c r="B197">
        <v>16</v>
      </c>
      <c r="C197" s="25" t="s">
        <v>198</v>
      </c>
      <c r="D197" s="12">
        <v>6.9399999999999986</v>
      </c>
      <c r="E197" s="14">
        <v>1.232682060390764</v>
      </c>
      <c r="F197" s="7">
        <v>5.63</v>
      </c>
      <c r="G197" s="7">
        <f t="shared" si="58"/>
        <v>5.7073179396092346</v>
      </c>
      <c r="H197" s="16">
        <f t="shared" si="59"/>
        <v>8.1726820603907626</v>
      </c>
      <c r="I197" s="11">
        <f t="shared" si="60"/>
        <v>0.10030095821492577</v>
      </c>
      <c r="J197" s="33">
        <f t="shared" si="61"/>
        <v>1.7815445508867808E-2</v>
      </c>
      <c r="K197" s="33">
        <f t="shared" si="62"/>
        <v>56.131068936908733</v>
      </c>
      <c r="L197" s="33">
        <f t="shared" si="63"/>
        <v>8.2485512706057959E-2</v>
      </c>
      <c r="M197" s="33">
        <f t="shared" si="64"/>
        <v>0.11811640372379358</v>
      </c>
      <c r="N197" s="8">
        <v>0</v>
      </c>
      <c r="O197" s="9">
        <v>1</v>
      </c>
      <c r="P197" s="8">
        <v>0</v>
      </c>
      <c r="Q197" s="9">
        <v>0</v>
      </c>
      <c r="R197" s="9">
        <v>1</v>
      </c>
      <c r="S197" s="9">
        <v>0</v>
      </c>
      <c r="T197" s="9">
        <v>0</v>
      </c>
      <c r="U197" s="8">
        <v>3132</v>
      </c>
      <c r="V197" s="9">
        <v>12</v>
      </c>
      <c r="W197" s="9">
        <f t="shared" si="65"/>
        <v>3119</v>
      </c>
      <c r="X197" s="9">
        <f t="shared" si="66"/>
        <v>48</v>
      </c>
      <c r="Y197" s="7">
        <v>9.8249999999999993</v>
      </c>
      <c r="Z197" s="7">
        <f t="shared" si="54"/>
        <v>24.175000000000001</v>
      </c>
      <c r="AA197" s="9">
        <v>0</v>
      </c>
      <c r="AB197" s="9">
        <v>1</v>
      </c>
      <c r="AC197" s="9">
        <v>0</v>
      </c>
      <c r="AD197" s="9">
        <v>0</v>
      </c>
      <c r="AE197" s="9">
        <v>1</v>
      </c>
      <c r="AF197" s="9">
        <v>0</v>
      </c>
      <c r="AG197" s="8">
        <v>0</v>
      </c>
      <c r="AH197" s="9">
        <v>1</v>
      </c>
      <c r="AI197" s="30">
        <v>0</v>
      </c>
      <c r="AJ197" s="9">
        <v>0</v>
      </c>
      <c r="AK197" s="30">
        <v>1</v>
      </c>
      <c r="AL197" s="21">
        <v>1992</v>
      </c>
      <c r="AM197" s="23">
        <f t="shared" si="67"/>
        <v>7.5968944381445436</v>
      </c>
      <c r="AN197" s="33">
        <f t="shared" si="55"/>
        <v>0.26250000000000001</v>
      </c>
      <c r="AO197" s="33">
        <v>0.25</v>
      </c>
      <c r="AP197" s="33">
        <v>0.22500000000000001</v>
      </c>
      <c r="AQ197" s="43">
        <f t="shared" si="56"/>
        <v>0.26250000000000001</v>
      </c>
      <c r="AR197" s="42">
        <v>0.67</v>
      </c>
      <c r="AS197" s="18">
        <v>0.33</v>
      </c>
      <c r="AT197">
        <v>0</v>
      </c>
      <c r="AU197" s="40">
        <f t="shared" si="52"/>
        <v>1</v>
      </c>
      <c r="AV197">
        <v>0.38</v>
      </c>
      <c r="AW197" s="40">
        <v>0.62</v>
      </c>
      <c r="AX197">
        <v>0</v>
      </c>
      <c r="AY197" s="18">
        <v>1</v>
      </c>
      <c r="AZ197">
        <f t="shared" si="5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12</v>
      </c>
      <c r="DB197" s="34"/>
    </row>
    <row r="198" spans="1:106" x14ac:dyDescent="0.25">
      <c r="A198">
        <v>197</v>
      </c>
      <c r="B198">
        <v>16</v>
      </c>
      <c r="C198" s="25" t="s">
        <v>198</v>
      </c>
      <c r="D198" s="12">
        <v>11.483333333333331</v>
      </c>
      <c r="E198" s="14">
        <v>3.4692849949647528</v>
      </c>
      <c r="F198" s="7">
        <v>3.31</v>
      </c>
      <c r="G198" s="7">
        <f t="shared" si="58"/>
        <v>8.0140483383685783</v>
      </c>
      <c r="H198" s="16">
        <f t="shared" si="59"/>
        <v>14.952618328298083</v>
      </c>
      <c r="I198" s="11">
        <f t="shared" si="60"/>
        <v>5.9164182853938298E-2</v>
      </c>
      <c r="J198" s="33">
        <f t="shared" si="61"/>
        <v>1.7874375484573501E-2</v>
      </c>
      <c r="K198" s="33">
        <f t="shared" si="62"/>
        <v>55.946010581631292</v>
      </c>
      <c r="L198" s="33">
        <f t="shared" si="63"/>
        <v>4.12898073693648E-2</v>
      </c>
      <c r="M198" s="33">
        <f t="shared" si="64"/>
        <v>7.7038558338511795E-2</v>
      </c>
      <c r="N198" s="8">
        <v>0</v>
      </c>
      <c r="O198" s="9">
        <v>1</v>
      </c>
      <c r="P198" s="8">
        <v>0</v>
      </c>
      <c r="Q198" s="9">
        <v>0</v>
      </c>
      <c r="R198" s="9">
        <v>1</v>
      </c>
      <c r="S198" s="9">
        <v>0</v>
      </c>
      <c r="T198" s="9">
        <v>0</v>
      </c>
      <c r="U198" s="8">
        <v>3132</v>
      </c>
      <c r="V198" s="9">
        <v>12</v>
      </c>
      <c r="W198" s="9">
        <f t="shared" si="65"/>
        <v>3119</v>
      </c>
      <c r="X198" s="9">
        <f t="shared" si="66"/>
        <v>48</v>
      </c>
      <c r="Y198" s="7">
        <v>9.8249999999999993</v>
      </c>
      <c r="Z198" s="7">
        <f t="shared" si="54"/>
        <v>24.175000000000001</v>
      </c>
      <c r="AA198" s="9">
        <v>0</v>
      </c>
      <c r="AB198" s="9">
        <v>1</v>
      </c>
      <c r="AC198" s="9">
        <v>0</v>
      </c>
      <c r="AD198" s="9">
        <v>0</v>
      </c>
      <c r="AE198" s="9">
        <v>1</v>
      </c>
      <c r="AF198" s="9">
        <v>0</v>
      </c>
      <c r="AG198" s="8">
        <v>0</v>
      </c>
      <c r="AH198" s="9">
        <v>1</v>
      </c>
      <c r="AI198" s="30">
        <v>0</v>
      </c>
      <c r="AJ198" s="9">
        <v>0</v>
      </c>
      <c r="AK198" s="30">
        <v>1</v>
      </c>
      <c r="AL198" s="21">
        <v>1992</v>
      </c>
      <c r="AM198" s="23">
        <f t="shared" si="67"/>
        <v>7.5968944381445436</v>
      </c>
      <c r="AN198" s="33">
        <f t="shared" si="55"/>
        <v>0.26250000000000001</v>
      </c>
      <c r="AO198" s="33">
        <v>0.25</v>
      </c>
      <c r="AP198" s="33">
        <v>0.22500000000000001</v>
      </c>
      <c r="AQ198" s="43">
        <f t="shared" si="56"/>
        <v>0.26250000000000001</v>
      </c>
      <c r="AR198" s="42">
        <v>0.67</v>
      </c>
      <c r="AS198" s="18">
        <v>0.33</v>
      </c>
      <c r="AT198">
        <v>0</v>
      </c>
      <c r="AU198" s="40">
        <f t="shared" si="52"/>
        <v>1</v>
      </c>
      <c r="AV198">
        <v>0.38</v>
      </c>
      <c r="AW198" s="40">
        <v>0.62</v>
      </c>
      <c r="AX198">
        <v>0</v>
      </c>
      <c r="AY198" s="18">
        <v>1</v>
      </c>
      <c r="AZ198">
        <f t="shared" si="5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12</v>
      </c>
      <c r="DB198" s="34"/>
    </row>
    <row r="199" spans="1:106" x14ac:dyDescent="0.25">
      <c r="A199">
        <v>198</v>
      </c>
      <c r="B199">
        <v>16</v>
      </c>
      <c r="C199" s="25" t="s">
        <v>198</v>
      </c>
      <c r="D199" s="12">
        <v>0.28333333333333333</v>
      </c>
      <c r="E199" s="14">
        <v>0.83333333333333326</v>
      </c>
      <c r="F199" s="7">
        <v>0.34</v>
      </c>
      <c r="G199" s="7">
        <f t="shared" si="58"/>
        <v>-0.54999999999999993</v>
      </c>
      <c r="H199" s="16">
        <f t="shared" si="59"/>
        <v>1.1166666666666667</v>
      </c>
      <c r="I199" s="11">
        <f t="shared" si="60"/>
        <v>5.9239242863641309E-3</v>
      </c>
      <c r="J199" s="33">
        <f t="shared" si="61"/>
        <v>1.7423306724600386E-2</v>
      </c>
      <c r="K199" s="33">
        <f t="shared" si="62"/>
        <v>57.394386485091026</v>
      </c>
      <c r="L199" s="33">
        <f t="shared" si="63"/>
        <v>-1.1499382438236255E-2</v>
      </c>
      <c r="M199" s="33">
        <f t="shared" si="64"/>
        <v>2.3347231010964517E-2</v>
      </c>
      <c r="N199" s="8">
        <v>0</v>
      </c>
      <c r="O199" s="9">
        <v>1</v>
      </c>
      <c r="P199" s="8">
        <v>0</v>
      </c>
      <c r="Q199" s="9">
        <v>0</v>
      </c>
      <c r="R199" s="9">
        <v>1</v>
      </c>
      <c r="S199" s="9">
        <v>0</v>
      </c>
      <c r="T199" s="9">
        <v>0</v>
      </c>
      <c r="U199" s="8">
        <v>3307</v>
      </c>
      <c r="V199" s="9">
        <v>12</v>
      </c>
      <c r="W199" s="9">
        <f t="shared" si="65"/>
        <v>3294</v>
      </c>
      <c r="X199" s="9">
        <f t="shared" si="66"/>
        <v>48</v>
      </c>
      <c r="Y199" s="7">
        <v>10.52</v>
      </c>
      <c r="Z199" s="7">
        <f t="shared" si="54"/>
        <v>23.48</v>
      </c>
      <c r="AA199" s="9">
        <v>0</v>
      </c>
      <c r="AB199" s="9">
        <v>1</v>
      </c>
      <c r="AC199" s="9">
        <v>0</v>
      </c>
      <c r="AD199" s="9">
        <v>0</v>
      </c>
      <c r="AE199" s="9">
        <v>1</v>
      </c>
      <c r="AF199" s="9">
        <v>0</v>
      </c>
      <c r="AG199" s="8">
        <v>0</v>
      </c>
      <c r="AH199" s="9">
        <v>1</v>
      </c>
      <c r="AI199" s="30">
        <v>0</v>
      </c>
      <c r="AJ199" s="9">
        <v>0</v>
      </c>
      <c r="AK199" s="30">
        <v>1</v>
      </c>
      <c r="AL199" s="21">
        <v>1992</v>
      </c>
      <c r="AM199" s="23">
        <f t="shared" si="67"/>
        <v>7.5968944381445436</v>
      </c>
      <c r="AN199" s="33">
        <f t="shared" si="55"/>
        <v>0.17</v>
      </c>
      <c r="AO199" s="33">
        <v>0.2</v>
      </c>
      <c r="AP199" s="33">
        <v>0.46</v>
      </c>
      <c r="AQ199" s="43">
        <f t="shared" si="56"/>
        <v>0.17</v>
      </c>
      <c r="AR199" s="42">
        <v>0.67</v>
      </c>
      <c r="AS199" s="18">
        <v>0.33</v>
      </c>
      <c r="AT199">
        <v>1</v>
      </c>
      <c r="AU199" s="40">
        <f t="shared" si="52"/>
        <v>0</v>
      </c>
      <c r="AV199">
        <v>0.31</v>
      </c>
      <c r="AW199" s="40">
        <v>0.69</v>
      </c>
      <c r="AX199">
        <v>0</v>
      </c>
      <c r="AY199" s="18">
        <v>1</v>
      </c>
      <c r="AZ199">
        <f t="shared" si="5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12</v>
      </c>
      <c r="DB199" s="34"/>
    </row>
    <row r="200" spans="1:106" x14ac:dyDescent="0.25">
      <c r="A200">
        <v>199</v>
      </c>
      <c r="B200">
        <v>16</v>
      </c>
      <c r="C200" s="25" t="s">
        <v>198</v>
      </c>
      <c r="D200" s="12">
        <v>4.2749999999999986</v>
      </c>
      <c r="E200" s="14">
        <v>1.11038961038961</v>
      </c>
      <c r="F200" s="7">
        <v>3.85</v>
      </c>
      <c r="G200" s="7">
        <f t="shared" si="58"/>
        <v>3.1646103896103885</v>
      </c>
      <c r="H200" s="16">
        <f t="shared" si="59"/>
        <v>5.3853896103896091</v>
      </c>
      <c r="I200" s="11">
        <f t="shared" si="60"/>
        <v>6.6930488438157312E-2</v>
      </c>
      <c r="J200" s="33">
        <f t="shared" si="61"/>
        <v>1.7384542451469431E-2</v>
      </c>
      <c r="K200" s="33">
        <f t="shared" si="62"/>
        <v>57.522365215627225</v>
      </c>
      <c r="L200" s="33">
        <f t="shared" si="63"/>
        <v>4.9545945986687878E-2</v>
      </c>
      <c r="M200" s="33">
        <f t="shared" si="64"/>
        <v>8.4315030889626746E-2</v>
      </c>
      <c r="N200" s="8">
        <v>0</v>
      </c>
      <c r="O200" s="9">
        <v>1</v>
      </c>
      <c r="P200" s="8">
        <v>0</v>
      </c>
      <c r="Q200" s="9">
        <v>0</v>
      </c>
      <c r="R200" s="9">
        <v>1</v>
      </c>
      <c r="S200" s="9">
        <v>0</v>
      </c>
      <c r="T200" s="9">
        <v>0</v>
      </c>
      <c r="U200" s="8">
        <v>3307</v>
      </c>
      <c r="V200" s="9">
        <v>12</v>
      </c>
      <c r="W200" s="9">
        <f t="shared" si="65"/>
        <v>3294</v>
      </c>
      <c r="X200" s="9">
        <f t="shared" si="66"/>
        <v>48</v>
      </c>
      <c r="Y200" s="7">
        <v>10.52</v>
      </c>
      <c r="Z200" s="7">
        <f t="shared" si="54"/>
        <v>23.48</v>
      </c>
      <c r="AA200" s="9">
        <v>0</v>
      </c>
      <c r="AB200" s="9">
        <v>1</v>
      </c>
      <c r="AC200" s="9">
        <v>0</v>
      </c>
      <c r="AD200" s="9">
        <v>0</v>
      </c>
      <c r="AE200" s="9">
        <v>1</v>
      </c>
      <c r="AF200" s="9">
        <v>0</v>
      </c>
      <c r="AG200" s="8">
        <v>0</v>
      </c>
      <c r="AH200" s="9">
        <v>1</v>
      </c>
      <c r="AI200" s="30">
        <v>0</v>
      </c>
      <c r="AJ200" s="9">
        <v>0</v>
      </c>
      <c r="AK200" s="30">
        <v>1</v>
      </c>
      <c r="AL200" s="21">
        <v>1992</v>
      </c>
      <c r="AM200" s="23">
        <f t="shared" si="67"/>
        <v>7.5968944381445436</v>
      </c>
      <c r="AN200" s="33">
        <f t="shared" si="55"/>
        <v>0.17</v>
      </c>
      <c r="AO200" s="33">
        <v>0.2</v>
      </c>
      <c r="AP200" s="33">
        <v>0.46</v>
      </c>
      <c r="AQ200" s="43">
        <f t="shared" si="56"/>
        <v>0.17</v>
      </c>
      <c r="AR200" s="42">
        <v>0.67</v>
      </c>
      <c r="AS200" s="18">
        <v>0.33</v>
      </c>
      <c r="AT200">
        <v>1</v>
      </c>
      <c r="AU200" s="40">
        <f t="shared" si="52"/>
        <v>0</v>
      </c>
      <c r="AV200">
        <v>0.31</v>
      </c>
      <c r="AW200" s="40">
        <v>0.69</v>
      </c>
      <c r="AX200">
        <v>0</v>
      </c>
      <c r="AY200" s="18">
        <v>1</v>
      </c>
      <c r="AZ200">
        <f t="shared" si="5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12</v>
      </c>
      <c r="DB200" s="34"/>
    </row>
    <row r="201" spans="1:106" x14ac:dyDescent="0.25">
      <c r="A201">
        <v>200</v>
      </c>
      <c r="B201">
        <v>16</v>
      </c>
      <c r="C201" s="25" t="s">
        <v>198</v>
      </c>
      <c r="D201" s="12">
        <v>7.4999999999999982</v>
      </c>
      <c r="E201" s="14">
        <v>1.150306748466257</v>
      </c>
      <c r="F201" s="7">
        <v>6.52</v>
      </c>
      <c r="G201" s="7">
        <f t="shared" si="58"/>
        <v>6.3496932515337416</v>
      </c>
      <c r="H201" s="16">
        <f t="shared" si="59"/>
        <v>8.6503067484662548</v>
      </c>
      <c r="I201" s="11">
        <f t="shared" si="60"/>
        <v>0.1128759333102024</v>
      </c>
      <c r="J201" s="33">
        <f t="shared" si="61"/>
        <v>1.7312259710153745E-2</v>
      </c>
      <c r="K201" s="33">
        <f t="shared" si="62"/>
        <v>57.762534570428954</v>
      </c>
      <c r="L201" s="33">
        <f t="shared" si="63"/>
        <v>9.5563673600048665E-2</v>
      </c>
      <c r="M201" s="33">
        <f t="shared" si="64"/>
        <v>0.13018819302035614</v>
      </c>
      <c r="N201" s="8">
        <v>0</v>
      </c>
      <c r="O201" s="9">
        <v>1</v>
      </c>
      <c r="P201" s="8">
        <v>0</v>
      </c>
      <c r="Q201" s="9">
        <v>0</v>
      </c>
      <c r="R201" s="9">
        <v>1</v>
      </c>
      <c r="S201" s="9">
        <v>0</v>
      </c>
      <c r="T201" s="9">
        <v>0</v>
      </c>
      <c r="U201" s="8">
        <v>3307</v>
      </c>
      <c r="V201" s="9">
        <v>12</v>
      </c>
      <c r="W201" s="9">
        <f t="shared" si="65"/>
        <v>3294</v>
      </c>
      <c r="X201" s="9">
        <f t="shared" si="66"/>
        <v>48</v>
      </c>
      <c r="Y201" s="7">
        <v>10.52</v>
      </c>
      <c r="Z201" s="7">
        <f t="shared" si="54"/>
        <v>23.48</v>
      </c>
      <c r="AA201" s="9">
        <v>0</v>
      </c>
      <c r="AB201" s="9">
        <v>1</v>
      </c>
      <c r="AC201" s="9">
        <v>0</v>
      </c>
      <c r="AD201" s="9">
        <v>0</v>
      </c>
      <c r="AE201" s="9">
        <v>1</v>
      </c>
      <c r="AF201" s="9">
        <v>0</v>
      </c>
      <c r="AG201" s="8">
        <v>0</v>
      </c>
      <c r="AH201" s="9">
        <v>1</v>
      </c>
      <c r="AI201" s="30">
        <v>0</v>
      </c>
      <c r="AJ201" s="9">
        <v>0</v>
      </c>
      <c r="AK201" s="30">
        <v>1</v>
      </c>
      <c r="AL201" s="21">
        <v>1992</v>
      </c>
      <c r="AM201" s="23">
        <f t="shared" si="67"/>
        <v>7.5968944381445436</v>
      </c>
      <c r="AN201" s="33">
        <f t="shared" si="55"/>
        <v>0.17</v>
      </c>
      <c r="AO201" s="33">
        <v>0.2</v>
      </c>
      <c r="AP201" s="33">
        <v>0.46</v>
      </c>
      <c r="AQ201" s="43">
        <f t="shared" si="56"/>
        <v>0.17</v>
      </c>
      <c r="AR201" s="42">
        <v>0.67</v>
      </c>
      <c r="AS201" s="18">
        <v>0.33</v>
      </c>
      <c r="AT201">
        <v>1</v>
      </c>
      <c r="AU201" s="40">
        <f t="shared" si="52"/>
        <v>0</v>
      </c>
      <c r="AV201">
        <v>0.31</v>
      </c>
      <c r="AW201" s="40">
        <v>0.69</v>
      </c>
      <c r="AX201">
        <v>0</v>
      </c>
      <c r="AY201" s="18">
        <v>1</v>
      </c>
      <c r="AZ201">
        <f t="shared" si="5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12</v>
      </c>
      <c r="DB201" s="34"/>
    </row>
    <row r="202" spans="1:106" x14ac:dyDescent="0.25">
      <c r="A202">
        <v>201</v>
      </c>
      <c r="B202">
        <v>16</v>
      </c>
      <c r="C202" s="25" t="s">
        <v>198</v>
      </c>
      <c r="D202" s="12">
        <v>13.4</v>
      </c>
      <c r="E202" s="14">
        <v>2.252100840336134</v>
      </c>
      <c r="F202" s="7">
        <v>5.95</v>
      </c>
      <c r="G202" s="7">
        <f t="shared" si="58"/>
        <v>11.147899159663867</v>
      </c>
      <c r="H202" s="16">
        <f t="shared" si="59"/>
        <v>15.652100840336134</v>
      </c>
      <c r="I202" s="11">
        <f t="shared" si="60"/>
        <v>0.10311784184327458</v>
      </c>
      <c r="J202" s="33">
        <f t="shared" si="61"/>
        <v>1.7330729721558753E-2</v>
      </c>
      <c r="K202" s="33">
        <f t="shared" si="62"/>
        <v>57.700974861782015</v>
      </c>
      <c r="L202" s="33">
        <f t="shared" si="63"/>
        <v>8.5787112121715831E-2</v>
      </c>
      <c r="M202" s="33">
        <f t="shared" si="64"/>
        <v>0.12044857156483332</v>
      </c>
      <c r="N202" s="8">
        <v>0</v>
      </c>
      <c r="O202" s="9">
        <v>1</v>
      </c>
      <c r="P202" s="8">
        <v>0</v>
      </c>
      <c r="Q202" s="9">
        <v>0</v>
      </c>
      <c r="R202" s="9">
        <v>1</v>
      </c>
      <c r="S202" s="9">
        <v>0</v>
      </c>
      <c r="T202" s="9">
        <v>0</v>
      </c>
      <c r="U202" s="8">
        <v>3307</v>
      </c>
      <c r="V202" s="9">
        <v>12</v>
      </c>
      <c r="W202" s="9">
        <f t="shared" si="65"/>
        <v>3294</v>
      </c>
      <c r="X202" s="9">
        <f t="shared" si="66"/>
        <v>48</v>
      </c>
      <c r="Y202" s="7">
        <v>10.52</v>
      </c>
      <c r="Z202" s="7">
        <f t="shared" si="54"/>
        <v>23.48</v>
      </c>
      <c r="AA202" s="9">
        <v>0</v>
      </c>
      <c r="AB202" s="9">
        <v>1</v>
      </c>
      <c r="AC202" s="9">
        <v>0</v>
      </c>
      <c r="AD202" s="9">
        <v>0</v>
      </c>
      <c r="AE202" s="9">
        <v>1</v>
      </c>
      <c r="AF202" s="9">
        <v>0</v>
      </c>
      <c r="AG202" s="8">
        <v>0</v>
      </c>
      <c r="AH202" s="9">
        <v>1</v>
      </c>
      <c r="AI202" s="30">
        <v>0</v>
      </c>
      <c r="AJ202" s="9">
        <v>0</v>
      </c>
      <c r="AK202" s="30">
        <v>1</v>
      </c>
      <c r="AL202" s="21">
        <v>1992</v>
      </c>
      <c r="AM202" s="23">
        <f t="shared" si="67"/>
        <v>7.5968944381445436</v>
      </c>
      <c r="AN202" s="33">
        <f t="shared" si="55"/>
        <v>0.17</v>
      </c>
      <c r="AO202" s="33">
        <v>0.2</v>
      </c>
      <c r="AP202" s="33">
        <v>0.46</v>
      </c>
      <c r="AQ202" s="43">
        <f t="shared" si="56"/>
        <v>0.17</v>
      </c>
      <c r="AR202" s="42">
        <v>0.67</v>
      </c>
      <c r="AS202" s="18">
        <v>0.33</v>
      </c>
      <c r="AT202">
        <v>1</v>
      </c>
      <c r="AU202" s="40">
        <f t="shared" si="52"/>
        <v>0</v>
      </c>
      <c r="AV202">
        <v>0.31</v>
      </c>
      <c r="AW202" s="40">
        <v>0.69</v>
      </c>
      <c r="AX202">
        <v>0</v>
      </c>
      <c r="AY202" s="18">
        <v>1</v>
      </c>
      <c r="AZ202">
        <f t="shared" si="5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12</v>
      </c>
      <c r="DB202" s="34"/>
    </row>
    <row r="203" spans="1:106" x14ac:dyDescent="0.25">
      <c r="A203">
        <v>202</v>
      </c>
      <c r="B203">
        <v>16</v>
      </c>
      <c r="C203" s="25" t="s">
        <v>198</v>
      </c>
      <c r="D203" s="12">
        <v>0.3833333333333333</v>
      </c>
      <c r="E203" s="14">
        <v>0.85185185185185175</v>
      </c>
      <c r="F203" s="7">
        <v>0.45</v>
      </c>
      <c r="G203" s="7">
        <f t="shared" si="58"/>
        <v>-0.46851851851851845</v>
      </c>
      <c r="H203" s="16">
        <f t="shared" si="59"/>
        <v>1.2351851851851849</v>
      </c>
      <c r="I203" s="11">
        <f t="shared" si="60"/>
        <v>7.8296962571316932E-3</v>
      </c>
      <c r="J203" s="33">
        <f t="shared" si="61"/>
        <v>1.7399325015848205E-2</v>
      </c>
      <c r="K203" s="33">
        <f t="shared" si="62"/>
        <v>57.473493890662326</v>
      </c>
      <c r="L203" s="33">
        <f t="shared" si="63"/>
        <v>-9.5696287587165117E-3</v>
      </c>
      <c r="M203" s="33">
        <f t="shared" si="64"/>
        <v>2.52290212729799E-2</v>
      </c>
      <c r="N203" s="8">
        <v>0</v>
      </c>
      <c r="O203" s="9">
        <v>1</v>
      </c>
      <c r="P203" s="8">
        <v>0</v>
      </c>
      <c r="Q203" s="9">
        <v>0</v>
      </c>
      <c r="R203" s="9">
        <v>1</v>
      </c>
      <c r="S203" s="9">
        <v>0</v>
      </c>
      <c r="T203" s="9">
        <v>0</v>
      </c>
      <c r="U203" s="8">
        <v>3316</v>
      </c>
      <c r="V203" s="9">
        <v>12</v>
      </c>
      <c r="W203" s="9">
        <f t="shared" si="65"/>
        <v>3303</v>
      </c>
      <c r="X203" s="9">
        <f t="shared" si="66"/>
        <v>48</v>
      </c>
      <c r="Y203" s="7">
        <v>10.52</v>
      </c>
      <c r="Z203" s="7">
        <f t="shared" si="54"/>
        <v>23.48</v>
      </c>
      <c r="AA203" s="9">
        <v>0</v>
      </c>
      <c r="AB203" s="9">
        <v>1</v>
      </c>
      <c r="AC203" s="9">
        <v>0</v>
      </c>
      <c r="AD203" s="9">
        <v>0</v>
      </c>
      <c r="AE203" s="9">
        <v>1</v>
      </c>
      <c r="AF203" s="9">
        <v>0</v>
      </c>
      <c r="AG203" s="8">
        <v>0</v>
      </c>
      <c r="AH203" s="9">
        <v>1</v>
      </c>
      <c r="AI203" s="30">
        <v>0</v>
      </c>
      <c r="AJ203" s="9">
        <v>0</v>
      </c>
      <c r="AK203" s="30">
        <v>1</v>
      </c>
      <c r="AL203" s="21">
        <v>1992</v>
      </c>
      <c r="AM203" s="23">
        <f t="shared" si="67"/>
        <v>7.5968944381445436</v>
      </c>
      <c r="AN203" s="33">
        <f t="shared" si="55"/>
        <v>0.17</v>
      </c>
      <c r="AO203" s="33">
        <v>0.2</v>
      </c>
      <c r="AP203" s="33">
        <v>0.46</v>
      </c>
      <c r="AQ203" s="43">
        <f t="shared" si="56"/>
        <v>0.17</v>
      </c>
      <c r="AR203" s="42">
        <v>0.67</v>
      </c>
      <c r="AS203" s="18">
        <v>0.33</v>
      </c>
      <c r="AT203">
        <v>1</v>
      </c>
      <c r="AU203" s="40">
        <f t="shared" si="52"/>
        <v>0</v>
      </c>
      <c r="AV203">
        <v>0.31</v>
      </c>
      <c r="AW203" s="40">
        <v>0.69</v>
      </c>
      <c r="AX203">
        <v>0</v>
      </c>
      <c r="AY203" s="18">
        <v>1</v>
      </c>
      <c r="AZ203">
        <f t="shared" si="5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12</v>
      </c>
      <c r="DB203" s="34"/>
    </row>
    <row r="204" spans="1:106" x14ac:dyDescent="0.25">
      <c r="A204">
        <v>203</v>
      </c>
      <c r="B204">
        <v>16</v>
      </c>
      <c r="C204" s="25" t="s">
        <v>198</v>
      </c>
      <c r="D204" s="12">
        <v>4.25</v>
      </c>
      <c r="E204" s="14">
        <v>1.0625</v>
      </c>
      <c r="F204" s="7">
        <v>4</v>
      </c>
      <c r="G204" s="7">
        <f t="shared" si="58"/>
        <v>3.1875</v>
      </c>
      <c r="H204" s="16">
        <f t="shared" si="59"/>
        <v>5.3125</v>
      </c>
      <c r="I204" s="11">
        <f t="shared" si="60"/>
        <v>6.9431470784376378E-2</v>
      </c>
      <c r="J204" s="33">
        <f t="shared" si="61"/>
        <v>1.7357867696094095E-2</v>
      </c>
      <c r="K204" s="33">
        <f t="shared" si="62"/>
        <v>57.610762883336307</v>
      </c>
      <c r="L204" s="33">
        <f t="shared" si="63"/>
        <v>5.207360308828228E-2</v>
      </c>
      <c r="M204" s="33">
        <f t="shared" si="64"/>
        <v>8.6789338480470477E-2</v>
      </c>
      <c r="N204" s="8">
        <v>0</v>
      </c>
      <c r="O204" s="9">
        <v>1</v>
      </c>
      <c r="P204" s="8">
        <v>0</v>
      </c>
      <c r="Q204" s="9">
        <v>0</v>
      </c>
      <c r="R204" s="9">
        <v>1</v>
      </c>
      <c r="S204" s="9">
        <v>0</v>
      </c>
      <c r="T204" s="9">
        <v>0</v>
      </c>
      <c r="U204" s="8">
        <v>3316</v>
      </c>
      <c r="V204" s="9">
        <v>12</v>
      </c>
      <c r="W204" s="9">
        <f t="shared" si="65"/>
        <v>3303</v>
      </c>
      <c r="X204" s="9">
        <f t="shared" si="66"/>
        <v>48</v>
      </c>
      <c r="Y204" s="7">
        <v>10.52</v>
      </c>
      <c r="Z204" s="7">
        <f t="shared" si="54"/>
        <v>23.48</v>
      </c>
      <c r="AA204" s="9">
        <v>0</v>
      </c>
      <c r="AB204" s="9">
        <v>1</v>
      </c>
      <c r="AC204" s="9">
        <v>0</v>
      </c>
      <c r="AD204" s="9">
        <v>0</v>
      </c>
      <c r="AE204" s="9">
        <v>1</v>
      </c>
      <c r="AF204" s="9">
        <v>0</v>
      </c>
      <c r="AG204" s="8">
        <v>0</v>
      </c>
      <c r="AH204" s="9">
        <v>1</v>
      </c>
      <c r="AI204" s="30">
        <v>0</v>
      </c>
      <c r="AJ204" s="9">
        <v>0</v>
      </c>
      <c r="AK204" s="30">
        <v>1</v>
      </c>
      <c r="AL204" s="21">
        <v>1992</v>
      </c>
      <c r="AM204" s="23">
        <f t="shared" si="67"/>
        <v>7.5968944381445436</v>
      </c>
      <c r="AN204" s="33">
        <f t="shared" si="55"/>
        <v>0.17</v>
      </c>
      <c r="AO204" s="33">
        <v>0.2</v>
      </c>
      <c r="AP204" s="33">
        <v>0.46</v>
      </c>
      <c r="AQ204" s="43">
        <f t="shared" si="56"/>
        <v>0.17</v>
      </c>
      <c r="AR204" s="42">
        <v>0.67</v>
      </c>
      <c r="AS204" s="18">
        <v>0.33</v>
      </c>
      <c r="AT204">
        <v>1</v>
      </c>
      <c r="AU204" s="40">
        <f t="shared" si="52"/>
        <v>0</v>
      </c>
      <c r="AV204">
        <v>0.31</v>
      </c>
      <c r="AW204" s="40">
        <v>0.69</v>
      </c>
      <c r="AX204">
        <v>0</v>
      </c>
      <c r="AY204" s="18">
        <v>1</v>
      </c>
      <c r="AZ204">
        <f t="shared" si="5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12</v>
      </c>
      <c r="DB204" s="34"/>
    </row>
    <row r="205" spans="1:106" x14ac:dyDescent="0.25">
      <c r="A205">
        <v>204</v>
      </c>
      <c r="B205">
        <v>16</v>
      </c>
      <c r="C205" s="25" t="s">
        <v>198</v>
      </c>
      <c r="D205" s="12">
        <v>7.3200000000000012</v>
      </c>
      <c r="E205" s="14">
        <v>1.1141552511415529</v>
      </c>
      <c r="F205" s="7">
        <v>6.57</v>
      </c>
      <c r="G205" s="7">
        <f t="shared" si="58"/>
        <v>6.2058447488584481</v>
      </c>
      <c r="H205" s="16">
        <f t="shared" si="59"/>
        <v>8.4341552511415543</v>
      </c>
      <c r="I205" s="11">
        <f t="shared" si="60"/>
        <v>0.11357734174803634</v>
      </c>
      <c r="J205" s="33">
        <f t="shared" si="61"/>
        <v>1.7287266628316034E-2</v>
      </c>
      <c r="K205" s="33">
        <f t="shared" si="62"/>
        <v>57.846044808612454</v>
      </c>
      <c r="L205" s="33">
        <f t="shared" si="63"/>
        <v>9.6290075119720306E-2</v>
      </c>
      <c r="M205" s="33">
        <f t="shared" si="64"/>
        <v>0.13086460837635239</v>
      </c>
      <c r="N205" s="8">
        <v>0</v>
      </c>
      <c r="O205" s="9">
        <v>1</v>
      </c>
      <c r="P205" s="8">
        <v>0</v>
      </c>
      <c r="Q205" s="9">
        <v>0</v>
      </c>
      <c r="R205" s="9">
        <v>1</v>
      </c>
      <c r="S205" s="9">
        <v>0</v>
      </c>
      <c r="T205" s="9">
        <v>0</v>
      </c>
      <c r="U205" s="8">
        <v>3316</v>
      </c>
      <c r="V205" s="9">
        <v>12</v>
      </c>
      <c r="W205" s="9">
        <f t="shared" si="65"/>
        <v>3303</v>
      </c>
      <c r="X205" s="9">
        <f t="shared" si="66"/>
        <v>48</v>
      </c>
      <c r="Y205" s="7">
        <v>10.52</v>
      </c>
      <c r="Z205" s="7">
        <f t="shared" si="54"/>
        <v>23.48</v>
      </c>
      <c r="AA205" s="9">
        <v>0</v>
      </c>
      <c r="AB205" s="9">
        <v>1</v>
      </c>
      <c r="AC205" s="9">
        <v>0</v>
      </c>
      <c r="AD205" s="9">
        <v>0</v>
      </c>
      <c r="AE205" s="9">
        <v>1</v>
      </c>
      <c r="AF205" s="9">
        <v>0</v>
      </c>
      <c r="AG205" s="8">
        <v>0</v>
      </c>
      <c r="AH205" s="9">
        <v>1</v>
      </c>
      <c r="AI205" s="30">
        <v>0</v>
      </c>
      <c r="AJ205" s="9">
        <v>0</v>
      </c>
      <c r="AK205" s="30">
        <v>1</v>
      </c>
      <c r="AL205" s="21">
        <v>1992</v>
      </c>
      <c r="AM205" s="23">
        <f t="shared" si="67"/>
        <v>7.5968944381445436</v>
      </c>
      <c r="AN205" s="33">
        <f t="shared" si="55"/>
        <v>0.17</v>
      </c>
      <c r="AO205" s="33">
        <v>0.2</v>
      </c>
      <c r="AP205" s="33">
        <v>0.46</v>
      </c>
      <c r="AQ205" s="43">
        <f t="shared" si="56"/>
        <v>0.17</v>
      </c>
      <c r="AR205" s="42">
        <v>0.67</v>
      </c>
      <c r="AS205" s="18">
        <v>0.33</v>
      </c>
      <c r="AT205">
        <v>1</v>
      </c>
      <c r="AU205" s="40">
        <f t="shared" si="52"/>
        <v>0</v>
      </c>
      <c r="AV205">
        <v>0.31</v>
      </c>
      <c r="AW205" s="40">
        <v>0.69</v>
      </c>
      <c r="AX205">
        <v>0</v>
      </c>
      <c r="AY205" s="18">
        <v>1</v>
      </c>
      <c r="AZ205">
        <f t="shared" si="5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12</v>
      </c>
      <c r="DB205" s="34"/>
    </row>
    <row r="206" spans="1:106" x14ac:dyDescent="0.25">
      <c r="A206">
        <v>205</v>
      </c>
      <c r="B206">
        <v>16</v>
      </c>
      <c r="C206" s="25" t="s">
        <v>198</v>
      </c>
      <c r="D206" s="12">
        <v>13</v>
      </c>
      <c r="E206" s="14">
        <v>2.2336769759450168</v>
      </c>
      <c r="F206" s="7">
        <v>5.82</v>
      </c>
      <c r="G206" s="7">
        <f t="shared" si="58"/>
        <v>10.766323024054984</v>
      </c>
      <c r="H206" s="16">
        <f t="shared" si="59"/>
        <v>15.233676975945016</v>
      </c>
      <c r="I206" s="11">
        <f t="shared" si="60"/>
        <v>0.10075188604331468</v>
      </c>
      <c r="J206" s="33">
        <f t="shared" si="61"/>
        <v>1.7311320625999084E-2</v>
      </c>
      <c r="K206" s="33">
        <f t="shared" si="62"/>
        <v>57.765668004447072</v>
      </c>
      <c r="L206" s="33">
        <f t="shared" si="63"/>
        <v>8.3440565417315593E-2</v>
      </c>
      <c r="M206" s="33">
        <f t="shared" si="64"/>
        <v>0.11806320666931377</v>
      </c>
      <c r="N206" s="8">
        <v>0</v>
      </c>
      <c r="O206" s="9">
        <v>1</v>
      </c>
      <c r="P206" s="8">
        <v>0</v>
      </c>
      <c r="Q206" s="9">
        <v>0</v>
      </c>
      <c r="R206" s="9">
        <v>1</v>
      </c>
      <c r="S206" s="9">
        <v>0</v>
      </c>
      <c r="T206" s="9">
        <v>0</v>
      </c>
      <c r="U206" s="8">
        <v>3316</v>
      </c>
      <c r="V206" s="9">
        <v>12</v>
      </c>
      <c r="W206" s="9">
        <f t="shared" si="65"/>
        <v>3303</v>
      </c>
      <c r="X206" s="9">
        <f t="shared" si="66"/>
        <v>48</v>
      </c>
      <c r="Y206" s="7">
        <v>10.52</v>
      </c>
      <c r="Z206" s="7">
        <f t="shared" si="54"/>
        <v>23.48</v>
      </c>
      <c r="AA206" s="9">
        <v>0</v>
      </c>
      <c r="AB206" s="9">
        <v>1</v>
      </c>
      <c r="AC206" s="9">
        <v>0</v>
      </c>
      <c r="AD206" s="9">
        <v>0</v>
      </c>
      <c r="AE206" s="9">
        <v>1</v>
      </c>
      <c r="AF206" s="9">
        <v>0</v>
      </c>
      <c r="AG206" s="8">
        <v>0</v>
      </c>
      <c r="AH206" s="9">
        <v>1</v>
      </c>
      <c r="AI206" s="30">
        <v>0</v>
      </c>
      <c r="AJ206" s="9">
        <v>0</v>
      </c>
      <c r="AK206" s="30">
        <v>1</v>
      </c>
      <c r="AL206" s="21">
        <v>1992</v>
      </c>
      <c r="AM206" s="23">
        <f t="shared" si="67"/>
        <v>7.5968944381445436</v>
      </c>
      <c r="AN206" s="33">
        <f t="shared" si="55"/>
        <v>0.17</v>
      </c>
      <c r="AO206" s="33">
        <v>0.2</v>
      </c>
      <c r="AP206" s="33">
        <v>0.46</v>
      </c>
      <c r="AQ206" s="43">
        <f t="shared" si="56"/>
        <v>0.17</v>
      </c>
      <c r="AR206" s="42">
        <v>0.67</v>
      </c>
      <c r="AS206" s="18">
        <v>0.33</v>
      </c>
      <c r="AT206">
        <v>1</v>
      </c>
      <c r="AU206" s="40">
        <f t="shared" si="52"/>
        <v>0</v>
      </c>
      <c r="AV206">
        <v>0.31</v>
      </c>
      <c r="AW206" s="40">
        <v>0.69</v>
      </c>
      <c r="AX206">
        <v>0</v>
      </c>
      <c r="AY206" s="18">
        <v>1</v>
      </c>
      <c r="AZ206">
        <f t="shared" si="5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12</v>
      </c>
      <c r="DB206" s="34"/>
    </row>
    <row r="207" spans="1:106" x14ac:dyDescent="0.25">
      <c r="A207">
        <v>206</v>
      </c>
      <c r="B207">
        <v>16</v>
      </c>
      <c r="C207" s="25" t="s">
        <v>198</v>
      </c>
      <c r="D207" s="12">
        <v>4.9833333333333334</v>
      </c>
      <c r="E207" s="14">
        <v>1.175314465408805</v>
      </c>
      <c r="F207" s="7">
        <v>4.24</v>
      </c>
      <c r="G207" s="7">
        <f t="shared" si="58"/>
        <v>3.8080188679245284</v>
      </c>
      <c r="H207" s="16">
        <f t="shared" si="59"/>
        <v>6.1586477987421384</v>
      </c>
      <c r="I207" s="11">
        <f t="shared" si="60"/>
        <v>9.0111297961682588E-2</v>
      </c>
      <c r="J207" s="33">
        <f t="shared" si="61"/>
        <v>2.1252664613604384E-2</v>
      </c>
      <c r="K207" s="33">
        <f t="shared" si="62"/>
        <v>47.05292339483276</v>
      </c>
      <c r="L207" s="33">
        <f t="shared" si="63"/>
        <v>6.8858633348078208E-2</v>
      </c>
      <c r="M207" s="33">
        <f t="shared" si="64"/>
        <v>0.11136396257528697</v>
      </c>
      <c r="N207" s="8">
        <v>0</v>
      </c>
      <c r="O207" s="9">
        <v>1</v>
      </c>
      <c r="P207" s="8">
        <v>0</v>
      </c>
      <c r="Q207" s="9">
        <v>0</v>
      </c>
      <c r="R207" s="9">
        <v>1</v>
      </c>
      <c r="S207" s="9">
        <v>0</v>
      </c>
      <c r="T207" s="9">
        <v>0</v>
      </c>
      <c r="U207" s="8">
        <v>2209</v>
      </c>
      <c r="V207" s="9">
        <v>12</v>
      </c>
      <c r="W207" s="9">
        <f t="shared" si="65"/>
        <v>2196</v>
      </c>
      <c r="X207" s="9">
        <f t="shared" si="66"/>
        <v>48</v>
      </c>
      <c r="Y207" s="7">
        <v>9.8450000000000006</v>
      </c>
      <c r="Z207" s="7">
        <f t="shared" si="54"/>
        <v>24.155000000000001</v>
      </c>
      <c r="AA207" s="9">
        <v>0</v>
      </c>
      <c r="AB207" s="9">
        <v>1</v>
      </c>
      <c r="AC207" s="9">
        <v>0</v>
      </c>
      <c r="AD207" s="9">
        <v>0</v>
      </c>
      <c r="AE207" s="9">
        <v>1</v>
      </c>
      <c r="AF207" s="9">
        <v>0</v>
      </c>
      <c r="AG207" s="8">
        <v>0</v>
      </c>
      <c r="AH207" s="9">
        <v>1</v>
      </c>
      <c r="AI207" s="30">
        <v>0</v>
      </c>
      <c r="AJ207" s="9">
        <v>0</v>
      </c>
      <c r="AK207" s="30">
        <v>1</v>
      </c>
      <c r="AL207" s="21">
        <v>1999</v>
      </c>
      <c r="AM207" s="23">
        <f t="shared" si="67"/>
        <v>7.6004023345003997</v>
      </c>
      <c r="AN207" s="33">
        <f t="shared" si="55"/>
        <v>0.19249999999999998</v>
      </c>
      <c r="AO207" s="33">
        <v>0.28999999999999998</v>
      </c>
      <c r="AP207" s="33">
        <v>0.32500000000000001</v>
      </c>
      <c r="AQ207" s="43">
        <f t="shared" si="56"/>
        <v>0.19249999999999998</v>
      </c>
      <c r="AR207" s="42">
        <v>0.67</v>
      </c>
      <c r="AS207" s="18">
        <v>0.33</v>
      </c>
      <c r="AT207">
        <v>0</v>
      </c>
      <c r="AU207" s="40">
        <f t="shared" si="52"/>
        <v>1</v>
      </c>
      <c r="AV207">
        <v>0.38</v>
      </c>
      <c r="AW207" s="40">
        <v>0.62</v>
      </c>
      <c r="AX207">
        <v>0</v>
      </c>
      <c r="AY207" s="18">
        <v>1</v>
      </c>
      <c r="AZ207">
        <f t="shared" si="5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12</v>
      </c>
      <c r="DB207" s="34"/>
    </row>
    <row r="208" spans="1:106" x14ac:dyDescent="0.25">
      <c r="A208">
        <v>207</v>
      </c>
      <c r="B208">
        <v>16</v>
      </c>
      <c r="C208" s="25" t="s">
        <v>198</v>
      </c>
      <c r="D208" s="12">
        <v>4.1500000000000012</v>
      </c>
      <c r="E208" s="14">
        <v>0.64341085271317844</v>
      </c>
      <c r="F208" s="7">
        <v>6.45</v>
      </c>
      <c r="G208" s="7">
        <f t="shared" si="58"/>
        <v>3.5065891472868227</v>
      </c>
      <c r="H208" s="16">
        <f t="shared" si="59"/>
        <v>4.7934108527131798</v>
      </c>
      <c r="I208" s="11">
        <f t="shared" si="60"/>
        <v>0.13635411386705673</v>
      </c>
      <c r="J208" s="33">
        <f t="shared" si="61"/>
        <v>2.1140172692566933E-2</v>
      </c>
      <c r="K208" s="33">
        <f t="shared" si="62"/>
        <v>47.303303267319507</v>
      </c>
      <c r="L208" s="33">
        <f t="shared" si="63"/>
        <v>0.1152139411744898</v>
      </c>
      <c r="M208" s="33">
        <f t="shared" si="64"/>
        <v>0.15749428655962366</v>
      </c>
      <c r="N208" s="8">
        <v>0</v>
      </c>
      <c r="O208" s="9">
        <v>1</v>
      </c>
      <c r="P208" s="8">
        <v>0</v>
      </c>
      <c r="Q208" s="9">
        <v>0</v>
      </c>
      <c r="R208" s="9">
        <v>1</v>
      </c>
      <c r="S208" s="9">
        <v>0</v>
      </c>
      <c r="T208" s="9">
        <v>0</v>
      </c>
      <c r="U208" s="8">
        <v>2209</v>
      </c>
      <c r="V208" s="9">
        <v>12</v>
      </c>
      <c r="W208" s="9">
        <f t="shared" si="65"/>
        <v>2196</v>
      </c>
      <c r="X208" s="9">
        <f t="shared" si="66"/>
        <v>48</v>
      </c>
      <c r="Y208" s="7">
        <v>9.8450000000000006</v>
      </c>
      <c r="Z208" s="7">
        <f t="shared" si="54"/>
        <v>24.155000000000001</v>
      </c>
      <c r="AA208" s="9">
        <v>0</v>
      </c>
      <c r="AB208" s="9">
        <v>1</v>
      </c>
      <c r="AC208" s="9">
        <v>0</v>
      </c>
      <c r="AD208" s="9">
        <v>0</v>
      </c>
      <c r="AE208" s="9">
        <v>1</v>
      </c>
      <c r="AF208" s="9">
        <v>0</v>
      </c>
      <c r="AG208" s="8">
        <v>0</v>
      </c>
      <c r="AH208" s="9">
        <v>1</v>
      </c>
      <c r="AI208" s="30">
        <v>0</v>
      </c>
      <c r="AJ208" s="9">
        <v>0</v>
      </c>
      <c r="AK208" s="30">
        <v>1</v>
      </c>
      <c r="AL208" s="21">
        <v>1999</v>
      </c>
      <c r="AM208" s="23">
        <f t="shared" si="67"/>
        <v>7.6004023345003997</v>
      </c>
      <c r="AN208" s="33">
        <f t="shared" si="55"/>
        <v>0.19249999999999998</v>
      </c>
      <c r="AO208" s="33">
        <v>0.28999999999999998</v>
      </c>
      <c r="AP208" s="33">
        <v>0.32500000000000001</v>
      </c>
      <c r="AQ208" s="43">
        <f t="shared" si="56"/>
        <v>0.19249999999999998</v>
      </c>
      <c r="AR208" s="42">
        <v>0.67</v>
      </c>
      <c r="AS208" s="18">
        <v>0.33</v>
      </c>
      <c r="AT208">
        <v>0</v>
      </c>
      <c r="AU208" s="40">
        <f t="shared" si="52"/>
        <v>1</v>
      </c>
      <c r="AV208">
        <v>0.38</v>
      </c>
      <c r="AW208" s="40">
        <v>0.62</v>
      </c>
      <c r="AX208">
        <v>0</v>
      </c>
      <c r="AY208" s="18">
        <v>1</v>
      </c>
      <c r="AZ208">
        <f t="shared" si="5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12</v>
      </c>
      <c r="DB208" s="34"/>
    </row>
    <row r="209" spans="1:106" x14ac:dyDescent="0.25">
      <c r="A209">
        <v>208</v>
      </c>
      <c r="B209">
        <v>16</v>
      </c>
      <c r="C209" s="25" t="s">
        <v>198</v>
      </c>
      <c r="D209" s="12">
        <v>12.32</v>
      </c>
      <c r="E209" s="14">
        <v>2.294227188081936</v>
      </c>
      <c r="F209" s="7">
        <v>5.37</v>
      </c>
      <c r="G209" s="7">
        <f t="shared" si="58"/>
        <v>10.025772811918063</v>
      </c>
      <c r="H209" s="16">
        <f t="shared" si="59"/>
        <v>14.614227188081937</v>
      </c>
      <c r="I209" s="11">
        <f t="shared" si="60"/>
        <v>0.11384794510822124</v>
      </c>
      <c r="J209" s="33">
        <f t="shared" si="61"/>
        <v>2.1200734657024437E-2</v>
      </c>
      <c r="K209" s="33">
        <f t="shared" si="62"/>
        <v>47.168176772056817</v>
      </c>
      <c r="L209" s="33">
        <f t="shared" si="63"/>
        <v>9.264721045119681E-2</v>
      </c>
      <c r="M209" s="33">
        <f t="shared" si="64"/>
        <v>0.13504867976524568</v>
      </c>
      <c r="N209" s="8">
        <v>0</v>
      </c>
      <c r="O209" s="9">
        <v>1</v>
      </c>
      <c r="P209" s="8">
        <v>0</v>
      </c>
      <c r="Q209" s="9">
        <v>0</v>
      </c>
      <c r="R209" s="9">
        <v>1</v>
      </c>
      <c r="S209" s="9">
        <v>0</v>
      </c>
      <c r="T209" s="9">
        <v>0</v>
      </c>
      <c r="U209" s="8">
        <v>2209</v>
      </c>
      <c r="V209" s="9">
        <v>12</v>
      </c>
      <c r="W209" s="9">
        <f t="shared" si="65"/>
        <v>2196</v>
      </c>
      <c r="X209" s="9">
        <f t="shared" si="66"/>
        <v>48</v>
      </c>
      <c r="Y209" s="7">
        <v>9.8450000000000006</v>
      </c>
      <c r="Z209" s="7">
        <f t="shared" si="54"/>
        <v>24.155000000000001</v>
      </c>
      <c r="AA209" s="9">
        <v>0</v>
      </c>
      <c r="AB209" s="9">
        <v>1</v>
      </c>
      <c r="AC209" s="9">
        <v>0</v>
      </c>
      <c r="AD209" s="9">
        <v>0</v>
      </c>
      <c r="AE209" s="9">
        <v>1</v>
      </c>
      <c r="AF209" s="9">
        <v>0</v>
      </c>
      <c r="AG209" s="8">
        <v>0</v>
      </c>
      <c r="AH209" s="9">
        <v>1</v>
      </c>
      <c r="AI209" s="30">
        <v>0</v>
      </c>
      <c r="AJ209" s="9">
        <v>0</v>
      </c>
      <c r="AK209" s="30">
        <v>1</v>
      </c>
      <c r="AL209" s="21">
        <v>1999</v>
      </c>
      <c r="AM209" s="23">
        <f t="shared" si="67"/>
        <v>7.6004023345003997</v>
      </c>
      <c r="AN209" s="33">
        <f t="shared" si="55"/>
        <v>0.19249999999999998</v>
      </c>
      <c r="AO209" s="33">
        <v>0.28999999999999998</v>
      </c>
      <c r="AP209" s="33">
        <v>0.32500000000000001</v>
      </c>
      <c r="AQ209" s="43">
        <f t="shared" si="56"/>
        <v>0.19249999999999998</v>
      </c>
      <c r="AR209" s="42">
        <v>0.67</v>
      </c>
      <c r="AS209" s="18">
        <v>0.33</v>
      </c>
      <c r="AT209">
        <v>0</v>
      </c>
      <c r="AU209" s="40">
        <f t="shared" si="52"/>
        <v>1</v>
      </c>
      <c r="AV209">
        <v>0.38</v>
      </c>
      <c r="AW209" s="40">
        <v>0.62</v>
      </c>
      <c r="AX209">
        <v>0</v>
      </c>
      <c r="AY209" s="18">
        <v>1</v>
      </c>
      <c r="AZ209">
        <f t="shared" si="5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12</v>
      </c>
      <c r="DB209" s="34"/>
    </row>
    <row r="210" spans="1:106" x14ac:dyDescent="0.25">
      <c r="A210">
        <v>209</v>
      </c>
      <c r="B210">
        <v>16</v>
      </c>
      <c r="C210" s="25" t="s">
        <v>198</v>
      </c>
      <c r="D210" s="12">
        <v>18.43333333333333</v>
      </c>
      <c r="E210" s="14">
        <v>5.3121998078770414</v>
      </c>
      <c r="F210" s="7">
        <v>3.47</v>
      </c>
      <c r="G210" s="7">
        <f t="shared" si="58"/>
        <v>13.121133525456289</v>
      </c>
      <c r="H210" s="16">
        <f t="shared" si="59"/>
        <v>23.745533141210373</v>
      </c>
      <c r="I210" s="11">
        <f t="shared" si="60"/>
        <v>7.3845820103091431E-2</v>
      </c>
      <c r="J210" s="33">
        <f t="shared" si="61"/>
        <v>2.1281216168037877E-2</v>
      </c>
      <c r="K210" s="33">
        <f t="shared" si="62"/>
        <v>46.989795700768909</v>
      </c>
      <c r="L210" s="33">
        <f t="shared" si="63"/>
        <v>5.256460393505355E-2</v>
      </c>
      <c r="M210" s="33">
        <f t="shared" si="64"/>
        <v>9.5127036271129312E-2</v>
      </c>
      <c r="N210" s="8">
        <v>0</v>
      </c>
      <c r="O210" s="9">
        <v>1</v>
      </c>
      <c r="P210" s="8">
        <v>0</v>
      </c>
      <c r="Q210" s="9">
        <v>0</v>
      </c>
      <c r="R210" s="9">
        <v>1</v>
      </c>
      <c r="S210" s="9">
        <v>0</v>
      </c>
      <c r="T210" s="9">
        <v>0</v>
      </c>
      <c r="U210" s="8">
        <v>2209</v>
      </c>
      <c r="V210" s="9">
        <v>12</v>
      </c>
      <c r="W210" s="9">
        <f t="shared" si="65"/>
        <v>2196</v>
      </c>
      <c r="X210" s="9">
        <f t="shared" si="66"/>
        <v>48</v>
      </c>
      <c r="Y210" s="7">
        <v>9.8450000000000006</v>
      </c>
      <c r="Z210" s="7">
        <f t="shared" si="54"/>
        <v>24.155000000000001</v>
      </c>
      <c r="AA210" s="9">
        <v>0</v>
      </c>
      <c r="AB210" s="9">
        <v>1</v>
      </c>
      <c r="AC210" s="9">
        <v>0</v>
      </c>
      <c r="AD210" s="9">
        <v>0</v>
      </c>
      <c r="AE210" s="9">
        <v>1</v>
      </c>
      <c r="AF210" s="9">
        <v>0</v>
      </c>
      <c r="AG210" s="8">
        <v>0</v>
      </c>
      <c r="AH210" s="9">
        <v>1</v>
      </c>
      <c r="AI210" s="30">
        <v>0</v>
      </c>
      <c r="AJ210" s="9">
        <v>0</v>
      </c>
      <c r="AK210" s="30">
        <v>1</v>
      </c>
      <c r="AL210" s="21">
        <v>1999</v>
      </c>
      <c r="AM210" s="23">
        <f t="shared" si="67"/>
        <v>7.6004023345003997</v>
      </c>
      <c r="AN210" s="33">
        <f t="shared" si="55"/>
        <v>0.19249999999999998</v>
      </c>
      <c r="AO210" s="33">
        <v>0.28999999999999998</v>
      </c>
      <c r="AP210" s="33">
        <v>0.32500000000000001</v>
      </c>
      <c r="AQ210" s="43">
        <f t="shared" si="56"/>
        <v>0.19249999999999998</v>
      </c>
      <c r="AR210" s="42">
        <v>0.67</v>
      </c>
      <c r="AS210" s="18">
        <v>0.33</v>
      </c>
      <c r="AT210">
        <v>0</v>
      </c>
      <c r="AU210" s="40">
        <f t="shared" si="52"/>
        <v>1</v>
      </c>
      <c r="AV210">
        <v>0.38</v>
      </c>
      <c r="AW210" s="40">
        <v>0.62</v>
      </c>
      <c r="AX210">
        <v>0</v>
      </c>
      <c r="AY210" s="18">
        <v>1</v>
      </c>
      <c r="AZ210">
        <f t="shared" si="5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12</v>
      </c>
      <c r="DB210" s="34"/>
    </row>
    <row r="211" spans="1:106" x14ac:dyDescent="0.25">
      <c r="A211">
        <v>210</v>
      </c>
      <c r="B211">
        <v>16</v>
      </c>
      <c r="C211" s="25" t="s">
        <v>198</v>
      </c>
      <c r="D211" s="12">
        <v>5</v>
      </c>
      <c r="E211" s="14">
        <v>1.1547344110854501</v>
      </c>
      <c r="F211" s="7">
        <v>4.33</v>
      </c>
      <c r="G211" s="7">
        <f t="shared" si="58"/>
        <v>3.8452655889145499</v>
      </c>
      <c r="H211" s="16">
        <f t="shared" si="59"/>
        <v>6.1547344110854496</v>
      </c>
      <c r="I211" s="11">
        <f t="shared" si="60"/>
        <v>9.1800996606447416E-2</v>
      </c>
      <c r="J211" s="33">
        <f t="shared" si="61"/>
        <v>2.1201153950680698E-2</v>
      </c>
      <c r="K211" s="33">
        <f t="shared" si="62"/>
        <v>47.167243930507539</v>
      </c>
      <c r="L211" s="33">
        <f t="shared" si="63"/>
        <v>7.0599842655766715E-2</v>
      </c>
      <c r="M211" s="33">
        <f t="shared" si="64"/>
        <v>0.11300215055712812</v>
      </c>
      <c r="N211" s="8">
        <v>0</v>
      </c>
      <c r="O211" s="9">
        <v>1</v>
      </c>
      <c r="P211" s="8">
        <v>0</v>
      </c>
      <c r="Q211" s="9">
        <v>0</v>
      </c>
      <c r="R211" s="9">
        <v>1</v>
      </c>
      <c r="S211" s="9">
        <v>0</v>
      </c>
      <c r="T211" s="9">
        <v>0</v>
      </c>
      <c r="U211" s="8">
        <v>2219</v>
      </c>
      <c r="V211" s="9">
        <v>12</v>
      </c>
      <c r="W211" s="9">
        <f t="shared" si="65"/>
        <v>2206</v>
      </c>
      <c r="X211" s="9">
        <f t="shared" si="66"/>
        <v>48</v>
      </c>
      <c r="Y211" s="7">
        <v>9.8450000000000006</v>
      </c>
      <c r="Z211" s="7">
        <f t="shared" si="54"/>
        <v>24.155000000000001</v>
      </c>
      <c r="AA211" s="9">
        <v>0</v>
      </c>
      <c r="AB211" s="9">
        <v>1</v>
      </c>
      <c r="AC211" s="9">
        <v>0</v>
      </c>
      <c r="AD211" s="9">
        <v>0</v>
      </c>
      <c r="AE211" s="9">
        <v>1</v>
      </c>
      <c r="AF211" s="9">
        <v>0</v>
      </c>
      <c r="AG211" s="8">
        <v>0</v>
      </c>
      <c r="AH211" s="9">
        <v>1</v>
      </c>
      <c r="AI211" s="30">
        <v>0</v>
      </c>
      <c r="AJ211" s="9">
        <v>0</v>
      </c>
      <c r="AK211" s="30">
        <v>1</v>
      </c>
      <c r="AL211" s="21">
        <v>1999</v>
      </c>
      <c r="AM211" s="23">
        <f t="shared" si="67"/>
        <v>7.6004023345003997</v>
      </c>
      <c r="AN211" s="33">
        <f t="shared" si="55"/>
        <v>0.19249999999999998</v>
      </c>
      <c r="AO211" s="33">
        <v>0.28999999999999998</v>
      </c>
      <c r="AP211" s="33">
        <v>0.32500000000000001</v>
      </c>
      <c r="AQ211" s="43">
        <f t="shared" si="56"/>
        <v>0.19249999999999998</v>
      </c>
      <c r="AR211" s="42">
        <v>0.67</v>
      </c>
      <c r="AS211" s="18">
        <v>0.33</v>
      </c>
      <c r="AT211">
        <v>0</v>
      </c>
      <c r="AU211" s="40">
        <f t="shared" si="52"/>
        <v>1</v>
      </c>
      <c r="AV211">
        <v>0.38</v>
      </c>
      <c r="AW211" s="40">
        <v>0.62</v>
      </c>
      <c r="AX211">
        <v>0</v>
      </c>
      <c r="AY211" s="18">
        <v>1</v>
      </c>
      <c r="AZ211">
        <f t="shared" si="5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12</v>
      </c>
      <c r="DB211" s="34"/>
    </row>
    <row r="212" spans="1:106" x14ac:dyDescent="0.25">
      <c r="A212">
        <v>211</v>
      </c>
      <c r="B212">
        <v>16</v>
      </c>
      <c r="C212" s="25" t="s">
        <v>198</v>
      </c>
      <c r="D212" s="12">
        <v>4.0500000000000007</v>
      </c>
      <c r="E212" s="14">
        <v>0.62021439509954068</v>
      </c>
      <c r="F212" s="7">
        <v>6.53</v>
      </c>
      <c r="G212" s="7">
        <f t="shared" si="58"/>
        <v>3.4297856049004602</v>
      </c>
      <c r="H212" s="16">
        <f t="shared" si="59"/>
        <v>4.6702143950995412</v>
      </c>
      <c r="I212" s="11">
        <f t="shared" si="60"/>
        <v>0.1377060840526772</v>
      </c>
      <c r="J212" s="33">
        <f t="shared" si="61"/>
        <v>2.1088221141298193E-2</v>
      </c>
      <c r="K212" s="33">
        <f t="shared" si="62"/>
        <v>47.419836566567788</v>
      </c>
      <c r="L212" s="33">
        <f t="shared" si="63"/>
        <v>0.11661786291137902</v>
      </c>
      <c r="M212" s="33">
        <f t="shared" si="64"/>
        <v>0.15879430519397539</v>
      </c>
      <c r="N212" s="8">
        <v>0</v>
      </c>
      <c r="O212" s="9">
        <v>1</v>
      </c>
      <c r="P212" s="8">
        <v>0</v>
      </c>
      <c r="Q212" s="9">
        <v>0</v>
      </c>
      <c r="R212" s="9">
        <v>1</v>
      </c>
      <c r="S212" s="9">
        <v>0</v>
      </c>
      <c r="T212" s="9">
        <v>0</v>
      </c>
      <c r="U212" s="8">
        <v>2219</v>
      </c>
      <c r="V212" s="9">
        <v>12</v>
      </c>
      <c r="W212" s="9">
        <f t="shared" si="65"/>
        <v>2206</v>
      </c>
      <c r="X212" s="9">
        <f t="shared" si="66"/>
        <v>48</v>
      </c>
      <c r="Y212" s="7">
        <v>9.8450000000000006</v>
      </c>
      <c r="Z212" s="7">
        <f t="shared" si="54"/>
        <v>24.155000000000001</v>
      </c>
      <c r="AA212" s="9">
        <v>0</v>
      </c>
      <c r="AB212" s="9">
        <v>1</v>
      </c>
      <c r="AC212" s="9">
        <v>0</v>
      </c>
      <c r="AD212" s="9">
        <v>0</v>
      </c>
      <c r="AE212" s="9">
        <v>1</v>
      </c>
      <c r="AF212" s="9">
        <v>0</v>
      </c>
      <c r="AG212" s="8">
        <v>0</v>
      </c>
      <c r="AH212" s="9">
        <v>1</v>
      </c>
      <c r="AI212" s="30">
        <v>0</v>
      </c>
      <c r="AJ212" s="9">
        <v>0</v>
      </c>
      <c r="AK212" s="30">
        <v>1</v>
      </c>
      <c r="AL212" s="21">
        <v>1999</v>
      </c>
      <c r="AM212" s="23">
        <f t="shared" si="67"/>
        <v>7.6004023345003997</v>
      </c>
      <c r="AN212" s="33">
        <f t="shared" si="55"/>
        <v>0.19249999999999998</v>
      </c>
      <c r="AO212" s="33">
        <v>0.28999999999999998</v>
      </c>
      <c r="AP212" s="33">
        <v>0.32500000000000001</v>
      </c>
      <c r="AQ212" s="43">
        <f t="shared" si="56"/>
        <v>0.19249999999999998</v>
      </c>
      <c r="AR212" s="42">
        <v>0.67</v>
      </c>
      <c r="AS212" s="18">
        <v>0.33</v>
      </c>
      <c r="AT212">
        <v>0</v>
      </c>
      <c r="AU212" s="40">
        <f t="shared" si="52"/>
        <v>1</v>
      </c>
      <c r="AV212">
        <v>0.38</v>
      </c>
      <c r="AW212" s="40">
        <v>0.62</v>
      </c>
      <c r="AX212">
        <v>0</v>
      </c>
      <c r="AY212" s="18">
        <v>1</v>
      </c>
      <c r="AZ212">
        <f t="shared" si="5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12</v>
      </c>
      <c r="DB212" s="34"/>
    </row>
    <row r="213" spans="1:106" x14ac:dyDescent="0.25">
      <c r="A213">
        <v>212</v>
      </c>
      <c r="B213">
        <v>16</v>
      </c>
      <c r="C213" s="25" t="s">
        <v>198</v>
      </c>
      <c r="D213" s="12">
        <v>12.36</v>
      </c>
      <c r="E213" s="14">
        <v>2.2973977695167291</v>
      </c>
      <c r="F213" s="7">
        <v>5.3800000000000008</v>
      </c>
      <c r="G213" s="7">
        <f t="shared" si="58"/>
        <v>10.06260223048327</v>
      </c>
      <c r="H213" s="16">
        <f t="shared" si="59"/>
        <v>14.657397769516729</v>
      </c>
      <c r="I213" s="11">
        <f t="shared" si="60"/>
        <v>0.11380174303938231</v>
      </c>
      <c r="J213" s="33">
        <f t="shared" si="61"/>
        <v>2.1152740341892618E-2</v>
      </c>
      <c r="K213" s="33">
        <f t="shared" si="62"/>
        <v>47.275198571766992</v>
      </c>
      <c r="L213" s="33">
        <f t="shared" si="63"/>
        <v>9.2649002697489699E-2</v>
      </c>
      <c r="M213" s="33">
        <f t="shared" si="64"/>
        <v>0.13495448338127494</v>
      </c>
      <c r="N213" s="8">
        <v>0</v>
      </c>
      <c r="O213" s="9">
        <v>1</v>
      </c>
      <c r="P213" s="8">
        <v>0</v>
      </c>
      <c r="Q213" s="9">
        <v>0</v>
      </c>
      <c r="R213" s="9">
        <v>1</v>
      </c>
      <c r="S213" s="9">
        <v>0</v>
      </c>
      <c r="T213" s="9">
        <v>0</v>
      </c>
      <c r="U213" s="8">
        <v>2219</v>
      </c>
      <c r="V213" s="9">
        <v>12</v>
      </c>
      <c r="W213" s="9">
        <f t="shared" si="65"/>
        <v>2206</v>
      </c>
      <c r="X213" s="9">
        <f t="shared" si="66"/>
        <v>48</v>
      </c>
      <c r="Y213" s="7">
        <v>9.8450000000000006</v>
      </c>
      <c r="Z213" s="7">
        <f t="shared" si="54"/>
        <v>24.155000000000001</v>
      </c>
      <c r="AA213" s="9">
        <v>0</v>
      </c>
      <c r="AB213" s="9">
        <v>1</v>
      </c>
      <c r="AC213" s="9">
        <v>0</v>
      </c>
      <c r="AD213" s="9">
        <v>0</v>
      </c>
      <c r="AE213" s="9">
        <v>1</v>
      </c>
      <c r="AF213" s="9">
        <v>0</v>
      </c>
      <c r="AG213" s="8">
        <v>0</v>
      </c>
      <c r="AH213" s="9">
        <v>1</v>
      </c>
      <c r="AI213" s="30">
        <v>0</v>
      </c>
      <c r="AJ213" s="9">
        <v>0</v>
      </c>
      <c r="AK213" s="30">
        <v>1</v>
      </c>
      <c r="AL213" s="21">
        <v>1999</v>
      </c>
      <c r="AM213" s="23">
        <f t="shared" si="67"/>
        <v>7.6004023345003997</v>
      </c>
      <c r="AN213" s="33">
        <f t="shared" si="55"/>
        <v>0.19249999999999998</v>
      </c>
      <c r="AO213" s="33">
        <v>0.28999999999999998</v>
      </c>
      <c r="AP213" s="33">
        <v>0.32500000000000001</v>
      </c>
      <c r="AQ213" s="43">
        <f t="shared" si="56"/>
        <v>0.19249999999999998</v>
      </c>
      <c r="AR213" s="42">
        <v>0.67</v>
      </c>
      <c r="AS213" s="18">
        <v>0.33</v>
      </c>
      <c r="AT213">
        <v>0</v>
      </c>
      <c r="AU213" s="40">
        <f t="shared" si="52"/>
        <v>1</v>
      </c>
      <c r="AV213">
        <v>0.38</v>
      </c>
      <c r="AW213" s="40">
        <v>0.62</v>
      </c>
      <c r="AX213">
        <v>0</v>
      </c>
      <c r="AY213" s="18">
        <v>1</v>
      </c>
      <c r="AZ213">
        <f t="shared" si="5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12</v>
      </c>
      <c r="DB213" s="34"/>
    </row>
    <row r="214" spans="1:106" x14ac:dyDescent="0.25">
      <c r="A214">
        <v>213</v>
      </c>
      <c r="B214">
        <v>16</v>
      </c>
      <c r="C214" s="25" t="s">
        <v>198</v>
      </c>
      <c r="D214" s="12">
        <v>18.766666666666669</v>
      </c>
      <c r="E214" s="14">
        <v>5.3927203065134099</v>
      </c>
      <c r="F214" s="7">
        <v>3.48</v>
      </c>
      <c r="G214" s="7">
        <f t="shared" si="58"/>
        <v>13.373946360153258</v>
      </c>
      <c r="H214" s="16">
        <f t="shared" si="59"/>
        <v>24.15938697318008</v>
      </c>
      <c r="I214" s="11">
        <f t="shared" si="60"/>
        <v>7.3890339994261867E-2</v>
      </c>
      <c r="J214" s="33">
        <f t="shared" si="61"/>
        <v>2.1232856320190192E-2</v>
      </c>
      <c r="K214" s="33">
        <f t="shared" si="62"/>
        <v>47.096819425519598</v>
      </c>
      <c r="L214" s="33">
        <f t="shared" si="63"/>
        <v>5.2657483674071678E-2</v>
      </c>
      <c r="M214" s="33">
        <f t="shared" si="64"/>
        <v>9.5123196314452055E-2</v>
      </c>
      <c r="N214" s="8">
        <v>0</v>
      </c>
      <c r="O214" s="9">
        <v>1</v>
      </c>
      <c r="P214" s="8">
        <v>0</v>
      </c>
      <c r="Q214" s="9">
        <v>0</v>
      </c>
      <c r="R214" s="9">
        <v>1</v>
      </c>
      <c r="S214" s="9">
        <v>0</v>
      </c>
      <c r="T214" s="9">
        <v>0</v>
      </c>
      <c r="U214" s="8">
        <v>2219</v>
      </c>
      <c r="V214" s="9">
        <v>12</v>
      </c>
      <c r="W214" s="9">
        <f t="shared" si="65"/>
        <v>2206</v>
      </c>
      <c r="X214" s="9">
        <f t="shared" si="66"/>
        <v>48</v>
      </c>
      <c r="Y214" s="7">
        <v>9.8450000000000006</v>
      </c>
      <c r="Z214" s="7">
        <f t="shared" si="54"/>
        <v>24.155000000000001</v>
      </c>
      <c r="AA214" s="9">
        <v>0</v>
      </c>
      <c r="AB214" s="9">
        <v>1</v>
      </c>
      <c r="AC214" s="9">
        <v>0</v>
      </c>
      <c r="AD214" s="9">
        <v>0</v>
      </c>
      <c r="AE214" s="9">
        <v>1</v>
      </c>
      <c r="AF214" s="9">
        <v>0</v>
      </c>
      <c r="AG214" s="8">
        <v>0</v>
      </c>
      <c r="AH214" s="9">
        <v>1</v>
      </c>
      <c r="AI214" s="30">
        <v>0</v>
      </c>
      <c r="AJ214" s="9">
        <v>0</v>
      </c>
      <c r="AK214" s="30">
        <v>1</v>
      </c>
      <c r="AL214" s="21">
        <v>1999</v>
      </c>
      <c r="AM214" s="23">
        <f t="shared" si="67"/>
        <v>7.6004023345003997</v>
      </c>
      <c r="AN214" s="33">
        <f t="shared" si="55"/>
        <v>0.19249999999999998</v>
      </c>
      <c r="AO214" s="33">
        <v>0.28999999999999998</v>
      </c>
      <c r="AP214" s="33">
        <v>0.32500000000000001</v>
      </c>
      <c r="AQ214" s="43">
        <f t="shared" si="56"/>
        <v>0.19249999999999998</v>
      </c>
      <c r="AR214" s="42">
        <v>0.67</v>
      </c>
      <c r="AS214" s="18">
        <v>0.33</v>
      </c>
      <c r="AT214">
        <v>0</v>
      </c>
      <c r="AU214" s="40">
        <f t="shared" si="52"/>
        <v>1</v>
      </c>
      <c r="AV214">
        <v>0.38</v>
      </c>
      <c r="AW214" s="40">
        <v>0.62</v>
      </c>
      <c r="AX214">
        <v>0</v>
      </c>
      <c r="AY214" s="18">
        <v>1</v>
      </c>
      <c r="AZ214">
        <f t="shared" si="5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12</v>
      </c>
      <c r="DB214" s="34"/>
    </row>
    <row r="215" spans="1:106" x14ac:dyDescent="0.25">
      <c r="A215">
        <v>214</v>
      </c>
      <c r="B215">
        <v>16</v>
      </c>
      <c r="C215" s="25" t="s">
        <v>198</v>
      </c>
      <c r="D215" s="12">
        <v>0.1333333333333333</v>
      </c>
      <c r="E215" s="14">
        <v>1.4814814814814821</v>
      </c>
      <c r="F215" s="7">
        <v>0.09</v>
      </c>
      <c r="G215" s="7">
        <f t="shared" si="58"/>
        <v>-1.3481481481481488</v>
      </c>
      <c r="H215" s="16">
        <f t="shared" si="59"/>
        <v>1.6148148148148154</v>
      </c>
      <c r="I215" s="11">
        <f t="shared" si="60"/>
        <v>2.1873233617308667E-3</v>
      </c>
      <c r="J215" s="33">
        <f t="shared" si="61"/>
        <v>2.4303592908120744E-2</v>
      </c>
      <c r="K215" s="33">
        <f t="shared" si="62"/>
        <v>41.146179652550977</v>
      </c>
      <c r="L215" s="33">
        <f t="shared" si="63"/>
        <v>-2.2116269546389879E-2</v>
      </c>
      <c r="M215" s="33">
        <f t="shared" si="64"/>
        <v>2.649091626985161E-2</v>
      </c>
      <c r="N215" s="8">
        <v>0</v>
      </c>
      <c r="O215" s="9">
        <v>1</v>
      </c>
      <c r="P215" s="8">
        <v>0</v>
      </c>
      <c r="Q215" s="9">
        <v>0</v>
      </c>
      <c r="R215" s="9">
        <v>1</v>
      </c>
      <c r="S215" s="9">
        <v>0</v>
      </c>
      <c r="T215" s="9">
        <v>0</v>
      </c>
      <c r="U215" s="8">
        <v>1706</v>
      </c>
      <c r="V215" s="9">
        <v>12</v>
      </c>
      <c r="W215" s="9">
        <f t="shared" si="65"/>
        <v>1693</v>
      </c>
      <c r="X215" s="9">
        <f t="shared" si="66"/>
        <v>48</v>
      </c>
      <c r="Y215" s="7">
        <v>10.525</v>
      </c>
      <c r="Z215" s="7">
        <f t="shared" si="54"/>
        <v>23.475000000000001</v>
      </c>
      <c r="AA215" s="9">
        <v>0</v>
      </c>
      <c r="AB215" s="9">
        <v>1</v>
      </c>
      <c r="AC215" s="9">
        <v>0</v>
      </c>
      <c r="AD215" s="9">
        <v>0</v>
      </c>
      <c r="AE215" s="9">
        <v>1</v>
      </c>
      <c r="AF215" s="9">
        <v>0</v>
      </c>
      <c r="AG215" s="8">
        <v>0</v>
      </c>
      <c r="AH215" s="9">
        <v>1</v>
      </c>
      <c r="AI215" s="30">
        <v>0</v>
      </c>
      <c r="AJ215" s="9">
        <v>0</v>
      </c>
      <c r="AK215" s="30">
        <v>1</v>
      </c>
      <c r="AL215" s="21">
        <v>1999</v>
      </c>
      <c r="AM215" s="23">
        <f t="shared" si="67"/>
        <v>7.6004023345003997</v>
      </c>
      <c r="AN215" s="33">
        <v>0.12</v>
      </c>
      <c r="AO215" s="33">
        <v>0.23</v>
      </c>
      <c r="AP215" s="33">
        <v>0.53</v>
      </c>
      <c r="AQ215" s="43">
        <v>0.12</v>
      </c>
      <c r="AR215" s="42">
        <v>0.67</v>
      </c>
      <c r="AS215" s="18">
        <v>0.33</v>
      </c>
      <c r="AT215">
        <v>1</v>
      </c>
      <c r="AU215" s="40">
        <f t="shared" si="52"/>
        <v>0</v>
      </c>
      <c r="AV215">
        <v>0.31</v>
      </c>
      <c r="AW215" s="40">
        <v>0.69</v>
      </c>
      <c r="AX215">
        <v>0</v>
      </c>
      <c r="AY215" s="18">
        <v>1</v>
      </c>
      <c r="AZ215">
        <f t="shared" si="5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12</v>
      </c>
      <c r="DB215" s="34"/>
    </row>
    <row r="216" spans="1:106" x14ac:dyDescent="0.25">
      <c r="A216">
        <v>215</v>
      </c>
      <c r="B216">
        <v>16</v>
      </c>
      <c r="C216" s="25" t="s">
        <v>198</v>
      </c>
      <c r="D216" s="12">
        <v>5.3</v>
      </c>
      <c r="E216" s="14">
        <v>1.9202898550724641</v>
      </c>
      <c r="F216" s="7">
        <v>2.76</v>
      </c>
      <c r="G216" s="7">
        <f t="shared" si="58"/>
        <v>3.379710144927536</v>
      </c>
      <c r="H216" s="16">
        <f t="shared" si="59"/>
        <v>7.2202898550724637</v>
      </c>
      <c r="I216" s="11">
        <f t="shared" si="60"/>
        <v>6.692767639841693E-2</v>
      </c>
      <c r="J216" s="33">
        <f t="shared" si="61"/>
        <v>2.4249158115368458E-2</v>
      </c>
      <c r="K216" s="33">
        <f t="shared" si="62"/>
        <v>41.238545076178426</v>
      </c>
      <c r="L216" s="33">
        <f t="shared" si="63"/>
        <v>4.2678518283048472E-2</v>
      </c>
      <c r="M216" s="33">
        <f t="shared" si="64"/>
        <v>9.1176834513785388E-2</v>
      </c>
      <c r="N216" s="8">
        <v>0</v>
      </c>
      <c r="O216" s="9">
        <v>1</v>
      </c>
      <c r="P216" s="8">
        <v>0</v>
      </c>
      <c r="Q216" s="9">
        <v>0</v>
      </c>
      <c r="R216" s="9">
        <v>1</v>
      </c>
      <c r="S216" s="9">
        <v>0</v>
      </c>
      <c r="T216" s="9">
        <v>0</v>
      </c>
      <c r="U216" s="8">
        <v>1706</v>
      </c>
      <c r="V216" s="9">
        <v>12</v>
      </c>
      <c r="W216" s="9">
        <f t="shared" si="65"/>
        <v>1693</v>
      </c>
      <c r="X216" s="9">
        <f t="shared" si="66"/>
        <v>48</v>
      </c>
      <c r="Y216" s="7">
        <v>10.525</v>
      </c>
      <c r="Z216" s="7">
        <f t="shared" si="54"/>
        <v>23.475000000000001</v>
      </c>
      <c r="AA216" s="9">
        <v>0</v>
      </c>
      <c r="AB216" s="9">
        <v>1</v>
      </c>
      <c r="AC216" s="9">
        <v>0</v>
      </c>
      <c r="AD216" s="9">
        <v>0</v>
      </c>
      <c r="AE216" s="9">
        <v>1</v>
      </c>
      <c r="AF216" s="9">
        <v>0</v>
      </c>
      <c r="AG216" s="8">
        <v>0</v>
      </c>
      <c r="AH216" s="9">
        <v>1</v>
      </c>
      <c r="AI216" s="30">
        <v>0</v>
      </c>
      <c r="AJ216" s="9">
        <v>0</v>
      </c>
      <c r="AK216" s="30">
        <v>1</v>
      </c>
      <c r="AL216" s="21">
        <v>1999</v>
      </c>
      <c r="AM216" s="23">
        <f t="shared" si="67"/>
        <v>7.6004023345003997</v>
      </c>
      <c r="AN216" s="33">
        <v>0.12</v>
      </c>
      <c r="AO216" s="33">
        <v>0.23</v>
      </c>
      <c r="AP216" s="33">
        <v>0.53</v>
      </c>
      <c r="AQ216" s="43">
        <v>0.12</v>
      </c>
      <c r="AR216" s="42">
        <v>0.67</v>
      </c>
      <c r="AS216" s="18">
        <v>0.33</v>
      </c>
      <c r="AT216">
        <v>1</v>
      </c>
      <c r="AU216" s="40">
        <f t="shared" si="52"/>
        <v>0</v>
      </c>
      <c r="AV216">
        <v>0.31</v>
      </c>
      <c r="AW216" s="40">
        <v>0.69</v>
      </c>
      <c r="AX216">
        <v>0</v>
      </c>
      <c r="AY216" s="18">
        <v>1</v>
      </c>
      <c r="AZ216">
        <f t="shared" si="5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12</v>
      </c>
      <c r="DB216" s="34"/>
    </row>
    <row r="217" spans="1:106" x14ac:dyDescent="0.25">
      <c r="A217">
        <v>216</v>
      </c>
      <c r="B217">
        <v>16</v>
      </c>
      <c r="C217" s="25" t="s">
        <v>198</v>
      </c>
      <c r="D217" s="12">
        <v>5.4200000000000008</v>
      </c>
      <c r="E217" s="14">
        <v>1.5485714285714289</v>
      </c>
      <c r="F217" s="7">
        <v>3.5</v>
      </c>
      <c r="G217" s="7">
        <f t="shared" si="58"/>
        <v>3.8714285714285719</v>
      </c>
      <c r="H217" s="16">
        <f t="shared" si="59"/>
        <v>6.9685714285714297</v>
      </c>
      <c r="I217" s="11">
        <f t="shared" si="60"/>
        <v>8.4756695340678367E-2</v>
      </c>
      <c r="J217" s="33">
        <f t="shared" si="61"/>
        <v>2.4216198668765246E-2</v>
      </c>
      <c r="K217" s="33">
        <f t="shared" si="62"/>
        <v>41.294672779911942</v>
      </c>
      <c r="L217" s="33">
        <f t="shared" si="63"/>
        <v>6.0540496671913122E-2</v>
      </c>
      <c r="M217" s="33">
        <f t="shared" si="64"/>
        <v>0.10897289400944361</v>
      </c>
      <c r="N217" s="8">
        <v>0</v>
      </c>
      <c r="O217" s="9">
        <v>1</v>
      </c>
      <c r="P217" s="8">
        <v>0</v>
      </c>
      <c r="Q217" s="9">
        <v>0</v>
      </c>
      <c r="R217" s="9">
        <v>1</v>
      </c>
      <c r="S217" s="9">
        <v>0</v>
      </c>
      <c r="T217" s="9">
        <v>0</v>
      </c>
      <c r="U217" s="8">
        <v>1706</v>
      </c>
      <c r="V217" s="9">
        <v>12</v>
      </c>
      <c r="W217" s="9">
        <f t="shared" si="65"/>
        <v>1693</v>
      </c>
      <c r="X217" s="9">
        <f t="shared" si="66"/>
        <v>48</v>
      </c>
      <c r="Y217" s="7">
        <v>10.525</v>
      </c>
      <c r="Z217" s="7">
        <f t="shared" si="54"/>
        <v>23.475000000000001</v>
      </c>
      <c r="AA217" s="9">
        <v>0</v>
      </c>
      <c r="AB217" s="9">
        <v>1</v>
      </c>
      <c r="AC217" s="9">
        <v>0</v>
      </c>
      <c r="AD217" s="9">
        <v>0</v>
      </c>
      <c r="AE217" s="9">
        <v>1</v>
      </c>
      <c r="AF217" s="9">
        <v>0</v>
      </c>
      <c r="AG217" s="8">
        <v>0</v>
      </c>
      <c r="AH217" s="9">
        <v>1</v>
      </c>
      <c r="AI217" s="30">
        <v>0</v>
      </c>
      <c r="AJ217" s="9">
        <v>0</v>
      </c>
      <c r="AK217" s="30">
        <v>1</v>
      </c>
      <c r="AL217" s="21">
        <v>1999</v>
      </c>
      <c r="AM217" s="23">
        <f t="shared" si="67"/>
        <v>7.6004023345003997</v>
      </c>
      <c r="AN217" s="33">
        <v>0.12</v>
      </c>
      <c r="AO217" s="33">
        <v>0.23</v>
      </c>
      <c r="AP217" s="33">
        <v>0.53</v>
      </c>
      <c r="AQ217" s="43">
        <v>0.12</v>
      </c>
      <c r="AR217" s="42">
        <v>0.67</v>
      </c>
      <c r="AS217" s="18">
        <v>0.33</v>
      </c>
      <c r="AT217">
        <v>1</v>
      </c>
      <c r="AU217" s="40">
        <f t="shared" si="52"/>
        <v>0</v>
      </c>
      <c r="AV217">
        <v>0.31</v>
      </c>
      <c r="AW217" s="40">
        <v>0.69</v>
      </c>
      <c r="AX217">
        <v>0</v>
      </c>
      <c r="AY217" s="18">
        <v>1</v>
      </c>
      <c r="AZ217">
        <f t="shared" si="5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12</v>
      </c>
      <c r="DB217" s="34"/>
    </row>
    <row r="218" spans="1:106" x14ac:dyDescent="0.25">
      <c r="A218">
        <v>217</v>
      </c>
      <c r="B218">
        <v>16</v>
      </c>
      <c r="C218" s="25" t="s">
        <v>198</v>
      </c>
      <c r="D218" s="12">
        <v>18</v>
      </c>
      <c r="E218" s="14">
        <v>4.2452830188679256</v>
      </c>
      <c r="F218" s="7">
        <v>4.24</v>
      </c>
      <c r="G218" s="7">
        <f t="shared" si="58"/>
        <v>13.754716981132074</v>
      </c>
      <c r="H218" s="16">
        <f t="shared" si="59"/>
        <v>22.245283018867926</v>
      </c>
      <c r="I218" s="11">
        <f t="shared" si="60"/>
        <v>0.10250468011579229</v>
      </c>
      <c r="J218" s="33">
        <f t="shared" si="61"/>
        <v>2.4175632102781199E-2</v>
      </c>
      <c r="K218" s="33">
        <f t="shared" si="62"/>
        <v>41.363964993699526</v>
      </c>
      <c r="L218" s="33">
        <f t="shared" si="63"/>
        <v>7.8329048013011091E-2</v>
      </c>
      <c r="M218" s="33">
        <f t="shared" si="64"/>
        <v>0.12668031221857348</v>
      </c>
      <c r="N218" s="8">
        <v>0</v>
      </c>
      <c r="O218" s="9">
        <v>1</v>
      </c>
      <c r="P218" s="8">
        <v>0</v>
      </c>
      <c r="Q218" s="9">
        <v>0</v>
      </c>
      <c r="R218" s="9">
        <v>1</v>
      </c>
      <c r="S218" s="9">
        <v>0</v>
      </c>
      <c r="T218" s="9">
        <v>0</v>
      </c>
      <c r="U218" s="8">
        <v>1706</v>
      </c>
      <c r="V218" s="9">
        <v>12</v>
      </c>
      <c r="W218" s="9">
        <f t="shared" si="65"/>
        <v>1693</v>
      </c>
      <c r="X218" s="9">
        <f t="shared" si="66"/>
        <v>48</v>
      </c>
      <c r="Y218" s="7">
        <v>10.525</v>
      </c>
      <c r="Z218" s="7">
        <f t="shared" si="54"/>
        <v>23.475000000000001</v>
      </c>
      <c r="AA218" s="9">
        <v>0</v>
      </c>
      <c r="AB218" s="9">
        <v>1</v>
      </c>
      <c r="AC218" s="9">
        <v>0</v>
      </c>
      <c r="AD218" s="9">
        <v>0</v>
      </c>
      <c r="AE218" s="9">
        <v>1</v>
      </c>
      <c r="AF218" s="9">
        <v>0</v>
      </c>
      <c r="AG218" s="8">
        <v>0</v>
      </c>
      <c r="AH218" s="9">
        <v>1</v>
      </c>
      <c r="AI218" s="30">
        <v>0</v>
      </c>
      <c r="AJ218" s="9">
        <v>0</v>
      </c>
      <c r="AK218" s="30">
        <v>1</v>
      </c>
      <c r="AL218" s="21">
        <v>1999</v>
      </c>
      <c r="AM218" s="23">
        <f t="shared" si="67"/>
        <v>7.6004023345003997</v>
      </c>
      <c r="AN218" s="33">
        <v>0.12</v>
      </c>
      <c r="AO218" s="33">
        <v>0.23</v>
      </c>
      <c r="AP218" s="33">
        <v>0.53</v>
      </c>
      <c r="AQ218" s="43">
        <v>0.12</v>
      </c>
      <c r="AR218" s="42">
        <v>0.67</v>
      </c>
      <c r="AS218" s="18">
        <v>0.33</v>
      </c>
      <c r="AT218">
        <v>1</v>
      </c>
      <c r="AU218" s="40">
        <f t="shared" si="52"/>
        <v>0</v>
      </c>
      <c r="AV218">
        <v>0.31</v>
      </c>
      <c r="AW218" s="40">
        <v>0.69</v>
      </c>
      <c r="AX218">
        <v>0</v>
      </c>
      <c r="AY218" s="18">
        <v>1</v>
      </c>
      <c r="AZ218">
        <f t="shared" si="5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12</v>
      </c>
      <c r="DB218" s="34"/>
    </row>
    <row r="219" spans="1:106" x14ac:dyDescent="0.25">
      <c r="A219">
        <v>218</v>
      </c>
      <c r="B219">
        <v>16</v>
      </c>
      <c r="C219" s="25" t="s">
        <v>198</v>
      </c>
      <c r="D219" s="12">
        <v>0.55000000000000004</v>
      </c>
      <c r="E219" s="14">
        <v>1.4473684210526321</v>
      </c>
      <c r="F219" s="7">
        <v>0.38</v>
      </c>
      <c r="G219" s="7">
        <f t="shared" si="58"/>
        <v>-0.89736842105263204</v>
      </c>
      <c r="H219" s="16">
        <f t="shared" si="59"/>
        <v>1.9973684210526321</v>
      </c>
      <c r="I219" s="11">
        <f t="shared" si="60"/>
        <v>9.2132532004612858E-3</v>
      </c>
      <c r="J219" s="33">
        <f t="shared" si="61"/>
        <v>2.4245403159108649E-2</v>
      </c>
      <c r="K219" s="33">
        <f t="shared" si="62"/>
        <v>41.244931809859985</v>
      </c>
      <c r="L219" s="33">
        <f t="shared" si="63"/>
        <v>-1.5032149958647363E-2</v>
      </c>
      <c r="M219" s="33">
        <f t="shared" si="64"/>
        <v>3.3458656359569933E-2</v>
      </c>
      <c r="N219" s="8">
        <v>0</v>
      </c>
      <c r="O219" s="9">
        <v>1</v>
      </c>
      <c r="P219" s="8">
        <v>0</v>
      </c>
      <c r="Q219" s="9">
        <v>0</v>
      </c>
      <c r="R219" s="9">
        <v>1</v>
      </c>
      <c r="S219" s="9">
        <v>0</v>
      </c>
      <c r="T219" s="9">
        <v>0</v>
      </c>
      <c r="U219" s="8">
        <v>1714</v>
      </c>
      <c r="V219" s="9">
        <v>12</v>
      </c>
      <c r="W219" s="9">
        <f t="shared" si="65"/>
        <v>1701</v>
      </c>
      <c r="X219" s="9">
        <f t="shared" si="66"/>
        <v>48</v>
      </c>
      <c r="Y219" s="7">
        <v>10.525</v>
      </c>
      <c r="Z219" s="7">
        <f t="shared" si="54"/>
        <v>23.475000000000001</v>
      </c>
      <c r="AA219" s="9">
        <v>0</v>
      </c>
      <c r="AB219" s="9">
        <v>1</v>
      </c>
      <c r="AC219" s="9">
        <v>0</v>
      </c>
      <c r="AD219" s="9">
        <v>0</v>
      </c>
      <c r="AE219" s="9">
        <v>1</v>
      </c>
      <c r="AF219" s="9">
        <v>0</v>
      </c>
      <c r="AG219" s="8">
        <v>0</v>
      </c>
      <c r="AH219" s="9">
        <v>1</v>
      </c>
      <c r="AI219" s="30">
        <v>0</v>
      </c>
      <c r="AJ219" s="9">
        <v>0</v>
      </c>
      <c r="AK219" s="30">
        <v>1</v>
      </c>
      <c r="AL219" s="21">
        <v>1999</v>
      </c>
      <c r="AM219" s="23">
        <f t="shared" si="67"/>
        <v>7.6004023345003997</v>
      </c>
      <c r="AN219" s="33">
        <v>0.12</v>
      </c>
      <c r="AO219" s="33">
        <v>0.23</v>
      </c>
      <c r="AP219" s="33">
        <v>0.53</v>
      </c>
      <c r="AQ219" s="43">
        <v>0.12</v>
      </c>
      <c r="AR219" s="42">
        <v>0.67</v>
      </c>
      <c r="AS219" s="18">
        <v>0.33</v>
      </c>
      <c r="AT219">
        <v>1</v>
      </c>
      <c r="AU219" s="40">
        <f t="shared" ref="AU219:AU223" si="68">1-AT219</f>
        <v>0</v>
      </c>
      <c r="AV219">
        <v>0.31</v>
      </c>
      <c r="AW219" s="40">
        <v>0.69</v>
      </c>
      <c r="AX219">
        <v>0</v>
      </c>
      <c r="AY219" s="18">
        <v>1</v>
      </c>
      <c r="AZ219">
        <f t="shared" si="5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12</v>
      </c>
      <c r="DB219" s="34"/>
    </row>
    <row r="220" spans="1:106" x14ac:dyDescent="0.25">
      <c r="A220">
        <v>219</v>
      </c>
      <c r="B220">
        <v>16</v>
      </c>
      <c r="C220" s="25" t="s">
        <v>198</v>
      </c>
      <c r="D220" s="12">
        <v>5.55</v>
      </c>
      <c r="E220" s="14">
        <v>1.7076923076923081</v>
      </c>
      <c r="F220" s="7">
        <v>3.25</v>
      </c>
      <c r="G220" s="7">
        <f t="shared" si="58"/>
        <v>3.842307692307692</v>
      </c>
      <c r="H220" s="16">
        <f t="shared" si="59"/>
        <v>7.2576923076923077</v>
      </c>
      <c r="I220" s="11">
        <f t="shared" si="60"/>
        <v>7.8557378008585005E-2</v>
      </c>
      <c r="J220" s="33">
        <f t="shared" si="61"/>
        <v>2.4171500925718459E-2</v>
      </c>
      <c r="K220" s="33">
        <f t="shared" si="62"/>
        <v>41.371034553175008</v>
      </c>
      <c r="L220" s="33">
        <f t="shared" si="63"/>
        <v>5.4385877082866546E-2</v>
      </c>
      <c r="M220" s="33">
        <f t="shared" si="64"/>
        <v>0.10272887893430346</v>
      </c>
      <c r="N220" s="8">
        <v>0</v>
      </c>
      <c r="O220" s="9">
        <v>1</v>
      </c>
      <c r="P220" s="8">
        <v>0</v>
      </c>
      <c r="Q220" s="9">
        <v>0</v>
      </c>
      <c r="R220" s="9">
        <v>1</v>
      </c>
      <c r="S220" s="9">
        <v>0</v>
      </c>
      <c r="T220" s="9">
        <v>0</v>
      </c>
      <c r="U220" s="8">
        <v>1714</v>
      </c>
      <c r="V220" s="9">
        <v>12</v>
      </c>
      <c r="W220" s="9">
        <f t="shared" si="65"/>
        <v>1701</v>
      </c>
      <c r="X220" s="9">
        <f t="shared" si="66"/>
        <v>48</v>
      </c>
      <c r="Y220" s="7">
        <v>10.525</v>
      </c>
      <c r="Z220" s="7">
        <f t="shared" si="54"/>
        <v>23.475000000000001</v>
      </c>
      <c r="AA220" s="9">
        <v>0</v>
      </c>
      <c r="AB220" s="9">
        <v>1</v>
      </c>
      <c r="AC220" s="9">
        <v>0</v>
      </c>
      <c r="AD220" s="9">
        <v>0</v>
      </c>
      <c r="AE220" s="9">
        <v>1</v>
      </c>
      <c r="AF220" s="9">
        <v>0</v>
      </c>
      <c r="AG220" s="8">
        <v>0</v>
      </c>
      <c r="AH220" s="9">
        <v>1</v>
      </c>
      <c r="AI220" s="30">
        <v>0</v>
      </c>
      <c r="AJ220" s="9">
        <v>0</v>
      </c>
      <c r="AK220" s="30">
        <v>1</v>
      </c>
      <c r="AL220" s="21">
        <v>1999</v>
      </c>
      <c r="AM220" s="23">
        <f t="shared" si="67"/>
        <v>7.6004023345003997</v>
      </c>
      <c r="AN220" s="33">
        <v>0.12</v>
      </c>
      <c r="AO220" s="33">
        <v>0.23</v>
      </c>
      <c r="AP220" s="33">
        <v>0.53</v>
      </c>
      <c r="AQ220" s="43">
        <v>0.12</v>
      </c>
      <c r="AR220" s="42">
        <v>0.67</v>
      </c>
      <c r="AS220" s="18">
        <v>0.33</v>
      </c>
      <c r="AT220">
        <v>1</v>
      </c>
      <c r="AU220" s="40">
        <f t="shared" si="68"/>
        <v>0</v>
      </c>
      <c r="AV220">
        <v>0.31</v>
      </c>
      <c r="AW220" s="40">
        <v>0.69</v>
      </c>
      <c r="AX220">
        <v>0</v>
      </c>
      <c r="AY220" s="18">
        <v>1</v>
      </c>
      <c r="AZ220">
        <f t="shared" si="5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12</v>
      </c>
      <c r="DB220" s="34"/>
    </row>
    <row r="221" spans="1:106" x14ac:dyDescent="0.25">
      <c r="A221">
        <v>220</v>
      </c>
      <c r="B221">
        <v>16</v>
      </c>
      <c r="C221" s="25" t="s">
        <v>198</v>
      </c>
      <c r="D221" s="12">
        <v>5.7000000000000011</v>
      </c>
      <c r="E221" s="14">
        <v>1.4578005115089521</v>
      </c>
      <c r="F221" s="7">
        <v>3.91</v>
      </c>
      <c r="G221" s="7">
        <f t="shared" si="58"/>
        <v>4.2421994884910488</v>
      </c>
      <c r="H221" s="16">
        <f t="shared" si="59"/>
        <v>7.1578005115089534</v>
      </c>
      <c r="I221" s="11">
        <f t="shared" si="60"/>
        <v>9.4380366995624174E-2</v>
      </c>
      <c r="J221" s="33">
        <f t="shared" si="61"/>
        <v>2.4138201277653239E-2</v>
      </c>
      <c r="K221" s="33">
        <f t="shared" si="62"/>
        <v>41.428107608241049</v>
      </c>
      <c r="L221" s="33">
        <f t="shared" si="63"/>
        <v>7.0242165717970928E-2</v>
      </c>
      <c r="M221" s="33">
        <f t="shared" si="64"/>
        <v>0.11851856827327742</v>
      </c>
      <c r="N221" s="8">
        <v>0</v>
      </c>
      <c r="O221" s="9">
        <v>1</v>
      </c>
      <c r="P221" s="8">
        <v>0</v>
      </c>
      <c r="Q221" s="9">
        <v>0</v>
      </c>
      <c r="R221" s="9">
        <v>1</v>
      </c>
      <c r="S221" s="9">
        <v>0</v>
      </c>
      <c r="T221" s="9">
        <v>0</v>
      </c>
      <c r="U221" s="8">
        <v>1714</v>
      </c>
      <c r="V221" s="9">
        <v>12</v>
      </c>
      <c r="W221" s="9">
        <f t="shared" si="65"/>
        <v>1701</v>
      </c>
      <c r="X221" s="9">
        <f t="shared" si="66"/>
        <v>48</v>
      </c>
      <c r="Y221" s="7">
        <v>10.525</v>
      </c>
      <c r="Z221" s="7">
        <f t="shared" si="54"/>
        <v>23.475000000000001</v>
      </c>
      <c r="AA221" s="9">
        <v>0</v>
      </c>
      <c r="AB221" s="9">
        <v>1</v>
      </c>
      <c r="AC221" s="9">
        <v>0</v>
      </c>
      <c r="AD221" s="9">
        <v>0</v>
      </c>
      <c r="AE221" s="9">
        <v>1</v>
      </c>
      <c r="AF221" s="9">
        <v>0</v>
      </c>
      <c r="AG221" s="8">
        <v>0</v>
      </c>
      <c r="AH221" s="9">
        <v>1</v>
      </c>
      <c r="AI221" s="30">
        <v>0</v>
      </c>
      <c r="AJ221" s="9">
        <v>0</v>
      </c>
      <c r="AK221" s="30">
        <v>1</v>
      </c>
      <c r="AL221" s="21">
        <v>1999</v>
      </c>
      <c r="AM221" s="23">
        <f t="shared" si="67"/>
        <v>7.6004023345003997</v>
      </c>
      <c r="AN221" s="33">
        <v>0.12</v>
      </c>
      <c r="AO221" s="33">
        <v>0.23</v>
      </c>
      <c r="AP221" s="33">
        <v>0.53</v>
      </c>
      <c r="AQ221" s="43">
        <v>0.12</v>
      </c>
      <c r="AR221" s="42">
        <v>0.67</v>
      </c>
      <c r="AS221" s="18">
        <v>0.33</v>
      </c>
      <c r="AT221">
        <v>1</v>
      </c>
      <c r="AU221" s="40">
        <f t="shared" si="68"/>
        <v>0</v>
      </c>
      <c r="AV221">
        <v>0.31</v>
      </c>
      <c r="AW221" s="40">
        <v>0.69</v>
      </c>
      <c r="AX221">
        <v>0</v>
      </c>
      <c r="AY221" s="18">
        <v>1</v>
      </c>
      <c r="AZ221">
        <f t="shared" si="5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12</v>
      </c>
      <c r="DB221" s="34"/>
    </row>
    <row r="222" spans="1:106" s="51" customFormat="1" x14ac:dyDescent="0.25">
      <c r="A222" s="51">
        <v>221</v>
      </c>
      <c r="B222" s="51">
        <v>16</v>
      </c>
      <c r="C222" s="52" t="s">
        <v>198</v>
      </c>
      <c r="D222" s="53">
        <v>18.233333333333331</v>
      </c>
      <c r="E222" s="54">
        <v>4.115876598946576</v>
      </c>
      <c r="F222" s="55">
        <v>4.43</v>
      </c>
      <c r="G222" s="55">
        <f t="shared" si="58"/>
        <v>14.117456734386755</v>
      </c>
      <c r="H222" s="56">
        <f t="shared" si="59"/>
        <v>22.349209932279905</v>
      </c>
      <c r="I222" s="57">
        <f t="shared" si="60"/>
        <v>0.10679738638220909</v>
      </c>
      <c r="J222" s="58">
        <f t="shared" si="61"/>
        <v>2.4107762163026882E-2</v>
      </c>
      <c r="K222" s="58">
        <f t="shared" si="62"/>
        <v>41.480415860981921</v>
      </c>
      <c r="L222" s="58">
        <f t="shared" si="63"/>
        <v>8.2689624219182217E-2</v>
      </c>
      <c r="M222" s="58">
        <f t="shared" si="64"/>
        <v>0.13090514854523597</v>
      </c>
      <c r="N222" s="59">
        <v>0</v>
      </c>
      <c r="O222" s="60">
        <v>1</v>
      </c>
      <c r="P222" s="59">
        <v>0</v>
      </c>
      <c r="Q222" s="60">
        <v>0</v>
      </c>
      <c r="R222" s="60">
        <v>1</v>
      </c>
      <c r="S222" s="60">
        <v>0</v>
      </c>
      <c r="T222" s="60">
        <v>0</v>
      </c>
      <c r="U222" s="59">
        <v>1714</v>
      </c>
      <c r="V222" s="60">
        <v>12</v>
      </c>
      <c r="W222" s="60">
        <f t="shared" si="65"/>
        <v>1701</v>
      </c>
      <c r="X222" s="60">
        <f t="shared" si="66"/>
        <v>48</v>
      </c>
      <c r="Y222" s="55">
        <v>10.525</v>
      </c>
      <c r="Z222" s="55">
        <f t="shared" si="54"/>
        <v>23.475000000000001</v>
      </c>
      <c r="AA222" s="60">
        <v>0</v>
      </c>
      <c r="AB222" s="60">
        <v>1</v>
      </c>
      <c r="AC222" s="60">
        <v>0</v>
      </c>
      <c r="AD222" s="60">
        <v>0</v>
      </c>
      <c r="AE222" s="60">
        <v>1</v>
      </c>
      <c r="AF222" s="60">
        <v>0</v>
      </c>
      <c r="AG222" s="59">
        <v>0</v>
      </c>
      <c r="AH222" s="60">
        <v>1</v>
      </c>
      <c r="AI222" s="61">
        <v>0</v>
      </c>
      <c r="AJ222" s="60">
        <v>0</v>
      </c>
      <c r="AK222" s="61">
        <v>1</v>
      </c>
      <c r="AL222" s="62">
        <v>1999</v>
      </c>
      <c r="AM222" s="63">
        <f t="shared" si="67"/>
        <v>7.6004023345003997</v>
      </c>
      <c r="AN222" s="58">
        <v>0.12</v>
      </c>
      <c r="AO222" s="58">
        <v>0.23</v>
      </c>
      <c r="AP222" s="58">
        <v>0.53</v>
      </c>
      <c r="AQ222" s="64">
        <v>0.12</v>
      </c>
      <c r="AR222" s="65">
        <v>0.67</v>
      </c>
      <c r="AS222" s="66">
        <v>0.33</v>
      </c>
      <c r="AT222" s="51">
        <v>1</v>
      </c>
      <c r="AU222" s="67">
        <f t="shared" si="68"/>
        <v>0</v>
      </c>
      <c r="AV222" s="51">
        <v>0.31</v>
      </c>
      <c r="AW222" s="67">
        <v>0.69</v>
      </c>
      <c r="AX222">
        <v>0</v>
      </c>
      <c r="AY222" s="66">
        <v>1</v>
      </c>
      <c r="AZ222" s="51">
        <f t="shared" si="5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12</v>
      </c>
      <c r="CW222" s="68"/>
      <c r="DB222" s="68"/>
    </row>
    <row r="223" spans="1:106" x14ac:dyDescent="0.25">
      <c r="A223">
        <v>222</v>
      </c>
      <c r="B223">
        <v>17</v>
      </c>
      <c r="C223" s="79" t="s">
        <v>218</v>
      </c>
      <c r="D223" s="12">
        <v>8.8000000000000007</v>
      </c>
      <c r="E223" s="14">
        <f t="shared" ref="E223:E230" si="69">D223/F223</f>
        <v>4.1006523765144458E-2</v>
      </c>
      <c r="F223" s="7">
        <v>214.6</v>
      </c>
      <c r="G223" s="7">
        <f t="shared" si="58"/>
        <v>8.7589934762348562</v>
      </c>
      <c r="H223" s="16">
        <f t="shared" si="59"/>
        <v>8.8410065237651452</v>
      </c>
      <c r="I223" s="11">
        <f t="shared" si="60"/>
        <v>0.56729789934477026</v>
      </c>
      <c r="J223" s="33">
        <f t="shared" si="61"/>
        <v>2.6435130444770285E-3</v>
      </c>
      <c r="K223" s="33">
        <f t="shared" si="62"/>
        <v>378.28449611370542</v>
      </c>
      <c r="L223" s="33">
        <f t="shared" si="63"/>
        <v>0.56465438630029319</v>
      </c>
      <c r="M223" s="33">
        <f t="shared" si="64"/>
        <v>0.56994141238924734</v>
      </c>
      <c r="N223" s="8">
        <v>1</v>
      </c>
      <c r="O223" s="9">
        <v>0</v>
      </c>
      <c r="P223" s="8">
        <v>0</v>
      </c>
      <c r="Q223" s="9">
        <v>0</v>
      </c>
      <c r="R223" s="9">
        <v>0</v>
      </c>
      <c r="S223" s="9">
        <v>1</v>
      </c>
      <c r="T223" s="9">
        <v>0</v>
      </c>
      <c r="U223" s="8">
        <v>97050</v>
      </c>
      <c r="V223" s="9">
        <v>3</v>
      </c>
      <c r="W223" s="9">
        <f t="shared" si="65"/>
        <v>97046</v>
      </c>
      <c r="X223" s="9">
        <f t="shared" si="66"/>
        <v>8</v>
      </c>
      <c r="Y223" s="7">
        <v>10.1</v>
      </c>
      <c r="Z223" s="7">
        <v>20.7</v>
      </c>
      <c r="AA223" s="9">
        <v>1</v>
      </c>
      <c r="AB223" s="9">
        <v>0</v>
      </c>
      <c r="AC223" s="9">
        <v>0</v>
      </c>
      <c r="AD223" s="9">
        <v>0</v>
      </c>
      <c r="AE223" s="9">
        <v>0</v>
      </c>
      <c r="AF223" s="9">
        <v>1</v>
      </c>
      <c r="AG223" s="8">
        <v>0</v>
      </c>
      <c r="AH223" s="9">
        <v>1</v>
      </c>
      <c r="AI223" s="30">
        <v>0</v>
      </c>
      <c r="AJ223" s="9">
        <v>1</v>
      </c>
      <c r="AK223" s="30">
        <v>0</v>
      </c>
      <c r="AL223" s="21">
        <v>2017</v>
      </c>
      <c r="AM223" s="23">
        <f t="shared" si="67"/>
        <v>7.6093665379542115</v>
      </c>
      <c r="AN223" s="33">
        <v>0.11</v>
      </c>
      <c r="AO223" s="33">
        <v>0.39</v>
      </c>
      <c r="AP223" s="33">
        <v>0.34</v>
      </c>
      <c r="AQ223" s="43">
        <v>0.16</v>
      </c>
      <c r="AR223" s="42" t="s">
        <v>104</v>
      </c>
      <c r="AS223" s="18" t="s">
        <v>104</v>
      </c>
      <c r="AT223">
        <v>0.70799999999999996</v>
      </c>
      <c r="AU223" s="40">
        <f t="shared" si="68"/>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25</v>
      </c>
      <c r="DB223" s="34"/>
    </row>
    <row r="224" spans="1:106" x14ac:dyDescent="0.25">
      <c r="A224">
        <v>223</v>
      </c>
      <c r="B224">
        <v>17</v>
      </c>
      <c r="C224" s="79" t="s">
        <v>218</v>
      </c>
      <c r="D224" s="12">
        <v>8.31</v>
      </c>
      <c r="E224" s="14">
        <f t="shared" si="69"/>
        <v>4.5559210526315792E-2</v>
      </c>
      <c r="F224" s="7">
        <v>182.4</v>
      </c>
      <c r="G224" s="7">
        <f t="shared" si="58"/>
        <v>8.2644407894736851</v>
      </c>
      <c r="H224" s="16">
        <f t="shared" si="59"/>
        <v>8.3555592105263159</v>
      </c>
      <c r="I224" s="11">
        <f t="shared" si="60"/>
        <v>0.57113962349685266</v>
      </c>
      <c r="J224" s="33">
        <f t="shared" si="61"/>
        <v>3.1312479358380075E-3</v>
      </c>
      <c r="K224" s="33">
        <f t="shared" si="62"/>
        <v>319.36148797248552</v>
      </c>
      <c r="L224" s="33">
        <f t="shared" si="63"/>
        <v>0.56800837556101469</v>
      </c>
      <c r="M224" s="33">
        <f t="shared" si="64"/>
        <v>0.57427087143269062</v>
      </c>
      <c r="N224" s="8">
        <v>1</v>
      </c>
      <c r="O224" s="9">
        <v>0</v>
      </c>
      <c r="P224" s="8">
        <v>0</v>
      </c>
      <c r="Q224" s="9">
        <v>0</v>
      </c>
      <c r="R224" s="9">
        <v>0</v>
      </c>
      <c r="S224" s="9">
        <v>1</v>
      </c>
      <c r="T224" s="9">
        <v>0</v>
      </c>
      <c r="U224" s="8">
        <v>68726</v>
      </c>
      <c r="V224" s="9">
        <v>3</v>
      </c>
      <c r="W224" s="9">
        <f t="shared" si="65"/>
        <v>68722</v>
      </c>
      <c r="X224" s="9">
        <f t="shared" si="66"/>
        <v>8</v>
      </c>
      <c r="Y224" s="7">
        <v>10.1</v>
      </c>
      <c r="Z224" s="7">
        <v>20.7</v>
      </c>
      <c r="AA224" s="9">
        <v>1</v>
      </c>
      <c r="AB224" s="9">
        <v>0</v>
      </c>
      <c r="AC224" s="9">
        <v>0</v>
      </c>
      <c r="AD224" s="9">
        <v>0</v>
      </c>
      <c r="AE224" s="9">
        <v>0</v>
      </c>
      <c r="AF224" s="9">
        <v>1</v>
      </c>
      <c r="AG224" s="8">
        <v>0</v>
      </c>
      <c r="AH224" s="9">
        <v>1</v>
      </c>
      <c r="AI224" s="30">
        <v>0</v>
      </c>
      <c r="AJ224" s="9">
        <v>1</v>
      </c>
      <c r="AK224" s="30">
        <v>0</v>
      </c>
      <c r="AL224" s="21">
        <v>2017</v>
      </c>
      <c r="AM224" s="23">
        <f t="shared" si="67"/>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25</v>
      </c>
      <c r="DB224" s="34"/>
    </row>
    <row r="225" spans="1:106" x14ac:dyDescent="0.25">
      <c r="A225">
        <v>224</v>
      </c>
      <c r="B225">
        <v>17</v>
      </c>
      <c r="C225" s="79" t="s">
        <v>218</v>
      </c>
      <c r="D225" s="12">
        <v>10.3</v>
      </c>
      <c r="E225" s="14">
        <f t="shared" si="69"/>
        <v>8.45648604269294E-2</v>
      </c>
      <c r="F225" s="7">
        <v>121.8</v>
      </c>
      <c r="G225" s="7">
        <f t="shared" si="58"/>
        <v>10.215435139573071</v>
      </c>
      <c r="H225" s="16">
        <f t="shared" si="59"/>
        <v>10.384564860426931</v>
      </c>
      <c r="I225" s="11">
        <f t="shared" si="60"/>
        <v>0.58631434535014559</v>
      </c>
      <c r="J225" s="33">
        <f t="shared" si="61"/>
        <v>4.8137466777516055E-3</v>
      </c>
      <c r="K225" s="33">
        <f t="shared" si="62"/>
        <v>207.73839317757324</v>
      </c>
      <c r="L225" s="33">
        <f t="shared" si="63"/>
        <v>0.58150059867239401</v>
      </c>
      <c r="M225" s="33">
        <f t="shared" si="64"/>
        <v>0.59112809202789718</v>
      </c>
      <c r="N225" s="8">
        <v>1</v>
      </c>
      <c r="O225" s="9">
        <v>0</v>
      </c>
      <c r="P225" s="8">
        <v>0</v>
      </c>
      <c r="Q225" s="9">
        <v>0</v>
      </c>
      <c r="R225" s="9">
        <v>0</v>
      </c>
      <c r="S225" s="9">
        <v>1</v>
      </c>
      <c r="T225" s="9">
        <v>0</v>
      </c>
      <c r="U225" s="8">
        <v>28324</v>
      </c>
      <c r="V225" s="9">
        <v>3</v>
      </c>
      <c r="W225" s="9">
        <f t="shared" si="65"/>
        <v>28320</v>
      </c>
      <c r="X225" s="9">
        <f t="shared" si="66"/>
        <v>8</v>
      </c>
      <c r="Y225" s="7">
        <v>10.1</v>
      </c>
      <c r="Z225" s="7">
        <v>20.7</v>
      </c>
      <c r="AA225" s="9">
        <v>1</v>
      </c>
      <c r="AB225" s="9">
        <v>0</v>
      </c>
      <c r="AC225" s="9">
        <v>0</v>
      </c>
      <c r="AD225" s="9">
        <v>0</v>
      </c>
      <c r="AE225" s="9">
        <v>0</v>
      </c>
      <c r="AF225" s="9">
        <v>1</v>
      </c>
      <c r="AG225" s="8">
        <v>0</v>
      </c>
      <c r="AH225" s="9">
        <v>1</v>
      </c>
      <c r="AI225" s="30">
        <v>0</v>
      </c>
      <c r="AJ225" s="9">
        <v>1</v>
      </c>
      <c r="AK225" s="30">
        <v>0</v>
      </c>
      <c r="AL225" s="21">
        <v>2017</v>
      </c>
      <c r="AM225" s="23">
        <f t="shared" si="67"/>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25</v>
      </c>
      <c r="DB225" s="34"/>
    </row>
    <row r="226" spans="1:106" x14ac:dyDescent="0.25">
      <c r="A226">
        <v>225</v>
      </c>
      <c r="B226">
        <v>17</v>
      </c>
      <c r="C226" s="79" t="s">
        <v>218</v>
      </c>
      <c r="D226" s="12">
        <v>13.4</v>
      </c>
      <c r="E226" s="14">
        <f t="shared" si="69"/>
        <v>0.30044843049327352</v>
      </c>
      <c r="F226" s="7">
        <v>44.6</v>
      </c>
      <c r="G226" s="7">
        <f t="shared" si="58"/>
        <v>13.099551569506726</v>
      </c>
      <c r="H226" s="16">
        <f t="shared" si="59"/>
        <v>13.700448430493275</v>
      </c>
      <c r="I226" s="11">
        <f t="shared" si="60"/>
        <v>0.2561815851402216</v>
      </c>
      <c r="J226" s="33">
        <f t="shared" si="61"/>
        <v>5.7439817296013806E-3</v>
      </c>
      <c r="K226" s="33">
        <f t="shared" si="62"/>
        <v>174.09526127956499</v>
      </c>
      <c r="L226" s="33">
        <f t="shared" si="63"/>
        <v>0.25043760341062021</v>
      </c>
      <c r="M226" s="33">
        <f t="shared" si="64"/>
        <v>0.26192556686982299</v>
      </c>
      <c r="N226" s="8">
        <v>1</v>
      </c>
      <c r="O226" s="9">
        <v>0</v>
      </c>
      <c r="P226" s="8">
        <v>0</v>
      </c>
      <c r="Q226" s="9">
        <v>0</v>
      </c>
      <c r="R226" s="9">
        <v>0</v>
      </c>
      <c r="S226" s="9">
        <v>1</v>
      </c>
      <c r="T226" s="9">
        <v>0</v>
      </c>
      <c r="U226" s="8">
        <v>28324</v>
      </c>
      <c r="V226" s="9">
        <v>3</v>
      </c>
      <c r="W226" s="9">
        <f t="shared" si="65"/>
        <v>28320</v>
      </c>
      <c r="X226" s="9">
        <f t="shared" si="66"/>
        <v>8</v>
      </c>
      <c r="Y226" s="7">
        <v>10.1</v>
      </c>
      <c r="Z226" s="7">
        <v>20.7</v>
      </c>
      <c r="AA226" s="9">
        <v>1</v>
      </c>
      <c r="AB226" s="9">
        <v>0</v>
      </c>
      <c r="AC226" s="9">
        <v>0</v>
      </c>
      <c r="AD226" s="9">
        <v>0</v>
      </c>
      <c r="AE226" s="9">
        <v>0</v>
      </c>
      <c r="AF226" s="9">
        <v>1</v>
      </c>
      <c r="AG226" s="8">
        <v>0</v>
      </c>
      <c r="AH226" s="9">
        <v>1</v>
      </c>
      <c r="AI226" s="30">
        <v>0</v>
      </c>
      <c r="AJ226" s="9">
        <v>1</v>
      </c>
      <c r="AK226" s="30">
        <v>0</v>
      </c>
      <c r="AL226" s="21">
        <v>2017</v>
      </c>
      <c r="AM226" s="23">
        <f t="shared" si="67"/>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25</v>
      </c>
      <c r="DB226" s="34"/>
    </row>
    <row r="227" spans="1:106" x14ac:dyDescent="0.25">
      <c r="A227">
        <v>226</v>
      </c>
      <c r="B227">
        <v>17</v>
      </c>
      <c r="C227" s="79" t="s">
        <v>218</v>
      </c>
      <c r="D227" s="12">
        <v>7.9</v>
      </c>
      <c r="E227" s="14">
        <f t="shared" si="69"/>
        <v>8.856502242152467E-2</v>
      </c>
      <c r="F227" s="7">
        <v>89.2</v>
      </c>
      <c r="G227" s="7">
        <f t="shared" si="58"/>
        <v>7.8114349775784753</v>
      </c>
      <c r="H227" s="16">
        <f t="shared" si="59"/>
        <v>7.9885650224215254</v>
      </c>
      <c r="I227" s="11">
        <f t="shared" si="60"/>
        <v>0.50802802585012474</v>
      </c>
      <c r="J227" s="33">
        <f t="shared" si="61"/>
        <v>5.6953814557188873E-3</v>
      </c>
      <c r="K227" s="33">
        <f t="shared" si="62"/>
        <v>175.58086456103354</v>
      </c>
      <c r="L227" s="33">
        <f t="shared" si="63"/>
        <v>0.50233264439440584</v>
      </c>
      <c r="M227" s="33">
        <f t="shared" si="64"/>
        <v>0.51372340730584365</v>
      </c>
      <c r="N227" s="8">
        <v>1</v>
      </c>
      <c r="O227" s="9">
        <v>0</v>
      </c>
      <c r="P227" s="8">
        <v>0</v>
      </c>
      <c r="Q227" s="9">
        <v>0</v>
      </c>
      <c r="R227" s="9">
        <v>0</v>
      </c>
      <c r="S227" s="9">
        <v>1</v>
      </c>
      <c r="T227" s="9">
        <v>0</v>
      </c>
      <c r="U227" s="8">
        <v>22876</v>
      </c>
      <c r="V227" s="9">
        <v>3</v>
      </c>
      <c r="W227" s="9">
        <f t="shared" si="65"/>
        <v>22872</v>
      </c>
      <c r="X227" s="9">
        <f t="shared" si="66"/>
        <v>8</v>
      </c>
      <c r="Y227" s="7">
        <v>10.1</v>
      </c>
      <c r="Z227" s="7">
        <v>20.7</v>
      </c>
      <c r="AA227" s="9">
        <v>1</v>
      </c>
      <c r="AB227" s="9">
        <v>0</v>
      </c>
      <c r="AC227" s="9">
        <v>0</v>
      </c>
      <c r="AD227" s="9">
        <v>0</v>
      </c>
      <c r="AE227" s="9">
        <v>0</v>
      </c>
      <c r="AF227" s="9">
        <v>1</v>
      </c>
      <c r="AG227" s="8">
        <v>0</v>
      </c>
      <c r="AH227" s="9">
        <v>1</v>
      </c>
      <c r="AI227" s="30">
        <v>0</v>
      </c>
      <c r="AJ227" s="9">
        <v>1</v>
      </c>
      <c r="AK227" s="30">
        <v>0</v>
      </c>
      <c r="AL227" s="21">
        <v>2017</v>
      </c>
      <c r="AM227" s="23">
        <f t="shared" si="67"/>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25</v>
      </c>
      <c r="DB227" s="34"/>
    </row>
    <row r="228" spans="1:106" x14ac:dyDescent="0.25">
      <c r="A228">
        <v>227</v>
      </c>
      <c r="B228">
        <v>17</v>
      </c>
      <c r="C228" s="79" t="s">
        <v>218</v>
      </c>
      <c r="D228" s="12">
        <v>6.5</v>
      </c>
      <c r="E228" s="14">
        <f t="shared" si="69"/>
        <v>5.2208835341365459E-2</v>
      </c>
      <c r="F228" s="7">
        <v>124.5</v>
      </c>
      <c r="G228" s="7">
        <f t="shared" si="58"/>
        <v>6.4477911646586348</v>
      </c>
      <c r="H228" s="16">
        <f t="shared" si="59"/>
        <v>6.5522088353413652</v>
      </c>
      <c r="I228" s="11">
        <f t="shared" si="60"/>
        <v>0.41575771597427358</v>
      </c>
      <c r="J228" s="33">
        <f t="shared" si="61"/>
        <v>3.3394194054158521E-3</v>
      </c>
      <c r="K228" s="33">
        <f t="shared" si="62"/>
        <v>299.4532517773016</v>
      </c>
      <c r="L228" s="33">
        <f t="shared" si="63"/>
        <v>0.4124182965688577</v>
      </c>
      <c r="M228" s="33">
        <f t="shared" si="64"/>
        <v>0.41909713537968946</v>
      </c>
      <c r="N228" s="8">
        <v>1</v>
      </c>
      <c r="O228" s="9">
        <v>0</v>
      </c>
      <c r="P228" s="8">
        <v>0</v>
      </c>
      <c r="Q228" s="9">
        <v>0</v>
      </c>
      <c r="R228" s="9">
        <v>0</v>
      </c>
      <c r="S228" s="9">
        <v>1</v>
      </c>
      <c r="T228" s="9">
        <v>0</v>
      </c>
      <c r="U228" s="8">
        <v>74176</v>
      </c>
      <c r="V228" s="9">
        <v>3</v>
      </c>
      <c r="W228" s="9">
        <f t="shared" si="65"/>
        <v>74172</v>
      </c>
      <c r="X228" s="9">
        <f t="shared" si="66"/>
        <v>8</v>
      </c>
      <c r="Y228" s="7">
        <v>10.1</v>
      </c>
      <c r="Z228" s="7">
        <v>20.7</v>
      </c>
      <c r="AA228" s="9">
        <v>1</v>
      </c>
      <c r="AB228" s="9">
        <v>0</v>
      </c>
      <c r="AC228" s="9">
        <v>0</v>
      </c>
      <c r="AD228" s="9">
        <v>0</v>
      </c>
      <c r="AE228" s="9">
        <v>0</v>
      </c>
      <c r="AF228" s="9">
        <v>1</v>
      </c>
      <c r="AG228" s="8">
        <v>0</v>
      </c>
      <c r="AH228" s="9">
        <v>1</v>
      </c>
      <c r="AI228" s="30">
        <v>0</v>
      </c>
      <c r="AJ228" s="9">
        <v>1</v>
      </c>
      <c r="AK228" s="30">
        <v>0</v>
      </c>
      <c r="AL228" s="21">
        <v>2017</v>
      </c>
      <c r="AM228" s="23">
        <f t="shared" si="67"/>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25</v>
      </c>
      <c r="DB228" s="34"/>
    </row>
    <row r="229" spans="1:106" x14ac:dyDescent="0.25">
      <c r="A229">
        <v>228</v>
      </c>
      <c r="B229">
        <v>17</v>
      </c>
      <c r="C229" s="79" t="s">
        <v>218</v>
      </c>
      <c r="D229" s="12">
        <v>11.2</v>
      </c>
      <c r="E229" s="14">
        <f t="shared" si="69"/>
        <v>0.86821705426356577</v>
      </c>
      <c r="F229" s="7">
        <v>12.9</v>
      </c>
      <c r="G229" s="7">
        <f t="shared" si="58"/>
        <v>10.331782945736434</v>
      </c>
      <c r="H229" s="16">
        <f t="shared" si="59"/>
        <v>12.068217054263565</v>
      </c>
      <c r="I229" s="11">
        <f t="shared" si="60"/>
        <v>7.6431230218154844E-2</v>
      </c>
      <c r="J229" s="33">
        <f t="shared" si="61"/>
        <v>5.924901567298824E-3</v>
      </c>
      <c r="K229" s="33">
        <f t="shared" si="62"/>
        <v>168.77917525571689</v>
      </c>
      <c r="L229" s="33">
        <f t="shared" si="63"/>
        <v>7.0506328650856015E-2</v>
      </c>
      <c r="M229" s="33">
        <f t="shared" si="64"/>
        <v>8.2356131785453673E-2</v>
      </c>
      <c r="N229" s="8">
        <v>1</v>
      </c>
      <c r="O229" s="9">
        <v>0</v>
      </c>
      <c r="P229" s="8">
        <v>0</v>
      </c>
      <c r="Q229" s="9">
        <v>0</v>
      </c>
      <c r="R229" s="9">
        <v>0</v>
      </c>
      <c r="S229" s="9">
        <v>1</v>
      </c>
      <c r="T229" s="9">
        <v>0</v>
      </c>
      <c r="U229" s="8">
        <v>28324</v>
      </c>
      <c r="V229" s="9">
        <v>3</v>
      </c>
      <c r="W229" s="9">
        <f t="shared" si="65"/>
        <v>28320</v>
      </c>
      <c r="X229" s="9">
        <f t="shared" si="66"/>
        <v>8</v>
      </c>
      <c r="Y229" s="7">
        <v>10.1</v>
      </c>
      <c r="Z229" s="7">
        <v>20.7</v>
      </c>
      <c r="AA229" s="9">
        <v>1</v>
      </c>
      <c r="AB229" s="9">
        <v>0</v>
      </c>
      <c r="AC229" s="9">
        <v>0</v>
      </c>
      <c r="AD229" s="9">
        <v>0</v>
      </c>
      <c r="AE229" s="9">
        <v>0</v>
      </c>
      <c r="AF229" s="9">
        <v>1</v>
      </c>
      <c r="AG229" s="8">
        <v>0</v>
      </c>
      <c r="AH229" s="9">
        <v>1</v>
      </c>
      <c r="AI229" s="30">
        <v>0</v>
      </c>
      <c r="AJ229" s="9">
        <v>1</v>
      </c>
      <c r="AK229" s="30">
        <v>0</v>
      </c>
      <c r="AL229" s="21">
        <v>2017</v>
      </c>
      <c r="AM229" s="23">
        <f t="shared" si="67"/>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25</v>
      </c>
      <c r="DB229" s="34"/>
    </row>
    <row r="230" spans="1:106" s="51" customFormat="1" x14ac:dyDescent="0.25">
      <c r="A230" s="51">
        <v>229</v>
      </c>
      <c r="B230" s="51">
        <v>17</v>
      </c>
      <c r="C230" s="80" t="s">
        <v>218</v>
      </c>
      <c r="D230" s="53">
        <v>18</v>
      </c>
      <c r="E230" s="54">
        <f t="shared" si="69"/>
        <v>1.0843373493975903</v>
      </c>
      <c r="F230" s="55">
        <v>16.600000000000001</v>
      </c>
      <c r="G230" s="55">
        <f t="shared" si="58"/>
        <v>16.91566265060241</v>
      </c>
      <c r="H230" s="56">
        <f t="shared" si="59"/>
        <v>19.08433734939759</v>
      </c>
      <c r="I230" s="57">
        <f t="shared" si="60"/>
        <v>6.3196237365657243E-2</v>
      </c>
      <c r="J230" s="58">
        <f t="shared" si="61"/>
        <v>3.8070022509432066E-3</v>
      </c>
      <c r="K230" s="58">
        <f t="shared" si="62"/>
        <v>262.67386622958901</v>
      </c>
      <c r="L230" s="58">
        <f t="shared" si="63"/>
        <v>5.9389235114714035E-2</v>
      </c>
      <c r="M230" s="58">
        <f t="shared" si="64"/>
        <v>6.7003239616600443E-2</v>
      </c>
      <c r="N230" s="59">
        <v>1</v>
      </c>
      <c r="O230" s="60">
        <v>0</v>
      </c>
      <c r="P230" s="59">
        <v>0</v>
      </c>
      <c r="Q230" s="60">
        <v>0</v>
      </c>
      <c r="R230" s="60">
        <v>0</v>
      </c>
      <c r="S230" s="60">
        <v>1</v>
      </c>
      <c r="T230" s="60">
        <v>0</v>
      </c>
      <c r="U230" s="59">
        <v>68726</v>
      </c>
      <c r="V230" s="60">
        <v>3</v>
      </c>
      <c r="W230" s="60">
        <f t="shared" si="65"/>
        <v>68722</v>
      </c>
      <c r="X230" s="60">
        <f t="shared" si="66"/>
        <v>8</v>
      </c>
      <c r="Y230" s="55">
        <v>10.1</v>
      </c>
      <c r="Z230" s="55">
        <v>20.7</v>
      </c>
      <c r="AA230" s="60">
        <v>1</v>
      </c>
      <c r="AB230" s="60">
        <v>0</v>
      </c>
      <c r="AC230" s="60">
        <v>0</v>
      </c>
      <c r="AD230" s="60">
        <v>0</v>
      </c>
      <c r="AE230" s="60">
        <v>0</v>
      </c>
      <c r="AF230" s="60">
        <v>1</v>
      </c>
      <c r="AG230" s="59">
        <v>0</v>
      </c>
      <c r="AH230" s="60">
        <v>1</v>
      </c>
      <c r="AI230" s="61">
        <v>0</v>
      </c>
      <c r="AJ230" s="60">
        <v>1</v>
      </c>
      <c r="AK230" s="61">
        <v>0</v>
      </c>
      <c r="AL230" s="62">
        <v>2017</v>
      </c>
      <c r="AM230" s="63">
        <f t="shared" si="67"/>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25</v>
      </c>
      <c r="CW230" s="68"/>
      <c r="DB230" s="68"/>
    </row>
    <row r="231" spans="1:106" x14ac:dyDescent="0.25">
      <c r="A231">
        <v>230</v>
      </c>
      <c r="B231">
        <v>18</v>
      </c>
      <c r="C231" s="81" t="s">
        <v>219</v>
      </c>
      <c r="D231" s="12">
        <v>12.90854246808146</v>
      </c>
      <c r="E231" s="14">
        <v>0.75170227223767516</v>
      </c>
      <c r="F231" s="7">
        <v>17.172413793103448</v>
      </c>
      <c r="G231" s="7">
        <f t="shared" si="58"/>
        <v>12.156840195843785</v>
      </c>
      <c r="H231" s="16">
        <f t="shared" si="59"/>
        <v>13.660244740319136</v>
      </c>
      <c r="I231" s="11">
        <f t="shared" si="60"/>
        <v>0.27491202321058933</v>
      </c>
      <c r="J231" s="33">
        <f t="shared" si="61"/>
        <v>1.6008933078528294E-2</v>
      </c>
      <c r="K231" s="33">
        <f t="shared" si="62"/>
        <v>62.465124633523068</v>
      </c>
      <c r="L231" s="33">
        <f t="shared" si="63"/>
        <v>0.25890309013206103</v>
      </c>
      <c r="M231" s="33">
        <f t="shared" si="64"/>
        <v>0.29092095628911763</v>
      </c>
      <c r="N231" s="8">
        <v>1</v>
      </c>
      <c r="O231" s="9">
        <v>0</v>
      </c>
      <c r="P231" s="8">
        <v>1</v>
      </c>
      <c r="Q231" s="9">
        <v>0</v>
      </c>
      <c r="R231" s="9">
        <v>0</v>
      </c>
      <c r="S231" s="9">
        <v>0</v>
      </c>
      <c r="T231" s="9">
        <v>0</v>
      </c>
      <c r="U231" s="8">
        <v>3614</v>
      </c>
      <c r="V231" s="9">
        <v>6</v>
      </c>
      <c r="W231" s="9">
        <f t="shared" si="65"/>
        <v>3607</v>
      </c>
      <c r="X231" s="9">
        <f t="shared" si="66"/>
        <v>48</v>
      </c>
      <c r="Y231" s="7">
        <v>17</v>
      </c>
      <c r="Z231" s="7">
        <f t="shared" ref="Z231:Z294" si="70">BN231-Y231-6</f>
        <v>21.274999999999999</v>
      </c>
      <c r="AA231" s="9">
        <v>0</v>
      </c>
      <c r="AB231" s="9">
        <v>1</v>
      </c>
      <c r="AC231" s="9">
        <v>1</v>
      </c>
      <c r="AD231" s="9">
        <v>0</v>
      </c>
      <c r="AE231" s="9">
        <v>0</v>
      </c>
      <c r="AF231" s="9">
        <v>0</v>
      </c>
      <c r="AG231" s="8">
        <v>0</v>
      </c>
      <c r="AH231" s="9">
        <v>1</v>
      </c>
      <c r="AI231" s="30">
        <v>0</v>
      </c>
      <c r="AJ231" s="9">
        <v>1</v>
      </c>
      <c r="AK231" s="30">
        <v>0</v>
      </c>
      <c r="AL231" s="21">
        <v>2001</v>
      </c>
      <c r="AM231" s="23">
        <f t="shared" si="67"/>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23</v>
      </c>
      <c r="DB231" s="34"/>
    </row>
    <row r="232" spans="1:106" x14ac:dyDescent="0.25">
      <c r="A232">
        <v>231</v>
      </c>
      <c r="B232">
        <v>18</v>
      </c>
      <c r="C232" s="25" t="s">
        <v>219</v>
      </c>
      <c r="D232" s="12">
        <v>9.7250909313234697</v>
      </c>
      <c r="E232" s="14">
        <v>1.0256931841630219</v>
      </c>
      <c r="F232" s="7">
        <v>9.481481481481481</v>
      </c>
      <c r="G232" s="7">
        <f t="shared" si="58"/>
        <v>8.6993977471604484</v>
      </c>
      <c r="H232" s="16">
        <f t="shared" si="59"/>
        <v>10.750784115486491</v>
      </c>
      <c r="I232" s="11">
        <f t="shared" si="60"/>
        <v>0.15593996707303245</v>
      </c>
      <c r="J232" s="33">
        <f t="shared" si="61"/>
        <v>1.644679340223389E-2</v>
      </c>
      <c r="K232" s="33">
        <f t="shared" si="62"/>
        <v>60.802125711883434</v>
      </c>
      <c r="L232" s="33">
        <f t="shared" si="63"/>
        <v>0.13949317367079855</v>
      </c>
      <c r="M232" s="33">
        <f t="shared" si="64"/>
        <v>0.17238676047526635</v>
      </c>
      <c r="N232" s="8">
        <v>1</v>
      </c>
      <c r="O232" s="9">
        <v>0</v>
      </c>
      <c r="P232" s="8">
        <v>1</v>
      </c>
      <c r="Q232" s="9">
        <v>0</v>
      </c>
      <c r="R232" s="9">
        <v>0</v>
      </c>
      <c r="S232" s="9">
        <v>0</v>
      </c>
      <c r="T232" s="9">
        <v>0</v>
      </c>
      <c r="U232" s="8">
        <v>3614</v>
      </c>
      <c r="V232" s="9">
        <v>6</v>
      </c>
      <c r="W232" s="9">
        <f t="shared" si="65"/>
        <v>3607</v>
      </c>
      <c r="X232" s="9">
        <f t="shared" si="66"/>
        <v>48</v>
      </c>
      <c r="Y232" s="7">
        <v>12</v>
      </c>
      <c r="Z232" s="7">
        <f t="shared" si="70"/>
        <v>26.274999999999999</v>
      </c>
      <c r="AA232" s="9">
        <v>0</v>
      </c>
      <c r="AB232" s="9">
        <v>1</v>
      </c>
      <c r="AC232" s="9">
        <v>1</v>
      </c>
      <c r="AD232" s="9">
        <v>0</v>
      </c>
      <c r="AE232" s="9">
        <v>0</v>
      </c>
      <c r="AF232" s="9">
        <v>0</v>
      </c>
      <c r="AG232" s="8">
        <v>0</v>
      </c>
      <c r="AH232" s="9">
        <v>1</v>
      </c>
      <c r="AI232" s="30">
        <v>0</v>
      </c>
      <c r="AJ232" s="9">
        <v>1</v>
      </c>
      <c r="AK232" s="30">
        <v>0</v>
      </c>
      <c r="AL232" s="21">
        <v>2001</v>
      </c>
      <c r="AM232" s="23">
        <f t="shared" si="67"/>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23</v>
      </c>
      <c r="DB232" s="34"/>
    </row>
    <row r="233" spans="1:106" x14ac:dyDescent="0.25">
      <c r="A233">
        <v>232</v>
      </c>
      <c r="B233">
        <v>18</v>
      </c>
      <c r="C233" s="25" t="s">
        <v>219</v>
      </c>
      <c r="D233" s="12">
        <v>9.6390601422601403</v>
      </c>
      <c r="E233" s="14">
        <v>2.352841452047751</v>
      </c>
      <c r="F233" s="7">
        <v>4.096774193548387</v>
      </c>
      <c r="G233" s="7">
        <f t="shared" si="58"/>
        <v>7.2862186902123893</v>
      </c>
      <c r="H233" s="16">
        <f t="shared" si="59"/>
        <v>11.99190159430789</v>
      </c>
      <c r="I233" s="11">
        <f t="shared" si="60"/>
        <v>6.8055135339707112E-2</v>
      </c>
      <c r="J233" s="33">
        <f t="shared" si="61"/>
        <v>1.6611883429377326E-2</v>
      </c>
      <c r="K233" s="33">
        <f t="shared" si="62"/>
        <v>60.19787005196217</v>
      </c>
      <c r="L233" s="33">
        <f t="shared" si="63"/>
        <v>5.1443251910329786E-2</v>
      </c>
      <c r="M233" s="33">
        <f t="shared" si="64"/>
        <v>8.4667018769084446E-2</v>
      </c>
      <c r="N233" s="8">
        <v>1</v>
      </c>
      <c r="O233" s="9">
        <v>0</v>
      </c>
      <c r="P233" s="8">
        <v>1</v>
      </c>
      <c r="Q233" s="9">
        <v>0</v>
      </c>
      <c r="R233" s="9">
        <v>0</v>
      </c>
      <c r="S233" s="9">
        <v>0</v>
      </c>
      <c r="T233" s="9">
        <v>0</v>
      </c>
      <c r="U233" s="8">
        <v>3614</v>
      </c>
      <c r="V233" s="9">
        <v>6</v>
      </c>
      <c r="W233" s="9">
        <f t="shared" si="65"/>
        <v>3607</v>
      </c>
      <c r="X233" s="9">
        <f t="shared" si="66"/>
        <v>48</v>
      </c>
      <c r="Y233" s="7">
        <v>9</v>
      </c>
      <c r="Z233" s="7">
        <f t="shared" si="70"/>
        <v>29.274999999999999</v>
      </c>
      <c r="AA233" s="9">
        <v>0</v>
      </c>
      <c r="AB233" s="9">
        <v>1</v>
      </c>
      <c r="AC233" s="9">
        <v>1</v>
      </c>
      <c r="AD233" s="9">
        <v>0</v>
      </c>
      <c r="AE233" s="9">
        <v>0</v>
      </c>
      <c r="AF233" s="9">
        <v>0</v>
      </c>
      <c r="AG233" s="8">
        <v>0</v>
      </c>
      <c r="AH233" s="9">
        <v>1</v>
      </c>
      <c r="AI233" s="30">
        <v>0</v>
      </c>
      <c r="AJ233" s="9">
        <v>1</v>
      </c>
      <c r="AK233" s="30">
        <v>0</v>
      </c>
      <c r="AL233" s="21">
        <v>2001</v>
      </c>
      <c r="AM233" s="23">
        <f t="shared" si="67"/>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23</v>
      </c>
      <c r="DB233" s="34"/>
    </row>
    <row r="234" spans="1:106" x14ac:dyDescent="0.25">
      <c r="A234">
        <v>233</v>
      </c>
      <c r="B234">
        <v>18</v>
      </c>
      <c r="C234" s="25" t="s">
        <v>219</v>
      </c>
      <c r="D234" s="12">
        <v>12.87565037440122</v>
      </c>
      <c r="E234" s="14">
        <v>0.7512954946833712</v>
      </c>
      <c r="F234" s="7">
        <v>17.137931034482762</v>
      </c>
      <c r="G234" s="7">
        <f t="shared" si="58"/>
        <v>12.124354879717849</v>
      </c>
      <c r="H234" s="16">
        <f t="shared" si="59"/>
        <v>13.62694586908459</v>
      </c>
      <c r="I234" s="11">
        <f t="shared" si="60"/>
        <v>0.27440159564256944</v>
      </c>
      <c r="J234" s="33">
        <f t="shared" si="61"/>
        <v>1.6011360711538254E-2</v>
      </c>
      <c r="K234" s="33">
        <f t="shared" si="62"/>
        <v>62.455653708392866</v>
      </c>
      <c r="L234" s="33">
        <f t="shared" si="63"/>
        <v>0.25839023493103119</v>
      </c>
      <c r="M234" s="33">
        <f t="shared" si="64"/>
        <v>0.29041295635410769</v>
      </c>
      <c r="N234" s="8">
        <v>1</v>
      </c>
      <c r="O234" s="9">
        <v>0</v>
      </c>
      <c r="P234" s="8">
        <v>1</v>
      </c>
      <c r="Q234" s="9">
        <v>0</v>
      </c>
      <c r="R234" s="9">
        <v>0</v>
      </c>
      <c r="S234" s="9">
        <v>0</v>
      </c>
      <c r="T234" s="9">
        <v>0</v>
      </c>
      <c r="U234" s="8">
        <v>3614</v>
      </c>
      <c r="V234" s="9">
        <v>6</v>
      </c>
      <c r="W234" s="9">
        <f t="shared" si="65"/>
        <v>3607</v>
      </c>
      <c r="X234" s="9">
        <f t="shared" si="66"/>
        <v>48</v>
      </c>
      <c r="Y234" s="7">
        <v>17</v>
      </c>
      <c r="Z234" s="7">
        <f t="shared" si="70"/>
        <v>21.274999999999999</v>
      </c>
      <c r="AA234" s="9">
        <v>0</v>
      </c>
      <c r="AB234" s="9">
        <v>1</v>
      </c>
      <c r="AC234" s="9">
        <v>1</v>
      </c>
      <c r="AD234" s="9">
        <v>0</v>
      </c>
      <c r="AE234" s="9">
        <v>0</v>
      </c>
      <c r="AF234" s="9">
        <v>0</v>
      </c>
      <c r="AG234" s="8">
        <v>0</v>
      </c>
      <c r="AH234" s="9">
        <v>1</v>
      </c>
      <c r="AI234" s="30">
        <v>0</v>
      </c>
      <c r="AJ234" s="9">
        <v>1</v>
      </c>
      <c r="AK234" s="30">
        <v>0</v>
      </c>
      <c r="AL234" s="21">
        <v>2001</v>
      </c>
      <c r="AM234" s="23">
        <f t="shared" si="67"/>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23</v>
      </c>
      <c r="DB234" s="34"/>
    </row>
    <row r="235" spans="1:106" x14ac:dyDescent="0.25">
      <c r="A235">
        <v>234</v>
      </c>
      <c r="B235">
        <v>18</v>
      </c>
      <c r="C235" s="25" t="s">
        <v>219</v>
      </c>
      <c r="D235" s="12">
        <v>9.2540437734962193</v>
      </c>
      <c r="E235" s="14">
        <v>1.019833395446522</v>
      </c>
      <c r="F235" s="7">
        <v>9.0740740740740744</v>
      </c>
      <c r="G235" s="7">
        <f t="shared" si="58"/>
        <v>8.2342103780496974</v>
      </c>
      <c r="H235" s="16">
        <f t="shared" si="59"/>
        <v>10.273877168942741</v>
      </c>
      <c r="I235" s="11">
        <f t="shared" si="60"/>
        <v>0.14939224351455971</v>
      </c>
      <c r="J235" s="33">
        <f t="shared" si="61"/>
        <v>1.6463634999563725E-2</v>
      </c>
      <c r="K235" s="33">
        <f t="shared" si="62"/>
        <v>60.739927727169565</v>
      </c>
      <c r="L235" s="33">
        <f t="shared" si="63"/>
        <v>0.13292860851499599</v>
      </c>
      <c r="M235" s="33">
        <f t="shared" si="64"/>
        <v>0.16585587851412342</v>
      </c>
      <c r="N235" s="8">
        <v>1</v>
      </c>
      <c r="O235" s="9">
        <v>0</v>
      </c>
      <c r="P235" s="8">
        <v>1</v>
      </c>
      <c r="Q235" s="9">
        <v>0</v>
      </c>
      <c r="R235" s="9">
        <v>0</v>
      </c>
      <c r="S235" s="9">
        <v>0</v>
      </c>
      <c r="T235" s="9">
        <v>0</v>
      </c>
      <c r="U235" s="8">
        <v>3614</v>
      </c>
      <c r="V235" s="9">
        <v>6</v>
      </c>
      <c r="W235" s="9">
        <f t="shared" si="65"/>
        <v>3607</v>
      </c>
      <c r="X235" s="9">
        <f t="shared" si="66"/>
        <v>48</v>
      </c>
      <c r="Y235" s="7">
        <v>12</v>
      </c>
      <c r="Z235" s="7">
        <f t="shared" si="70"/>
        <v>26.274999999999999</v>
      </c>
      <c r="AA235" s="9">
        <v>0</v>
      </c>
      <c r="AB235" s="9">
        <v>1</v>
      </c>
      <c r="AC235" s="9">
        <v>1</v>
      </c>
      <c r="AD235" s="9">
        <v>0</v>
      </c>
      <c r="AE235" s="9">
        <v>0</v>
      </c>
      <c r="AF235" s="9">
        <v>0</v>
      </c>
      <c r="AG235" s="8">
        <v>0</v>
      </c>
      <c r="AH235" s="9">
        <v>1</v>
      </c>
      <c r="AI235" s="30">
        <v>0</v>
      </c>
      <c r="AJ235" s="9">
        <v>1</v>
      </c>
      <c r="AK235" s="30">
        <v>0</v>
      </c>
      <c r="AL235" s="21">
        <v>2001</v>
      </c>
      <c r="AM235" s="23">
        <f t="shared" si="67"/>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23</v>
      </c>
      <c r="DB235" s="34"/>
    </row>
    <row r="236" spans="1:106" x14ac:dyDescent="0.25">
      <c r="A236">
        <v>235</v>
      </c>
      <c r="B236">
        <v>18</v>
      </c>
      <c r="C236" s="25" t="s">
        <v>219</v>
      </c>
      <c r="D236" s="12">
        <v>10.33214835777491</v>
      </c>
      <c r="E236" s="14">
        <v>2.4108346168141459</v>
      </c>
      <c r="F236" s="7">
        <v>4.2857142857142856</v>
      </c>
      <c r="G236" s="7">
        <f t="shared" si="58"/>
        <v>7.9213137409607643</v>
      </c>
      <c r="H236" s="16">
        <f t="shared" si="59"/>
        <v>12.742982974589056</v>
      </c>
      <c r="I236" s="11">
        <f t="shared" si="60"/>
        <v>7.1178233468594559E-2</v>
      </c>
      <c r="J236" s="33">
        <f t="shared" si="61"/>
        <v>1.6608254476005398E-2</v>
      </c>
      <c r="K236" s="33">
        <f t="shared" si="62"/>
        <v>60.21102346695973</v>
      </c>
      <c r="L236" s="33">
        <f t="shared" si="63"/>
        <v>5.4569978992589162E-2</v>
      </c>
      <c r="M236" s="33">
        <f t="shared" si="64"/>
        <v>8.778648794459995E-2</v>
      </c>
      <c r="N236" s="8">
        <v>1</v>
      </c>
      <c r="O236" s="9">
        <v>0</v>
      </c>
      <c r="P236" s="8">
        <v>1</v>
      </c>
      <c r="Q236" s="9">
        <v>0</v>
      </c>
      <c r="R236" s="9">
        <v>0</v>
      </c>
      <c r="S236" s="9">
        <v>0</v>
      </c>
      <c r="T236" s="9">
        <v>0</v>
      </c>
      <c r="U236" s="8">
        <v>3614</v>
      </c>
      <c r="V236" s="9">
        <v>6</v>
      </c>
      <c r="W236" s="9">
        <f t="shared" si="65"/>
        <v>3607</v>
      </c>
      <c r="X236" s="9">
        <f t="shared" si="66"/>
        <v>48</v>
      </c>
      <c r="Y236" s="7">
        <v>9</v>
      </c>
      <c r="Z236" s="7">
        <f t="shared" si="70"/>
        <v>29.274999999999999</v>
      </c>
      <c r="AA236" s="9">
        <v>0</v>
      </c>
      <c r="AB236" s="9">
        <v>1</v>
      </c>
      <c r="AC236" s="9">
        <v>1</v>
      </c>
      <c r="AD236" s="9">
        <v>0</v>
      </c>
      <c r="AE236" s="9">
        <v>0</v>
      </c>
      <c r="AF236" s="9">
        <v>0</v>
      </c>
      <c r="AG236" s="8">
        <v>0</v>
      </c>
      <c r="AH236" s="9">
        <v>1</v>
      </c>
      <c r="AI236" s="30">
        <v>0</v>
      </c>
      <c r="AJ236" s="9">
        <v>1</v>
      </c>
      <c r="AK236" s="30">
        <v>0</v>
      </c>
      <c r="AL236" s="21">
        <v>2001</v>
      </c>
      <c r="AM236" s="23">
        <f t="shared" si="67"/>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23</v>
      </c>
      <c r="DB236" s="34"/>
    </row>
    <row r="237" spans="1:106" x14ac:dyDescent="0.25">
      <c r="A237">
        <v>236</v>
      </c>
      <c r="B237">
        <v>18</v>
      </c>
      <c r="C237" s="25" t="s">
        <v>219</v>
      </c>
      <c r="D237" s="12">
        <v>12.03189975348813</v>
      </c>
      <c r="E237" s="14">
        <v>0.71527217218188466</v>
      </c>
      <c r="F237" s="7">
        <v>16.821428571428569</v>
      </c>
      <c r="G237" s="7">
        <f t="shared" si="58"/>
        <v>11.316627581306244</v>
      </c>
      <c r="H237" s="16">
        <f t="shared" si="59"/>
        <v>12.747171925670015</v>
      </c>
      <c r="I237" s="11">
        <f t="shared" si="60"/>
        <v>0.27001834234929567</v>
      </c>
      <c r="J237" s="33">
        <f t="shared" si="61"/>
        <v>1.6052045829682123E-2</v>
      </c>
      <c r="K237" s="33">
        <f t="shared" si="62"/>
        <v>62.297355154000513</v>
      </c>
      <c r="L237" s="33">
        <f t="shared" si="63"/>
        <v>0.25396629651961355</v>
      </c>
      <c r="M237" s="33">
        <f t="shared" si="64"/>
        <v>0.28607038817897779</v>
      </c>
      <c r="N237" s="8">
        <v>1</v>
      </c>
      <c r="O237" s="9">
        <v>0</v>
      </c>
      <c r="P237" s="8">
        <v>1</v>
      </c>
      <c r="Q237" s="9">
        <v>0</v>
      </c>
      <c r="R237" s="9">
        <v>0</v>
      </c>
      <c r="S237" s="9">
        <v>0</v>
      </c>
      <c r="T237" s="9">
        <v>0</v>
      </c>
      <c r="U237" s="8">
        <v>3611</v>
      </c>
      <c r="V237" s="9">
        <v>12</v>
      </c>
      <c r="W237" s="9">
        <f t="shared" si="65"/>
        <v>3598</v>
      </c>
      <c r="X237" s="9">
        <f t="shared" si="66"/>
        <v>48</v>
      </c>
      <c r="Y237" s="7">
        <v>17</v>
      </c>
      <c r="Z237" s="7">
        <f t="shared" si="70"/>
        <v>21.274999999999999</v>
      </c>
      <c r="AA237" s="9">
        <v>0</v>
      </c>
      <c r="AB237" s="9">
        <v>1</v>
      </c>
      <c r="AC237" s="9">
        <v>1</v>
      </c>
      <c r="AD237" s="9">
        <v>0</v>
      </c>
      <c r="AE237" s="9">
        <v>0</v>
      </c>
      <c r="AF237" s="9">
        <v>0</v>
      </c>
      <c r="AG237" s="8">
        <v>0</v>
      </c>
      <c r="AH237" s="9">
        <v>1</v>
      </c>
      <c r="AI237" s="30">
        <v>0</v>
      </c>
      <c r="AJ237" s="9">
        <v>1</v>
      </c>
      <c r="AK237" s="30">
        <v>0</v>
      </c>
      <c r="AL237" s="21">
        <v>2001</v>
      </c>
      <c r="AM237" s="23">
        <f t="shared" si="67"/>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23</v>
      </c>
      <c r="DB237" s="34"/>
    </row>
    <row r="238" spans="1:106" x14ac:dyDescent="0.25">
      <c r="A238">
        <v>237</v>
      </c>
      <c r="B238">
        <v>18</v>
      </c>
      <c r="C238" s="25" t="s">
        <v>219</v>
      </c>
      <c r="D238" s="12">
        <v>8.0367459666890557</v>
      </c>
      <c r="E238" s="14">
        <v>1.041800403089322</v>
      </c>
      <c r="F238" s="7">
        <v>7.7142857142857144</v>
      </c>
      <c r="G238" s="7">
        <f t="shared" si="58"/>
        <v>6.9949455635997335</v>
      </c>
      <c r="H238" s="16">
        <f t="shared" si="59"/>
        <v>9.0785463697783779</v>
      </c>
      <c r="I238" s="11">
        <f t="shared" si="60"/>
        <v>0.12755660349884759</v>
      </c>
      <c r="J238" s="33">
        <f t="shared" si="61"/>
        <v>1.6535115268369132E-2</v>
      </c>
      <c r="K238" s="33">
        <f t="shared" si="62"/>
        <v>60.4773528197261</v>
      </c>
      <c r="L238" s="33">
        <f t="shared" si="63"/>
        <v>0.11102148823047846</v>
      </c>
      <c r="M238" s="33">
        <f t="shared" si="64"/>
        <v>0.14409171876721671</v>
      </c>
      <c r="N238" s="8">
        <v>1</v>
      </c>
      <c r="O238" s="9">
        <v>0</v>
      </c>
      <c r="P238" s="8">
        <v>1</v>
      </c>
      <c r="Q238" s="9">
        <v>0</v>
      </c>
      <c r="R238" s="9">
        <v>0</v>
      </c>
      <c r="S238" s="9">
        <v>0</v>
      </c>
      <c r="T238" s="9">
        <v>0</v>
      </c>
      <c r="U238" s="8">
        <v>3611</v>
      </c>
      <c r="V238" s="9">
        <v>12</v>
      </c>
      <c r="W238" s="9">
        <f t="shared" si="65"/>
        <v>3598</v>
      </c>
      <c r="X238" s="9">
        <f t="shared" si="66"/>
        <v>48</v>
      </c>
      <c r="Y238" s="7">
        <v>12</v>
      </c>
      <c r="Z238" s="7">
        <f t="shared" si="70"/>
        <v>26.274999999999999</v>
      </c>
      <c r="AA238" s="9">
        <v>0</v>
      </c>
      <c r="AB238" s="9">
        <v>1</v>
      </c>
      <c r="AC238" s="9">
        <v>1</v>
      </c>
      <c r="AD238" s="9">
        <v>0</v>
      </c>
      <c r="AE238" s="9">
        <v>0</v>
      </c>
      <c r="AF238" s="9">
        <v>0</v>
      </c>
      <c r="AG238" s="8">
        <v>0</v>
      </c>
      <c r="AH238" s="9">
        <v>1</v>
      </c>
      <c r="AI238" s="30">
        <v>0</v>
      </c>
      <c r="AJ238" s="9">
        <v>1</v>
      </c>
      <c r="AK238" s="30">
        <v>0</v>
      </c>
      <c r="AL238" s="21">
        <v>2001</v>
      </c>
      <c r="AM238" s="23">
        <f t="shared" si="67"/>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23</v>
      </c>
      <c r="DB238" s="34"/>
    </row>
    <row r="239" spans="1:106" x14ac:dyDescent="0.25">
      <c r="A239">
        <v>238</v>
      </c>
      <c r="B239">
        <v>18</v>
      </c>
      <c r="C239" s="25" t="s">
        <v>219</v>
      </c>
      <c r="D239" s="12">
        <v>9.1264730938731624</v>
      </c>
      <c r="E239" s="14">
        <v>2.3759000203058229</v>
      </c>
      <c r="F239" s="7">
        <v>3.8412698412698409</v>
      </c>
      <c r="G239" s="7">
        <f t="shared" si="58"/>
        <v>6.7505730735673399</v>
      </c>
      <c r="H239" s="16">
        <f t="shared" si="59"/>
        <v>11.502373114178985</v>
      </c>
      <c r="I239" s="11">
        <f t="shared" si="60"/>
        <v>6.3908046110112735E-2</v>
      </c>
      <c r="J239" s="33">
        <f t="shared" si="61"/>
        <v>1.6637218615442571E-2</v>
      </c>
      <c r="K239" s="33">
        <f t="shared" si="62"/>
        <v>60.106200628499629</v>
      </c>
      <c r="L239" s="33">
        <f t="shared" si="63"/>
        <v>4.7270827494670167E-2</v>
      </c>
      <c r="M239" s="33">
        <f t="shared" si="64"/>
        <v>8.0545264725555302E-2</v>
      </c>
      <c r="N239" s="8">
        <v>1</v>
      </c>
      <c r="O239" s="9">
        <v>0</v>
      </c>
      <c r="P239" s="8">
        <v>1</v>
      </c>
      <c r="Q239" s="9">
        <v>0</v>
      </c>
      <c r="R239" s="9">
        <v>0</v>
      </c>
      <c r="S239" s="9">
        <v>0</v>
      </c>
      <c r="T239" s="9">
        <v>0</v>
      </c>
      <c r="U239" s="8">
        <v>3611</v>
      </c>
      <c r="V239" s="9">
        <v>12</v>
      </c>
      <c r="W239" s="9">
        <f t="shared" si="65"/>
        <v>3598</v>
      </c>
      <c r="X239" s="9">
        <f t="shared" si="66"/>
        <v>48</v>
      </c>
      <c r="Y239" s="7">
        <v>9</v>
      </c>
      <c r="Z239" s="7">
        <f t="shared" si="70"/>
        <v>29.274999999999999</v>
      </c>
      <c r="AA239" s="9">
        <v>0</v>
      </c>
      <c r="AB239" s="9">
        <v>1</v>
      </c>
      <c r="AC239" s="9">
        <v>1</v>
      </c>
      <c r="AD239" s="9">
        <v>0</v>
      </c>
      <c r="AE239" s="9">
        <v>0</v>
      </c>
      <c r="AF239" s="9">
        <v>0</v>
      </c>
      <c r="AG239" s="8">
        <v>0</v>
      </c>
      <c r="AH239" s="9">
        <v>1</v>
      </c>
      <c r="AI239" s="30">
        <v>0</v>
      </c>
      <c r="AJ239" s="9">
        <v>1</v>
      </c>
      <c r="AK239" s="30">
        <v>0</v>
      </c>
      <c r="AL239" s="21">
        <v>2001</v>
      </c>
      <c r="AM239" s="23">
        <f t="shared" si="67"/>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23</v>
      </c>
      <c r="DB239" s="34"/>
    </row>
    <row r="240" spans="1:106" x14ac:dyDescent="0.25">
      <c r="A240">
        <v>239</v>
      </c>
      <c r="B240">
        <v>18</v>
      </c>
      <c r="C240" s="25" t="s">
        <v>219</v>
      </c>
      <c r="D240" s="12">
        <v>10.439231112372671</v>
      </c>
      <c r="E240" s="14">
        <v>0.74565936516947673</v>
      </c>
      <c r="F240" s="7">
        <v>14</v>
      </c>
      <c r="G240" s="7">
        <f t="shared" si="58"/>
        <v>9.6935717472031939</v>
      </c>
      <c r="H240" s="16">
        <f t="shared" si="59"/>
        <v>11.184890477542147</v>
      </c>
      <c r="I240" s="11">
        <f t="shared" si="60"/>
        <v>0.22737941430131367</v>
      </c>
      <c r="J240" s="33">
        <f t="shared" si="61"/>
        <v>1.6241386735808119E-2</v>
      </c>
      <c r="K240" s="33">
        <f t="shared" si="62"/>
        <v>61.571097115448573</v>
      </c>
      <c r="L240" s="33">
        <f t="shared" si="63"/>
        <v>0.21113802756550554</v>
      </c>
      <c r="M240" s="33">
        <f t="shared" si="64"/>
        <v>0.2436208010371218</v>
      </c>
      <c r="N240" s="8">
        <v>1</v>
      </c>
      <c r="O240" s="9">
        <v>0</v>
      </c>
      <c r="P240" s="8">
        <v>1</v>
      </c>
      <c r="Q240" s="9">
        <v>0</v>
      </c>
      <c r="R240" s="9">
        <v>0</v>
      </c>
      <c r="S240" s="9">
        <v>0</v>
      </c>
      <c r="T240" s="9">
        <v>0</v>
      </c>
      <c r="U240" s="8">
        <v>3611</v>
      </c>
      <c r="V240" s="9">
        <v>15</v>
      </c>
      <c r="W240" s="9">
        <f t="shared" si="65"/>
        <v>3595</v>
      </c>
      <c r="X240" s="9">
        <f t="shared" si="66"/>
        <v>48</v>
      </c>
      <c r="Y240" s="7">
        <v>17</v>
      </c>
      <c r="Z240" s="7">
        <f t="shared" si="70"/>
        <v>21.274999999999999</v>
      </c>
      <c r="AA240" s="9">
        <v>0</v>
      </c>
      <c r="AB240" s="9">
        <v>1</v>
      </c>
      <c r="AC240" s="9">
        <v>1</v>
      </c>
      <c r="AD240" s="9">
        <v>0</v>
      </c>
      <c r="AE240" s="9">
        <v>0</v>
      </c>
      <c r="AF240" s="9">
        <v>0</v>
      </c>
      <c r="AG240" s="8">
        <v>0</v>
      </c>
      <c r="AH240" s="9">
        <v>1</v>
      </c>
      <c r="AI240" s="30">
        <v>0</v>
      </c>
      <c r="AJ240" s="9">
        <v>1</v>
      </c>
      <c r="AK240" s="30">
        <v>0</v>
      </c>
      <c r="AL240" s="21">
        <v>2001</v>
      </c>
      <c r="AM240" s="23">
        <f t="shared" si="67"/>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23</v>
      </c>
      <c r="DB240" s="34"/>
    </row>
    <row r="241" spans="1:106" x14ac:dyDescent="0.25">
      <c r="A241">
        <v>240</v>
      </c>
      <c r="B241">
        <v>18</v>
      </c>
      <c r="C241" s="25" t="s">
        <v>219</v>
      </c>
      <c r="D241" s="12">
        <v>7.7481666176751602</v>
      </c>
      <c r="E241" s="14">
        <v>1.075104458911865</v>
      </c>
      <c r="F241" s="7">
        <v>7.206896551724137</v>
      </c>
      <c r="G241" s="7">
        <f t="shared" si="58"/>
        <v>6.6730621587632957</v>
      </c>
      <c r="H241" s="16">
        <f t="shared" si="59"/>
        <v>8.8232710765870248</v>
      </c>
      <c r="I241" s="11">
        <f t="shared" si="60"/>
        <v>0.11933944596542113</v>
      </c>
      <c r="J241" s="33">
        <f t="shared" si="61"/>
        <v>1.6559061880369444E-2</v>
      </c>
      <c r="K241" s="33">
        <f t="shared" si="62"/>
        <v>60.389894501541008</v>
      </c>
      <c r="L241" s="33">
        <f t="shared" si="63"/>
        <v>0.10278038408505169</v>
      </c>
      <c r="M241" s="33">
        <f t="shared" si="64"/>
        <v>0.13589850784579058</v>
      </c>
      <c r="N241" s="8">
        <v>1</v>
      </c>
      <c r="O241" s="9">
        <v>0</v>
      </c>
      <c r="P241" s="8">
        <v>1</v>
      </c>
      <c r="Q241" s="9">
        <v>0</v>
      </c>
      <c r="R241" s="9">
        <v>0</v>
      </c>
      <c r="S241" s="9">
        <v>0</v>
      </c>
      <c r="T241" s="9">
        <v>0</v>
      </c>
      <c r="U241" s="8">
        <v>3611</v>
      </c>
      <c r="V241" s="9">
        <v>15</v>
      </c>
      <c r="W241" s="9">
        <f t="shared" si="65"/>
        <v>3595</v>
      </c>
      <c r="X241" s="9">
        <f t="shared" si="66"/>
        <v>48</v>
      </c>
      <c r="Y241" s="7">
        <v>12</v>
      </c>
      <c r="Z241" s="7">
        <f t="shared" si="70"/>
        <v>26.274999999999999</v>
      </c>
      <c r="AA241" s="9">
        <v>0</v>
      </c>
      <c r="AB241" s="9">
        <v>1</v>
      </c>
      <c r="AC241" s="9">
        <v>1</v>
      </c>
      <c r="AD241" s="9">
        <v>0</v>
      </c>
      <c r="AE241" s="9">
        <v>0</v>
      </c>
      <c r="AF241" s="9">
        <v>0</v>
      </c>
      <c r="AG241" s="8">
        <v>0</v>
      </c>
      <c r="AH241" s="9">
        <v>1</v>
      </c>
      <c r="AI241" s="30">
        <v>0</v>
      </c>
      <c r="AJ241" s="9">
        <v>1</v>
      </c>
      <c r="AK241" s="30">
        <v>0</v>
      </c>
      <c r="AL241" s="21">
        <v>2001</v>
      </c>
      <c r="AM241" s="23">
        <f t="shared" si="67"/>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23</v>
      </c>
      <c r="DB241" s="34"/>
    </row>
    <row r="242" spans="1:106" x14ac:dyDescent="0.25">
      <c r="A242">
        <v>241</v>
      </c>
      <c r="B242">
        <v>18</v>
      </c>
      <c r="C242" s="25" t="s">
        <v>219</v>
      </c>
      <c r="D242" s="12">
        <v>8.7881497402592608</v>
      </c>
      <c r="E242" s="14">
        <v>2.4035965101563792</v>
      </c>
      <c r="F242" s="7">
        <v>3.65625</v>
      </c>
      <c r="G242" s="7">
        <f t="shared" si="58"/>
        <v>6.3845532301028811</v>
      </c>
      <c r="H242" s="16">
        <f t="shared" si="59"/>
        <v>11.19174625041564</v>
      </c>
      <c r="I242" s="11">
        <f t="shared" si="60"/>
        <v>6.0866798928885767E-2</v>
      </c>
      <c r="J242" s="33">
        <f t="shared" si="61"/>
        <v>1.6647329621575595E-2</v>
      </c>
      <c r="K242" s="33">
        <f t="shared" si="62"/>
        <v>60.069694223147991</v>
      </c>
      <c r="L242" s="33">
        <f t="shared" si="63"/>
        <v>4.4219469307310175E-2</v>
      </c>
      <c r="M242" s="33">
        <f t="shared" si="64"/>
        <v>7.7514128550461359E-2</v>
      </c>
      <c r="N242" s="8">
        <v>1</v>
      </c>
      <c r="O242" s="9">
        <v>0</v>
      </c>
      <c r="P242" s="8">
        <v>1</v>
      </c>
      <c r="Q242" s="9">
        <v>0</v>
      </c>
      <c r="R242" s="9">
        <v>0</v>
      </c>
      <c r="S242" s="9">
        <v>0</v>
      </c>
      <c r="T242" s="9">
        <v>0</v>
      </c>
      <c r="U242" s="8">
        <v>3611</v>
      </c>
      <c r="V242" s="9">
        <v>15</v>
      </c>
      <c r="W242" s="9">
        <f t="shared" si="65"/>
        <v>3595</v>
      </c>
      <c r="X242" s="9">
        <f t="shared" si="66"/>
        <v>48</v>
      </c>
      <c r="Y242" s="7">
        <v>9</v>
      </c>
      <c r="Z242" s="7">
        <f t="shared" si="70"/>
        <v>29.274999999999999</v>
      </c>
      <c r="AA242" s="9">
        <v>0</v>
      </c>
      <c r="AB242" s="9">
        <v>1</v>
      </c>
      <c r="AC242" s="9">
        <v>1</v>
      </c>
      <c r="AD242" s="9">
        <v>0</v>
      </c>
      <c r="AE242" s="9">
        <v>0</v>
      </c>
      <c r="AF242" s="9">
        <v>0</v>
      </c>
      <c r="AG242" s="8">
        <v>0</v>
      </c>
      <c r="AH242" s="9">
        <v>1</v>
      </c>
      <c r="AI242" s="30">
        <v>0</v>
      </c>
      <c r="AJ242" s="9">
        <v>1</v>
      </c>
      <c r="AK242" s="30">
        <v>0</v>
      </c>
      <c r="AL242" s="21">
        <v>2001</v>
      </c>
      <c r="AM242" s="23">
        <f t="shared" si="67"/>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23</v>
      </c>
      <c r="DB242" s="34"/>
    </row>
    <row r="243" spans="1:106" x14ac:dyDescent="0.25">
      <c r="A243">
        <v>242</v>
      </c>
      <c r="B243">
        <v>18</v>
      </c>
      <c r="C243" s="25" t="s">
        <v>219</v>
      </c>
      <c r="D243" s="12">
        <v>9.6</v>
      </c>
      <c r="E243" s="14">
        <v>0.4</v>
      </c>
      <c r="F243" s="7">
        <f t="shared" ref="F243:F254" si="71">D243/E243</f>
        <v>23.999999999999996</v>
      </c>
      <c r="G243" s="7">
        <f t="shared" si="58"/>
        <v>9.1999999999999993</v>
      </c>
      <c r="H243" s="16">
        <f t="shared" si="59"/>
        <v>10</v>
      </c>
      <c r="I243" s="11">
        <f t="shared" si="60"/>
        <v>0.37112415986742592</v>
      </c>
      <c r="J243" s="33">
        <f t="shared" si="61"/>
        <v>1.5463506661142748E-2</v>
      </c>
      <c r="K243" s="33">
        <f t="shared" si="62"/>
        <v>64.668384856898967</v>
      </c>
      <c r="L243" s="33">
        <f t="shared" si="63"/>
        <v>0.35566065320628315</v>
      </c>
      <c r="M243" s="33">
        <f t="shared" si="64"/>
        <v>0.38658766652856869</v>
      </c>
      <c r="N243" s="8">
        <v>1</v>
      </c>
      <c r="O243" s="9">
        <v>0</v>
      </c>
      <c r="P243" s="8">
        <v>1</v>
      </c>
      <c r="Q243" s="9">
        <v>0</v>
      </c>
      <c r="R243" s="9">
        <v>0</v>
      </c>
      <c r="S243" s="9">
        <v>0</v>
      </c>
      <c r="T243" s="9">
        <v>0</v>
      </c>
      <c r="U243" s="8">
        <v>3613</v>
      </c>
      <c r="V243" s="9">
        <v>6</v>
      </c>
      <c r="W243" s="9">
        <f t="shared" si="65"/>
        <v>3606</v>
      </c>
      <c r="X243" s="9">
        <f t="shared" si="66"/>
        <v>48</v>
      </c>
      <c r="Y243" s="7">
        <v>10.967499999999999</v>
      </c>
      <c r="Z243" s="7">
        <f t="shared" si="70"/>
        <v>27.307499999999997</v>
      </c>
      <c r="AA243" s="9">
        <v>1</v>
      </c>
      <c r="AB243" s="9">
        <v>0</v>
      </c>
      <c r="AC243" s="9">
        <v>1</v>
      </c>
      <c r="AD243" s="9">
        <v>0</v>
      </c>
      <c r="AE243" s="9">
        <v>0</v>
      </c>
      <c r="AF243" s="9">
        <v>0</v>
      </c>
      <c r="AG243" s="8">
        <v>0</v>
      </c>
      <c r="AH243" s="9">
        <v>1</v>
      </c>
      <c r="AI243" s="30">
        <v>0</v>
      </c>
      <c r="AJ243" s="9">
        <v>1</v>
      </c>
      <c r="AK243" s="30">
        <v>0</v>
      </c>
      <c r="AL243" s="21">
        <v>2001</v>
      </c>
      <c r="AM243" s="23">
        <f t="shared" si="67"/>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23</v>
      </c>
      <c r="DB243" s="34"/>
    </row>
    <row r="244" spans="1:106" x14ac:dyDescent="0.25">
      <c r="A244">
        <v>243</v>
      </c>
      <c r="B244">
        <v>18</v>
      </c>
      <c r="C244" s="25" t="s">
        <v>219</v>
      </c>
      <c r="D244" s="12">
        <v>9.6</v>
      </c>
      <c r="E244" s="14">
        <v>0.4</v>
      </c>
      <c r="F244" s="7">
        <f t="shared" si="71"/>
        <v>23.999999999999996</v>
      </c>
      <c r="G244" s="7">
        <f t="shared" si="58"/>
        <v>9.1999999999999993</v>
      </c>
      <c r="H244" s="16">
        <f t="shared" si="59"/>
        <v>10</v>
      </c>
      <c r="I244" s="11">
        <f t="shared" si="60"/>
        <v>0.37112415986742592</v>
      </c>
      <c r="J244" s="33">
        <f t="shared" si="61"/>
        <v>1.5463506661142748E-2</v>
      </c>
      <c r="K244" s="33">
        <f t="shared" si="62"/>
        <v>64.668384856898967</v>
      </c>
      <c r="L244" s="33">
        <f t="shared" si="63"/>
        <v>0.35566065320628315</v>
      </c>
      <c r="M244" s="33">
        <f t="shared" si="64"/>
        <v>0.38658766652856869</v>
      </c>
      <c r="N244" s="8">
        <v>1</v>
      </c>
      <c r="O244" s="9">
        <v>0</v>
      </c>
      <c r="P244" s="8">
        <v>1</v>
      </c>
      <c r="Q244" s="9">
        <v>0</v>
      </c>
      <c r="R244" s="9">
        <v>0</v>
      </c>
      <c r="S244" s="9">
        <v>0</v>
      </c>
      <c r="T244" s="9">
        <v>0</v>
      </c>
      <c r="U244" s="8">
        <v>3613</v>
      </c>
      <c r="V244" s="9">
        <v>6</v>
      </c>
      <c r="W244" s="9">
        <f t="shared" si="65"/>
        <v>3606</v>
      </c>
      <c r="X244" s="9">
        <f t="shared" si="66"/>
        <v>48</v>
      </c>
      <c r="Y244" s="7">
        <v>10.967499999999999</v>
      </c>
      <c r="Z244" s="7">
        <f t="shared" si="70"/>
        <v>27.307499999999997</v>
      </c>
      <c r="AA244" s="9">
        <v>1</v>
      </c>
      <c r="AB244" s="9">
        <v>0</v>
      </c>
      <c r="AC244" s="9">
        <v>1</v>
      </c>
      <c r="AD244" s="9">
        <v>0</v>
      </c>
      <c r="AE244" s="9">
        <v>0</v>
      </c>
      <c r="AF244" s="9">
        <v>0</v>
      </c>
      <c r="AG244" s="8">
        <v>0</v>
      </c>
      <c r="AH244" s="9">
        <v>1</v>
      </c>
      <c r="AI244" s="30">
        <v>0</v>
      </c>
      <c r="AJ244" s="9">
        <v>1</v>
      </c>
      <c r="AK244" s="30">
        <v>0</v>
      </c>
      <c r="AL244" s="21">
        <v>2001</v>
      </c>
      <c r="AM244" s="23">
        <f t="shared" si="67"/>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23</v>
      </c>
      <c r="DB244" s="34"/>
    </row>
    <row r="245" spans="1:106" x14ac:dyDescent="0.25">
      <c r="A245">
        <v>244</v>
      </c>
      <c r="B245">
        <v>18</v>
      </c>
      <c r="C245" s="25" t="s">
        <v>219</v>
      </c>
      <c r="D245" s="12">
        <v>8.9</v>
      </c>
      <c r="E245" s="14">
        <v>0.4</v>
      </c>
      <c r="F245" s="7">
        <f t="shared" si="71"/>
        <v>22.25</v>
      </c>
      <c r="G245" s="7">
        <f t="shared" si="58"/>
        <v>8.5</v>
      </c>
      <c r="H245" s="16">
        <f t="shared" si="59"/>
        <v>9.3000000000000007</v>
      </c>
      <c r="I245" s="11">
        <f t="shared" si="60"/>
        <v>0.34782347219477794</v>
      </c>
      <c r="J245" s="33">
        <f t="shared" si="61"/>
        <v>1.5632515604259684E-2</v>
      </c>
      <c r="K245" s="33">
        <f t="shared" si="62"/>
        <v>63.969230884855875</v>
      </c>
      <c r="L245" s="33">
        <f t="shared" si="63"/>
        <v>0.33219095659051823</v>
      </c>
      <c r="M245" s="33">
        <f t="shared" si="64"/>
        <v>0.36345598779903765</v>
      </c>
      <c r="N245" s="8">
        <v>1</v>
      </c>
      <c r="O245" s="9">
        <v>0</v>
      </c>
      <c r="P245" s="8">
        <v>1</v>
      </c>
      <c r="Q245" s="9">
        <v>0</v>
      </c>
      <c r="R245" s="9">
        <v>0</v>
      </c>
      <c r="S245" s="9">
        <v>0</v>
      </c>
      <c r="T245" s="9">
        <v>0</v>
      </c>
      <c r="U245" s="8">
        <v>3610</v>
      </c>
      <c r="V245" s="9">
        <v>12</v>
      </c>
      <c r="W245" s="9">
        <f t="shared" si="65"/>
        <v>3597</v>
      </c>
      <c r="X245" s="9">
        <f t="shared" si="66"/>
        <v>48</v>
      </c>
      <c r="Y245" s="7">
        <v>10.967499999999999</v>
      </c>
      <c r="Z245" s="7">
        <f t="shared" si="70"/>
        <v>27.307499999999997</v>
      </c>
      <c r="AA245" s="9">
        <v>1</v>
      </c>
      <c r="AB245" s="9">
        <v>0</v>
      </c>
      <c r="AC245" s="9">
        <v>1</v>
      </c>
      <c r="AD245" s="9">
        <v>0</v>
      </c>
      <c r="AE245" s="9">
        <v>0</v>
      </c>
      <c r="AF245" s="9">
        <v>0</v>
      </c>
      <c r="AG245" s="8">
        <v>0</v>
      </c>
      <c r="AH245" s="9">
        <v>1</v>
      </c>
      <c r="AI245" s="30">
        <v>0</v>
      </c>
      <c r="AJ245" s="9">
        <v>1</v>
      </c>
      <c r="AK245" s="30">
        <v>0</v>
      </c>
      <c r="AL245" s="21">
        <v>2001</v>
      </c>
      <c r="AM245" s="23">
        <f t="shared" si="67"/>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23</v>
      </c>
      <c r="DB245" s="34"/>
    </row>
    <row r="246" spans="1:106" x14ac:dyDescent="0.25">
      <c r="A246">
        <v>245</v>
      </c>
      <c r="B246">
        <v>18</v>
      </c>
      <c r="C246" s="25" t="s">
        <v>219</v>
      </c>
      <c r="D246" s="12">
        <v>8.3000000000000007</v>
      </c>
      <c r="E246" s="14">
        <v>0.4</v>
      </c>
      <c r="F246" s="7">
        <f t="shared" si="71"/>
        <v>20.75</v>
      </c>
      <c r="G246" s="7">
        <f t="shared" si="58"/>
        <v>7.9</v>
      </c>
      <c r="H246" s="16">
        <f t="shared" si="59"/>
        <v>8.7000000000000011</v>
      </c>
      <c r="I246" s="11">
        <f t="shared" si="60"/>
        <v>0.32708359535466042</v>
      </c>
      <c r="J246" s="33">
        <f t="shared" si="61"/>
        <v>1.5763064836369176E-2</v>
      </c>
      <c r="K246" s="33">
        <f t="shared" si="62"/>
        <v>63.439439625520023</v>
      </c>
      <c r="L246" s="33">
        <f t="shared" si="63"/>
        <v>0.31132053051829123</v>
      </c>
      <c r="M246" s="33">
        <f t="shared" si="64"/>
        <v>0.34284666019102961</v>
      </c>
      <c r="N246" s="8">
        <v>1</v>
      </c>
      <c r="O246" s="9">
        <v>0</v>
      </c>
      <c r="P246" s="8">
        <v>1</v>
      </c>
      <c r="Q246" s="9">
        <v>0</v>
      </c>
      <c r="R246" s="9">
        <v>0</v>
      </c>
      <c r="S246" s="9">
        <v>0</v>
      </c>
      <c r="T246" s="9">
        <v>0</v>
      </c>
      <c r="U246" s="8">
        <v>3610</v>
      </c>
      <c r="V246" s="9">
        <v>15</v>
      </c>
      <c r="W246" s="9">
        <f t="shared" si="65"/>
        <v>3594</v>
      </c>
      <c r="X246" s="9">
        <f t="shared" si="66"/>
        <v>48</v>
      </c>
      <c r="Y246" s="7">
        <v>10.967499999999999</v>
      </c>
      <c r="Z246" s="7">
        <f t="shared" si="70"/>
        <v>27.307499999999997</v>
      </c>
      <c r="AA246" s="9">
        <v>1</v>
      </c>
      <c r="AB246" s="9">
        <v>0</v>
      </c>
      <c r="AC246" s="9">
        <v>1</v>
      </c>
      <c r="AD246" s="9">
        <v>0</v>
      </c>
      <c r="AE246" s="9">
        <v>0</v>
      </c>
      <c r="AF246" s="9">
        <v>0</v>
      </c>
      <c r="AG246" s="8">
        <v>0</v>
      </c>
      <c r="AH246" s="9">
        <v>1</v>
      </c>
      <c r="AI246" s="30">
        <v>0</v>
      </c>
      <c r="AJ246" s="9">
        <v>1</v>
      </c>
      <c r="AK246" s="30">
        <v>0</v>
      </c>
      <c r="AL246" s="21">
        <v>2001</v>
      </c>
      <c r="AM246" s="23">
        <f t="shared" si="67"/>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23</v>
      </c>
      <c r="DB246" s="34"/>
    </row>
    <row r="247" spans="1:106" x14ac:dyDescent="0.25">
      <c r="A247">
        <v>246</v>
      </c>
      <c r="B247">
        <v>18</v>
      </c>
      <c r="C247" s="25" t="s">
        <v>219</v>
      </c>
      <c r="D247" s="12">
        <v>13.5</v>
      </c>
      <c r="E247" s="14">
        <v>0.7</v>
      </c>
      <c r="F247" s="7">
        <f t="shared" si="71"/>
        <v>19.285714285714288</v>
      </c>
      <c r="G247" s="7">
        <f t="shared" si="58"/>
        <v>12.8</v>
      </c>
      <c r="H247" s="16">
        <f t="shared" si="59"/>
        <v>14.2</v>
      </c>
      <c r="I247" s="11">
        <f t="shared" si="60"/>
        <v>0.30573988659797846</v>
      </c>
      <c r="J247" s="33">
        <f t="shared" si="61"/>
        <v>1.5853179305080366E-2</v>
      </c>
      <c r="K247" s="33">
        <f t="shared" si="62"/>
        <v>63.078829852100171</v>
      </c>
      <c r="L247" s="33">
        <f t="shared" si="63"/>
        <v>0.28988670729289812</v>
      </c>
      <c r="M247" s="33">
        <f t="shared" si="64"/>
        <v>0.32159306590305881</v>
      </c>
      <c r="N247" s="8">
        <v>1</v>
      </c>
      <c r="O247" s="9">
        <v>0</v>
      </c>
      <c r="P247" s="8">
        <v>1</v>
      </c>
      <c r="Q247" s="9">
        <v>0</v>
      </c>
      <c r="R247" s="9">
        <v>0</v>
      </c>
      <c r="S247" s="9">
        <v>0</v>
      </c>
      <c r="T247" s="9">
        <v>0</v>
      </c>
      <c r="U247" s="8">
        <v>3613</v>
      </c>
      <c r="V247" s="9">
        <v>5</v>
      </c>
      <c r="W247" s="9">
        <f t="shared" si="65"/>
        <v>3607</v>
      </c>
      <c r="X247" s="9">
        <f t="shared" si="66"/>
        <v>48</v>
      </c>
      <c r="Y247" s="7">
        <v>17</v>
      </c>
      <c r="Z247" s="7">
        <f t="shared" si="70"/>
        <v>21.274999999999999</v>
      </c>
      <c r="AA247" s="9">
        <v>1</v>
      </c>
      <c r="AB247" s="9">
        <v>0</v>
      </c>
      <c r="AC247" s="9">
        <v>1</v>
      </c>
      <c r="AD247" s="9">
        <v>0</v>
      </c>
      <c r="AE247" s="9">
        <v>0</v>
      </c>
      <c r="AF247" s="9">
        <v>0</v>
      </c>
      <c r="AG247" s="8">
        <v>0</v>
      </c>
      <c r="AH247" s="9">
        <v>1</v>
      </c>
      <c r="AI247" s="30">
        <v>0</v>
      </c>
      <c r="AJ247" s="9">
        <v>1</v>
      </c>
      <c r="AK247" s="30">
        <v>0</v>
      </c>
      <c r="AL247" s="21">
        <v>2001</v>
      </c>
      <c r="AM247" s="23">
        <f t="shared" si="67"/>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23</v>
      </c>
      <c r="DB247" s="34"/>
    </row>
    <row r="248" spans="1:106" x14ac:dyDescent="0.25">
      <c r="A248">
        <v>247</v>
      </c>
      <c r="B248">
        <v>18</v>
      </c>
      <c r="C248" s="25" t="s">
        <v>219</v>
      </c>
      <c r="D248" s="12">
        <v>6.3</v>
      </c>
      <c r="E248" s="14">
        <v>0.7</v>
      </c>
      <c r="F248" s="7">
        <f t="shared" si="71"/>
        <v>9</v>
      </c>
      <c r="G248" s="7">
        <f t="shared" si="58"/>
        <v>5.6</v>
      </c>
      <c r="H248" s="16">
        <f t="shared" si="59"/>
        <v>7</v>
      </c>
      <c r="I248" s="11">
        <f t="shared" si="60"/>
        <v>0.14819960743622645</v>
      </c>
      <c r="J248" s="33">
        <f t="shared" si="61"/>
        <v>1.6466623048469606E-2</v>
      </c>
      <c r="K248" s="33">
        <f t="shared" si="62"/>
        <v>60.728905802755904</v>
      </c>
      <c r="L248" s="33">
        <f t="shared" si="63"/>
        <v>0.13173298438775685</v>
      </c>
      <c r="M248" s="33">
        <f t="shared" si="64"/>
        <v>0.16466623048469606</v>
      </c>
      <c r="N248" s="8">
        <v>1</v>
      </c>
      <c r="O248" s="9">
        <v>0</v>
      </c>
      <c r="P248" s="8">
        <v>1</v>
      </c>
      <c r="Q248" s="9">
        <v>0</v>
      </c>
      <c r="R248" s="9">
        <v>0</v>
      </c>
      <c r="S248" s="9">
        <v>0</v>
      </c>
      <c r="T248" s="9">
        <v>0</v>
      </c>
      <c r="U248" s="8">
        <v>3613</v>
      </c>
      <c r="V248" s="9">
        <v>5</v>
      </c>
      <c r="W248" s="9">
        <f t="shared" si="65"/>
        <v>3607</v>
      </c>
      <c r="X248" s="9">
        <f t="shared" si="66"/>
        <v>48</v>
      </c>
      <c r="Y248" s="7">
        <v>7</v>
      </c>
      <c r="Z248" s="7">
        <f t="shared" si="70"/>
        <v>31.274999999999999</v>
      </c>
      <c r="AA248" s="9">
        <v>1</v>
      </c>
      <c r="AB248" s="9">
        <v>0</v>
      </c>
      <c r="AC248" s="9">
        <v>1</v>
      </c>
      <c r="AD248" s="9">
        <v>0</v>
      </c>
      <c r="AE248" s="9">
        <v>0</v>
      </c>
      <c r="AF248" s="9">
        <v>0</v>
      </c>
      <c r="AG248" s="8">
        <v>0</v>
      </c>
      <c r="AH248" s="9">
        <v>1</v>
      </c>
      <c r="AI248" s="30">
        <v>0</v>
      </c>
      <c r="AJ248" s="9">
        <v>1</v>
      </c>
      <c r="AK248" s="30">
        <v>0</v>
      </c>
      <c r="AL248" s="21">
        <v>2001</v>
      </c>
      <c r="AM248" s="23">
        <f t="shared" si="67"/>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23</v>
      </c>
      <c r="DB248" s="34"/>
    </row>
    <row r="249" spans="1:106" x14ac:dyDescent="0.25">
      <c r="A249">
        <v>248</v>
      </c>
      <c r="B249">
        <v>18</v>
      </c>
      <c r="C249" s="25" t="s">
        <v>219</v>
      </c>
      <c r="D249" s="12">
        <v>13.5</v>
      </c>
      <c r="E249" s="14">
        <v>0.7</v>
      </c>
      <c r="F249" s="7">
        <f t="shared" si="71"/>
        <v>19.285714285714288</v>
      </c>
      <c r="G249" s="7">
        <f t="shared" si="58"/>
        <v>12.8</v>
      </c>
      <c r="H249" s="16">
        <f t="shared" si="59"/>
        <v>14.2</v>
      </c>
      <c r="I249" s="11">
        <f t="shared" si="60"/>
        <v>0.30573988659797846</v>
      </c>
      <c r="J249" s="33">
        <f t="shared" si="61"/>
        <v>1.5853179305080366E-2</v>
      </c>
      <c r="K249" s="33">
        <f t="shared" si="62"/>
        <v>63.078829852100171</v>
      </c>
      <c r="L249" s="33">
        <f t="shared" si="63"/>
        <v>0.28988670729289812</v>
      </c>
      <c r="M249" s="33">
        <f t="shared" si="64"/>
        <v>0.32159306590305881</v>
      </c>
      <c r="N249" s="8">
        <v>1</v>
      </c>
      <c r="O249" s="9">
        <v>0</v>
      </c>
      <c r="P249" s="8">
        <v>1</v>
      </c>
      <c r="Q249" s="9">
        <v>0</v>
      </c>
      <c r="R249" s="9">
        <v>0</v>
      </c>
      <c r="S249" s="9">
        <v>0</v>
      </c>
      <c r="T249" s="9">
        <v>0</v>
      </c>
      <c r="U249" s="8">
        <v>3613</v>
      </c>
      <c r="V249" s="9">
        <v>5</v>
      </c>
      <c r="W249" s="9">
        <f t="shared" si="65"/>
        <v>3607</v>
      </c>
      <c r="X249" s="9">
        <f t="shared" si="66"/>
        <v>48</v>
      </c>
      <c r="Y249" s="7">
        <v>17</v>
      </c>
      <c r="Z249" s="7">
        <f t="shared" si="70"/>
        <v>21.274999999999999</v>
      </c>
      <c r="AA249" s="9">
        <v>1</v>
      </c>
      <c r="AB249" s="9">
        <v>0</v>
      </c>
      <c r="AC249" s="9">
        <v>1</v>
      </c>
      <c r="AD249" s="9">
        <v>0</v>
      </c>
      <c r="AE249" s="9">
        <v>0</v>
      </c>
      <c r="AF249" s="9">
        <v>0</v>
      </c>
      <c r="AG249" s="8">
        <v>0</v>
      </c>
      <c r="AH249" s="9">
        <v>1</v>
      </c>
      <c r="AI249" s="30">
        <v>0</v>
      </c>
      <c r="AJ249" s="9">
        <v>1</v>
      </c>
      <c r="AK249" s="30">
        <v>0</v>
      </c>
      <c r="AL249" s="21">
        <v>2001</v>
      </c>
      <c r="AM249" s="23">
        <f t="shared" si="67"/>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23</v>
      </c>
      <c r="DB249" s="34"/>
    </row>
    <row r="250" spans="1:106" x14ac:dyDescent="0.25">
      <c r="A250">
        <v>249</v>
      </c>
      <c r="B250">
        <v>18</v>
      </c>
      <c r="C250" s="25" t="s">
        <v>219</v>
      </c>
      <c r="D250" s="12">
        <v>6.2</v>
      </c>
      <c r="E250" s="14">
        <v>0.8</v>
      </c>
      <c r="F250" s="7">
        <f t="shared" si="71"/>
        <v>7.75</v>
      </c>
      <c r="G250" s="7">
        <f t="shared" si="58"/>
        <v>5.4</v>
      </c>
      <c r="H250" s="16">
        <f t="shared" si="59"/>
        <v>7</v>
      </c>
      <c r="I250" s="11">
        <f t="shared" si="60"/>
        <v>0.12803251186248216</v>
      </c>
      <c r="J250" s="33">
        <f t="shared" si="61"/>
        <v>1.652032411128802E-2</v>
      </c>
      <c r="K250" s="33">
        <f t="shared" si="62"/>
        <v>60.531500064016249</v>
      </c>
      <c r="L250" s="33">
        <f t="shared" si="63"/>
        <v>0.11151218775119413</v>
      </c>
      <c r="M250" s="33">
        <f t="shared" si="64"/>
        <v>0.14455283597377017</v>
      </c>
      <c r="N250" s="8">
        <v>1</v>
      </c>
      <c r="O250" s="9">
        <v>0</v>
      </c>
      <c r="P250" s="8">
        <v>1</v>
      </c>
      <c r="Q250" s="9">
        <v>0</v>
      </c>
      <c r="R250" s="9">
        <v>0</v>
      </c>
      <c r="S250" s="9">
        <v>0</v>
      </c>
      <c r="T250" s="9">
        <v>0</v>
      </c>
      <c r="U250" s="8">
        <v>3610</v>
      </c>
      <c r="V250" s="9">
        <v>5</v>
      </c>
      <c r="W250" s="9">
        <f t="shared" si="65"/>
        <v>3604</v>
      </c>
      <c r="X250" s="9">
        <f t="shared" si="66"/>
        <v>48</v>
      </c>
      <c r="Y250" s="7">
        <v>7</v>
      </c>
      <c r="Z250" s="7">
        <f t="shared" si="70"/>
        <v>31.274999999999999</v>
      </c>
      <c r="AA250" s="9">
        <v>1</v>
      </c>
      <c r="AB250" s="9">
        <v>0</v>
      </c>
      <c r="AC250" s="9">
        <v>1</v>
      </c>
      <c r="AD250" s="9">
        <v>0</v>
      </c>
      <c r="AE250" s="9">
        <v>0</v>
      </c>
      <c r="AF250" s="9">
        <v>0</v>
      </c>
      <c r="AG250" s="8">
        <v>0</v>
      </c>
      <c r="AH250" s="9">
        <v>1</v>
      </c>
      <c r="AI250" s="30">
        <v>0</v>
      </c>
      <c r="AJ250" s="9">
        <v>1</v>
      </c>
      <c r="AK250" s="30">
        <v>0</v>
      </c>
      <c r="AL250" s="21">
        <v>2001</v>
      </c>
      <c r="AM250" s="23">
        <f t="shared" si="67"/>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23</v>
      </c>
      <c r="DB250" s="34"/>
    </row>
    <row r="251" spans="1:106" x14ac:dyDescent="0.25">
      <c r="A251">
        <v>250</v>
      </c>
      <c r="B251">
        <v>18</v>
      </c>
      <c r="C251" s="25" t="s">
        <v>219</v>
      </c>
      <c r="D251" s="12">
        <v>12.9</v>
      </c>
      <c r="E251" s="14">
        <v>0.7</v>
      </c>
      <c r="F251" s="7">
        <f t="shared" si="71"/>
        <v>18.428571428571431</v>
      </c>
      <c r="G251" s="7">
        <f t="shared" si="58"/>
        <v>12.200000000000001</v>
      </c>
      <c r="H251" s="16">
        <f t="shared" si="59"/>
        <v>13.6</v>
      </c>
      <c r="I251" s="11">
        <f t="shared" si="60"/>
        <v>0.2936805581146279</v>
      </c>
      <c r="J251" s="33">
        <f t="shared" si="61"/>
        <v>1.5936154316297638E-2</v>
      </c>
      <c r="K251" s="33">
        <f t="shared" si="62"/>
        <v>62.750396372437024</v>
      </c>
      <c r="L251" s="33">
        <f t="shared" si="63"/>
        <v>0.27774440379833026</v>
      </c>
      <c r="M251" s="33">
        <f t="shared" si="64"/>
        <v>0.30961671243092553</v>
      </c>
      <c r="N251" s="8">
        <v>1</v>
      </c>
      <c r="O251" s="9">
        <v>0</v>
      </c>
      <c r="P251" s="8">
        <v>1</v>
      </c>
      <c r="Q251" s="9">
        <v>0</v>
      </c>
      <c r="R251" s="9">
        <v>0</v>
      </c>
      <c r="S251" s="9">
        <v>0</v>
      </c>
      <c r="T251" s="9">
        <v>0</v>
      </c>
      <c r="U251" s="8">
        <v>3610</v>
      </c>
      <c r="V251" s="9">
        <v>11</v>
      </c>
      <c r="W251" s="9">
        <f t="shared" si="65"/>
        <v>3598</v>
      </c>
      <c r="X251" s="9">
        <f t="shared" si="66"/>
        <v>48</v>
      </c>
      <c r="Y251" s="7">
        <v>17</v>
      </c>
      <c r="Z251" s="7">
        <f t="shared" si="70"/>
        <v>21.274999999999999</v>
      </c>
      <c r="AA251" s="9">
        <v>1</v>
      </c>
      <c r="AB251" s="9">
        <v>0</v>
      </c>
      <c r="AC251" s="9">
        <v>1</v>
      </c>
      <c r="AD251" s="9">
        <v>0</v>
      </c>
      <c r="AE251" s="9">
        <v>0</v>
      </c>
      <c r="AF251" s="9">
        <v>0</v>
      </c>
      <c r="AG251" s="8">
        <v>0</v>
      </c>
      <c r="AH251" s="9">
        <v>1</v>
      </c>
      <c r="AI251" s="30">
        <v>0</v>
      </c>
      <c r="AJ251" s="9">
        <v>1</v>
      </c>
      <c r="AK251" s="30">
        <v>0</v>
      </c>
      <c r="AL251" s="21">
        <v>2001</v>
      </c>
      <c r="AM251" s="23">
        <f t="shared" si="67"/>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23</v>
      </c>
      <c r="DB251" s="34"/>
    </row>
    <row r="252" spans="1:106" x14ac:dyDescent="0.25">
      <c r="A252">
        <v>251</v>
      </c>
      <c r="B252">
        <v>18</v>
      </c>
      <c r="C252" s="25" t="s">
        <v>219</v>
      </c>
      <c r="D252" s="12">
        <v>5.4</v>
      </c>
      <c r="E252" s="14">
        <v>0.7</v>
      </c>
      <c r="F252" s="7">
        <f t="shared" si="71"/>
        <v>7.7142857142857153</v>
      </c>
      <c r="G252" s="7">
        <f t="shared" si="58"/>
        <v>4.7</v>
      </c>
      <c r="H252" s="16">
        <f t="shared" si="59"/>
        <v>6.1000000000000005</v>
      </c>
      <c r="I252" s="11">
        <f t="shared" si="60"/>
        <v>0.12755660349884759</v>
      </c>
      <c r="J252" s="33">
        <f t="shared" si="61"/>
        <v>1.6535115268369132E-2</v>
      </c>
      <c r="K252" s="33">
        <f t="shared" si="62"/>
        <v>60.4773528197261</v>
      </c>
      <c r="L252" s="33">
        <f t="shared" si="63"/>
        <v>0.11102148823047846</v>
      </c>
      <c r="M252" s="33">
        <f t="shared" si="64"/>
        <v>0.14409171876721671</v>
      </c>
      <c r="N252" s="8">
        <v>1</v>
      </c>
      <c r="O252" s="9">
        <v>0</v>
      </c>
      <c r="P252" s="8">
        <v>1</v>
      </c>
      <c r="Q252" s="9">
        <v>0</v>
      </c>
      <c r="R252" s="9">
        <v>0</v>
      </c>
      <c r="S252" s="9">
        <v>0</v>
      </c>
      <c r="T252" s="9">
        <v>0</v>
      </c>
      <c r="U252" s="8">
        <v>3610</v>
      </c>
      <c r="V252" s="9">
        <v>11</v>
      </c>
      <c r="W252" s="9">
        <f t="shared" si="65"/>
        <v>3598</v>
      </c>
      <c r="X252" s="9">
        <f t="shared" si="66"/>
        <v>48</v>
      </c>
      <c r="Y252" s="7">
        <v>7</v>
      </c>
      <c r="Z252" s="7">
        <f t="shared" si="70"/>
        <v>31.274999999999999</v>
      </c>
      <c r="AA252" s="9">
        <v>1</v>
      </c>
      <c r="AB252" s="9">
        <v>0</v>
      </c>
      <c r="AC252" s="9">
        <v>1</v>
      </c>
      <c r="AD252" s="9">
        <v>0</v>
      </c>
      <c r="AE252" s="9">
        <v>0</v>
      </c>
      <c r="AF252" s="9">
        <v>0</v>
      </c>
      <c r="AG252" s="8">
        <v>0</v>
      </c>
      <c r="AH252" s="9">
        <v>1</v>
      </c>
      <c r="AI252" s="30">
        <v>0</v>
      </c>
      <c r="AJ252" s="9">
        <v>1</v>
      </c>
      <c r="AK252" s="30">
        <v>0</v>
      </c>
      <c r="AL252" s="21">
        <v>2001</v>
      </c>
      <c r="AM252" s="23">
        <f t="shared" si="67"/>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23</v>
      </c>
      <c r="DB252" s="34"/>
    </row>
    <row r="253" spans="1:106" x14ac:dyDescent="0.25">
      <c r="A253">
        <v>252</v>
      </c>
      <c r="B253">
        <v>18</v>
      </c>
      <c r="C253" s="25" t="s">
        <v>219</v>
      </c>
      <c r="D253" s="12">
        <v>11.9</v>
      </c>
      <c r="E253" s="14">
        <v>0.7</v>
      </c>
      <c r="F253" s="7">
        <f t="shared" si="71"/>
        <v>17</v>
      </c>
      <c r="G253" s="7">
        <f t="shared" si="58"/>
        <v>11.200000000000001</v>
      </c>
      <c r="H253" s="16">
        <f t="shared" si="59"/>
        <v>12.6</v>
      </c>
      <c r="I253" s="11">
        <f t="shared" si="60"/>
        <v>0.27277798111741397</v>
      </c>
      <c r="J253" s="33">
        <f t="shared" si="61"/>
        <v>1.6045763595141999E-2</v>
      </c>
      <c r="K253" s="33">
        <f t="shared" si="62"/>
        <v>62.321745803531535</v>
      </c>
      <c r="L253" s="33">
        <f t="shared" si="63"/>
        <v>0.25673221752227199</v>
      </c>
      <c r="M253" s="33">
        <f t="shared" si="64"/>
        <v>0.28882374471255595</v>
      </c>
      <c r="N253" s="8">
        <v>1</v>
      </c>
      <c r="O253" s="9">
        <v>0</v>
      </c>
      <c r="P253" s="8">
        <v>1</v>
      </c>
      <c r="Q253" s="9">
        <v>0</v>
      </c>
      <c r="R253" s="9">
        <v>0</v>
      </c>
      <c r="S253" s="9">
        <v>0</v>
      </c>
      <c r="T253" s="9">
        <v>0</v>
      </c>
      <c r="U253" s="8">
        <v>3610</v>
      </c>
      <c r="V253" s="9">
        <v>14</v>
      </c>
      <c r="W253" s="9">
        <f t="shared" si="65"/>
        <v>3595</v>
      </c>
      <c r="X253" s="9">
        <f t="shared" si="66"/>
        <v>48</v>
      </c>
      <c r="Y253" s="7">
        <v>17</v>
      </c>
      <c r="Z253" s="7">
        <f t="shared" si="70"/>
        <v>21.274999999999999</v>
      </c>
      <c r="AA253" s="9">
        <v>1</v>
      </c>
      <c r="AB253" s="9">
        <v>0</v>
      </c>
      <c r="AC253" s="9">
        <v>1</v>
      </c>
      <c r="AD253" s="9">
        <v>0</v>
      </c>
      <c r="AE253" s="9">
        <v>0</v>
      </c>
      <c r="AF253" s="9">
        <v>0</v>
      </c>
      <c r="AG253" s="8">
        <v>0</v>
      </c>
      <c r="AH253" s="9">
        <v>1</v>
      </c>
      <c r="AI253" s="30">
        <v>0</v>
      </c>
      <c r="AJ253" s="9">
        <v>1</v>
      </c>
      <c r="AK253" s="30">
        <v>0</v>
      </c>
      <c r="AL253" s="21">
        <v>2001</v>
      </c>
      <c r="AM253" s="23">
        <f t="shared" si="67"/>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23</v>
      </c>
      <c r="DB253" s="34"/>
    </row>
    <row r="254" spans="1:106" x14ac:dyDescent="0.25">
      <c r="A254">
        <v>253</v>
      </c>
      <c r="B254">
        <v>18</v>
      </c>
      <c r="C254" s="25" t="s">
        <v>219</v>
      </c>
      <c r="D254" s="12">
        <v>5.3</v>
      </c>
      <c r="E254" s="14">
        <v>0.8</v>
      </c>
      <c r="F254" s="7">
        <f t="shared" si="71"/>
        <v>6.6249999999999991</v>
      </c>
      <c r="G254" s="7">
        <f t="shared" si="58"/>
        <v>4.5</v>
      </c>
      <c r="H254" s="16">
        <f t="shared" si="59"/>
        <v>6.1</v>
      </c>
      <c r="I254" s="11">
        <f t="shared" si="60"/>
        <v>0.10982504289539416</v>
      </c>
      <c r="J254" s="33">
        <f t="shared" si="61"/>
        <v>1.6577364965342515E-2</v>
      </c>
      <c r="K254" s="33">
        <f t="shared" si="62"/>
        <v>60.323217959588334</v>
      </c>
      <c r="L254" s="33">
        <f t="shared" si="63"/>
        <v>9.3247677930051648E-2</v>
      </c>
      <c r="M254" s="33">
        <f t="shared" si="64"/>
        <v>0.12640240786073667</v>
      </c>
      <c r="N254" s="8">
        <v>1</v>
      </c>
      <c r="O254" s="9">
        <v>0</v>
      </c>
      <c r="P254" s="8">
        <v>1</v>
      </c>
      <c r="Q254" s="9">
        <v>0</v>
      </c>
      <c r="R254" s="9">
        <v>0</v>
      </c>
      <c r="S254" s="9">
        <v>0</v>
      </c>
      <c r="T254" s="9">
        <v>0</v>
      </c>
      <c r="U254" s="8">
        <v>3610</v>
      </c>
      <c r="V254" s="9">
        <v>14</v>
      </c>
      <c r="W254" s="9">
        <f t="shared" si="65"/>
        <v>3595</v>
      </c>
      <c r="X254" s="9">
        <f t="shared" si="66"/>
        <v>48</v>
      </c>
      <c r="Y254" s="7">
        <v>7</v>
      </c>
      <c r="Z254" s="7">
        <f t="shared" si="70"/>
        <v>31.274999999999999</v>
      </c>
      <c r="AA254" s="9">
        <v>1</v>
      </c>
      <c r="AB254" s="9">
        <v>0</v>
      </c>
      <c r="AC254" s="9">
        <v>1</v>
      </c>
      <c r="AD254" s="9">
        <v>0</v>
      </c>
      <c r="AE254" s="9">
        <v>0</v>
      </c>
      <c r="AF254" s="9">
        <v>0</v>
      </c>
      <c r="AG254" s="8">
        <v>0</v>
      </c>
      <c r="AH254" s="9">
        <v>1</v>
      </c>
      <c r="AI254" s="30">
        <v>0</v>
      </c>
      <c r="AJ254" s="9">
        <v>1</v>
      </c>
      <c r="AK254" s="30">
        <v>0</v>
      </c>
      <c r="AL254" s="21">
        <v>2001</v>
      </c>
      <c r="AM254" s="23">
        <f t="shared" si="67"/>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23</v>
      </c>
      <c r="DB254" s="34"/>
    </row>
    <row r="255" spans="1:106" x14ac:dyDescent="0.25">
      <c r="A255">
        <v>254</v>
      </c>
      <c r="B255">
        <v>18</v>
      </c>
      <c r="C255" s="25" t="s">
        <v>219</v>
      </c>
      <c r="D255" s="12">
        <v>10.439231112372671</v>
      </c>
      <c r="E255" s="14">
        <v>0.74565936516947673</v>
      </c>
      <c r="F255" s="7">
        <v>14</v>
      </c>
      <c r="G255" s="7">
        <f t="shared" si="58"/>
        <v>9.6935717472031939</v>
      </c>
      <c r="H255" s="16">
        <f t="shared" si="59"/>
        <v>11.184890477542147</v>
      </c>
      <c r="I255" s="11">
        <f t="shared" si="60"/>
        <v>0.22710998958306755</v>
      </c>
      <c r="J255" s="33">
        <f t="shared" si="61"/>
        <v>1.6222142113076255E-2</v>
      </c>
      <c r="K255" s="33">
        <f t="shared" si="62"/>
        <v>61.644140029689758</v>
      </c>
      <c r="L255" s="33">
        <f t="shared" si="63"/>
        <v>0.21088784746999129</v>
      </c>
      <c r="M255" s="33">
        <f t="shared" si="64"/>
        <v>0.24333213169614382</v>
      </c>
      <c r="N255" s="8">
        <v>1</v>
      </c>
      <c r="O255" s="9">
        <v>0</v>
      </c>
      <c r="P255" s="8">
        <v>1</v>
      </c>
      <c r="Q255" s="9">
        <v>0</v>
      </c>
      <c r="R255" s="9">
        <v>0</v>
      </c>
      <c r="S255" s="9">
        <v>0</v>
      </c>
      <c r="T255" s="9">
        <v>0</v>
      </c>
      <c r="U255" s="8">
        <v>3611</v>
      </c>
      <c r="V255" s="9">
        <v>6</v>
      </c>
      <c r="W255" s="9">
        <f t="shared" si="65"/>
        <v>3604</v>
      </c>
      <c r="X255" s="9">
        <f t="shared" si="66"/>
        <v>48</v>
      </c>
      <c r="Y255" s="7">
        <v>17</v>
      </c>
      <c r="Z255" s="7">
        <f t="shared" si="70"/>
        <v>21.274999999999999</v>
      </c>
      <c r="AA255" s="9">
        <v>0</v>
      </c>
      <c r="AB255" s="9">
        <v>1</v>
      </c>
      <c r="AC255" s="9">
        <v>1</v>
      </c>
      <c r="AD255" s="9">
        <v>0</v>
      </c>
      <c r="AE255" s="9">
        <v>0</v>
      </c>
      <c r="AF255" s="9">
        <v>0</v>
      </c>
      <c r="AG255" s="8">
        <v>0</v>
      </c>
      <c r="AH255" s="9">
        <v>1</v>
      </c>
      <c r="AI255" s="30">
        <v>0</v>
      </c>
      <c r="AJ255" s="9">
        <v>1</v>
      </c>
      <c r="AK255" s="30">
        <v>0</v>
      </c>
      <c r="AL255" s="21">
        <v>2001</v>
      </c>
      <c r="AM255" s="23">
        <f t="shared" si="67"/>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23</v>
      </c>
      <c r="DB255" s="34"/>
    </row>
    <row r="256" spans="1:106" x14ac:dyDescent="0.25">
      <c r="A256">
        <v>255</v>
      </c>
      <c r="B256">
        <v>18</v>
      </c>
      <c r="C256" s="25" t="s">
        <v>219</v>
      </c>
      <c r="D256" s="12">
        <v>7.7481666176751602</v>
      </c>
      <c r="E256" s="14">
        <v>1.075104458911865</v>
      </c>
      <c r="F256" s="7">
        <v>7.206896551724137</v>
      </c>
      <c r="G256" s="7">
        <f t="shared" si="58"/>
        <v>6.6730621587632957</v>
      </c>
      <c r="H256" s="16">
        <f t="shared" si="59"/>
        <v>8.8232710765870248</v>
      </c>
      <c r="I256" s="11">
        <f t="shared" si="60"/>
        <v>0.11919246365301839</v>
      </c>
      <c r="J256" s="33">
        <f t="shared" si="61"/>
        <v>1.6538667205442746E-2</v>
      </c>
      <c r="K256" s="33">
        <f t="shared" si="62"/>
        <v>60.464364363708086</v>
      </c>
      <c r="L256" s="33">
        <f t="shared" si="63"/>
        <v>0.10265379644757563</v>
      </c>
      <c r="M256" s="33">
        <f t="shared" si="64"/>
        <v>0.13573113085846114</v>
      </c>
      <c r="N256" s="8">
        <v>1</v>
      </c>
      <c r="O256" s="9">
        <v>0</v>
      </c>
      <c r="P256" s="8">
        <v>1</v>
      </c>
      <c r="Q256" s="9">
        <v>0</v>
      </c>
      <c r="R256" s="9">
        <v>0</v>
      </c>
      <c r="S256" s="9">
        <v>0</v>
      </c>
      <c r="T256" s="9">
        <v>0</v>
      </c>
      <c r="U256" s="8">
        <v>3611</v>
      </c>
      <c r="V256" s="9">
        <v>6</v>
      </c>
      <c r="W256" s="9">
        <f t="shared" si="65"/>
        <v>3604</v>
      </c>
      <c r="X256" s="9">
        <f t="shared" si="66"/>
        <v>48</v>
      </c>
      <c r="Y256" s="7">
        <v>12</v>
      </c>
      <c r="Z256" s="7">
        <f t="shared" si="70"/>
        <v>26.274999999999999</v>
      </c>
      <c r="AA256" s="9">
        <v>0</v>
      </c>
      <c r="AB256" s="9">
        <v>1</v>
      </c>
      <c r="AC256" s="9">
        <v>1</v>
      </c>
      <c r="AD256" s="9">
        <v>0</v>
      </c>
      <c r="AE256" s="9">
        <v>0</v>
      </c>
      <c r="AF256" s="9">
        <v>0</v>
      </c>
      <c r="AG256" s="8">
        <v>0</v>
      </c>
      <c r="AH256" s="9">
        <v>1</v>
      </c>
      <c r="AI256" s="30">
        <v>0</v>
      </c>
      <c r="AJ256" s="9">
        <v>1</v>
      </c>
      <c r="AK256" s="30">
        <v>0</v>
      </c>
      <c r="AL256" s="21">
        <v>2001</v>
      </c>
      <c r="AM256" s="23">
        <f t="shared" si="67"/>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23</v>
      </c>
      <c r="DB256" s="34"/>
    </row>
    <row r="257" spans="1:106" x14ac:dyDescent="0.25">
      <c r="A257">
        <v>256</v>
      </c>
      <c r="B257">
        <v>18</v>
      </c>
      <c r="C257" s="25" t="s">
        <v>219</v>
      </c>
      <c r="D257" s="12">
        <v>8.7881497402592608</v>
      </c>
      <c r="E257" s="14">
        <v>2.4035965101563792</v>
      </c>
      <c r="F257" s="7">
        <v>3.65625</v>
      </c>
      <c r="G257" s="7">
        <f t="shared" si="58"/>
        <v>6.3845532301028811</v>
      </c>
      <c r="H257" s="16">
        <f t="shared" si="59"/>
        <v>11.19174625041564</v>
      </c>
      <c r="I257" s="11">
        <f t="shared" si="60"/>
        <v>6.0791033576574907E-2</v>
      </c>
      <c r="J257" s="33">
        <f t="shared" si="61"/>
        <v>1.6626607473935018E-2</v>
      </c>
      <c r="K257" s="33">
        <f t="shared" si="62"/>
        <v>60.144560552576159</v>
      </c>
      <c r="L257" s="33">
        <f t="shared" si="63"/>
        <v>4.4164426102639889E-2</v>
      </c>
      <c r="M257" s="33">
        <f t="shared" si="64"/>
        <v>7.7417641050509925E-2</v>
      </c>
      <c r="N257" s="8">
        <v>1</v>
      </c>
      <c r="O257" s="9">
        <v>0</v>
      </c>
      <c r="P257" s="8">
        <v>1</v>
      </c>
      <c r="Q257" s="9">
        <v>0</v>
      </c>
      <c r="R257" s="9">
        <v>0</v>
      </c>
      <c r="S257" s="9">
        <v>0</v>
      </c>
      <c r="T257" s="9">
        <v>0</v>
      </c>
      <c r="U257" s="8">
        <v>3611</v>
      </c>
      <c r="V257" s="9">
        <v>6</v>
      </c>
      <c r="W257" s="9">
        <f t="shared" si="65"/>
        <v>3604</v>
      </c>
      <c r="X257" s="9">
        <f t="shared" si="66"/>
        <v>48</v>
      </c>
      <c r="Y257" s="7">
        <v>9</v>
      </c>
      <c r="Z257" s="7">
        <f t="shared" si="70"/>
        <v>29.274999999999999</v>
      </c>
      <c r="AA257" s="9">
        <v>0</v>
      </c>
      <c r="AB257" s="9">
        <v>1</v>
      </c>
      <c r="AC257" s="9">
        <v>1</v>
      </c>
      <c r="AD257" s="9">
        <v>0</v>
      </c>
      <c r="AE257" s="9">
        <v>0</v>
      </c>
      <c r="AF257" s="9">
        <v>0</v>
      </c>
      <c r="AG257" s="8">
        <v>0</v>
      </c>
      <c r="AH257" s="9">
        <v>1</v>
      </c>
      <c r="AI257" s="30">
        <v>0</v>
      </c>
      <c r="AJ257" s="9">
        <v>1</v>
      </c>
      <c r="AK257" s="30">
        <v>0</v>
      </c>
      <c r="AL257" s="21">
        <v>2001</v>
      </c>
      <c r="AM257" s="23">
        <f t="shared" si="67"/>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23</v>
      </c>
      <c r="DB257" s="34"/>
    </row>
    <row r="258" spans="1:106" x14ac:dyDescent="0.25">
      <c r="A258">
        <v>257</v>
      </c>
      <c r="B258">
        <v>18</v>
      </c>
      <c r="C258" s="25" t="s">
        <v>219</v>
      </c>
      <c r="D258" s="12">
        <v>9.2164607148686351</v>
      </c>
      <c r="E258" s="14">
        <v>4.3042573787117373</v>
      </c>
      <c r="F258" s="7">
        <v>2.1412429378531068</v>
      </c>
      <c r="G258" s="7">
        <f t="shared" ref="G258:G321" si="72">D258-E258</f>
        <v>4.9122033361568977</v>
      </c>
      <c r="H258" s="16">
        <f t="shared" ref="H258:H321" si="73">D258+E258</f>
        <v>13.520718093580372</v>
      </c>
      <c r="I258" s="11">
        <f t="shared" ref="I258:I321" si="74">IFERROR(F258/SQRT(F258^2+W258), "X")</f>
        <v>3.5644906394878516E-2</v>
      </c>
      <c r="J258" s="33">
        <f t="shared" ref="J258:J321" si="75">IFERROR(SQRT((1-I258^2)/W258), "X")</f>
        <v>1.6646829635602899E-2</v>
      </c>
      <c r="K258" s="33">
        <f t="shared" ref="K258:K321" si="76">IFERROR(1/J258, "X")</f>
        <v>60.071498410801333</v>
      </c>
      <c r="L258" s="33">
        <f t="shared" ref="L258:L321" si="77">IFERROR(I258-J258, "X")</f>
        <v>1.8998076759275617E-2</v>
      </c>
      <c r="M258" s="33">
        <f t="shared" ref="M258:M321" si="78">IFERROR(I258+J258, "X")</f>
        <v>5.2291736030481414E-2</v>
      </c>
      <c r="N258" s="8">
        <v>1</v>
      </c>
      <c r="O258" s="9">
        <v>0</v>
      </c>
      <c r="P258" s="8">
        <v>1</v>
      </c>
      <c r="Q258" s="9">
        <v>0</v>
      </c>
      <c r="R258" s="9">
        <v>0</v>
      </c>
      <c r="S258" s="9">
        <v>0</v>
      </c>
      <c r="T258" s="9">
        <v>0</v>
      </c>
      <c r="U258" s="8">
        <v>3611</v>
      </c>
      <c r="V258" s="9">
        <v>6</v>
      </c>
      <c r="W258" s="9">
        <f t="shared" ref="W258:W321" si="79">U258-V258-1</f>
        <v>3604</v>
      </c>
      <c r="X258" s="9">
        <f t="shared" ref="X258:X321" si="80">COUNTIF(B:B,B258)</f>
        <v>48</v>
      </c>
      <c r="Y258" s="7">
        <v>17</v>
      </c>
      <c r="Z258" s="7">
        <f t="shared" si="70"/>
        <v>21.274999999999999</v>
      </c>
      <c r="AA258" s="9">
        <v>0</v>
      </c>
      <c r="AB258" s="9">
        <v>1</v>
      </c>
      <c r="AC258" s="9">
        <v>1</v>
      </c>
      <c r="AD258" s="9">
        <v>0</v>
      </c>
      <c r="AE258" s="9">
        <v>0</v>
      </c>
      <c r="AF258" s="9">
        <v>0</v>
      </c>
      <c r="AG258" s="8">
        <v>0</v>
      </c>
      <c r="AH258" s="9">
        <v>1</v>
      </c>
      <c r="AI258" s="30">
        <v>0</v>
      </c>
      <c r="AJ258" s="9">
        <v>1</v>
      </c>
      <c r="AK258" s="30">
        <v>0</v>
      </c>
      <c r="AL258" s="21">
        <v>2001</v>
      </c>
      <c r="AM258" s="23">
        <f t="shared" ref="AM258:AM321" si="81">LN(AL258)</f>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23</v>
      </c>
      <c r="DB258" s="34"/>
    </row>
    <row r="259" spans="1:106" x14ac:dyDescent="0.25">
      <c r="A259">
        <v>258</v>
      </c>
      <c r="B259">
        <v>18</v>
      </c>
      <c r="C259" s="25" t="s">
        <v>219</v>
      </c>
      <c r="D259" s="12">
        <v>11.125243470779481</v>
      </c>
      <c r="E259" s="14">
        <v>4.6741474304316579</v>
      </c>
      <c r="F259" s="7">
        <v>2.380165289256198</v>
      </c>
      <c r="G259" s="7">
        <f t="shared" si="72"/>
        <v>6.4510960403478226</v>
      </c>
      <c r="H259" s="16">
        <f t="shared" si="73"/>
        <v>15.799390901211138</v>
      </c>
      <c r="I259" s="11">
        <f t="shared" si="74"/>
        <v>3.9616276756962047E-2</v>
      </c>
      <c r="J259" s="33">
        <f t="shared" si="75"/>
        <v>1.6644338498584751E-2</v>
      </c>
      <c r="K259" s="33">
        <f t="shared" si="76"/>
        <v>60.080489235725942</v>
      </c>
      <c r="L259" s="33">
        <f t="shared" si="77"/>
        <v>2.2971938258377296E-2</v>
      </c>
      <c r="M259" s="33">
        <f t="shared" si="78"/>
        <v>5.6260615255546799E-2</v>
      </c>
      <c r="N259" s="8">
        <v>1</v>
      </c>
      <c r="O259" s="9">
        <v>0</v>
      </c>
      <c r="P259" s="8">
        <v>1</v>
      </c>
      <c r="Q259" s="9">
        <v>0</v>
      </c>
      <c r="R259" s="9">
        <v>0</v>
      </c>
      <c r="S259" s="9">
        <v>0</v>
      </c>
      <c r="T259" s="9">
        <v>0</v>
      </c>
      <c r="U259" s="8">
        <v>3611</v>
      </c>
      <c r="V259" s="9">
        <v>6</v>
      </c>
      <c r="W259" s="9">
        <f t="shared" si="79"/>
        <v>3604</v>
      </c>
      <c r="X259" s="9">
        <f t="shared" si="80"/>
        <v>48</v>
      </c>
      <c r="Y259" s="7">
        <v>12</v>
      </c>
      <c r="Z259" s="7">
        <f t="shared" si="70"/>
        <v>26.274999999999999</v>
      </c>
      <c r="AA259" s="9">
        <v>0</v>
      </c>
      <c r="AB259" s="9">
        <v>1</v>
      </c>
      <c r="AC259" s="9">
        <v>1</v>
      </c>
      <c r="AD259" s="9">
        <v>0</v>
      </c>
      <c r="AE259" s="9">
        <v>0</v>
      </c>
      <c r="AF259" s="9">
        <v>0</v>
      </c>
      <c r="AG259" s="8">
        <v>0</v>
      </c>
      <c r="AH259" s="9">
        <v>1</v>
      </c>
      <c r="AI259" s="30">
        <v>0</v>
      </c>
      <c r="AJ259" s="9">
        <v>1</v>
      </c>
      <c r="AK259" s="30">
        <v>0</v>
      </c>
      <c r="AL259" s="21">
        <v>2001</v>
      </c>
      <c r="AM259" s="23">
        <f t="shared" si="81"/>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23</v>
      </c>
      <c r="DB259" s="34"/>
    </row>
    <row r="260" spans="1:106" x14ac:dyDescent="0.25">
      <c r="A260">
        <v>259</v>
      </c>
      <c r="B260">
        <v>18</v>
      </c>
      <c r="C260" s="25" t="s">
        <v>219</v>
      </c>
      <c r="D260" s="12">
        <v>7.0556838988300159</v>
      </c>
      <c r="E260" s="14">
        <v>3.1971067666573498</v>
      </c>
      <c r="F260" s="7">
        <v>2.2068965517241379</v>
      </c>
      <c r="G260" s="7">
        <f t="shared" si="72"/>
        <v>3.8585771321726661</v>
      </c>
      <c r="H260" s="16">
        <f t="shared" si="73"/>
        <v>10.252790665487366</v>
      </c>
      <c r="I260" s="11">
        <f t="shared" si="74"/>
        <v>3.6736377862039801E-2</v>
      </c>
      <c r="J260" s="33">
        <f t="shared" si="75"/>
        <v>1.6646171218736787E-2</v>
      </c>
      <c r="K260" s="33">
        <f t="shared" si="76"/>
        <v>60.073874457953949</v>
      </c>
      <c r="L260" s="33">
        <f t="shared" si="77"/>
        <v>2.0090206643303014E-2</v>
      </c>
      <c r="M260" s="33">
        <f t="shared" si="78"/>
        <v>5.3382549080776588E-2</v>
      </c>
      <c r="N260" s="8">
        <v>1</v>
      </c>
      <c r="O260" s="9">
        <v>0</v>
      </c>
      <c r="P260" s="8">
        <v>1</v>
      </c>
      <c r="Q260" s="9">
        <v>0</v>
      </c>
      <c r="R260" s="9">
        <v>0</v>
      </c>
      <c r="S260" s="9">
        <v>0</v>
      </c>
      <c r="T260" s="9">
        <v>0</v>
      </c>
      <c r="U260" s="8">
        <v>3611</v>
      </c>
      <c r="V260" s="9">
        <v>6</v>
      </c>
      <c r="W260" s="9">
        <f t="shared" si="79"/>
        <v>3604</v>
      </c>
      <c r="X260" s="9">
        <f t="shared" si="80"/>
        <v>48</v>
      </c>
      <c r="Y260" s="7">
        <v>9</v>
      </c>
      <c r="Z260" s="7">
        <f t="shared" si="70"/>
        <v>29.274999999999999</v>
      </c>
      <c r="AA260" s="9">
        <v>0</v>
      </c>
      <c r="AB260" s="9">
        <v>1</v>
      </c>
      <c r="AC260" s="9">
        <v>1</v>
      </c>
      <c r="AD260" s="9">
        <v>0</v>
      </c>
      <c r="AE260" s="9">
        <v>0</v>
      </c>
      <c r="AF260" s="9">
        <v>0</v>
      </c>
      <c r="AG260" s="8">
        <v>0</v>
      </c>
      <c r="AH260" s="9">
        <v>1</v>
      </c>
      <c r="AI260" s="30">
        <v>0</v>
      </c>
      <c r="AJ260" s="9">
        <v>1</v>
      </c>
      <c r="AK260" s="30">
        <v>0</v>
      </c>
      <c r="AL260" s="21">
        <v>2001</v>
      </c>
      <c r="AM260" s="23">
        <f t="shared" si="81"/>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23</v>
      </c>
      <c r="DB260" s="34"/>
    </row>
    <row r="261" spans="1:106" x14ac:dyDescent="0.25">
      <c r="A261">
        <v>260</v>
      </c>
      <c r="B261">
        <v>18</v>
      </c>
      <c r="C261" s="25" t="s">
        <v>219</v>
      </c>
      <c r="D261" s="12">
        <v>8.7239788392070352</v>
      </c>
      <c r="E261" s="14">
        <v>4.0245979727833561</v>
      </c>
      <c r="F261" s="7">
        <v>2.1676646706586831</v>
      </c>
      <c r="G261" s="7">
        <f t="shared" si="72"/>
        <v>4.6993808664236791</v>
      </c>
      <c r="H261" s="16">
        <f t="shared" si="73"/>
        <v>12.748576811990391</v>
      </c>
      <c r="I261" s="11">
        <f t="shared" si="74"/>
        <v>3.6174506318020869E-2</v>
      </c>
      <c r="J261" s="33">
        <f t="shared" si="75"/>
        <v>1.6688239102512385E-2</v>
      </c>
      <c r="K261" s="33">
        <f t="shared" si="76"/>
        <v>59.92243962093351</v>
      </c>
      <c r="L261" s="33">
        <f t="shared" si="77"/>
        <v>1.9486267215508484E-2</v>
      </c>
      <c r="M261" s="33">
        <f t="shared" si="78"/>
        <v>5.286274542053325E-2</v>
      </c>
      <c r="N261" s="8">
        <v>1</v>
      </c>
      <c r="O261" s="9">
        <v>0</v>
      </c>
      <c r="P261" s="8">
        <v>1</v>
      </c>
      <c r="Q261" s="9">
        <v>0</v>
      </c>
      <c r="R261" s="9">
        <v>0</v>
      </c>
      <c r="S261" s="9">
        <v>0</v>
      </c>
      <c r="T261" s="9">
        <v>0</v>
      </c>
      <c r="U261" s="8">
        <v>3599</v>
      </c>
      <c r="V261" s="9">
        <v>12</v>
      </c>
      <c r="W261" s="9">
        <f t="shared" si="79"/>
        <v>3586</v>
      </c>
      <c r="X261" s="9">
        <f t="shared" si="80"/>
        <v>48</v>
      </c>
      <c r="Y261" s="7">
        <v>17</v>
      </c>
      <c r="Z261" s="7">
        <f t="shared" si="70"/>
        <v>21.274999999999999</v>
      </c>
      <c r="AA261" s="9">
        <v>0</v>
      </c>
      <c r="AB261" s="9">
        <v>1</v>
      </c>
      <c r="AC261" s="9">
        <v>1</v>
      </c>
      <c r="AD261" s="9">
        <v>0</v>
      </c>
      <c r="AE261" s="9">
        <v>0</v>
      </c>
      <c r="AF261" s="9">
        <v>0</v>
      </c>
      <c r="AG261" s="8">
        <v>0</v>
      </c>
      <c r="AH261" s="9">
        <v>1</v>
      </c>
      <c r="AI261" s="30">
        <v>0</v>
      </c>
      <c r="AJ261" s="9">
        <v>1</v>
      </c>
      <c r="AK261" s="30">
        <v>0</v>
      </c>
      <c r="AL261" s="21">
        <v>2001</v>
      </c>
      <c r="AM261" s="23">
        <f t="shared" si="81"/>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23</v>
      </c>
      <c r="DB261" s="34"/>
    </row>
    <row r="262" spans="1:106" x14ac:dyDescent="0.25">
      <c r="A262">
        <v>261</v>
      </c>
      <c r="B262">
        <v>18</v>
      </c>
      <c r="C262" s="25" t="s">
        <v>219</v>
      </c>
      <c r="D262" s="12">
        <v>11.706978051267191</v>
      </c>
      <c r="E262" s="14">
        <v>4.8228082337446212</v>
      </c>
      <c r="F262" s="7">
        <v>2.42741935483871</v>
      </c>
      <c r="G262" s="7">
        <f t="shared" si="72"/>
        <v>6.8841698175225696</v>
      </c>
      <c r="H262" s="16">
        <f t="shared" si="73"/>
        <v>16.529786285011813</v>
      </c>
      <c r="I262" s="11">
        <f t="shared" si="74"/>
        <v>4.0502623357663275E-2</v>
      </c>
      <c r="J262" s="33">
        <f t="shared" si="75"/>
        <v>1.6685466100831381E-2</v>
      </c>
      <c r="K262" s="33">
        <f t="shared" si="76"/>
        <v>59.932398289441451</v>
      </c>
      <c r="L262" s="33">
        <f t="shared" si="77"/>
        <v>2.3817157256831895E-2</v>
      </c>
      <c r="M262" s="33">
        <f t="shared" si="78"/>
        <v>5.7188089458494656E-2</v>
      </c>
      <c r="N262" s="8">
        <v>1</v>
      </c>
      <c r="O262" s="9">
        <v>0</v>
      </c>
      <c r="P262" s="8">
        <v>1</v>
      </c>
      <c r="Q262" s="9">
        <v>0</v>
      </c>
      <c r="R262" s="9">
        <v>0</v>
      </c>
      <c r="S262" s="9">
        <v>0</v>
      </c>
      <c r="T262" s="9">
        <v>0</v>
      </c>
      <c r="U262" s="8">
        <v>3599</v>
      </c>
      <c r="V262" s="9">
        <v>12</v>
      </c>
      <c r="W262" s="9">
        <f t="shared" si="79"/>
        <v>3586</v>
      </c>
      <c r="X262" s="9">
        <f t="shared" si="80"/>
        <v>48</v>
      </c>
      <c r="Y262" s="7">
        <v>12</v>
      </c>
      <c r="Z262" s="7">
        <f t="shared" si="70"/>
        <v>26.274999999999999</v>
      </c>
      <c r="AA262" s="9">
        <v>0</v>
      </c>
      <c r="AB262" s="9">
        <v>1</v>
      </c>
      <c r="AC262" s="9">
        <v>1</v>
      </c>
      <c r="AD262" s="9">
        <v>0</v>
      </c>
      <c r="AE262" s="9">
        <v>0</v>
      </c>
      <c r="AF262" s="9">
        <v>0</v>
      </c>
      <c r="AG262" s="8">
        <v>0</v>
      </c>
      <c r="AH262" s="9">
        <v>1</v>
      </c>
      <c r="AI262" s="30">
        <v>0</v>
      </c>
      <c r="AJ262" s="9">
        <v>1</v>
      </c>
      <c r="AK262" s="30">
        <v>0</v>
      </c>
      <c r="AL262" s="21">
        <v>2001</v>
      </c>
      <c r="AM262" s="23">
        <f t="shared" si="81"/>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23</v>
      </c>
      <c r="DB262" s="34"/>
    </row>
    <row r="263" spans="1:106" x14ac:dyDescent="0.25">
      <c r="A263">
        <v>262</v>
      </c>
      <c r="B263">
        <v>18</v>
      </c>
      <c r="C263" s="25" t="s">
        <v>219</v>
      </c>
      <c r="D263" s="12">
        <v>6.9749865885750486</v>
      </c>
      <c r="E263" s="14">
        <v>3.2672305599114702</v>
      </c>
      <c r="F263" s="7">
        <v>2.1348314606741581</v>
      </c>
      <c r="G263" s="7">
        <f t="shared" si="72"/>
        <v>3.7077560286635785</v>
      </c>
      <c r="H263" s="16">
        <f t="shared" si="73"/>
        <v>10.242217148486519</v>
      </c>
      <c r="I263" s="11">
        <f t="shared" si="74"/>
        <v>3.5627278687847784E-2</v>
      </c>
      <c r="J263" s="33">
        <f t="shared" si="75"/>
        <v>1.6688567385360273E-2</v>
      </c>
      <c r="K263" s="33">
        <f t="shared" si="76"/>
        <v>59.92126087930297</v>
      </c>
      <c r="L263" s="33">
        <f t="shared" si="77"/>
        <v>1.8938711302487511E-2</v>
      </c>
      <c r="M263" s="33">
        <f t="shared" si="78"/>
        <v>5.2315846073208057E-2</v>
      </c>
      <c r="N263" s="8">
        <v>1</v>
      </c>
      <c r="O263" s="9">
        <v>0</v>
      </c>
      <c r="P263" s="8">
        <v>1</v>
      </c>
      <c r="Q263" s="9">
        <v>0</v>
      </c>
      <c r="R263" s="9">
        <v>0</v>
      </c>
      <c r="S263" s="9">
        <v>0</v>
      </c>
      <c r="T263" s="9">
        <v>0</v>
      </c>
      <c r="U263" s="8">
        <v>3599</v>
      </c>
      <c r="V263" s="9">
        <v>12</v>
      </c>
      <c r="W263" s="9">
        <f t="shared" si="79"/>
        <v>3586</v>
      </c>
      <c r="X263" s="9">
        <f t="shared" si="80"/>
        <v>48</v>
      </c>
      <c r="Y263" s="7">
        <v>9</v>
      </c>
      <c r="Z263" s="7">
        <f t="shared" si="70"/>
        <v>29.274999999999999</v>
      </c>
      <c r="AA263" s="9">
        <v>0</v>
      </c>
      <c r="AB263" s="9">
        <v>1</v>
      </c>
      <c r="AC263" s="9">
        <v>1</v>
      </c>
      <c r="AD263" s="9">
        <v>0</v>
      </c>
      <c r="AE263" s="9">
        <v>0</v>
      </c>
      <c r="AF263" s="9">
        <v>0</v>
      </c>
      <c r="AG263" s="8">
        <v>0</v>
      </c>
      <c r="AH263" s="9">
        <v>1</v>
      </c>
      <c r="AI263" s="30">
        <v>0</v>
      </c>
      <c r="AJ263" s="9">
        <v>1</v>
      </c>
      <c r="AK263" s="30">
        <v>0</v>
      </c>
      <c r="AL263" s="21">
        <v>2001</v>
      </c>
      <c r="AM263" s="23">
        <f t="shared" si="81"/>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23</v>
      </c>
      <c r="DB263" s="34"/>
    </row>
    <row r="264" spans="1:106" x14ac:dyDescent="0.25">
      <c r="A264">
        <v>263</v>
      </c>
      <c r="B264">
        <v>18</v>
      </c>
      <c r="C264" s="25" t="s">
        <v>219</v>
      </c>
      <c r="D264" s="12">
        <v>9.0416867966555046</v>
      </c>
      <c r="E264" s="14">
        <v>4.2905591501555609</v>
      </c>
      <c r="F264" s="7">
        <v>2.107344632768362</v>
      </c>
      <c r="G264" s="7">
        <f t="shared" si="72"/>
        <v>4.7511276464999437</v>
      </c>
      <c r="H264" s="16">
        <f t="shared" si="73"/>
        <v>13.332245946811065</v>
      </c>
      <c r="I264" s="11">
        <f t="shared" si="74"/>
        <v>3.5183836008184803E-2</v>
      </c>
      <c r="J264" s="33">
        <f t="shared" si="75"/>
        <v>1.6695814942221738E-2</v>
      </c>
      <c r="K264" s="33">
        <f t="shared" si="76"/>
        <v>59.895249405952534</v>
      </c>
      <c r="L264" s="33">
        <f t="shared" si="77"/>
        <v>1.8488021065963065E-2</v>
      </c>
      <c r="M264" s="33">
        <f t="shared" si="78"/>
        <v>5.1879650950406545E-2</v>
      </c>
      <c r="N264" s="8">
        <v>1</v>
      </c>
      <c r="O264" s="9">
        <v>0</v>
      </c>
      <c r="P264" s="8">
        <v>1</v>
      </c>
      <c r="Q264" s="9">
        <v>0</v>
      </c>
      <c r="R264" s="9">
        <v>0</v>
      </c>
      <c r="S264" s="9">
        <v>0</v>
      </c>
      <c r="T264" s="9">
        <v>0</v>
      </c>
      <c r="U264" s="8">
        <v>3599</v>
      </c>
      <c r="V264" s="9">
        <v>15</v>
      </c>
      <c r="W264" s="9">
        <f t="shared" si="79"/>
        <v>3583</v>
      </c>
      <c r="X264" s="9">
        <f t="shared" si="80"/>
        <v>48</v>
      </c>
      <c r="Y264" s="7">
        <v>17</v>
      </c>
      <c r="Z264" s="7">
        <f t="shared" si="70"/>
        <v>21.274999999999999</v>
      </c>
      <c r="AA264" s="9">
        <v>0</v>
      </c>
      <c r="AB264" s="9">
        <v>1</v>
      </c>
      <c r="AC264" s="9">
        <v>1</v>
      </c>
      <c r="AD264" s="9">
        <v>0</v>
      </c>
      <c r="AE264" s="9">
        <v>0</v>
      </c>
      <c r="AF264" s="9">
        <v>0</v>
      </c>
      <c r="AG264" s="8">
        <v>0</v>
      </c>
      <c r="AH264" s="9">
        <v>1</v>
      </c>
      <c r="AI264" s="30">
        <v>0</v>
      </c>
      <c r="AJ264" s="9">
        <v>1</v>
      </c>
      <c r="AK264" s="30">
        <v>0</v>
      </c>
      <c r="AL264" s="21">
        <v>2001</v>
      </c>
      <c r="AM264" s="23">
        <f t="shared" si="81"/>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23</v>
      </c>
      <c r="DB264" s="34"/>
    </row>
    <row r="265" spans="1:106" x14ac:dyDescent="0.25">
      <c r="A265">
        <v>264</v>
      </c>
      <c r="B265">
        <v>18</v>
      </c>
      <c r="C265" s="25" t="s">
        <v>219</v>
      </c>
      <c r="D265" s="12">
        <v>11.08080711585586</v>
      </c>
      <c r="E265" s="14">
        <v>4.7103082513394252</v>
      </c>
      <c r="F265" s="7">
        <v>2.3524590163934431</v>
      </c>
      <c r="G265" s="7">
        <f t="shared" si="72"/>
        <v>6.3704988645164349</v>
      </c>
      <c r="H265" s="16">
        <f t="shared" si="73"/>
        <v>15.791115367195285</v>
      </c>
      <c r="I265" s="11">
        <f t="shared" si="74"/>
        <v>3.9270237655435788E-2</v>
      </c>
      <c r="J265" s="33">
        <f t="shared" si="75"/>
        <v>1.6693271755969217E-2</v>
      </c>
      <c r="K265" s="33">
        <f t="shared" si="76"/>
        <v>59.904374326286145</v>
      </c>
      <c r="L265" s="33">
        <f t="shared" si="77"/>
        <v>2.2576965899466572E-2</v>
      </c>
      <c r="M265" s="33">
        <f t="shared" si="78"/>
        <v>5.5963509411405002E-2</v>
      </c>
      <c r="N265" s="8">
        <v>1</v>
      </c>
      <c r="O265" s="9">
        <v>0</v>
      </c>
      <c r="P265" s="8">
        <v>1</v>
      </c>
      <c r="Q265" s="9">
        <v>0</v>
      </c>
      <c r="R265" s="9">
        <v>0</v>
      </c>
      <c r="S265" s="9">
        <v>0</v>
      </c>
      <c r="T265" s="9">
        <v>0</v>
      </c>
      <c r="U265" s="8">
        <v>3599</v>
      </c>
      <c r="V265" s="9">
        <v>15</v>
      </c>
      <c r="W265" s="9">
        <f t="shared" si="79"/>
        <v>3583</v>
      </c>
      <c r="X265" s="9">
        <f t="shared" si="80"/>
        <v>48</v>
      </c>
      <c r="Y265" s="7">
        <v>12</v>
      </c>
      <c r="Z265" s="7">
        <f t="shared" si="70"/>
        <v>26.274999999999999</v>
      </c>
      <c r="AA265" s="9">
        <v>0</v>
      </c>
      <c r="AB265" s="9">
        <v>1</v>
      </c>
      <c r="AC265" s="9">
        <v>1</v>
      </c>
      <c r="AD265" s="9">
        <v>0</v>
      </c>
      <c r="AE265" s="9">
        <v>0</v>
      </c>
      <c r="AF265" s="9">
        <v>0</v>
      </c>
      <c r="AG265" s="8">
        <v>0</v>
      </c>
      <c r="AH265" s="9">
        <v>1</v>
      </c>
      <c r="AI265" s="30">
        <v>0</v>
      </c>
      <c r="AJ265" s="9">
        <v>1</v>
      </c>
      <c r="AK265" s="30">
        <v>0</v>
      </c>
      <c r="AL265" s="21">
        <v>2001</v>
      </c>
      <c r="AM265" s="23">
        <f t="shared" si="81"/>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23</v>
      </c>
      <c r="DB265" s="34"/>
    </row>
    <row r="266" spans="1:106" x14ac:dyDescent="0.25">
      <c r="A266">
        <v>265</v>
      </c>
      <c r="B266">
        <v>18</v>
      </c>
      <c r="C266" s="25" t="s">
        <v>219</v>
      </c>
      <c r="D266" s="12">
        <v>7.258134690196945</v>
      </c>
      <c r="E266" s="14">
        <v>3.2422124504433052</v>
      </c>
      <c r="F266" s="7">
        <v>2.2386363636363642</v>
      </c>
      <c r="G266" s="7">
        <f t="shared" si="72"/>
        <v>4.0159222397536398</v>
      </c>
      <c r="H266" s="16">
        <f t="shared" si="73"/>
        <v>10.500347140640251</v>
      </c>
      <c r="I266" s="11">
        <f t="shared" si="74"/>
        <v>3.7372886443261172E-2</v>
      </c>
      <c r="J266" s="33">
        <f t="shared" si="75"/>
        <v>1.6694487345213109E-2</v>
      </c>
      <c r="K266" s="33">
        <f t="shared" si="76"/>
        <v>59.900012460504506</v>
      </c>
      <c r="L266" s="33">
        <f t="shared" si="77"/>
        <v>2.0678399098048063E-2</v>
      </c>
      <c r="M266" s="33">
        <f t="shared" si="78"/>
        <v>5.4067373788474281E-2</v>
      </c>
      <c r="N266" s="8">
        <v>1</v>
      </c>
      <c r="O266" s="9">
        <v>0</v>
      </c>
      <c r="P266" s="8">
        <v>1</v>
      </c>
      <c r="Q266" s="9">
        <v>0</v>
      </c>
      <c r="R266" s="9">
        <v>0</v>
      </c>
      <c r="S266" s="9">
        <v>0</v>
      </c>
      <c r="T266" s="9">
        <v>0</v>
      </c>
      <c r="U266" s="8">
        <v>3599</v>
      </c>
      <c r="V266" s="9">
        <v>15</v>
      </c>
      <c r="W266" s="9">
        <f t="shared" si="79"/>
        <v>3583</v>
      </c>
      <c r="X266" s="9">
        <f t="shared" si="80"/>
        <v>48</v>
      </c>
      <c r="Y266" s="7">
        <v>9</v>
      </c>
      <c r="Z266" s="7">
        <f t="shared" si="70"/>
        <v>29.274999999999999</v>
      </c>
      <c r="AA266" s="9">
        <v>0</v>
      </c>
      <c r="AB266" s="9">
        <v>1</v>
      </c>
      <c r="AC266" s="9">
        <v>1</v>
      </c>
      <c r="AD266" s="9">
        <v>0</v>
      </c>
      <c r="AE266" s="9">
        <v>0</v>
      </c>
      <c r="AF266" s="9">
        <v>0</v>
      </c>
      <c r="AG266" s="8">
        <v>0</v>
      </c>
      <c r="AH266" s="9">
        <v>1</v>
      </c>
      <c r="AI266" s="30">
        <v>0</v>
      </c>
      <c r="AJ266" s="9">
        <v>1</v>
      </c>
      <c r="AK266" s="30">
        <v>0</v>
      </c>
      <c r="AL266" s="21">
        <v>2001</v>
      </c>
      <c r="AM266" s="23">
        <f t="shared" si="81"/>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23</v>
      </c>
      <c r="DB266" s="34"/>
    </row>
    <row r="267" spans="1:106" x14ac:dyDescent="0.25">
      <c r="A267">
        <v>266</v>
      </c>
      <c r="B267">
        <v>18</v>
      </c>
      <c r="C267" s="25" t="s">
        <v>219</v>
      </c>
      <c r="D267" s="12">
        <v>8.3000000000000007</v>
      </c>
      <c r="E267" s="14">
        <v>0.4</v>
      </c>
      <c r="F267" s="7">
        <f t="shared" ref="F267:F278" si="82">D267/E267</f>
        <v>20.75</v>
      </c>
      <c r="G267" s="7">
        <f t="shared" si="72"/>
        <v>7.9</v>
      </c>
      <c r="H267" s="16">
        <f t="shared" si="73"/>
        <v>8.7000000000000011</v>
      </c>
      <c r="I267" s="11">
        <f t="shared" si="74"/>
        <v>0.3266375144591237</v>
      </c>
      <c r="J267" s="33">
        <f t="shared" si="75"/>
        <v>1.5741566961885479E-2</v>
      </c>
      <c r="K267" s="33">
        <f t="shared" si="76"/>
        <v>63.526077322623976</v>
      </c>
      <c r="L267" s="33">
        <f t="shared" si="77"/>
        <v>0.3108959474972382</v>
      </c>
      <c r="M267" s="33">
        <f t="shared" si="78"/>
        <v>0.3423790814210092</v>
      </c>
      <c r="N267" s="8">
        <v>1</v>
      </c>
      <c r="O267" s="9">
        <v>0</v>
      </c>
      <c r="P267" s="8">
        <v>1</v>
      </c>
      <c r="Q267" s="9">
        <v>0</v>
      </c>
      <c r="R267" s="9">
        <v>0</v>
      </c>
      <c r="S267" s="9">
        <v>0</v>
      </c>
      <c r="T267" s="9">
        <v>0</v>
      </c>
      <c r="U267" s="8">
        <v>3610</v>
      </c>
      <c r="V267" s="9">
        <v>4</v>
      </c>
      <c r="W267" s="9">
        <f t="shared" si="79"/>
        <v>3605</v>
      </c>
      <c r="X267" s="9">
        <f t="shared" si="80"/>
        <v>48</v>
      </c>
      <c r="Y267" s="7">
        <v>10.967499999999999</v>
      </c>
      <c r="Z267" s="7">
        <f t="shared" si="70"/>
        <v>27.307499999999997</v>
      </c>
      <c r="AA267" s="9">
        <v>1</v>
      </c>
      <c r="AB267" s="9">
        <v>0</v>
      </c>
      <c r="AC267" s="9">
        <v>1</v>
      </c>
      <c r="AD267" s="9">
        <v>0</v>
      </c>
      <c r="AE267" s="9">
        <v>0</v>
      </c>
      <c r="AF267" s="9">
        <v>0</v>
      </c>
      <c r="AG267" s="8">
        <v>0</v>
      </c>
      <c r="AH267" s="9">
        <v>1</v>
      </c>
      <c r="AI267" s="30">
        <v>0</v>
      </c>
      <c r="AJ267" s="9">
        <v>1</v>
      </c>
      <c r="AK267" s="30">
        <v>0</v>
      </c>
      <c r="AL267" s="21">
        <v>2001</v>
      </c>
      <c r="AM267" s="23">
        <f t="shared" si="81"/>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23</v>
      </c>
      <c r="DB267" s="34"/>
    </row>
    <row r="268" spans="1:106" x14ac:dyDescent="0.25">
      <c r="A268">
        <v>267</v>
      </c>
      <c r="B268">
        <v>18</v>
      </c>
      <c r="C268" s="25" t="s">
        <v>219</v>
      </c>
      <c r="D268" s="12">
        <v>8</v>
      </c>
      <c r="E268" s="14">
        <v>1.7</v>
      </c>
      <c r="F268" s="7">
        <f t="shared" si="82"/>
        <v>4.7058823529411766</v>
      </c>
      <c r="G268" s="7">
        <f t="shared" si="72"/>
        <v>6.3</v>
      </c>
      <c r="H268" s="16">
        <f t="shared" si="73"/>
        <v>9.6999999999999993</v>
      </c>
      <c r="I268" s="11">
        <f t="shared" si="74"/>
        <v>7.8137333630947534E-2</v>
      </c>
      <c r="J268" s="33">
        <f t="shared" si="75"/>
        <v>1.660418339657635E-2</v>
      </c>
      <c r="K268" s="33">
        <f t="shared" si="76"/>
        <v>60.225786244097499</v>
      </c>
      <c r="L268" s="33">
        <f t="shared" si="77"/>
        <v>6.1533150234371184E-2</v>
      </c>
      <c r="M268" s="33">
        <f t="shared" si="78"/>
        <v>9.4741517027523883E-2</v>
      </c>
      <c r="N268" s="8">
        <v>1</v>
      </c>
      <c r="O268" s="9">
        <v>0</v>
      </c>
      <c r="P268" s="8">
        <v>1</v>
      </c>
      <c r="Q268" s="9">
        <v>0</v>
      </c>
      <c r="R268" s="9">
        <v>0</v>
      </c>
      <c r="S268" s="9">
        <v>0</v>
      </c>
      <c r="T268" s="9">
        <v>0</v>
      </c>
      <c r="U268" s="8">
        <v>3610</v>
      </c>
      <c r="V268" s="9">
        <v>4</v>
      </c>
      <c r="W268" s="9">
        <f t="shared" si="79"/>
        <v>3605</v>
      </c>
      <c r="X268" s="9">
        <f t="shared" si="80"/>
        <v>48</v>
      </c>
      <c r="Y268" s="7">
        <v>10.967499999999999</v>
      </c>
      <c r="Z268" s="7">
        <f t="shared" si="70"/>
        <v>27.307499999999997</v>
      </c>
      <c r="AA268" s="9">
        <v>1</v>
      </c>
      <c r="AB268" s="9">
        <v>0</v>
      </c>
      <c r="AC268" s="9">
        <v>1</v>
      </c>
      <c r="AD268" s="9">
        <v>0</v>
      </c>
      <c r="AE268" s="9">
        <v>0</v>
      </c>
      <c r="AF268" s="9">
        <v>0</v>
      </c>
      <c r="AG268" s="8">
        <v>0</v>
      </c>
      <c r="AH268" s="9">
        <v>1</v>
      </c>
      <c r="AI268" s="30">
        <v>0</v>
      </c>
      <c r="AJ268" s="9">
        <v>1</v>
      </c>
      <c r="AK268" s="30">
        <v>0</v>
      </c>
      <c r="AL268" s="21">
        <v>2001</v>
      </c>
      <c r="AM268" s="23">
        <f t="shared" si="81"/>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23</v>
      </c>
      <c r="DB268" s="34"/>
    </row>
    <row r="269" spans="1:106" x14ac:dyDescent="0.25">
      <c r="A269">
        <v>268</v>
      </c>
      <c r="B269">
        <v>18</v>
      </c>
      <c r="C269" s="25" t="s">
        <v>219</v>
      </c>
      <c r="D269" s="12">
        <v>8.1999999999999993</v>
      </c>
      <c r="E269" s="14">
        <v>1.7</v>
      </c>
      <c r="F269" s="7">
        <f t="shared" si="82"/>
        <v>4.8235294117647056</v>
      </c>
      <c r="G269" s="7">
        <f t="shared" si="72"/>
        <v>6.4999999999999991</v>
      </c>
      <c r="H269" s="16">
        <f t="shared" si="73"/>
        <v>9.8999999999999986</v>
      </c>
      <c r="I269" s="11">
        <f t="shared" si="74"/>
        <v>8.0277770773294066E-2</v>
      </c>
      <c r="J269" s="33">
        <f t="shared" si="75"/>
        <v>1.6642952477390238E-2</v>
      </c>
      <c r="K269" s="33">
        <f t="shared" si="76"/>
        <v>60.085492724834651</v>
      </c>
      <c r="L269" s="33">
        <f t="shared" si="77"/>
        <v>6.3634818295903825E-2</v>
      </c>
      <c r="M269" s="33">
        <f t="shared" si="78"/>
        <v>9.6920723250684307E-2</v>
      </c>
      <c r="N269" s="8">
        <v>1</v>
      </c>
      <c r="O269" s="9">
        <v>0</v>
      </c>
      <c r="P269" s="8">
        <v>1</v>
      </c>
      <c r="Q269" s="9">
        <v>0</v>
      </c>
      <c r="R269" s="9">
        <v>0</v>
      </c>
      <c r="S269" s="9">
        <v>0</v>
      </c>
      <c r="T269" s="9">
        <v>0</v>
      </c>
      <c r="U269" s="8">
        <v>3598</v>
      </c>
      <c r="V269" s="9">
        <v>10</v>
      </c>
      <c r="W269" s="9">
        <f t="shared" si="79"/>
        <v>3587</v>
      </c>
      <c r="X269" s="9">
        <f t="shared" si="80"/>
        <v>48</v>
      </c>
      <c r="Y269" s="7">
        <v>10.967499999999999</v>
      </c>
      <c r="Z269" s="7">
        <f t="shared" si="70"/>
        <v>27.307499999999997</v>
      </c>
      <c r="AA269" s="9">
        <v>1</v>
      </c>
      <c r="AB269" s="9">
        <v>0</v>
      </c>
      <c r="AC269" s="9">
        <v>1</v>
      </c>
      <c r="AD269" s="9">
        <v>0</v>
      </c>
      <c r="AE269" s="9">
        <v>0</v>
      </c>
      <c r="AF269" s="9">
        <v>0</v>
      </c>
      <c r="AG269" s="8">
        <v>0</v>
      </c>
      <c r="AH269" s="9">
        <v>1</v>
      </c>
      <c r="AI269" s="30">
        <v>0</v>
      </c>
      <c r="AJ269" s="9">
        <v>1</v>
      </c>
      <c r="AK269" s="30">
        <v>0</v>
      </c>
      <c r="AL269" s="21">
        <v>2001</v>
      </c>
      <c r="AM269" s="23">
        <f t="shared" si="81"/>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23</v>
      </c>
      <c r="DB269" s="34"/>
    </row>
    <row r="270" spans="1:106" x14ac:dyDescent="0.25">
      <c r="A270">
        <v>269</v>
      </c>
      <c r="B270">
        <v>18</v>
      </c>
      <c r="C270" s="25" t="s">
        <v>219</v>
      </c>
      <c r="D270" s="12">
        <v>8</v>
      </c>
      <c r="E270" s="14">
        <v>1.7</v>
      </c>
      <c r="F270" s="7">
        <f t="shared" si="82"/>
        <v>4.7058823529411766</v>
      </c>
      <c r="G270" s="7">
        <f t="shared" si="72"/>
        <v>6.3</v>
      </c>
      <c r="H270" s="16">
        <f t="shared" si="73"/>
        <v>9.6999999999999993</v>
      </c>
      <c r="I270" s="11">
        <f t="shared" si="74"/>
        <v>7.8364515553668732E-2</v>
      </c>
      <c r="J270" s="33">
        <f t="shared" si="75"/>
        <v>1.6652459555154608E-2</v>
      </c>
      <c r="K270" s="33">
        <f t="shared" si="76"/>
        <v>60.051189236514894</v>
      </c>
      <c r="L270" s="33">
        <f t="shared" si="77"/>
        <v>6.171205599851412E-2</v>
      </c>
      <c r="M270" s="33">
        <f t="shared" si="78"/>
        <v>9.5016975108823343E-2</v>
      </c>
      <c r="N270" s="8">
        <v>1</v>
      </c>
      <c r="O270" s="9">
        <v>0</v>
      </c>
      <c r="P270" s="8">
        <v>1</v>
      </c>
      <c r="Q270" s="9">
        <v>0</v>
      </c>
      <c r="R270" s="9">
        <v>0</v>
      </c>
      <c r="S270" s="9">
        <v>0</v>
      </c>
      <c r="T270" s="9">
        <v>0</v>
      </c>
      <c r="U270" s="8">
        <v>3598</v>
      </c>
      <c r="V270" s="9">
        <v>13</v>
      </c>
      <c r="W270" s="9">
        <f t="shared" si="79"/>
        <v>3584</v>
      </c>
      <c r="X270" s="9">
        <f t="shared" si="80"/>
        <v>48</v>
      </c>
      <c r="Y270" s="7">
        <v>10.967499999999999</v>
      </c>
      <c r="Z270" s="7">
        <f t="shared" si="70"/>
        <v>27.307499999999997</v>
      </c>
      <c r="AA270" s="9">
        <v>1</v>
      </c>
      <c r="AB270" s="9">
        <v>0</v>
      </c>
      <c r="AC270" s="9">
        <v>1</v>
      </c>
      <c r="AD270" s="9">
        <v>0</v>
      </c>
      <c r="AE270" s="9">
        <v>0</v>
      </c>
      <c r="AF270" s="9">
        <v>0</v>
      </c>
      <c r="AG270" s="8">
        <v>0</v>
      </c>
      <c r="AH270" s="9">
        <v>1</v>
      </c>
      <c r="AI270" s="30">
        <v>0</v>
      </c>
      <c r="AJ270" s="9">
        <v>1</v>
      </c>
      <c r="AK270" s="30">
        <v>0</v>
      </c>
      <c r="AL270" s="21">
        <v>2001</v>
      </c>
      <c r="AM270" s="23">
        <f t="shared" si="81"/>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23</v>
      </c>
      <c r="DB270" s="34"/>
    </row>
    <row r="271" spans="1:106" x14ac:dyDescent="0.25">
      <c r="A271">
        <v>270</v>
      </c>
      <c r="B271">
        <v>18</v>
      </c>
      <c r="C271" s="25" t="s">
        <v>219</v>
      </c>
      <c r="D271" s="12">
        <v>11.9</v>
      </c>
      <c r="E271" s="14">
        <v>0.7</v>
      </c>
      <c r="F271" s="7">
        <f t="shared" si="82"/>
        <v>17</v>
      </c>
      <c r="G271" s="7">
        <f t="shared" si="72"/>
        <v>11.200000000000001</v>
      </c>
      <c r="H271" s="16">
        <f t="shared" si="73"/>
        <v>12.6</v>
      </c>
      <c r="I271" s="11">
        <f t="shared" si="74"/>
        <v>0.27246248890491698</v>
      </c>
      <c r="J271" s="33">
        <f t="shared" si="75"/>
        <v>1.6027205229700997E-2</v>
      </c>
      <c r="K271" s="33">
        <f t="shared" si="76"/>
        <v>62.393909959225994</v>
      </c>
      <c r="L271" s="33">
        <f t="shared" si="77"/>
        <v>0.25643528367521595</v>
      </c>
      <c r="M271" s="33">
        <f t="shared" si="78"/>
        <v>0.288489694134618</v>
      </c>
      <c r="N271" s="8">
        <v>1</v>
      </c>
      <c r="O271" s="9">
        <v>0</v>
      </c>
      <c r="P271" s="8">
        <v>1</v>
      </c>
      <c r="Q271" s="9">
        <v>0</v>
      </c>
      <c r="R271" s="9">
        <v>0</v>
      </c>
      <c r="S271" s="9">
        <v>0</v>
      </c>
      <c r="T271" s="9">
        <v>0</v>
      </c>
      <c r="U271" s="8">
        <v>3610</v>
      </c>
      <c r="V271" s="9">
        <v>5</v>
      </c>
      <c r="W271" s="9">
        <f t="shared" si="79"/>
        <v>3604</v>
      </c>
      <c r="X271" s="9">
        <f t="shared" si="80"/>
        <v>48</v>
      </c>
      <c r="Y271" s="7">
        <v>17</v>
      </c>
      <c r="Z271" s="7">
        <f t="shared" si="70"/>
        <v>21.274999999999999</v>
      </c>
      <c r="AA271" s="9">
        <v>1</v>
      </c>
      <c r="AB271" s="9">
        <v>0</v>
      </c>
      <c r="AC271" s="9">
        <v>1</v>
      </c>
      <c r="AD271" s="9">
        <v>0</v>
      </c>
      <c r="AE271" s="9">
        <v>0</v>
      </c>
      <c r="AF271" s="9">
        <v>0</v>
      </c>
      <c r="AG271" s="8">
        <v>0</v>
      </c>
      <c r="AH271" s="9">
        <v>1</v>
      </c>
      <c r="AI271" s="30">
        <v>0</v>
      </c>
      <c r="AJ271" s="9">
        <v>1</v>
      </c>
      <c r="AK271" s="30">
        <v>0</v>
      </c>
      <c r="AL271" s="21">
        <v>2001</v>
      </c>
      <c r="AM271" s="23">
        <f t="shared" si="81"/>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23</v>
      </c>
      <c r="DB271" s="34"/>
    </row>
    <row r="272" spans="1:106" x14ac:dyDescent="0.25">
      <c r="A272">
        <v>271</v>
      </c>
      <c r="B272">
        <v>18</v>
      </c>
      <c r="C272" s="25" t="s">
        <v>219</v>
      </c>
      <c r="D272" s="12">
        <v>5.3</v>
      </c>
      <c r="E272" s="14">
        <v>0.8</v>
      </c>
      <c r="F272" s="7">
        <f t="shared" si="82"/>
        <v>6.6249999999999991</v>
      </c>
      <c r="G272" s="7">
        <f t="shared" si="72"/>
        <v>4.5</v>
      </c>
      <c r="H272" s="16">
        <f t="shared" si="73"/>
        <v>6.1</v>
      </c>
      <c r="I272" s="11">
        <f t="shared" si="74"/>
        <v>0.10968948019675485</v>
      </c>
      <c r="J272" s="33">
        <f t="shared" si="75"/>
        <v>1.6556902671208282E-2</v>
      </c>
      <c r="K272" s="33">
        <f t="shared" si="76"/>
        <v>60.397770033338155</v>
      </c>
      <c r="L272" s="33">
        <f t="shared" si="77"/>
        <v>9.3132577525546573E-2</v>
      </c>
      <c r="M272" s="33">
        <f t="shared" si="78"/>
        <v>0.12624638286796314</v>
      </c>
      <c r="N272" s="8">
        <v>1</v>
      </c>
      <c r="O272" s="9">
        <v>0</v>
      </c>
      <c r="P272" s="8">
        <v>1</v>
      </c>
      <c r="Q272" s="9">
        <v>0</v>
      </c>
      <c r="R272" s="9">
        <v>0</v>
      </c>
      <c r="S272" s="9">
        <v>0</v>
      </c>
      <c r="T272" s="9">
        <v>0</v>
      </c>
      <c r="U272" s="8">
        <v>3610</v>
      </c>
      <c r="V272" s="9">
        <v>5</v>
      </c>
      <c r="W272" s="9">
        <f t="shared" si="79"/>
        <v>3604</v>
      </c>
      <c r="X272" s="9">
        <f t="shared" si="80"/>
        <v>48</v>
      </c>
      <c r="Y272" s="7">
        <v>7</v>
      </c>
      <c r="Z272" s="7">
        <f t="shared" si="70"/>
        <v>31.274999999999999</v>
      </c>
      <c r="AA272" s="9">
        <v>1</v>
      </c>
      <c r="AB272" s="9">
        <v>0</v>
      </c>
      <c r="AC272" s="9">
        <v>1</v>
      </c>
      <c r="AD272" s="9">
        <v>0</v>
      </c>
      <c r="AE272" s="9">
        <v>0</v>
      </c>
      <c r="AF272" s="9">
        <v>0</v>
      </c>
      <c r="AG272" s="8">
        <v>0</v>
      </c>
      <c r="AH272" s="9">
        <v>1</v>
      </c>
      <c r="AI272" s="30">
        <v>0</v>
      </c>
      <c r="AJ272" s="9">
        <v>1</v>
      </c>
      <c r="AK272" s="30">
        <v>0</v>
      </c>
      <c r="AL272" s="21">
        <v>2001</v>
      </c>
      <c r="AM272" s="23">
        <f t="shared" si="81"/>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23</v>
      </c>
      <c r="DB272" s="34"/>
    </row>
    <row r="273" spans="1:106" x14ac:dyDescent="0.25">
      <c r="A273">
        <v>272</v>
      </c>
      <c r="B273">
        <v>18</v>
      </c>
      <c r="C273" s="25" t="s">
        <v>219</v>
      </c>
      <c r="D273" s="12">
        <v>9.9</v>
      </c>
      <c r="E273" s="14">
        <v>3.9</v>
      </c>
      <c r="F273" s="7">
        <f t="shared" si="82"/>
        <v>2.5384615384615388</v>
      </c>
      <c r="G273" s="7">
        <f t="shared" si="72"/>
        <v>6</v>
      </c>
      <c r="H273" s="16">
        <f t="shared" si="73"/>
        <v>13.8</v>
      </c>
      <c r="I273" s="11">
        <f t="shared" si="74"/>
        <v>4.2246457103995896E-2</v>
      </c>
      <c r="J273" s="33">
        <f t="shared" si="75"/>
        <v>1.6642543707634745E-2</v>
      </c>
      <c r="K273" s="33">
        <f t="shared" si="76"/>
        <v>60.086968528810374</v>
      </c>
      <c r="L273" s="33">
        <f t="shared" si="77"/>
        <v>2.5603913396361151E-2</v>
      </c>
      <c r="M273" s="33">
        <f t="shared" si="78"/>
        <v>5.8889000811630642E-2</v>
      </c>
      <c r="N273" s="8">
        <v>1</v>
      </c>
      <c r="O273" s="9">
        <v>0</v>
      </c>
      <c r="P273" s="8">
        <v>1</v>
      </c>
      <c r="Q273" s="9">
        <v>0</v>
      </c>
      <c r="R273" s="9">
        <v>0</v>
      </c>
      <c r="S273" s="9">
        <v>0</v>
      </c>
      <c r="T273" s="9">
        <v>0</v>
      </c>
      <c r="U273" s="8">
        <v>3610</v>
      </c>
      <c r="V273" s="9">
        <v>5</v>
      </c>
      <c r="W273" s="9">
        <f t="shared" si="79"/>
        <v>3604</v>
      </c>
      <c r="X273" s="9">
        <f t="shared" si="80"/>
        <v>48</v>
      </c>
      <c r="Y273" s="7">
        <v>17</v>
      </c>
      <c r="Z273" s="7">
        <f t="shared" si="70"/>
        <v>21.274999999999999</v>
      </c>
      <c r="AA273" s="9">
        <v>1</v>
      </c>
      <c r="AB273" s="9">
        <v>0</v>
      </c>
      <c r="AC273" s="9">
        <v>1</v>
      </c>
      <c r="AD273" s="9">
        <v>0</v>
      </c>
      <c r="AE273" s="9">
        <v>0</v>
      </c>
      <c r="AF273" s="9">
        <v>0</v>
      </c>
      <c r="AG273" s="8">
        <v>0</v>
      </c>
      <c r="AH273" s="9">
        <v>1</v>
      </c>
      <c r="AI273" s="30">
        <v>0</v>
      </c>
      <c r="AJ273" s="9">
        <v>1</v>
      </c>
      <c r="AK273" s="30">
        <v>0</v>
      </c>
      <c r="AL273" s="21">
        <v>2001</v>
      </c>
      <c r="AM273" s="23">
        <f t="shared" si="81"/>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23</v>
      </c>
      <c r="DB273" s="34"/>
    </row>
    <row r="274" spans="1:106" x14ac:dyDescent="0.25">
      <c r="A274">
        <v>273</v>
      </c>
      <c r="B274">
        <v>18</v>
      </c>
      <c r="C274" s="25" t="s">
        <v>219</v>
      </c>
      <c r="D274" s="12">
        <v>7</v>
      </c>
      <c r="E274" s="14">
        <v>2.7</v>
      </c>
      <c r="F274" s="7">
        <f t="shared" si="82"/>
        <v>2.5925925925925926</v>
      </c>
      <c r="G274" s="7">
        <f t="shared" si="72"/>
        <v>4.3</v>
      </c>
      <c r="H274" s="16">
        <f t="shared" si="73"/>
        <v>9.6999999999999993</v>
      </c>
      <c r="I274" s="11">
        <f t="shared" si="74"/>
        <v>4.3145675984180239E-2</v>
      </c>
      <c r="J274" s="33">
        <f t="shared" si="75"/>
        <v>1.664190359389809E-2</v>
      </c>
      <c r="K274" s="33">
        <f t="shared" si="76"/>
        <v>60.08927971236772</v>
      </c>
      <c r="L274" s="33">
        <f t="shared" si="77"/>
        <v>2.6503772390282149E-2</v>
      </c>
      <c r="M274" s="33">
        <f t="shared" si="78"/>
        <v>5.9787579578078329E-2</v>
      </c>
      <c r="N274" s="8">
        <v>1</v>
      </c>
      <c r="O274" s="9">
        <v>0</v>
      </c>
      <c r="P274" s="8">
        <v>1</v>
      </c>
      <c r="Q274" s="9">
        <v>0</v>
      </c>
      <c r="R274" s="9">
        <v>0</v>
      </c>
      <c r="S274" s="9">
        <v>0</v>
      </c>
      <c r="T274" s="9">
        <v>0</v>
      </c>
      <c r="U274" s="8">
        <v>3610</v>
      </c>
      <c r="V274" s="9">
        <v>5</v>
      </c>
      <c r="W274" s="9">
        <f t="shared" si="79"/>
        <v>3604</v>
      </c>
      <c r="X274" s="9">
        <f t="shared" si="80"/>
        <v>48</v>
      </c>
      <c r="Y274" s="7">
        <v>7</v>
      </c>
      <c r="Z274" s="7">
        <f t="shared" si="70"/>
        <v>31.274999999999999</v>
      </c>
      <c r="AA274" s="9">
        <v>1</v>
      </c>
      <c r="AB274" s="9">
        <v>0</v>
      </c>
      <c r="AC274" s="9">
        <v>1</v>
      </c>
      <c r="AD274" s="9">
        <v>0</v>
      </c>
      <c r="AE274" s="9">
        <v>0</v>
      </c>
      <c r="AF274" s="9">
        <v>0</v>
      </c>
      <c r="AG274" s="8">
        <v>0</v>
      </c>
      <c r="AH274" s="9">
        <v>1</v>
      </c>
      <c r="AI274" s="30">
        <v>0</v>
      </c>
      <c r="AJ274" s="9">
        <v>1</v>
      </c>
      <c r="AK274" s="30">
        <v>0</v>
      </c>
      <c r="AL274" s="21">
        <v>2001</v>
      </c>
      <c r="AM274" s="23">
        <f t="shared" si="81"/>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23</v>
      </c>
      <c r="DB274" s="34"/>
    </row>
    <row r="275" spans="1:106" x14ac:dyDescent="0.25">
      <c r="A275">
        <v>274</v>
      </c>
      <c r="B275">
        <v>18</v>
      </c>
      <c r="C275" s="25" t="s">
        <v>219</v>
      </c>
      <c r="D275" s="12">
        <v>9.6</v>
      </c>
      <c r="E275" s="14">
        <v>3.7</v>
      </c>
      <c r="F275" s="7">
        <f t="shared" si="82"/>
        <v>2.5945945945945943</v>
      </c>
      <c r="G275" s="7">
        <f t="shared" si="72"/>
        <v>5.8999999999999995</v>
      </c>
      <c r="H275" s="16">
        <f t="shared" si="73"/>
        <v>13.3</v>
      </c>
      <c r="I275" s="11">
        <f t="shared" si="74"/>
        <v>4.3286961577418265E-2</v>
      </c>
      <c r="J275" s="33">
        <f t="shared" si="75"/>
        <v>1.6683516441296627E-2</v>
      </c>
      <c r="K275" s="33">
        <f t="shared" si="76"/>
        <v>59.93940207501489</v>
      </c>
      <c r="L275" s="33">
        <f t="shared" si="77"/>
        <v>2.6603445136121638E-2</v>
      </c>
      <c r="M275" s="33">
        <f t="shared" si="78"/>
        <v>5.9970478018714891E-2</v>
      </c>
      <c r="N275" s="8">
        <v>1</v>
      </c>
      <c r="O275" s="9">
        <v>0</v>
      </c>
      <c r="P275" s="8">
        <v>1</v>
      </c>
      <c r="Q275" s="9">
        <v>0</v>
      </c>
      <c r="R275" s="9">
        <v>0</v>
      </c>
      <c r="S275" s="9">
        <v>0</v>
      </c>
      <c r="T275" s="9">
        <v>0</v>
      </c>
      <c r="U275" s="8">
        <v>3598</v>
      </c>
      <c r="V275" s="9">
        <v>11</v>
      </c>
      <c r="W275" s="9">
        <f t="shared" si="79"/>
        <v>3586</v>
      </c>
      <c r="X275" s="9">
        <f t="shared" si="80"/>
        <v>48</v>
      </c>
      <c r="Y275" s="7">
        <v>17</v>
      </c>
      <c r="Z275" s="7">
        <f t="shared" si="70"/>
        <v>21.274999999999999</v>
      </c>
      <c r="AA275" s="9">
        <v>1</v>
      </c>
      <c r="AB275" s="9">
        <v>0</v>
      </c>
      <c r="AC275" s="9">
        <v>1</v>
      </c>
      <c r="AD275" s="9">
        <v>0</v>
      </c>
      <c r="AE275" s="9">
        <v>0</v>
      </c>
      <c r="AF275" s="9">
        <v>0</v>
      </c>
      <c r="AG275" s="8">
        <v>0</v>
      </c>
      <c r="AH275" s="9">
        <v>1</v>
      </c>
      <c r="AI275" s="30">
        <v>0</v>
      </c>
      <c r="AJ275" s="9">
        <v>1</v>
      </c>
      <c r="AK275" s="30">
        <v>0</v>
      </c>
      <c r="AL275" s="21">
        <v>2001</v>
      </c>
      <c r="AM275" s="23">
        <f t="shared" si="81"/>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23</v>
      </c>
      <c r="DB275" s="34"/>
    </row>
    <row r="276" spans="1:106" x14ac:dyDescent="0.25">
      <c r="A276">
        <v>275</v>
      </c>
      <c r="B276">
        <v>18</v>
      </c>
      <c r="C276" s="25" t="s">
        <v>219</v>
      </c>
      <c r="D276" s="12">
        <v>7.4</v>
      </c>
      <c r="E276" s="14">
        <v>2.7</v>
      </c>
      <c r="F276" s="7">
        <f t="shared" si="82"/>
        <v>2.7407407407407405</v>
      </c>
      <c r="G276" s="7">
        <f t="shared" si="72"/>
        <v>4.7</v>
      </c>
      <c r="H276" s="16">
        <f t="shared" si="73"/>
        <v>10.100000000000001</v>
      </c>
      <c r="I276" s="11">
        <f t="shared" si="74"/>
        <v>4.5720232096191346E-2</v>
      </c>
      <c r="J276" s="33">
        <f t="shared" si="75"/>
        <v>1.6681706305367115E-2</v>
      </c>
      <c r="K276" s="33">
        <f t="shared" si="76"/>
        <v>59.94590611382862</v>
      </c>
      <c r="L276" s="33">
        <f t="shared" si="77"/>
        <v>2.9038525790824232E-2</v>
      </c>
      <c r="M276" s="33">
        <f t="shared" si="78"/>
        <v>6.2401938401558457E-2</v>
      </c>
      <c r="N276" s="8">
        <v>1</v>
      </c>
      <c r="O276" s="9">
        <v>0</v>
      </c>
      <c r="P276" s="8">
        <v>1</v>
      </c>
      <c r="Q276" s="9">
        <v>0</v>
      </c>
      <c r="R276" s="9">
        <v>0</v>
      </c>
      <c r="S276" s="9">
        <v>0</v>
      </c>
      <c r="T276" s="9">
        <v>0</v>
      </c>
      <c r="U276" s="8">
        <v>3598</v>
      </c>
      <c r="V276" s="9">
        <v>11</v>
      </c>
      <c r="W276" s="9">
        <f t="shared" si="79"/>
        <v>3586</v>
      </c>
      <c r="X276" s="9">
        <f t="shared" si="80"/>
        <v>48</v>
      </c>
      <c r="Y276" s="7">
        <v>7</v>
      </c>
      <c r="Z276" s="7">
        <f t="shared" si="70"/>
        <v>31.274999999999999</v>
      </c>
      <c r="AA276" s="9">
        <v>1</v>
      </c>
      <c r="AB276" s="9">
        <v>0</v>
      </c>
      <c r="AC276" s="9">
        <v>1</v>
      </c>
      <c r="AD276" s="9">
        <v>0</v>
      </c>
      <c r="AE276" s="9">
        <v>0</v>
      </c>
      <c r="AF276" s="9">
        <v>0</v>
      </c>
      <c r="AG276" s="8">
        <v>0</v>
      </c>
      <c r="AH276" s="9">
        <v>1</v>
      </c>
      <c r="AI276" s="30">
        <v>0</v>
      </c>
      <c r="AJ276" s="9">
        <v>1</v>
      </c>
      <c r="AK276" s="30">
        <v>0</v>
      </c>
      <c r="AL276" s="21">
        <v>2001</v>
      </c>
      <c r="AM276" s="23">
        <f t="shared" si="81"/>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23</v>
      </c>
      <c r="DB276" s="34"/>
    </row>
    <row r="277" spans="1:106" x14ac:dyDescent="0.25">
      <c r="A277">
        <v>276</v>
      </c>
      <c r="B277">
        <v>18</v>
      </c>
      <c r="C277" s="25" t="s">
        <v>219</v>
      </c>
      <c r="D277" s="12">
        <v>9.8000000000000007</v>
      </c>
      <c r="E277" s="14">
        <v>4</v>
      </c>
      <c r="F277" s="7">
        <f t="shared" si="82"/>
        <v>2.4500000000000002</v>
      </c>
      <c r="G277" s="7">
        <f t="shared" si="72"/>
        <v>5.8000000000000007</v>
      </c>
      <c r="H277" s="16">
        <f t="shared" si="73"/>
        <v>13.8</v>
      </c>
      <c r="I277" s="11">
        <f t="shared" si="74"/>
        <v>4.0895846678058546E-2</v>
      </c>
      <c r="J277" s="33">
        <f t="shared" si="75"/>
        <v>1.6692182317574914E-2</v>
      </c>
      <c r="K277" s="33">
        <f t="shared" si="76"/>
        <v>59.90828406823217</v>
      </c>
      <c r="L277" s="33">
        <f t="shared" si="77"/>
        <v>2.4203664360483632E-2</v>
      </c>
      <c r="M277" s="33">
        <f t="shared" si="78"/>
        <v>5.7588028995633464E-2</v>
      </c>
      <c r="N277" s="8">
        <v>1</v>
      </c>
      <c r="O277" s="9">
        <v>0</v>
      </c>
      <c r="P277" s="8">
        <v>1</v>
      </c>
      <c r="Q277" s="9">
        <v>0</v>
      </c>
      <c r="R277" s="9">
        <v>0</v>
      </c>
      <c r="S277" s="9">
        <v>0</v>
      </c>
      <c r="T277" s="9">
        <v>0</v>
      </c>
      <c r="U277" s="8">
        <v>3598</v>
      </c>
      <c r="V277" s="9">
        <v>14</v>
      </c>
      <c r="W277" s="9">
        <f t="shared" si="79"/>
        <v>3583</v>
      </c>
      <c r="X277" s="9">
        <f t="shared" si="80"/>
        <v>48</v>
      </c>
      <c r="Y277" s="7">
        <v>17</v>
      </c>
      <c r="Z277" s="7">
        <f t="shared" si="70"/>
        <v>21.274999999999999</v>
      </c>
      <c r="AA277" s="9">
        <v>1</v>
      </c>
      <c r="AB277" s="9">
        <v>0</v>
      </c>
      <c r="AC277" s="9">
        <v>1</v>
      </c>
      <c r="AD277" s="9">
        <v>0</v>
      </c>
      <c r="AE277" s="9">
        <v>0</v>
      </c>
      <c r="AF277" s="9">
        <v>0</v>
      </c>
      <c r="AG277" s="8">
        <v>0</v>
      </c>
      <c r="AH277" s="9">
        <v>1</v>
      </c>
      <c r="AI277" s="30">
        <v>0</v>
      </c>
      <c r="AJ277" s="9">
        <v>1</v>
      </c>
      <c r="AK277" s="30">
        <v>0</v>
      </c>
      <c r="AL277" s="21">
        <v>2001</v>
      </c>
      <c r="AM277" s="23">
        <f t="shared" si="81"/>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23</v>
      </c>
      <c r="DB277" s="34"/>
    </row>
    <row r="278" spans="1:106" s="51" customFormat="1" x14ac:dyDescent="0.25">
      <c r="A278" s="51">
        <v>277</v>
      </c>
      <c r="B278" s="51">
        <v>18</v>
      </c>
      <c r="C278" s="52" t="s">
        <v>219</v>
      </c>
      <c r="D278" s="53">
        <v>7</v>
      </c>
      <c r="E278" s="54">
        <v>2.7</v>
      </c>
      <c r="F278" s="55">
        <f t="shared" si="82"/>
        <v>2.5925925925925926</v>
      </c>
      <c r="G278" s="55">
        <f t="shared" si="72"/>
        <v>4.3</v>
      </c>
      <c r="H278" s="56">
        <f t="shared" si="73"/>
        <v>9.6999999999999993</v>
      </c>
      <c r="I278" s="57">
        <f t="shared" si="74"/>
        <v>4.3271693828277141E-2</v>
      </c>
      <c r="J278" s="58">
        <f t="shared" si="75"/>
        <v>1.6690510476621182E-2</v>
      </c>
      <c r="K278" s="58">
        <f t="shared" si="76"/>
        <v>59.914284910621824</v>
      </c>
      <c r="L278" s="58">
        <f t="shared" si="77"/>
        <v>2.6581183351655959E-2</v>
      </c>
      <c r="M278" s="58">
        <f t="shared" si="78"/>
        <v>5.996220430489832E-2</v>
      </c>
      <c r="N278" s="59">
        <v>1</v>
      </c>
      <c r="O278" s="60">
        <v>0</v>
      </c>
      <c r="P278" s="59">
        <v>1</v>
      </c>
      <c r="Q278" s="60">
        <v>0</v>
      </c>
      <c r="R278" s="60">
        <v>0</v>
      </c>
      <c r="S278" s="60">
        <v>0</v>
      </c>
      <c r="T278" s="60">
        <v>0</v>
      </c>
      <c r="U278" s="59">
        <v>3598</v>
      </c>
      <c r="V278" s="60">
        <v>14</v>
      </c>
      <c r="W278" s="60">
        <f t="shared" si="79"/>
        <v>3583</v>
      </c>
      <c r="X278" s="60">
        <f t="shared" si="80"/>
        <v>48</v>
      </c>
      <c r="Y278" s="55">
        <v>7</v>
      </c>
      <c r="Z278" s="55">
        <f t="shared" si="70"/>
        <v>31.274999999999999</v>
      </c>
      <c r="AA278" s="60">
        <v>1</v>
      </c>
      <c r="AB278" s="60">
        <v>0</v>
      </c>
      <c r="AC278" s="60">
        <v>1</v>
      </c>
      <c r="AD278" s="60">
        <v>0</v>
      </c>
      <c r="AE278" s="60">
        <v>0</v>
      </c>
      <c r="AF278" s="60">
        <v>0</v>
      </c>
      <c r="AG278" s="59">
        <v>0</v>
      </c>
      <c r="AH278" s="60">
        <v>1</v>
      </c>
      <c r="AI278" s="61">
        <v>0</v>
      </c>
      <c r="AJ278" s="60">
        <v>1</v>
      </c>
      <c r="AK278" s="61">
        <v>0</v>
      </c>
      <c r="AL278" s="62">
        <v>2001</v>
      </c>
      <c r="AM278" s="63">
        <f t="shared" si="81"/>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23</v>
      </c>
      <c r="CW278" s="68"/>
      <c r="DB278" s="68"/>
    </row>
    <row r="279" spans="1:106" x14ac:dyDescent="0.25">
      <c r="A279">
        <v>278</v>
      </c>
      <c r="B279">
        <v>19</v>
      </c>
      <c r="C279" s="25" t="s">
        <v>225</v>
      </c>
      <c r="D279" s="12">
        <v>1.5842461862563659</v>
      </c>
      <c r="E279" s="14">
        <v>10.58752761730153</v>
      </c>
      <c r="F279" s="7">
        <v>0.14963325183374079</v>
      </c>
      <c r="G279" s="7">
        <f t="shared" si="72"/>
        <v>-9.0032814310451652</v>
      </c>
      <c r="H279" s="16">
        <f t="shared" si="73"/>
        <v>12.171773803557896</v>
      </c>
      <c r="I279" s="11">
        <f t="shared" si="74"/>
        <v>2.1486033195640079E-3</v>
      </c>
      <c r="J279" s="33">
        <f t="shared" si="75"/>
        <v>1.4359130027805221E-2</v>
      </c>
      <c r="K279" s="33">
        <f t="shared" si="76"/>
        <v>69.642102137356929</v>
      </c>
      <c r="L279" s="33">
        <f t="shared" si="77"/>
        <v>-1.2210526708241213E-2</v>
      </c>
      <c r="M279" s="33">
        <f t="shared" si="78"/>
        <v>1.6507733347369227E-2</v>
      </c>
      <c r="N279" s="8">
        <v>1</v>
      </c>
      <c r="O279" s="9">
        <v>0</v>
      </c>
      <c r="P279" s="8">
        <v>0</v>
      </c>
      <c r="Q279" s="9">
        <v>1</v>
      </c>
      <c r="R279" s="9">
        <v>0</v>
      </c>
      <c r="S279" s="9">
        <v>0</v>
      </c>
      <c r="T279" s="9">
        <v>0</v>
      </c>
      <c r="U279" s="8">
        <v>4880</v>
      </c>
      <c r="V279" s="9">
        <v>29</v>
      </c>
      <c r="W279" s="9">
        <f t="shared" si="79"/>
        <v>4850</v>
      </c>
      <c r="X279" s="9">
        <f t="shared" si="80"/>
        <v>16</v>
      </c>
      <c r="Y279" s="7">
        <v>6</v>
      </c>
      <c r="Z279" s="7">
        <f t="shared" si="70"/>
        <v>37.57</v>
      </c>
      <c r="AA279" s="9">
        <v>0</v>
      </c>
      <c r="AB279" s="9">
        <v>1</v>
      </c>
      <c r="AC279" s="9">
        <v>0</v>
      </c>
      <c r="AD279" s="9">
        <v>0</v>
      </c>
      <c r="AE279" s="9">
        <v>1</v>
      </c>
      <c r="AF279" s="9">
        <v>0</v>
      </c>
      <c r="AG279" s="8">
        <v>0</v>
      </c>
      <c r="AH279" s="9">
        <v>1</v>
      </c>
      <c r="AI279" s="30">
        <v>0</v>
      </c>
      <c r="AJ279" s="9">
        <v>1</v>
      </c>
      <c r="AK279" s="30">
        <v>0</v>
      </c>
      <c r="AL279" s="21">
        <v>2011</v>
      </c>
      <c r="AM279" s="23">
        <f t="shared" si="81"/>
        <v>7.6063873897726522</v>
      </c>
      <c r="AN279" s="33">
        <f t="shared" ref="AN279:AN294" si="83">1-(AO279+AP279+AQ279)</f>
        <v>0.3972</v>
      </c>
      <c r="AO279" s="33">
        <v>0.26300000000000001</v>
      </c>
      <c r="AP279" s="33">
        <v>0.2162</v>
      </c>
      <c r="AQ279" s="43">
        <v>0.1236</v>
      </c>
      <c r="AR279" s="42">
        <v>1</v>
      </c>
      <c r="AS279" s="18">
        <v>0</v>
      </c>
      <c r="AT279">
        <v>0.18748699999999999</v>
      </c>
      <c r="AU279" s="40">
        <f t="shared" ref="AU279:AU294" si="84">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17</v>
      </c>
      <c r="DB279" s="34"/>
    </row>
    <row r="280" spans="1:106" x14ac:dyDescent="0.25">
      <c r="A280">
        <v>279</v>
      </c>
      <c r="B280">
        <v>19</v>
      </c>
      <c r="C280" s="25" t="s">
        <v>225</v>
      </c>
      <c r="D280" s="12">
        <v>1.329986355269575</v>
      </c>
      <c r="E280" s="14">
        <v>5.2789439149428192</v>
      </c>
      <c r="F280" s="7">
        <v>0.25194174757281562</v>
      </c>
      <c r="G280" s="7">
        <f t="shared" si="72"/>
        <v>-3.9489575596732442</v>
      </c>
      <c r="H280" s="16">
        <f t="shared" si="73"/>
        <v>6.6089302702123938</v>
      </c>
      <c r="I280" s="11">
        <f t="shared" si="74"/>
        <v>3.6176489903127604E-3</v>
      </c>
      <c r="J280" s="33">
        <f t="shared" si="75"/>
        <v>1.4359069210104596E-2</v>
      </c>
      <c r="K280" s="33">
        <f t="shared" si="76"/>
        <v>69.642397105816002</v>
      </c>
      <c r="L280" s="33">
        <f t="shared" si="77"/>
        <v>-1.0741420219791836E-2</v>
      </c>
      <c r="M280" s="33">
        <f t="shared" si="78"/>
        <v>1.7976718200417355E-2</v>
      </c>
      <c r="N280" s="8">
        <v>1</v>
      </c>
      <c r="O280" s="9">
        <v>0</v>
      </c>
      <c r="P280" s="8">
        <v>0</v>
      </c>
      <c r="Q280" s="9">
        <v>1</v>
      </c>
      <c r="R280" s="9">
        <v>0</v>
      </c>
      <c r="S280" s="9">
        <v>0</v>
      </c>
      <c r="T280" s="9">
        <v>0</v>
      </c>
      <c r="U280" s="8">
        <v>4880</v>
      </c>
      <c r="V280" s="9">
        <v>29</v>
      </c>
      <c r="W280" s="9">
        <f t="shared" si="79"/>
        <v>4850</v>
      </c>
      <c r="X280" s="9">
        <f t="shared" si="80"/>
        <v>16</v>
      </c>
      <c r="Y280" s="7">
        <v>12</v>
      </c>
      <c r="Z280" s="7">
        <f t="shared" si="70"/>
        <v>31.57</v>
      </c>
      <c r="AA280" s="9">
        <v>0</v>
      </c>
      <c r="AB280" s="9">
        <v>1</v>
      </c>
      <c r="AC280" s="9">
        <v>0</v>
      </c>
      <c r="AD280" s="9">
        <v>0</v>
      </c>
      <c r="AE280" s="9">
        <v>1</v>
      </c>
      <c r="AF280" s="9">
        <v>0</v>
      </c>
      <c r="AG280" s="8">
        <v>0</v>
      </c>
      <c r="AH280" s="9">
        <v>1</v>
      </c>
      <c r="AI280" s="30">
        <v>0</v>
      </c>
      <c r="AJ280" s="9">
        <v>1</v>
      </c>
      <c r="AK280" s="30">
        <v>0</v>
      </c>
      <c r="AL280" s="21">
        <v>2011</v>
      </c>
      <c r="AM280" s="23">
        <f t="shared" si="81"/>
        <v>7.6063873897726522</v>
      </c>
      <c r="AN280" s="33">
        <f t="shared" si="83"/>
        <v>0.3972</v>
      </c>
      <c r="AO280" s="33">
        <v>0.26300000000000001</v>
      </c>
      <c r="AP280" s="33">
        <v>0.2162</v>
      </c>
      <c r="AQ280" s="43">
        <v>0.1236</v>
      </c>
      <c r="AR280" s="42">
        <v>1</v>
      </c>
      <c r="AS280" s="18">
        <v>0</v>
      </c>
      <c r="AT280">
        <v>0.18748699999999999</v>
      </c>
      <c r="AU280" s="40">
        <f t="shared" si="84"/>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17</v>
      </c>
      <c r="DB280" s="34"/>
    </row>
    <row r="281" spans="1:106" x14ac:dyDescent="0.25">
      <c r="A281">
        <v>280</v>
      </c>
      <c r="B281">
        <v>19</v>
      </c>
      <c r="C281" s="25" t="s">
        <v>225</v>
      </c>
      <c r="D281" s="12">
        <v>3.127680663207633</v>
      </c>
      <c r="E281" s="14">
        <v>3.674597500489841</v>
      </c>
      <c r="F281" s="7">
        <v>0.85116279069767442</v>
      </c>
      <c r="G281" s="7">
        <f t="shared" si="72"/>
        <v>-0.54691683728220797</v>
      </c>
      <c r="H281" s="16">
        <f t="shared" si="73"/>
        <v>6.8022781636974745</v>
      </c>
      <c r="I281" s="11">
        <f t="shared" si="74"/>
        <v>1.2221072658809409E-2</v>
      </c>
      <c r="J281" s="33">
        <f t="shared" si="75"/>
        <v>1.4358090828655861E-2</v>
      </c>
      <c r="K281" s="33">
        <f t="shared" si="76"/>
        <v>69.647142641290515</v>
      </c>
      <c r="L281" s="33">
        <f t="shared" si="77"/>
        <v>-2.1370181698464521E-3</v>
      </c>
      <c r="M281" s="33">
        <f t="shared" si="78"/>
        <v>2.6579163487465272E-2</v>
      </c>
      <c r="N281" s="8">
        <v>1</v>
      </c>
      <c r="O281" s="9">
        <v>0</v>
      </c>
      <c r="P281" s="8">
        <v>0</v>
      </c>
      <c r="Q281" s="9">
        <v>1</v>
      </c>
      <c r="R281" s="9">
        <v>0</v>
      </c>
      <c r="S281" s="9">
        <v>0</v>
      </c>
      <c r="T281" s="9">
        <v>0</v>
      </c>
      <c r="U281" s="8">
        <v>4880</v>
      </c>
      <c r="V281" s="9">
        <v>29</v>
      </c>
      <c r="W281" s="9">
        <f t="shared" si="79"/>
        <v>4850</v>
      </c>
      <c r="X281" s="9">
        <f t="shared" si="80"/>
        <v>16</v>
      </c>
      <c r="Y281" s="7">
        <v>16</v>
      </c>
      <c r="Z281" s="7">
        <f t="shared" si="70"/>
        <v>27.57</v>
      </c>
      <c r="AA281" s="9">
        <v>0</v>
      </c>
      <c r="AB281" s="9">
        <v>1</v>
      </c>
      <c r="AC281" s="9">
        <v>0</v>
      </c>
      <c r="AD281" s="9">
        <v>0</v>
      </c>
      <c r="AE281" s="9">
        <v>1</v>
      </c>
      <c r="AF281" s="9">
        <v>0</v>
      </c>
      <c r="AG281" s="8">
        <v>0</v>
      </c>
      <c r="AH281" s="9">
        <v>1</v>
      </c>
      <c r="AI281" s="30">
        <v>0</v>
      </c>
      <c r="AJ281" s="9">
        <v>1</v>
      </c>
      <c r="AK281" s="30">
        <v>0</v>
      </c>
      <c r="AL281" s="21">
        <v>2011</v>
      </c>
      <c r="AM281" s="23">
        <f t="shared" si="81"/>
        <v>7.6063873897726522</v>
      </c>
      <c r="AN281" s="33">
        <f t="shared" si="83"/>
        <v>0.3972</v>
      </c>
      <c r="AO281" s="33">
        <v>0.26300000000000001</v>
      </c>
      <c r="AP281" s="33">
        <v>0.2162</v>
      </c>
      <c r="AQ281" s="43">
        <v>0.1236</v>
      </c>
      <c r="AR281" s="42">
        <v>1</v>
      </c>
      <c r="AS281" s="18">
        <v>0</v>
      </c>
      <c r="AT281">
        <v>0.18748699999999999</v>
      </c>
      <c r="AU281" s="40">
        <f t="shared" si="84"/>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17</v>
      </c>
      <c r="DB281" s="34"/>
    </row>
    <row r="282" spans="1:106" x14ac:dyDescent="0.25">
      <c r="A282">
        <v>281</v>
      </c>
      <c r="B282">
        <v>19</v>
      </c>
      <c r="C282" s="25" t="s">
        <v>225</v>
      </c>
      <c r="D282" s="12">
        <v>4.5673010915691981</v>
      </c>
      <c r="E282" s="14">
        <v>3.2367530819754009</v>
      </c>
      <c r="F282" s="7">
        <v>1.411074918566775</v>
      </c>
      <c r="G282" s="7">
        <f t="shared" si="72"/>
        <v>1.3305480095937972</v>
      </c>
      <c r="H282" s="16">
        <f t="shared" si="73"/>
        <v>7.804054173544599</v>
      </c>
      <c r="I282" s="11">
        <f t="shared" si="74"/>
        <v>2.0257697105299E-2</v>
      </c>
      <c r="J282" s="33">
        <f t="shared" si="75"/>
        <v>1.4356216554309312E-2</v>
      </c>
      <c r="K282" s="33">
        <f t="shared" si="76"/>
        <v>69.656235416693377</v>
      </c>
      <c r="L282" s="33">
        <f t="shared" si="77"/>
        <v>5.9014805509896885E-3</v>
      </c>
      <c r="M282" s="33">
        <f t="shared" si="78"/>
        <v>3.4613913659608309E-2</v>
      </c>
      <c r="N282" s="8">
        <v>1</v>
      </c>
      <c r="O282" s="9">
        <v>0</v>
      </c>
      <c r="P282" s="8">
        <v>0</v>
      </c>
      <c r="Q282" s="9">
        <v>1</v>
      </c>
      <c r="R282" s="9">
        <v>0</v>
      </c>
      <c r="S282" s="9">
        <v>0</v>
      </c>
      <c r="T282" s="9">
        <v>0</v>
      </c>
      <c r="U282" s="8">
        <v>4880</v>
      </c>
      <c r="V282" s="9">
        <v>29</v>
      </c>
      <c r="W282" s="9">
        <f t="shared" si="79"/>
        <v>4850</v>
      </c>
      <c r="X282" s="9">
        <f t="shared" si="80"/>
        <v>16</v>
      </c>
      <c r="Y282" s="7">
        <v>21</v>
      </c>
      <c r="Z282" s="7">
        <f t="shared" si="70"/>
        <v>22.57</v>
      </c>
      <c r="AA282" s="9">
        <v>0</v>
      </c>
      <c r="AB282" s="9">
        <v>1</v>
      </c>
      <c r="AC282" s="9">
        <v>0</v>
      </c>
      <c r="AD282" s="9">
        <v>0</v>
      </c>
      <c r="AE282" s="9">
        <v>1</v>
      </c>
      <c r="AF282" s="9">
        <v>0</v>
      </c>
      <c r="AG282" s="8">
        <v>0</v>
      </c>
      <c r="AH282" s="9">
        <v>1</v>
      </c>
      <c r="AI282" s="30">
        <v>0</v>
      </c>
      <c r="AJ282" s="9">
        <v>1</v>
      </c>
      <c r="AK282" s="30">
        <v>0</v>
      </c>
      <c r="AL282" s="21">
        <v>2011</v>
      </c>
      <c r="AM282" s="23">
        <f t="shared" si="81"/>
        <v>7.6063873897726522</v>
      </c>
      <c r="AN282" s="33">
        <f t="shared" si="83"/>
        <v>0.3972</v>
      </c>
      <c r="AO282" s="33">
        <v>0.26300000000000001</v>
      </c>
      <c r="AP282" s="33">
        <v>0.2162</v>
      </c>
      <c r="AQ282" s="43">
        <v>0.1236</v>
      </c>
      <c r="AR282" s="42">
        <v>1</v>
      </c>
      <c r="AS282" s="18">
        <v>0</v>
      </c>
      <c r="AT282">
        <v>0.18748699999999999</v>
      </c>
      <c r="AU282" s="40">
        <f t="shared" si="84"/>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17</v>
      </c>
      <c r="DB282" s="34"/>
    </row>
    <row r="283" spans="1:106" x14ac:dyDescent="0.25">
      <c r="A283">
        <v>282</v>
      </c>
      <c r="B283">
        <v>19</v>
      </c>
      <c r="C283" s="25" t="s">
        <v>225</v>
      </c>
      <c r="D283" s="12">
        <v>1.1607883405032831</v>
      </c>
      <c r="E283" s="14">
        <v>3.0638272536664108</v>
      </c>
      <c r="F283" s="7">
        <v>0.37886872998932758</v>
      </c>
      <c r="G283" s="7">
        <f t="shared" si="72"/>
        <v>-1.9030389131631278</v>
      </c>
      <c r="H283" s="16">
        <f t="shared" si="73"/>
        <v>4.2246155941696939</v>
      </c>
      <c r="I283" s="11">
        <f t="shared" si="74"/>
        <v>5.4401574114529179E-3</v>
      </c>
      <c r="J283" s="33">
        <f t="shared" si="75"/>
        <v>1.4358950688820801E-2</v>
      </c>
      <c r="K283" s="33">
        <f t="shared" si="76"/>
        <v>69.642971946310297</v>
      </c>
      <c r="L283" s="33">
        <f t="shared" si="77"/>
        <v>-8.9187932773678834E-3</v>
      </c>
      <c r="M283" s="33">
        <f t="shared" si="78"/>
        <v>1.9799108100273719E-2</v>
      </c>
      <c r="N283" s="8">
        <v>1</v>
      </c>
      <c r="O283" s="9">
        <v>0</v>
      </c>
      <c r="P283" s="8">
        <v>0</v>
      </c>
      <c r="Q283" s="9">
        <v>1</v>
      </c>
      <c r="R283" s="9">
        <v>0</v>
      </c>
      <c r="S283" s="9">
        <v>0</v>
      </c>
      <c r="T283" s="9">
        <v>0</v>
      </c>
      <c r="U283" s="8">
        <v>4880</v>
      </c>
      <c r="V283" s="9">
        <v>29</v>
      </c>
      <c r="W283" s="9">
        <f t="shared" si="79"/>
        <v>4850</v>
      </c>
      <c r="X283" s="9">
        <f t="shared" si="80"/>
        <v>16</v>
      </c>
      <c r="Y283" s="7">
        <v>6</v>
      </c>
      <c r="Z283" s="7">
        <f t="shared" si="70"/>
        <v>37.57</v>
      </c>
      <c r="AA283" s="9">
        <v>0</v>
      </c>
      <c r="AB283" s="9">
        <v>1</v>
      </c>
      <c r="AC283" s="9">
        <v>0</v>
      </c>
      <c r="AD283" s="9">
        <v>0</v>
      </c>
      <c r="AE283" s="9">
        <v>1</v>
      </c>
      <c r="AF283" s="9">
        <v>0</v>
      </c>
      <c r="AG283" s="8">
        <v>0</v>
      </c>
      <c r="AH283" s="9">
        <v>1</v>
      </c>
      <c r="AI283" s="30">
        <v>0</v>
      </c>
      <c r="AJ283" s="9">
        <v>1</v>
      </c>
      <c r="AK283" s="30">
        <v>0</v>
      </c>
      <c r="AL283" s="21">
        <v>2011</v>
      </c>
      <c r="AM283" s="23">
        <f t="shared" si="81"/>
        <v>7.6063873897726522</v>
      </c>
      <c r="AN283" s="33">
        <f t="shared" si="83"/>
        <v>0.3972</v>
      </c>
      <c r="AO283" s="33">
        <v>0.26300000000000001</v>
      </c>
      <c r="AP283" s="33">
        <v>0.2162</v>
      </c>
      <c r="AQ283" s="43">
        <v>0.1236</v>
      </c>
      <c r="AR283" s="42">
        <v>1</v>
      </c>
      <c r="AS283" s="18">
        <v>0</v>
      </c>
      <c r="AT283">
        <v>0.18748699999999999</v>
      </c>
      <c r="AU283" s="40">
        <f t="shared" si="84"/>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17</v>
      </c>
      <c r="DB283" s="34"/>
    </row>
    <row r="284" spans="1:106" x14ac:dyDescent="0.25">
      <c r="A284">
        <v>283</v>
      </c>
      <c r="B284">
        <v>19</v>
      </c>
      <c r="C284" s="25" t="s">
        <v>225</v>
      </c>
      <c r="D284" s="12">
        <v>2.899804781149951</v>
      </c>
      <c r="E284" s="14">
        <v>4.6831472563791197</v>
      </c>
      <c r="F284" s="7">
        <v>0.61919999999999997</v>
      </c>
      <c r="G284" s="7">
        <f t="shared" si="72"/>
        <v>-1.7833424752291687</v>
      </c>
      <c r="H284" s="16">
        <f t="shared" si="73"/>
        <v>7.5829520375290702</v>
      </c>
      <c r="I284" s="11">
        <f t="shared" si="74"/>
        <v>8.8908424179269321E-3</v>
      </c>
      <c r="J284" s="33">
        <f t="shared" si="75"/>
        <v>1.4358595636186907E-2</v>
      </c>
      <c r="K284" s="33">
        <f t="shared" si="76"/>
        <v>69.644694045131686</v>
      </c>
      <c r="L284" s="33">
        <f t="shared" si="77"/>
        <v>-5.4677532182599749E-3</v>
      </c>
      <c r="M284" s="33">
        <f t="shared" si="78"/>
        <v>2.3249438054113839E-2</v>
      </c>
      <c r="N284" s="8">
        <v>1</v>
      </c>
      <c r="O284" s="9">
        <v>0</v>
      </c>
      <c r="P284" s="8">
        <v>0</v>
      </c>
      <c r="Q284" s="9">
        <v>1</v>
      </c>
      <c r="R284" s="9">
        <v>0</v>
      </c>
      <c r="S284" s="9">
        <v>0</v>
      </c>
      <c r="T284" s="9">
        <v>0</v>
      </c>
      <c r="U284" s="8">
        <v>4880</v>
      </c>
      <c r="V284" s="9">
        <v>29</v>
      </c>
      <c r="W284" s="9">
        <f t="shared" si="79"/>
        <v>4850</v>
      </c>
      <c r="X284" s="9">
        <f t="shared" si="80"/>
        <v>16</v>
      </c>
      <c r="Y284" s="7">
        <v>12</v>
      </c>
      <c r="Z284" s="7">
        <f t="shared" si="70"/>
        <v>31.57</v>
      </c>
      <c r="AA284" s="9">
        <v>0</v>
      </c>
      <c r="AB284" s="9">
        <v>1</v>
      </c>
      <c r="AC284" s="9">
        <v>0</v>
      </c>
      <c r="AD284" s="9">
        <v>0</v>
      </c>
      <c r="AE284" s="9">
        <v>1</v>
      </c>
      <c r="AF284" s="9">
        <v>0</v>
      </c>
      <c r="AG284" s="8">
        <v>0</v>
      </c>
      <c r="AH284" s="9">
        <v>1</v>
      </c>
      <c r="AI284" s="30">
        <v>0</v>
      </c>
      <c r="AJ284" s="9">
        <v>1</v>
      </c>
      <c r="AK284" s="30">
        <v>0</v>
      </c>
      <c r="AL284" s="21">
        <v>2011</v>
      </c>
      <c r="AM284" s="23">
        <f t="shared" si="81"/>
        <v>7.6063873897726522</v>
      </c>
      <c r="AN284" s="33">
        <f t="shared" si="83"/>
        <v>0.3972</v>
      </c>
      <c r="AO284" s="33">
        <v>0.26300000000000001</v>
      </c>
      <c r="AP284" s="33">
        <v>0.2162</v>
      </c>
      <c r="AQ284" s="43">
        <v>0.1236</v>
      </c>
      <c r="AR284" s="42">
        <v>1</v>
      </c>
      <c r="AS284" s="18">
        <v>0</v>
      </c>
      <c r="AT284">
        <v>0.18748699999999999</v>
      </c>
      <c r="AU284" s="40">
        <f t="shared" si="84"/>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17</v>
      </c>
      <c r="DB284" s="34"/>
    </row>
    <row r="285" spans="1:106" x14ac:dyDescent="0.25">
      <c r="A285">
        <v>284</v>
      </c>
      <c r="B285">
        <v>19</v>
      </c>
      <c r="C285" s="25" t="s">
        <v>225</v>
      </c>
      <c r="D285" s="12">
        <v>9.0215836453789056</v>
      </c>
      <c r="E285" s="14">
        <v>3.215901129262337</v>
      </c>
      <c r="F285" s="7">
        <v>2.805305039787799</v>
      </c>
      <c r="G285" s="7">
        <f t="shared" si="72"/>
        <v>5.805682516116569</v>
      </c>
      <c r="H285" s="16">
        <f t="shared" si="73"/>
        <v>12.237484774641242</v>
      </c>
      <c r="I285" s="11">
        <f t="shared" si="74"/>
        <v>4.024919135710265E-2</v>
      </c>
      <c r="J285" s="33">
        <f t="shared" si="75"/>
        <v>1.4347527554489122E-2</v>
      </c>
      <c r="K285" s="33">
        <f t="shared" si="76"/>
        <v>69.698419898633702</v>
      </c>
      <c r="L285" s="33">
        <f t="shared" si="77"/>
        <v>2.590166380261353E-2</v>
      </c>
      <c r="M285" s="33">
        <f t="shared" si="78"/>
        <v>5.459671891159177E-2</v>
      </c>
      <c r="N285" s="8">
        <v>1</v>
      </c>
      <c r="O285" s="9">
        <v>0</v>
      </c>
      <c r="P285" s="8">
        <v>0</v>
      </c>
      <c r="Q285" s="9">
        <v>1</v>
      </c>
      <c r="R285" s="9">
        <v>0</v>
      </c>
      <c r="S285" s="9">
        <v>0</v>
      </c>
      <c r="T285" s="9">
        <v>0</v>
      </c>
      <c r="U285" s="8">
        <v>4880</v>
      </c>
      <c r="V285" s="9">
        <v>29</v>
      </c>
      <c r="W285" s="9">
        <f t="shared" si="79"/>
        <v>4850</v>
      </c>
      <c r="X285" s="9">
        <f t="shared" si="80"/>
        <v>16</v>
      </c>
      <c r="Y285" s="7">
        <v>16</v>
      </c>
      <c r="Z285" s="7">
        <f t="shared" si="70"/>
        <v>27.57</v>
      </c>
      <c r="AA285" s="9">
        <v>0</v>
      </c>
      <c r="AB285" s="9">
        <v>1</v>
      </c>
      <c r="AC285" s="9">
        <v>0</v>
      </c>
      <c r="AD285" s="9">
        <v>0</v>
      </c>
      <c r="AE285" s="9">
        <v>1</v>
      </c>
      <c r="AF285" s="9">
        <v>0</v>
      </c>
      <c r="AG285" s="8">
        <v>0</v>
      </c>
      <c r="AH285" s="9">
        <v>1</v>
      </c>
      <c r="AI285" s="30">
        <v>0</v>
      </c>
      <c r="AJ285" s="9">
        <v>1</v>
      </c>
      <c r="AK285" s="30">
        <v>0</v>
      </c>
      <c r="AL285" s="21">
        <v>2011</v>
      </c>
      <c r="AM285" s="23">
        <f t="shared" si="81"/>
        <v>7.6063873897726522</v>
      </c>
      <c r="AN285" s="33">
        <f t="shared" si="83"/>
        <v>0.3972</v>
      </c>
      <c r="AO285" s="33">
        <v>0.26300000000000001</v>
      </c>
      <c r="AP285" s="33">
        <v>0.2162</v>
      </c>
      <c r="AQ285" s="43">
        <v>0.1236</v>
      </c>
      <c r="AR285" s="42">
        <v>1</v>
      </c>
      <c r="AS285" s="18">
        <v>0</v>
      </c>
      <c r="AT285">
        <v>0.18748699999999999</v>
      </c>
      <c r="AU285" s="40">
        <f t="shared" si="84"/>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17</v>
      </c>
      <c r="DB285" s="34"/>
    </row>
    <row r="286" spans="1:106" x14ac:dyDescent="0.25">
      <c r="A286">
        <v>285</v>
      </c>
      <c r="B286">
        <v>19</v>
      </c>
      <c r="C286" s="25" t="s">
        <v>225</v>
      </c>
      <c r="D286" s="12">
        <v>10.99528104162324</v>
      </c>
      <c r="E286" s="14">
        <v>2.0495530050392889</v>
      </c>
      <c r="F286" s="7">
        <v>5.36472148541114</v>
      </c>
      <c r="G286" s="7">
        <f t="shared" si="72"/>
        <v>8.9457280365839509</v>
      </c>
      <c r="H286" s="16">
        <f t="shared" si="73"/>
        <v>13.04483404666253</v>
      </c>
      <c r="I286" s="11">
        <f t="shared" si="74"/>
        <v>7.6805364073472646E-2</v>
      </c>
      <c r="J286" s="33">
        <f t="shared" si="75"/>
        <v>1.4316747716044097E-2</v>
      </c>
      <c r="K286" s="33">
        <f t="shared" si="76"/>
        <v>69.848265809653654</v>
      </c>
      <c r="L286" s="33">
        <f t="shared" si="77"/>
        <v>6.2488616357428549E-2</v>
      </c>
      <c r="M286" s="33">
        <f t="shared" si="78"/>
        <v>9.1122111789516735E-2</v>
      </c>
      <c r="N286" s="8">
        <v>1</v>
      </c>
      <c r="O286" s="9">
        <v>0</v>
      </c>
      <c r="P286" s="8">
        <v>0</v>
      </c>
      <c r="Q286" s="9">
        <v>1</v>
      </c>
      <c r="R286" s="9">
        <v>0</v>
      </c>
      <c r="S286" s="9">
        <v>0</v>
      </c>
      <c r="T286" s="9">
        <v>0</v>
      </c>
      <c r="U286" s="8">
        <v>4880</v>
      </c>
      <c r="V286" s="9">
        <v>29</v>
      </c>
      <c r="W286" s="9">
        <f t="shared" si="79"/>
        <v>4850</v>
      </c>
      <c r="X286" s="9">
        <f t="shared" si="80"/>
        <v>16</v>
      </c>
      <c r="Y286" s="7">
        <v>21</v>
      </c>
      <c r="Z286" s="7">
        <f t="shared" si="70"/>
        <v>22.57</v>
      </c>
      <c r="AA286" s="9">
        <v>0</v>
      </c>
      <c r="AB286" s="9">
        <v>1</v>
      </c>
      <c r="AC286" s="9">
        <v>0</v>
      </c>
      <c r="AD286" s="9">
        <v>0</v>
      </c>
      <c r="AE286" s="9">
        <v>1</v>
      </c>
      <c r="AF286" s="9">
        <v>0</v>
      </c>
      <c r="AG286" s="8">
        <v>0</v>
      </c>
      <c r="AH286" s="9">
        <v>1</v>
      </c>
      <c r="AI286" s="30">
        <v>0</v>
      </c>
      <c r="AJ286" s="9">
        <v>1</v>
      </c>
      <c r="AK286" s="30">
        <v>0</v>
      </c>
      <c r="AL286" s="21">
        <v>2011</v>
      </c>
      <c r="AM286" s="23">
        <f t="shared" si="81"/>
        <v>7.6063873897726522</v>
      </c>
      <c r="AN286" s="33">
        <f t="shared" si="83"/>
        <v>0.3972</v>
      </c>
      <c r="AO286" s="33">
        <v>0.26300000000000001</v>
      </c>
      <c r="AP286" s="33">
        <v>0.2162</v>
      </c>
      <c r="AQ286" s="43">
        <v>0.1236</v>
      </c>
      <c r="AR286" s="42">
        <v>1</v>
      </c>
      <c r="AS286" s="18">
        <v>0</v>
      </c>
      <c r="AT286">
        <v>0.18748699999999999</v>
      </c>
      <c r="AU286" s="40">
        <f t="shared" si="84"/>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17</v>
      </c>
      <c r="DB286" s="34"/>
    </row>
    <row r="287" spans="1:106" x14ac:dyDescent="0.25">
      <c r="A287">
        <v>286</v>
      </c>
      <c r="B287">
        <v>19</v>
      </c>
      <c r="C287" s="25" t="s">
        <v>225</v>
      </c>
      <c r="D287" s="12">
        <v>1.39385068411813</v>
      </c>
      <c r="E287" s="14">
        <v>5.2275794464907301</v>
      </c>
      <c r="F287" s="7">
        <v>0.26663405088062619</v>
      </c>
      <c r="G287" s="7">
        <f t="shared" si="72"/>
        <v>-3.8337287623726004</v>
      </c>
      <c r="H287" s="16">
        <f t="shared" si="73"/>
        <v>6.6214301306088599</v>
      </c>
      <c r="I287" s="11">
        <f t="shared" si="74"/>
        <v>3.8529197966167953E-3</v>
      </c>
      <c r="J287" s="33">
        <f t="shared" si="75"/>
        <v>1.44502166317151E-2</v>
      </c>
      <c r="K287" s="33">
        <f t="shared" si="76"/>
        <v>69.203114768896697</v>
      </c>
      <c r="L287" s="33">
        <f t="shared" si="77"/>
        <v>-1.0597296835098306E-2</v>
      </c>
      <c r="M287" s="33">
        <f t="shared" si="78"/>
        <v>1.8303136428331895E-2</v>
      </c>
      <c r="N287" s="8">
        <v>1</v>
      </c>
      <c r="O287" s="9">
        <v>0</v>
      </c>
      <c r="P287" s="8">
        <v>0</v>
      </c>
      <c r="Q287" s="9">
        <v>1</v>
      </c>
      <c r="R287" s="9">
        <v>0</v>
      </c>
      <c r="S287" s="9">
        <v>0</v>
      </c>
      <c r="T287" s="9">
        <v>0</v>
      </c>
      <c r="U287" s="8">
        <v>4821</v>
      </c>
      <c r="V287" s="9">
        <v>31</v>
      </c>
      <c r="W287" s="9">
        <f t="shared" si="79"/>
        <v>4789</v>
      </c>
      <c r="X287" s="9">
        <f t="shared" si="80"/>
        <v>16</v>
      </c>
      <c r="Y287" s="7">
        <v>6</v>
      </c>
      <c r="Z287" s="7">
        <f t="shared" si="70"/>
        <v>37.57</v>
      </c>
      <c r="AA287" s="9">
        <v>0</v>
      </c>
      <c r="AB287" s="9">
        <v>1</v>
      </c>
      <c r="AC287" s="9">
        <v>0</v>
      </c>
      <c r="AD287" s="9">
        <v>0</v>
      </c>
      <c r="AE287" s="9">
        <v>1</v>
      </c>
      <c r="AF287" s="9">
        <v>0</v>
      </c>
      <c r="AG287" s="8">
        <v>0</v>
      </c>
      <c r="AH287" s="9">
        <v>1</v>
      </c>
      <c r="AI287" s="30">
        <v>0</v>
      </c>
      <c r="AJ287" s="9">
        <v>1</v>
      </c>
      <c r="AK287" s="30">
        <v>0</v>
      </c>
      <c r="AL287" s="21">
        <v>2011</v>
      </c>
      <c r="AM287" s="23">
        <f t="shared" si="81"/>
        <v>7.6063873897726522</v>
      </c>
      <c r="AN287" s="33">
        <f t="shared" si="83"/>
        <v>0.3972</v>
      </c>
      <c r="AO287" s="33">
        <v>0.26300000000000001</v>
      </c>
      <c r="AP287" s="33">
        <v>0.2162</v>
      </c>
      <c r="AQ287" s="43">
        <v>0.1236</v>
      </c>
      <c r="AR287" s="42">
        <v>1</v>
      </c>
      <c r="AS287" s="18">
        <v>0</v>
      </c>
      <c r="AT287">
        <v>0.18748699999999999</v>
      </c>
      <c r="AU287" s="40">
        <f t="shared" si="84"/>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17</v>
      </c>
      <c r="DB287" s="34"/>
    </row>
    <row r="288" spans="1:106" x14ac:dyDescent="0.25">
      <c r="A288">
        <v>287</v>
      </c>
      <c r="B288">
        <v>19</v>
      </c>
      <c r="C288" s="25" t="s">
        <v>225</v>
      </c>
      <c r="D288" s="12">
        <v>1.396960877242837</v>
      </c>
      <c r="E288" s="14">
        <v>8.9180598417174259</v>
      </c>
      <c r="F288" s="7">
        <v>0.1566440349175558</v>
      </c>
      <c r="G288" s="7">
        <f t="shared" si="72"/>
        <v>-7.5210989644745894</v>
      </c>
      <c r="H288" s="16">
        <f t="shared" si="73"/>
        <v>10.315020718960263</v>
      </c>
      <c r="I288" s="11">
        <f t="shared" si="74"/>
        <v>2.2635512410683397E-3</v>
      </c>
      <c r="J288" s="33">
        <f t="shared" si="75"/>
        <v>1.4450286870225745E-2</v>
      </c>
      <c r="K288" s="33">
        <f t="shared" si="76"/>
        <v>69.202778393310737</v>
      </c>
      <c r="L288" s="33">
        <f t="shared" si="77"/>
        <v>-1.2186735629157406E-2</v>
      </c>
      <c r="M288" s="33">
        <f t="shared" si="78"/>
        <v>1.6713838111294087E-2</v>
      </c>
      <c r="N288" s="8">
        <v>1</v>
      </c>
      <c r="O288" s="9">
        <v>0</v>
      </c>
      <c r="P288" s="8">
        <v>0</v>
      </c>
      <c r="Q288" s="9">
        <v>1</v>
      </c>
      <c r="R288" s="9">
        <v>0</v>
      </c>
      <c r="S288" s="9">
        <v>0</v>
      </c>
      <c r="T288" s="9">
        <v>0</v>
      </c>
      <c r="U288" s="8">
        <v>4821</v>
      </c>
      <c r="V288" s="9">
        <v>31</v>
      </c>
      <c r="W288" s="9">
        <f t="shared" si="79"/>
        <v>4789</v>
      </c>
      <c r="X288" s="9">
        <f t="shared" si="80"/>
        <v>16</v>
      </c>
      <c r="Y288" s="7">
        <v>12</v>
      </c>
      <c r="Z288" s="7">
        <f t="shared" si="70"/>
        <v>31.57</v>
      </c>
      <c r="AA288" s="9">
        <v>0</v>
      </c>
      <c r="AB288" s="9">
        <v>1</v>
      </c>
      <c r="AC288" s="9">
        <v>0</v>
      </c>
      <c r="AD288" s="9">
        <v>0</v>
      </c>
      <c r="AE288" s="9">
        <v>1</v>
      </c>
      <c r="AF288" s="9">
        <v>0</v>
      </c>
      <c r="AG288" s="8">
        <v>0</v>
      </c>
      <c r="AH288" s="9">
        <v>1</v>
      </c>
      <c r="AI288" s="30">
        <v>0</v>
      </c>
      <c r="AJ288" s="9">
        <v>1</v>
      </c>
      <c r="AK288" s="30">
        <v>0</v>
      </c>
      <c r="AL288" s="21">
        <v>2011</v>
      </c>
      <c r="AM288" s="23">
        <f t="shared" si="81"/>
        <v>7.6063873897726522</v>
      </c>
      <c r="AN288" s="33">
        <f t="shared" si="83"/>
        <v>0.3972</v>
      </c>
      <c r="AO288" s="33">
        <v>0.26300000000000001</v>
      </c>
      <c r="AP288" s="33">
        <v>0.2162</v>
      </c>
      <c r="AQ288" s="43">
        <v>0.1236</v>
      </c>
      <c r="AR288" s="42">
        <v>1</v>
      </c>
      <c r="AS288" s="18">
        <v>0</v>
      </c>
      <c r="AT288">
        <v>0.18748699999999999</v>
      </c>
      <c r="AU288" s="40">
        <f t="shared" si="84"/>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17</v>
      </c>
      <c r="DB288" s="34"/>
    </row>
    <row r="289" spans="1:106" x14ac:dyDescent="0.25">
      <c r="A289">
        <v>288</v>
      </c>
      <c r="B289">
        <v>19</v>
      </c>
      <c r="C289" s="25" t="s">
        <v>225</v>
      </c>
      <c r="D289" s="12">
        <v>3.1982685342211381</v>
      </c>
      <c r="E289" s="14">
        <v>4.1337380694557888</v>
      </c>
      <c r="F289" s="7">
        <v>0.77369888475836446</v>
      </c>
      <c r="G289" s="7">
        <f t="shared" si="72"/>
        <v>-0.93546953523465071</v>
      </c>
      <c r="H289" s="16">
        <f t="shared" si="73"/>
        <v>7.3320066036769269</v>
      </c>
      <c r="I289" s="11">
        <f t="shared" si="74"/>
        <v>1.1179500798345203E-2</v>
      </c>
      <c r="J289" s="33">
        <f t="shared" si="75"/>
        <v>1.4449420851674995E-2</v>
      </c>
      <c r="K289" s="33">
        <f t="shared" si="76"/>
        <v>69.206926025971399</v>
      </c>
      <c r="L289" s="33">
        <f t="shared" si="77"/>
        <v>-3.2699200533297928E-3</v>
      </c>
      <c r="M289" s="33">
        <f t="shared" si="78"/>
        <v>2.5628921650020196E-2</v>
      </c>
      <c r="N289" s="8">
        <v>1</v>
      </c>
      <c r="O289" s="9">
        <v>0</v>
      </c>
      <c r="P289" s="8">
        <v>0</v>
      </c>
      <c r="Q289" s="9">
        <v>1</v>
      </c>
      <c r="R289" s="9">
        <v>0</v>
      </c>
      <c r="S289" s="9">
        <v>0</v>
      </c>
      <c r="T289" s="9">
        <v>0</v>
      </c>
      <c r="U289" s="8">
        <v>4821</v>
      </c>
      <c r="V289" s="9">
        <v>31</v>
      </c>
      <c r="W289" s="9">
        <f t="shared" si="79"/>
        <v>4789</v>
      </c>
      <c r="X289" s="9">
        <f t="shared" si="80"/>
        <v>16</v>
      </c>
      <c r="Y289" s="7">
        <v>16</v>
      </c>
      <c r="Z289" s="7">
        <f t="shared" si="70"/>
        <v>27.57</v>
      </c>
      <c r="AA289" s="9">
        <v>0</v>
      </c>
      <c r="AB289" s="9">
        <v>1</v>
      </c>
      <c r="AC289" s="9">
        <v>0</v>
      </c>
      <c r="AD289" s="9">
        <v>0</v>
      </c>
      <c r="AE289" s="9">
        <v>1</v>
      </c>
      <c r="AF289" s="9">
        <v>0</v>
      </c>
      <c r="AG289" s="8">
        <v>0</v>
      </c>
      <c r="AH289" s="9">
        <v>1</v>
      </c>
      <c r="AI289" s="30">
        <v>0</v>
      </c>
      <c r="AJ289" s="9">
        <v>1</v>
      </c>
      <c r="AK289" s="30">
        <v>0</v>
      </c>
      <c r="AL289" s="21">
        <v>2011</v>
      </c>
      <c r="AM289" s="23">
        <f t="shared" si="81"/>
        <v>7.6063873897726522</v>
      </c>
      <c r="AN289" s="33">
        <f t="shared" si="83"/>
        <v>0.3972</v>
      </c>
      <c r="AO289" s="33">
        <v>0.26300000000000001</v>
      </c>
      <c r="AP289" s="33">
        <v>0.2162</v>
      </c>
      <c r="AQ289" s="43">
        <v>0.1236</v>
      </c>
      <c r="AR289" s="42">
        <v>1</v>
      </c>
      <c r="AS289" s="18">
        <v>0</v>
      </c>
      <c r="AT289">
        <v>0.18748699999999999</v>
      </c>
      <c r="AU289" s="40">
        <f t="shared" si="84"/>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17</v>
      </c>
      <c r="DB289" s="34"/>
    </row>
    <row r="290" spans="1:106" x14ac:dyDescent="0.25">
      <c r="A290">
        <v>289</v>
      </c>
      <c r="B290">
        <v>19</v>
      </c>
      <c r="C290" s="25" t="s">
        <v>225</v>
      </c>
      <c r="D290" s="12">
        <v>4.3893788765642316</v>
      </c>
      <c r="E290" s="14">
        <v>3.3247302202195459</v>
      </c>
      <c r="F290" s="7">
        <v>1.3202210663198961</v>
      </c>
      <c r="G290" s="7">
        <f t="shared" si="72"/>
        <v>1.0646486563446858</v>
      </c>
      <c r="H290" s="16">
        <f t="shared" si="73"/>
        <v>7.714109096783778</v>
      </c>
      <c r="I290" s="11">
        <f t="shared" si="74"/>
        <v>1.9074151257265526E-2</v>
      </c>
      <c r="J290" s="33">
        <f t="shared" si="75"/>
        <v>1.4447694968566549E-2</v>
      </c>
      <c r="K290" s="33">
        <f t="shared" si="76"/>
        <v>69.215193300777216</v>
      </c>
      <c r="L290" s="33">
        <f t="shared" si="77"/>
        <v>4.6264562886989772E-3</v>
      </c>
      <c r="M290" s="33">
        <f t="shared" si="78"/>
        <v>3.3521846225832076E-2</v>
      </c>
      <c r="N290" s="8">
        <v>1</v>
      </c>
      <c r="O290" s="9">
        <v>0</v>
      </c>
      <c r="P290" s="8">
        <v>0</v>
      </c>
      <c r="Q290" s="9">
        <v>1</v>
      </c>
      <c r="R290" s="9">
        <v>0</v>
      </c>
      <c r="S290" s="9">
        <v>0</v>
      </c>
      <c r="T290" s="9">
        <v>0</v>
      </c>
      <c r="U290" s="8">
        <v>4821</v>
      </c>
      <c r="V290" s="9">
        <v>31</v>
      </c>
      <c r="W290" s="9">
        <f t="shared" si="79"/>
        <v>4789</v>
      </c>
      <c r="X290" s="9">
        <f t="shared" si="80"/>
        <v>16</v>
      </c>
      <c r="Y290" s="7">
        <v>21</v>
      </c>
      <c r="Z290" s="7">
        <f t="shared" si="70"/>
        <v>22.57</v>
      </c>
      <c r="AA290" s="9">
        <v>0</v>
      </c>
      <c r="AB290" s="9">
        <v>1</v>
      </c>
      <c r="AC290" s="9">
        <v>0</v>
      </c>
      <c r="AD290" s="9">
        <v>0</v>
      </c>
      <c r="AE290" s="9">
        <v>1</v>
      </c>
      <c r="AF290" s="9">
        <v>0</v>
      </c>
      <c r="AG290" s="8">
        <v>0</v>
      </c>
      <c r="AH290" s="9">
        <v>1</v>
      </c>
      <c r="AI290" s="30">
        <v>0</v>
      </c>
      <c r="AJ290" s="9">
        <v>1</v>
      </c>
      <c r="AK290" s="30">
        <v>0</v>
      </c>
      <c r="AL290" s="21">
        <v>2011</v>
      </c>
      <c r="AM290" s="23">
        <f t="shared" si="81"/>
        <v>7.6063873897726522</v>
      </c>
      <c r="AN290" s="33">
        <f t="shared" si="83"/>
        <v>0.3972</v>
      </c>
      <c r="AO290" s="33">
        <v>0.26300000000000001</v>
      </c>
      <c r="AP290" s="33">
        <v>0.2162</v>
      </c>
      <c r="AQ290" s="43">
        <v>0.1236</v>
      </c>
      <c r="AR290" s="42">
        <v>1</v>
      </c>
      <c r="AS290" s="18">
        <v>0</v>
      </c>
      <c r="AT290">
        <v>0.18748699999999999</v>
      </c>
      <c r="AU290" s="40">
        <f t="shared" si="84"/>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17</v>
      </c>
      <c r="DB290" s="34"/>
    </row>
    <row r="291" spans="1:106" x14ac:dyDescent="0.25">
      <c r="A291">
        <v>290</v>
      </c>
      <c r="B291">
        <v>19</v>
      </c>
      <c r="C291" s="25" t="s">
        <v>225</v>
      </c>
      <c r="D291" s="12">
        <v>1.2455640711427569</v>
      </c>
      <c r="E291" s="14">
        <v>3.485345203556415</v>
      </c>
      <c r="F291" s="7">
        <v>0.35737179487179488</v>
      </c>
      <c r="G291" s="7">
        <f t="shared" si="72"/>
        <v>-2.2397811324136581</v>
      </c>
      <c r="H291" s="16">
        <f t="shared" si="73"/>
        <v>4.7309092746991723</v>
      </c>
      <c r="I291" s="11">
        <f t="shared" si="74"/>
        <v>5.1640693268210575E-3</v>
      </c>
      <c r="J291" s="33">
        <f t="shared" si="75"/>
        <v>1.445013121047686E-2</v>
      </c>
      <c r="K291" s="33">
        <f t="shared" si="76"/>
        <v>69.203523859697853</v>
      </c>
      <c r="L291" s="33">
        <f t="shared" si="77"/>
        <v>-9.286061883655803E-3</v>
      </c>
      <c r="M291" s="33">
        <f t="shared" si="78"/>
        <v>1.9614200537297916E-2</v>
      </c>
      <c r="N291" s="8">
        <v>1</v>
      </c>
      <c r="O291" s="9">
        <v>0</v>
      </c>
      <c r="P291" s="8">
        <v>0</v>
      </c>
      <c r="Q291" s="9">
        <v>1</v>
      </c>
      <c r="R291" s="9">
        <v>0</v>
      </c>
      <c r="S291" s="9">
        <v>0</v>
      </c>
      <c r="T291" s="9">
        <v>0</v>
      </c>
      <c r="U291" s="8">
        <v>4821</v>
      </c>
      <c r="V291" s="9">
        <v>31</v>
      </c>
      <c r="W291" s="9">
        <f t="shared" si="79"/>
        <v>4789</v>
      </c>
      <c r="X291" s="9">
        <f t="shared" si="80"/>
        <v>16</v>
      </c>
      <c r="Y291" s="7">
        <v>6</v>
      </c>
      <c r="Z291" s="7">
        <f t="shared" si="70"/>
        <v>37.57</v>
      </c>
      <c r="AA291" s="9">
        <v>0</v>
      </c>
      <c r="AB291" s="9">
        <v>1</v>
      </c>
      <c r="AC291" s="9">
        <v>0</v>
      </c>
      <c r="AD291" s="9">
        <v>0</v>
      </c>
      <c r="AE291" s="9">
        <v>1</v>
      </c>
      <c r="AF291" s="9">
        <v>0</v>
      </c>
      <c r="AG291" s="8">
        <v>0</v>
      </c>
      <c r="AH291" s="9">
        <v>1</v>
      </c>
      <c r="AI291" s="30">
        <v>0</v>
      </c>
      <c r="AJ291" s="9">
        <v>1</v>
      </c>
      <c r="AK291" s="30">
        <v>0</v>
      </c>
      <c r="AL291" s="21">
        <v>2011</v>
      </c>
      <c r="AM291" s="23">
        <f t="shared" si="81"/>
        <v>7.6063873897726522</v>
      </c>
      <c r="AN291" s="33">
        <f t="shared" si="83"/>
        <v>0.3972</v>
      </c>
      <c r="AO291" s="33">
        <v>0.26300000000000001</v>
      </c>
      <c r="AP291" s="33">
        <v>0.2162</v>
      </c>
      <c r="AQ291" s="43">
        <v>0.1236</v>
      </c>
      <c r="AR291" s="42">
        <v>1</v>
      </c>
      <c r="AS291" s="18">
        <v>0</v>
      </c>
      <c r="AT291">
        <v>0.18748699999999999</v>
      </c>
      <c r="AU291" s="40">
        <f t="shared" si="84"/>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17</v>
      </c>
      <c r="DB291" s="34"/>
    </row>
    <row r="292" spans="1:106" x14ac:dyDescent="0.25">
      <c r="A292">
        <v>291</v>
      </c>
      <c r="B292">
        <v>19</v>
      </c>
      <c r="C292" s="25" t="s">
        <v>225</v>
      </c>
      <c r="D292" s="12">
        <v>3.1368104442244031</v>
      </c>
      <c r="E292" s="14">
        <v>4.3002068562374038</v>
      </c>
      <c r="F292" s="7">
        <v>0.72945570971184626</v>
      </c>
      <c r="G292" s="7">
        <f t="shared" si="72"/>
        <v>-1.1633964120130007</v>
      </c>
      <c r="H292" s="16">
        <f t="shared" si="73"/>
        <v>7.4370173004618074</v>
      </c>
      <c r="I292" s="11">
        <f t="shared" si="74"/>
        <v>1.054028571930227E-2</v>
      </c>
      <c r="J292" s="33">
        <f t="shared" si="75"/>
        <v>1.4449521168963026E-2</v>
      </c>
      <c r="K292" s="33">
        <f t="shared" si="76"/>
        <v>69.20644554976387</v>
      </c>
      <c r="L292" s="33">
        <f t="shared" si="77"/>
        <v>-3.9092354496607553E-3</v>
      </c>
      <c r="M292" s="33">
        <f t="shared" si="78"/>
        <v>2.4989806888265298E-2</v>
      </c>
      <c r="N292" s="8">
        <v>1</v>
      </c>
      <c r="O292" s="9">
        <v>0</v>
      </c>
      <c r="P292" s="8">
        <v>0</v>
      </c>
      <c r="Q292" s="9">
        <v>1</v>
      </c>
      <c r="R292" s="9">
        <v>0</v>
      </c>
      <c r="S292" s="9">
        <v>0</v>
      </c>
      <c r="T292" s="9">
        <v>0</v>
      </c>
      <c r="U292" s="8">
        <v>4821</v>
      </c>
      <c r="V292" s="9">
        <v>31</v>
      </c>
      <c r="W292" s="9">
        <f t="shared" si="79"/>
        <v>4789</v>
      </c>
      <c r="X292" s="9">
        <f t="shared" si="80"/>
        <v>16</v>
      </c>
      <c r="Y292" s="7">
        <v>12</v>
      </c>
      <c r="Z292" s="7">
        <f t="shared" si="70"/>
        <v>31.57</v>
      </c>
      <c r="AA292" s="9">
        <v>0</v>
      </c>
      <c r="AB292" s="9">
        <v>1</v>
      </c>
      <c r="AC292" s="9">
        <v>0</v>
      </c>
      <c r="AD292" s="9">
        <v>0</v>
      </c>
      <c r="AE292" s="9">
        <v>1</v>
      </c>
      <c r="AF292" s="9">
        <v>0</v>
      </c>
      <c r="AG292" s="8">
        <v>0</v>
      </c>
      <c r="AH292" s="9">
        <v>1</v>
      </c>
      <c r="AI292" s="30">
        <v>0</v>
      </c>
      <c r="AJ292" s="9">
        <v>1</v>
      </c>
      <c r="AK292" s="30">
        <v>0</v>
      </c>
      <c r="AL292" s="21">
        <v>2011</v>
      </c>
      <c r="AM292" s="23">
        <f t="shared" si="81"/>
        <v>7.6063873897726522</v>
      </c>
      <c r="AN292" s="33">
        <f t="shared" si="83"/>
        <v>0.3972</v>
      </c>
      <c r="AO292" s="33">
        <v>0.26300000000000001</v>
      </c>
      <c r="AP292" s="33">
        <v>0.2162</v>
      </c>
      <c r="AQ292" s="43">
        <v>0.1236</v>
      </c>
      <c r="AR292" s="42">
        <v>1</v>
      </c>
      <c r="AS292" s="18">
        <v>0</v>
      </c>
      <c r="AT292">
        <v>0.18748699999999999</v>
      </c>
      <c r="AU292" s="40">
        <f t="shared" si="84"/>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17</v>
      </c>
      <c r="DB292" s="34"/>
    </row>
    <row r="293" spans="1:106" x14ac:dyDescent="0.25">
      <c r="A293">
        <v>292</v>
      </c>
      <c r="B293">
        <v>19</v>
      </c>
      <c r="C293" s="25" t="s">
        <v>225</v>
      </c>
      <c r="D293" s="12">
        <v>9.0389433100003913</v>
      </c>
      <c r="E293" s="14">
        <v>3.0962035506724952</v>
      </c>
      <c r="F293" s="7">
        <v>2.9193633952254641</v>
      </c>
      <c r="G293" s="7">
        <f t="shared" si="72"/>
        <v>5.9427397593278961</v>
      </c>
      <c r="H293" s="16">
        <f t="shared" si="73"/>
        <v>12.135146860672887</v>
      </c>
      <c r="I293" s="11">
        <f t="shared" si="74"/>
        <v>4.214825897840617E-2</v>
      </c>
      <c r="J293" s="33">
        <f t="shared" si="75"/>
        <v>1.4437482859221445E-2</v>
      </c>
      <c r="K293" s="33">
        <f t="shared" si="76"/>
        <v>69.26415149724555</v>
      </c>
      <c r="L293" s="33">
        <f t="shared" si="77"/>
        <v>2.7710776119184724E-2</v>
      </c>
      <c r="M293" s="33">
        <f t="shared" si="78"/>
        <v>5.6585741837627615E-2</v>
      </c>
      <c r="N293" s="8">
        <v>1</v>
      </c>
      <c r="O293" s="9">
        <v>0</v>
      </c>
      <c r="P293" s="8">
        <v>0</v>
      </c>
      <c r="Q293" s="9">
        <v>1</v>
      </c>
      <c r="R293" s="9">
        <v>0</v>
      </c>
      <c r="S293" s="9">
        <v>0</v>
      </c>
      <c r="T293" s="9">
        <v>0</v>
      </c>
      <c r="U293" s="8">
        <v>4821</v>
      </c>
      <c r="V293" s="9">
        <v>31</v>
      </c>
      <c r="W293" s="9">
        <f t="shared" si="79"/>
        <v>4789</v>
      </c>
      <c r="X293" s="9">
        <f t="shared" si="80"/>
        <v>16</v>
      </c>
      <c r="Y293" s="7">
        <v>16</v>
      </c>
      <c r="Z293" s="7">
        <f t="shared" si="70"/>
        <v>27.57</v>
      </c>
      <c r="AA293" s="9">
        <v>0</v>
      </c>
      <c r="AB293" s="9">
        <v>1</v>
      </c>
      <c r="AC293" s="9">
        <v>0</v>
      </c>
      <c r="AD293" s="9">
        <v>0</v>
      </c>
      <c r="AE293" s="9">
        <v>1</v>
      </c>
      <c r="AF293" s="9">
        <v>0</v>
      </c>
      <c r="AG293" s="8">
        <v>0</v>
      </c>
      <c r="AH293" s="9">
        <v>1</v>
      </c>
      <c r="AI293" s="30">
        <v>0</v>
      </c>
      <c r="AJ293" s="9">
        <v>1</v>
      </c>
      <c r="AK293" s="30">
        <v>0</v>
      </c>
      <c r="AL293" s="21">
        <v>2011</v>
      </c>
      <c r="AM293" s="23">
        <f t="shared" si="81"/>
        <v>7.6063873897726522</v>
      </c>
      <c r="AN293" s="33">
        <f t="shared" si="83"/>
        <v>0.3972</v>
      </c>
      <c r="AO293" s="33">
        <v>0.26300000000000001</v>
      </c>
      <c r="AP293" s="33">
        <v>0.2162</v>
      </c>
      <c r="AQ293" s="43">
        <v>0.1236</v>
      </c>
      <c r="AR293" s="42">
        <v>1</v>
      </c>
      <c r="AS293" s="18">
        <v>0</v>
      </c>
      <c r="AT293">
        <v>0.18748699999999999</v>
      </c>
      <c r="AU293" s="40">
        <f t="shared" si="84"/>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17</v>
      </c>
      <c r="DB293" s="34"/>
    </row>
    <row r="294" spans="1:106" s="51" customFormat="1" x14ac:dyDescent="0.25">
      <c r="A294" s="51">
        <v>293</v>
      </c>
      <c r="B294" s="51">
        <v>19</v>
      </c>
      <c r="C294" s="52" t="s">
        <v>225</v>
      </c>
      <c r="D294" s="53">
        <v>10.99264554445076</v>
      </c>
      <c r="E294" s="54">
        <v>2.014606160276327</v>
      </c>
      <c r="F294" s="55">
        <v>5.4564737074679623</v>
      </c>
      <c r="G294" s="55">
        <f t="shared" si="72"/>
        <v>8.9780393841744335</v>
      </c>
      <c r="H294" s="56">
        <f t="shared" si="73"/>
        <v>13.007251704727086</v>
      </c>
      <c r="I294" s="57">
        <f t="shared" si="74"/>
        <v>7.8603851765246743E-2</v>
      </c>
      <c r="J294" s="58">
        <f t="shared" si="75"/>
        <v>1.4405613584771087E-2</v>
      </c>
      <c r="K294" s="58">
        <f t="shared" si="76"/>
        <v>69.417383307931516</v>
      </c>
      <c r="L294" s="58">
        <f t="shared" si="77"/>
        <v>6.4198238180475653E-2</v>
      </c>
      <c r="M294" s="58">
        <f t="shared" si="78"/>
        <v>9.3009465350017834E-2</v>
      </c>
      <c r="N294" s="59">
        <v>1</v>
      </c>
      <c r="O294" s="60">
        <v>0</v>
      </c>
      <c r="P294" s="59">
        <v>0</v>
      </c>
      <c r="Q294" s="60">
        <v>1</v>
      </c>
      <c r="R294" s="60">
        <v>0</v>
      </c>
      <c r="S294" s="60">
        <v>0</v>
      </c>
      <c r="T294" s="60">
        <v>0</v>
      </c>
      <c r="U294" s="59">
        <v>4821</v>
      </c>
      <c r="V294" s="60">
        <v>31</v>
      </c>
      <c r="W294" s="60">
        <f t="shared" si="79"/>
        <v>4789</v>
      </c>
      <c r="X294" s="60">
        <f t="shared" si="80"/>
        <v>16</v>
      </c>
      <c r="Y294" s="55">
        <v>21</v>
      </c>
      <c r="Z294" s="55">
        <f t="shared" si="70"/>
        <v>22.57</v>
      </c>
      <c r="AA294" s="60">
        <v>0</v>
      </c>
      <c r="AB294" s="60">
        <v>1</v>
      </c>
      <c r="AC294" s="60">
        <v>0</v>
      </c>
      <c r="AD294" s="60">
        <v>0</v>
      </c>
      <c r="AE294" s="60">
        <v>1</v>
      </c>
      <c r="AF294" s="60">
        <v>0</v>
      </c>
      <c r="AG294" s="59">
        <v>0</v>
      </c>
      <c r="AH294" s="60">
        <v>1</v>
      </c>
      <c r="AI294" s="61">
        <v>0</v>
      </c>
      <c r="AJ294" s="60">
        <v>1</v>
      </c>
      <c r="AK294" s="61">
        <v>0</v>
      </c>
      <c r="AL294" s="62">
        <v>2011</v>
      </c>
      <c r="AM294" s="63">
        <f t="shared" si="81"/>
        <v>7.6063873897726522</v>
      </c>
      <c r="AN294" s="58">
        <f t="shared" si="83"/>
        <v>0.3972</v>
      </c>
      <c r="AO294" s="58">
        <v>0.26300000000000001</v>
      </c>
      <c r="AP294" s="58">
        <v>0.2162</v>
      </c>
      <c r="AQ294" s="64">
        <v>0.1236</v>
      </c>
      <c r="AR294" s="65">
        <v>1</v>
      </c>
      <c r="AS294" s="66">
        <v>0</v>
      </c>
      <c r="AT294" s="51">
        <v>0.18748699999999999</v>
      </c>
      <c r="AU294" s="67">
        <f t="shared" si="84"/>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17</v>
      </c>
      <c r="CW294" s="68"/>
      <c r="DB294" s="68"/>
    </row>
    <row r="295" spans="1:106" x14ac:dyDescent="0.25">
      <c r="A295">
        <v>294</v>
      </c>
      <c r="B295">
        <v>20</v>
      </c>
      <c r="C295" s="25" t="s">
        <v>238</v>
      </c>
      <c r="D295" s="12">
        <v>7.3</v>
      </c>
      <c r="E295" s="14">
        <v>0.03</v>
      </c>
      <c r="F295" s="7">
        <f t="shared" ref="F295:F322" si="85">D295/E295</f>
        <v>243.33333333333334</v>
      </c>
      <c r="G295" s="7">
        <f t="shared" si="72"/>
        <v>7.27</v>
      </c>
      <c r="H295" s="16">
        <f t="shared" si="73"/>
        <v>7.33</v>
      </c>
      <c r="I295" s="11">
        <f t="shared" si="74"/>
        <v>0.29748793755946545</v>
      </c>
      <c r="J295" s="33">
        <f t="shared" si="75"/>
        <v>1.2225531680525976E-3</v>
      </c>
      <c r="K295" s="33">
        <f t="shared" si="76"/>
        <v>817.96033590334389</v>
      </c>
      <c r="L295" s="33">
        <f t="shared" si="77"/>
        <v>0.29626538439141287</v>
      </c>
      <c r="M295" s="33">
        <f t="shared" si="78"/>
        <v>0.29871049072751804</v>
      </c>
      <c r="N295" s="8">
        <v>0</v>
      </c>
      <c r="O295" s="9">
        <v>1</v>
      </c>
      <c r="P295" s="8">
        <v>0</v>
      </c>
      <c r="Q295" s="9">
        <v>0</v>
      </c>
      <c r="R295" s="9">
        <v>0</v>
      </c>
      <c r="S295" s="9">
        <v>1</v>
      </c>
      <c r="T295" s="9">
        <v>0</v>
      </c>
      <c r="U295" s="8">
        <v>609852</v>
      </c>
      <c r="V295" s="9">
        <v>3</v>
      </c>
      <c r="W295" s="9">
        <f t="shared" si="79"/>
        <v>609848</v>
      </c>
      <c r="X295" s="9">
        <f t="shared" si="80"/>
        <v>16</v>
      </c>
      <c r="Y295" s="7">
        <v>11.59</v>
      </c>
      <c r="Z295" s="7">
        <f t="shared" ref="Z295:Z322" si="86">BN295-Y295-6</f>
        <v>27.150000000000006</v>
      </c>
      <c r="AA295" s="9">
        <v>1</v>
      </c>
      <c r="AB295" s="9">
        <v>0</v>
      </c>
      <c r="AC295" s="9">
        <v>0</v>
      </c>
      <c r="AD295" s="9">
        <v>1</v>
      </c>
      <c r="AE295" s="9">
        <v>0</v>
      </c>
      <c r="AF295" s="9">
        <v>0</v>
      </c>
      <c r="AG295" s="8">
        <v>1</v>
      </c>
      <c r="AH295" s="9">
        <v>0</v>
      </c>
      <c r="AI295" s="30">
        <v>0</v>
      </c>
      <c r="AJ295" s="9">
        <v>0</v>
      </c>
      <c r="AK295" s="30">
        <v>1</v>
      </c>
      <c r="AL295" s="21">
        <v>1970</v>
      </c>
      <c r="AM295" s="23">
        <f t="shared" si="81"/>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3</v>
      </c>
      <c r="DB295" s="34"/>
    </row>
    <row r="296" spans="1:106" x14ac:dyDescent="0.25">
      <c r="A296">
        <v>295</v>
      </c>
      <c r="B296">
        <v>20</v>
      </c>
      <c r="C296" s="25" t="s">
        <v>238</v>
      </c>
      <c r="D296" s="12">
        <v>6.8</v>
      </c>
      <c r="E296" s="14">
        <v>0.03</v>
      </c>
      <c r="F296" s="7">
        <f t="shared" si="85"/>
        <v>226.66666666666666</v>
      </c>
      <c r="G296" s="7">
        <f t="shared" si="72"/>
        <v>6.77</v>
      </c>
      <c r="H296" s="16">
        <f t="shared" si="73"/>
        <v>6.83</v>
      </c>
      <c r="I296" s="11">
        <f t="shared" si="74"/>
        <v>0.27530222229546214</v>
      </c>
      <c r="J296" s="33">
        <f t="shared" si="75"/>
        <v>1.2145686277740978E-3</v>
      </c>
      <c r="K296" s="33">
        <f t="shared" si="76"/>
        <v>823.33758433450487</v>
      </c>
      <c r="L296" s="33">
        <f t="shared" si="77"/>
        <v>0.27408765366768806</v>
      </c>
      <c r="M296" s="33">
        <f t="shared" si="78"/>
        <v>0.27651679092323622</v>
      </c>
      <c r="N296" s="8">
        <v>0</v>
      </c>
      <c r="O296" s="9">
        <v>1</v>
      </c>
      <c r="P296" s="8">
        <v>0</v>
      </c>
      <c r="Q296" s="9">
        <v>0</v>
      </c>
      <c r="R296" s="9">
        <v>0</v>
      </c>
      <c r="S296" s="9">
        <v>1</v>
      </c>
      <c r="T296" s="9">
        <v>0</v>
      </c>
      <c r="U296" s="8">
        <v>626511</v>
      </c>
      <c r="V296" s="9">
        <v>3</v>
      </c>
      <c r="W296" s="9">
        <f t="shared" si="79"/>
        <v>626507</v>
      </c>
      <c r="X296" s="9">
        <f t="shared" si="80"/>
        <v>16</v>
      </c>
      <c r="Y296" s="7">
        <v>10.52</v>
      </c>
      <c r="Z296" s="7">
        <f t="shared" si="86"/>
        <v>28.03</v>
      </c>
      <c r="AA296" s="9">
        <v>1</v>
      </c>
      <c r="AB296" s="9">
        <v>0</v>
      </c>
      <c r="AC296" s="9">
        <v>0</v>
      </c>
      <c r="AD296" s="9">
        <v>1</v>
      </c>
      <c r="AE296" s="9">
        <v>0</v>
      </c>
      <c r="AF296" s="9">
        <v>0</v>
      </c>
      <c r="AG296" s="8">
        <v>1</v>
      </c>
      <c r="AH296" s="9">
        <v>0</v>
      </c>
      <c r="AI296" s="30">
        <v>0</v>
      </c>
      <c r="AJ296" s="9">
        <v>0</v>
      </c>
      <c r="AK296" s="30">
        <v>1</v>
      </c>
      <c r="AL296" s="21">
        <v>1965</v>
      </c>
      <c r="AM296" s="23">
        <f t="shared" si="81"/>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3</v>
      </c>
      <c r="DB296" s="34"/>
    </row>
    <row r="297" spans="1:106" x14ac:dyDescent="0.25">
      <c r="A297">
        <v>296</v>
      </c>
      <c r="B297">
        <v>20</v>
      </c>
      <c r="C297" s="25" t="s">
        <v>238</v>
      </c>
      <c r="D297" s="12">
        <v>7.5</v>
      </c>
      <c r="E297" s="14">
        <v>0.03</v>
      </c>
      <c r="F297" s="7">
        <f t="shared" si="85"/>
        <v>250</v>
      </c>
      <c r="G297" s="7">
        <f t="shared" si="72"/>
        <v>7.47</v>
      </c>
      <c r="H297" s="16">
        <f t="shared" si="73"/>
        <v>7.53</v>
      </c>
      <c r="I297" s="11">
        <f t="shared" si="74"/>
        <v>0.28088274233337129</v>
      </c>
      <c r="J297" s="33">
        <f t="shared" si="75"/>
        <v>1.1235309693334852E-3</v>
      </c>
      <c r="K297" s="33">
        <f t="shared" si="76"/>
        <v>890.05112212726294</v>
      </c>
      <c r="L297" s="33">
        <f t="shared" si="77"/>
        <v>0.27975921136403781</v>
      </c>
      <c r="M297" s="33">
        <f t="shared" si="78"/>
        <v>0.28200627330270478</v>
      </c>
      <c r="N297" s="8">
        <v>0</v>
      </c>
      <c r="O297" s="9">
        <v>1</v>
      </c>
      <c r="P297" s="8">
        <v>0</v>
      </c>
      <c r="Q297" s="9">
        <v>0</v>
      </c>
      <c r="R297" s="9">
        <v>0</v>
      </c>
      <c r="S297" s="9">
        <v>1</v>
      </c>
      <c r="T297" s="9">
        <v>0</v>
      </c>
      <c r="U297" s="8">
        <v>729695</v>
      </c>
      <c r="V297" s="9">
        <v>3</v>
      </c>
      <c r="W297" s="9">
        <f t="shared" si="79"/>
        <v>729691</v>
      </c>
      <c r="X297" s="9">
        <f t="shared" si="80"/>
        <v>16</v>
      </c>
      <c r="Y297" s="7">
        <v>11.59</v>
      </c>
      <c r="Z297" s="7">
        <f t="shared" si="86"/>
        <v>27.150000000000006</v>
      </c>
      <c r="AA297" s="9">
        <v>1</v>
      </c>
      <c r="AB297" s="9">
        <v>0</v>
      </c>
      <c r="AC297" s="9">
        <v>0</v>
      </c>
      <c r="AD297" s="9">
        <v>1</v>
      </c>
      <c r="AE297" s="9">
        <v>0</v>
      </c>
      <c r="AF297" s="9">
        <v>0</v>
      </c>
      <c r="AG297" s="8">
        <v>1</v>
      </c>
      <c r="AH297" s="9">
        <v>0</v>
      </c>
      <c r="AI297" s="30">
        <v>0</v>
      </c>
      <c r="AJ297" s="9">
        <v>0</v>
      </c>
      <c r="AK297" s="30">
        <v>1</v>
      </c>
      <c r="AL297" s="21">
        <v>1970</v>
      </c>
      <c r="AM297" s="23">
        <f t="shared" si="81"/>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3</v>
      </c>
      <c r="DB297" s="34"/>
    </row>
    <row r="298" spans="1:106" x14ac:dyDescent="0.25">
      <c r="A298">
        <v>297</v>
      </c>
      <c r="B298">
        <v>20</v>
      </c>
      <c r="C298" s="25" t="s">
        <v>238</v>
      </c>
      <c r="D298" s="12">
        <v>5.5</v>
      </c>
      <c r="E298" s="14">
        <v>0.2</v>
      </c>
      <c r="F298" s="7">
        <f t="shared" si="85"/>
        <v>27.5</v>
      </c>
      <c r="G298" s="7">
        <f t="shared" si="72"/>
        <v>5.3</v>
      </c>
      <c r="H298" s="16">
        <f t="shared" si="73"/>
        <v>5.7</v>
      </c>
      <c r="I298" s="11">
        <f t="shared" si="74"/>
        <v>0.20840959907803441</v>
      </c>
      <c r="J298" s="33">
        <f t="shared" si="75"/>
        <v>7.5785308755648879E-3</v>
      </c>
      <c r="K298" s="33">
        <f t="shared" si="76"/>
        <v>131.95169570717914</v>
      </c>
      <c r="L298" s="33">
        <f t="shared" si="77"/>
        <v>0.20083106820246951</v>
      </c>
      <c r="M298" s="33">
        <f t="shared" si="78"/>
        <v>0.21598812995359931</v>
      </c>
      <c r="N298" s="8">
        <v>0</v>
      </c>
      <c r="O298" s="9">
        <v>1</v>
      </c>
      <c r="P298" s="8">
        <v>0</v>
      </c>
      <c r="Q298" s="9">
        <v>0</v>
      </c>
      <c r="R298" s="9">
        <v>0</v>
      </c>
      <c r="S298" s="9">
        <v>1</v>
      </c>
      <c r="T298" s="9">
        <v>0</v>
      </c>
      <c r="U298" s="8">
        <v>16659</v>
      </c>
      <c r="V298" s="9">
        <v>3</v>
      </c>
      <c r="W298" s="9">
        <f t="shared" si="79"/>
        <v>16655</v>
      </c>
      <c r="X298" s="9">
        <f t="shared" si="80"/>
        <v>16</v>
      </c>
      <c r="Y298" s="7">
        <v>6.97</v>
      </c>
      <c r="Z298" s="7">
        <f t="shared" si="86"/>
        <v>31.189999999999998</v>
      </c>
      <c r="AA298" s="9">
        <v>1</v>
      </c>
      <c r="AB298" s="9">
        <v>0</v>
      </c>
      <c r="AC298" s="9">
        <v>0</v>
      </c>
      <c r="AD298" s="9">
        <v>1</v>
      </c>
      <c r="AE298" s="9">
        <v>0</v>
      </c>
      <c r="AF298" s="9">
        <v>0</v>
      </c>
      <c r="AG298" s="8">
        <v>1</v>
      </c>
      <c r="AH298" s="9">
        <v>0</v>
      </c>
      <c r="AI298" s="30">
        <v>0</v>
      </c>
      <c r="AJ298" s="9">
        <v>0</v>
      </c>
      <c r="AK298" s="30">
        <v>1</v>
      </c>
      <c r="AL298" s="21">
        <v>1950</v>
      </c>
      <c r="AM298" s="23">
        <f t="shared" si="81"/>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3</v>
      </c>
      <c r="DB298" s="34"/>
    </row>
    <row r="299" spans="1:106" x14ac:dyDescent="0.25">
      <c r="A299">
        <v>298</v>
      </c>
      <c r="B299">
        <v>20</v>
      </c>
      <c r="C299" s="25" t="s">
        <v>238</v>
      </c>
      <c r="D299" s="12">
        <v>6.9</v>
      </c>
      <c r="E299" s="14">
        <v>0.1</v>
      </c>
      <c r="F299" s="7">
        <f t="shared" si="85"/>
        <v>69</v>
      </c>
      <c r="G299" s="7">
        <f t="shared" si="72"/>
        <v>6.8000000000000007</v>
      </c>
      <c r="H299" s="16">
        <f t="shared" si="73"/>
        <v>7</v>
      </c>
      <c r="I299" s="11">
        <f t="shared" si="74"/>
        <v>0.248495818581531</v>
      </c>
      <c r="J299" s="33">
        <f t="shared" si="75"/>
        <v>3.6013886750946517E-3</v>
      </c>
      <c r="K299" s="33">
        <f t="shared" si="76"/>
        <v>277.67066823847279</v>
      </c>
      <c r="L299" s="33">
        <f t="shared" si="77"/>
        <v>0.24489442990643634</v>
      </c>
      <c r="M299" s="33">
        <f t="shared" si="78"/>
        <v>0.25209720725662565</v>
      </c>
      <c r="N299" s="8">
        <v>0</v>
      </c>
      <c r="O299" s="9">
        <v>1</v>
      </c>
      <c r="P299" s="8">
        <v>0</v>
      </c>
      <c r="Q299" s="9">
        <v>0</v>
      </c>
      <c r="R299" s="9">
        <v>0</v>
      </c>
      <c r="S299" s="9">
        <v>1</v>
      </c>
      <c r="T299" s="9">
        <v>0</v>
      </c>
      <c r="U299" s="8">
        <v>72344</v>
      </c>
      <c r="V299" s="9">
        <v>3</v>
      </c>
      <c r="W299" s="9">
        <f t="shared" si="79"/>
        <v>72340</v>
      </c>
      <c r="X299" s="9">
        <f t="shared" si="80"/>
        <v>16</v>
      </c>
      <c r="Y299" s="7">
        <v>10.52</v>
      </c>
      <c r="Z299" s="7">
        <f t="shared" si="86"/>
        <v>28.03</v>
      </c>
      <c r="AA299" s="9">
        <v>1</v>
      </c>
      <c r="AB299" s="9">
        <v>0</v>
      </c>
      <c r="AC299" s="9">
        <v>0</v>
      </c>
      <c r="AD299" s="9">
        <v>1</v>
      </c>
      <c r="AE299" s="9">
        <v>0</v>
      </c>
      <c r="AF299" s="9">
        <v>0</v>
      </c>
      <c r="AG299" s="8">
        <v>1</v>
      </c>
      <c r="AH299" s="9">
        <v>0</v>
      </c>
      <c r="AI299" s="30">
        <v>0</v>
      </c>
      <c r="AJ299" s="9">
        <v>0</v>
      </c>
      <c r="AK299" s="30">
        <v>1</v>
      </c>
      <c r="AL299" s="21">
        <v>1960</v>
      </c>
      <c r="AM299" s="23">
        <f t="shared" si="81"/>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3</v>
      </c>
      <c r="DB299" s="34"/>
    </row>
    <row r="300" spans="1:106" x14ac:dyDescent="0.25">
      <c r="A300">
        <v>299</v>
      </c>
      <c r="B300">
        <v>20</v>
      </c>
      <c r="C300" s="25" t="s">
        <v>238</v>
      </c>
      <c r="D300" s="12">
        <v>7.6</v>
      </c>
      <c r="E300" s="14">
        <v>0.1</v>
      </c>
      <c r="F300" s="7">
        <f t="shared" si="85"/>
        <v>75.999999999999986</v>
      </c>
      <c r="G300" s="7">
        <f t="shared" si="72"/>
        <v>7.5</v>
      </c>
      <c r="H300" s="16">
        <f t="shared" si="73"/>
        <v>7.6999999999999993</v>
      </c>
      <c r="I300" s="11">
        <f t="shared" si="74"/>
        <v>0.18608624280062647</v>
      </c>
      <c r="J300" s="33">
        <f t="shared" si="75"/>
        <v>2.4485031947450858E-3</v>
      </c>
      <c r="K300" s="33">
        <f t="shared" si="76"/>
        <v>408.41278138667496</v>
      </c>
      <c r="L300" s="33">
        <f t="shared" si="77"/>
        <v>0.18363773960588137</v>
      </c>
      <c r="M300" s="33">
        <f t="shared" si="78"/>
        <v>0.18853474599537157</v>
      </c>
      <c r="N300" s="8">
        <v>0</v>
      </c>
      <c r="O300" s="9">
        <v>1</v>
      </c>
      <c r="P300" s="8">
        <v>0</v>
      </c>
      <c r="Q300" s="9">
        <v>0</v>
      </c>
      <c r="R300" s="9">
        <v>0</v>
      </c>
      <c r="S300" s="9">
        <v>1</v>
      </c>
      <c r="T300" s="9">
        <v>0</v>
      </c>
      <c r="U300" s="8">
        <v>161029</v>
      </c>
      <c r="V300" s="9">
        <v>3</v>
      </c>
      <c r="W300" s="9">
        <f t="shared" si="79"/>
        <v>161025</v>
      </c>
      <c r="X300" s="9">
        <f t="shared" si="80"/>
        <v>16</v>
      </c>
      <c r="Y300" s="7">
        <v>11.59</v>
      </c>
      <c r="Z300" s="7">
        <f t="shared" si="86"/>
        <v>27.150000000000006</v>
      </c>
      <c r="AA300" s="9">
        <v>1</v>
      </c>
      <c r="AB300" s="9">
        <v>0</v>
      </c>
      <c r="AC300" s="9">
        <v>0</v>
      </c>
      <c r="AD300" s="9">
        <v>1</v>
      </c>
      <c r="AE300" s="9">
        <v>0</v>
      </c>
      <c r="AF300" s="9">
        <v>0</v>
      </c>
      <c r="AG300" s="8">
        <v>1</v>
      </c>
      <c r="AH300" s="9">
        <v>0</v>
      </c>
      <c r="AI300" s="30">
        <v>0</v>
      </c>
      <c r="AJ300" s="9">
        <v>0</v>
      </c>
      <c r="AK300" s="30">
        <v>1</v>
      </c>
      <c r="AL300" s="21">
        <v>1970</v>
      </c>
      <c r="AM300" s="23">
        <f t="shared" si="81"/>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3</v>
      </c>
      <c r="DB300" s="34"/>
    </row>
    <row r="301" spans="1:106" x14ac:dyDescent="0.25">
      <c r="A301">
        <v>300</v>
      </c>
      <c r="B301">
        <v>20</v>
      </c>
      <c r="C301" s="25" t="s">
        <v>238</v>
      </c>
      <c r="D301" s="12">
        <v>7.5</v>
      </c>
      <c r="E301" s="14">
        <v>0.1</v>
      </c>
      <c r="F301" s="7">
        <f t="shared" si="85"/>
        <v>75</v>
      </c>
      <c r="G301" s="7">
        <f t="shared" si="72"/>
        <v>7.4</v>
      </c>
      <c r="H301" s="16">
        <f t="shared" si="73"/>
        <v>7.6</v>
      </c>
      <c r="I301" s="11">
        <f t="shared" si="74"/>
        <v>0.1213312702998607</v>
      </c>
      <c r="J301" s="33">
        <f t="shared" si="75"/>
        <v>1.6177502706648094E-3</v>
      </c>
      <c r="K301" s="33">
        <f t="shared" si="76"/>
        <v>618.14237842102364</v>
      </c>
      <c r="L301" s="33">
        <f t="shared" si="77"/>
        <v>0.11971352002919589</v>
      </c>
      <c r="M301" s="33">
        <f t="shared" si="78"/>
        <v>0.12294902057052551</v>
      </c>
      <c r="N301" s="8">
        <v>0</v>
      </c>
      <c r="O301" s="9">
        <v>1</v>
      </c>
      <c r="P301" s="8">
        <v>0</v>
      </c>
      <c r="Q301" s="9">
        <v>0</v>
      </c>
      <c r="R301" s="9">
        <v>0</v>
      </c>
      <c r="S301" s="9">
        <v>1</v>
      </c>
      <c r="T301" s="9">
        <v>0</v>
      </c>
      <c r="U301" s="8">
        <v>376479</v>
      </c>
      <c r="V301" s="9">
        <v>3</v>
      </c>
      <c r="W301" s="9">
        <f t="shared" si="79"/>
        <v>376475</v>
      </c>
      <c r="X301" s="9">
        <f t="shared" si="80"/>
        <v>16</v>
      </c>
      <c r="Y301" s="7">
        <v>12.62</v>
      </c>
      <c r="Z301" s="7">
        <f t="shared" si="86"/>
        <v>26.04</v>
      </c>
      <c r="AA301" s="9">
        <v>1</v>
      </c>
      <c r="AB301" s="9">
        <v>0</v>
      </c>
      <c r="AC301" s="9">
        <v>0</v>
      </c>
      <c r="AD301" s="9">
        <v>1</v>
      </c>
      <c r="AE301" s="9">
        <v>0</v>
      </c>
      <c r="AF301" s="9">
        <v>0</v>
      </c>
      <c r="AG301" s="8">
        <v>1</v>
      </c>
      <c r="AH301" s="9">
        <v>0</v>
      </c>
      <c r="AI301" s="30">
        <v>0</v>
      </c>
      <c r="AJ301" s="9">
        <v>0</v>
      </c>
      <c r="AK301" s="30">
        <v>1</v>
      </c>
      <c r="AL301" s="21">
        <v>1980</v>
      </c>
      <c r="AM301" s="23">
        <f t="shared" si="81"/>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3</v>
      </c>
      <c r="DB301" s="34"/>
    </row>
    <row r="302" spans="1:106" x14ac:dyDescent="0.25">
      <c r="A302">
        <v>301</v>
      </c>
      <c r="B302">
        <v>20</v>
      </c>
      <c r="C302" s="25" t="s">
        <v>238</v>
      </c>
      <c r="D302" s="12">
        <v>10.199999999999999</v>
      </c>
      <c r="E302" s="14">
        <v>0.1</v>
      </c>
      <c r="F302" s="7">
        <f t="shared" si="85"/>
        <v>101.99999999999999</v>
      </c>
      <c r="G302" s="7">
        <f t="shared" si="72"/>
        <v>10.1</v>
      </c>
      <c r="H302" s="16">
        <f t="shared" si="73"/>
        <v>10.299999999999999</v>
      </c>
      <c r="I302" s="11">
        <f t="shared" si="74"/>
        <v>0.30265063701510003</v>
      </c>
      <c r="J302" s="33">
        <f t="shared" si="75"/>
        <v>2.9671631079911773E-3</v>
      </c>
      <c r="K302" s="33">
        <f t="shared" si="76"/>
        <v>337.02225445806988</v>
      </c>
      <c r="L302" s="33">
        <f t="shared" si="77"/>
        <v>0.29968347390710887</v>
      </c>
      <c r="M302" s="33">
        <f t="shared" si="78"/>
        <v>0.3056178001230912</v>
      </c>
      <c r="N302" s="8">
        <v>0</v>
      </c>
      <c r="O302" s="9">
        <v>1</v>
      </c>
      <c r="P302" s="8">
        <v>0</v>
      </c>
      <c r="Q302" s="9">
        <v>0</v>
      </c>
      <c r="R302" s="9">
        <v>0</v>
      </c>
      <c r="S302" s="9">
        <v>1</v>
      </c>
      <c r="T302" s="9">
        <v>0</v>
      </c>
      <c r="U302" s="8">
        <v>103184</v>
      </c>
      <c r="V302" s="9">
        <v>3</v>
      </c>
      <c r="W302" s="9">
        <f t="shared" si="79"/>
        <v>103180</v>
      </c>
      <c r="X302" s="9">
        <f t="shared" si="80"/>
        <v>16</v>
      </c>
      <c r="Y302" s="7">
        <v>13.7</v>
      </c>
      <c r="Z302" s="7">
        <f t="shared" si="86"/>
        <v>24.400000000000002</v>
      </c>
      <c r="AA302" s="9">
        <v>1</v>
      </c>
      <c r="AB302" s="9">
        <v>0</v>
      </c>
      <c r="AC302" s="9">
        <v>0</v>
      </c>
      <c r="AD302" s="9">
        <v>1</v>
      </c>
      <c r="AE302" s="9">
        <v>0</v>
      </c>
      <c r="AF302" s="9">
        <v>0</v>
      </c>
      <c r="AG302" s="8">
        <v>1</v>
      </c>
      <c r="AH302" s="9">
        <v>0</v>
      </c>
      <c r="AI302" s="30">
        <v>0</v>
      </c>
      <c r="AJ302" s="9">
        <v>0</v>
      </c>
      <c r="AK302" s="30">
        <v>1</v>
      </c>
      <c r="AL302" s="21">
        <v>1990</v>
      </c>
      <c r="AM302" s="23">
        <f t="shared" si="81"/>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3</v>
      </c>
      <c r="DB302" s="34"/>
    </row>
    <row r="303" spans="1:106" x14ac:dyDescent="0.25">
      <c r="A303">
        <v>302</v>
      </c>
      <c r="B303">
        <v>20</v>
      </c>
      <c r="C303" s="25" t="s">
        <v>238</v>
      </c>
      <c r="D303" s="12">
        <v>7.4</v>
      </c>
      <c r="E303" s="14">
        <v>1.2</v>
      </c>
      <c r="F303" s="7">
        <f t="shared" si="85"/>
        <v>6.166666666666667</v>
      </c>
      <c r="G303" s="7">
        <f t="shared" si="72"/>
        <v>6.2</v>
      </c>
      <c r="H303" s="16">
        <f t="shared" si="73"/>
        <v>8.6</v>
      </c>
      <c r="I303" s="11">
        <f t="shared" si="74"/>
        <v>7.8963906215058065E-3</v>
      </c>
      <c r="J303" s="33">
        <f t="shared" si="75"/>
        <v>1.280495776460401E-3</v>
      </c>
      <c r="K303" s="33">
        <f t="shared" si="76"/>
        <v>780.94751922121998</v>
      </c>
      <c r="L303" s="33">
        <f t="shared" si="77"/>
        <v>6.6158948450454058E-3</v>
      </c>
      <c r="M303" s="33">
        <f t="shared" si="78"/>
        <v>9.1768863979662073E-3</v>
      </c>
      <c r="N303" s="8">
        <v>0</v>
      </c>
      <c r="O303" s="9">
        <v>1</v>
      </c>
      <c r="P303" s="8">
        <v>0</v>
      </c>
      <c r="Q303" s="9">
        <v>0</v>
      </c>
      <c r="R303" s="9">
        <v>0</v>
      </c>
      <c r="S303" s="9">
        <v>1</v>
      </c>
      <c r="T303" s="9">
        <v>0</v>
      </c>
      <c r="U303" s="8">
        <v>609852</v>
      </c>
      <c r="V303" s="9">
        <v>10</v>
      </c>
      <c r="W303" s="9">
        <f t="shared" si="79"/>
        <v>609841</v>
      </c>
      <c r="X303" s="9">
        <f t="shared" si="80"/>
        <v>16</v>
      </c>
      <c r="Y303" s="7">
        <v>11.59</v>
      </c>
      <c r="Z303" s="7">
        <f t="shared" si="86"/>
        <v>27.150000000000006</v>
      </c>
      <c r="AA303" s="9">
        <v>1</v>
      </c>
      <c r="AB303" s="9">
        <v>0</v>
      </c>
      <c r="AC303" s="9">
        <v>0</v>
      </c>
      <c r="AD303" s="9">
        <v>1</v>
      </c>
      <c r="AE303" s="9">
        <v>0</v>
      </c>
      <c r="AF303" s="9">
        <v>0</v>
      </c>
      <c r="AG303" s="8">
        <v>1</v>
      </c>
      <c r="AH303" s="9">
        <v>0</v>
      </c>
      <c r="AI303" s="30">
        <v>0</v>
      </c>
      <c r="AJ303" s="9">
        <v>0</v>
      </c>
      <c r="AK303" s="30">
        <v>1</v>
      </c>
      <c r="AL303" s="21">
        <v>1970</v>
      </c>
      <c r="AM303" s="23">
        <f t="shared" si="81"/>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3</v>
      </c>
      <c r="DB303" s="34"/>
    </row>
    <row r="304" spans="1:106" x14ac:dyDescent="0.25">
      <c r="A304">
        <v>303</v>
      </c>
      <c r="B304">
        <v>20</v>
      </c>
      <c r="C304" s="25" t="s">
        <v>238</v>
      </c>
      <c r="D304" s="12">
        <v>7.4</v>
      </c>
      <c r="E304" s="14">
        <v>1.2</v>
      </c>
      <c r="F304" s="7">
        <f t="shared" si="85"/>
        <v>6.166666666666667</v>
      </c>
      <c r="G304" s="7">
        <f t="shared" si="72"/>
        <v>6.2</v>
      </c>
      <c r="H304" s="16">
        <f t="shared" si="73"/>
        <v>8.6</v>
      </c>
      <c r="I304" s="11">
        <f t="shared" si="74"/>
        <v>7.8963906215058065E-3</v>
      </c>
      <c r="J304" s="33">
        <f t="shared" si="75"/>
        <v>1.280495776460401E-3</v>
      </c>
      <c r="K304" s="33">
        <f t="shared" si="76"/>
        <v>780.94751922121998</v>
      </c>
      <c r="L304" s="33">
        <f t="shared" si="77"/>
        <v>6.6158948450454058E-3</v>
      </c>
      <c r="M304" s="33">
        <f t="shared" si="78"/>
        <v>9.1768863979662073E-3</v>
      </c>
      <c r="N304" s="8">
        <v>0</v>
      </c>
      <c r="O304" s="9">
        <v>1</v>
      </c>
      <c r="P304" s="8">
        <v>0</v>
      </c>
      <c r="Q304" s="9">
        <v>0</v>
      </c>
      <c r="R304" s="9">
        <v>0</v>
      </c>
      <c r="S304" s="9">
        <v>1</v>
      </c>
      <c r="T304" s="9">
        <v>0</v>
      </c>
      <c r="U304" s="8">
        <v>609852</v>
      </c>
      <c r="V304" s="9">
        <v>10</v>
      </c>
      <c r="W304" s="9">
        <f t="shared" si="79"/>
        <v>609841</v>
      </c>
      <c r="X304" s="9">
        <f t="shared" si="80"/>
        <v>16</v>
      </c>
      <c r="Y304" s="7">
        <v>11.59</v>
      </c>
      <c r="Z304" s="7">
        <f t="shared" si="86"/>
        <v>27.150000000000006</v>
      </c>
      <c r="AA304" s="9">
        <v>1</v>
      </c>
      <c r="AB304" s="9">
        <v>0</v>
      </c>
      <c r="AC304" s="9">
        <v>0</v>
      </c>
      <c r="AD304" s="9">
        <v>1</v>
      </c>
      <c r="AE304" s="9">
        <v>0</v>
      </c>
      <c r="AF304" s="9">
        <v>0</v>
      </c>
      <c r="AG304" s="8">
        <v>1</v>
      </c>
      <c r="AH304" s="9">
        <v>0</v>
      </c>
      <c r="AI304" s="30">
        <v>0</v>
      </c>
      <c r="AJ304" s="9">
        <v>0</v>
      </c>
      <c r="AK304" s="30">
        <v>1</v>
      </c>
      <c r="AL304" s="21">
        <v>1970</v>
      </c>
      <c r="AM304" s="23">
        <f t="shared" si="81"/>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3</v>
      </c>
      <c r="DB304" s="34"/>
    </row>
    <row r="305" spans="1:106" x14ac:dyDescent="0.25">
      <c r="A305">
        <v>304</v>
      </c>
      <c r="B305">
        <v>20</v>
      </c>
      <c r="C305" s="25" t="s">
        <v>238</v>
      </c>
      <c r="D305" s="12">
        <v>7.5</v>
      </c>
      <c r="E305" s="14">
        <v>1.2</v>
      </c>
      <c r="F305" s="7">
        <f t="shared" si="85"/>
        <v>6.25</v>
      </c>
      <c r="G305" s="7">
        <f t="shared" si="72"/>
        <v>6.3</v>
      </c>
      <c r="H305" s="16">
        <f t="shared" si="73"/>
        <v>8.6999999999999993</v>
      </c>
      <c r="I305" s="11">
        <f t="shared" si="74"/>
        <v>8.0030983750574436E-3</v>
      </c>
      <c r="J305" s="33">
        <f t="shared" si="75"/>
        <v>1.2804957400091911E-3</v>
      </c>
      <c r="K305" s="33">
        <f t="shared" si="76"/>
        <v>780.94754145204911</v>
      </c>
      <c r="L305" s="33">
        <f t="shared" si="77"/>
        <v>6.722602635048253E-3</v>
      </c>
      <c r="M305" s="33">
        <f t="shared" si="78"/>
        <v>9.2835941150666342E-3</v>
      </c>
      <c r="N305" s="8">
        <v>0</v>
      </c>
      <c r="O305" s="9">
        <v>1</v>
      </c>
      <c r="P305" s="8">
        <v>0</v>
      </c>
      <c r="Q305" s="9">
        <v>0</v>
      </c>
      <c r="R305" s="9">
        <v>0</v>
      </c>
      <c r="S305" s="9">
        <v>1</v>
      </c>
      <c r="T305" s="9">
        <v>0</v>
      </c>
      <c r="U305" s="8">
        <v>609852</v>
      </c>
      <c r="V305" s="9">
        <v>11</v>
      </c>
      <c r="W305" s="9">
        <f t="shared" si="79"/>
        <v>609840</v>
      </c>
      <c r="X305" s="9">
        <f t="shared" si="80"/>
        <v>16</v>
      </c>
      <c r="Y305" s="7">
        <v>11.59</v>
      </c>
      <c r="Z305" s="7">
        <f t="shared" si="86"/>
        <v>27.150000000000006</v>
      </c>
      <c r="AA305" s="9">
        <v>1</v>
      </c>
      <c r="AB305" s="9">
        <v>0</v>
      </c>
      <c r="AC305" s="9">
        <v>0</v>
      </c>
      <c r="AD305" s="9">
        <v>1</v>
      </c>
      <c r="AE305" s="9">
        <v>0</v>
      </c>
      <c r="AF305" s="9">
        <v>0</v>
      </c>
      <c r="AG305" s="8">
        <v>1</v>
      </c>
      <c r="AH305" s="9">
        <v>0</v>
      </c>
      <c r="AI305" s="30">
        <v>0</v>
      </c>
      <c r="AJ305" s="9">
        <v>0</v>
      </c>
      <c r="AK305" s="30">
        <v>1</v>
      </c>
      <c r="AL305" s="21">
        <v>1970</v>
      </c>
      <c r="AM305" s="23">
        <f t="shared" si="81"/>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3</v>
      </c>
      <c r="DB305" s="34"/>
    </row>
    <row r="306" spans="1:106" x14ac:dyDescent="0.25">
      <c r="A306">
        <v>305</v>
      </c>
      <c r="B306">
        <v>20</v>
      </c>
      <c r="C306" s="25" t="s">
        <v>238</v>
      </c>
      <c r="D306" s="12">
        <v>6</v>
      </c>
      <c r="E306" s="14">
        <v>1.3</v>
      </c>
      <c r="F306" s="7">
        <f t="shared" si="85"/>
        <v>4.615384615384615</v>
      </c>
      <c r="G306" s="7">
        <f t="shared" si="72"/>
        <v>4.7</v>
      </c>
      <c r="H306" s="16">
        <f t="shared" si="73"/>
        <v>7.3</v>
      </c>
      <c r="I306" s="11">
        <f t="shared" si="74"/>
        <v>5.9100712401924313E-3</v>
      </c>
      <c r="J306" s="33">
        <f t="shared" si="75"/>
        <v>1.2805154353750267E-3</v>
      </c>
      <c r="K306" s="33">
        <f t="shared" si="76"/>
        <v>780.93552984554879</v>
      </c>
      <c r="L306" s="33">
        <f t="shared" si="77"/>
        <v>4.6295558048174042E-3</v>
      </c>
      <c r="M306" s="33">
        <f t="shared" si="78"/>
        <v>7.1905866755674584E-3</v>
      </c>
      <c r="N306" s="8">
        <v>0</v>
      </c>
      <c r="O306" s="9">
        <v>1</v>
      </c>
      <c r="P306" s="8">
        <v>0</v>
      </c>
      <c r="Q306" s="9">
        <v>0</v>
      </c>
      <c r="R306" s="9">
        <v>0</v>
      </c>
      <c r="S306" s="9">
        <v>1</v>
      </c>
      <c r="T306" s="9">
        <v>0</v>
      </c>
      <c r="U306" s="8">
        <v>609852</v>
      </c>
      <c r="V306" s="9">
        <v>12</v>
      </c>
      <c r="W306" s="9">
        <f t="shared" si="79"/>
        <v>609839</v>
      </c>
      <c r="X306" s="9">
        <f t="shared" si="80"/>
        <v>16</v>
      </c>
      <c r="Y306" s="7">
        <v>11.59</v>
      </c>
      <c r="Z306" s="7">
        <f t="shared" si="86"/>
        <v>27.150000000000006</v>
      </c>
      <c r="AA306" s="9">
        <v>1</v>
      </c>
      <c r="AB306" s="9">
        <v>0</v>
      </c>
      <c r="AC306" s="9">
        <v>0</v>
      </c>
      <c r="AD306" s="9">
        <v>1</v>
      </c>
      <c r="AE306" s="9">
        <v>0</v>
      </c>
      <c r="AF306" s="9">
        <v>0</v>
      </c>
      <c r="AG306" s="8">
        <v>1</v>
      </c>
      <c r="AH306" s="9">
        <v>0</v>
      </c>
      <c r="AI306" s="30">
        <v>0</v>
      </c>
      <c r="AJ306" s="9">
        <v>0</v>
      </c>
      <c r="AK306" s="30">
        <v>1</v>
      </c>
      <c r="AL306" s="21">
        <v>1970</v>
      </c>
      <c r="AM306" s="23">
        <f t="shared" si="81"/>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3</v>
      </c>
      <c r="DB306" s="34"/>
    </row>
    <row r="307" spans="1:106" x14ac:dyDescent="0.25">
      <c r="A307">
        <v>306</v>
      </c>
      <c r="B307">
        <v>20</v>
      </c>
      <c r="C307" s="25" t="s">
        <v>238</v>
      </c>
      <c r="D307" s="12">
        <v>7.3</v>
      </c>
      <c r="E307" s="14">
        <v>0.03</v>
      </c>
      <c r="F307" s="7">
        <f t="shared" si="85"/>
        <v>243.33333333333334</v>
      </c>
      <c r="G307" s="7">
        <f t="shared" si="72"/>
        <v>7.27</v>
      </c>
      <c r="H307" s="16">
        <f t="shared" si="73"/>
        <v>7.33</v>
      </c>
      <c r="I307" s="11">
        <f t="shared" si="74"/>
        <v>0.29748927147720233</v>
      </c>
      <c r="J307" s="33">
        <f t="shared" si="75"/>
        <v>1.2225586499063107E-3</v>
      </c>
      <c r="K307" s="33">
        <f t="shared" si="76"/>
        <v>817.95666823561692</v>
      </c>
      <c r="L307" s="33">
        <f t="shared" si="77"/>
        <v>0.296266712827296</v>
      </c>
      <c r="M307" s="33">
        <f t="shared" si="78"/>
        <v>0.29871183012710867</v>
      </c>
      <c r="N307" s="8">
        <v>0</v>
      </c>
      <c r="O307" s="9">
        <v>1</v>
      </c>
      <c r="P307" s="8">
        <v>0</v>
      </c>
      <c r="Q307" s="9">
        <v>0</v>
      </c>
      <c r="R307" s="9">
        <v>0</v>
      </c>
      <c r="S307" s="9">
        <v>1</v>
      </c>
      <c r="T307" s="9">
        <v>0</v>
      </c>
      <c r="U307" s="8">
        <v>609852</v>
      </c>
      <c r="V307" s="9">
        <v>9</v>
      </c>
      <c r="W307" s="9">
        <f t="shared" si="79"/>
        <v>609842</v>
      </c>
      <c r="X307" s="9">
        <f t="shared" si="80"/>
        <v>16</v>
      </c>
      <c r="Y307" s="7">
        <v>11.59</v>
      </c>
      <c r="Z307" s="7">
        <f t="shared" si="86"/>
        <v>27.150000000000006</v>
      </c>
      <c r="AA307" s="9">
        <v>1</v>
      </c>
      <c r="AB307" s="9">
        <v>0</v>
      </c>
      <c r="AC307" s="9">
        <v>0</v>
      </c>
      <c r="AD307" s="9">
        <v>1</v>
      </c>
      <c r="AE307" s="9">
        <v>0</v>
      </c>
      <c r="AF307" s="9">
        <v>0</v>
      </c>
      <c r="AG307" s="8">
        <v>1</v>
      </c>
      <c r="AH307" s="9">
        <v>0</v>
      </c>
      <c r="AI307" s="30">
        <v>0</v>
      </c>
      <c r="AJ307" s="9">
        <v>0</v>
      </c>
      <c r="AK307" s="30">
        <v>1</v>
      </c>
      <c r="AL307" s="21">
        <v>1970</v>
      </c>
      <c r="AM307" s="23">
        <f t="shared" si="81"/>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3</v>
      </c>
      <c r="DB307" s="34"/>
    </row>
    <row r="308" spans="1:106" x14ac:dyDescent="0.25">
      <c r="A308">
        <v>307</v>
      </c>
      <c r="B308">
        <v>20</v>
      </c>
      <c r="C308" s="25" t="s">
        <v>238</v>
      </c>
      <c r="D308" s="12">
        <v>7.3</v>
      </c>
      <c r="E308" s="14">
        <v>0.03</v>
      </c>
      <c r="F308" s="7">
        <f t="shared" si="85"/>
        <v>243.33333333333334</v>
      </c>
      <c r="G308" s="7">
        <f t="shared" si="72"/>
        <v>7.27</v>
      </c>
      <c r="H308" s="16">
        <f t="shared" si="73"/>
        <v>7.33</v>
      </c>
      <c r="I308" s="11">
        <f t="shared" si="74"/>
        <v>0.29748927147720233</v>
      </c>
      <c r="J308" s="33">
        <f t="shared" si="75"/>
        <v>1.2225586499063107E-3</v>
      </c>
      <c r="K308" s="33">
        <f t="shared" si="76"/>
        <v>817.95666823561692</v>
      </c>
      <c r="L308" s="33">
        <f t="shared" si="77"/>
        <v>0.296266712827296</v>
      </c>
      <c r="M308" s="33">
        <f t="shared" si="78"/>
        <v>0.29871183012710867</v>
      </c>
      <c r="N308" s="8">
        <v>0</v>
      </c>
      <c r="O308" s="9">
        <v>1</v>
      </c>
      <c r="P308" s="8">
        <v>0</v>
      </c>
      <c r="Q308" s="9">
        <v>0</v>
      </c>
      <c r="R308" s="9">
        <v>0</v>
      </c>
      <c r="S308" s="9">
        <v>1</v>
      </c>
      <c r="T308" s="9">
        <v>0</v>
      </c>
      <c r="U308" s="8">
        <v>609852</v>
      </c>
      <c r="V308" s="9">
        <v>9</v>
      </c>
      <c r="W308" s="9">
        <f t="shared" si="79"/>
        <v>609842</v>
      </c>
      <c r="X308" s="9">
        <f t="shared" si="80"/>
        <v>16</v>
      </c>
      <c r="Y308" s="7">
        <v>11.59</v>
      </c>
      <c r="Z308" s="7">
        <f t="shared" si="86"/>
        <v>27.150000000000006</v>
      </c>
      <c r="AA308" s="9">
        <v>1</v>
      </c>
      <c r="AB308" s="9">
        <v>0</v>
      </c>
      <c r="AC308" s="9">
        <v>0</v>
      </c>
      <c r="AD308" s="9">
        <v>1</v>
      </c>
      <c r="AE308" s="9">
        <v>0</v>
      </c>
      <c r="AF308" s="9">
        <v>0</v>
      </c>
      <c r="AG308" s="8">
        <v>1</v>
      </c>
      <c r="AH308" s="9">
        <v>0</v>
      </c>
      <c r="AI308" s="30">
        <v>0</v>
      </c>
      <c r="AJ308" s="9">
        <v>0</v>
      </c>
      <c r="AK308" s="30">
        <v>1</v>
      </c>
      <c r="AL308" s="21">
        <v>1970</v>
      </c>
      <c r="AM308" s="23">
        <f t="shared" si="81"/>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3</v>
      </c>
      <c r="DB308" s="34"/>
    </row>
    <row r="309" spans="1:106" x14ac:dyDescent="0.25">
      <c r="A309">
        <v>308</v>
      </c>
      <c r="B309">
        <v>20</v>
      </c>
      <c r="C309" s="25" t="s">
        <v>238</v>
      </c>
      <c r="D309" s="12">
        <v>7.3</v>
      </c>
      <c r="E309" s="14">
        <v>0.03</v>
      </c>
      <c r="F309" s="7">
        <f t="shared" si="85"/>
        <v>243.33333333333334</v>
      </c>
      <c r="G309" s="7">
        <f t="shared" si="72"/>
        <v>7.27</v>
      </c>
      <c r="H309" s="16">
        <f t="shared" si="73"/>
        <v>7.33</v>
      </c>
      <c r="I309" s="11">
        <f t="shared" si="74"/>
        <v>0.29748949379856965</v>
      </c>
      <c r="J309" s="33">
        <f t="shared" si="75"/>
        <v>1.2225595635557657E-3</v>
      </c>
      <c r="K309" s="33">
        <f t="shared" si="76"/>
        <v>817.95605695606355</v>
      </c>
      <c r="L309" s="33">
        <f t="shared" si="77"/>
        <v>0.29626693423501388</v>
      </c>
      <c r="M309" s="33">
        <f t="shared" si="78"/>
        <v>0.29871205336212542</v>
      </c>
      <c r="N309" s="8">
        <v>0</v>
      </c>
      <c r="O309" s="9">
        <v>1</v>
      </c>
      <c r="P309" s="8">
        <v>0</v>
      </c>
      <c r="Q309" s="9">
        <v>0</v>
      </c>
      <c r="R309" s="9">
        <v>0</v>
      </c>
      <c r="S309" s="9">
        <v>1</v>
      </c>
      <c r="T309" s="9">
        <v>0</v>
      </c>
      <c r="U309" s="8">
        <v>609852</v>
      </c>
      <c r="V309" s="9">
        <v>10</v>
      </c>
      <c r="W309" s="9">
        <f t="shared" si="79"/>
        <v>609841</v>
      </c>
      <c r="X309" s="9">
        <f t="shared" si="80"/>
        <v>16</v>
      </c>
      <c r="Y309" s="7">
        <v>11.59</v>
      </c>
      <c r="Z309" s="7">
        <f t="shared" si="86"/>
        <v>27.150000000000006</v>
      </c>
      <c r="AA309" s="9">
        <v>1</v>
      </c>
      <c r="AB309" s="9">
        <v>0</v>
      </c>
      <c r="AC309" s="9">
        <v>0</v>
      </c>
      <c r="AD309" s="9">
        <v>1</v>
      </c>
      <c r="AE309" s="9">
        <v>0</v>
      </c>
      <c r="AF309" s="9">
        <v>0</v>
      </c>
      <c r="AG309" s="8">
        <v>1</v>
      </c>
      <c r="AH309" s="9">
        <v>0</v>
      </c>
      <c r="AI309" s="30">
        <v>0</v>
      </c>
      <c r="AJ309" s="9">
        <v>0</v>
      </c>
      <c r="AK309" s="30">
        <v>1</v>
      </c>
      <c r="AL309" s="21">
        <v>1970</v>
      </c>
      <c r="AM309" s="23">
        <f t="shared" si="81"/>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3</v>
      </c>
      <c r="DB309" s="34"/>
    </row>
    <row r="310" spans="1:106" s="51" customFormat="1" x14ac:dyDescent="0.25">
      <c r="A310" s="51">
        <v>309</v>
      </c>
      <c r="B310" s="51">
        <v>20</v>
      </c>
      <c r="C310" s="52" t="s">
        <v>238</v>
      </c>
      <c r="D310" s="53">
        <v>7.3</v>
      </c>
      <c r="E310" s="54">
        <v>0.03</v>
      </c>
      <c r="F310" s="55">
        <f t="shared" si="85"/>
        <v>243.33333333333334</v>
      </c>
      <c r="G310" s="55">
        <f t="shared" si="72"/>
        <v>7.27</v>
      </c>
      <c r="H310" s="56">
        <f t="shared" si="73"/>
        <v>7.33</v>
      </c>
      <c r="I310" s="57">
        <f t="shared" si="74"/>
        <v>0.29748993844279964</v>
      </c>
      <c r="J310" s="58">
        <f t="shared" si="75"/>
        <v>1.2225613908608203E-3</v>
      </c>
      <c r="K310" s="58">
        <f t="shared" si="76"/>
        <v>817.95483439558632</v>
      </c>
      <c r="L310" s="58">
        <f t="shared" si="77"/>
        <v>0.29626737705193884</v>
      </c>
      <c r="M310" s="58">
        <f t="shared" si="78"/>
        <v>0.29871249983366044</v>
      </c>
      <c r="N310" s="59">
        <v>0</v>
      </c>
      <c r="O310" s="60">
        <v>1</v>
      </c>
      <c r="P310" s="59">
        <v>0</v>
      </c>
      <c r="Q310" s="60">
        <v>0</v>
      </c>
      <c r="R310" s="60">
        <v>0</v>
      </c>
      <c r="S310" s="60">
        <v>1</v>
      </c>
      <c r="T310" s="60">
        <v>0</v>
      </c>
      <c r="U310" s="59">
        <v>609852</v>
      </c>
      <c r="V310" s="60">
        <v>12</v>
      </c>
      <c r="W310" s="60">
        <f t="shared" si="79"/>
        <v>609839</v>
      </c>
      <c r="X310" s="60">
        <f t="shared" si="80"/>
        <v>16</v>
      </c>
      <c r="Y310" s="55">
        <v>11.59</v>
      </c>
      <c r="Z310" s="55">
        <f t="shared" si="86"/>
        <v>27.150000000000006</v>
      </c>
      <c r="AA310" s="60">
        <v>1</v>
      </c>
      <c r="AB310" s="60">
        <v>0</v>
      </c>
      <c r="AC310" s="60">
        <v>0</v>
      </c>
      <c r="AD310" s="60">
        <v>1</v>
      </c>
      <c r="AE310" s="60">
        <v>0</v>
      </c>
      <c r="AF310" s="60">
        <v>0</v>
      </c>
      <c r="AG310" s="59">
        <v>1</v>
      </c>
      <c r="AH310" s="60">
        <v>0</v>
      </c>
      <c r="AI310" s="61">
        <v>0</v>
      </c>
      <c r="AJ310" s="60">
        <v>0</v>
      </c>
      <c r="AK310" s="61">
        <v>1</v>
      </c>
      <c r="AL310" s="62">
        <v>1970</v>
      </c>
      <c r="AM310" s="63">
        <f t="shared" si="81"/>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3</v>
      </c>
      <c r="CW310" s="68"/>
      <c r="DB310" s="68"/>
    </row>
    <row r="311" spans="1:106" x14ac:dyDescent="0.25">
      <c r="A311">
        <v>310</v>
      </c>
      <c r="B311">
        <v>21</v>
      </c>
      <c r="C311" s="25" t="s">
        <v>240</v>
      </c>
      <c r="D311" s="12">
        <v>5</v>
      </c>
      <c r="E311" s="14">
        <v>0.1</v>
      </c>
      <c r="F311" s="7">
        <f t="shared" si="85"/>
        <v>50</v>
      </c>
      <c r="G311" s="7">
        <f t="shared" si="72"/>
        <v>4.9000000000000004</v>
      </c>
      <c r="H311" s="16">
        <f t="shared" si="73"/>
        <v>5.0999999999999996</v>
      </c>
      <c r="I311" s="11">
        <f t="shared" si="74"/>
        <v>0.21218275209520929</v>
      </c>
      <c r="J311" s="33">
        <f t="shared" si="75"/>
        <v>4.2436550419041857E-3</v>
      </c>
      <c r="K311" s="33">
        <f t="shared" si="76"/>
        <v>235.64592082189753</v>
      </c>
      <c r="L311" s="33">
        <f t="shared" si="77"/>
        <v>0.2079390970533051</v>
      </c>
      <c r="M311" s="33">
        <f t="shared" si="78"/>
        <v>0.21642640713711347</v>
      </c>
      <c r="N311" s="8">
        <v>0</v>
      </c>
      <c r="O311" s="9">
        <v>1</v>
      </c>
      <c r="P311" s="8">
        <v>0</v>
      </c>
      <c r="Q311" s="9">
        <v>0</v>
      </c>
      <c r="R311" s="9">
        <v>1</v>
      </c>
      <c r="S311" s="9">
        <v>0</v>
      </c>
      <c r="T311" s="9">
        <v>0</v>
      </c>
      <c r="U311" s="8">
        <v>53044</v>
      </c>
      <c r="V311" s="9">
        <v>14</v>
      </c>
      <c r="W311" s="9">
        <f t="shared" si="79"/>
        <v>53029</v>
      </c>
      <c r="X311" s="9">
        <f t="shared" si="80"/>
        <v>12</v>
      </c>
      <c r="Y311" s="7">
        <v>7.8040000000000003</v>
      </c>
      <c r="Z311" s="7">
        <f t="shared" si="86"/>
        <v>30.79</v>
      </c>
      <c r="AA311" s="9">
        <v>1</v>
      </c>
      <c r="AB311" s="9">
        <v>0</v>
      </c>
      <c r="AC311" s="9">
        <v>0</v>
      </c>
      <c r="AD311" s="9">
        <v>0</v>
      </c>
      <c r="AE311" s="9">
        <v>1</v>
      </c>
      <c r="AF311" s="9">
        <v>0</v>
      </c>
      <c r="AG311" s="8">
        <v>0</v>
      </c>
      <c r="AH311" s="9">
        <v>0</v>
      </c>
      <c r="AI311" s="30">
        <v>1</v>
      </c>
      <c r="AJ311" s="9">
        <v>0</v>
      </c>
      <c r="AK311" s="30">
        <v>1</v>
      </c>
      <c r="AL311" s="21">
        <v>2013</v>
      </c>
      <c r="AM311" s="23">
        <f t="shared" si="81"/>
        <v>7.6073814256397911</v>
      </c>
      <c r="AN311" s="33">
        <v>0.14000000000000001</v>
      </c>
      <c r="AO311" s="33">
        <v>0.42</v>
      </c>
      <c r="AP311" s="33">
        <v>0.33</v>
      </c>
      <c r="AQ311" s="43">
        <v>0.11</v>
      </c>
      <c r="AR311" s="42">
        <v>1</v>
      </c>
      <c r="AS311" s="18">
        <v>0</v>
      </c>
      <c r="AT311" s="39">
        <f t="shared" ref="AT311:AT318" si="87">1-AU311</f>
        <v>0.505</v>
      </c>
      <c r="AU311" s="40">
        <v>0.495</v>
      </c>
      <c r="AV311">
        <v>1</v>
      </c>
      <c r="AW311" s="40">
        <v>0</v>
      </c>
      <c r="AX311">
        <v>0</v>
      </c>
      <c r="AY311" s="18">
        <v>1</v>
      </c>
      <c r="AZ311">
        <f t="shared" ref="AZ311:AZ322" si="8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24</v>
      </c>
      <c r="DB311" s="34"/>
    </row>
    <row r="312" spans="1:106" x14ac:dyDescent="0.25">
      <c r="A312">
        <v>311</v>
      </c>
      <c r="B312">
        <v>21</v>
      </c>
      <c r="C312" s="25" t="s">
        <v>240</v>
      </c>
      <c r="D312" s="12">
        <v>7.1</v>
      </c>
      <c r="E312" s="14">
        <v>0.1</v>
      </c>
      <c r="F312" s="7">
        <f t="shared" si="85"/>
        <v>70.999999999999986</v>
      </c>
      <c r="G312" s="7">
        <f t="shared" si="72"/>
        <v>7</v>
      </c>
      <c r="H312" s="16">
        <f t="shared" si="73"/>
        <v>7.1999999999999993</v>
      </c>
      <c r="I312" s="11">
        <f t="shared" si="74"/>
        <v>0.51647633440499785</v>
      </c>
      <c r="J312" s="33">
        <f t="shared" si="75"/>
        <v>7.2743145690844797E-3</v>
      </c>
      <c r="K312" s="33">
        <f t="shared" si="76"/>
        <v>137.46999672655846</v>
      </c>
      <c r="L312" s="33">
        <f t="shared" si="77"/>
        <v>0.5092020198359134</v>
      </c>
      <c r="M312" s="33">
        <f t="shared" si="78"/>
        <v>0.5237506489740823</v>
      </c>
      <c r="N312" s="8">
        <v>0</v>
      </c>
      <c r="O312" s="9">
        <v>1</v>
      </c>
      <c r="P312" s="8">
        <v>0</v>
      </c>
      <c r="Q312" s="9">
        <v>0</v>
      </c>
      <c r="R312" s="9">
        <v>1</v>
      </c>
      <c r="S312" s="9">
        <v>0</v>
      </c>
      <c r="T312" s="9">
        <v>0</v>
      </c>
      <c r="U312" s="8">
        <v>13870</v>
      </c>
      <c r="V312" s="9">
        <v>12</v>
      </c>
      <c r="W312" s="9">
        <f t="shared" si="79"/>
        <v>13857</v>
      </c>
      <c r="X312" s="9">
        <f t="shared" si="80"/>
        <v>12</v>
      </c>
      <c r="Y312" s="7">
        <v>10.032</v>
      </c>
      <c r="Z312" s="7">
        <f t="shared" si="86"/>
        <v>25.486000000000001</v>
      </c>
      <c r="AA312" s="9">
        <v>1</v>
      </c>
      <c r="AB312" s="9">
        <v>0</v>
      </c>
      <c r="AC312" s="9">
        <v>0</v>
      </c>
      <c r="AD312" s="9">
        <v>0</v>
      </c>
      <c r="AE312" s="9">
        <v>1</v>
      </c>
      <c r="AF312" s="9">
        <v>0</v>
      </c>
      <c r="AG312" s="8">
        <v>0</v>
      </c>
      <c r="AH312" s="9">
        <v>0</v>
      </c>
      <c r="AI312" s="30">
        <v>1</v>
      </c>
      <c r="AJ312" s="9">
        <v>0</v>
      </c>
      <c r="AK312" s="30">
        <v>1</v>
      </c>
      <c r="AL312" s="21">
        <v>2013</v>
      </c>
      <c r="AM312" s="23">
        <f t="shared" si="81"/>
        <v>7.6073814256397911</v>
      </c>
      <c r="AN312" s="33">
        <v>0.14000000000000001</v>
      </c>
      <c r="AO312" s="33">
        <v>0.42</v>
      </c>
      <c r="AP312" s="33">
        <v>0.33</v>
      </c>
      <c r="AQ312" s="43">
        <v>0.11</v>
      </c>
      <c r="AR312" s="42">
        <v>1</v>
      </c>
      <c r="AS312" s="18">
        <v>0</v>
      </c>
      <c r="AT312" s="39">
        <f t="shared" si="87"/>
        <v>0.52</v>
      </c>
      <c r="AU312" s="40">
        <v>0.48</v>
      </c>
      <c r="AV312">
        <v>1</v>
      </c>
      <c r="AW312" s="40">
        <v>0</v>
      </c>
      <c r="AX312">
        <v>0</v>
      </c>
      <c r="AY312" s="18">
        <v>1</v>
      </c>
      <c r="AZ312">
        <f t="shared" si="8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24</v>
      </c>
      <c r="DB312" s="34"/>
    </row>
    <row r="313" spans="1:106" x14ac:dyDescent="0.25">
      <c r="A313">
        <v>312</v>
      </c>
      <c r="B313">
        <v>21</v>
      </c>
      <c r="C313" s="25" t="s">
        <v>240</v>
      </c>
      <c r="D313" s="12">
        <v>4.9000000000000004</v>
      </c>
      <c r="E313" s="14">
        <v>0.1</v>
      </c>
      <c r="F313" s="7">
        <f t="shared" si="85"/>
        <v>49</v>
      </c>
      <c r="G313" s="7">
        <f t="shared" si="72"/>
        <v>4.8000000000000007</v>
      </c>
      <c r="H313" s="16">
        <f t="shared" si="73"/>
        <v>5</v>
      </c>
      <c r="I313" s="11">
        <f t="shared" si="74"/>
        <v>0.33699468069112615</v>
      </c>
      <c r="J313" s="33">
        <f t="shared" si="75"/>
        <v>6.8774424630842074E-3</v>
      </c>
      <c r="K313" s="33">
        <f t="shared" si="76"/>
        <v>145.40288855452633</v>
      </c>
      <c r="L313" s="33">
        <f t="shared" si="77"/>
        <v>0.33011723822804195</v>
      </c>
      <c r="M313" s="33">
        <f t="shared" si="78"/>
        <v>0.34387212315421034</v>
      </c>
      <c r="N313" s="8">
        <v>0</v>
      </c>
      <c r="O313" s="9">
        <v>1</v>
      </c>
      <c r="P313" s="8">
        <v>0</v>
      </c>
      <c r="Q313" s="9">
        <v>0</v>
      </c>
      <c r="R313" s="9">
        <v>1</v>
      </c>
      <c r="S313" s="9">
        <v>0</v>
      </c>
      <c r="T313" s="9">
        <v>0</v>
      </c>
      <c r="U313" s="8">
        <v>18754</v>
      </c>
      <c r="V313" s="9">
        <v>12</v>
      </c>
      <c r="W313" s="9">
        <f t="shared" si="79"/>
        <v>18741</v>
      </c>
      <c r="X313" s="9">
        <f t="shared" si="80"/>
        <v>12</v>
      </c>
      <c r="Y313" s="7">
        <v>6.3079999999999998</v>
      </c>
      <c r="Z313" s="7">
        <f t="shared" si="86"/>
        <v>32.466000000000001</v>
      </c>
      <c r="AA313" s="9">
        <v>1</v>
      </c>
      <c r="AB313" s="9">
        <v>0</v>
      </c>
      <c r="AC313" s="9">
        <v>0</v>
      </c>
      <c r="AD313" s="9">
        <v>0</v>
      </c>
      <c r="AE313" s="9">
        <v>1</v>
      </c>
      <c r="AF313" s="9">
        <v>0</v>
      </c>
      <c r="AG313" s="8">
        <v>0</v>
      </c>
      <c r="AH313" s="9">
        <v>0</v>
      </c>
      <c r="AI313" s="30">
        <v>1</v>
      </c>
      <c r="AJ313" s="9">
        <v>0</v>
      </c>
      <c r="AK313" s="30">
        <v>1</v>
      </c>
      <c r="AL313" s="21">
        <v>2013</v>
      </c>
      <c r="AM313" s="23">
        <f t="shared" si="81"/>
        <v>7.6073814256397911</v>
      </c>
      <c r="AN313" s="33">
        <v>0.14000000000000001</v>
      </c>
      <c r="AO313" s="33">
        <v>0.42</v>
      </c>
      <c r="AP313" s="33">
        <v>0.33</v>
      </c>
      <c r="AQ313" s="43">
        <v>0.11</v>
      </c>
      <c r="AR313" s="42">
        <v>1</v>
      </c>
      <c r="AS313" s="18">
        <v>0</v>
      </c>
      <c r="AT313" s="39">
        <f t="shared" si="87"/>
        <v>0.57200000000000006</v>
      </c>
      <c r="AU313" s="40">
        <v>0.42799999999999999</v>
      </c>
      <c r="AV313">
        <v>1</v>
      </c>
      <c r="AW313" s="40">
        <v>0</v>
      </c>
      <c r="AX313">
        <v>0</v>
      </c>
      <c r="AY313" s="18">
        <v>1</v>
      </c>
      <c r="AZ313">
        <f t="shared" si="8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24</v>
      </c>
      <c r="DB313" s="34"/>
    </row>
    <row r="314" spans="1:106" x14ac:dyDescent="0.25">
      <c r="A314">
        <v>313</v>
      </c>
      <c r="B314">
        <v>21</v>
      </c>
      <c r="C314" s="25" t="s">
        <v>240</v>
      </c>
      <c r="D314" s="12">
        <v>3.5</v>
      </c>
      <c r="E314" s="14">
        <v>0.2</v>
      </c>
      <c r="F314" s="7">
        <f t="shared" si="85"/>
        <v>17.5</v>
      </c>
      <c r="G314" s="7">
        <f t="shared" si="72"/>
        <v>3.3</v>
      </c>
      <c r="H314" s="16">
        <f t="shared" si="73"/>
        <v>3.7</v>
      </c>
      <c r="I314" s="11">
        <f t="shared" si="74"/>
        <v>0.12159449831189598</v>
      </c>
      <c r="J314" s="33">
        <f t="shared" si="75"/>
        <v>6.9482570463940563E-3</v>
      </c>
      <c r="K314" s="33">
        <f t="shared" si="76"/>
        <v>143.92098526622169</v>
      </c>
      <c r="L314" s="33">
        <f t="shared" si="77"/>
        <v>0.11464624126550192</v>
      </c>
      <c r="M314" s="33">
        <f t="shared" si="78"/>
        <v>0.12854275535829005</v>
      </c>
      <c r="N314" s="8">
        <v>0</v>
      </c>
      <c r="O314" s="9">
        <v>1</v>
      </c>
      <c r="P314" s="8">
        <v>0</v>
      </c>
      <c r="Q314" s="9">
        <v>0</v>
      </c>
      <c r="R314" s="9">
        <v>1</v>
      </c>
      <c r="S314" s="9">
        <v>0</v>
      </c>
      <c r="T314" s="9">
        <v>0</v>
      </c>
      <c r="U314" s="8">
        <v>20420</v>
      </c>
      <c r="V314" s="9">
        <v>12</v>
      </c>
      <c r="W314" s="9">
        <f t="shared" si="79"/>
        <v>20407</v>
      </c>
      <c r="X314" s="9">
        <f t="shared" si="80"/>
        <v>12</v>
      </c>
      <c r="Y314" s="7">
        <v>7.6660000000000004</v>
      </c>
      <c r="Z314" s="7">
        <f t="shared" si="86"/>
        <v>32.852999999999994</v>
      </c>
      <c r="AA314" s="9">
        <v>1</v>
      </c>
      <c r="AB314" s="9">
        <v>0</v>
      </c>
      <c r="AC314" s="9">
        <v>0</v>
      </c>
      <c r="AD314" s="9">
        <v>0</v>
      </c>
      <c r="AE314" s="9">
        <v>1</v>
      </c>
      <c r="AF314" s="9">
        <v>0</v>
      </c>
      <c r="AG314" s="8">
        <v>0</v>
      </c>
      <c r="AH314" s="9">
        <v>0</v>
      </c>
      <c r="AI314" s="30">
        <v>1</v>
      </c>
      <c r="AJ314" s="9">
        <v>0</v>
      </c>
      <c r="AK314" s="30">
        <v>1</v>
      </c>
      <c r="AL314" s="21">
        <v>2013</v>
      </c>
      <c r="AM314" s="23">
        <f t="shared" si="81"/>
        <v>7.6073814256397911</v>
      </c>
      <c r="AN314" s="33">
        <v>0.14000000000000001</v>
      </c>
      <c r="AO314" s="33">
        <v>0.42</v>
      </c>
      <c r="AP314" s="33">
        <v>0.33</v>
      </c>
      <c r="AQ314" s="43">
        <v>0.11</v>
      </c>
      <c r="AR314" s="42">
        <v>1</v>
      </c>
      <c r="AS314" s="18">
        <v>0</v>
      </c>
      <c r="AT314" s="39">
        <f t="shared" si="87"/>
        <v>0.43300000000000005</v>
      </c>
      <c r="AU314" s="40">
        <v>0.56699999999999995</v>
      </c>
      <c r="AV314">
        <v>1</v>
      </c>
      <c r="AW314" s="40">
        <v>0</v>
      </c>
      <c r="AX314">
        <v>0</v>
      </c>
      <c r="AY314" s="18">
        <v>1</v>
      </c>
      <c r="AZ314">
        <f t="shared" si="8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24</v>
      </c>
      <c r="DB314" s="34"/>
    </row>
    <row r="315" spans="1:106" x14ac:dyDescent="0.25">
      <c r="A315">
        <v>314</v>
      </c>
      <c r="B315">
        <v>21</v>
      </c>
      <c r="C315" s="25" t="s">
        <v>240</v>
      </c>
      <c r="D315" s="12">
        <v>13.6</v>
      </c>
      <c r="E315" s="14">
        <v>1.5</v>
      </c>
      <c r="F315" s="7">
        <f t="shared" si="85"/>
        <v>9.0666666666666664</v>
      </c>
      <c r="G315" s="7">
        <f t="shared" si="72"/>
        <v>12.1</v>
      </c>
      <c r="H315" s="16">
        <f t="shared" si="73"/>
        <v>15.1</v>
      </c>
      <c r="I315" s="11">
        <f t="shared" si="74"/>
        <v>3.9341831513423985E-2</v>
      </c>
      <c r="J315" s="33">
        <f t="shared" si="75"/>
        <v>4.3391725933923514E-3</v>
      </c>
      <c r="K315" s="33">
        <f t="shared" si="76"/>
        <v>230.45868272739139</v>
      </c>
      <c r="L315" s="33">
        <f t="shared" si="77"/>
        <v>3.5002658920031633E-2</v>
      </c>
      <c r="M315" s="33">
        <f t="shared" si="78"/>
        <v>4.3681004106816336E-2</v>
      </c>
      <c r="N315" s="8">
        <v>0</v>
      </c>
      <c r="O315" s="9">
        <v>1</v>
      </c>
      <c r="P315" s="8">
        <v>0</v>
      </c>
      <c r="Q315" s="9">
        <v>0</v>
      </c>
      <c r="R315" s="9">
        <v>1</v>
      </c>
      <c r="S315" s="9">
        <v>0</v>
      </c>
      <c r="T315" s="9">
        <v>0</v>
      </c>
      <c r="U315" s="8">
        <v>53044</v>
      </c>
      <c r="V315" s="9">
        <v>14</v>
      </c>
      <c r="W315" s="9">
        <f t="shared" si="79"/>
        <v>53029</v>
      </c>
      <c r="X315" s="9">
        <f t="shared" si="80"/>
        <v>12</v>
      </c>
      <c r="Y315" s="7">
        <v>7.8040000000000003</v>
      </c>
      <c r="Z315" s="7">
        <f t="shared" si="86"/>
        <v>30.79</v>
      </c>
      <c r="AA315" s="9">
        <v>1</v>
      </c>
      <c r="AB315" s="9">
        <v>0</v>
      </c>
      <c r="AC315" s="9">
        <v>0</v>
      </c>
      <c r="AD315" s="9">
        <v>0</v>
      </c>
      <c r="AE315" s="9">
        <v>1</v>
      </c>
      <c r="AF315" s="9">
        <v>0</v>
      </c>
      <c r="AG315" s="8">
        <v>0</v>
      </c>
      <c r="AH315" s="9">
        <v>0</v>
      </c>
      <c r="AI315" s="30">
        <v>1</v>
      </c>
      <c r="AJ315" s="9">
        <v>0</v>
      </c>
      <c r="AK315" s="30">
        <v>1</v>
      </c>
      <c r="AL315" s="21">
        <v>2013</v>
      </c>
      <c r="AM315" s="23">
        <f t="shared" si="81"/>
        <v>7.6073814256397911</v>
      </c>
      <c r="AN315" s="33">
        <v>0.14000000000000001</v>
      </c>
      <c r="AO315" s="33">
        <v>0.42</v>
      </c>
      <c r="AP315" s="33">
        <v>0.33</v>
      </c>
      <c r="AQ315" s="43">
        <v>0.11</v>
      </c>
      <c r="AR315" s="42">
        <v>1</v>
      </c>
      <c r="AS315" s="18">
        <v>0</v>
      </c>
      <c r="AT315" s="39">
        <f t="shared" si="87"/>
        <v>0.505</v>
      </c>
      <c r="AU315" s="40">
        <v>0.495</v>
      </c>
      <c r="AV315">
        <v>1</v>
      </c>
      <c r="AW315" s="40">
        <v>0</v>
      </c>
      <c r="AX315">
        <v>0</v>
      </c>
      <c r="AY315" s="18">
        <v>1</v>
      </c>
      <c r="AZ315">
        <f t="shared" si="8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24</v>
      </c>
      <c r="DB315" s="34"/>
    </row>
    <row r="316" spans="1:106" x14ac:dyDescent="0.25">
      <c r="A316">
        <v>315</v>
      </c>
      <c r="B316">
        <v>21</v>
      </c>
      <c r="C316" s="25" t="s">
        <v>240</v>
      </c>
      <c r="D316" s="12">
        <v>14.6</v>
      </c>
      <c r="E316" s="14">
        <v>1.5</v>
      </c>
      <c r="F316" s="7">
        <f t="shared" si="85"/>
        <v>9.7333333333333325</v>
      </c>
      <c r="G316" s="7">
        <f t="shared" si="72"/>
        <v>13.1</v>
      </c>
      <c r="H316" s="16">
        <f t="shared" si="73"/>
        <v>16.100000000000001</v>
      </c>
      <c r="I316" s="11">
        <f t="shared" si="74"/>
        <v>8.2403838857020115E-2</v>
      </c>
      <c r="J316" s="33">
        <f t="shared" si="75"/>
        <v>8.4661478277760407E-3</v>
      </c>
      <c r="K316" s="33">
        <f t="shared" si="76"/>
        <v>118.11747448103425</v>
      </c>
      <c r="L316" s="33">
        <f t="shared" si="77"/>
        <v>7.3937691029244079E-2</v>
      </c>
      <c r="M316" s="33">
        <f t="shared" si="78"/>
        <v>9.086998668479615E-2</v>
      </c>
      <c r="N316" s="8">
        <v>0</v>
      </c>
      <c r="O316" s="9">
        <v>1</v>
      </c>
      <c r="P316" s="8">
        <v>0</v>
      </c>
      <c r="Q316" s="9">
        <v>0</v>
      </c>
      <c r="R316" s="9">
        <v>1</v>
      </c>
      <c r="S316" s="9">
        <v>0</v>
      </c>
      <c r="T316" s="9">
        <v>0</v>
      </c>
      <c r="U316" s="8">
        <v>13870</v>
      </c>
      <c r="V316" s="9">
        <v>12</v>
      </c>
      <c r="W316" s="9">
        <f t="shared" si="79"/>
        <v>13857</v>
      </c>
      <c r="X316" s="9">
        <f t="shared" si="80"/>
        <v>12</v>
      </c>
      <c r="Y316" s="7">
        <v>10.032</v>
      </c>
      <c r="Z316" s="7">
        <f t="shared" si="86"/>
        <v>25.486000000000001</v>
      </c>
      <c r="AA316" s="9">
        <v>1</v>
      </c>
      <c r="AB316" s="9">
        <v>0</v>
      </c>
      <c r="AC316" s="9">
        <v>0</v>
      </c>
      <c r="AD316" s="9">
        <v>0</v>
      </c>
      <c r="AE316" s="9">
        <v>1</v>
      </c>
      <c r="AF316" s="9">
        <v>0</v>
      </c>
      <c r="AG316" s="8">
        <v>0</v>
      </c>
      <c r="AH316" s="9">
        <v>0</v>
      </c>
      <c r="AI316" s="30">
        <v>1</v>
      </c>
      <c r="AJ316" s="9">
        <v>0</v>
      </c>
      <c r="AK316" s="30">
        <v>1</v>
      </c>
      <c r="AL316" s="21">
        <v>2013</v>
      </c>
      <c r="AM316" s="23">
        <f t="shared" si="81"/>
        <v>7.6073814256397911</v>
      </c>
      <c r="AN316" s="33">
        <v>0.14000000000000001</v>
      </c>
      <c r="AO316" s="33">
        <v>0.42</v>
      </c>
      <c r="AP316" s="33">
        <v>0.33</v>
      </c>
      <c r="AQ316" s="43">
        <v>0.11</v>
      </c>
      <c r="AR316" s="42">
        <v>1</v>
      </c>
      <c r="AS316" s="18">
        <v>0</v>
      </c>
      <c r="AT316" s="39">
        <f t="shared" si="87"/>
        <v>0.52</v>
      </c>
      <c r="AU316" s="40">
        <v>0.48</v>
      </c>
      <c r="AV316">
        <v>1</v>
      </c>
      <c r="AW316" s="40">
        <v>0</v>
      </c>
      <c r="AX316">
        <v>0</v>
      </c>
      <c r="AY316" s="18">
        <v>1</v>
      </c>
      <c r="AZ316">
        <f t="shared" si="8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24</v>
      </c>
      <c r="DB316" s="34"/>
    </row>
    <row r="317" spans="1:106" x14ac:dyDescent="0.25">
      <c r="A317">
        <v>316</v>
      </c>
      <c r="B317">
        <v>21</v>
      </c>
      <c r="C317" s="25" t="s">
        <v>240</v>
      </c>
      <c r="D317" s="12">
        <v>11.2</v>
      </c>
      <c r="E317" s="14">
        <v>3</v>
      </c>
      <c r="F317" s="7">
        <f t="shared" si="85"/>
        <v>3.7333333333333329</v>
      </c>
      <c r="G317" s="7">
        <f t="shared" si="72"/>
        <v>8.1999999999999993</v>
      </c>
      <c r="H317" s="16">
        <f t="shared" si="73"/>
        <v>14.2</v>
      </c>
      <c r="I317" s="11">
        <f t="shared" si="74"/>
        <v>2.7260822444108244E-2</v>
      </c>
      <c r="J317" s="33">
        <f t="shared" si="75"/>
        <v>7.3020060118147078E-3</v>
      </c>
      <c r="K317" s="33">
        <f t="shared" si="76"/>
        <v>136.94866840454409</v>
      </c>
      <c r="L317" s="33">
        <f t="shared" si="77"/>
        <v>1.9958816432293535E-2</v>
      </c>
      <c r="M317" s="33">
        <f t="shared" si="78"/>
        <v>3.4562828455922949E-2</v>
      </c>
      <c r="N317" s="8">
        <v>0</v>
      </c>
      <c r="O317" s="9">
        <v>1</v>
      </c>
      <c r="P317" s="8">
        <v>0</v>
      </c>
      <c r="Q317" s="9">
        <v>0</v>
      </c>
      <c r="R317" s="9">
        <v>1</v>
      </c>
      <c r="S317" s="9">
        <v>0</v>
      </c>
      <c r="T317" s="9">
        <v>0</v>
      </c>
      <c r="U317" s="8">
        <v>18754</v>
      </c>
      <c r="V317" s="9">
        <v>12</v>
      </c>
      <c r="W317" s="9">
        <f t="shared" si="79"/>
        <v>18741</v>
      </c>
      <c r="X317" s="9">
        <f t="shared" si="80"/>
        <v>12</v>
      </c>
      <c r="Y317" s="7">
        <v>6.3079999999999998</v>
      </c>
      <c r="Z317" s="7">
        <f t="shared" si="86"/>
        <v>32.466000000000001</v>
      </c>
      <c r="AA317" s="9">
        <v>1</v>
      </c>
      <c r="AB317" s="9">
        <v>0</v>
      </c>
      <c r="AC317" s="9">
        <v>0</v>
      </c>
      <c r="AD317" s="9">
        <v>0</v>
      </c>
      <c r="AE317" s="9">
        <v>1</v>
      </c>
      <c r="AF317" s="9">
        <v>0</v>
      </c>
      <c r="AG317" s="8">
        <v>0</v>
      </c>
      <c r="AH317" s="9">
        <v>0</v>
      </c>
      <c r="AI317" s="30">
        <v>1</v>
      </c>
      <c r="AJ317" s="9">
        <v>0</v>
      </c>
      <c r="AK317" s="30">
        <v>1</v>
      </c>
      <c r="AL317" s="21">
        <v>2013</v>
      </c>
      <c r="AM317" s="23">
        <f t="shared" si="81"/>
        <v>7.6073814256397911</v>
      </c>
      <c r="AN317" s="33">
        <v>0.14000000000000001</v>
      </c>
      <c r="AO317" s="33">
        <v>0.42</v>
      </c>
      <c r="AP317" s="33">
        <v>0.33</v>
      </c>
      <c r="AQ317" s="43">
        <v>0.11</v>
      </c>
      <c r="AR317" s="42">
        <v>1</v>
      </c>
      <c r="AS317" s="18">
        <v>0</v>
      </c>
      <c r="AT317" s="39">
        <f t="shared" si="87"/>
        <v>0.57200000000000006</v>
      </c>
      <c r="AU317" s="40">
        <v>0.42799999999999999</v>
      </c>
      <c r="AV317">
        <v>1</v>
      </c>
      <c r="AW317" s="40">
        <v>0</v>
      </c>
      <c r="AX317">
        <v>0</v>
      </c>
      <c r="AY317" s="18">
        <v>1</v>
      </c>
      <c r="AZ317">
        <f t="shared" si="8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24</v>
      </c>
      <c r="DB317" s="34"/>
    </row>
    <row r="318" spans="1:106" x14ac:dyDescent="0.25">
      <c r="A318">
        <v>317</v>
      </c>
      <c r="B318">
        <v>21</v>
      </c>
      <c r="C318" s="25" t="s">
        <v>240</v>
      </c>
      <c r="D318" s="12">
        <v>11.9</v>
      </c>
      <c r="E318" s="14">
        <v>3.6</v>
      </c>
      <c r="F318" s="7">
        <f t="shared" si="85"/>
        <v>3.3055555555555554</v>
      </c>
      <c r="G318" s="7">
        <f t="shared" si="72"/>
        <v>8.3000000000000007</v>
      </c>
      <c r="H318" s="16">
        <f t="shared" si="73"/>
        <v>15.5</v>
      </c>
      <c r="I318" s="11">
        <f t="shared" si="74"/>
        <v>2.3133355957210736E-2</v>
      </c>
      <c r="J318" s="33">
        <f t="shared" si="75"/>
        <v>6.9983261719292981E-3</v>
      </c>
      <c r="K318" s="33">
        <f t="shared" si="76"/>
        <v>142.89131078386421</v>
      </c>
      <c r="L318" s="33">
        <f t="shared" si="77"/>
        <v>1.6135029785281439E-2</v>
      </c>
      <c r="M318" s="33">
        <f t="shared" si="78"/>
        <v>3.0131682129140032E-2</v>
      </c>
      <c r="N318" s="8">
        <v>0</v>
      </c>
      <c r="O318" s="9">
        <v>1</v>
      </c>
      <c r="P318" s="8">
        <v>0</v>
      </c>
      <c r="Q318" s="9">
        <v>0</v>
      </c>
      <c r="R318" s="9">
        <v>1</v>
      </c>
      <c r="S318" s="9">
        <v>0</v>
      </c>
      <c r="T318" s="9">
        <v>0</v>
      </c>
      <c r="U318" s="8">
        <v>20420</v>
      </c>
      <c r="V318" s="9">
        <v>12</v>
      </c>
      <c r="W318" s="9">
        <f t="shared" si="79"/>
        <v>20407</v>
      </c>
      <c r="X318" s="9">
        <f t="shared" si="80"/>
        <v>12</v>
      </c>
      <c r="Y318" s="7">
        <v>7.6660000000000004</v>
      </c>
      <c r="Z318" s="7">
        <f t="shared" si="86"/>
        <v>32.852999999999994</v>
      </c>
      <c r="AA318" s="9">
        <v>1</v>
      </c>
      <c r="AB318" s="9">
        <v>0</v>
      </c>
      <c r="AC318" s="9">
        <v>0</v>
      </c>
      <c r="AD318" s="9">
        <v>0</v>
      </c>
      <c r="AE318" s="9">
        <v>1</v>
      </c>
      <c r="AF318" s="9">
        <v>0</v>
      </c>
      <c r="AG318" s="8">
        <v>0</v>
      </c>
      <c r="AH318" s="9">
        <v>0</v>
      </c>
      <c r="AI318" s="30">
        <v>1</v>
      </c>
      <c r="AJ318" s="9">
        <v>0</v>
      </c>
      <c r="AK318" s="30">
        <v>1</v>
      </c>
      <c r="AL318" s="21">
        <v>2013</v>
      </c>
      <c r="AM318" s="23">
        <f t="shared" si="81"/>
        <v>7.6073814256397911</v>
      </c>
      <c r="AN318" s="33">
        <v>0.14000000000000001</v>
      </c>
      <c r="AO318" s="33">
        <v>0.42</v>
      </c>
      <c r="AP318" s="33">
        <v>0.33</v>
      </c>
      <c r="AQ318" s="43">
        <v>0.11</v>
      </c>
      <c r="AR318" s="42">
        <v>1</v>
      </c>
      <c r="AS318" s="18">
        <v>0</v>
      </c>
      <c r="AT318" s="39">
        <f t="shared" si="87"/>
        <v>0.43300000000000005</v>
      </c>
      <c r="AU318" s="40">
        <v>0.56699999999999995</v>
      </c>
      <c r="AV318">
        <v>1</v>
      </c>
      <c r="AW318" s="40">
        <v>0</v>
      </c>
      <c r="AX318">
        <v>0</v>
      </c>
      <c r="AY318" s="18">
        <v>1</v>
      </c>
      <c r="AZ318">
        <f t="shared" si="8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24</v>
      </c>
      <c r="DB318" s="34"/>
    </row>
    <row r="319" spans="1:106" x14ac:dyDescent="0.25">
      <c r="A319">
        <v>318</v>
      </c>
      <c r="B319">
        <v>21</v>
      </c>
      <c r="C319" s="25" t="s">
        <v>240</v>
      </c>
      <c r="D319" s="12">
        <v>5.0999999999999996</v>
      </c>
      <c r="E319" s="14">
        <v>0.1</v>
      </c>
      <c r="F319" s="7">
        <f t="shared" si="85"/>
        <v>50.999999999999993</v>
      </c>
      <c r="G319" s="7">
        <f t="shared" si="72"/>
        <v>5</v>
      </c>
      <c r="H319" s="16">
        <f t="shared" si="73"/>
        <v>5.1999999999999993</v>
      </c>
      <c r="I319" s="11">
        <f t="shared" si="74"/>
        <v>0.2975544533148119</v>
      </c>
      <c r="J319" s="33">
        <f t="shared" si="75"/>
        <v>5.8344010453884694E-3</v>
      </c>
      <c r="K319" s="33">
        <f t="shared" si="76"/>
        <v>171.39719951037708</v>
      </c>
      <c r="L319" s="33">
        <f t="shared" si="77"/>
        <v>0.29172005226942344</v>
      </c>
      <c r="M319" s="33">
        <f t="shared" si="78"/>
        <v>0.30338885436020036</v>
      </c>
      <c r="N319" s="8">
        <v>0</v>
      </c>
      <c r="O319" s="9">
        <v>1</v>
      </c>
      <c r="P319" s="8">
        <v>0</v>
      </c>
      <c r="Q319" s="9">
        <v>0</v>
      </c>
      <c r="R319" s="9">
        <v>1</v>
      </c>
      <c r="S319" s="9">
        <v>0</v>
      </c>
      <c r="T319" s="9">
        <v>0</v>
      </c>
      <c r="U319" s="8">
        <v>26789</v>
      </c>
      <c r="V319" s="9">
        <v>12</v>
      </c>
      <c r="W319" s="9">
        <f t="shared" si="79"/>
        <v>26776</v>
      </c>
      <c r="X319" s="9">
        <f t="shared" si="80"/>
        <v>12</v>
      </c>
      <c r="Y319" s="7">
        <v>7.8040000000000003</v>
      </c>
      <c r="Z319" s="7">
        <f t="shared" si="86"/>
        <v>30.79</v>
      </c>
      <c r="AA319" s="9">
        <v>1</v>
      </c>
      <c r="AB319" s="9">
        <v>0</v>
      </c>
      <c r="AC319" s="9">
        <v>0</v>
      </c>
      <c r="AD319" s="9">
        <v>0</v>
      </c>
      <c r="AE319" s="9">
        <v>1</v>
      </c>
      <c r="AF319" s="9">
        <v>0</v>
      </c>
      <c r="AG319" s="8">
        <v>0</v>
      </c>
      <c r="AH319" s="9">
        <v>0</v>
      </c>
      <c r="AI319" s="30">
        <v>1</v>
      </c>
      <c r="AJ319" s="9">
        <v>0</v>
      </c>
      <c r="AK319" s="30">
        <v>1</v>
      </c>
      <c r="AL319" s="21">
        <v>2013</v>
      </c>
      <c r="AM319" s="23">
        <f t="shared" si="81"/>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8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24</v>
      </c>
      <c r="DB319" s="34"/>
    </row>
    <row r="320" spans="1:106" x14ac:dyDescent="0.25">
      <c r="A320">
        <v>319</v>
      </c>
      <c r="B320">
        <v>21</v>
      </c>
      <c r="C320" s="25" t="s">
        <v>240</v>
      </c>
      <c r="D320" s="12">
        <v>4.9000000000000004</v>
      </c>
      <c r="E320" s="14">
        <v>0.1</v>
      </c>
      <c r="F320" s="7">
        <f t="shared" si="85"/>
        <v>49</v>
      </c>
      <c r="G320" s="7">
        <f t="shared" si="72"/>
        <v>4.8000000000000007</v>
      </c>
      <c r="H320" s="16">
        <f t="shared" si="73"/>
        <v>5</v>
      </c>
      <c r="I320" s="11">
        <f t="shared" si="74"/>
        <v>0.28952550548973338</v>
      </c>
      <c r="J320" s="33">
        <f t="shared" si="75"/>
        <v>5.9086837855047633E-3</v>
      </c>
      <c r="K320" s="33">
        <f t="shared" si="76"/>
        <v>169.24242966821294</v>
      </c>
      <c r="L320" s="33">
        <f t="shared" si="77"/>
        <v>0.28361682170422864</v>
      </c>
      <c r="M320" s="33">
        <f t="shared" si="78"/>
        <v>0.29543418927523812</v>
      </c>
      <c r="N320" s="8">
        <v>0</v>
      </c>
      <c r="O320" s="9">
        <v>1</v>
      </c>
      <c r="P320" s="8">
        <v>0</v>
      </c>
      <c r="Q320" s="9">
        <v>0</v>
      </c>
      <c r="R320" s="9">
        <v>1</v>
      </c>
      <c r="S320" s="9">
        <v>0</v>
      </c>
      <c r="T320" s="9">
        <v>0</v>
      </c>
      <c r="U320" s="8">
        <v>26255</v>
      </c>
      <c r="V320" s="9">
        <v>12</v>
      </c>
      <c r="W320" s="9">
        <f t="shared" si="79"/>
        <v>26242</v>
      </c>
      <c r="X320" s="9">
        <f t="shared" si="80"/>
        <v>12</v>
      </c>
      <c r="Y320" s="7">
        <v>7.8040000000000003</v>
      </c>
      <c r="Z320" s="7">
        <f t="shared" si="86"/>
        <v>30.79</v>
      </c>
      <c r="AA320" s="9">
        <v>1</v>
      </c>
      <c r="AB320" s="9">
        <v>0</v>
      </c>
      <c r="AC320" s="9">
        <v>0</v>
      </c>
      <c r="AD320" s="9">
        <v>0</v>
      </c>
      <c r="AE320" s="9">
        <v>1</v>
      </c>
      <c r="AF320" s="9">
        <v>0</v>
      </c>
      <c r="AG320" s="8">
        <v>0</v>
      </c>
      <c r="AH320" s="9">
        <v>0</v>
      </c>
      <c r="AI320" s="30">
        <v>1</v>
      </c>
      <c r="AJ320" s="9">
        <v>0</v>
      </c>
      <c r="AK320" s="30">
        <v>1</v>
      </c>
      <c r="AL320" s="21">
        <v>2013</v>
      </c>
      <c r="AM320" s="23">
        <f t="shared" si="81"/>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8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24</v>
      </c>
      <c r="DB320" s="34"/>
    </row>
    <row r="321" spans="1:106" x14ac:dyDescent="0.25">
      <c r="A321">
        <v>320</v>
      </c>
      <c r="B321">
        <v>21</v>
      </c>
      <c r="C321" s="25" t="s">
        <v>240</v>
      </c>
      <c r="D321" s="12">
        <v>12.2</v>
      </c>
      <c r="E321" s="14">
        <v>1.7</v>
      </c>
      <c r="F321" s="7">
        <f t="shared" si="85"/>
        <v>7.1764705882352935</v>
      </c>
      <c r="G321" s="7">
        <f t="shared" si="72"/>
        <v>10.5</v>
      </c>
      <c r="H321" s="16">
        <f t="shared" si="73"/>
        <v>13.899999999999999</v>
      </c>
      <c r="I321" s="11">
        <f t="shared" si="74"/>
        <v>4.3814795954272248E-2</v>
      </c>
      <c r="J321" s="33">
        <f t="shared" si="75"/>
        <v>6.1053404198576086E-3</v>
      </c>
      <c r="K321" s="33">
        <f t="shared" si="76"/>
        <v>163.7910306766027</v>
      </c>
      <c r="L321" s="33">
        <f t="shared" si="77"/>
        <v>3.770945553441464E-2</v>
      </c>
      <c r="M321" s="33">
        <f t="shared" si="78"/>
        <v>4.9920136374129856E-2</v>
      </c>
      <c r="N321" s="8">
        <v>0</v>
      </c>
      <c r="O321" s="9">
        <v>1</v>
      </c>
      <c r="P321" s="8">
        <v>0</v>
      </c>
      <c r="Q321" s="9">
        <v>0</v>
      </c>
      <c r="R321" s="9">
        <v>1</v>
      </c>
      <c r="S321" s="9">
        <v>0</v>
      </c>
      <c r="T321" s="9">
        <v>0</v>
      </c>
      <c r="U321" s="8">
        <v>26789</v>
      </c>
      <c r="V321" s="9">
        <v>12</v>
      </c>
      <c r="W321" s="9">
        <f t="shared" si="79"/>
        <v>26776</v>
      </c>
      <c r="X321" s="9">
        <f t="shared" si="80"/>
        <v>12</v>
      </c>
      <c r="Y321" s="7">
        <v>7.8040000000000003</v>
      </c>
      <c r="Z321" s="7">
        <f t="shared" si="86"/>
        <v>30.79</v>
      </c>
      <c r="AA321" s="9">
        <v>1</v>
      </c>
      <c r="AB321" s="9">
        <v>0</v>
      </c>
      <c r="AC321" s="9">
        <v>0</v>
      </c>
      <c r="AD321" s="9">
        <v>0</v>
      </c>
      <c r="AE321" s="9">
        <v>1</v>
      </c>
      <c r="AF321" s="9">
        <v>0</v>
      </c>
      <c r="AG321" s="8">
        <v>0</v>
      </c>
      <c r="AH321" s="9">
        <v>0</v>
      </c>
      <c r="AI321" s="30">
        <v>1</v>
      </c>
      <c r="AJ321" s="9">
        <v>0</v>
      </c>
      <c r="AK321" s="30">
        <v>1</v>
      </c>
      <c r="AL321" s="21">
        <v>2013</v>
      </c>
      <c r="AM321" s="23">
        <f t="shared" si="81"/>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8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24</v>
      </c>
      <c r="DB321" s="34"/>
    </row>
    <row r="322" spans="1:106" s="51" customFormat="1" x14ac:dyDescent="0.25">
      <c r="A322" s="51">
        <v>321</v>
      </c>
      <c r="B322" s="51">
        <v>21</v>
      </c>
      <c r="C322" s="52" t="s">
        <v>240</v>
      </c>
      <c r="D322" s="53">
        <v>15.8</v>
      </c>
      <c r="E322" s="54">
        <v>2.2000000000000002</v>
      </c>
      <c r="F322" s="55">
        <f t="shared" si="85"/>
        <v>7.1818181818181817</v>
      </c>
      <c r="G322" s="55">
        <f t="shared" ref="G322:G385" si="89">D322-E322</f>
        <v>13.600000000000001</v>
      </c>
      <c r="H322" s="56">
        <f t="shared" ref="H322:H385" si="90">D322+E322</f>
        <v>18</v>
      </c>
      <c r="I322" s="57">
        <f t="shared" ref="I322:I385" si="91">IFERROR(F322/SQRT(F322^2+W322), "X")</f>
        <v>4.4290395425208039E-2</v>
      </c>
      <c r="J322" s="58">
        <f t="shared" ref="J322:J385" si="92">IFERROR(SQRT((1-I322^2)/W322), "X")</f>
        <v>6.1670170845226384E-3</v>
      </c>
      <c r="K322" s="58">
        <f t="shared" ref="K322:K385" si="93">IFERROR(1/J322, "X")</f>
        <v>162.15294789918772</v>
      </c>
      <c r="L322" s="58">
        <f t="shared" ref="L322:L385" si="94">IFERROR(I322-J322, "X")</f>
        <v>3.8123378340685403E-2</v>
      </c>
      <c r="M322" s="58">
        <f t="shared" ref="M322:M385" si="95">IFERROR(I322+J322, "X")</f>
        <v>5.0457412509730674E-2</v>
      </c>
      <c r="N322" s="59">
        <v>0</v>
      </c>
      <c r="O322" s="60">
        <v>1</v>
      </c>
      <c r="P322" s="59">
        <v>0</v>
      </c>
      <c r="Q322" s="60">
        <v>0</v>
      </c>
      <c r="R322" s="60">
        <v>1</v>
      </c>
      <c r="S322" s="60">
        <v>0</v>
      </c>
      <c r="T322" s="60">
        <v>0</v>
      </c>
      <c r="U322" s="59">
        <v>26255</v>
      </c>
      <c r="V322" s="60">
        <v>12</v>
      </c>
      <c r="W322" s="60">
        <f t="shared" ref="W322:W385" si="96">U322-V322-1</f>
        <v>26242</v>
      </c>
      <c r="X322" s="60">
        <f t="shared" ref="X322:X385" si="97">COUNTIF(B:B,B322)</f>
        <v>12</v>
      </c>
      <c r="Y322" s="55">
        <v>7.8040000000000003</v>
      </c>
      <c r="Z322" s="55">
        <f t="shared" si="86"/>
        <v>30.79</v>
      </c>
      <c r="AA322" s="60">
        <v>1</v>
      </c>
      <c r="AB322" s="60">
        <v>0</v>
      </c>
      <c r="AC322" s="60">
        <v>0</v>
      </c>
      <c r="AD322" s="60">
        <v>0</v>
      </c>
      <c r="AE322" s="60">
        <v>1</v>
      </c>
      <c r="AF322" s="60">
        <v>0</v>
      </c>
      <c r="AG322" s="59">
        <v>0</v>
      </c>
      <c r="AH322" s="60">
        <v>0</v>
      </c>
      <c r="AI322" s="61">
        <v>1</v>
      </c>
      <c r="AJ322" s="60">
        <v>0</v>
      </c>
      <c r="AK322" s="61">
        <v>1</v>
      </c>
      <c r="AL322" s="62">
        <v>2013</v>
      </c>
      <c r="AM322" s="63">
        <f t="shared" ref="AM322:AM385" si="98">LN(AL322)</f>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8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24</v>
      </c>
      <c r="CW322" s="68"/>
      <c r="DB322" s="68"/>
    </row>
    <row r="323" spans="1:106" x14ac:dyDescent="0.25">
      <c r="A323">
        <v>322</v>
      </c>
      <c r="B323">
        <v>22</v>
      </c>
      <c r="C323" s="25" t="s">
        <v>241</v>
      </c>
      <c r="D323" s="12">
        <v>4.2</v>
      </c>
      <c r="E323" s="14">
        <f t="shared" ref="E323:E346" si="99">D323/F323</f>
        <v>0.86242299794661192</v>
      </c>
      <c r="F323" s="7">
        <v>4.87</v>
      </c>
      <c r="G323" s="7">
        <f t="shared" si="89"/>
        <v>3.3375770020533881</v>
      </c>
      <c r="H323" s="16">
        <f t="shared" si="90"/>
        <v>5.0624229979466122</v>
      </c>
      <c r="I323" s="11">
        <f t="shared" si="91"/>
        <v>0.11280776361417817</v>
      </c>
      <c r="J323" s="33">
        <f t="shared" si="92"/>
        <v>2.3163811830426727E-2</v>
      </c>
      <c r="K323" s="33">
        <f t="shared" si="93"/>
        <v>43.170787576786225</v>
      </c>
      <c r="L323" s="33">
        <f t="shared" si="94"/>
        <v>8.9643951783751452E-2</v>
      </c>
      <c r="M323" s="33">
        <f t="shared" si="95"/>
        <v>0.13597157544460489</v>
      </c>
      <c r="N323" s="8">
        <v>0</v>
      </c>
      <c r="O323" s="9">
        <v>1</v>
      </c>
      <c r="P323" s="8">
        <v>0</v>
      </c>
      <c r="Q323" s="9">
        <v>0</v>
      </c>
      <c r="R323" s="9">
        <v>1</v>
      </c>
      <c r="S323" s="9">
        <v>0</v>
      </c>
      <c r="T323" s="9">
        <v>0</v>
      </c>
      <c r="U323" s="8">
        <v>1852</v>
      </c>
      <c r="V323" s="9">
        <v>11</v>
      </c>
      <c r="W323" s="9">
        <f t="shared" si="96"/>
        <v>1840</v>
      </c>
      <c r="X323" s="9">
        <f t="shared" si="97"/>
        <v>24</v>
      </c>
      <c r="Y323" s="7">
        <v>8.02</v>
      </c>
      <c r="Z323" s="7">
        <v>23.77</v>
      </c>
      <c r="AA323" s="9">
        <v>1</v>
      </c>
      <c r="AB323" s="9">
        <v>0</v>
      </c>
      <c r="AC323" s="9">
        <v>0</v>
      </c>
      <c r="AD323" s="9">
        <v>0</v>
      </c>
      <c r="AE323" s="9">
        <v>1</v>
      </c>
      <c r="AF323" s="9">
        <v>0</v>
      </c>
      <c r="AG323" s="8">
        <v>0</v>
      </c>
      <c r="AH323" s="9">
        <v>1</v>
      </c>
      <c r="AI323" s="30">
        <v>0</v>
      </c>
      <c r="AJ323" s="9">
        <v>0</v>
      </c>
      <c r="AK323" s="30">
        <v>1</v>
      </c>
      <c r="AL323" s="21">
        <v>1989</v>
      </c>
      <c r="AM323" s="23">
        <f t="shared" si="98"/>
        <v>7.5953872788539725</v>
      </c>
      <c r="AN323" s="33">
        <f t="shared" ref="AN323:AQ326" si="100">$AT$323*AN335+$AU$323*AN327</f>
        <v>0.21501220000000001</v>
      </c>
      <c r="AO323" s="33">
        <f t="shared" si="100"/>
        <v>0.34625300000000003</v>
      </c>
      <c r="AP323" s="33">
        <f t="shared" si="100"/>
        <v>0.30737340000000002</v>
      </c>
      <c r="AQ323" s="43">
        <f t="shared" si="100"/>
        <v>0.13136140000000002</v>
      </c>
      <c r="AR323" s="42">
        <v>1</v>
      </c>
      <c r="AS323" s="18">
        <v>0</v>
      </c>
      <c r="AT323" s="39">
        <f>1-AU323</f>
        <v>0.55020000000000002</v>
      </c>
      <c r="AU323" s="40">
        <v>0.44979999999999998</v>
      </c>
      <c r="AV323">
        <v>8.5300000000000001E-2</v>
      </c>
      <c r="AW323" s="40">
        <f t="shared" ref="AW323:AW346" si="101">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11</v>
      </c>
      <c r="DB323" s="34"/>
    </row>
    <row r="324" spans="1:106" x14ac:dyDescent="0.25">
      <c r="A324">
        <v>323</v>
      </c>
      <c r="B324">
        <v>22</v>
      </c>
      <c r="C324" s="25" t="s">
        <v>241</v>
      </c>
      <c r="D324" s="12">
        <v>2</v>
      </c>
      <c r="E324" s="14">
        <f t="shared" si="99"/>
        <v>0.77821011673151752</v>
      </c>
      <c r="F324" s="7">
        <v>2.57</v>
      </c>
      <c r="G324" s="7">
        <f t="shared" si="89"/>
        <v>1.2217898832684826</v>
      </c>
      <c r="H324" s="16">
        <f t="shared" si="90"/>
        <v>2.7782101167315174</v>
      </c>
      <c r="I324" s="11">
        <f t="shared" si="91"/>
        <v>6.6565906564949873E-2</v>
      </c>
      <c r="J324" s="33">
        <f t="shared" si="92"/>
        <v>2.5901130959124465E-2</v>
      </c>
      <c r="K324" s="33">
        <f t="shared" si="93"/>
        <v>38.608352723212633</v>
      </c>
      <c r="L324" s="33">
        <f t="shared" si="94"/>
        <v>4.0664775605825404E-2</v>
      </c>
      <c r="M324" s="33">
        <f t="shared" si="95"/>
        <v>9.2467037524074341E-2</v>
      </c>
      <c r="N324" s="8">
        <v>0</v>
      </c>
      <c r="O324" s="9">
        <v>1</v>
      </c>
      <c r="P324" s="8">
        <v>0</v>
      </c>
      <c r="Q324" s="9">
        <v>0</v>
      </c>
      <c r="R324" s="9">
        <v>1</v>
      </c>
      <c r="S324" s="9">
        <v>0</v>
      </c>
      <c r="T324" s="9">
        <v>0</v>
      </c>
      <c r="U324" s="8">
        <v>1496</v>
      </c>
      <c r="V324" s="9">
        <v>11</v>
      </c>
      <c r="W324" s="9">
        <f t="shared" si="96"/>
        <v>1484</v>
      </c>
      <c r="X324" s="9">
        <f t="shared" si="97"/>
        <v>24</v>
      </c>
      <c r="Y324" s="7">
        <v>9.14</v>
      </c>
      <c r="Z324" s="7">
        <v>23.86</v>
      </c>
      <c r="AA324" s="9">
        <v>1</v>
      </c>
      <c r="AB324" s="9">
        <v>0</v>
      </c>
      <c r="AC324" s="9">
        <v>0</v>
      </c>
      <c r="AD324" s="9">
        <v>0</v>
      </c>
      <c r="AE324" s="9">
        <v>1</v>
      </c>
      <c r="AF324" s="9">
        <v>0</v>
      </c>
      <c r="AG324" s="8">
        <v>0</v>
      </c>
      <c r="AH324" s="9">
        <v>1</v>
      </c>
      <c r="AI324" s="30">
        <v>0</v>
      </c>
      <c r="AJ324" s="9">
        <v>0</v>
      </c>
      <c r="AK324" s="30">
        <v>1</v>
      </c>
      <c r="AL324" s="21">
        <v>1993</v>
      </c>
      <c r="AM324" s="23">
        <f t="shared" si="98"/>
        <v>7.5973963202127948</v>
      </c>
      <c r="AN324" s="33">
        <f t="shared" si="100"/>
        <v>0.21501220000000001</v>
      </c>
      <c r="AO324" s="33">
        <f t="shared" si="100"/>
        <v>0.34625300000000003</v>
      </c>
      <c r="AP324" s="33">
        <f t="shared" si="100"/>
        <v>0.30737340000000002</v>
      </c>
      <c r="AQ324" s="43">
        <f t="shared" si="100"/>
        <v>0.13136140000000002</v>
      </c>
      <c r="AR324" s="42">
        <v>1</v>
      </c>
      <c r="AS324" s="18">
        <v>0</v>
      </c>
      <c r="AT324" s="39">
        <f>1-AU324</f>
        <v>0.54679999999999995</v>
      </c>
      <c r="AU324" s="40">
        <v>0.45319999999999999</v>
      </c>
      <c r="AV324">
        <v>8.5300000000000001E-2</v>
      </c>
      <c r="AW324" s="40">
        <f t="shared" si="101"/>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11</v>
      </c>
      <c r="DB324" s="34"/>
    </row>
    <row r="325" spans="1:106" x14ac:dyDescent="0.25">
      <c r="A325">
        <v>324</v>
      </c>
      <c r="B325">
        <v>22</v>
      </c>
      <c r="C325" s="25" t="s">
        <v>241</v>
      </c>
      <c r="D325" s="12">
        <v>4.2</v>
      </c>
      <c r="E325" s="14">
        <f t="shared" si="99"/>
        <v>0.65015479876160998</v>
      </c>
      <c r="F325" s="7">
        <v>6.46</v>
      </c>
      <c r="G325" s="7">
        <f t="shared" si="89"/>
        <v>3.5498452012383903</v>
      </c>
      <c r="H325" s="16">
        <f t="shared" si="90"/>
        <v>4.8501547987616105</v>
      </c>
      <c r="I325" s="11">
        <f t="shared" si="91"/>
        <v>0.1858862658176324</v>
      </c>
      <c r="J325" s="33">
        <f t="shared" si="92"/>
        <v>2.8774963748859506E-2</v>
      </c>
      <c r="K325" s="33">
        <f t="shared" si="93"/>
        <v>34.752433008352092</v>
      </c>
      <c r="L325" s="33">
        <f t="shared" si="94"/>
        <v>0.15711130206877288</v>
      </c>
      <c r="M325" s="33">
        <f t="shared" si="95"/>
        <v>0.21466122956649192</v>
      </c>
      <c r="N325" s="8">
        <v>0</v>
      </c>
      <c r="O325" s="9">
        <v>1</v>
      </c>
      <c r="P325" s="8">
        <v>0</v>
      </c>
      <c r="Q325" s="9">
        <v>0</v>
      </c>
      <c r="R325" s="9">
        <v>1</v>
      </c>
      <c r="S325" s="9">
        <v>0</v>
      </c>
      <c r="T325" s="9">
        <v>0</v>
      </c>
      <c r="U325" s="8">
        <v>1178</v>
      </c>
      <c r="V325" s="9">
        <v>11</v>
      </c>
      <c r="W325" s="9">
        <f t="shared" si="96"/>
        <v>1166</v>
      </c>
      <c r="X325" s="9">
        <f t="shared" si="97"/>
        <v>24</v>
      </c>
      <c r="Y325" s="7">
        <v>9.7899999999999991</v>
      </c>
      <c r="Z325" s="7">
        <v>21.84</v>
      </c>
      <c r="AA325" s="9">
        <v>1</v>
      </c>
      <c r="AB325" s="9">
        <v>0</v>
      </c>
      <c r="AC325" s="9">
        <v>0</v>
      </c>
      <c r="AD325" s="9">
        <v>0</v>
      </c>
      <c r="AE325" s="9">
        <v>1</v>
      </c>
      <c r="AF325" s="9">
        <v>0</v>
      </c>
      <c r="AG325" s="8">
        <v>0</v>
      </c>
      <c r="AH325" s="9">
        <v>1</v>
      </c>
      <c r="AI325" s="30">
        <v>0</v>
      </c>
      <c r="AJ325" s="9">
        <v>0</v>
      </c>
      <c r="AK325" s="30">
        <v>1</v>
      </c>
      <c r="AL325" s="21">
        <v>1997</v>
      </c>
      <c r="AM325" s="23">
        <f t="shared" si="98"/>
        <v>7.5994013334158153</v>
      </c>
      <c r="AN325" s="33">
        <f t="shared" si="100"/>
        <v>8.9482000000000006E-2</v>
      </c>
      <c r="AO325" s="33">
        <f t="shared" si="100"/>
        <v>0.30738960000000004</v>
      </c>
      <c r="AP325" s="33">
        <f t="shared" si="100"/>
        <v>0.40731719999999999</v>
      </c>
      <c r="AQ325" s="43">
        <f t="shared" si="100"/>
        <v>0.19581120000000007</v>
      </c>
      <c r="AR325" s="42">
        <v>1</v>
      </c>
      <c r="AS325" s="18">
        <v>0</v>
      </c>
      <c r="AT325" s="39">
        <f>1-AU325</f>
        <v>0.56369999999999998</v>
      </c>
      <c r="AU325" s="40">
        <v>0.43630000000000002</v>
      </c>
      <c r="AV325">
        <v>8.5300000000000001E-2</v>
      </c>
      <c r="AW325" s="40">
        <f t="shared" si="101"/>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11</v>
      </c>
      <c r="DB325" s="34"/>
    </row>
    <row r="326" spans="1:106" x14ac:dyDescent="0.25">
      <c r="A326">
        <v>325</v>
      </c>
      <c r="B326">
        <v>22</v>
      </c>
      <c r="C326" s="25" t="s">
        <v>241</v>
      </c>
      <c r="D326" s="12">
        <v>6.4</v>
      </c>
      <c r="E326" s="14">
        <f t="shared" si="99"/>
        <v>0.71991001124859388</v>
      </c>
      <c r="F326" s="7">
        <v>8.89</v>
      </c>
      <c r="G326" s="7">
        <f t="shared" si="89"/>
        <v>5.6800899887514067</v>
      </c>
      <c r="H326" s="16">
        <f t="shared" si="90"/>
        <v>7.119910011248594</v>
      </c>
      <c r="I326" s="11">
        <f t="shared" si="91"/>
        <v>0.26457488505143828</v>
      </c>
      <c r="J326" s="33">
        <f t="shared" si="92"/>
        <v>2.9760954448980682E-2</v>
      </c>
      <c r="K326" s="33">
        <f t="shared" si="93"/>
        <v>33.601072899537002</v>
      </c>
      <c r="L326" s="33">
        <f t="shared" si="94"/>
        <v>0.23481393060245759</v>
      </c>
      <c r="M326" s="33">
        <f t="shared" si="95"/>
        <v>0.29433583950041897</v>
      </c>
      <c r="N326" s="8">
        <v>0</v>
      </c>
      <c r="O326" s="9">
        <v>1</v>
      </c>
      <c r="P326" s="8">
        <v>0</v>
      </c>
      <c r="Q326" s="9">
        <v>0</v>
      </c>
      <c r="R326" s="9">
        <v>1</v>
      </c>
      <c r="S326" s="9">
        <v>0</v>
      </c>
      <c r="T326" s="9">
        <v>0</v>
      </c>
      <c r="U326" s="8">
        <v>1063</v>
      </c>
      <c r="V326" s="9">
        <v>12</v>
      </c>
      <c r="W326" s="9">
        <f t="shared" si="96"/>
        <v>1050</v>
      </c>
      <c r="X326" s="9">
        <f t="shared" si="97"/>
        <v>24</v>
      </c>
      <c r="Y326" s="7">
        <v>10.45</v>
      </c>
      <c r="Z326" s="7">
        <v>22.62</v>
      </c>
      <c r="AA326" s="9">
        <v>1</v>
      </c>
      <c r="AB326" s="9">
        <v>0</v>
      </c>
      <c r="AC326" s="9">
        <v>0</v>
      </c>
      <c r="AD326" s="9">
        <v>0</v>
      </c>
      <c r="AE326" s="9">
        <v>1</v>
      </c>
      <c r="AF326" s="9">
        <v>0</v>
      </c>
      <c r="AG326" s="8">
        <v>0</v>
      </c>
      <c r="AH326" s="9">
        <v>1</v>
      </c>
      <c r="AI326" s="30">
        <v>0</v>
      </c>
      <c r="AJ326" s="9">
        <v>0</v>
      </c>
      <c r="AK326" s="30">
        <v>1</v>
      </c>
      <c r="AL326" s="21">
        <v>2000</v>
      </c>
      <c r="AM326" s="23">
        <f t="shared" si="98"/>
        <v>7.6009024595420822</v>
      </c>
      <c r="AN326" s="33">
        <f t="shared" si="100"/>
        <v>8.9482000000000006E-2</v>
      </c>
      <c r="AO326" s="33">
        <f t="shared" si="100"/>
        <v>0.30738960000000004</v>
      </c>
      <c r="AP326" s="33">
        <f t="shared" si="100"/>
        <v>0.40731719999999999</v>
      </c>
      <c r="AQ326" s="43">
        <f t="shared" si="100"/>
        <v>0.19581120000000007</v>
      </c>
      <c r="AR326" s="42">
        <v>1</v>
      </c>
      <c r="AS326" s="18">
        <v>0</v>
      </c>
      <c r="AT326" s="39">
        <f>1-AU326</f>
        <v>0.57479999999999998</v>
      </c>
      <c r="AU326" s="40">
        <v>0.42520000000000002</v>
      </c>
      <c r="AV326">
        <v>8.5300000000000001E-2</v>
      </c>
      <c r="AW326" s="40">
        <f t="shared" si="101"/>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11</v>
      </c>
      <c r="DB326" s="34"/>
    </row>
    <row r="327" spans="1:106" x14ac:dyDescent="0.25">
      <c r="A327">
        <v>326</v>
      </c>
      <c r="B327">
        <v>22</v>
      </c>
      <c r="C327" s="25" t="s">
        <v>241</v>
      </c>
      <c r="D327" s="12">
        <v>3</v>
      </c>
      <c r="E327" s="14">
        <f t="shared" si="99"/>
        <v>1.2987012987012987</v>
      </c>
      <c r="F327" s="7">
        <v>2.31</v>
      </c>
      <c r="G327" s="7">
        <f t="shared" si="89"/>
        <v>1.7012987012987013</v>
      </c>
      <c r="H327" s="16">
        <f t="shared" si="90"/>
        <v>4.2987012987012987</v>
      </c>
      <c r="I327" s="11">
        <f t="shared" si="91"/>
        <v>8.1198409743599181E-2</v>
      </c>
      <c r="J327" s="33">
        <f t="shared" si="92"/>
        <v>3.5150826728830811E-2</v>
      </c>
      <c r="K327" s="33">
        <f t="shared" si="93"/>
        <v>28.44883301648769</v>
      </c>
      <c r="L327" s="33">
        <f t="shared" si="94"/>
        <v>4.604758301476837E-2</v>
      </c>
      <c r="M327" s="33">
        <f t="shared" si="95"/>
        <v>0.11634923647242999</v>
      </c>
      <c r="N327" s="8">
        <v>0</v>
      </c>
      <c r="O327" s="9">
        <v>1</v>
      </c>
      <c r="P327" s="8">
        <v>0</v>
      </c>
      <c r="Q327" s="9">
        <v>0</v>
      </c>
      <c r="R327" s="9">
        <v>1</v>
      </c>
      <c r="S327" s="9">
        <v>0</v>
      </c>
      <c r="T327" s="9">
        <v>0</v>
      </c>
      <c r="U327" s="8">
        <v>810</v>
      </c>
      <c r="V327" s="9">
        <v>5</v>
      </c>
      <c r="W327" s="9">
        <f t="shared" si="96"/>
        <v>804</v>
      </c>
      <c r="X327" s="9">
        <f t="shared" si="97"/>
        <v>24</v>
      </c>
      <c r="Y327" s="7">
        <v>8.02</v>
      </c>
      <c r="Z327" s="7">
        <v>23.77</v>
      </c>
      <c r="AA327" s="9">
        <v>1</v>
      </c>
      <c r="AB327" s="9">
        <v>0</v>
      </c>
      <c r="AC327" s="9">
        <v>0</v>
      </c>
      <c r="AD327" s="9">
        <v>0</v>
      </c>
      <c r="AE327" s="9">
        <v>1</v>
      </c>
      <c r="AF327" s="9">
        <v>0</v>
      </c>
      <c r="AG327" s="8">
        <v>0</v>
      </c>
      <c r="AH327" s="9">
        <v>1</v>
      </c>
      <c r="AI327" s="30">
        <v>0</v>
      </c>
      <c r="AJ327" s="9">
        <v>0</v>
      </c>
      <c r="AK327" s="30">
        <v>1</v>
      </c>
      <c r="AL327" s="21">
        <v>1989</v>
      </c>
      <c r="AM327" s="23">
        <f t="shared" si="98"/>
        <v>7.5953872788539725</v>
      </c>
      <c r="AN327" s="33">
        <v>0.31900000000000001</v>
      </c>
      <c r="AO327" s="33">
        <v>0.33800000000000002</v>
      </c>
      <c r="AP327" s="33">
        <v>0.24299999999999999</v>
      </c>
      <c r="AQ327" s="43">
        <f t="shared" ref="AQ327:AQ342" si="102">1-SUM(AN327:AP327)</f>
        <v>9.9999999999999978E-2</v>
      </c>
      <c r="AR327" s="42">
        <v>1</v>
      </c>
      <c r="AS327" s="18">
        <v>0</v>
      </c>
      <c r="AT327">
        <v>0</v>
      </c>
      <c r="AU327" s="40">
        <v>1</v>
      </c>
      <c r="AV327">
        <v>8.5300000000000001E-2</v>
      </c>
      <c r="AW327" s="40">
        <f t="shared" si="101"/>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11</v>
      </c>
      <c r="DB327" s="34"/>
    </row>
    <row r="328" spans="1:106" x14ac:dyDescent="0.25">
      <c r="A328">
        <v>327</v>
      </c>
      <c r="B328">
        <v>22</v>
      </c>
      <c r="C328" s="25" t="s">
        <v>241</v>
      </c>
      <c r="D328" s="12">
        <v>2.8</v>
      </c>
      <c r="E328" s="14">
        <f t="shared" si="99"/>
        <v>3.2558139534883721</v>
      </c>
      <c r="F328" s="7">
        <v>0.86</v>
      </c>
      <c r="G328" s="7">
        <f t="shared" si="89"/>
        <v>-0.45581395348837228</v>
      </c>
      <c r="H328" s="16">
        <f t="shared" si="90"/>
        <v>6.0558139534883715</v>
      </c>
      <c r="I328" s="11">
        <f t="shared" si="91"/>
        <v>2.3486928885310506E-2</v>
      </c>
      <c r="J328" s="33">
        <f t="shared" si="92"/>
        <v>2.7310382424779657E-2</v>
      </c>
      <c r="K328" s="33">
        <f t="shared" si="93"/>
        <v>36.616111208046114</v>
      </c>
      <c r="L328" s="33">
        <f t="shared" si="94"/>
        <v>-3.8234535394691509E-3</v>
      </c>
      <c r="M328" s="33">
        <f t="shared" si="95"/>
        <v>5.079731131009016E-2</v>
      </c>
      <c r="N328" s="8">
        <v>0</v>
      </c>
      <c r="O328" s="9">
        <v>1</v>
      </c>
      <c r="P328" s="8">
        <v>0</v>
      </c>
      <c r="Q328" s="9">
        <v>0</v>
      </c>
      <c r="R328" s="9">
        <v>1</v>
      </c>
      <c r="S328" s="9">
        <v>0</v>
      </c>
      <c r="T328" s="9">
        <v>0</v>
      </c>
      <c r="U328" s="8">
        <v>1351</v>
      </c>
      <c r="V328" s="9">
        <v>10</v>
      </c>
      <c r="W328" s="9">
        <f t="shared" si="96"/>
        <v>1340</v>
      </c>
      <c r="X328" s="9">
        <f t="shared" si="97"/>
        <v>24</v>
      </c>
      <c r="Y328" s="7">
        <v>9.14</v>
      </c>
      <c r="Z328" s="7">
        <v>23.86</v>
      </c>
      <c r="AA328" s="9">
        <v>1</v>
      </c>
      <c r="AB328" s="9">
        <v>0</v>
      </c>
      <c r="AC328" s="9">
        <v>0</v>
      </c>
      <c r="AD328" s="9">
        <v>0</v>
      </c>
      <c r="AE328" s="9">
        <v>1</v>
      </c>
      <c r="AF328" s="9">
        <v>0</v>
      </c>
      <c r="AG328" s="8">
        <v>0</v>
      </c>
      <c r="AH328" s="9">
        <v>1</v>
      </c>
      <c r="AI328" s="30">
        <v>0</v>
      </c>
      <c r="AJ328" s="9">
        <v>0</v>
      </c>
      <c r="AK328" s="30">
        <v>1</v>
      </c>
      <c r="AL328" s="21">
        <v>1993</v>
      </c>
      <c r="AM328" s="23">
        <f t="shared" si="98"/>
        <v>7.5973963202127948</v>
      </c>
      <c r="AN328" s="33">
        <v>0.31900000000000001</v>
      </c>
      <c r="AO328" s="33">
        <v>0.33800000000000002</v>
      </c>
      <c r="AP328" s="33">
        <v>0.24299999999999999</v>
      </c>
      <c r="AQ328" s="43">
        <f t="shared" si="102"/>
        <v>9.9999999999999978E-2</v>
      </c>
      <c r="AR328" s="42">
        <v>1</v>
      </c>
      <c r="AS328" s="18">
        <v>0</v>
      </c>
      <c r="AT328">
        <v>0</v>
      </c>
      <c r="AU328" s="40">
        <v>1</v>
      </c>
      <c r="AV328">
        <v>8.5300000000000001E-2</v>
      </c>
      <c r="AW328" s="40">
        <f t="shared" si="101"/>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11</v>
      </c>
      <c r="DB328" s="34"/>
    </row>
    <row r="329" spans="1:106" x14ac:dyDescent="0.25">
      <c r="A329">
        <v>328</v>
      </c>
      <c r="B329">
        <v>22</v>
      </c>
      <c r="C329" s="25" t="s">
        <v>241</v>
      </c>
      <c r="D329" s="12">
        <v>1.8</v>
      </c>
      <c r="E329" s="14">
        <f t="shared" si="99"/>
        <v>0.89552238805970164</v>
      </c>
      <c r="F329" s="7">
        <v>2.0099999999999998</v>
      </c>
      <c r="G329" s="7">
        <f t="shared" si="89"/>
        <v>0.90447761194029841</v>
      </c>
      <c r="H329" s="16">
        <f t="shared" si="90"/>
        <v>2.6955223880597017</v>
      </c>
      <c r="I329" s="11">
        <f t="shared" si="91"/>
        <v>7.9079937896204405E-2</v>
      </c>
      <c r="J329" s="33">
        <f t="shared" si="92"/>
        <v>3.9343252684678816E-2</v>
      </c>
      <c r="K329" s="33">
        <f t="shared" si="93"/>
        <v>25.417318898735168</v>
      </c>
      <c r="L329" s="33">
        <f t="shared" si="94"/>
        <v>3.9736685211525589E-2</v>
      </c>
      <c r="M329" s="33">
        <f t="shared" si="95"/>
        <v>0.11842319058088321</v>
      </c>
      <c r="N329" s="8">
        <v>0</v>
      </c>
      <c r="O329" s="9">
        <v>1</v>
      </c>
      <c r="P329" s="8">
        <v>0</v>
      </c>
      <c r="Q329" s="9">
        <v>0</v>
      </c>
      <c r="R329" s="9">
        <v>1</v>
      </c>
      <c r="S329" s="9">
        <v>0</v>
      </c>
      <c r="T329" s="9">
        <v>0</v>
      </c>
      <c r="U329" s="8">
        <v>648</v>
      </c>
      <c r="V329" s="9">
        <v>5</v>
      </c>
      <c r="W329" s="9">
        <f t="shared" si="96"/>
        <v>642</v>
      </c>
      <c r="X329" s="9">
        <f t="shared" si="97"/>
        <v>24</v>
      </c>
      <c r="Y329" s="7">
        <v>9.7899999999999991</v>
      </c>
      <c r="Z329" s="7">
        <v>21.84</v>
      </c>
      <c r="AA329" s="9">
        <v>1</v>
      </c>
      <c r="AB329" s="9">
        <v>0</v>
      </c>
      <c r="AC329" s="9">
        <v>0</v>
      </c>
      <c r="AD329" s="9">
        <v>0</v>
      </c>
      <c r="AE329" s="9">
        <v>1</v>
      </c>
      <c r="AF329" s="9">
        <v>0</v>
      </c>
      <c r="AG329" s="8">
        <v>0</v>
      </c>
      <c r="AH329" s="9">
        <v>1</v>
      </c>
      <c r="AI329" s="30">
        <v>0</v>
      </c>
      <c r="AJ329" s="9">
        <v>0</v>
      </c>
      <c r="AK329" s="30">
        <v>1</v>
      </c>
      <c r="AL329" s="21">
        <v>1997</v>
      </c>
      <c r="AM329" s="23">
        <f t="shared" si="98"/>
        <v>7.5994013334158153</v>
      </c>
      <c r="AN329" s="33">
        <v>0.13900000000000001</v>
      </c>
      <c r="AO329" s="33">
        <v>0.33600000000000002</v>
      </c>
      <c r="AP329" s="33">
        <v>0.36</v>
      </c>
      <c r="AQ329" s="43">
        <f t="shared" si="102"/>
        <v>0.16500000000000004</v>
      </c>
      <c r="AR329" s="42">
        <v>1</v>
      </c>
      <c r="AS329" s="18">
        <v>0</v>
      </c>
      <c r="AT329">
        <v>0</v>
      </c>
      <c r="AU329" s="40">
        <v>1</v>
      </c>
      <c r="AV329">
        <v>8.5300000000000001E-2</v>
      </c>
      <c r="AW329" s="40">
        <f t="shared" si="101"/>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11</v>
      </c>
      <c r="DB329" s="34"/>
    </row>
    <row r="330" spans="1:106" x14ac:dyDescent="0.25">
      <c r="A330">
        <v>329</v>
      </c>
      <c r="B330">
        <v>22</v>
      </c>
      <c r="C330" s="25" t="s">
        <v>241</v>
      </c>
      <c r="D330" s="12">
        <v>-0.3</v>
      </c>
      <c r="E330" s="14">
        <f t="shared" si="99"/>
        <v>2.9999999999999996</v>
      </c>
      <c r="F330" s="7">
        <v>-0.1</v>
      </c>
      <c r="G330" s="7">
        <f t="shared" si="89"/>
        <v>-3.2999999999999994</v>
      </c>
      <c r="H330" s="16">
        <f t="shared" si="90"/>
        <v>2.6999999999999997</v>
      </c>
      <c r="I330" s="11">
        <f t="shared" si="91"/>
        <v>-3.2124462549688771E-3</v>
      </c>
      <c r="J330" s="33">
        <f t="shared" si="92"/>
        <v>3.2124462549688766E-2</v>
      </c>
      <c r="K330" s="33">
        <f t="shared" si="93"/>
        <v>31.128925455273908</v>
      </c>
      <c r="L330" s="33">
        <f t="shared" si="94"/>
        <v>-3.5336908804657646E-2</v>
      </c>
      <c r="M330" s="33">
        <f t="shared" si="95"/>
        <v>2.891201629471989E-2</v>
      </c>
      <c r="N330" s="8">
        <v>0</v>
      </c>
      <c r="O330" s="9">
        <v>1</v>
      </c>
      <c r="P330" s="8">
        <v>0</v>
      </c>
      <c r="Q330" s="9">
        <v>0</v>
      </c>
      <c r="R330" s="9">
        <v>1</v>
      </c>
      <c r="S330" s="9">
        <v>0</v>
      </c>
      <c r="T330" s="9">
        <v>0</v>
      </c>
      <c r="U330" s="8">
        <v>980</v>
      </c>
      <c r="V330" s="9">
        <v>10</v>
      </c>
      <c r="W330" s="9">
        <f t="shared" si="96"/>
        <v>969</v>
      </c>
      <c r="X330" s="9">
        <f t="shared" si="97"/>
        <v>24</v>
      </c>
      <c r="Y330" s="7">
        <v>10.45</v>
      </c>
      <c r="Z330" s="7">
        <v>22.62</v>
      </c>
      <c r="AA330" s="9">
        <v>1</v>
      </c>
      <c r="AB330" s="9">
        <v>0</v>
      </c>
      <c r="AC330" s="9">
        <v>0</v>
      </c>
      <c r="AD330" s="9">
        <v>0</v>
      </c>
      <c r="AE330" s="9">
        <v>1</v>
      </c>
      <c r="AF330" s="9">
        <v>0</v>
      </c>
      <c r="AG330" s="8">
        <v>0</v>
      </c>
      <c r="AH330" s="9">
        <v>1</v>
      </c>
      <c r="AI330" s="30">
        <v>0</v>
      </c>
      <c r="AJ330" s="9">
        <v>0</v>
      </c>
      <c r="AK330" s="30">
        <v>1</v>
      </c>
      <c r="AL330" s="21">
        <v>2000</v>
      </c>
      <c r="AM330" s="23">
        <f t="shared" si="98"/>
        <v>7.6009024595420822</v>
      </c>
      <c r="AN330" s="33">
        <v>0.13900000000000001</v>
      </c>
      <c r="AO330" s="33">
        <v>0.33600000000000002</v>
      </c>
      <c r="AP330" s="33">
        <v>0.36</v>
      </c>
      <c r="AQ330" s="43">
        <f t="shared" si="102"/>
        <v>0.16500000000000004</v>
      </c>
      <c r="AR330" s="42">
        <v>1</v>
      </c>
      <c r="AS330" s="18">
        <v>0</v>
      </c>
      <c r="AT330">
        <v>0</v>
      </c>
      <c r="AU330" s="40">
        <v>1</v>
      </c>
      <c r="AV330">
        <v>8.5300000000000001E-2</v>
      </c>
      <c r="AW330" s="40">
        <f t="shared" si="101"/>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11</v>
      </c>
      <c r="DB330" s="34"/>
    </row>
    <row r="331" spans="1:106" x14ac:dyDescent="0.25">
      <c r="A331">
        <v>330</v>
      </c>
      <c r="B331">
        <v>22</v>
      </c>
      <c r="C331" s="25" t="s">
        <v>241</v>
      </c>
      <c r="D331" s="12">
        <v>4.5999999999999996</v>
      </c>
      <c r="E331" s="14">
        <f t="shared" si="99"/>
        <v>1.0772833723653397</v>
      </c>
      <c r="F331" s="7">
        <v>4.2699999999999996</v>
      </c>
      <c r="G331" s="7">
        <f t="shared" si="89"/>
        <v>3.5227166276346598</v>
      </c>
      <c r="H331" s="16">
        <f t="shared" si="90"/>
        <v>5.6772833723653395</v>
      </c>
      <c r="I331" s="11">
        <f t="shared" si="91"/>
        <v>0.18613964303252781</v>
      </c>
      <c r="J331" s="33">
        <f t="shared" si="92"/>
        <v>4.3592422255861317E-2</v>
      </c>
      <c r="K331" s="33">
        <f t="shared" si="93"/>
        <v>22.939766781726444</v>
      </c>
      <c r="L331" s="33">
        <f t="shared" si="94"/>
        <v>0.14254722077666648</v>
      </c>
      <c r="M331" s="33">
        <f t="shared" si="95"/>
        <v>0.22973206528838913</v>
      </c>
      <c r="N331" s="8">
        <v>0</v>
      </c>
      <c r="O331" s="9">
        <v>1</v>
      </c>
      <c r="P331" s="8">
        <v>0</v>
      </c>
      <c r="Q331" s="9">
        <v>0</v>
      </c>
      <c r="R331" s="9">
        <v>1</v>
      </c>
      <c r="S331" s="9">
        <v>0</v>
      </c>
      <c r="T331" s="9">
        <v>0</v>
      </c>
      <c r="U331" s="8">
        <v>514</v>
      </c>
      <c r="V331" s="9">
        <v>5</v>
      </c>
      <c r="W331" s="9">
        <f t="shared" si="96"/>
        <v>508</v>
      </c>
      <c r="X331" s="9">
        <f t="shared" si="97"/>
        <v>24</v>
      </c>
      <c r="Y331" s="7">
        <v>8.02</v>
      </c>
      <c r="Z331" s="7">
        <v>23.77</v>
      </c>
      <c r="AA331" s="9">
        <v>1</v>
      </c>
      <c r="AB331" s="9">
        <v>0</v>
      </c>
      <c r="AC331" s="9">
        <v>0</v>
      </c>
      <c r="AD331" s="9">
        <v>0</v>
      </c>
      <c r="AE331" s="9">
        <v>1</v>
      </c>
      <c r="AF331" s="9">
        <v>0</v>
      </c>
      <c r="AG331" s="8">
        <v>0</v>
      </c>
      <c r="AH331" s="9">
        <v>1</v>
      </c>
      <c r="AI331" s="30">
        <v>0</v>
      </c>
      <c r="AJ331" s="9">
        <v>0</v>
      </c>
      <c r="AK331" s="30">
        <v>1</v>
      </c>
      <c r="AL331" s="21">
        <v>1989</v>
      </c>
      <c r="AM331" s="23">
        <f t="shared" si="98"/>
        <v>7.5953872788539725</v>
      </c>
      <c r="AN331" s="33">
        <v>0.31900000000000001</v>
      </c>
      <c r="AO331" s="33">
        <v>0.33800000000000002</v>
      </c>
      <c r="AP331" s="33">
        <v>0.24299999999999999</v>
      </c>
      <c r="AQ331" s="43">
        <f t="shared" si="102"/>
        <v>9.9999999999999978E-2</v>
      </c>
      <c r="AR331" s="42">
        <v>1</v>
      </c>
      <c r="AS331" s="18">
        <v>0</v>
      </c>
      <c r="AT331">
        <v>0</v>
      </c>
      <c r="AU331" s="40">
        <v>1</v>
      </c>
      <c r="AV331">
        <v>8.5300000000000001E-2</v>
      </c>
      <c r="AW331" s="40">
        <f t="shared" si="101"/>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11</v>
      </c>
      <c r="DB331" s="34"/>
    </row>
    <row r="332" spans="1:106" x14ac:dyDescent="0.25">
      <c r="A332">
        <v>331</v>
      </c>
      <c r="B332">
        <v>22</v>
      </c>
      <c r="C332" s="25" t="s">
        <v>241</v>
      </c>
      <c r="D332" s="12">
        <v>3.9</v>
      </c>
      <c r="E332" s="14">
        <f t="shared" si="99"/>
        <v>1.7647058823529411</v>
      </c>
      <c r="F332" s="7">
        <v>2.21</v>
      </c>
      <c r="G332" s="7">
        <f t="shared" si="89"/>
        <v>2.1352941176470588</v>
      </c>
      <c r="H332" s="16">
        <f t="shared" si="90"/>
        <v>5.6647058823529406</v>
      </c>
      <c r="I332" s="11">
        <f t="shared" si="91"/>
        <v>7.2434333358581224E-2</v>
      </c>
      <c r="J332" s="33">
        <f t="shared" si="92"/>
        <v>3.2775716451846716E-2</v>
      </c>
      <c r="K332" s="33">
        <f t="shared" si="93"/>
        <v>30.510393311132514</v>
      </c>
      <c r="L332" s="33">
        <f t="shared" si="94"/>
        <v>3.9658616906734508E-2</v>
      </c>
      <c r="M332" s="33">
        <f t="shared" si="95"/>
        <v>0.10521004981042795</v>
      </c>
      <c r="N332" s="8">
        <v>0</v>
      </c>
      <c r="O332" s="9">
        <v>1</v>
      </c>
      <c r="P332" s="8">
        <v>0</v>
      </c>
      <c r="Q332" s="9">
        <v>0</v>
      </c>
      <c r="R332" s="9">
        <v>1</v>
      </c>
      <c r="S332" s="9">
        <v>0</v>
      </c>
      <c r="T332" s="9">
        <v>0</v>
      </c>
      <c r="U332" s="8">
        <v>937</v>
      </c>
      <c r="V332" s="9">
        <v>10</v>
      </c>
      <c r="W332" s="9">
        <f t="shared" si="96"/>
        <v>926</v>
      </c>
      <c r="X332" s="9">
        <f t="shared" si="97"/>
        <v>24</v>
      </c>
      <c r="Y332" s="7">
        <v>9.14</v>
      </c>
      <c r="Z332" s="7">
        <v>23.86</v>
      </c>
      <c r="AA332" s="9">
        <v>1</v>
      </c>
      <c r="AB332" s="9">
        <v>0</v>
      </c>
      <c r="AC332" s="9">
        <v>0</v>
      </c>
      <c r="AD332" s="9">
        <v>0</v>
      </c>
      <c r="AE332" s="9">
        <v>1</v>
      </c>
      <c r="AF332" s="9">
        <v>0</v>
      </c>
      <c r="AG332" s="8">
        <v>0</v>
      </c>
      <c r="AH332" s="9">
        <v>1</v>
      </c>
      <c r="AI332" s="30">
        <v>0</v>
      </c>
      <c r="AJ332" s="9">
        <v>0</v>
      </c>
      <c r="AK332" s="30">
        <v>1</v>
      </c>
      <c r="AL332" s="21">
        <v>1993</v>
      </c>
      <c r="AM332" s="23">
        <f t="shared" si="98"/>
        <v>7.5973963202127948</v>
      </c>
      <c r="AN332" s="33">
        <v>0.31900000000000001</v>
      </c>
      <c r="AO332" s="33">
        <v>0.33800000000000002</v>
      </c>
      <c r="AP332" s="33">
        <v>0.24299999999999999</v>
      </c>
      <c r="AQ332" s="43">
        <f t="shared" si="102"/>
        <v>9.9999999999999978E-2</v>
      </c>
      <c r="AR332" s="42">
        <v>1</v>
      </c>
      <c r="AS332" s="18">
        <v>0</v>
      </c>
      <c r="AT332">
        <v>0</v>
      </c>
      <c r="AU332" s="40">
        <v>1</v>
      </c>
      <c r="AV332">
        <v>8.5300000000000001E-2</v>
      </c>
      <c r="AW332" s="40">
        <f t="shared" si="101"/>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11</v>
      </c>
      <c r="DB332" s="34"/>
    </row>
    <row r="333" spans="1:106" x14ac:dyDescent="0.25">
      <c r="A333">
        <v>332</v>
      </c>
      <c r="B333">
        <v>22</v>
      </c>
      <c r="C333" s="25" t="s">
        <v>241</v>
      </c>
      <c r="D333" s="12">
        <v>5.0999999999999996</v>
      </c>
      <c r="E333" s="14">
        <f t="shared" si="99"/>
        <v>1.2718204488778055</v>
      </c>
      <c r="F333" s="7">
        <v>4.01</v>
      </c>
      <c r="G333" s="7">
        <f t="shared" si="89"/>
        <v>3.8281795511221941</v>
      </c>
      <c r="H333" s="16">
        <f t="shared" si="90"/>
        <v>6.3718204488778056</v>
      </c>
      <c r="I333" s="11">
        <f t="shared" si="91"/>
        <v>0.1865459135354694</v>
      </c>
      <c r="J333" s="33">
        <f t="shared" si="92"/>
        <v>4.6520177939019809E-2</v>
      </c>
      <c r="K333" s="33">
        <f t="shared" si="93"/>
        <v>21.496048474080069</v>
      </c>
      <c r="L333" s="33">
        <f t="shared" si="94"/>
        <v>0.1400257355964496</v>
      </c>
      <c r="M333" s="33">
        <f t="shared" si="95"/>
        <v>0.2330660914744892</v>
      </c>
      <c r="N333" s="8">
        <v>0</v>
      </c>
      <c r="O333" s="9">
        <v>1</v>
      </c>
      <c r="P333" s="8">
        <v>0</v>
      </c>
      <c r="Q333" s="9">
        <v>0</v>
      </c>
      <c r="R333" s="9">
        <v>1</v>
      </c>
      <c r="S333" s="9">
        <v>0</v>
      </c>
      <c r="T333" s="9">
        <v>0</v>
      </c>
      <c r="U333" s="8">
        <v>452</v>
      </c>
      <c r="V333" s="9">
        <v>5</v>
      </c>
      <c r="W333" s="9">
        <f t="shared" si="96"/>
        <v>446</v>
      </c>
      <c r="X333" s="9">
        <f t="shared" si="97"/>
        <v>24</v>
      </c>
      <c r="Y333" s="7">
        <v>9.7899999999999991</v>
      </c>
      <c r="Z333" s="7">
        <v>21.84</v>
      </c>
      <c r="AA333" s="9">
        <v>1</v>
      </c>
      <c r="AB333" s="9">
        <v>0</v>
      </c>
      <c r="AC333" s="9">
        <v>0</v>
      </c>
      <c r="AD333" s="9">
        <v>0</v>
      </c>
      <c r="AE333" s="9">
        <v>1</v>
      </c>
      <c r="AF333" s="9">
        <v>0</v>
      </c>
      <c r="AG333" s="8">
        <v>0</v>
      </c>
      <c r="AH333" s="9">
        <v>1</v>
      </c>
      <c r="AI333" s="30">
        <v>0</v>
      </c>
      <c r="AJ333" s="9">
        <v>0</v>
      </c>
      <c r="AK333" s="30">
        <v>1</v>
      </c>
      <c r="AL333" s="21">
        <v>1997</v>
      </c>
      <c r="AM333" s="23">
        <f t="shared" si="98"/>
        <v>7.5994013334158153</v>
      </c>
      <c r="AN333" s="33">
        <v>0.13900000000000001</v>
      </c>
      <c r="AO333" s="33">
        <v>0.33600000000000002</v>
      </c>
      <c r="AP333" s="33">
        <v>0.36</v>
      </c>
      <c r="AQ333" s="43">
        <f t="shared" si="102"/>
        <v>0.16500000000000004</v>
      </c>
      <c r="AR333" s="42">
        <v>1</v>
      </c>
      <c r="AS333" s="18">
        <v>0</v>
      </c>
      <c r="AT333">
        <v>0</v>
      </c>
      <c r="AU333" s="40">
        <v>1</v>
      </c>
      <c r="AV333">
        <v>8.5300000000000001E-2</v>
      </c>
      <c r="AW333" s="40">
        <f t="shared" si="101"/>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11</v>
      </c>
      <c r="DB333" s="34"/>
    </row>
    <row r="334" spans="1:106" x14ac:dyDescent="0.25">
      <c r="A334">
        <v>333</v>
      </c>
      <c r="B334">
        <v>22</v>
      </c>
      <c r="C334" s="25" t="s">
        <v>241</v>
      </c>
      <c r="D334" s="12">
        <v>5.5</v>
      </c>
      <c r="E334" s="14">
        <f t="shared" si="99"/>
        <v>2.4336283185840708</v>
      </c>
      <c r="F334" s="7">
        <v>2.2599999999999998</v>
      </c>
      <c r="G334" s="7">
        <f t="shared" si="89"/>
        <v>3.0663716814159292</v>
      </c>
      <c r="H334" s="16">
        <f t="shared" si="90"/>
        <v>7.9336283185840708</v>
      </c>
      <c r="I334" s="11">
        <f t="shared" si="91"/>
        <v>8.1704726615308823E-2</v>
      </c>
      <c r="J334" s="33">
        <f t="shared" si="92"/>
        <v>3.6152533900579126E-2</v>
      </c>
      <c r="K334" s="33">
        <f t="shared" si="93"/>
        <v>27.66057844659074</v>
      </c>
      <c r="L334" s="33">
        <f t="shared" si="94"/>
        <v>4.5552192714729697E-2</v>
      </c>
      <c r="M334" s="33">
        <f t="shared" si="95"/>
        <v>0.11785726051588795</v>
      </c>
      <c r="N334" s="8">
        <v>0</v>
      </c>
      <c r="O334" s="9">
        <v>1</v>
      </c>
      <c r="P334" s="8">
        <v>0</v>
      </c>
      <c r="Q334" s="9">
        <v>0</v>
      </c>
      <c r="R334" s="9">
        <v>1</v>
      </c>
      <c r="S334" s="9">
        <v>0</v>
      </c>
      <c r="T334" s="9">
        <v>0</v>
      </c>
      <c r="U334" s="8">
        <v>771</v>
      </c>
      <c r="V334" s="9">
        <v>10</v>
      </c>
      <c r="W334" s="9">
        <f t="shared" si="96"/>
        <v>760</v>
      </c>
      <c r="X334" s="9">
        <f t="shared" si="97"/>
        <v>24</v>
      </c>
      <c r="Y334" s="7">
        <v>10.45</v>
      </c>
      <c r="Z334" s="7">
        <v>22.62</v>
      </c>
      <c r="AA334" s="9">
        <v>1</v>
      </c>
      <c r="AB334" s="9">
        <v>0</v>
      </c>
      <c r="AC334" s="9">
        <v>0</v>
      </c>
      <c r="AD334" s="9">
        <v>0</v>
      </c>
      <c r="AE334" s="9">
        <v>1</v>
      </c>
      <c r="AF334" s="9">
        <v>0</v>
      </c>
      <c r="AG334" s="8">
        <v>0</v>
      </c>
      <c r="AH334" s="9">
        <v>1</v>
      </c>
      <c r="AI334" s="30">
        <v>0</v>
      </c>
      <c r="AJ334" s="9">
        <v>0</v>
      </c>
      <c r="AK334" s="30">
        <v>1</v>
      </c>
      <c r="AL334" s="21">
        <v>2000</v>
      </c>
      <c r="AM334" s="23">
        <f t="shared" si="98"/>
        <v>7.6009024595420822</v>
      </c>
      <c r="AN334" s="33">
        <v>0.13900000000000001</v>
      </c>
      <c r="AO334" s="33">
        <v>0.33600000000000002</v>
      </c>
      <c r="AP334" s="33">
        <v>0.36</v>
      </c>
      <c r="AQ334" s="43">
        <f t="shared" si="102"/>
        <v>0.16500000000000004</v>
      </c>
      <c r="AR334" s="42">
        <v>1</v>
      </c>
      <c r="AS334" s="18">
        <v>0</v>
      </c>
      <c r="AT334">
        <v>0</v>
      </c>
      <c r="AU334" s="40">
        <v>1</v>
      </c>
      <c r="AV334">
        <v>8.5300000000000001E-2</v>
      </c>
      <c r="AW334" s="40">
        <f t="shared" si="101"/>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11</v>
      </c>
      <c r="DB334" s="34"/>
    </row>
    <row r="335" spans="1:106" x14ac:dyDescent="0.25">
      <c r="A335">
        <v>334</v>
      </c>
      <c r="B335">
        <v>22</v>
      </c>
      <c r="C335" s="25" t="s">
        <v>241</v>
      </c>
      <c r="D335" s="12">
        <v>2.4</v>
      </c>
      <c r="E335" s="14">
        <f t="shared" si="99"/>
        <v>1.1162790697674418</v>
      </c>
      <c r="F335" s="7">
        <v>2.15</v>
      </c>
      <c r="G335" s="7">
        <f t="shared" si="89"/>
        <v>1.2837209302325581</v>
      </c>
      <c r="H335" s="16">
        <f t="shared" si="90"/>
        <v>3.5162790697674415</v>
      </c>
      <c r="I335" s="11">
        <f t="shared" si="91"/>
        <v>6.7397705177461117E-2</v>
      </c>
      <c r="J335" s="33">
        <f t="shared" si="92"/>
        <v>3.1347769849981923E-2</v>
      </c>
      <c r="K335" s="33">
        <f t="shared" si="93"/>
        <v>31.900195924163221</v>
      </c>
      <c r="L335" s="33">
        <f t="shared" si="94"/>
        <v>3.6049935327479195E-2</v>
      </c>
      <c r="M335" s="33">
        <f t="shared" si="95"/>
        <v>9.8745475027443047E-2</v>
      </c>
      <c r="N335" s="8">
        <v>0</v>
      </c>
      <c r="O335" s="9">
        <v>1</v>
      </c>
      <c r="P335" s="8">
        <v>0</v>
      </c>
      <c r="Q335" s="9">
        <v>0</v>
      </c>
      <c r="R335" s="9">
        <v>1</v>
      </c>
      <c r="S335" s="9">
        <v>0</v>
      </c>
      <c r="T335" s="9">
        <v>0</v>
      </c>
      <c r="U335" s="8">
        <v>1019</v>
      </c>
      <c r="V335" s="9">
        <v>5</v>
      </c>
      <c r="W335" s="9">
        <f t="shared" si="96"/>
        <v>1013</v>
      </c>
      <c r="X335" s="9">
        <f t="shared" si="97"/>
        <v>24</v>
      </c>
      <c r="Y335" s="7">
        <v>8.02</v>
      </c>
      <c r="Z335" s="7">
        <v>23.77</v>
      </c>
      <c r="AA335" s="9">
        <v>1</v>
      </c>
      <c r="AB335" s="9">
        <v>0</v>
      </c>
      <c r="AC335" s="9">
        <v>0</v>
      </c>
      <c r="AD335" s="9">
        <v>0</v>
      </c>
      <c r="AE335" s="9">
        <v>1</v>
      </c>
      <c r="AF335" s="9">
        <v>0</v>
      </c>
      <c r="AG335" s="8">
        <v>0</v>
      </c>
      <c r="AH335" s="9">
        <v>1</v>
      </c>
      <c r="AI335" s="30">
        <v>0</v>
      </c>
      <c r="AJ335" s="9">
        <v>0</v>
      </c>
      <c r="AK335" s="30">
        <v>1</v>
      </c>
      <c r="AL335" s="21">
        <v>1989</v>
      </c>
      <c r="AM335" s="23">
        <f t="shared" si="98"/>
        <v>7.5953872788539725</v>
      </c>
      <c r="AN335" s="33">
        <v>0.13</v>
      </c>
      <c r="AO335" s="33">
        <v>0.35299999999999998</v>
      </c>
      <c r="AP335" s="33">
        <v>0.36</v>
      </c>
      <c r="AQ335" s="43">
        <f t="shared" si="102"/>
        <v>0.15700000000000003</v>
      </c>
      <c r="AR335" s="42">
        <v>1</v>
      </c>
      <c r="AS335" s="18">
        <v>0</v>
      </c>
      <c r="AT335">
        <v>1</v>
      </c>
      <c r="AU335" s="40">
        <v>0</v>
      </c>
      <c r="AV335">
        <v>8.5300000000000001E-2</v>
      </c>
      <c r="AW335" s="40">
        <f t="shared" si="101"/>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11</v>
      </c>
      <c r="DB335" s="34"/>
    </row>
    <row r="336" spans="1:106" x14ac:dyDescent="0.25">
      <c r="A336">
        <v>335</v>
      </c>
      <c r="B336">
        <v>22</v>
      </c>
      <c r="C336" s="25" t="s">
        <v>241</v>
      </c>
      <c r="D336" s="12">
        <v>-1.6</v>
      </c>
      <c r="E336" s="14">
        <f t="shared" si="99"/>
        <v>1.8181818181818183</v>
      </c>
      <c r="F336" s="7">
        <v>-0.88</v>
      </c>
      <c r="G336" s="7">
        <f t="shared" si="89"/>
        <v>-3.4181818181818184</v>
      </c>
      <c r="H336" s="16">
        <f t="shared" si="90"/>
        <v>0.21818181818181825</v>
      </c>
      <c r="I336" s="11">
        <f t="shared" si="91"/>
        <v>-2.3846798901517526E-2</v>
      </c>
      <c r="J336" s="33">
        <f t="shared" si="92"/>
        <v>2.7098635115360828E-2</v>
      </c>
      <c r="K336" s="33">
        <f t="shared" si="93"/>
        <v>36.902227575039426</v>
      </c>
      <c r="L336" s="33">
        <f t="shared" si="94"/>
        <v>-5.0945434016878358E-2</v>
      </c>
      <c r="M336" s="33">
        <f t="shared" si="95"/>
        <v>3.2518362138433017E-3</v>
      </c>
      <c r="N336" s="8">
        <v>0</v>
      </c>
      <c r="O336" s="9">
        <v>1</v>
      </c>
      <c r="P336" s="8">
        <v>0</v>
      </c>
      <c r="Q336" s="9">
        <v>0</v>
      </c>
      <c r="R336" s="9">
        <v>1</v>
      </c>
      <c r="S336" s="9">
        <v>0</v>
      </c>
      <c r="T336" s="9">
        <v>0</v>
      </c>
      <c r="U336" s="8">
        <v>1372</v>
      </c>
      <c r="V336" s="9">
        <v>10</v>
      </c>
      <c r="W336" s="9">
        <f t="shared" si="96"/>
        <v>1361</v>
      </c>
      <c r="X336" s="9">
        <f t="shared" si="97"/>
        <v>24</v>
      </c>
      <c r="Y336" s="7">
        <v>9.14</v>
      </c>
      <c r="Z336" s="7">
        <v>23.86</v>
      </c>
      <c r="AA336" s="9">
        <v>1</v>
      </c>
      <c r="AB336" s="9">
        <v>0</v>
      </c>
      <c r="AC336" s="9">
        <v>0</v>
      </c>
      <c r="AD336" s="9">
        <v>0</v>
      </c>
      <c r="AE336" s="9">
        <v>1</v>
      </c>
      <c r="AF336" s="9">
        <v>0</v>
      </c>
      <c r="AG336" s="8">
        <v>0</v>
      </c>
      <c r="AH336" s="9">
        <v>1</v>
      </c>
      <c r="AI336" s="30">
        <v>0</v>
      </c>
      <c r="AJ336" s="9">
        <v>0</v>
      </c>
      <c r="AK336" s="30">
        <v>1</v>
      </c>
      <c r="AL336" s="21">
        <v>1993</v>
      </c>
      <c r="AM336" s="23">
        <f t="shared" si="98"/>
        <v>7.5973963202127948</v>
      </c>
      <c r="AN336" s="33">
        <v>0.13</v>
      </c>
      <c r="AO336" s="33">
        <v>0.35299999999999998</v>
      </c>
      <c r="AP336" s="33">
        <v>0.36</v>
      </c>
      <c r="AQ336" s="43">
        <f t="shared" si="102"/>
        <v>0.15700000000000003</v>
      </c>
      <c r="AR336" s="42">
        <v>1</v>
      </c>
      <c r="AS336" s="18">
        <v>0</v>
      </c>
      <c r="AT336">
        <v>1</v>
      </c>
      <c r="AU336" s="40">
        <v>0</v>
      </c>
      <c r="AV336">
        <v>8.5300000000000001E-2</v>
      </c>
      <c r="AW336" s="40">
        <f t="shared" si="101"/>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11</v>
      </c>
      <c r="DB336" s="34"/>
    </row>
    <row r="337" spans="1:106" x14ac:dyDescent="0.25">
      <c r="A337">
        <v>336</v>
      </c>
      <c r="B337">
        <v>22</v>
      </c>
      <c r="C337" s="25" t="s">
        <v>241</v>
      </c>
      <c r="D337" s="12">
        <v>0.7</v>
      </c>
      <c r="E337" s="14">
        <f t="shared" si="99"/>
        <v>1.044776119402985</v>
      </c>
      <c r="F337" s="7">
        <v>0.67</v>
      </c>
      <c r="G337" s="7">
        <f t="shared" si="89"/>
        <v>-0.34477611940298503</v>
      </c>
      <c r="H337" s="16">
        <f t="shared" si="90"/>
        <v>1.7447761194029849</v>
      </c>
      <c r="I337" s="11">
        <f t="shared" si="91"/>
        <v>2.3505894099012905E-2</v>
      </c>
      <c r="J337" s="33">
        <f t="shared" si="92"/>
        <v>3.5083424028377469E-2</v>
      </c>
      <c r="K337" s="33">
        <f t="shared" si="93"/>
        <v>28.503489260088841</v>
      </c>
      <c r="L337" s="33">
        <f t="shared" si="94"/>
        <v>-1.1577529929364564E-2</v>
      </c>
      <c r="M337" s="33">
        <f t="shared" si="95"/>
        <v>5.8589318127390377E-2</v>
      </c>
      <c r="N337" s="8">
        <v>0</v>
      </c>
      <c r="O337" s="9">
        <v>1</v>
      </c>
      <c r="P337" s="8">
        <v>0</v>
      </c>
      <c r="Q337" s="9">
        <v>0</v>
      </c>
      <c r="R337" s="9">
        <v>1</v>
      </c>
      <c r="S337" s="9">
        <v>0</v>
      </c>
      <c r="T337" s="9">
        <v>0</v>
      </c>
      <c r="U337" s="8">
        <v>818</v>
      </c>
      <c r="V337" s="9">
        <v>5</v>
      </c>
      <c r="W337" s="9">
        <f t="shared" si="96"/>
        <v>812</v>
      </c>
      <c r="X337" s="9">
        <f t="shared" si="97"/>
        <v>24</v>
      </c>
      <c r="Y337" s="7">
        <v>9.7899999999999991</v>
      </c>
      <c r="Z337" s="7">
        <v>21.84</v>
      </c>
      <c r="AA337" s="9">
        <v>1</v>
      </c>
      <c r="AB337" s="9">
        <v>0</v>
      </c>
      <c r="AC337" s="9">
        <v>0</v>
      </c>
      <c r="AD337" s="9">
        <v>0</v>
      </c>
      <c r="AE337" s="9">
        <v>1</v>
      </c>
      <c r="AF337" s="9">
        <v>0</v>
      </c>
      <c r="AG337" s="8">
        <v>0</v>
      </c>
      <c r="AH337" s="9">
        <v>1</v>
      </c>
      <c r="AI337" s="30">
        <v>0</v>
      </c>
      <c r="AJ337" s="9">
        <v>0</v>
      </c>
      <c r="AK337" s="30">
        <v>1</v>
      </c>
      <c r="AL337" s="21">
        <v>1997</v>
      </c>
      <c r="AM337" s="23">
        <f t="shared" si="98"/>
        <v>7.5994013334158153</v>
      </c>
      <c r="AN337" s="33">
        <v>4.9000000000000002E-2</v>
      </c>
      <c r="AO337" s="33">
        <v>0.28399999999999997</v>
      </c>
      <c r="AP337" s="33">
        <v>0.44600000000000001</v>
      </c>
      <c r="AQ337" s="43">
        <f t="shared" si="102"/>
        <v>0.22100000000000009</v>
      </c>
      <c r="AR337" s="42">
        <v>1</v>
      </c>
      <c r="AS337" s="18">
        <v>0</v>
      </c>
      <c r="AT337">
        <v>1</v>
      </c>
      <c r="AU337" s="40">
        <v>0</v>
      </c>
      <c r="AV337">
        <v>8.5300000000000001E-2</v>
      </c>
      <c r="AW337" s="40">
        <f t="shared" si="101"/>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11</v>
      </c>
      <c r="DB337" s="34"/>
    </row>
    <row r="338" spans="1:106" x14ac:dyDescent="0.25">
      <c r="A338">
        <v>337</v>
      </c>
      <c r="B338">
        <v>22</v>
      </c>
      <c r="C338" s="25" t="s">
        <v>241</v>
      </c>
      <c r="D338" s="12">
        <v>0.6</v>
      </c>
      <c r="E338" s="14">
        <f t="shared" si="99"/>
        <v>2.1428571428571428</v>
      </c>
      <c r="F338" s="7">
        <v>0.28000000000000003</v>
      </c>
      <c r="G338" s="7">
        <f t="shared" si="89"/>
        <v>-1.5428571428571427</v>
      </c>
      <c r="H338" s="16">
        <f t="shared" si="90"/>
        <v>2.7428571428571429</v>
      </c>
      <c r="I338" s="11">
        <f t="shared" si="91"/>
        <v>9.0984008236424802E-3</v>
      </c>
      <c r="J338" s="33">
        <f t="shared" si="92"/>
        <v>3.2494288655865997E-2</v>
      </c>
      <c r="K338" s="33">
        <f t="shared" si="93"/>
        <v>30.774638909335721</v>
      </c>
      <c r="L338" s="33">
        <f t="shared" si="94"/>
        <v>-2.3395887832223516E-2</v>
      </c>
      <c r="M338" s="33">
        <f t="shared" si="95"/>
        <v>4.1592689479508477E-2</v>
      </c>
      <c r="N338" s="8">
        <v>0</v>
      </c>
      <c r="O338" s="9">
        <v>1</v>
      </c>
      <c r="P338" s="8">
        <v>0</v>
      </c>
      <c r="Q338" s="9">
        <v>0</v>
      </c>
      <c r="R338" s="9">
        <v>1</v>
      </c>
      <c r="S338" s="9">
        <v>0</v>
      </c>
      <c r="T338" s="9">
        <v>0</v>
      </c>
      <c r="U338" s="8">
        <v>958</v>
      </c>
      <c r="V338" s="9">
        <v>10</v>
      </c>
      <c r="W338" s="9">
        <f t="shared" si="96"/>
        <v>947</v>
      </c>
      <c r="X338" s="9">
        <f t="shared" si="97"/>
        <v>24</v>
      </c>
      <c r="Y338" s="7">
        <v>10.45</v>
      </c>
      <c r="Z338" s="7">
        <v>22.62</v>
      </c>
      <c r="AA338" s="9">
        <v>1</v>
      </c>
      <c r="AB338" s="9">
        <v>0</v>
      </c>
      <c r="AC338" s="9">
        <v>0</v>
      </c>
      <c r="AD338" s="9">
        <v>0</v>
      </c>
      <c r="AE338" s="9">
        <v>1</v>
      </c>
      <c r="AF338" s="9">
        <v>0</v>
      </c>
      <c r="AG338" s="8">
        <v>0</v>
      </c>
      <c r="AH338" s="9">
        <v>1</v>
      </c>
      <c r="AI338" s="30">
        <v>0</v>
      </c>
      <c r="AJ338" s="9">
        <v>0</v>
      </c>
      <c r="AK338" s="30">
        <v>1</v>
      </c>
      <c r="AL338" s="21">
        <v>2000</v>
      </c>
      <c r="AM338" s="23">
        <f t="shared" si="98"/>
        <v>7.6009024595420822</v>
      </c>
      <c r="AN338" s="33">
        <v>4.9000000000000002E-2</v>
      </c>
      <c r="AO338" s="33">
        <v>0.28399999999999997</v>
      </c>
      <c r="AP338" s="33">
        <v>0.44600000000000001</v>
      </c>
      <c r="AQ338" s="43">
        <f t="shared" si="102"/>
        <v>0.22100000000000009</v>
      </c>
      <c r="AR338" s="42">
        <v>1</v>
      </c>
      <c r="AS338" s="18">
        <v>0</v>
      </c>
      <c r="AT338">
        <v>1</v>
      </c>
      <c r="AU338" s="40">
        <v>0</v>
      </c>
      <c r="AV338">
        <v>8.5300000000000001E-2</v>
      </c>
      <c r="AW338" s="40">
        <f t="shared" si="101"/>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11</v>
      </c>
      <c r="DB338" s="34"/>
    </row>
    <row r="339" spans="1:106" x14ac:dyDescent="0.25">
      <c r="A339">
        <v>338</v>
      </c>
      <c r="B339">
        <v>22</v>
      </c>
      <c r="C339" s="25" t="s">
        <v>241</v>
      </c>
      <c r="D339" s="12">
        <v>2.9</v>
      </c>
      <c r="E339" s="14">
        <f t="shared" si="99"/>
        <v>0.85545722713864303</v>
      </c>
      <c r="F339" s="7">
        <v>3.39</v>
      </c>
      <c r="G339" s="7">
        <f t="shared" si="89"/>
        <v>2.044542772861357</v>
      </c>
      <c r="H339" s="16">
        <f t="shared" si="90"/>
        <v>3.7554572271386428</v>
      </c>
      <c r="I339" s="11">
        <f t="shared" si="91"/>
        <v>0.13101679456485232</v>
      </c>
      <c r="J339" s="33">
        <f t="shared" si="92"/>
        <v>3.8648021995531662E-2</v>
      </c>
      <c r="K339" s="33">
        <f t="shared" si="93"/>
        <v>25.874545406634684</v>
      </c>
      <c r="L339" s="33">
        <f t="shared" si="94"/>
        <v>9.2368772569320662E-2</v>
      </c>
      <c r="M339" s="33">
        <f t="shared" si="95"/>
        <v>0.16966481656038399</v>
      </c>
      <c r="N339" s="8">
        <v>0</v>
      </c>
      <c r="O339" s="9">
        <v>1</v>
      </c>
      <c r="P339" s="8">
        <v>0</v>
      </c>
      <c r="Q339" s="9">
        <v>0</v>
      </c>
      <c r="R339" s="9">
        <v>1</v>
      </c>
      <c r="S339" s="9">
        <v>0</v>
      </c>
      <c r="T339" s="9">
        <v>0</v>
      </c>
      <c r="U339" s="8">
        <v>664</v>
      </c>
      <c r="V339" s="9">
        <v>5</v>
      </c>
      <c r="W339" s="9">
        <f t="shared" si="96"/>
        <v>658</v>
      </c>
      <c r="X339" s="9">
        <f t="shared" si="97"/>
        <v>24</v>
      </c>
      <c r="Y339" s="7">
        <v>8.02</v>
      </c>
      <c r="Z339" s="7">
        <v>23.77</v>
      </c>
      <c r="AA339" s="9">
        <v>1</v>
      </c>
      <c r="AB339" s="9">
        <v>0</v>
      </c>
      <c r="AC339" s="9">
        <v>0</v>
      </c>
      <c r="AD339" s="9">
        <v>0</v>
      </c>
      <c r="AE339" s="9">
        <v>1</v>
      </c>
      <c r="AF339" s="9">
        <v>0</v>
      </c>
      <c r="AG339" s="8">
        <v>0</v>
      </c>
      <c r="AH339" s="9">
        <v>1</v>
      </c>
      <c r="AI339" s="30">
        <v>0</v>
      </c>
      <c r="AJ339" s="9">
        <v>0</v>
      </c>
      <c r="AK339" s="30">
        <v>1</v>
      </c>
      <c r="AL339" s="21">
        <v>1989</v>
      </c>
      <c r="AM339" s="23">
        <f t="shared" si="98"/>
        <v>7.5953872788539725</v>
      </c>
      <c r="AN339" s="33">
        <v>0.13</v>
      </c>
      <c r="AO339" s="33">
        <v>0.35299999999999998</v>
      </c>
      <c r="AP339" s="33">
        <v>0.36</v>
      </c>
      <c r="AQ339" s="43">
        <f t="shared" si="102"/>
        <v>0.15700000000000003</v>
      </c>
      <c r="AR339" s="42">
        <v>1</v>
      </c>
      <c r="AS339" s="18">
        <v>0</v>
      </c>
      <c r="AT339">
        <v>1</v>
      </c>
      <c r="AU339" s="40">
        <v>0</v>
      </c>
      <c r="AV339">
        <v>8.5300000000000001E-2</v>
      </c>
      <c r="AW339" s="40">
        <f t="shared" si="101"/>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11</v>
      </c>
      <c r="DB339" s="34"/>
    </row>
    <row r="340" spans="1:106" x14ac:dyDescent="0.25">
      <c r="A340">
        <v>339</v>
      </c>
      <c r="B340">
        <v>22</v>
      </c>
      <c r="C340" s="25" t="s">
        <v>241</v>
      </c>
      <c r="D340" s="12">
        <v>3.9</v>
      </c>
      <c r="E340" s="14">
        <f t="shared" si="99"/>
        <v>1.4285714285714286</v>
      </c>
      <c r="F340" s="7">
        <v>2.73</v>
      </c>
      <c r="G340" s="7">
        <f t="shared" si="89"/>
        <v>2.4714285714285715</v>
      </c>
      <c r="H340" s="16">
        <f t="shared" si="90"/>
        <v>5.3285714285714283</v>
      </c>
      <c r="I340" s="11">
        <f t="shared" si="91"/>
        <v>8.5169027029795424E-2</v>
      </c>
      <c r="J340" s="33">
        <f t="shared" si="92"/>
        <v>3.1197445798459868E-2</v>
      </c>
      <c r="K340" s="33">
        <f t="shared" si="93"/>
        <v>32.0539061582204</v>
      </c>
      <c r="L340" s="33">
        <f t="shared" si="94"/>
        <v>5.3971581231335553E-2</v>
      </c>
      <c r="M340" s="33">
        <f t="shared" si="95"/>
        <v>0.1163664728282553</v>
      </c>
      <c r="N340" s="8">
        <v>0</v>
      </c>
      <c r="O340" s="9">
        <v>1</v>
      </c>
      <c r="P340" s="8">
        <v>0</v>
      </c>
      <c r="Q340" s="9">
        <v>0</v>
      </c>
      <c r="R340" s="9">
        <v>1</v>
      </c>
      <c r="S340" s="9">
        <v>0</v>
      </c>
      <c r="T340" s="9">
        <v>0</v>
      </c>
      <c r="U340" s="8">
        <v>1031</v>
      </c>
      <c r="V340" s="9">
        <v>10</v>
      </c>
      <c r="W340" s="9">
        <f t="shared" si="96"/>
        <v>1020</v>
      </c>
      <c r="X340" s="9">
        <f t="shared" si="97"/>
        <v>24</v>
      </c>
      <c r="Y340" s="7">
        <v>9.14</v>
      </c>
      <c r="Z340" s="7">
        <v>23.86</v>
      </c>
      <c r="AA340" s="9">
        <v>1</v>
      </c>
      <c r="AB340" s="9">
        <v>0</v>
      </c>
      <c r="AC340" s="9">
        <v>0</v>
      </c>
      <c r="AD340" s="9">
        <v>0</v>
      </c>
      <c r="AE340" s="9">
        <v>1</v>
      </c>
      <c r="AF340" s="9">
        <v>0</v>
      </c>
      <c r="AG340" s="8">
        <v>0</v>
      </c>
      <c r="AH340" s="9">
        <v>1</v>
      </c>
      <c r="AI340" s="30">
        <v>0</v>
      </c>
      <c r="AJ340" s="9">
        <v>0</v>
      </c>
      <c r="AK340" s="30">
        <v>1</v>
      </c>
      <c r="AL340" s="21">
        <v>1993</v>
      </c>
      <c r="AM340" s="23">
        <f t="shared" si="98"/>
        <v>7.5973963202127948</v>
      </c>
      <c r="AN340" s="33">
        <v>0.13</v>
      </c>
      <c r="AO340" s="33">
        <v>0.35299999999999998</v>
      </c>
      <c r="AP340" s="33">
        <v>0.36</v>
      </c>
      <c r="AQ340" s="43">
        <f t="shared" si="102"/>
        <v>0.15700000000000003</v>
      </c>
      <c r="AR340" s="42">
        <v>1</v>
      </c>
      <c r="AS340" s="18">
        <v>0</v>
      </c>
      <c r="AT340">
        <v>1</v>
      </c>
      <c r="AU340" s="40">
        <v>0</v>
      </c>
      <c r="AV340">
        <v>8.5300000000000001E-2</v>
      </c>
      <c r="AW340" s="40">
        <f t="shared" si="101"/>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11</v>
      </c>
      <c r="DB340" s="34"/>
    </row>
    <row r="341" spans="1:106" x14ac:dyDescent="0.25">
      <c r="A341">
        <v>340</v>
      </c>
      <c r="B341">
        <v>22</v>
      </c>
      <c r="C341" s="25" t="s">
        <v>241</v>
      </c>
      <c r="D341" s="12">
        <v>5.2</v>
      </c>
      <c r="E341" s="14">
        <f t="shared" si="99"/>
        <v>1.0526315789473684</v>
      </c>
      <c r="F341" s="7">
        <v>4.9400000000000004</v>
      </c>
      <c r="G341" s="7">
        <f t="shared" si="89"/>
        <v>4.147368421052632</v>
      </c>
      <c r="H341" s="16">
        <f t="shared" si="90"/>
        <v>6.2526315789473683</v>
      </c>
      <c r="I341" s="11">
        <f t="shared" si="91"/>
        <v>0.19690753597255725</v>
      </c>
      <c r="J341" s="33">
        <f t="shared" si="92"/>
        <v>3.9859825095659357E-2</v>
      </c>
      <c r="K341" s="33">
        <f t="shared" si="93"/>
        <v>25.087917410578346</v>
      </c>
      <c r="L341" s="33">
        <f t="shared" si="94"/>
        <v>0.15704771087689789</v>
      </c>
      <c r="M341" s="33">
        <f t="shared" si="95"/>
        <v>0.23676736106821661</v>
      </c>
      <c r="N341" s="8">
        <v>0</v>
      </c>
      <c r="O341" s="9">
        <v>1</v>
      </c>
      <c r="P341" s="8">
        <v>0</v>
      </c>
      <c r="Q341" s="9">
        <v>0</v>
      </c>
      <c r="R341" s="9">
        <v>1</v>
      </c>
      <c r="S341" s="9">
        <v>0</v>
      </c>
      <c r="T341" s="9">
        <v>0</v>
      </c>
      <c r="U341" s="8">
        <v>611</v>
      </c>
      <c r="V341" s="9">
        <v>5</v>
      </c>
      <c r="W341" s="9">
        <f t="shared" si="96"/>
        <v>605</v>
      </c>
      <c r="X341" s="9">
        <f t="shared" si="97"/>
        <v>24</v>
      </c>
      <c r="Y341" s="7">
        <v>9.7899999999999991</v>
      </c>
      <c r="Z341" s="7">
        <v>21.84</v>
      </c>
      <c r="AA341" s="9">
        <v>1</v>
      </c>
      <c r="AB341" s="9">
        <v>0</v>
      </c>
      <c r="AC341" s="9">
        <v>0</v>
      </c>
      <c r="AD341" s="9">
        <v>0</v>
      </c>
      <c r="AE341" s="9">
        <v>1</v>
      </c>
      <c r="AF341" s="9">
        <v>0</v>
      </c>
      <c r="AG341" s="8">
        <v>0</v>
      </c>
      <c r="AH341" s="9">
        <v>1</v>
      </c>
      <c r="AI341" s="30">
        <v>0</v>
      </c>
      <c r="AJ341" s="9">
        <v>0</v>
      </c>
      <c r="AK341" s="30">
        <v>1</v>
      </c>
      <c r="AL341" s="21">
        <v>1997</v>
      </c>
      <c r="AM341" s="23">
        <f t="shared" si="98"/>
        <v>7.5994013334158153</v>
      </c>
      <c r="AN341" s="33">
        <v>4.9000000000000002E-2</v>
      </c>
      <c r="AO341" s="33">
        <v>0.28399999999999997</v>
      </c>
      <c r="AP341" s="33">
        <v>0.44600000000000001</v>
      </c>
      <c r="AQ341" s="43">
        <f t="shared" si="102"/>
        <v>0.22100000000000009</v>
      </c>
      <c r="AR341" s="42">
        <v>1</v>
      </c>
      <c r="AS341" s="18">
        <v>0</v>
      </c>
      <c r="AT341">
        <v>1</v>
      </c>
      <c r="AU341" s="40">
        <v>0</v>
      </c>
      <c r="AV341">
        <v>8.5300000000000001E-2</v>
      </c>
      <c r="AW341" s="40">
        <f t="shared" si="101"/>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11</v>
      </c>
      <c r="DB341" s="34"/>
    </row>
    <row r="342" spans="1:106" x14ac:dyDescent="0.25">
      <c r="A342">
        <v>341</v>
      </c>
      <c r="B342">
        <v>22</v>
      </c>
      <c r="C342" s="25" t="s">
        <v>241</v>
      </c>
      <c r="D342" s="12">
        <v>5.5</v>
      </c>
      <c r="E342" s="14">
        <f t="shared" si="99"/>
        <v>2.477477477477477</v>
      </c>
      <c r="F342" s="7">
        <v>2.2200000000000002</v>
      </c>
      <c r="G342" s="7">
        <f t="shared" si="89"/>
        <v>3.022522522522523</v>
      </c>
      <c r="H342" s="16">
        <f t="shared" si="90"/>
        <v>7.9774774774774766</v>
      </c>
      <c r="I342" s="11">
        <f t="shared" si="91"/>
        <v>7.7481912916654835E-2</v>
      </c>
      <c r="J342" s="33">
        <f t="shared" si="92"/>
        <v>3.4901762575069745E-2</v>
      </c>
      <c r="K342" s="33">
        <f t="shared" si="93"/>
        <v>28.651848107931887</v>
      </c>
      <c r="L342" s="33">
        <f t="shared" si="94"/>
        <v>4.2580150341585091E-2</v>
      </c>
      <c r="M342" s="33">
        <f t="shared" si="95"/>
        <v>0.11238367549172458</v>
      </c>
      <c r="N342" s="8">
        <v>0</v>
      </c>
      <c r="O342" s="9">
        <v>1</v>
      </c>
      <c r="P342" s="8">
        <v>0</v>
      </c>
      <c r="Q342" s="9">
        <v>0</v>
      </c>
      <c r="R342" s="9">
        <v>1</v>
      </c>
      <c r="S342" s="9">
        <v>0</v>
      </c>
      <c r="T342" s="9">
        <v>0</v>
      </c>
      <c r="U342" s="8">
        <v>827</v>
      </c>
      <c r="V342" s="9">
        <v>10</v>
      </c>
      <c r="W342" s="9">
        <f t="shared" si="96"/>
        <v>816</v>
      </c>
      <c r="X342" s="9">
        <f t="shared" si="97"/>
        <v>24</v>
      </c>
      <c r="Y342" s="7">
        <v>10.45</v>
      </c>
      <c r="Z342" s="7">
        <v>22.62</v>
      </c>
      <c r="AA342" s="9">
        <v>1</v>
      </c>
      <c r="AB342" s="9">
        <v>0</v>
      </c>
      <c r="AC342" s="9">
        <v>0</v>
      </c>
      <c r="AD342" s="9">
        <v>0</v>
      </c>
      <c r="AE342" s="9">
        <v>1</v>
      </c>
      <c r="AF342" s="9">
        <v>0</v>
      </c>
      <c r="AG342" s="8">
        <v>0</v>
      </c>
      <c r="AH342" s="9">
        <v>1</v>
      </c>
      <c r="AI342" s="30">
        <v>0</v>
      </c>
      <c r="AJ342" s="9">
        <v>0</v>
      </c>
      <c r="AK342" s="30">
        <v>1</v>
      </c>
      <c r="AL342" s="21">
        <v>2000</v>
      </c>
      <c r="AM342" s="23">
        <f t="shared" si="98"/>
        <v>7.6009024595420822</v>
      </c>
      <c r="AN342" s="33">
        <v>4.9000000000000002E-2</v>
      </c>
      <c r="AO342" s="33">
        <v>0.28399999999999997</v>
      </c>
      <c r="AP342" s="33">
        <v>0.44600000000000001</v>
      </c>
      <c r="AQ342" s="43">
        <f t="shared" si="102"/>
        <v>0.22100000000000009</v>
      </c>
      <c r="AR342" s="42">
        <v>1</v>
      </c>
      <c r="AS342" s="18">
        <v>0</v>
      </c>
      <c r="AT342">
        <v>1</v>
      </c>
      <c r="AU342" s="40">
        <v>0</v>
      </c>
      <c r="AV342">
        <v>8.5300000000000001E-2</v>
      </c>
      <c r="AW342" s="40">
        <f t="shared" si="101"/>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11</v>
      </c>
      <c r="DB342" s="34"/>
    </row>
    <row r="343" spans="1:106" x14ac:dyDescent="0.25">
      <c r="A343">
        <v>342</v>
      </c>
      <c r="B343">
        <v>22</v>
      </c>
      <c r="C343" s="25" t="s">
        <v>241</v>
      </c>
      <c r="D343" s="12">
        <v>2.2000000000000002</v>
      </c>
      <c r="E343" s="14">
        <f t="shared" si="99"/>
        <v>0.54590570719602982</v>
      </c>
      <c r="F343" s="7">
        <v>4.03</v>
      </c>
      <c r="G343" s="7">
        <f t="shared" si="89"/>
        <v>1.6540942928039704</v>
      </c>
      <c r="H343" s="16">
        <f t="shared" si="90"/>
        <v>2.7459057071960302</v>
      </c>
      <c r="I343" s="11">
        <f t="shared" si="91"/>
        <v>5.3914595065672373E-2</v>
      </c>
      <c r="J343" s="33">
        <f t="shared" si="92"/>
        <v>1.3378311430687934E-2</v>
      </c>
      <c r="K343" s="33">
        <f t="shared" si="93"/>
        <v>74.747848798477136</v>
      </c>
      <c r="L343" s="33">
        <f t="shared" si="94"/>
        <v>4.0536283634984439E-2</v>
      </c>
      <c r="M343" s="33">
        <f t="shared" si="95"/>
        <v>6.72929064963603E-2</v>
      </c>
      <c r="N343" s="8">
        <v>0</v>
      </c>
      <c r="O343" s="9">
        <v>1</v>
      </c>
      <c r="P343" s="8">
        <v>0</v>
      </c>
      <c r="Q343" s="9">
        <v>0</v>
      </c>
      <c r="R343" s="9">
        <v>1</v>
      </c>
      <c r="S343" s="9">
        <v>0</v>
      </c>
      <c r="T343" s="9">
        <v>0</v>
      </c>
      <c r="U343" s="8">
        <v>5589</v>
      </c>
      <c r="V343" s="9">
        <v>17</v>
      </c>
      <c r="W343" s="9">
        <f t="shared" si="96"/>
        <v>5571</v>
      </c>
      <c r="X343" s="9">
        <f t="shared" si="97"/>
        <v>24</v>
      </c>
      <c r="Y343" s="7">
        <v>9.16</v>
      </c>
      <c r="Z343" s="7">
        <v>23.17</v>
      </c>
      <c r="AA343" s="9">
        <v>1</v>
      </c>
      <c r="AB343" s="9">
        <v>0</v>
      </c>
      <c r="AC343" s="9">
        <v>0</v>
      </c>
      <c r="AD343" s="9">
        <v>0</v>
      </c>
      <c r="AE343" s="9">
        <v>1</v>
      </c>
      <c r="AF343" s="9">
        <v>0</v>
      </c>
      <c r="AG343" s="8">
        <v>0</v>
      </c>
      <c r="AH343" s="9">
        <v>1</v>
      </c>
      <c r="AI343" s="30">
        <v>0</v>
      </c>
      <c r="AJ343" s="9">
        <v>0</v>
      </c>
      <c r="AK343" s="30">
        <v>1</v>
      </c>
      <c r="AL343" s="21">
        <v>1995</v>
      </c>
      <c r="AM343" s="23">
        <f t="shared" si="98"/>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1"/>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11</v>
      </c>
      <c r="DB343" s="34"/>
    </row>
    <row r="344" spans="1:106" x14ac:dyDescent="0.25">
      <c r="A344">
        <v>343</v>
      </c>
      <c r="B344">
        <v>22</v>
      </c>
      <c r="C344" s="25" t="s">
        <v>241</v>
      </c>
      <c r="D344" s="12">
        <v>2.7</v>
      </c>
      <c r="E344" s="14">
        <f t="shared" si="99"/>
        <v>0.54655870445344124</v>
      </c>
      <c r="F344" s="7">
        <v>4.9400000000000004</v>
      </c>
      <c r="G344" s="7">
        <f t="shared" si="89"/>
        <v>2.1534412955465587</v>
      </c>
      <c r="H344" s="16">
        <f t="shared" si="90"/>
        <v>3.2465587044534416</v>
      </c>
      <c r="I344" s="11">
        <f t="shared" si="91"/>
        <v>6.6005255397725685E-2</v>
      </c>
      <c r="J344" s="33">
        <f t="shared" si="92"/>
        <v>1.3361387732333132E-2</v>
      </c>
      <c r="K344" s="33">
        <f t="shared" si="93"/>
        <v>74.842525344886653</v>
      </c>
      <c r="L344" s="33">
        <f t="shared" si="94"/>
        <v>5.2643867665392551E-2</v>
      </c>
      <c r="M344" s="33">
        <f t="shared" si="95"/>
        <v>7.9366643130058812E-2</v>
      </c>
      <c r="N344" s="8">
        <v>0</v>
      </c>
      <c r="O344" s="9">
        <v>1</v>
      </c>
      <c r="P344" s="8">
        <v>0</v>
      </c>
      <c r="Q344" s="9">
        <v>0</v>
      </c>
      <c r="R344" s="9">
        <v>1</v>
      </c>
      <c r="S344" s="9">
        <v>0</v>
      </c>
      <c r="T344" s="9">
        <v>0</v>
      </c>
      <c r="U344" s="8">
        <v>5589</v>
      </c>
      <c r="V344" s="9">
        <v>11</v>
      </c>
      <c r="W344" s="9">
        <f t="shared" si="96"/>
        <v>5577</v>
      </c>
      <c r="X344" s="9">
        <f t="shared" si="97"/>
        <v>24</v>
      </c>
      <c r="Y344" s="7">
        <v>9.16</v>
      </c>
      <c r="Z344" s="7">
        <v>23.17</v>
      </c>
      <c r="AA344" s="9">
        <v>1</v>
      </c>
      <c r="AB344" s="9">
        <v>0</v>
      </c>
      <c r="AC344" s="9">
        <v>0</v>
      </c>
      <c r="AD344" s="9">
        <v>0</v>
      </c>
      <c r="AE344" s="9">
        <v>1</v>
      </c>
      <c r="AF344" s="9">
        <v>0</v>
      </c>
      <c r="AG344" s="8">
        <v>0</v>
      </c>
      <c r="AH344" s="9">
        <v>1</v>
      </c>
      <c r="AI344" s="30">
        <v>0</v>
      </c>
      <c r="AJ344" s="9">
        <v>0</v>
      </c>
      <c r="AK344" s="30">
        <v>1</v>
      </c>
      <c r="AL344" s="21">
        <v>1995</v>
      </c>
      <c r="AM344" s="23">
        <f t="shared" si="98"/>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1"/>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11</v>
      </c>
      <c r="DB344" s="34"/>
    </row>
    <row r="345" spans="1:106" x14ac:dyDescent="0.25">
      <c r="A345">
        <v>344</v>
      </c>
      <c r="B345">
        <v>22</v>
      </c>
      <c r="C345" s="25" t="s">
        <v>241</v>
      </c>
      <c r="D345" s="12">
        <v>4.5999999999999996</v>
      </c>
      <c r="E345" s="14">
        <f t="shared" si="99"/>
        <v>1.1084337349397588</v>
      </c>
      <c r="F345" s="7">
        <v>4.1500000000000004</v>
      </c>
      <c r="G345" s="7">
        <f t="shared" si="89"/>
        <v>3.491566265060241</v>
      </c>
      <c r="H345" s="16">
        <f t="shared" si="90"/>
        <v>5.7084337349397583</v>
      </c>
      <c r="I345" s="11">
        <f t="shared" si="91"/>
        <v>5.549029692427087E-2</v>
      </c>
      <c r="J345" s="33">
        <f t="shared" si="92"/>
        <v>1.3371155885366474E-2</v>
      </c>
      <c r="K345" s="33">
        <f t="shared" si="93"/>
        <v>74.787849949039185</v>
      </c>
      <c r="L345" s="33">
        <f t="shared" si="94"/>
        <v>4.2119141038904392E-2</v>
      </c>
      <c r="M345" s="33">
        <f t="shared" si="95"/>
        <v>6.8861452809637347E-2</v>
      </c>
      <c r="N345" s="8">
        <v>0</v>
      </c>
      <c r="O345" s="9">
        <v>1</v>
      </c>
      <c r="P345" s="8">
        <v>0</v>
      </c>
      <c r="Q345" s="9">
        <v>0</v>
      </c>
      <c r="R345" s="9">
        <v>1</v>
      </c>
      <c r="S345" s="9">
        <v>0</v>
      </c>
      <c r="T345" s="9">
        <v>0</v>
      </c>
      <c r="U345" s="8">
        <v>5589</v>
      </c>
      <c r="V345" s="9">
        <v>12</v>
      </c>
      <c r="W345" s="9">
        <f t="shared" si="96"/>
        <v>5576</v>
      </c>
      <c r="X345" s="9">
        <f t="shared" si="97"/>
        <v>24</v>
      </c>
      <c r="Y345" s="7">
        <v>9.16</v>
      </c>
      <c r="Z345" s="7">
        <v>23.17</v>
      </c>
      <c r="AA345" s="9">
        <v>1</v>
      </c>
      <c r="AB345" s="9">
        <v>0</v>
      </c>
      <c r="AC345" s="9">
        <v>0</v>
      </c>
      <c r="AD345" s="9">
        <v>0</v>
      </c>
      <c r="AE345" s="9">
        <v>1</v>
      </c>
      <c r="AF345" s="9">
        <v>0</v>
      </c>
      <c r="AG345" s="8">
        <v>0</v>
      </c>
      <c r="AH345" s="9">
        <v>1</v>
      </c>
      <c r="AI345" s="30">
        <v>0</v>
      </c>
      <c r="AJ345" s="9">
        <v>0</v>
      </c>
      <c r="AK345" s="30">
        <v>1</v>
      </c>
      <c r="AL345" s="21">
        <v>1995</v>
      </c>
      <c r="AM345" s="23">
        <f t="shared" si="98"/>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1"/>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11</v>
      </c>
      <c r="DB345" s="34"/>
    </row>
    <row r="346" spans="1:106" s="51" customFormat="1" x14ac:dyDescent="0.25">
      <c r="A346" s="51">
        <v>345</v>
      </c>
      <c r="B346" s="51">
        <v>22</v>
      </c>
      <c r="C346" s="52" t="s">
        <v>241</v>
      </c>
      <c r="D346" s="53">
        <v>1.2</v>
      </c>
      <c r="E346" s="54">
        <f t="shared" si="99"/>
        <v>1.5789473684210527</v>
      </c>
      <c r="F346" s="55">
        <v>0.76</v>
      </c>
      <c r="G346" s="55">
        <f t="shared" si="89"/>
        <v>-0.3789473684210527</v>
      </c>
      <c r="H346" s="56">
        <f t="shared" si="90"/>
        <v>2.7789473684210524</v>
      </c>
      <c r="I346" s="57">
        <f t="shared" si="91"/>
        <v>1.0181798557149379E-2</v>
      </c>
      <c r="J346" s="58">
        <f t="shared" si="92"/>
        <v>1.3397103364670235E-2</v>
      </c>
      <c r="K346" s="58">
        <f t="shared" si="93"/>
        <v>74.643001011481303</v>
      </c>
      <c r="L346" s="58">
        <f t="shared" si="94"/>
        <v>-3.2153048075208562E-3</v>
      </c>
      <c r="M346" s="58">
        <f t="shared" si="95"/>
        <v>2.3578901921819613E-2</v>
      </c>
      <c r="N346" s="59">
        <v>0</v>
      </c>
      <c r="O346" s="60">
        <v>1</v>
      </c>
      <c r="P346" s="59">
        <v>0</v>
      </c>
      <c r="Q346" s="60">
        <v>0</v>
      </c>
      <c r="R346" s="60">
        <v>1</v>
      </c>
      <c r="S346" s="60">
        <v>0</v>
      </c>
      <c r="T346" s="60">
        <v>0</v>
      </c>
      <c r="U346" s="59">
        <v>5589</v>
      </c>
      <c r="V346" s="60">
        <v>17</v>
      </c>
      <c r="W346" s="60">
        <f t="shared" si="96"/>
        <v>5571</v>
      </c>
      <c r="X346" s="60">
        <f t="shared" si="97"/>
        <v>24</v>
      </c>
      <c r="Y346" s="55">
        <v>9.16</v>
      </c>
      <c r="Z346" s="55">
        <v>23.17</v>
      </c>
      <c r="AA346" s="60">
        <v>1</v>
      </c>
      <c r="AB346" s="60">
        <v>0</v>
      </c>
      <c r="AC346" s="60">
        <v>0</v>
      </c>
      <c r="AD346" s="60">
        <v>0</v>
      </c>
      <c r="AE346" s="60">
        <v>1</v>
      </c>
      <c r="AF346" s="60">
        <v>0</v>
      </c>
      <c r="AG346" s="59">
        <v>0</v>
      </c>
      <c r="AH346" s="60">
        <v>1</v>
      </c>
      <c r="AI346" s="61">
        <v>0</v>
      </c>
      <c r="AJ346" s="60">
        <v>0</v>
      </c>
      <c r="AK346" s="61">
        <v>1</v>
      </c>
      <c r="AL346" s="62">
        <v>1995</v>
      </c>
      <c r="AM346" s="63">
        <f t="shared" si="98"/>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1"/>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11</v>
      </c>
      <c r="CW346" s="68"/>
      <c r="DB346" s="68"/>
    </row>
    <row r="347" spans="1:106" x14ac:dyDescent="0.25">
      <c r="A347">
        <v>346</v>
      </c>
      <c r="B347">
        <v>23</v>
      </c>
      <c r="C347" s="25" t="s">
        <v>242</v>
      </c>
      <c r="D347" s="12">
        <v>17.8</v>
      </c>
      <c r="E347" s="14">
        <v>0.70399999999999996</v>
      </c>
      <c r="F347" s="7">
        <f t="shared" ref="F347:F362" si="103">D347/E347</f>
        <v>25.28409090909091</v>
      </c>
      <c r="G347" s="7">
        <f t="shared" si="89"/>
        <v>17.096</v>
      </c>
      <c r="H347" s="16">
        <f t="shared" si="90"/>
        <v>18.504000000000001</v>
      </c>
      <c r="I347" s="11">
        <f t="shared" si="91"/>
        <v>0.33366062720699335</v>
      </c>
      <c r="J347" s="33">
        <f t="shared" si="92"/>
        <v>1.319646525582715E-2</v>
      </c>
      <c r="K347" s="33">
        <f t="shared" si="93"/>
        <v>75.777867831571868</v>
      </c>
      <c r="L347" s="33">
        <f t="shared" si="94"/>
        <v>0.32046416195116623</v>
      </c>
      <c r="M347" s="33">
        <f t="shared" si="95"/>
        <v>0.34685709246282048</v>
      </c>
      <c r="N347" s="8">
        <v>0</v>
      </c>
      <c r="O347" s="9">
        <v>1</v>
      </c>
      <c r="P347" s="8">
        <v>0</v>
      </c>
      <c r="Q347" s="9">
        <v>0</v>
      </c>
      <c r="R347" s="9">
        <v>0</v>
      </c>
      <c r="S347" s="9">
        <v>1</v>
      </c>
      <c r="T347" s="9">
        <v>0</v>
      </c>
      <c r="U347" s="8">
        <v>5109</v>
      </c>
      <c r="V347" s="9">
        <v>5</v>
      </c>
      <c r="W347" s="9">
        <f t="shared" si="96"/>
        <v>5103</v>
      </c>
      <c r="X347" s="9">
        <f t="shared" si="97"/>
        <v>15</v>
      </c>
      <c r="Y347" s="7">
        <v>7.0203000000000007</v>
      </c>
      <c r="Z347" s="7">
        <f t="shared" ref="Z347:Z361" si="104">BN347-Y347-6</f>
        <v>19.479700000000001</v>
      </c>
      <c r="AA347" s="9">
        <v>1</v>
      </c>
      <c r="AB347" s="9">
        <v>0</v>
      </c>
      <c r="AC347" s="9">
        <v>0</v>
      </c>
      <c r="AD347" s="9">
        <v>0</v>
      </c>
      <c r="AE347" s="9">
        <v>1</v>
      </c>
      <c r="AF347" s="9">
        <v>0</v>
      </c>
      <c r="AG347" s="8">
        <v>0</v>
      </c>
      <c r="AH347" s="9">
        <v>1</v>
      </c>
      <c r="AI347" s="30">
        <v>0</v>
      </c>
      <c r="AJ347" s="9">
        <v>0</v>
      </c>
      <c r="AK347" s="30">
        <v>1</v>
      </c>
      <c r="AL347" s="21">
        <v>2010</v>
      </c>
      <c r="AM347" s="23">
        <f t="shared" si="98"/>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16</v>
      </c>
      <c r="DB347" s="34"/>
    </row>
    <row r="348" spans="1:106" x14ac:dyDescent="0.25">
      <c r="A348">
        <v>347</v>
      </c>
      <c r="B348">
        <v>23</v>
      </c>
      <c r="C348" s="25" t="s">
        <v>242</v>
      </c>
      <c r="D348" s="12">
        <v>14.7</v>
      </c>
      <c r="E348" s="14">
        <v>4.71</v>
      </c>
      <c r="F348" s="7">
        <f t="shared" si="103"/>
        <v>3.1210191082802545</v>
      </c>
      <c r="G348" s="7">
        <f t="shared" si="89"/>
        <v>9.9899999999999984</v>
      </c>
      <c r="H348" s="16">
        <f t="shared" si="90"/>
        <v>19.41</v>
      </c>
      <c r="I348" s="11">
        <f t="shared" si="91"/>
        <v>4.3648521887384835E-2</v>
      </c>
      <c r="J348" s="33">
        <f t="shared" si="92"/>
        <v>1.3985342727182487E-2</v>
      </c>
      <c r="K348" s="33">
        <f t="shared" si="93"/>
        <v>71.503431807670964</v>
      </c>
      <c r="L348" s="33">
        <f t="shared" si="94"/>
        <v>2.9663179160202349E-2</v>
      </c>
      <c r="M348" s="33">
        <f t="shared" si="95"/>
        <v>5.7633864614567321E-2</v>
      </c>
      <c r="N348" s="8">
        <v>0</v>
      </c>
      <c r="O348" s="9">
        <v>1</v>
      </c>
      <c r="P348" s="8">
        <v>0</v>
      </c>
      <c r="Q348" s="9">
        <v>0</v>
      </c>
      <c r="R348" s="9">
        <v>0</v>
      </c>
      <c r="S348" s="9">
        <v>1</v>
      </c>
      <c r="T348" s="9">
        <v>0</v>
      </c>
      <c r="U348" s="8">
        <v>5109</v>
      </c>
      <c r="V348" s="9">
        <v>5</v>
      </c>
      <c r="W348" s="9">
        <f t="shared" si="96"/>
        <v>5103</v>
      </c>
      <c r="X348" s="9">
        <f t="shared" si="97"/>
        <v>15</v>
      </c>
      <c r="Y348" s="7">
        <v>7.0203000000000007</v>
      </c>
      <c r="Z348" s="7">
        <f t="shared" si="104"/>
        <v>19.479700000000001</v>
      </c>
      <c r="AA348" s="9">
        <v>1</v>
      </c>
      <c r="AB348" s="9">
        <v>0</v>
      </c>
      <c r="AC348" s="9">
        <v>0</v>
      </c>
      <c r="AD348" s="9">
        <v>0</v>
      </c>
      <c r="AE348" s="9">
        <v>1</v>
      </c>
      <c r="AF348" s="9">
        <v>0</v>
      </c>
      <c r="AG348" s="8">
        <v>0</v>
      </c>
      <c r="AH348" s="9">
        <v>1</v>
      </c>
      <c r="AI348" s="30">
        <v>0</v>
      </c>
      <c r="AJ348" s="9">
        <v>0</v>
      </c>
      <c r="AK348" s="30">
        <v>1</v>
      </c>
      <c r="AL348" s="21">
        <v>2010</v>
      </c>
      <c r="AM348" s="23">
        <f t="shared" si="98"/>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16</v>
      </c>
      <c r="DB348" s="34"/>
    </row>
    <row r="349" spans="1:106" x14ac:dyDescent="0.25">
      <c r="A349">
        <v>348</v>
      </c>
      <c r="B349">
        <v>23</v>
      </c>
      <c r="C349" s="25" t="s">
        <v>242</v>
      </c>
      <c r="D349" s="12">
        <v>15.1</v>
      </c>
      <c r="E349" s="14">
        <v>4.12</v>
      </c>
      <c r="F349" s="7">
        <f t="shared" si="103"/>
        <v>3.6650485436893203</v>
      </c>
      <c r="G349" s="7">
        <f t="shared" si="89"/>
        <v>10.98</v>
      </c>
      <c r="H349" s="16">
        <f t="shared" si="90"/>
        <v>19.22</v>
      </c>
      <c r="I349" s="11">
        <f t="shared" si="91"/>
        <v>5.1238464134782849E-2</v>
      </c>
      <c r="J349" s="33">
        <f t="shared" si="92"/>
        <v>1.3980296174523532E-2</v>
      </c>
      <c r="K349" s="33">
        <f t="shared" si="93"/>
        <v>71.529242836951653</v>
      </c>
      <c r="L349" s="33">
        <f t="shared" si="94"/>
        <v>3.7258167960259318E-2</v>
      </c>
      <c r="M349" s="33">
        <f t="shared" si="95"/>
        <v>6.5218760309306387E-2</v>
      </c>
      <c r="N349" s="8">
        <v>0</v>
      </c>
      <c r="O349" s="9">
        <v>1</v>
      </c>
      <c r="P349" s="8">
        <v>0</v>
      </c>
      <c r="Q349" s="9">
        <v>0</v>
      </c>
      <c r="R349" s="9">
        <v>0</v>
      </c>
      <c r="S349" s="9">
        <v>1</v>
      </c>
      <c r="T349" s="9">
        <v>0</v>
      </c>
      <c r="U349" s="8">
        <v>5109</v>
      </c>
      <c r="V349" s="9">
        <v>5</v>
      </c>
      <c r="W349" s="9">
        <f t="shared" si="96"/>
        <v>5103</v>
      </c>
      <c r="X349" s="9">
        <f t="shared" si="97"/>
        <v>15</v>
      </c>
      <c r="Y349" s="7">
        <v>7.0203000000000007</v>
      </c>
      <c r="Z349" s="7">
        <f t="shared" si="104"/>
        <v>19.479700000000001</v>
      </c>
      <c r="AA349" s="9">
        <v>1</v>
      </c>
      <c r="AB349" s="9">
        <v>0</v>
      </c>
      <c r="AC349" s="9">
        <v>0</v>
      </c>
      <c r="AD349" s="9">
        <v>0</v>
      </c>
      <c r="AE349" s="9">
        <v>1</v>
      </c>
      <c r="AF349" s="9">
        <v>0</v>
      </c>
      <c r="AG349" s="8">
        <v>0</v>
      </c>
      <c r="AH349" s="9">
        <v>1</v>
      </c>
      <c r="AI349" s="30">
        <v>0</v>
      </c>
      <c r="AJ349" s="9">
        <v>0</v>
      </c>
      <c r="AK349" s="30">
        <v>1</v>
      </c>
      <c r="AL349" s="21">
        <v>2010</v>
      </c>
      <c r="AM349" s="23">
        <f t="shared" si="98"/>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16</v>
      </c>
      <c r="DB349" s="34"/>
    </row>
    <row r="350" spans="1:106" x14ac:dyDescent="0.25">
      <c r="A350">
        <v>349</v>
      </c>
      <c r="B350">
        <v>23</v>
      </c>
      <c r="C350" s="25" t="s">
        <v>242</v>
      </c>
      <c r="D350" s="12">
        <v>17.899999999999999</v>
      </c>
      <c r="E350" s="14">
        <v>0.83599999999999997</v>
      </c>
      <c r="F350" s="7">
        <f t="shared" si="103"/>
        <v>21.411483253588514</v>
      </c>
      <c r="G350" s="7">
        <f t="shared" si="89"/>
        <v>17.064</v>
      </c>
      <c r="H350" s="16">
        <f t="shared" si="90"/>
        <v>18.735999999999997</v>
      </c>
      <c r="I350" s="11">
        <f t="shared" si="91"/>
        <v>0.34010261654193102</v>
      </c>
      <c r="J350" s="33">
        <f t="shared" si="92"/>
        <v>1.5884122202740467E-2</v>
      </c>
      <c r="K350" s="33">
        <f t="shared" si="93"/>
        <v>62.955949799194521</v>
      </c>
      <c r="L350" s="33">
        <f t="shared" si="94"/>
        <v>0.32421849433919053</v>
      </c>
      <c r="M350" s="33">
        <f t="shared" si="95"/>
        <v>0.35598673874467152</v>
      </c>
      <c r="N350" s="8">
        <v>0</v>
      </c>
      <c r="O350" s="9">
        <v>1</v>
      </c>
      <c r="P350" s="8">
        <v>0</v>
      </c>
      <c r="Q350" s="9">
        <v>0</v>
      </c>
      <c r="R350" s="9">
        <v>0</v>
      </c>
      <c r="S350" s="9">
        <v>1</v>
      </c>
      <c r="T350" s="9">
        <v>0</v>
      </c>
      <c r="U350" s="8">
        <v>3510</v>
      </c>
      <c r="V350" s="9">
        <v>4</v>
      </c>
      <c r="W350" s="9">
        <f t="shared" si="96"/>
        <v>3505</v>
      </c>
      <c r="X350" s="9">
        <f t="shared" si="97"/>
        <v>15</v>
      </c>
      <c r="Y350" s="7">
        <v>7.0203000000000007</v>
      </c>
      <c r="Z350" s="7">
        <f t="shared" si="104"/>
        <v>19.479700000000001</v>
      </c>
      <c r="AA350" s="9">
        <v>1</v>
      </c>
      <c r="AB350" s="9">
        <v>0</v>
      </c>
      <c r="AC350" s="9">
        <v>0</v>
      </c>
      <c r="AD350" s="9">
        <v>0</v>
      </c>
      <c r="AE350" s="9">
        <v>1</v>
      </c>
      <c r="AF350" s="9">
        <v>0</v>
      </c>
      <c r="AG350" s="8">
        <v>0</v>
      </c>
      <c r="AH350" s="9">
        <v>1</v>
      </c>
      <c r="AI350" s="30">
        <v>0</v>
      </c>
      <c r="AJ350" s="9">
        <v>0</v>
      </c>
      <c r="AK350" s="30">
        <v>1</v>
      </c>
      <c r="AL350" s="21">
        <v>2010</v>
      </c>
      <c r="AM350" s="23">
        <f t="shared" si="98"/>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16</v>
      </c>
      <c r="DB350" s="34"/>
    </row>
    <row r="351" spans="1:106" x14ac:dyDescent="0.25">
      <c r="A351">
        <v>350</v>
      </c>
      <c r="B351">
        <v>23</v>
      </c>
      <c r="C351" s="25" t="s">
        <v>242</v>
      </c>
      <c r="D351" s="12">
        <v>13</v>
      </c>
      <c r="E351" s="14">
        <v>4.0199999999999996</v>
      </c>
      <c r="F351" s="7">
        <f t="shared" si="103"/>
        <v>3.2338308457711444</v>
      </c>
      <c r="G351" s="7">
        <f t="shared" si="89"/>
        <v>8.98</v>
      </c>
      <c r="H351" s="16">
        <f t="shared" si="90"/>
        <v>17.02</v>
      </c>
      <c r="I351" s="11">
        <f t="shared" si="91"/>
        <v>5.4541410272056987E-2</v>
      </c>
      <c r="J351" s="33">
        <f t="shared" si="92"/>
        <v>1.6865882253359162E-2</v>
      </c>
      <c r="K351" s="33">
        <f t="shared" si="93"/>
        <v>59.291294992933494</v>
      </c>
      <c r="L351" s="33">
        <f t="shared" si="94"/>
        <v>3.7675528018697821E-2</v>
      </c>
      <c r="M351" s="33">
        <f t="shared" si="95"/>
        <v>7.1407292525416152E-2</v>
      </c>
      <c r="N351" s="8">
        <v>0</v>
      </c>
      <c r="O351" s="9">
        <v>1</v>
      </c>
      <c r="P351" s="8">
        <v>0</v>
      </c>
      <c r="Q351" s="9">
        <v>0</v>
      </c>
      <c r="R351" s="9">
        <v>0</v>
      </c>
      <c r="S351" s="9">
        <v>1</v>
      </c>
      <c r="T351" s="9">
        <v>0</v>
      </c>
      <c r="U351" s="8">
        <v>3510</v>
      </c>
      <c r="V351" s="9">
        <v>4</v>
      </c>
      <c r="W351" s="9">
        <f t="shared" si="96"/>
        <v>3505</v>
      </c>
      <c r="X351" s="9">
        <f t="shared" si="97"/>
        <v>15</v>
      </c>
      <c r="Y351" s="7">
        <v>7.0203000000000007</v>
      </c>
      <c r="Z351" s="7">
        <f t="shared" si="104"/>
        <v>19.479700000000001</v>
      </c>
      <c r="AA351" s="9">
        <v>1</v>
      </c>
      <c r="AB351" s="9">
        <v>0</v>
      </c>
      <c r="AC351" s="9">
        <v>0</v>
      </c>
      <c r="AD351" s="9">
        <v>0</v>
      </c>
      <c r="AE351" s="9">
        <v>1</v>
      </c>
      <c r="AF351" s="9">
        <v>0</v>
      </c>
      <c r="AG351" s="8">
        <v>0</v>
      </c>
      <c r="AH351" s="9">
        <v>1</v>
      </c>
      <c r="AI351" s="30">
        <v>0</v>
      </c>
      <c r="AJ351" s="9">
        <v>0</v>
      </c>
      <c r="AK351" s="30">
        <v>1</v>
      </c>
      <c r="AL351" s="21">
        <v>2010</v>
      </c>
      <c r="AM351" s="23">
        <f t="shared" si="98"/>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16</v>
      </c>
      <c r="DB351" s="34"/>
    </row>
    <row r="352" spans="1:106" x14ac:dyDescent="0.25">
      <c r="A352">
        <v>351</v>
      </c>
      <c r="B352">
        <v>23</v>
      </c>
      <c r="C352" s="25" t="s">
        <v>242</v>
      </c>
      <c r="D352" s="12">
        <v>17.899999999999999</v>
      </c>
      <c r="E352" s="14">
        <v>0.83599999999999997</v>
      </c>
      <c r="F352" s="7">
        <f t="shared" si="103"/>
        <v>21.411483253588514</v>
      </c>
      <c r="G352" s="7">
        <f t="shared" si="89"/>
        <v>17.064</v>
      </c>
      <c r="H352" s="16">
        <f t="shared" si="90"/>
        <v>18.735999999999997</v>
      </c>
      <c r="I352" s="11">
        <f t="shared" si="91"/>
        <v>0.34010261654193102</v>
      </c>
      <c r="J352" s="33">
        <f t="shared" si="92"/>
        <v>1.5884122202740467E-2</v>
      </c>
      <c r="K352" s="33">
        <f t="shared" si="93"/>
        <v>62.955949799194521</v>
      </c>
      <c r="L352" s="33">
        <f t="shared" si="94"/>
        <v>0.32421849433919053</v>
      </c>
      <c r="M352" s="33">
        <f t="shared" si="95"/>
        <v>0.35598673874467152</v>
      </c>
      <c r="N352" s="8">
        <v>0</v>
      </c>
      <c r="O352" s="9">
        <v>1</v>
      </c>
      <c r="P352" s="8">
        <v>0</v>
      </c>
      <c r="Q352" s="9">
        <v>0</v>
      </c>
      <c r="R352" s="9">
        <v>0</v>
      </c>
      <c r="S352" s="9">
        <v>1</v>
      </c>
      <c r="T352" s="9">
        <v>0</v>
      </c>
      <c r="U352" s="8">
        <v>3510</v>
      </c>
      <c r="V352" s="9">
        <v>4</v>
      </c>
      <c r="W352" s="9">
        <f t="shared" si="96"/>
        <v>3505</v>
      </c>
      <c r="X352" s="9">
        <f t="shared" si="97"/>
        <v>15</v>
      </c>
      <c r="Y352" s="7">
        <v>7.0203000000000007</v>
      </c>
      <c r="Z352" s="7">
        <f t="shared" si="104"/>
        <v>19.479700000000001</v>
      </c>
      <c r="AA352" s="9">
        <v>1</v>
      </c>
      <c r="AB352" s="9">
        <v>0</v>
      </c>
      <c r="AC352" s="9">
        <v>0</v>
      </c>
      <c r="AD352" s="9">
        <v>0</v>
      </c>
      <c r="AE352" s="9">
        <v>1</v>
      </c>
      <c r="AF352" s="9">
        <v>0</v>
      </c>
      <c r="AG352" s="8">
        <v>0</v>
      </c>
      <c r="AH352" s="9">
        <v>1</v>
      </c>
      <c r="AI352" s="30">
        <v>0</v>
      </c>
      <c r="AJ352" s="9">
        <v>0</v>
      </c>
      <c r="AK352" s="30">
        <v>1</v>
      </c>
      <c r="AL352" s="21">
        <v>2010</v>
      </c>
      <c r="AM352" s="23">
        <f t="shared" si="98"/>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16</v>
      </c>
      <c r="DB352" s="34"/>
    </row>
    <row r="353" spans="1:106" x14ac:dyDescent="0.25">
      <c r="A353">
        <v>352</v>
      </c>
      <c r="B353">
        <v>23</v>
      </c>
      <c r="C353" s="25" t="s">
        <v>242</v>
      </c>
      <c r="D353" s="12">
        <v>16.7</v>
      </c>
      <c r="E353" s="14">
        <v>6.41</v>
      </c>
      <c r="F353" s="7">
        <f t="shared" si="103"/>
        <v>2.6053042121684866</v>
      </c>
      <c r="G353" s="7">
        <f t="shared" si="89"/>
        <v>10.29</v>
      </c>
      <c r="H353" s="16">
        <f t="shared" si="90"/>
        <v>23.11</v>
      </c>
      <c r="I353" s="11">
        <f t="shared" si="91"/>
        <v>6.5116580253501172E-2</v>
      </c>
      <c r="J353" s="33">
        <f t="shared" si="92"/>
        <v>2.4993849067361823E-2</v>
      </c>
      <c r="K353" s="33">
        <f t="shared" si="93"/>
        <v>40.009843914191208</v>
      </c>
      <c r="L353" s="33">
        <f t="shared" si="94"/>
        <v>4.0122731186139349E-2</v>
      </c>
      <c r="M353" s="33">
        <f t="shared" si="95"/>
        <v>9.0110429320862995E-2</v>
      </c>
      <c r="N353" s="8">
        <v>0</v>
      </c>
      <c r="O353" s="9">
        <v>1</v>
      </c>
      <c r="P353" s="8">
        <v>0</v>
      </c>
      <c r="Q353" s="9">
        <v>0</v>
      </c>
      <c r="R353" s="9">
        <v>0</v>
      </c>
      <c r="S353" s="9">
        <v>1</v>
      </c>
      <c r="T353" s="9">
        <v>0</v>
      </c>
      <c r="U353" s="8">
        <v>1599</v>
      </c>
      <c r="V353" s="9">
        <v>4</v>
      </c>
      <c r="W353" s="9">
        <f t="shared" si="96"/>
        <v>1594</v>
      </c>
      <c r="X353" s="9">
        <f t="shared" si="97"/>
        <v>15</v>
      </c>
      <c r="Y353" s="7">
        <v>7.0203000000000007</v>
      </c>
      <c r="Z353" s="7">
        <f t="shared" si="104"/>
        <v>19.479700000000001</v>
      </c>
      <c r="AA353" s="9">
        <v>1</v>
      </c>
      <c r="AB353" s="9">
        <v>0</v>
      </c>
      <c r="AC353" s="9">
        <v>0</v>
      </c>
      <c r="AD353" s="9">
        <v>0</v>
      </c>
      <c r="AE353" s="9">
        <v>1</v>
      </c>
      <c r="AF353" s="9">
        <v>0</v>
      </c>
      <c r="AG353" s="8">
        <v>0</v>
      </c>
      <c r="AH353" s="9">
        <v>1</v>
      </c>
      <c r="AI353" s="30">
        <v>0</v>
      </c>
      <c r="AJ353" s="9">
        <v>0</v>
      </c>
      <c r="AK353" s="30">
        <v>1</v>
      </c>
      <c r="AL353" s="21">
        <v>2010</v>
      </c>
      <c r="AM353" s="23">
        <f t="shared" si="98"/>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16</v>
      </c>
      <c r="DB353" s="34"/>
    </row>
    <row r="354" spans="1:106" x14ac:dyDescent="0.25">
      <c r="A354">
        <v>353</v>
      </c>
      <c r="B354">
        <v>23</v>
      </c>
      <c r="C354" s="25" t="s">
        <v>242</v>
      </c>
      <c r="D354" s="12">
        <v>14.4</v>
      </c>
      <c r="E354" s="14">
        <v>1.4</v>
      </c>
      <c r="F354" s="7">
        <f t="shared" si="103"/>
        <v>10.285714285714286</v>
      </c>
      <c r="G354" s="7">
        <f t="shared" si="89"/>
        <v>13</v>
      </c>
      <c r="H354" s="16">
        <f t="shared" si="90"/>
        <v>15.8</v>
      </c>
      <c r="I354" s="11">
        <f t="shared" si="91"/>
        <v>0.32677013083849349</v>
      </c>
      <c r="J354" s="33">
        <f t="shared" si="92"/>
        <v>3.1769318275964645E-2</v>
      </c>
      <c r="K354" s="33">
        <f t="shared" si="93"/>
        <v>31.476910877138927</v>
      </c>
      <c r="L354" s="33">
        <f t="shared" si="94"/>
        <v>0.29500081256252886</v>
      </c>
      <c r="M354" s="33">
        <f t="shared" si="95"/>
        <v>0.35853944911445812</v>
      </c>
      <c r="N354" s="8">
        <v>0</v>
      </c>
      <c r="O354" s="9">
        <v>1</v>
      </c>
      <c r="P354" s="8">
        <v>0</v>
      </c>
      <c r="Q354" s="9">
        <v>0</v>
      </c>
      <c r="R354" s="9">
        <v>0</v>
      </c>
      <c r="S354" s="9">
        <v>1</v>
      </c>
      <c r="T354" s="9">
        <v>0</v>
      </c>
      <c r="U354" s="8">
        <v>890</v>
      </c>
      <c r="V354" s="9">
        <v>4</v>
      </c>
      <c r="W354" s="9">
        <f t="shared" si="96"/>
        <v>885</v>
      </c>
      <c r="X354" s="9">
        <f t="shared" si="97"/>
        <v>15</v>
      </c>
      <c r="Y354" s="7">
        <v>7.0203000000000007</v>
      </c>
      <c r="Z354" s="7">
        <f t="shared" si="104"/>
        <v>19.479700000000001</v>
      </c>
      <c r="AA354" s="9">
        <v>1</v>
      </c>
      <c r="AB354" s="9">
        <v>0</v>
      </c>
      <c r="AC354" s="9">
        <v>0</v>
      </c>
      <c r="AD354" s="9">
        <v>0</v>
      </c>
      <c r="AE354" s="9">
        <v>1</v>
      </c>
      <c r="AF354" s="9">
        <v>0</v>
      </c>
      <c r="AG354" s="8">
        <v>0</v>
      </c>
      <c r="AH354" s="9">
        <v>1</v>
      </c>
      <c r="AI354" s="30">
        <v>0</v>
      </c>
      <c r="AJ354" s="9">
        <v>0</v>
      </c>
      <c r="AK354" s="30">
        <v>1</v>
      </c>
      <c r="AL354" s="21">
        <v>2010</v>
      </c>
      <c r="AM354" s="23">
        <f t="shared" si="98"/>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16</v>
      </c>
      <c r="DB354" s="34"/>
    </row>
    <row r="355" spans="1:106" x14ac:dyDescent="0.25">
      <c r="A355">
        <v>354</v>
      </c>
      <c r="B355">
        <v>23</v>
      </c>
      <c r="C355" s="25" t="s">
        <v>242</v>
      </c>
      <c r="D355" s="12">
        <v>21.4</v>
      </c>
      <c r="E355" s="14">
        <v>4.41</v>
      </c>
      <c r="F355" s="7">
        <f t="shared" si="103"/>
        <v>4.8526077097505667</v>
      </c>
      <c r="G355" s="7">
        <f t="shared" si="89"/>
        <v>16.989999999999998</v>
      </c>
      <c r="H355" s="16">
        <f t="shared" si="90"/>
        <v>25.81</v>
      </c>
      <c r="I355" s="11">
        <f t="shared" si="91"/>
        <v>0.16090236206446146</v>
      </c>
      <c r="J355" s="33">
        <f t="shared" si="92"/>
        <v>3.3157916668424069E-2</v>
      </c>
      <c r="K355" s="33">
        <f t="shared" si="93"/>
        <v>30.158710210894803</v>
      </c>
      <c r="L355" s="33">
        <f t="shared" si="94"/>
        <v>0.12774444539603738</v>
      </c>
      <c r="M355" s="33">
        <f t="shared" si="95"/>
        <v>0.19406027873288553</v>
      </c>
      <c r="N355" s="8">
        <v>0</v>
      </c>
      <c r="O355" s="9">
        <v>1</v>
      </c>
      <c r="P355" s="8">
        <v>0</v>
      </c>
      <c r="Q355" s="9">
        <v>0</v>
      </c>
      <c r="R355" s="9">
        <v>0</v>
      </c>
      <c r="S355" s="9">
        <v>1</v>
      </c>
      <c r="T355" s="9">
        <v>0</v>
      </c>
      <c r="U355" s="8">
        <v>890</v>
      </c>
      <c r="V355" s="9">
        <v>3</v>
      </c>
      <c r="W355" s="9">
        <f t="shared" si="96"/>
        <v>886</v>
      </c>
      <c r="X355" s="9">
        <f t="shared" si="97"/>
        <v>15</v>
      </c>
      <c r="Y355" s="7">
        <v>7.0203000000000007</v>
      </c>
      <c r="Z355" s="7">
        <f t="shared" si="104"/>
        <v>19.479700000000001</v>
      </c>
      <c r="AA355" s="9">
        <v>1</v>
      </c>
      <c r="AB355" s="9">
        <v>0</v>
      </c>
      <c r="AC355" s="9">
        <v>0</v>
      </c>
      <c r="AD355" s="9">
        <v>0</v>
      </c>
      <c r="AE355" s="9">
        <v>1</v>
      </c>
      <c r="AF355" s="9">
        <v>0</v>
      </c>
      <c r="AG355" s="8">
        <v>0</v>
      </c>
      <c r="AH355" s="9">
        <v>1</v>
      </c>
      <c r="AI355" s="30">
        <v>0</v>
      </c>
      <c r="AJ355" s="9">
        <v>0</v>
      </c>
      <c r="AK355" s="30">
        <v>1</v>
      </c>
      <c r="AL355" s="21">
        <v>2010</v>
      </c>
      <c r="AM355" s="23">
        <f t="shared" si="98"/>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16</v>
      </c>
      <c r="DB355" s="34"/>
    </row>
    <row r="356" spans="1:106" x14ac:dyDescent="0.25">
      <c r="A356">
        <v>355</v>
      </c>
      <c r="B356">
        <v>23</v>
      </c>
      <c r="C356" s="25" t="s">
        <v>242</v>
      </c>
      <c r="D356" s="12">
        <v>14.4</v>
      </c>
      <c r="E356" s="14">
        <v>1.4</v>
      </c>
      <c r="F356" s="7">
        <f t="shared" si="103"/>
        <v>10.285714285714286</v>
      </c>
      <c r="G356" s="7">
        <f t="shared" si="89"/>
        <v>13</v>
      </c>
      <c r="H356" s="16">
        <f t="shared" si="90"/>
        <v>15.8</v>
      </c>
      <c r="I356" s="11">
        <f t="shared" si="91"/>
        <v>0.32677013083849349</v>
      </c>
      <c r="J356" s="33">
        <f t="shared" si="92"/>
        <v>3.1769318275964645E-2</v>
      </c>
      <c r="K356" s="33">
        <f t="shared" si="93"/>
        <v>31.476910877138927</v>
      </c>
      <c r="L356" s="33">
        <f t="shared" si="94"/>
        <v>0.29500081256252886</v>
      </c>
      <c r="M356" s="33">
        <f t="shared" si="95"/>
        <v>0.35853944911445812</v>
      </c>
      <c r="N356" s="8">
        <v>0</v>
      </c>
      <c r="O356" s="9">
        <v>1</v>
      </c>
      <c r="P356" s="8">
        <v>0</v>
      </c>
      <c r="Q356" s="9">
        <v>0</v>
      </c>
      <c r="R356" s="9">
        <v>0</v>
      </c>
      <c r="S356" s="9">
        <v>1</v>
      </c>
      <c r="T356" s="9">
        <v>0</v>
      </c>
      <c r="U356" s="8">
        <v>890</v>
      </c>
      <c r="V356" s="9">
        <v>4</v>
      </c>
      <c r="W356" s="9">
        <f t="shared" si="96"/>
        <v>885</v>
      </c>
      <c r="X356" s="9">
        <f t="shared" si="97"/>
        <v>15</v>
      </c>
      <c r="Y356" s="7">
        <v>7.0203000000000007</v>
      </c>
      <c r="Z356" s="7">
        <f t="shared" si="104"/>
        <v>19.479700000000001</v>
      </c>
      <c r="AA356" s="9">
        <v>1</v>
      </c>
      <c r="AB356" s="9">
        <v>0</v>
      </c>
      <c r="AC356" s="9">
        <v>0</v>
      </c>
      <c r="AD356" s="9">
        <v>0</v>
      </c>
      <c r="AE356" s="9">
        <v>1</v>
      </c>
      <c r="AF356" s="9">
        <v>0</v>
      </c>
      <c r="AG356" s="8">
        <v>0</v>
      </c>
      <c r="AH356" s="9">
        <v>1</v>
      </c>
      <c r="AI356" s="30">
        <v>0</v>
      </c>
      <c r="AJ356" s="9">
        <v>0</v>
      </c>
      <c r="AK356" s="30">
        <v>1</v>
      </c>
      <c r="AL356" s="21">
        <v>2010</v>
      </c>
      <c r="AM356" s="23">
        <f t="shared" si="98"/>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16</v>
      </c>
      <c r="DB356" s="34"/>
    </row>
    <row r="357" spans="1:106" x14ac:dyDescent="0.25">
      <c r="A357">
        <v>356</v>
      </c>
      <c r="B357">
        <v>23</v>
      </c>
      <c r="C357" s="25" t="s">
        <v>242</v>
      </c>
      <c r="D357" s="12">
        <v>34.5</v>
      </c>
      <c r="E357" s="14">
        <v>5.26</v>
      </c>
      <c r="F357" s="7">
        <f t="shared" si="103"/>
        <v>6.5589353612167303</v>
      </c>
      <c r="G357" s="7">
        <f t="shared" si="89"/>
        <v>29.240000000000002</v>
      </c>
      <c r="H357" s="16">
        <f t="shared" si="90"/>
        <v>39.76</v>
      </c>
      <c r="I357" s="11">
        <f t="shared" si="91"/>
        <v>0.10051468619482916</v>
      </c>
      <c r="J357" s="33">
        <f t="shared" si="92"/>
        <v>1.5324847808255111E-2</v>
      </c>
      <c r="K357" s="33">
        <f t="shared" si="93"/>
        <v>65.253502841400163</v>
      </c>
      <c r="L357" s="33">
        <f t="shared" si="94"/>
        <v>8.5189838386574041E-2</v>
      </c>
      <c r="M357" s="33">
        <f t="shared" si="95"/>
        <v>0.11583953400308428</v>
      </c>
      <c r="N357" s="8">
        <v>0</v>
      </c>
      <c r="O357" s="9">
        <v>1</v>
      </c>
      <c r="P357" s="8">
        <v>0</v>
      </c>
      <c r="Q357" s="9">
        <v>0</v>
      </c>
      <c r="R357" s="9">
        <v>0</v>
      </c>
      <c r="S357" s="9">
        <v>1</v>
      </c>
      <c r="T357" s="9">
        <v>0</v>
      </c>
      <c r="U357" s="8">
        <v>4219</v>
      </c>
      <c r="V357" s="9">
        <v>3</v>
      </c>
      <c r="W357" s="9">
        <f t="shared" si="96"/>
        <v>4215</v>
      </c>
      <c r="X357" s="9">
        <f t="shared" si="97"/>
        <v>15</v>
      </c>
      <c r="Y357" s="7">
        <v>7.0203000000000007</v>
      </c>
      <c r="Z357" s="7">
        <f t="shared" si="104"/>
        <v>19.479700000000001</v>
      </c>
      <c r="AA357" s="9">
        <v>1</v>
      </c>
      <c r="AB357" s="9">
        <v>0</v>
      </c>
      <c r="AC357" s="9">
        <v>0</v>
      </c>
      <c r="AD357" s="9">
        <v>0</v>
      </c>
      <c r="AE357" s="9">
        <v>1</v>
      </c>
      <c r="AF357" s="9">
        <v>0</v>
      </c>
      <c r="AG357" s="8">
        <v>0</v>
      </c>
      <c r="AH357" s="9">
        <v>1</v>
      </c>
      <c r="AI357" s="30">
        <v>0</v>
      </c>
      <c r="AJ357" s="9">
        <v>0</v>
      </c>
      <c r="AK357" s="30">
        <v>1</v>
      </c>
      <c r="AL357" s="21">
        <v>2010</v>
      </c>
      <c r="AM357" s="23">
        <f t="shared" si="98"/>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16</v>
      </c>
      <c r="DB357" s="34"/>
    </row>
    <row r="358" spans="1:106" x14ac:dyDescent="0.25">
      <c r="A358">
        <v>357</v>
      </c>
      <c r="B358">
        <v>23</v>
      </c>
      <c r="C358" s="25" t="s">
        <v>242</v>
      </c>
      <c r="D358" s="12">
        <v>5.62</v>
      </c>
      <c r="E358" s="14">
        <v>2.2999999999999998</v>
      </c>
      <c r="F358" s="7">
        <f t="shared" si="103"/>
        <v>2.4434782608695653</v>
      </c>
      <c r="G358" s="7">
        <f t="shared" si="89"/>
        <v>3.3200000000000003</v>
      </c>
      <c r="H358" s="16">
        <f t="shared" si="90"/>
        <v>7.92</v>
      </c>
      <c r="I358" s="11">
        <f t="shared" si="91"/>
        <v>0.10025960981878747</v>
      </c>
      <c r="J358" s="33">
        <f t="shared" si="92"/>
        <v>4.1031512915162126E-2</v>
      </c>
      <c r="K358" s="33">
        <f t="shared" si="93"/>
        <v>24.371511771150804</v>
      </c>
      <c r="L358" s="33">
        <f t="shared" si="94"/>
        <v>5.9228096903625342E-2</v>
      </c>
      <c r="M358" s="33">
        <f t="shared" si="95"/>
        <v>0.14129112273394959</v>
      </c>
      <c r="N358" s="8">
        <v>0</v>
      </c>
      <c r="O358" s="9">
        <v>1</v>
      </c>
      <c r="P358" s="8">
        <v>0</v>
      </c>
      <c r="Q358" s="9">
        <v>0</v>
      </c>
      <c r="R358" s="9">
        <v>0</v>
      </c>
      <c r="S358" s="9">
        <v>1</v>
      </c>
      <c r="T358" s="9">
        <v>0</v>
      </c>
      <c r="U358" s="8">
        <v>592</v>
      </c>
      <c r="V358" s="9">
        <v>3</v>
      </c>
      <c r="W358" s="9">
        <f t="shared" si="96"/>
        <v>588</v>
      </c>
      <c r="X358" s="9">
        <f t="shared" si="97"/>
        <v>15</v>
      </c>
      <c r="Y358" s="7">
        <v>7.0203000000000007</v>
      </c>
      <c r="Z358" s="7">
        <f t="shared" si="104"/>
        <v>19.479700000000001</v>
      </c>
      <c r="AA358" s="9">
        <v>1</v>
      </c>
      <c r="AB358" s="9">
        <v>0</v>
      </c>
      <c r="AC358" s="9">
        <v>0</v>
      </c>
      <c r="AD358" s="9">
        <v>0</v>
      </c>
      <c r="AE358" s="9">
        <v>1</v>
      </c>
      <c r="AF358" s="9">
        <v>0</v>
      </c>
      <c r="AG358" s="8">
        <v>0</v>
      </c>
      <c r="AH358" s="9">
        <v>1</v>
      </c>
      <c r="AI358" s="30">
        <v>0</v>
      </c>
      <c r="AJ358" s="9">
        <v>0</v>
      </c>
      <c r="AK358" s="30">
        <v>1</v>
      </c>
      <c r="AL358" s="21">
        <v>2010</v>
      </c>
      <c r="AM358" s="23">
        <f t="shared" si="98"/>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16</v>
      </c>
      <c r="DB358" s="34"/>
    </row>
    <row r="359" spans="1:106" x14ac:dyDescent="0.25">
      <c r="A359">
        <v>358</v>
      </c>
      <c r="B359">
        <v>23</v>
      </c>
      <c r="C359" s="25" t="s">
        <v>242</v>
      </c>
      <c r="D359" s="12">
        <v>4.5999999999999996</v>
      </c>
      <c r="E359" s="14">
        <v>8.3699999999999992</v>
      </c>
      <c r="F359" s="7">
        <f t="shared" si="103"/>
        <v>0.54958183990442055</v>
      </c>
      <c r="G359" s="7">
        <f t="shared" si="89"/>
        <v>-3.7699999999999996</v>
      </c>
      <c r="H359" s="16">
        <f t="shared" si="90"/>
        <v>12.969999999999999</v>
      </c>
      <c r="I359" s="11">
        <f t="shared" si="91"/>
        <v>1.9500221059366833E-2</v>
      </c>
      <c r="J359" s="33">
        <f t="shared" si="92"/>
        <v>3.5481923971065296E-2</v>
      </c>
      <c r="K359" s="33">
        <f t="shared" si="93"/>
        <v>28.183364600394199</v>
      </c>
      <c r="L359" s="33">
        <f t="shared" si="94"/>
        <v>-1.5981702911698464E-2</v>
      </c>
      <c r="M359" s="33">
        <f t="shared" si="95"/>
        <v>5.4982145030432125E-2</v>
      </c>
      <c r="N359" s="8">
        <v>0</v>
      </c>
      <c r="O359" s="9">
        <v>1</v>
      </c>
      <c r="P359" s="8">
        <v>0</v>
      </c>
      <c r="Q359" s="9">
        <v>0</v>
      </c>
      <c r="R359" s="9">
        <v>0</v>
      </c>
      <c r="S359" s="9">
        <v>1</v>
      </c>
      <c r="T359" s="9">
        <v>0</v>
      </c>
      <c r="U359" s="8">
        <v>798</v>
      </c>
      <c r="V359" s="9">
        <v>3</v>
      </c>
      <c r="W359" s="9">
        <f t="shared" si="96"/>
        <v>794</v>
      </c>
      <c r="X359" s="9">
        <f t="shared" si="97"/>
        <v>15</v>
      </c>
      <c r="Y359" s="7">
        <v>7.0203000000000007</v>
      </c>
      <c r="Z359" s="7">
        <f t="shared" si="104"/>
        <v>19.479700000000001</v>
      </c>
      <c r="AA359" s="9">
        <v>1</v>
      </c>
      <c r="AB359" s="9">
        <v>0</v>
      </c>
      <c r="AC359" s="9">
        <v>0</v>
      </c>
      <c r="AD359" s="9">
        <v>0</v>
      </c>
      <c r="AE359" s="9">
        <v>1</v>
      </c>
      <c r="AF359" s="9">
        <v>0</v>
      </c>
      <c r="AG359" s="8">
        <v>0</v>
      </c>
      <c r="AH359" s="9">
        <v>1</v>
      </c>
      <c r="AI359" s="30">
        <v>0</v>
      </c>
      <c r="AJ359" s="9">
        <v>0</v>
      </c>
      <c r="AK359" s="30">
        <v>1</v>
      </c>
      <c r="AL359" s="21">
        <v>2010</v>
      </c>
      <c r="AM359" s="23">
        <f t="shared" si="98"/>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16</v>
      </c>
      <c r="DB359" s="34"/>
    </row>
    <row r="360" spans="1:106" x14ac:dyDescent="0.25">
      <c r="A360">
        <v>359</v>
      </c>
      <c r="B360">
        <v>23</v>
      </c>
      <c r="C360" s="25" t="s">
        <v>242</v>
      </c>
      <c r="D360" s="12">
        <v>15.5</v>
      </c>
      <c r="E360" s="14">
        <v>4.87</v>
      </c>
      <c r="F360" s="7">
        <f t="shared" si="103"/>
        <v>3.1827515400410675</v>
      </c>
      <c r="G360" s="7">
        <f t="shared" si="89"/>
        <v>10.629999999999999</v>
      </c>
      <c r="H360" s="16">
        <f t="shared" si="90"/>
        <v>20.37</v>
      </c>
      <c r="I360" s="11">
        <f t="shared" si="91"/>
        <v>7.9865593759938999E-2</v>
      </c>
      <c r="J360" s="33">
        <f t="shared" si="92"/>
        <v>2.5093254297477611E-2</v>
      </c>
      <c r="K360" s="33">
        <f t="shared" si="93"/>
        <v>39.851347622955409</v>
      </c>
      <c r="L360" s="33">
        <f t="shared" si="94"/>
        <v>5.4772339462461392E-2</v>
      </c>
      <c r="M360" s="33">
        <f t="shared" si="95"/>
        <v>0.10495884805741661</v>
      </c>
      <c r="N360" s="8">
        <v>0</v>
      </c>
      <c r="O360" s="9">
        <v>1</v>
      </c>
      <c r="P360" s="8">
        <v>0</v>
      </c>
      <c r="Q360" s="9">
        <v>0</v>
      </c>
      <c r="R360" s="9">
        <v>0</v>
      </c>
      <c r="S360" s="9">
        <v>1</v>
      </c>
      <c r="T360" s="9">
        <v>0</v>
      </c>
      <c r="U360" s="8">
        <v>1582</v>
      </c>
      <c r="V360" s="9">
        <v>3</v>
      </c>
      <c r="W360" s="9">
        <f t="shared" si="96"/>
        <v>1578</v>
      </c>
      <c r="X360" s="9">
        <f t="shared" si="97"/>
        <v>15</v>
      </c>
      <c r="Y360" s="7">
        <v>7.0203000000000007</v>
      </c>
      <c r="Z360" s="7">
        <f t="shared" si="104"/>
        <v>19.479700000000001</v>
      </c>
      <c r="AA360" s="9">
        <v>1</v>
      </c>
      <c r="AB360" s="9">
        <v>0</v>
      </c>
      <c r="AC360" s="9">
        <v>0</v>
      </c>
      <c r="AD360" s="9">
        <v>0</v>
      </c>
      <c r="AE360" s="9">
        <v>1</v>
      </c>
      <c r="AF360" s="9">
        <v>0</v>
      </c>
      <c r="AG360" s="8">
        <v>0</v>
      </c>
      <c r="AH360" s="9">
        <v>1</v>
      </c>
      <c r="AI360" s="30">
        <v>0</v>
      </c>
      <c r="AJ360" s="9">
        <v>0</v>
      </c>
      <c r="AK360" s="30">
        <v>1</v>
      </c>
      <c r="AL360" s="21">
        <v>2010</v>
      </c>
      <c r="AM360" s="23">
        <f t="shared" si="98"/>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16</v>
      </c>
      <c r="DB360" s="34"/>
    </row>
    <row r="361" spans="1:106" s="51" customFormat="1" x14ac:dyDescent="0.25">
      <c r="A361" s="51">
        <v>360</v>
      </c>
      <c r="B361" s="51">
        <v>23</v>
      </c>
      <c r="C361" s="52" t="s">
        <v>242</v>
      </c>
      <c r="D361" s="53">
        <v>37.700000000000003</v>
      </c>
      <c r="E361" s="54">
        <v>5.13</v>
      </c>
      <c r="F361" s="55">
        <f t="shared" si="103"/>
        <v>7.3489278752436658</v>
      </c>
      <c r="G361" s="55">
        <f t="shared" si="89"/>
        <v>32.57</v>
      </c>
      <c r="H361" s="56">
        <f t="shared" si="90"/>
        <v>42.830000000000005</v>
      </c>
      <c r="I361" s="57">
        <f t="shared" si="91"/>
        <v>0.15714440548743447</v>
      </c>
      <c r="J361" s="58">
        <f t="shared" si="92"/>
        <v>2.1383310348820659E-2</v>
      </c>
      <c r="K361" s="58">
        <f t="shared" si="93"/>
        <v>46.765443875959662</v>
      </c>
      <c r="L361" s="58">
        <f t="shared" si="94"/>
        <v>0.13576109513861381</v>
      </c>
      <c r="M361" s="58">
        <f t="shared" si="95"/>
        <v>0.17852771583625512</v>
      </c>
      <c r="N361" s="59">
        <v>0</v>
      </c>
      <c r="O361" s="60">
        <v>1</v>
      </c>
      <c r="P361" s="59">
        <v>0</v>
      </c>
      <c r="Q361" s="60">
        <v>0</v>
      </c>
      <c r="R361" s="60">
        <v>0</v>
      </c>
      <c r="S361" s="60">
        <v>1</v>
      </c>
      <c r="T361" s="60">
        <v>0</v>
      </c>
      <c r="U361" s="59">
        <v>2137</v>
      </c>
      <c r="V361" s="60">
        <v>3</v>
      </c>
      <c r="W361" s="60">
        <f t="shared" si="96"/>
        <v>2133</v>
      </c>
      <c r="X361" s="60">
        <f t="shared" si="97"/>
        <v>15</v>
      </c>
      <c r="Y361" s="55">
        <v>7.0203000000000007</v>
      </c>
      <c r="Z361" s="55">
        <f t="shared" si="104"/>
        <v>19.479700000000001</v>
      </c>
      <c r="AA361" s="60">
        <v>1</v>
      </c>
      <c r="AB361" s="60">
        <v>0</v>
      </c>
      <c r="AC361" s="60">
        <v>0</v>
      </c>
      <c r="AD361" s="60">
        <v>0</v>
      </c>
      <c r="AE361" s="60">
        <v>1</v>
      </c>
      <c r="AF361" s="60">
        <v>0</v>
      </c>
      <c r="AG361" s="59">
        <v>0</v>
      </c>
      <c r="AH361" s="60">
        <v>1</v>
      </c>
      <c r="AI361" s="61">
        <v>0</v>
      </c>
      <c r="AJ361" s="60">
        <v>0</v>
      </c>
      <c r="AK361" s="61">
        <v>1</v>
      </c>
      <c r="AL361" s="62">
        <v>2010</v>
      </c>
      <c r="AM361" s="63">
        <f t="shared" si="98"/>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16</v>
      </c>
      <c r="CW361" s="68"/>
      <c r="DB361" s="68"/>
    </row>
    <row r="362" spans="1:106" x14ac:dyDescent="0.25">
      <c r="A362">
        <v>361</v>
      </c>
      <c r="B362">
        <v>24</v>
      </c>
      <c r="C362" s="25" t="s">
        <v>253</v>
      </c>
      <c r="D362" s="12">
        <v>7.2</v>
      </c>
      <c r="E362" s="14">
        <v>0.5</v>
      </c>
      <c r="F362" s="7">
        <f t="shared" si="103"/>
        <v>14.4</v>
      </c>
      <c r="G362" s="7">
        <f t="shared" si="89"/>
        <v>6.7</v>
      </c>
      <c r="H362" s="16">
        <f t="shared" si="90"/>
        <v>7.7</v>
      </c>
      <c r="I362" s="11">
        <f t="shared" si="91"/>
        <v>0.13314306921085112</v>
      </c>
      <c r="J362" s="33">
        <f t="shared" si="92"/>
        <v>9.2460464729757722E-3</v>
      </c>
      <c r="K362" s="33">
        <f t="shared" si="93"/>
        <v>108.15433417112789</v>
      </c>
      <c r="L362" s="33">
        <f t="shared" si="94"/>
        <v>0.12389702273787534</v>
      </c>
      <c r="M362" s="33">
        <f t="shared" si="95"/>
        <v>0.14238911568382689</v>
      </c>
      <c r="N362" s="8">
        <v>1</v>
      </c>
      <c r="O362" s="9">
        <v>0</v>
      </c>
      <c r="P362" s="8">
        <v>0</v>
      </c>
      <c r="Q362" s="9">
        <v>0</v>
      </c>
      <c r="R362" s="9">
        <v>1</v>
      </c>
      <c r="S362" s="9">
        <v>0</v>
      </c>
      <c r="T362" s="9">
        <v>0</v>
      </c>
      <c r="U362" s="8">
        <v>11501</v>
      </c>
      <c r="V362" s="9">
        <v>10</v>
      </c>
      <c r="W362" s="9">
        <f t="shared" si="96"/>
        <v>11490</v>
      </c>
      <c r="X362" s="9">
        <f t="shared" si="97"/>
        <v>32</v>
      </c>
      <c r="Y362" s="7">
        <v>5.6660000000000004</v>
      </c>
      <c r="Z362" s="7">
        <v>20.492000000000001</v>
      </c>
      <c r="AA362" s="9">
        <v>1</v>
      </c>
      <c r="AB362" s="9">
        <v>0</v>
      </c>
      <c r="AC362" s="9">
        <v>0</v>
      </c>
      <c r="AD362" s="9">
        <v>0</v>
      </c>
      <c r="AE362" s="9">
        <v>1</v>
      </c>
      <c r="AF362" s="9">
        <v>0</v>
      </c>
      <c r="AG362" s="8">
        <v>0</v>
      </c>
      <c r="AH362" s="9">
        <v>1</v>
      </c>
      <c r="AI362" s="30">
        <v>0</v>
      </c>
      <c r="AJ362" s="9">
        <v>1</v>
      </c>
      <c r="AK362" s="30">
        <v>0</v>
      </c>
      <c r="AL362" s="21">
        <v>2002</v>
      </c>
      <c r="AM362" s="23">
        <f t="shared" si="98"/>
        <v>7.6019019598751658</v>
      </c>
      <c r="AN362" s="33">
        <v>0.44</v>
      </c>
      <c r="AO362" s="33">
        <v>9.7000000000000003E-2</v>
      </c>
      <c r="AP362" s="33">
        <v>0.35499999999999998</v>
      </c>
      <c r="AQ362" s="43">
        <f t="shared" ref="AQ362:AQ393" si="105">1-(SUM(AN362:AP362))</f>
        <v>0.10799999999999998</v>
      </c>
      <c r="AR362" s="42">
        <v>0.57999999999999996</v>
      </c>
      <c r="AS362" s="18">
        <v>0.42</v>
      </c>
      <c r="AT362">
        <v>1</v>
      </c>
      <c r="AU362" s="40">
        <v>0</v>
      </c>
      <c r="AV362" t="s">
        <v>104</v>
      </c>
      <c r="AW362" s="40" t="s">
        <v>104</v>
      </c>
      <c r="AX362">
        <v>0</v>
      </c>
      <c r="AY362" s="18">
        <v>1</v>
      </c>
      <c r="AZ362">
        <f t="shared" ref="AZ362:AZ397" si="10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11</v>
      </c>
      <c r="DB362" s="34"/>
    </row>
    <row r="363" spans="1:106" x14ac:dyDescent="0.25">
      <c r="A363">
        <v>362</v>
      </c>
      <c r="B363">
        <v>24</v>
      </c>
      <c r="C363" s="25" t="s">
        <v>253</v>
      </c>
      <c r="D363" s="12">
        <v>2.7769996967160542</v>
      </c>
      <c r="E363" s="14">
        <v>0.40838230834059608</v>
      </c>
      <c r="F363" s="7">
        <v>6.8000000000000007</v>
      </c>
      <c r="G363" s="7">
        <f t="shared" si="89"/>
        <v>2.368617388375458</v>
      </c>
      <c r="H363" s="16">
        <f t="shared" si="90"/>
        <v>3.1853820050566504</v>
      </c>
      <c r="I363" s="11">
        <f t="shared" si="91"/>
        <v>6.3329866538037571E-2</v>
      </c>
      <c r="J363" s="33">
        <f t="shared" si="92"/>
        <v>9.3132156673584668E-3</v>
      </c>
      <c r="K363" s="33">
        <f t="shared" si="93"/>
        <v>107.37429860073591</v>
      </c>
      <c r="L363" s="33">
        <f t="shared" si="94"/>
        <v>5.4016650870679105E-2</v>
      </c>
      <c r="M363" s="33">
        <f t="shared" si="95"/>
        <v>7.2643082205396031E-2</v>
      </c>
      <c r="N363" s="8">
        <v>1</v>
      </c>
      <c r="O363" s="9">
        <v>0</v>
      </c>
      <c r="P363" s="8">
        <v>0</v>
      </c>
      <c r="Q363" s="9">
        <v>0</v>
      </c>
      <c r="R363" s="9">
        <v>1</v>
      </c>
      <c r="S363" s="9">
        <v>0</v>
      </c>
      <c r="T363" s="9">
        <v>0</v>
      </c>
      <c r="U363" s="8">
        <v>11501</v>
      </c>
      <c r="V363" s="9">
        <v>17</v>
      </c>
      <c r="W363" s="9">
        <f t="shared" si="96"/>
        <v>11483</v>
      </c>
      <c r="X363" s="9">
        <f t="shared" si="97"/>
        <v>32</v>
      </c>
      <c r="Y363" s="7">
        <v>5</v>
      </c>
      <c r="Z363" s="7">
        <v>20.492000000000001</v>
      </c>
      <c r="AA363" s="9">
        <v>0</v>
      </c>
      <c r="AB363" s="9">
        <v>1</v>
      </c>
      <c r="AC363" s="9">
        <v>0</v>
      </c>
      <c r="AD363" s="9">
        <v>0</v>
      </c>
      <c r="AE363" s="9">
        <v>1</v>
      </c>
      <c r="AF363" s="9">
        <v>0</v>
      </c>
      <c r="AG363" s="8">
        <v>0</v>
      </c>
      <c r="AH363" s="9">
        <v>1</v>
      </c>
      <c r="AI363" s="30">
        <v>0</v>
      </c>
      <c r="AJ363" s="9">
        <v>1</v>
      </c>
      <c r="AK363" s="30">
        <v>0</v>
      </c>
      <c r="AL363" s="21">
        <v>2002</v>
      </c>
      <c r="AM363" s="23">
        <f t="shared" si="98"/>
        <v>7.6019019598751658</v>
      </c>
      <c r="AN363" s="33">
        <v>0.44</v>
      </c>
      <c r="AO363" s="33">
        <v>9.7000000000000003E-2</v>
      </c>
      <c r="AP363" s="33">
        <v>0.35499999999999998</v>
      </c>
      <c r="AQ363" s="43">
        <f t="shared" si="105"/>
        <v>0.10799999999999998</v>
      </c>
      <c r="AR363" s="42">
        <v>0.57999999999999996</v>
      </c>
      <c r="AS363" s="18">
        <v>0.42</v>
      </c>
      <c r="AT363">
        <v>1</v>
      </c>
      <c r="AU363" s="40">
        <v>0</v>
      </c>
      <c r="AV363" t="s">
        <v>104</v>
      </c>
      <c r="AW363" s="40" t="s">
        <v>104</v>
      </c>
      <c r="AX363">
        <v>0</v>
      </c>
      <c r="AY363" s="18">
        <v>1</v>
      </c>
      <c r="AZ363">
        <f t="shared" si="10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11</v>
      </c>
      <c r="DB363" s="34"/>
    </row>
    <row r="364" spans="1:106" x14ac:dyDescent="0.25">
      <c r="A364">
        <v>363</v>
      </c>
      <c r="B364">
        <v>24</v>
      </c>
      <c r="C364" s="25" t="s">
        <v>253</v>
      </c>
      <c r="D364" s="12">
        <v>4.4633839671773368</v>
      </c>
      <c r="E364" s="14">
        <v>0.32940103078799532</v>
      </c>
      <c r="F364" s="7">
        <v>13.55</v>
      </c>
      <c r="G364" s="7">
        <f t="shared" si="89"/>
        <v>4.1339829363893417</v>
      </c>
      <c r="H364" s="16">
        <f t="shared" si="90"/>
        <v>4.7927849979653319</v>
      </c>
      <c r="I364" s="11">
        <f t="shared" si="91"/>
        <v>0.12544896850431847</v>
      </c>
      <c r="J364" s="33">
        <f t="shared" si="92"/>
        <v>9.2582264578832812E-3</v>
      </c>
      <c r="K364" s="33">
        <f t="shared" si="93"/>
        <v>108.01204793910725</v>
      </c>
      <c r="L364" s="33">
        <f t="shared" si="94"/>
        <v>0.11619074204643519</v>
      </c>
      <c r="M364" s="33">
        <f t="shared" si="95"/>
        <v>0.13470719496220174</v>
      </c>
      <c r="N364" s="8">
        <v>1</v>
      </c>
      <c r="O364" s="9">
        <v>0</v>
      </c>
      <c r="P364" s="8">
        <v>0</v>
      </c>
      <c r="Q364" s="9">
        <v>0</v>
      </c>
      <c r="R364" s="9">
        <v>1</v>
      </c>
      <c r="S364" s="9">
        <v>0</v>
      </c>
      <c r="T364" s="9">
        <v>0</v>
      </c>
      <c r="U364" s="8">
        <v>11501</v>
      </c>
      <c r="V364" s="9">
        <v>17</v>
      </c>
      <c r="W364" s="9">
        <f t="shared" si="96"/>
        <v>11483</v>
      </c>
      <c r="X364" s="9">
        <f t="shared" si="97"/>
        <v>32</v>
      </c>
      <c r="Y364" s="7">
        <v>8</v>
      </c>
      <c r="Z364" s="7">
        <v>20.492000000000001</v>
      </c>
      <c r="AA364" s="9">
        <v>0</v>
      </c>
      <c r="AB364" s="9">
        <v>1</v>
      </c>
      <c r="AC364" s="9">
        <v>0</v>
      </c>
      <c r="AD364" s="9">
        <v>0</v>
      </c>
      <c r="AE364" s="9">
        <v>1</v>
      </c>
      <c r="AF364" s="9">
        <v>0</v>
      </c>
      <c r="AG364" s="8">
        <v>0</v>
      </c>
      <c r="AH364" s="9">
        <v>1</v>
      </c>
      <c r="AI364" s="30">
        <v>0</v>
      </c>
      <c r="AJ364" s="9">
        <v>1</v>
      </c>
      <c r="AK364" s="30">
        <v>0</v>
      </c>
      <c r="AL364" s="21">
        <v>2002</v>
      </c>
      <c r="AM364" s="23">
        <f t="shared" si="98"/>
        <v>7.6019019598751658</v>
      </c>
      <c r="AN364" s="33">
        <v>0.44</v>
      </c>
      <c r="AO364" s="33">
        <v>9.7000000000000003E-2</v>
      </c>
      <c r="AP364" s="33">
        <v>0.35499999999999998</v>
      </c>
      <c r="AQ364" s="43">
        <f t="shared" si="105"/>
        <v>0.10799999999999998</v>
      </c>
      <c r="AR364" s="42">
        <v>0.57999999999999996</v>
      </c>
      <c r="AS364" s="18">
        <v>0.42</v>
      </c>
      <c r="AT364">
        <v>1</v>
      </c>
      <c r="AU364" s="40">
        <v>0</v>
      </c>
      <c r="AV364" t="s">
        <v>104</v>
      </c>
      <c r="AW364" s="40" t="s">
        <v>104</v>
      </c>
      <c r="AX364">
        <v>0</v>
      </c>
      <c r="AY364" s="18">
        <v>1</v>
      </c>
      <c r="AZ364">
        <f t="shared" si="10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11</v>
      </c>
      <c r="DB364" s="34"/>
    </row>
    <row r="365" spans="1:106" x14ac:dyDescent="0.25">
      <c r="A365">
        <v>364</v>
      </c>
      <c r="B365">
        <v>24</v>
      </c>
      <c r="C365" s="25" t="s">
        <v>253</v>
      </c>
      <c r="D365" s="12">
        <v>13.075934214887059</v>
      </c>
      <c r="E365" s="14">
        <v>0.48973536385344812</v>
      </c>
      <c r="F365" s="7">
        <v>26.7</v>
      </c>
      <c r="G365" s="7">
        <f t="shared" si="89"/>
        <v>12.586198851033611</v>
      </c>
      <c r="H365" s="16">
        <f t="shared" si="90"/>
        <v>13.565669578740508</v>
      </c>
      <c r="I365" s="11">
        <f t="shared" si="91"/>
        <v>0.24177116993399661</v>
      </c>
      <c r="J365" s="33">
        <f t="shared" si="92"/>
        <v>9.0550999975279618E-3</v>
      </c>
      <c r="K365" s="33">
        <f t="shared" si="93"/>
        <v>110.43500350885131</v>
      </c>
      <c r="L365" s="33">
        <f t="shared" si="94"/>
        <v>0.23271606993646865</v>
      </c>
      <c r="M365" s="33">
        <f t="shared" si="95"/>
        <v>0.25082626993152457</v>
      </c>
      <c r="N365" s="8">
        <v>1</v>
      </c>
      <c r="O365" s="9">
        <v>0</v>
      </c>
      <c r="P365" s="8">
        <v>0</v>
      </c>
      <c r="Q365" s="9">
        <v>0</v>
      </c>
      <c r="R365" s="9">
        <v>1</v>
      </c>
      <c r="S365" s="9">
        <v>0</v>
      </c>
      <c r="T365" s="9">
        <v>0</v>
      </c>
      <c r="U365" s="8">
        <v>11501</v>
      </c>
      <c r="V365" s="9">
        <v>17</v>
      </c>
      <c r="W365" s="9">
        <f t="shared" si="96"/>
        <v>11483</v>
      </c>
      <c r="X365" s="9">
        <f t="shared" si="97"/>
        <v>32</v>
      </c>
      <c r="Y365" s="7">
        <v>10</v>
      </c>
      <c r="Z365" s="7">
        <v>20.492000000000001</v>
      </c>
      <c r="AA365" s="9">
        <v>0</v>
      </c>
      <c r="AB365" s="9">
        <v>1</v>
      </c>
      <c r="AC365" s="9">
        <v>0</v>
      </c>
      <c r="AD365" s="9">
        <v>0</v>
      </c>
      <c r="AE365" s="9">
        <v>1</v>
      </c>
      <c r="AF365" s="9">
        <v>0</v>
      </c>
      <c r="AG365" s="8">
        <v>0</v>
      </c>
      <c r="AH365" s="9">
        <v>1</v>
      </c>
      <c r="AI365" s="30">
        <v>0</v>
      </c>
      <c r="AJ365" s="9">
        <v>1</v>
      </c>
      <c r="AK365" s="30">
        <v>0</v>
      </c>
      <c r="AL365" s="21">
        <v>2002</v>
      </c>
      <c r="AM365" s="23">
        <f t="shared" si="98"/>
        <v>7.6019019598751658</v>
      </c>
      <c r="AN365" s="33">
        <v>0.44</v>
      </c>
      <c r="AO365" s="33">
        <v>9.7000000000000003E-2</v>
      </c>
      <c r="AP365" s="33">
        <v>0.35499999999999998</v>
      </c>
      <c r="AQ365" s="43">
        <f t="shared" si="105"/>
        <v>0.10799999999999998</v>
      </c>
      <c r="AR365" s="42">
        <v>0.57999999999999996</v>
      </c>
      <c r="AS365" s="18">
        <v>0.42</v>
      </c>
      <c r="AT365">
        <v>1</v>
      </c>
      <c r="AU365" s="40">
        <v>0</v>
      </c>
      <c r="AV365" t="s">
        <v>104</v>
      </c>
      <c r="AW365" s="40" t="s">
        <v>104</v>
      </c>
      <c r="AX365">
        <v>0</v>
      </c>
      <c r="AY365" s="18">
        <v>1</v>
      </c>
      <c r="AZ365">
        <f t="shared" si="10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11</v>
      </c>
      <c r="DB365" s="34"/>
    </row>
    <row r="366" spans="1:106" x14ac:dyDescent="0.25">
      <c r="A366">
        <v>365</v>
      </c>
      <c r="B366">
        <v>24</v>
      </c>
      <c r="C366" s="25" t="s">
        <v>253</v>
      </c>
      <c r="D366" s="12">
        <v>11.41572966851014</v>
      </c>
      <c r="E366" s="14">
        <v>0.44943817592559621</v>
      </c>
      <c r="F366" s="7">
        <v>25.4</v>
      </c>
      <c r="G366" s="7">
        <f t="shared" si="89"/>
        <v>10.966291492584544</v>
      </c>
      <c r="H366" s="16">
        <f t="shared" si="90"/>
        <v>11.865167844435737</v>
      </c>
      <c r="I366" s="11">
        <f t="shared" si="91"/>
        <v>0.23064086478003865</v>
      </c>
      <c r="J366" s="33">
        <f t="shared" si="92"/>
        <v>9.0803490070881371E-3</v>
      </c>
      <c r="K366" s="33">
        <f t="shared" si="93"/>
        <v>110.12792561380606</v>
      </c>
      <c r="L366" s="33">
        <f t="shared" si="94"/>
        <v>0.22156051577295049</v>
      </c>
      <c r="M366" s="33">
        <f t="shared" si="95"/>
        <v>0.2397212137871268</v>
      </c>
      <c r="N366" s="8">
        <v>1</v>
      </c>
      <c r="O366" s="9">
        <v>0</v>
      </c>
      <c r="P366" s="8">
        <v>0</v>
      </c>
      <c r="Q366" s="9">
        <v>0</v>
      </c>
      <c r="R366" s="9">
        <v>1</v>
      </c>
      <c r="S366" s="9">
        <v>0</v>
      </c>
      <c r="T366" s="9">
        <v>0</v>
      </c>
      <c r="U366" s="8">
        <v>11501</v>
      </c>
      <c r="V366" s="9">
        <v>17</v>
      </c>
      <c r="W366" s="9">
        <f t="shared" si="96"/>
        <v>11483</v>
      </c>
      <c r="X366" s="9">
        <f t="shared" si="97"/>
        <v>32</v>
      </c>
      <c r="Y366" s="7">
        <v>12</v>
      </c>
      <c r="Z366" s="7">
        <v>20.492000000000001</v>
      </c>
      <c r="AA366" s="9">
        <v>0</v>
      </c>
      <c r="AB366" s="9">
        <v>1</v>
      </c>
      <c r="AC366" s="9">
        <v>0</v>
      </c>
      <c r="AD366" s="9">
        <v>0</v>
      </c>
      <c r="AE366" s="9">
        <v>1</v>
      </c>
      <c r="AF366" s="9">
        <v>0</v>
      </c>
      <c r="AG366" s="8">
        <v>0</v>
      </c>
      <c r="AH366" s="9">
        <v>1</v>
      </c>
      <c r="AI366" s="30">
        <v>0</v>
      </c>
      <c r="AJ366" s="9">
        <v>1</v>
      </c>
      <c r="AK366" s="30">
        <v>0</v>
      </c>
      <c r="AL366" s="21">
        <v>2002</v>
      </c>
      <c r="AM366" s="23">
        <f t="shared" si="98"/>
        <v>7.6019019598751658</v>
      </c>
      <c r="AN366" s="33">
        <v>0.44</v>
      </c>
      <c r="AO366" s="33">
        <v>9.7000000000000003E-2</v>
      </c>
      <c r="AP366" s="33">
        <v>0.35499999999999998</v>
      </c>
      <c r="AQ366" s="43">
        <f t="shared" si="105"/>
        <v>0.10799999999999998</v>
      </c>
      <c r="AR366" s="42">
        <v>0.57999999999999996</v>
      </c>
      <c r="AS366" s="18">
        <v>0.42</v>
      </c>
      <c r="AT366">
        <v>1</v>
      </c>
      <c r="AU366" s="40">
        <v>0</v>
      </c>
      <c r="AV366" t="s">
        <v>104</v>
      </c>
      <c r="AW366" s="40" t="s">
        <v>104</v>
      </c>
      <c r="AX366">
        <v>0</v>
      </c>
      <c r="AY366" s="18">
        <v>1</v>
      </c>
      <c r="AZ366">
        <f t="shared" si="10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11</v>
      </c>
      <c r="DB366" s="34"/>
    </row>
    <row r="367" spans="1:106" x14ac:dyDescent="0.25">
      <c r="A367">
        <v>366</v>
      </c>
      <c r="B367">
        <v>24</v>
      </c>
      <c r="C367" s="25" t="s">
        <v>253</v>
      </c>
      <c r="D367" s="12">
        <v>15.61953355564145</v>
      </c>
      <c r="E367" s="14">
        <v>0.43793084735443322</v>
      </c>
      <c r="F367" s="7">
        <v>35.666666666666671</v>
      </c>
      <c r="G367" s="7">
        <f t="shared" si="89"/>
        <v>15.181602708287016</v>
      </c>
      <c r="H367" s="16">
        <f t="shared" si="90"/>
        <v>16.057464402995883</v>
      </c>
      <c r="I367" s="11">
        <f t="shared" si="91"/>
        <v>0.31580601670891845</v>
      </c>
      <c r="J367" s="33">
        <f t="shared" si="92"/>
        <v>8.8543743002500487E-3</v>
      </c>
      <c r="K367" s="33">
        <f t="shared" si="93"/>
        <v>112.93852801905605</v>
      </c>
      <c r="L367" s="33">
        <f t="shared" si="94"/>
        <v>0.3069516424086684</v>
      </c>
      <c r="M367" s="33">
        <f t="shared" si="95"/>
        <v>0.32466039100916849</v>
      </c>
      <c r="N367" s="8">
        <v>1</v>
      </c>
      <c r="O367" s="9">
        <v>0</v>
      </c>
      <c r="P367" s="8">
        <v>0</v>
      </c>
      <c r="Q367" s="9">
        <v>0</v>
      </c>
      <c r="R367" s="9">
        <v>1</v>
      </c>
      <c r="S367" s="9">
        <v>0</v>
      </c>
      <c r="T367" s="9">
        <v>0</v>
      </c>
      <c r="U367" s="8">
        <v>11501</v>
      </c>
      <c r="V367" s="9">
        <v>17</v>
      </c>
      <c r="W367" s="9">
        <f t="shared" si="96"/>
        <v>11483</v>
      </c>
      <c r="X367" s="9">
        <f t="shared" si="97"/>
        <v>32</v>
      </c>
      <c r="Y367" s="7">
        <v>14</v>
      </c>
      <c r="Z367" s="7">
        <v>20.492000000000001</v>
      </c>
      <c r="AA367" s="9">
        <v>0</v>
      </c>
      <c r="AB367" s="9">
        <v>1</v>
      </c>
      <c r="AC367" s="9">
        <v>0</v>
      </c>
      <c r="AD367" s="9">
        <v>0</v>
      </c>
      <c r="AE367" s="9">
        <v>1</v>
      </c>
      <c r="AF367" s="9">
        <v>0</v>
      </c>
      <c r="AG367" s="8">
        <v>0</v>
      </c>
      <c r="AH367" s="9">
        <v>1</v>
      </c>
      <c r="AI367" s="30">
        <v>0</v>
      </c>
      <c r="AJ367" s="9">
        <v>1</v>
      </c>
      <c r="AK367" s="30">
        <v>0</v>
      </c>
      <c r="AL367" s="21">
        <v>2002</v>
      </c>
      <c r="AM367" s="23">
        <f t="shared" si="98"/>
        <v>7.6019019598751658</v>
      </c>
      <c r="AN367" s="33">
        <v>0.44</v>
      </c>
      <c r="AO367" s="33">
        <v>9.7000000000000003E-2</v>
      </c>
      <c r="AP367" s="33">
        <v>0.35499999999999998</v>
      </c>
      <c r="AQ367" s="43">
        <f t="shared" si="105"/>
        <v>0.10799999999999998</v>
      </c>
      <c r="AR367" s="42">
        <v>0.57999999999999996</v>
      </c>
      <c r="AS367" s="18">
        <v>0.42</v>
      </c>
      <c r="AT367">
        <v>1</v>
      </c>
      <c r="AU367" s="40">
        <v>0</v>
      </c>
      <c r="AV367" t="s">
        <v>104</v>
      </c>
      <c r="AW367" s="40" t="s">
        <v>104</v>
      </c>
      <c r="AX367">
        <v>0</v>
      </c>
      <c r="AY367" s="18">
        <v>1</v>
      </c>
      <c r="AZ367">
        <f t="shared" si="10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11</v>
      </c>
      <c r="DB367" s="34"/>
    </row>
    <row r="368" spans="1:106" x14ac:dyDescent="0.25">
      <c r="A368">
        <v>367</v>
      </c>
      <c r="B368">
        <v>24</v>
      </c>
      <c r="C368" s="25" t="s">
        <v>253</v>
      </c>
      <c r="D368" s="12">
        <v>15.109416852657519</v>
      </c>
      <c r="E368" s="14">
        <v>0.3306218129684359</v>
      </c>
      <c r="F368" s="7">
        <v>45.7</v>
      </c>
      <c r="G368" s="7">
        <f t="shared" si="89"/>
        <v>14.778795039689083</v>
      </c>
      <c r="H368" s="16">
        <f t="shared" si="90"/>
        <v>15.440038665625956</v>
      </c>
      <c r="I368" s="11">
        <f t="shared" si="91"/>
        <v>0.39228566159909373</v>
      </c>
      <c r="J368" s="33">
        <f t="shared" si="92"/>
        <v>8.5839313260195563E-3</v>
      </c>
      <c r="K368" s="33">
        <f t="shared" si="93"/>
        <v>116.49673815176114</v>
      </c>
      <c r="L368" s="33">
        <f t="shared" si="94"/>
        <v>0.38370173027307419</v>
      </c>
      <c r="M368" s="33">
        <f t="shared" si="95"/>
        <v>0.40086959292511326</v>
      </c>
      <c r="N368" s="8">
        <v>1</v>
      </c>
      <c r="O368" s="9">
        <v>0</v>
      </c>
      <c r="P368" s="8">
        <v>0</v>
      </c>
      <c r="Q368" s="9">
        <v>0</v>
      </c>
      <c r="R368" s="9">
        <v>1</v>
      </c>
      <c r="S368" s="9">
        <v>0</v>
      </c>
      <c r="T368" s="9">
        <v>0</v>
      </c>
      <c r="U368" s="8">
        <v>11501</v>
      </c>
      <c r="V368" s="9">
        <v>17</v>
      </c>
      <c r="W368" s="9">
        <f t="shared" si="96"/>
        <v>11483</v>
      </c>
      <c r="X368" s="9">
        <f t="shared" si="97"/>
        <v>32</v>
      </c>
      <c r="Y368" s="7">
        <v>16</v>
      </c>
      <c r="Z368" s="7">
        <v>20.492000000000001</v>
      </c>
      <c r="AA368" s="9">
        <v>0</v>
      </c>
      <c r="AB368" s="9">
        <v>1</v>
      </c>
      <c r="AC368" s="9">
        <v>0</v>
      </c>
      <c r="AD368" s="9">
        <v>0</v>
      </c>
      <c r="AE368" s="9">
        <v>1</v>
      </c>
      <c r="AF368" s="9">
        <v>0</v>
      </c>
      <c r="AG368" s="8">
        <v>0</v>
      </c>
      <c r="AH368" s="9">
        <v>1</v>
      </c>
      <c r="AI368" s="30">
        <v>0</v>
      </c>
      <c r="AJ368" s="9">
        <v>1</v>
      </c>
      <c r="AK368" s="30">
        <v>0</v>
      </c>
      <c r="AL368" s="21">
        <v>2002</v>
      </c>
      <c r="AM368" s="23">
        <f t="shared" si="98"/>
        <v>7.6019019598751658</v>
      </c>
      <c r="AN368" s="33">
        <v>0.44</v>
      </c>
      <c r="AO368" s="33">
        <v>9.7000000000000003E-2</v>
      </c>
      <c r="AP368" s="33">
        <v>0.35499999999999998</v>
      </c>
      <c r="AQ368" s="43">
        <f t="shared" si="105"/>
        <v>0.10799999999999998</v>
      </c>
      <c r="AR368" s="42">
        <v>0.57999999999999996</v>
      </c>
      <c r="AS368" s="18">
        <v>0.42</v>
      </c>
      <c r="AT368">
        <v>1</v>
      </c>
      <c r="AU368" s="40">
        <v>0</v>
      </c>
      <c r="AV368" t="s">
        <v>104</v>
      </c>
      <c r="AW368" s="40" t="s">
        <v>104</v>
      </c>
      <c r="AX368">
        <v>0</v>
      </c>
      <c r="AY368" s="18">
        <v>1</v>
      </c>
      <c r="AZ368">
        <f t="shared" si="10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11</v>
      </c>
      <c r="DB368" s="34"/>
    </row>
    <row r="369" spans="1:106" x14ac:dyDescent="0.25">
      <c r="A369">
        <v>368</v>
      </c>
      <c r="B369">
        <v>24</v>
      </c>
      <c r="C369" s="25" t="s">
        <v>253</v>
      </c>
      <c r="D369" s="12">
        <v>16.600000000000001</v>
      </c>
      <c r="E369" s="14">
        <v>1</v>
      </c>
      <c r="F369" s="7">
        <f>D369/E369</f>
        <v>16.600000000000001</v>
      </c>
      <c r="G369" s="7">
        <f t="shared" si="89"/>
        <v>15.600000000000001</v>
      </c>
      <c r="H369" s="16">
        <f t="shared" si="90"/>
        <v>17.600000000000001</v>
      </c>
      <c r="I369" s="11">
        <f t="shared" si="91"/>
        <v>0.34745373685855596</v>
      </c>
      <c r="J369" s="33">
        <f t="shared" si="92"/>
        <v>2.0930948003527464E-2</v>
      </c>
      <c r="K369" s="33">
        <f t="shared" si="93"/>
        <v>47.776144674931651</v>
      </c>
      <c r="L369" s="33">
        <f t="shared" si="94"/>
        <v>0.3265227888550285</v>
      </c>
      <c r="M369" s="33">
        <f t="shared" si="95"/>
        <v>0.36838468486208342</v>
      </c>
      <c r="N369" s="8">
        <v>1</v>
      </c>
      <c r="O369" s="9">
        <v>0</v>
      </c>
      <c r="P369" s="8">
        <v>0</v>
      </c>
      <c r="Q369" s="9">
        <v>0</v>
      </c>
      <c r="R369" s="9">
        <v>1</v>
      </c>
      <c r="S369" s="9">
        <v>0</v>
      </c>
      <c r="T369" s="9">
        <v>0</v>
      </c>
      <c r="U369" s="8">
        <v>2018</v>
      </c>
      <c r="V369" s="9">
        <v>10</v>
      </c>
      <c r="W369" s="9">
        <f t="shared" si="96"/>
        <v>2007</v>
      </c>
      <c r="X369" s="9">
        <f t="shared" si="97"/>
        <v>32</v>
      </c>
      <c r="Y369" s="7">
        <v>4.3259999999999996</v>
      </c>
      <c r="Z369" s="7">
        <v>20.097000000000001</v>
      </c>
      <c r="AA369" s="9">
        <v>1</v>
      </c>
      <c r="AB369" s="9">
        <v>0</v>
      </c>
      <c r="AC369" s="9">
        <v>0</v>
      </c>
      <c r="AD369" s="9">
        <v>0</v>
      </c>
      <c r="AE369" s="9">
        <v>1</v>
      </c>
      <c r="AF369" s="9">
        <v>0</v>
      </c>
      <c r="AG369" s="8">
        <v>0</v>
      </c>
      <c r="AH369" s="9">
        <v>1</v>
      </c>
      <c r="AI369" s="30">
        <v>0</v>
      </c>
      <c r="AJ369" s="9">
        <v>1</v>
      </c>
      <c r="AK369" s="30">
        <v>0</v>
      </c>
      <c r="AL369" s="21">
        <v>2002</v>
      </c>
      <c r="AM369" s="23">
        <f t="shared" si="98"/>
        <v>7.6019019598751658</v>
      </c>
      <c r="AN369" s="33">
        <v>0.58099999999999996</v>
      </c>
      <c r="AO369" s="33">
        <v>9.0999999999999998E-2</v>
      </c>
      <c r="AP369" s="33">
        <v>0.20100000000000001</v>
      </c>
      <c r="AQ369" s="43">
        <f t="shared" si="105"/>
        <v>0.127</v>
      </c>
      <c r="AR369" s="42">
        <v>0.16</v>
      </c>
      <c r="AS369" s="18">
        <v>0.84</v>
      </c>
      <c r="AT369">
        <v>0</v>
      </c>
      <c r="AU369" s="40">
        <v>1</v>
      </c>
      <c r="AV369" t="s">
        <v>104</v>
      </c>
      <c r="AW369" s="40" t="s">
        <v>104</v>
      </c>
      <c r="AX369">
        <v>0</v>
      </c>
      <c r="AY369" s="18">
        <v>1</v>
      </c>
      <c r="AZ369">
        <f t="shared" si="10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11</v>
      </c>
      <c r="DB369" s="34"/>
    </row>
    <row r="370" spans="1:106" x14ac:dyDescent="0.25">
      <c r="A370">
        <v>369</v>
      </c>
      <c r="B370">
        <v>24</v>
      </c>
      <c r="C370" s="25" t="s">
        <v>253</v>
      </c>
      <c r="D370" s="12">
        <v>0.18547806908248979</v>
      </c>
      <c r="E370" s="14">
        <v>7.050335959275926E-2</v>
      </c>
      <c r="F370" s="7">
        <v>2.6307692307692312</v>
      </c>
      <c r="G370" s="7">
        <f t="shared" si="89"/>
        <v>0.11497470948973053</v>
      </c>
      <c r="H370" s="16">
        <f t="shared" si="90"/>
        <v>0.25598142867524903</v>
      </c>
      <c r="I370" s="11">
        <f t="shared" si="91"/>
        <v>5.8724269196420084E-2</v>
      </c>
      <c r="J370" s="33">
        <f t="shared" si="92"/>
        <v>2.2322090630218158E-2</v>
      </c>
      <c r="K370" s="33">
        <f t="shared" si="93"/>
        <v>44.79867126093766</v>
      </c>
      <c r="L370" s="33">
        <f t="shared" si="94"/>
        <v>3.6402178566201926E-2</v>
      </c>
      <c r="M370" s="33">
        <f t="shared" si="95"/>
        <v>8.1046359826638242E-2</v>
      </c>
      <c r="N370" s="8">
        <v>1</v>
      </c>
      <c r="O370" s="9">
        <v>0</v>
      </c>
      <c r="P370" s="8">
        <v>0</v>
      </c>
      <c r="Q370" s="9">
        <v>0</v>
      </c>
      <c r="R370" s="9">
        <v>1</v>
      </c>
      <c r="S370" s="9">
        <v>0</v>
      </c>
      <c r="T370" s="9">
        <v>0</v>
      </c>
      <c r="U370" s="8">
        <v>2018</v>
      </c>
      <c r="V370" s="9">
        <v>17</v>
      </c>
      <c r="W370" s="9">
        <f t="shared" si="96"/>
        <v>2000</v>
      </c>
      <c r="X370" s="9">
        <f t="shared" si="97"/>
        <v>32</v>
      </c>
      <c r="Y370" s="7">
        <v>5</v>
      </c>
      <c r="Z370" s="7">
        <v>20.097000000000001</v>
      </c>
      <c r="AA370" s="9">
        <v>0</v>
      </c>
      <c r="AB370" s="9">
        <v>1</v>
      </c>
      <c r="AC370" s="9">
        <v>0</v>
      </c>
      <c r="AD370" s="9">
        <v>0</v>
      </c>
      <c r="AE370" s="9">
        <v>1</v>
      </c>
      <c r="AF370" s="9">
        <v>0</v>
      </c>
      <c r="AG370" s="8">
        <v>0</v>
      </c>
      <c r="AH370" s="9">
        <v>1</v>
      </c>
      <c r="AI370" s="30">
        <v>0</v>
      </c>
      <c r="AJ370" s="9">
        <v>1</v>
      </c>
      <c r="AK370" s="30">
        <v>0</v>
      </c>
      <c r="AL370" s="21">
        <v>2002</v>
      </c>
      <c r="AM370" s="23">
        <f t="shared" si="98"/>
        <v>7.6019019598751658</v>
      </c>
      <c r="AN370" s="33">
        <v>0.58099999999999996</v>
      </c>
      <c r="AO370" s="33">
        <v>9.0999999999999998E-2</v>
      </c>
      <c r="AP370" s="33">
        <v>0.20100000000000001</v>
      </c>
      <c r="AQ370" s="43">
        <f t="shared" si="105"/>
        <v>0.127</v>
      </c>
      <c r="AR370" s="42">
        <v>0.16</v>
      </c>
      <c r="AS370" s="18">
        <v>0.84</v>
      </c>
      <c r="AT370">
        <v>0</v>
      </c>
      <c r="AU370" s="40">
        <v>1</v>
      </c>
      <c r="AV370" t="s">
        <v>104</v>
      </c>
      <c r="AW370" s="40" t="s">
        <v>104</v>
      </c>
      <c r="AX370">
        <v>0</v>
      </c>
      <c r="AY370" s="18">
        <v>1</v>
      </c>
      <c r="AZ370">
        <f t="shared" si="10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11</v>
      </c>
      <c r="DB370" s="34"/>
    </row>
    <row r="371" spans="1:106" x14ac:dyDescent="0.25">
      <c r="A371">
        <v>370</v>
      </c>
      <c r="B371">
        <v>24</v>
      </c>
      <c r="C371" s="25" t="s">
        <v>253</v>
      </c>
      <c r="D371" s="12">
        <v>17.998457404788319</v>
      </c>
      <c r="E371" s="14">
        <v>2.6302547355640549</v>
      </c>
      <c r="F371" s="7">
        <v>6.8428571428571416</v>
      </c>
      <c r="G371" s="7">
        <f t="shared" si="89"/>
        <v>15.368202669224264</v>
      </c>
      <c r="H371" s="16">
        <f t="shared" si="90"/>
        <v>20.628712140352373</v>
      </c>
      <c r="I371" s="11">
        <f t="shared" si="91"/>
        <v>0.15125061508817442</v>
      </c>
      <c r="J371" s="33">
        <f t="shared" si="92"/>
        <v>2.2103430179900234E-2</v>
      </c>
      <c r="K371" s="33">
        <f t="shared" si="93"/>
        <v>45.241846711618116</v>
      </c>
      <c r="L371" s="33">
        <f t="shared" si="94"/>
        <v>0.12914718490827418</v>
      </c>
      <c r="M371" s="33">
        <f t="shared" si="95"/>
        <v>0.17335404526807466</v>
      </c>
      <c r="N371" s="8">
        <v>1</v>
      </c>
      <c r="O371" s="9">
        <v>0</v>
      </c>
      <c r="P371" s="8">
        <v>0</v>
      </c>
      <c r="Q371" s="9">
        <v>0</v>
      </c>
      <c r="R371" s="9">
        <v>1</v>
      </c>
      <c r="S371" s="9">
        <v>0</v>
      </c>
      <c r="T371" s="9">
        <v>0</v>
      </c>
      <c r="U371" s="8">
        <v>2018</v>
      </c>
      <c r="V371" s="9">
        <v>17</v>
      </c>
      <c r="W371" s="9">
        <f t="shared" si="96"/>
        <v>2000</v>
      </c>
      <c r="X371" s="9">
        <f t="shared" si="97"/>
        <v>32</v>
      </c>
      <c r="Y371" s="7">
        <v>8</v>
      </c>
      <c r="Z371" s="7">
        <v>20.097000000000001</v>
      </c>
      <c r="AA371" s="9">
        <v>0</v>
      </c>
      <c r="AB371" s="9">
        <v>1</v>
      </c>
      <c r="AC371" s="9">
        <v>0</v>
      </c>
      <c r="AD371" s="9">
        <v>0</v>
      </c>
      <c r="AE371" s="9">
        <v>1</v>
      </c>
      <c r="AF371" s="9">
        <v>0</v>
      </c>
      <c r="AG371" s="8">
        <v>0</v>
      </c>
      <c r="AH371" s="9">
        <v>1</v>
      </c>
      <c r="AI371" s="30">
        <v>0</v>
      </c>
      <c r="AJ371" s="9">
        <v>1</v>
      </c>
      <c r="AK371" s="30">
        <v>0</v>
      </c>
      <c r="AL371" s="21">
        <v>2002</v>
      </c>
      <c r="AM371" s="23">
        <f t="shared" si="98"/>
        <v>7.6019019598751658</v>
      </c>
      <c r="AN371" s="33">
        <v>0.58099999999999996</v>
      </c>
      <c r="AO371" s="33">
        <v>9.0999999999999998E-2</v>
      </c>
      <c r="AP371" s="33">
        <v>0.20100000000000001</v>
      </c>
      <c r="AQ371" s="43">
        <f t="shared" si="105"/>
        <v>0.127</v>
      </c>
      <c r="AR371" s="42">
        <v>0.16</v>
      </c>
      <c r="AS371" s="18">
        <v>0.84</v>
      </c>
      <c r="AT371">
        <v>0</v>
      </c>
      <c r="AU371" s="40">
        <v>1</v>
      </c>
      <c r="AV371" t="s">
        <v>104</v>
      </c>
      <c r="AW371" s="40" t="s">
        <v>104</v>
      </c>
      <c r="AX371">
        <v>0</v>
      </c>
      <c r="AY371" s="18">
        <v>1</v>
      </c>
      <c r="AZ371">
        <f t="shared" si="10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11</v>
      </c>
      <c r="DB371" s="34"/>
    </row>
    <row r="372" spans="1:106" x14ac:dyDescent="0.25">
      <c r="A372">
        <v>371</v>
      </c>
      <c r="B372">
        <v>24</v>
      </c>
      <c r="C372" s="25" t="s">
        <v>253</v>
      </c>
      <c r="D372" s="12">
        <v>25.814803615404159</v>
      </c>
      <c r="E372" s="14">
        <v>2.0583232118594679</v>
      </c>
      <c r="F372" s="7">
        <v>12.54166666666667</v>
      </c>
      <c r="G372" s="7">
        <f t="shared" si="89"/>
        <v>23.756480403544693</v>
      </c>
      <c r="H372" s="16">
        <f t="shared" si="90"/>
        <v>27.873126827263626</v>
      </c>
      <c r="I372" s="11">
        <f t="shared" si="91"/>
        <v>0.27002293046576503</v>
      </c>
      <c r="J372" s="33">
        <f t="shared" si="92"/>
        <v>2.1530067545443055E-2</v>
      </c>
      <c r="K372" s="33">
        <f t="shared" si="93"/>
        <v>46.446672677144242</v>
      </c>
      <c r="L372" s="33">
        <f t="shared" si="94"/>
        <v>0.24849286292032197</v>
      </c>
      <c r="M372" s="33">
        <f t="shared" si="95"/>
        <v>0.2915529980112081</v>
      </c>
      <c r="N372" s="8">
        <v>1</v>
      </c>
      <c r="O372" s="9">
        <v>0</v>
      </c>
      <c r="P372" s="8">
        <v>0</v>
      </c>
      <c r="Q372" s="9">
        <v>0</v>
      </c>
      <c r="R372" s="9">
        <v>1</v>
      </c>
      <c r="S372" s="9">
        <v>0</v>
      </c>
      <c r="T372" s="9">
        <v>0</v>
      </c>
      <c r="U372" s="8">
        <v>2018</v>
      </c>
      <c r="V372" s="9">
        <v>17</v>
      </c>
      <c r="W372" s="9">
        <f t="shared" si="96"/>
        <v>2000</v>
      </c>
      <c r="X372" s="9">
        <f t="shared" si="97"/>
        <v>32</v>
      </c>
      <c r="Y372" s="7">
        <v>10</v>
      </c>
      <c r="Z372" s="7">
        <v>20.097000000000001</v>
      </c>
      <c r="AA372" s="9">
        <v>0</v>
      </c>
      <c r="AB372" s="9">
        <v>1</v>
      </c>
      <c r="AC372" s="9">
        <v>0</v>
      </c>
      <c r="AD372" s="9">
        <v>0</v>
      </c>
      <c r="AE372" s="9">
        <v>1</v>
      </c>
      <c r="AF372" s="9">
        <v>0</v>
      </c>
      <c r="AG372" s="8">
        <v>0</v>
      </c>
      <c r="AH372" s="9">
        <v>1</v>
      </c>
      <c r="AI372" s="30">
        <v>0</v>
      </c>
      <c r="AJ372" s="9">
        <v>1</v>
      </c>
      <c r="AK372" s="30">
        <v>0</v>
      </c>
      <c r="AL372" s="21">
        <v>2002</v>
      </c>
      <c r="AM372" s="23">
        <f t="shared" si="98"/>
        <v>7.6019019598751658</v>
      </c>
      <c r="AN372" s="33">
        <v>0.58099999999999996</v>
      </c>
      <c r="AO372" s="33">
        <v>9.0999999999999998E-2</v>
      </c>
      <c r="AP372" s="33">
        <v>0.20100000000000001</v>
      </c>
      <c r="AQ372" s="43">
        <f t="shared" si="105"/>
        <v>0.127</v>
      </c>
      <c r="AR372" s="42">
        <v>0.16</v>
      </c>
      <c r="AS372" s="18">
        <v>0.84</v>
      </c>
      <c r="AT372">
        <v>0</v>
      </c>
      <c r="AU372" s="40">
        <v>1</v>
      </c>
      <c r="AV372" t="s">
        <v>104</v>
      </c>
      <c r="AW372" s="40" t="s">
        <v>104</v>
      </c>
      <c r="AX372">
        <v>0</v>
      </c>
      <c r="AY372" s="18">
        <v>1</v>
      </c>
      <c r="AZ372">
        <f t="shared" si="10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11</v>
      </c>
      <c r="DB372" s="34"/>
    </row>
    <row r="373" spans="1:106" x14ac:dyDescent="0.25">
      <c r="A373">
        <v>372</v>
      </c>
      <c r="B373">
        <v>24</v>
      </c>
      <c r="C373" s="25" t="s">
        <v>253</v>
      </c>
      <c r="D373" s="12">
        <v>16.561693659668311</v>
      </c>
      <c r="E373" s="14">
        <v>1.0783522730115009</v>
      </c>
      <c r="F373" s="7">
        <v>15.358333333333331</v>
      </c>
      <c r="G373" s="7">
        <f t="shared" si="89"/>
        <v>15.483341386656811</v>
      </c>
      <c r="H373" s="16">
        <f t="shared" si="90"/>
        <v>17.640045932679811</v>
      </c>
      <c r="I373" s="11">
        <f t="shared" si="91"/>
        <v>0.32480297517394513</v>
      </c>
      <c r="J373" s="33">
        <f t="shared" si="92"/>
        <v>2.1148321769329046E-2</v>
      </c>
      <c r="K373" s="33">
        <f t="shared" si="93"/>
        <v>47.285075899037928</v>
      </c>
      <c r="L373" s="33">
        <f t="shared" si="94"/>
        <v>0.30365465340461606</v>
      </c>
      <c r="M373" s="33">
        <f t="shared" si="95"/>
        <v>0.3459512969432742</v>
      </c>
      <c r="N373" s="8">
        <v>1</v>
      </c>
      <c r="O373" s="9">
        <v>0</v>
      </c>
      <c r="P373" s="8">
        <v>0</v>
      </c>
      <c r="Q373" s="9">
        <v>0</v>
      </c>
      <c r="R373" s="9">
        <v>1</v>
      </c>
      <c r="S373" s="9">
        <v>0</v>
      </c>
      <c r="T373" s="9">
        <v>0</v>
      </c>
      <c r="U373" s="8">
        <v>2018</v>
      </c>
      <c r="V373" s="9">
        <v>17</v>
      </c>
      <c r="W373" s="9">
        <f t="shared" si="96"/>
        <v>2000</v>
      </c>
      <c r="X373" s="9">
        <f t="shared" si="97"/>
        <v>32</v>
      </c>
      <c r="Y373" s="7">
        <v>12</v>
      </c>
      <c r="Z373" s="7">
        <v>20.097000000000001</v>
      </c>
      <c r="AA373" s="9">
        <v>0</v>
      </c>
      <c r="AB373" s="9">
        <v>1</v>
      </c>
      <c r="AC373" s="9">
        <v>0</v>
      </c>
      <c r="AD373" s="9">
        <v>0</v>
      </c>
      <c r="AE373" s="9">
        <v>1</v>
      </c>
      <c r="AF373" s="9">
        <v>0</v>
      </c>
      <c r="AG373" s="8">
        <v>0</v>
      </c>
      <c r="AH373" s="9">
        <v>1</v>
      </c>
      <c r="AI373" s="30">
        <v>0</v>
      </c>
      <c r="AJ373" s="9">
        <v>1</v>
      </c>
      <c r="AK373" s="30">
        <v>0</v>
      </c>
      <c r="AL373" s="21">
        <v>2002</v>
      </c>
      <c r="AM373" s="23">
        <f t="shared" si="98"/>
        <v>7.6019019598751658</v>
      </c>
      <c r="AN373" s="33">
        <v>0.58099999999999996</v>
      </c>
      <c r="AO373" s="33">
        <v>9.0999999999999998E-2</v>
      </c>
      <c r="AP373" s="33">
        <v>0.20100000000000001</v>
      </c>
      <c r="AQ373" s="43">
        <f t="shared" si="105"/>
        <v>0.127</v>
      </c>
      <c r="AR373" s="42">
        <v>0.16</v>
      </c>
      <c r="AS373" s="18">
        <v>0.84</v>
      </c>
      <c r="AT373">
        <v>0</v>
      </c>
      <c r="AU373" s="40">
        <v>1</v>
      </c>
      <c r="AV373" t="s">
        <v>104</v>
      </c>
      <c r="AW373" s="40" t="s">
        <v>104</v>
      </c>
      <c r="AX373">
        <v>0</v>
      </c>
      <c r="AY373" s="18">
        <v>1</v>
      </c>
      <c r="AZ373">
        <f t="shared" si="10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11</v>
      </c>
      <c r="DB373" s="34"/>
    </row>
    <row r="374" spans="1:106" x14ac:dyDescent="0.25">
      <c r="A374">
        <v>373</v>
      </c>
      <c r="B374">
        <v>24</v>
      </c>
      <c r="C374" s="25" t="s">
        <v>253</v>
      </c>
      <c r="D374" s="12">
        <v>22.28911175196944</v>
      </c>
      <c r="E374" s="14">
        <v>1.068789142422248</v>
      </c>
      <c r="F374" s="7">
        <v>20.854545454545459</v>
      </c>
      <c r="G374" s="7">
        <f t="shared" si="89"/>
        <v>21.220322609547193</v>
      </c>
      <c r="H374" s="16">
        <f t="shared" si="90"/>
        <v>23.357900894391687</v>
      </c>
      <c r="I374" s="11">
        <f t="shared" si="91"/>
        <v>0.42262879884855609</v>
      </c>
      <c r="J374" s="33">
        <f t="shared" si="92"/>
        <v>2.0265548331883678E-2</v>
      </c>
      <c r="K374" s="33">
        <f t="shared" si="93"/>
        <v>49.34482815975452</v>
      </c>
      <c r="L374" s="33">
        <f t="shared" si="94"/>
        <v>0.40236325051667243</v>
      </c>
      <c r="M374" s="33">
        <f t="shared" si="95"/>
        <v>0.44289434718043974</v>
      </c>
      <c r="N374" s="8">
        <v>1</v>
      </c>
      <c r="O374" s="9">
        <v>0</v>
      </c>
      <c r="P374" s="8">
        <v>0</v>
      </c>
      <c r="Q374" s="9">
        <v>0</v>
      </c>
      <c r="R374" s="9">
        <v>1</v>
      </c>
      <c r="S374" s="9">
        <v>0</v>
      </c>
      <c r="T374" s="9">
        <v>0</v>
      </c>
      <c r="U374" s="8">
        <v>2018</v>
      </c>
      <c r="V374" s="9">
        <v>17</v>
      </c>
      <c r="W374" s="9">
        <f t="shared" si="96"/>
        <v>2000</v>
      </c>
      <c r="X374" s="9">
        <f t="shared" si="97"/>
        <v>32</v>
      </c>
      <c r="Y374" s="7">
        <v>14</v>
      </c>
      <c r="Z374" s="7">
        <v>20.097000000000001</v>
      </c>
      <c r="AA374" s="9">
        <v>0</v>
      </c>
      <c r="AB374" s="9">
        <v>1</v>
      </c>
      <c r="AC374" s="9">
        <v>0</v>
      </c>
      <c r="AD374" s="9">
        <v>0</v>
      </c>
      <c r="AE374" s="9">
        <v>1</v>
      </c>
      <c r="AF374" s="9">
        <v>0</v>
      </c>
      <c r="AG374" s="8">
        <v>0</v>
      </c>
      <c r="AH374" s="9">
        <v>1</v>
      </c>
      <c r="AI374" s="30">
        <v>0</v>
      </c>
      <c r="AJ374" s="9">
        <v>1</v>
      </c>
      <c r="AK374" s="30">
        <v>0</v>
      </c>
      <c r="AL374" s="21">
        <v>2002</v>
      </c>
      <c r="AM374" s="23">
        <f t="shared" si="98"/>
        <v>7.6019019598751658</v>
      </c>
      <c r="AN374" s="33">
        <v>0.58099999999999996</v>
      </c>
      <c r="AO374" s="33">
        <v>9.0999999999999998E-2</v>
      </c>
      <c r="AP374" s="33">
        <v>0.20100000000000001</v>
      </c>
      <c r="AQ374" s="43">
        <f t="shared" si="105"/>
        <v>0.127</v>
      </c>
      <c r="AR374" s="42">
        <v>0.16</v>
      </c>
      <c r="AS374" s="18">
        <v>0.84</v>
      </c>
      <c r="AT374">
        <v>0</v>
      </c>
      <c r="AU374" s="40">
        <v>1</v>
      </c>
      <c r="AV374" t="s">
        <v>104</v>
      </c>
      <c r="AW374" s="40" t="s">
        <v>104</v>
      </c>
      <c r="AX374">
        <v>0</v>
      </c>
      <c r="AY374" s="18">
        <v>1</v>
      </c>
      <c r="AZ374">
        <f t="shared" si="10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11</v>
      </c>
      <c r="DB374" s="34"/>
    </row>
    <row r="375" spans="1:106" x14ac:dyDescent="0.25">
      <c r="A375">
        <v>374</v>
      </c>
      <c r="B375">
        <v>24</v>
      </c>
      <c r="C375" s="25" t="s">
        <v>253</v>
      </c>
      <c r="D375" s="12">
        <v>29.217759563620561</v>
      </c>
      <c r="E375" s="14">
        <v>1.104831059470011</v>
      </c>
      <c r="F375" s="7">
        <v>26.445454545454549</v>
      </c>
      <c r="G375" s="7">
        <f t="shared" si="89"/>
        <v>28.112928504150549</v>
      </c>
      <c r="H375" s="16">
        <f t="shared" si="90"/>
        <v>30.322590623090573</v>
      </c>
      <c r="I375" s="11">
        <f t="shared" si="91"/>
        <v>0.50900314512121547</v>
      </c>
      <c r="J375" s="33">
        <f t="shared" si="92"/>
        <v>1.9247282902486663E-2</v>
      </c>
      <c r="K375" s="33">
        <f t="shared" si="93"/>
        <v>51.955385342769837</v>
      </c>
      <c r="L375" s="33">
        <f t="shared" si="94"/>
        <v>0.4897558622187288</v>
      </c>
      <c r="M375" s="33">
        <f t="shared" si="95"/>
        <v>0.52825042802370215</v>
      </c>
      <c r="N375" s="8">
        <v>1</v>
      </c>
      <c r="O375" s="9">
        <v>0</v>
      </c>
      <c r="P375" s="8">
        <v>0</v>
      </c>
      <c r="Q375" s="9">
        <v>0</v>
      </c>
      <c r="R375" s="9">
        <v>1</v>
      </c>
      <c r="S375" s="9">
        <v>0</v>
      </c>
      <c r="T375" s="9">
        <v>0</v>
      </c>
      <c r="U375" s="8">
        <v>2018</v>
      </c>
      <c r="V375" s="9">
        <v>17</v>
      </c>
      <c r="W375" s="9">
        <f t="shared" si="96"/>
        <v>2000</v>
      </c>
      <c r="X375" s="9">
        <f t="shared" si="97"/>
        <v>32</v>
      </c>
      <c r="Y375" s="7">
        <v>16</v>
      </c>
      <c r="Z375" s="7">
        <v>20.097000000000001</v>
      </c>
      <c r="AA375" s="9">
        <v>0</v>
      </c>
      <c r="AB375" s="9">
        <v>1</v>
      </c>
      <c r="AC375" s="9">
        <v>0</v>
      </c>
      <c r="AD375" s="9">
        <v>0</v>
      </c>
      <c r="AE375" s="9">
        <v>1</v>
      </c>
      <c r="AF375" s="9">
        <v>0</v>
      </c>
      <c r="AG375" s="8">
        <v>0</v>
      </c>
      <c r="AH375" s="9">
        <v>1</v>
      </c>
      <c r="AI375" s="30">
        <v>0</v>
      </c>
      <c r="AJ375" s="9">
        <v>1</v>
      </c>
      <c r="AK375" s="30">
        <v>0</v>
      </c>
      <c r="AL375" s="21">
        <v>2002</v>
      </c>
      <c r="AM375" s="23">
        <f t="shared" si="98"/>
        <v>7.6019019598751658</v>
      </c>
      <c r="AN375" s="33">
        <v>0.58099999999999996</v>
      </c>
      <c r="AO375" s="33">
        <v>9.0999999999999998E-2</v>
      </c>
      <c r="AP375" s="33">
        <v>0.20100000000000001</v>
      </c>
      <c r="AQ375" s="43">
        <f t="shared" si="105"/>
        <v>0.127</v>
      </c>
      <c r="AR375" s="42">
        <v>0.16</v>
      </c>
      <c r="AS375" s="18">
        <v>0.84</v>
      </c>
      <c r="AT375">
        <v>0</v>
      </c>
      <c r="AU375" s="40">
        <v>1</v>
      </c>
      <c r="AV375" t="s">
        <v>104</v>
      </c>
      <c r="AW375" s="40" t="s">
        <v>104</v>
      </c>
      <c r="AX375">
        <v>0</v>
      </c>
      <c r="AY375" s="18">
        <v>1</v>
      </c>
      <c r="AZ375">
        <f t="shared" si="10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11</v>
      </c>
      <c r="DB375" s="34"/>
    </row>
    <row r="376" spans="1:106" x14ac:dyDescent="0.25">
      <c r="A376">
        <v>375</v>
      </c>
      <c r="B376">
        <v>24</v>
      </c>
      <c r="C376" s="25" t="s">
        <v>253</v>
      </c>
      <c r="D376" s="12">
        <v>6.4</v>
      </c>
      <c r="E376" s="14">
        <v>0.5</v>
      </c>
      <c r="F376" s="7">
        <f>D376/E376</f>
        <v>12.8</v>
      </c>
      <c r="G376" s="7">
        <f t="shared" si="89"/>
        <v>5.9</v>
      </c>
      <c r="H376" s="16">
        <f t="shared" si="90"/>
        <v>6.9</v>
      </c>
      <c r="I376" s="11">
        <f t="shared" si="91"/>
        <v>0.1185752579115172</v>
      </c>
      <c r="J376" s="33">
        <f t="shared" si="92"/>
        <v>9.2636920243372809E-3</v>
      </c>
      <c r="K376" s="33">
        <f t="shared" si="93"/>
        <v>107.94832096887843</v>
      </c>
      <c r="L376" s="33">
        <f t="shared" si="94"/>
        <v>0.10931156588717991</v>
      </c>
      <c r="M376" s="33">
        <f t="shared" si="95"/>
        <v>0.12783894993585448</v>
      </c>
      <c r="N376" s="8">
        <v>1</v>
      </c>
      <c r="O376" s="9">
        <v>0</v>
      </c>
      <c r="P376" s="8">
        <v>0</v>
      </c>
      <c r="Q376" s="9">
        <v>0</v>
      </c>
      <c r="R376" s="9">
        <v>1</v>
      </c>
      <c r="S376" s="9">
        <v>0</v>
      </c>
      <c r="T376" s="9">
        <v>0</v>
      </c>
      <c r="U376" s="8">
        <v>11501</v>
      </c>
      <c r="V376" s="9">
        <v>11</v>
      </c>
      <c r="W376" s="9">
        <f t="shared" si="96"/>
        <v>11489</v>
      </c>
      <c r="X376" s="9">
        <f t="shared" si="97"/>
        <v>32</v>
      </c>
      <c r="Y376" s="7">
        <v>5.6660000000000004</v>
      </c>
      <c r="Z376" s="7">
        <v>20.492000000000001</v>
      </c>
      <c r="AA376" s="9">
        <v>1</v>
      </c>
      <c r="AB376" s="9">
        <v>0</v>
      </c>
      <c r="AC376" s="9">
        <v>0</v>
      </c>
      <c r="AD376" s="9">
        <v>0</v>
      </c>
      <c r="AE376" s="9">
        <v>1</v>
      </c>
      <c r="AF376" s="9">
        <v>0</v>
      </c>
      <c r="AG376" s="8">
        <v>0</v>
      </c>
      <c r="AH376" s="9">
        <v>1</v>
      </c>
      <c r="AI376" s="30">
        <v>0</v>
      </c>
      <c r="AJ376" s="9">
        <v>1</v>
      </c>
      <c r="AK376" s="30">
        <v>0</v>
      </c>
      <c r="AL376" s="21">
        <v>2002</v>
      </c>
      <c r="AM376" s="23">
        <f t="shared" si="98"/>
        <v>7.6019019598751658</v>
      </c>
      <c r="AN376" s="33">
        <v>0.44</v>
      </c>
      <c r="AO376" s="33">
        <v>9.7000000000000003E-2</v>
      </c>
      <c r="AP376" s="33">
        <v>0.35499999999999998</v>
      </c>
      <c r="AQ376" s="43">
        <f t="shared" si="105"/>
        <v>0.10799999999999998</v>
      </c>
      <c r="AR376" s="42">
        <v>0.57999999999999996</v>
      </c>
      <c r="AS376" s="18">
        <v>0.42</v>
      </c>
      <c r="AT376">
        <v>1</v>
      </c>
      <c r="AU376" s="40">
        <v>0</v>
      </c>
      <c r="AV376" t="s">
        <v>104</v>
      </c>
      <c r="AW376" s="40" t="s">
        <v>104</v>
      </c>
      <c r="AX376">
        <v>0</v>
      </c>
      <c r="AY376" s="18">
        <v>1</v>
      </c>
      <c r="AZ376">
        <f t="shared" si="10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11</v>
      </c>
      <c r="DB376" s="34"/>
    </row>
    <row r="377" spans="1:106" x14ac:dyDescent="0.25">
      <c r="A377">
        <v>376</v>
      </c>
      <c r="B377">
        <v>24</v>
      </c>
      <c r="C377" s="25" t="s">
        <v>253</v>
      </c>
      <c r="D377" s="12">
        <v>2.861867558069298</v>
      </c>
      <c r="E377" s="14">
        <v>0.38414329638514072</v>
      </c>
      <c r="F377" s="7">
        <v>7.4499999999999993</v>
      </c>
      <c r="G377" s="7">
        <f t="shared" si="89"/>
        <v>2.4777242616841573</v>
      </c>
      <c r="H377" s="16">
        <f t="shared" si="90"/>
        <v>3.2460108544544388</v>
      </c>
      <c r="I377" s="11">
        <f t="shared" si="91"/>
        <v>6.9358608038768421E-2</v>
      </c>
      <c r="J377" s="33">
        <f t="shared" si="92"/>
        <v>9.3098802736601913E-3</v>
      </c>
      <c r="K377" s="33">
        <f t="shared" si="93"/>
        <v>107.41276693205515</v>
      </c>
      <c r="L377" s="33">
        <f t="shared" si="94"/>
        <v>6.004872776510823E-2</v>
      </c>
      <c r="M377" s="33">
        <f t="shared" si="95"/>
        <v>7.8668488312428619E-2</v>
      </c>
      <c r="N377" s="8">
        <v>1</v>
      </c>
      <c r="O377" s="9">
        <v>0</v>
      </c>
      <c r="P377" s="8">
        <v>0</v>
      </c>
      <c r="Q377" s="9">
        <v>0</v>
      </c>
      <c r="R377" s="9">
        <v>1</v>
      </c>
      <c r="S377" s="9">
        <v>0</v>
      </c>
      <c r="T377" s="9">
        <v>0</v>
      </c>
      <c r="U377" s="8">
        <v>11501</v>
      </c>
      <c r="V377" s="9">
        <v>18</v>
      </c>
      <c r="W377" s="9">
        <f t="shared" si="96"/>
        <v>11482</v>
      </c>
      <c r="X377" s="9">
        <f t="shared" si="97"/>
        <v>32</v>
      </c>
      <c r="Y377" s="7">
        <v>5</v>
      </c>
      <c r="Z377" s="7">
        <v>20.492000000000001</v>
      </c>
      <c r="AA377" s="9">
        <v>0</v>
      </c>
      <c r="AB377" s="9">
        <v>1</v>
      </c>
      <c r="AC377" s="9">
        <v>0</v>
      </c>
      <c r="AD377" s="9">
        <v>0</v>
      </c>
      <c r="AE377" s="9">
        <v>1</v>
      </c>
      <c r="AF377" s="9">
        <v>0</v>
      </c>
      <c r="AG377" s="8">
        <v>0</v>
      </c>
      <c r="AH377" s="9">
        <v>1</v>
      </c>
      <c r="AI377" s="30">
        <v>0</v>
      </c>
      <c r="AJ377" s="9">
        <v>1</v>
      </c>
      <c r="AK377" s="30">
        <v>0</v>
      </c>
      <c r="AL377" s="21">
        <v>2002</v>
      </c>
      <c r="AM377" s="23">
        <f t="shared" si="98"/>
        <v>7.6019019598751658</v>
      </c>
      <c r="AN377" s="33">
        <v>0.44</v>
      </c>
      <c r="AO377" s="33">
        <v>9.7000000000000003E-2</v>
      </c>
      <c r="AP377" s="33">
        <v>0.35499999999999998</v>
      </c>
      <c r="AQ377" s="43">
        <f t="shared" si="105"/>
        <v>0.10799999999999998</v>
      </c>
      <c r="AR377" s="42">
        <v>0.57999999999999996</v>
      </c>
      <c r="AS377" s="18">
        <v>0.42</v>
      </c>
      <c r="AT377">
        <v>1</v>
      </c>
      <c r="AU377" s="40">
        <v>0</v>
      </c>
      <c r="AV377" t="s">
        <v>104</v>
      </c>
      <c r="AW377" s="40" t="s">
        <v>104</v>
      </c>
      <c r="AX377">
        <v>0</v>
      </c>
      <c r="AY377" s="18">
        <v>1</v>
      </c>
      <c r="AZ377">
        <f t="shared" si="10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11</v>
      </c>
      <c r="DB377" s="34"/>
    </row>
    <row r="378" spans="1:106" x14ac:dyDescent="0.25">
      <c r="A378">
        <v>377</v>
      </c>
      <c r="B378">
        <v>24</v>
      </c>
      <c r="C378" s="25" t="s">
        <v>253</v>
      </c>
      <c r="D378" s="12">
        <v>4.4316374840892347</v>
      </c>
      <c r="E378" s="14">
        <v>0.31318992820418617</v>
      </c>
      <c r="F378" s="7">
        <v>14.15</v>
      </c>
      <c r="G378" s="7">
        <f t="shared" si="89"/>
        <v>4.1184475558850488</v>
      </c>
      <c r="H378" s="16">
        <f t="shared" si="90"/>
        <v>4.7448274122934206</v>
      </c>
      <c r="I378" s="11">
        <f t="shared" si="91"/>
        <v>0.13091629410405495</v>
      </c>
      <c r="J378" s="33">
        <f t="shared" si="92"/>
        <v>9.2520349190144836E-3</v>
      </c>
      <c r="K378" s="33">
        <f t="shared" si="93"/>
        <v>108.08433050169668</v>
      </c>
      <c r="L378" s="33">
        <f t="shared" si="94"/>
        <v>0.12166425918504047</v>
      </c>
      <c r="M378" s="33">
        <f t="shared" si="95"/>
        <v>0.14016832902306944</v>
      </c>
      <c r="N378" s="8">
        <v>1</v>
      </c>
      <c r="O378" s="9">
        <v>0</v>
      </c>
      <c r="P378" s="8">
        <v>0</v>
      </c>
      <c r="Q378" s="9">
        <v>0</v>
      </c>
      <c r="R378" s="9">
        <v>1</v>
      </c>
      <c r="S378" s="9">
        <v>0</v>
      </c>
      <c r="T378" s="9">
        <v>0</v>
      </c>
      <c r="U378" s="8">
        <v>11501</v>
      </c>
      <c r="V378" s="9">
        <v>18</v>
      </c>
      <c r="W378" s="9">
        <f t="shared" si="96"/>
        <v>11482</v>
      </c>
      <c r="X378" s="9">
        <f t="shared" si="97"/>
        <v>32</v>
      </c>
      <c r="Y378" s="7">
        <v>8</v>
      </c>
      <c r="Z378" s="7">
        <v>20.492000000000001</v>
      </c>
      <c r="AA378" s="9">
        <v>0</v>
      </c>
      <c r="AB378" s="9">
        <v>1</v>
      </c>
      <c r="AC378" s="9">
        <v>0</v>
      </c>
      <c r="AD378" s="9">
        <v>0</v>
      </c>
      <c r="AE378" s="9">
        <v>1</v>
      </c>
      <c r="AF378" s="9">
        <v>0</v>
      </c>
      <c r="AG378" s="8">
        <v>0</v>
      </c>
      <c r="AH378" s="9">
        <v>1</v>
      </c>
      <c r="AI378" s="30">
        <v>0</v>
      </c>
      <c r="AJ378" s="9">
        <v>1</v>
      </c>
      <c r="AK378" s="30">
        <v>0</v>
      </c>
      <c r="AL378" s="21">
        <v>2002</v>
      </c>
      <c r="AM378" s="23">
        <f t="shared" si="98"/>
        <v>7.6019019598751658</v>
      </c>
      <c r="AN378" s="33">
        <v>0.44</v>
      </c>
      <c r="AO378" s="33">
        <v>9.7000000000000003E-2</v>
      </c>
      <c r="AP378" s="33">
        <v>0.35499999999999998</v>
      </c>
      <c r="AQ378" s="43">
        <f t="shared" si="105"/>
        <v>0.10799999999999998</v>
      </c>
      <c r="AR378" s="42">
        <v>0.57999999999999996</v>
      </c>
      <c r="AS378" s="18">
        <v>0.42</v>
      </c>
      <c r="AT378">
        <v>1</v>
      </c>
      <c r="AU378" s="40">
        <v>0</v>
      </c>
      <c r="AV378" t="s">
        <v>104</v>
      </c>
      <c r="AW378" s="40" t="s">
        <v>104</v>
      </c>
      <c r="AX378">
        <v>0</v>
      </c>
      <c r="AY378" s="18">
        <v>1</v>
      </c>
      <c r="AZ378">
        <f t="shared" si="10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11</v>
      </c>
      <c r="DB378" s="34"/>
    </row>
    <row r="379" spans="1:106" x14ac:dyDescent="0.25">
      <c r="A379">
        <v>378</v>
      </c>
      <c r="B379">
        <v>24</v>
      </c>
      <c r="C379" s="25" t="s">
        <v>253</v>
      </c>
      <c r="D379" s="12">
        <v>12.461862071858331</v>
      </c>
      <c r="E379" s="14">
        <v>0.46761208524796732</v>
      </c>
      <c r="F379" s="7">
        <v>26.65</v>
      </c>
      <c r="G379" s="7">
        <f t="shared" si="89"/>
        <v>11.994249986610363</v>
      </c>
      <c r="H379" s="16">
        <f t="shared" si="90"/>
        <v>12.929474157106299</v>
      </c>
      <c r="I379" s="11">
        <f t="shared" si="91"/>
        <v>0.2413547072811752</v>
      </c>
      <c r="J379" s="33">
        <f t="shared" si="92"/>
        <v>9.0564618116763685E-3</v>
      </c>
      <c r="K379" s="33">
        <f t="shared" si="93"/>
        <v>110.41839747071137</v>
      </c>
      <c r="L379" s="33">
        <f t="shared" si="94"/>
        <v>0.23229824546949882</v>
      </c>
      <c r="M379" s="33">
        <f t="shared" si="95"/>
        <v>0.25041116909285155</v>
      </c>
      <c r="N379" s="8">
        <v>1</v>
      </c>
      <c r="O379" s="9">
        <v>0</v>
      </c>
      <c r="P379" s="8">
        <v>0</v>
      </c>
      <c r="Q379" s="9">
        <v>0</v>
      </c>
      <c r="R379" s="9">
        <v>1</v>
      </c>
      <c r="S379" s="9">
        <v>0</v>
      </c>
      <c r="T379" s="9">
        <v>0</v>
      </c>
      <c r="U379" s="8">
        <v>11501</v>
      </c>
      <c r="V379" s="9">
        <v>18</v>
      </c>
      <c r="W379" s="9">
        <f t="shared" si="96"/>
        <v>11482</v>
      </c>
      <c r="X379" s="9">
        <f t="shared" si="97"/>
        <v>32</v>
      </c>
      <c r="Y379" s="7">
        <v>10</v>
      </c>
      <c r="Z379" s="7">
        <v>20.492000000000001</v>
      </c>
      <c r="AA379" s="9">
        <v>0</v>
      </c>
      <c r="AB379" s="9">
        <v>1</v>
      </c>
      <c r="AC379" s="9">
        <v>0</v>
      </c>
      <c r="AD379" s="9">
        <v>0</v>
      </c>
      <c r="AE379" s="9">
        <v>1</v>
      </c>
      <c r="AF379" s="9">
        <v>0</v>
      </c>
      <c r="AG379" s="8">
        <v>0</v>
      </c>
      <c r="AH379" s="9">
        <v>1</v>
      </c>
      <c r="AI379" s="30">
        <v>0</v>
      </c>
      <c r="AJ379" s="9">
        <v>1</v>
      </c>
      <c r="AK379" s="30">
        <v>0</v>
      </c>
      <c r="AL379" s="21">
        <v>2002</v>
      </c>
      <c r="AM379" s="23">
        <f t="shared" si="98"/>
        <v>7.6019019598751658</v>
      </c>
      <c r="AN379" s="33">
        <v>0.44</v>
      </c>
      <c r="AO379" s="33">
        <v>9.7000000000000003E-2</v>
      </c>
      <c r="AP379" s="33">
        <v>0.35499999999999998</v>
      </c>
      <c r="AQ379" s="43">
        <f t="shared" si="105"/>
        <v>0.10799999999999998</v>
      </c>
      <c r="AR379" s="42">
        <v>0.57999999999999996</v>
      </c>
      <c r="AS379" s="18">
        <v>0.42</v>
      </c>
      <c r="AT379">
        <v>1</v>
      </c>
      <c r="AU379" s="40">
        <v>0</v>
      </c>
      <c r="AV379" t="s">
        <v>104</v>
      </c>
      <c r="AW379" s="40" t="s">
        <v>104</v>
      </c>
      <c r="AX379">
        <v>0</v>
      </c>
      <c r="AY379" s="18">
        <v>1</v>
      </c>
      <c r="AZ379">
        <f t="shared" si="10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11</v>
      </c>
      <c r="DB379" s="34"/>
    </row>
    <row r="380" spans="1:106" x14ac:dyDescent="0.25">
      <c r="A380">
        <v>379</v>
      </c>
      <c r="B380">
        <v>24</v>
      </c>
      <c r="C380" s="25" t="s">
        <v>253</v>
      </c>
      <c r="D380" s="12">
        <v>10.023075465215991</v>
      </c>
      <c r="E380" s="14">
        <v>0.4107817813613111</v>
      </c>
      <c r="F380" s="7">
        <v>24.4</v>
      </c>
      <c r="G380" s="7">
        <f t="shared" si="89"/>
        <v>9.6122936838546789</v>
      </c>
      <c r="H380" s="16">
        <f t="shared" si="90"/>
        <v>10.433857246577302</v>
      </c>
      <c r="I380" s="11">
        <f t="shared" si="91"/>
        <v>0.22202599264435696</v>
      </c>
      <c r="J380" s="33">
        <f t="shared" si="92"/>
        <v>9.099425928047418E-3</v>
      </c>
      <c r="K380" s="33">
        <f t="shared" si="93"/>
        <v>109.89704272636274</v>
      </c>
      <c r="L380" s="33">
        <f t="shared" si="94"/>
        <v>0.21292656671630955</v>
      </c>
      <c r="M380" s="33">
        <f t="shared" si="95"/>
        <v>0.23112541857240437</v>
      </c>
      <c r="N380" s="8">
        <v>1</v>
      </c>
      <c r="O380" s="9">
        <v>0</v>
      </c>
      <c r="P380" s="8">
        <v>0</v>
      </c>
      <c r="Q380" s="9">
        <v>0</v>
      </c>
      <c r="R380" s="9">
        <v>1</v>
      </c>
      <c r="S380" s="9">
        <v>0</v>
      </c>
      <c r="T380" s="9">
        <v>0</v>
      </c>
      <c r="U380" s="8">
        <v>11501</v>
      </c>
      <c r="V380" s="9">
        <v>18</v>
      </c>
      <c r="W380" s="9">
        <f t="shared" si="96"/>
        <v>11482</v>
      </c>
      <c r="X380" s="9">
        <f t="shared" si="97"/>
        <v>32</v>
      </c>
      <c r="Y380" s="7">
        <v>12</v>
      </c>
      <c r="Z380" s="7">
        <v>20.492000000000001</v>
      </c>
      <c r="AA380" s="9">
        <v>0</v>
      </c>
      <c r="AB380" s="9">
        <v>1</v>
      </c>
      <c r="AC380" s="9">
        <v>0</v>
      </c>
      <c r="AD380" s="9">
        <v>0</v>
      </c>
      <c r="AE380" s="9">
        <v>1</v>
      </c>
      <c r="AF380" s="9">
        <v>0</v>
      </c>
      <c r="AG380" s="8">
        <v>0</v>
      </c>
      <c r="AH380" s="9">
        <v>1</v>
      </c>
      <c r="AI380" s="30">
        <v>0</v>
      </c>
      <c r="AJ380" s="9">
        <v>1</v>
      </c>
      <c r="AK380" s="30">
        <v>0</v>
      </c>
      <c r="AL380" s="21">
        <v>2002</v>
      </c>
      <c r="AM380" s="23">
        <f t="shared" si="98"/>
        <v>7.6019019598751658</v>
      </c>
      <c r="AN380" s="33">
        <v>0.44</v>
      </c>
      <c r="AO380" s="33">
        <v>9.7000000000000003E-2</v>
      </c>
      <c r="AP380" s="33">
        <v>0.35499999999999998</v>
      </c>
      <c r="AQ380" s="43">
        <f t="shared" si="105"/>
        <v>0.10799999999999998</v>
      </c>
      <c r="AR380" s="42">
        <v>0.57999999999999996</v>
      </c>
      <c r="AS380" s="18">
        <v>0.42</v>
      </c>
      <c r="AT380">
        <v>1</v>
      </c>
      <c r="AU380" s="40">
        <v>0</v>
      </c>
      <c r="AV380" t="s">
        <v>104</v>
      </c>
      <c r="AW380" s="40" t="s">
        <v>104</v>
      </c>
      <c r="AX380">
        <v>0</v>
      </c>
      <c r="AY380" s="18">
        <v>1</v>
      </c>
      <c r="AZ380">
        <f t="shared" si="10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11</v>
      </c>
      <c r="DB380" s="34"/>
    </row>
    <row r="381" spans="1:106" x14ac:dyDescent="0.25">
      <c r="A381">
        <v>380</v>
      </c>
      <c r="B381">
        <v>24</v>
      </c>
      <c r="C381" s="25" t="s">
        <v>253</v>
      </c>
      <c r="D381" s="12">
        <v>13.257758507094071</v>
      </c>
      <c r="E381" s="14">
        <v>0.40134485894331212</v>
      </c>
      <c r="F381" s="7">
        <v>33.033333333333331</v>
      </c>
      <c r="G381" s="7">
        <f t="shared" si="89"/>
        <v>12.856413648150758</v>
      </c>
      <c r="H381" s="16">
        <f t="shared" si="90"/>
        <v>13.659103366037384</v>
      </c>
      <c r="I381" s="11">
        <f t="shared" si="91"/>
        <v>0.29459777921080099</v>
      </c>
      <c r="J381" s="33">
        <f t="shared" si="92"/>
        <v>8.9181971506801534E-3</v>
      </c>
      <c r="K381" s="33">
        <f t="shared" si="93"/>
        <v>112.13028632403963</v>
      </c>
      <c r="L381" s="33">
        <f t="shared" si="94"/>
        <v>0.28567958206012084</v>
      </c>
      <c r="M381" s="33">
        <f t="shared" si="95"/>
        <v>0.30351597636148114</v>
      </c>
      <c r="N381" s="8">
        <v>1</v>
      </c>
      <c r="O381" s="9">
        <v>0</v>
      </c>
      <c r="P381" s="8">
        <v>0</v>
      </c>
      <c r="Q381" s="9">
        <v>0</v>
      </c>
      <c r="R381" s="9">
        <v>1</v>
      </c>
      <c r="S381" s="9">
        <v>0</v>
      </c>
      <c r="T381" s="9">
        <v>0</v>
      </c>
      <c r="U381" s="8">
        <v>11501</v>
      </c>
      <c r="V381" s="9">
        <v>18</v>
      </c>
      <c r="W381" s="9">
        <f t="shared" si="96"/>
        <v>11482</v>
      </c>
      <c r="X381" s="9">
        <f t="shared" si="97"/>
        <v>32</v>
      </c>
      <c r="Y381" s="7">
        <v>14</v>
      </c>
      <c r="Z381" s="7">
        <v>20.492000000000001</v>
      </c>
      <c r="AA381" s="9">
        <v>0</v>
      </c>
      <c r="AB381" s="9">
        <v>1</v>
      </c>
      <c r="AC381" s="9">
        <v>0</v>
      </c>
      <c r="AD381" s="9">
        <v>0</v>
      </c>
      <c r="AE381" s="9">
        <v>1</v>
      </c>
      <c r="AF381" s="9">
        <v>0</v>
      </c>
      <c r="AG381" s="8">
        <v>0</v>
      </c>
      <c r="AH381" s="9">
        <v>1</v>
      </c>
      <c r="AI381" s="30">
        <v>0</v>
      </c>
      <c r="AJ381" s="9">
        <v>1</v>
      </c>
      <c r="AK381" s="30">
        <v>0</v>
      </c>
      <c r="AL381" s="21">
        <v>2002</v>
      </c>
      <c r="AM381" s="23">
        <f t="shared" si="98"/>
        <v>7.6019019598751658</v>
      </c>
      <c r="AN381" s="33">
        <v>0.44</v>
      </c>
      <c r="AO381" s="33">
        <v>9.7000000000000003E-2</v>
      </c>
      <c r="AP381" s="33">
        <v>0.35499999999999998</v>
      </c>
      <c r="AQ381" s="43">
        <f t="shared" si="105"/>
        <v>0.10799999999999998</v>
      </c>
      <c r="AR381" s="42">
        <v>0.57999999999999996</v>
      </c>
      <c r="AS381" s="18">
        <v>0.42</v>
      </c>
      <c r="AT381">
        <v>1</v>
      </c>
      <c r="AU381" s="40">
        <v>0</v>
      </c>
      <c r="AV381" t="s">
        <v>104</v>
      </c>
      <c r="AW381" s="40" t="s">
        <v>104</v>
      </c>
      <c r="AX381">
        <v>0</v>
      </c>
      <c r="AY381" s="18">
        <v>1</v>
      </c>
      <c r="AZ381">
        <f t="shared" si="10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11</v>
      </c>
      <c r="DB381" s="34"/>
    </row>
    <row r="382" spans="1:106" x14ac:dyDescent="0.25">
      <c r="A382">
        <v>381</v>
      </c>
      <c r="B382">
        <v>24</v>
      </c>
      <c r="C382" s="25" t="s">
        <v>253</v>
      </c>
      <c r="D382" s="12">
        <v>12.91474433343347</v>
      </c>
      <c r="E382" s="14">
        <v>0.31094890048395202</v>
      </c>
      <c r="F382" s="7">
        <v>41.533333333333331</v>
      </c>
      <c r="G382" s="7">
        <f t="shared" si="89"/>
        <v>12.603795432949518</v>
      </c>
      <c r="H382" s="16">
        <f t="shared" si="90"/>
        <v>13.225693233917422</v>
      </c>
      <c r="I382" s="11">
        <f t="shared" si="91"/>
        <v>0.36140520779130031</v>
      </c>
      <c r="J382" s="33">
        <f t="shared" si="92"/>
        <v>8.7015700110264927E-3</v>
      </c>
      <c r="K382" s="33">
        <f t="shared" si="93"/>
        <v>114.92178983020486</v>
      </c>
      <c r="L382" s="33">
        <f t="shared" si="94"/>
        <v>0.3527036377802738</v>
      </c>
      <c r="M382" s="33">
        <f t="shared" si="95"/>
        <v>0.37010677780232681</v>
      </c>
      <c r="N382" s="8">
        <v>1</v>
      </c>
      <c r="O382" s="9">
        <v>0</v>
      </c>
      <c r="P382" s="8">
        <v>0</v>
      </c>
      <c r="Q382" s="9">
        <v>0</v>
      </c>
      <c r="R382" s="9">
        <v>1</v>
      </c>
      <c r="S382" s="9">
        <v>0</v>
      </c>
      <c r="T382" s="9">
        <v>0</v>
      </c>
      <c r="U382" s="8">
        <v>11501</v>
      </c>
      <c r="V382" s="9">
        <v>18</v>
      </c>
      <c r="W382" s="9">
        <f t="shared" si="96"/>
        <v>11482</v>
      </c>
      <c r="X382" s="9">
        <f t="shared" si="97"/>
        <v>32</v>
      </c>
      <c r="Y382" s="7">
        <v>16</v>
      </c>
      <c r="Z382" s="7">
        <v>20.492000000000001</v>
      </c>
      <c r="AA382" s="9">
        <v>0</v>
      </c>
      <c r="AB382" s="9">
        <v>1</v>
      </c>
      <c r="AC382" s="9">
        <v>0</v>
      </c>
      <c r="AD382" s="9">
        <v>0</v>
      </c>
      <c r="AE382" s="9">
        <v>1</v>
      </c>
      <c r="AF382" s="9">
        <v>0</v>
      </c>
      <c r="AG382" s="8">
        <v>0</v>
      </c>
      <c r="AH382" s="9">
        <v>1</v>
      </c>
      <c r="AI382" s="30">
        <v>0</v>
      </c>
      <c r="AJ382" s="9">
        <v>1</v>
      </c>
      <c r="AK382" s="30">
        <v>0</v>
      </c>
      <c r="AL382" s="21">
        <v>2002</v>
      </c>
      <c r="AM382" s="23">
        <f t="shared" si="98"/>
        <v>7.6019019598751658</v>
      </c>
      <c r="AN382" s="33">
        <v>0.44</v>
      </c>
      <c r="AO382" s="33">
        <v>9.7000000000000003E-2</v>
      </c>
      <c r="AP382" s="33">
        <v>0.35499999999999998</v>
      </c>
      <c r="AQ382" s="43">
        <f t="shared" si="105"/>
        <v>0.10799999999999998</v>
      </c>
      <c r="AR382" s="42">
        <v>0.57999999999999996</v>
      </c>
      <c r="AS382" s="18">
        <v>0.42</v>
      </c>
      <c r="AT382">
        <v>1</v>
      </c>
      <c r="AU382" s="40">
        <v>0</v>
      </c>
      <c r="AV382" t="s">
        <v>104</v>
      </c>
      <c r="AW382" s="40" t="s">
        <v>104</v>
      </c>
      <c r="AX382">
        <v>0</v>
      </c>
      <c r="AY382" s="18">
        <v>1</v>
      </c>
      <c r="AZ382">
        <f t="shared" si="10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11</v>
      </c>
      <c r="DB382" s="34"/>
    </row>
    <row r="383" spans="1:106" x14ac:dyDescent="0.25">
      <c r="A383">
        <v>382</v>
      </c>
      <c r="B383">
        <v>24</v>
      </c>
      <c r="C383" s="25" t="s">
        <v>253</v>
      </c>
      <c r="D383" s="12">
        <v>14.2</v>
      </c>
      <c r="E383" s="14">
        <v>1</v>
      </c>
      <c r="F383" s="7">
        <f>D383/E383</f>
        <v>14.2</v>
      </c>
      <c r="G383" s="7">
        <f t="shared" si="89"/>
        <v>13.2</v>
      </c>
      <c r="H383" s="16">
        <f t="shared" si="90"/>
        <v>15.2</v>
      </c>
      <c r="I383" s="11">
        <f t="shared" si="91"/>
        <v>0.30222070698132025</v>
      </c>
      <c r="J383" s="33">
        <f t="shared" si="92"/>
        <v>2.1283148378966214E-2</v>
      </c>
      <c r="K383" s="33">
        <f t="shared" si="93"/>
        <v>46.985529687340971</v>
      </c>
      <c r="L383" s="33">
        <f t="shared" si="94"/>
        <v>0.28093755860235403</v>
      </c>
      <c r="M383" s="33">
        <f t="shared" si="95"/>
        <v>0.32350385536028647</v>
      </c>
      <c r="N383" s="8">
        <v>1</v>
      </c>
      <c r="O383" s="9">
        <v>0</v>
      </c>
      <c r="P383" s="8">
        <v>0</v>
      </c>
      <c r="Q383" s="9">
        <v>0</v>
      </c>
      <c r="R383" s="9">
        <v>1</v>
      </c>
      <c r="S383" s="9">
        <v>0</v>
      </c>
      <c r="T383" s="9">
        <v>0</v>
      </c>
      <c r="U383" s="8">
        <v>2018</v>
      </c>
      <c r="V383" s="9">
        <v>11</v>
      </c>
      <c r="W383" s="9">
        <f t="shared" si="96"/>
        <v>2006</v>
      </c>
      <c r="X383" s="9">
        <f t="shared" si="97"/>
        <v>32</v>
      </c>
      <c r="Y383" s="7">
        <v>4.3259999999999996</v>
      </c>
      <c r="Z383" s="7">
        <v>20.097000000000001</v>
      </c>
      <c r="AA383" s="9">
        <v>1</v>
      </c>
      <c r="AB383" s="9">
        <v>0</v>
      </c>
      <c r="AC383" s="9">
        <v>0</v>
      </c>
      <c r="AD383" s="9">
        <v>0</v>
      </c>
      <c r="AE383" s="9">
        <v>1</v>
      </c>
      <c r="AF383" s="9">
        <v>0</v>
      </c>
      <c r="AG383" s="8">
        <v>0</v>
      </c>
      <c r="AH383" s="9">
        <v>1</v>
      </c>
      <c r="AI383" s="30">
        <v>0</v>
      </c>
      <c r="AJ383" s="9">
        <v>1</v>
      </c>
      <c r="AK383" s="30">
        <v>0</v>
      </c>
      <c r="AL383" s="21">
        <v>2002</v>
      </c>
      <c r="AM383" s="23">
        <f t="shared" si="98"/>
        <v>7.6019019598751658</v>
      </c>
      <c r="AN383" s="33">
        <v>0.58099999999999996</v>
      </c>
      <c r="AO383" s="33">
        <v>9.0999999999999998E-2</v>
      </c>
      <c r="AP383" s="33">
        <v>0.20100000000000001</v>
      </c>
      <c r="AQ383" s="43">
        <f t="shared" si="105"/>
        <v>0.127</v>
      </c>
      <c r="AR383" s="42">
        <v>0.16</v>
      </c>
      <c r="AS383" s="18">
        <v>0.84</v>
      </c>
      <c r="AT383">
        <v>0</v>
      </c>
      <c r="AU383" s="40">
        <v>1</v>
      </c>
      <c r="AV383" t="s">
        <v>104</v>
      </c>
      <c r="AW383" s="40" t="s">
        <v>104</v>
      </c>
      <c r="AX383">
        <v>0</v>
      </c>
      <c r="AY383" s="18">
        <v>1</v>
      </c>
      <c r="AZ383">
        <f t="shared" si="10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11</v>
      </c>
      <c r="DB383" s="34"/>
    </row>
    <row r="384" spans="1:106" x14ac:dyDescent="0.25">
      <c r="A384">
        <v>383</v>
      </c>
      <c r="B384">
        <v>24</v>
      </c>
      <c r="C384" s="25" t="s">
        <v>253</v>
      </c>
      <c r="D384" s="12">
        <v>0.20858331137321159</v>
      </c>
      <c r="E384" s="14">
        <v>7.2973753250103177E-2</v>
      </c>
      <c r="F384" s="7">
        <v>2.8583333333333338</v>
      </c>
      <c r="G384" s="7">
        <f t="shared" si="89"/>
        <v>0.13560955812310843</v>
      </c>
      <c r="H384" s="16">
        <f t="shared" si="90"/>
        <v>0.28155706462331476</v>
      </c>
      <c r="I384" s="11">
        <f t="shared" si="91"/>
        <v>6.3800016035671786E-2</v>
      </c>
      <c r="J384" s="33">
        <f t="shared" si="92"/>
        <v>2.2320705318602366E-2</v>
      </c>
      <c r="K384" s="33">
        <f t="shared" si="93"/>
        <v>44.801451644388088</v>
      </c>
      <c r="L384" s="33">
        <f t="shared" si="94"/>
        <v>4.1479310717069423E-2</v>
      </c>
      <c r="M384" s="33">
        <f t="shared" si="95"/>
        <v>8.6120721354274149E-2</v>
      </c>
      <c r="N384" s="8">
        <v>1</v>
      </c>
      <c r="O384" s="9">
        <v>0</v>
      </c>
      <c r="P384" s="8">
        <v>0</v>
      </c>
      <c r="Q384" s="9">
        <v>0</v>
      </c>
      <c r="R384" s="9">
        <v>1</v>
      </c>
      <c r="S384" s="9">
        <v>0</v>
      </c>
      <c r="T384" s="9">
        <v>0</v>
      </c>
      <c r="U384" s="8">
        <v>2018</v>
      </c>
      <c r="V384" s="9">
        <v>18</v>
      </c>
      <c r="W384" s="9">
        <f t="shared" si="96"/>
        <v>1999</v>
      </c>
      <c r="X384" s="9">
        <f t="shared" si="97"/>
        <v>32</v>
      </c>
      <c r="Y384" s="7">
        <v>5</v>
      </c>
      <c r="Z384" s="7">
        <v>20.097000000000001</v>
      </c>
      <c r="AA384" s="9">
        <v>0</v>
      </c>
      <c r="AB384" s="9">
        <v>1</v>
      </c>
      <c r="AC384" s="9">
        <v>0</v>
      </c>
      <c r="AD384" s="9">
        <v>0</v>
      </c>
      <c r="AE384" s="9">
        <v>1</v>
      </c>
      <c r="AF384" s="9">
        <v>0</v>
      </c>
      <c r="AG384" s="8">
        <v>0</v>
      </c>
      <c r="AH384" s="9">
        <v>1</v>
      </c>
      <c r="AI384" s="30">
        <v>0</v>
      </c>
      <c r="AJ384" s="9">
        <v>1</v>
      </c>
      <c r="AK384" s="30">
        <v>0</v>
      </c>
      <c r="AL384" s="21">
        <v>2002</v>
      </c>
      <c r="AM384" s="23">
        <f t="shared" si="98"/>
        <v>7.6019019598751658</v>
      </c>
      <c r="AN384" s="33">
        <v>0.58099999999999996</v>
      </c>
      <c r="AO384" s="33">
        <v>9.0999999999999998E-2</v>
      </c>
      <c r="AP384" s="33">
        <v>0.20100000000000001</v>
      </c>
      <c r="AQ384" s="43">
        <f t="shared" si="105"/>
        <v>0.127</v>
      </c>
      <c r="AR384" s="42">
        <v>0.16</v>
      </c>
      <c r="AS384" s="18">
        <v>0.84</v>
      </c>
      <c r="AT384">
        <v>0</v>
      </c>
      <c r="AU384" s="40">
        <v>1</v>
      </c>
      <c r="AV384" t="s">
        <v>104</v>
      </c>
      <c r="AW384" s="40" t="s">
        <v>104</v>
      </c>
      <c r="AX384">
        <v>0</v>
      </c>
      <c r="AY384" s="18">
        <v>1</v>
      </c>
      <c r="AZ384">
        <f t="shared" si="10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11</v>
      </c>
      <c r="DB384" s="34"/>
    </row>
    <row r="385" spans="1:106" x14ac:dyDescent="0.25">
      <c r="A385">
        <v>384</v>
      </c>
      <c r="B385">
        <v>24</v>
      </c>
      <c r="C385" s="25" t="s">
        <v>253</v>
      </c>
      <c r="D385" s="12">
        <v>17.973273386022949</v>
      </c>
      <c r="E385" s="14">
        <v>2.6265743987924979</v>
      </c>
      <c r="F385" s="7">
        <v>6.8428571428571416</v>
      </c>
      <c r="G385" s="7">
        <f t="shared" si="89"/>
        <v>15.346698987230452</v>
      </c>
      <c r="H385" s="16">
        <f t="shared" si="90"/>
        <v>20.599847784815449</v>
      </c>
      <c r="I385" s="11">
        <f t="shared" si="91"/>
        <v>0.15128757625528103</v>
      </c>
      <c r="J385" s="33">
        <f t="shared" si="92"/>
        <v>2.2108831603068209E-2</v>
      </c>
      <c r="K385" s="33">
        <f t="shared" si="93"/>
        <v>45.230793646337354</v>
      </c>
      <c r="L385" s="33">
        <f t="shared" si="94"/>
        <v>0.12917874465221282</v>
      </c>
      <c r="M385" s="33">
        <f t="shared" si="95"/>
        <v>0.17339640785834923</v>
      </c>
      <c r="N385" s="8">
        <v>1</v>
      </c>
      <c r="O385" s="9">
        <v>0</v>
      </c>
      <c r="P385" s="8">
        <v>0</v>
      </c>
      <c r="Q385" s="9">
        <v>0</v>
      </c>
      <c r="R385" s="9">
        <v>1</v>
      </c>
      <c r="S385" s="9">
        <v>0</v>
      </c>
      <c r="T385" s="9">
        <v>0</v>
      </c>
      <c r="U385" s="8">
        <v>2018</v>
      </c>
      <c r="V385" s="9">
        <v>18</v>
      </c>
      <c r="W385" s="9">
        <f t="shared" si="96"/>
        <v>1999</v>
      </c>
      <c r="X385" s="9">
        <f t="shared" si="97"/>
        <v>32</v>
      </c>
      <c r="Y385" s="7">
        <v>8</v>
      </c>
      <c r="Z385" s="7">
        <v>20.097000000000001</v>
      </c>
      <c r="AA385" s="9">
        <v>0</v>
      </c>
      <c r="AB385" s="9">
        <v>1</v>
      </c>
      <c r="AC385" s="9">
        <v>0</v>
      </c>
      <c r="AD385" s="9">
        <v>0</v>
      </c>
      <c r="AE385" s="9">
        <v>1</v>
      </c>
      <c r="AF385" s="9">
        <v>0</v>
      </c>
      <c r="AG385" s="8">
        <v>0</v>
      </c>
      <c r="AH385" s="9">
        <v>1</v>
      </c>
      <c r="AI385" s="30">
        <v>0</v>
      </c>
      <c r="AJ385" s="9">
        <v>1</v>
      </c>
      <c r="AK385" s="30">
        <v>0</v>
      </c>
      <c r="AL385" s="21">
        <v>2002</v>
      </c>
      <c r="AM385" s="23">
        <f t="shared" si="98"/>
        <v>7.6019019598751658</v>
      </c>
      <c r="AN385" s="33">
        <v>0.58099999999999996</v>
      </c>
      <c r="AO385" s="33">
        <v>9.0999999999999998E-2</v>
      </c>
      <c r="AP385" s="33">
        <v>0.20100000000000001</v>
      </c>
      <c r="AQ385" s="43">
        <f t="shared" si="105"/>
        <v>0.127</v>
      </c>
      <c r="AR385" s="42">
        <v>0.16</v>
      </c>
      <c r="AS385" s="18">
        <v>0.84</v>
      </c>
      <c r="AT385">
        <v>0</v>
      </c>
      <c r="AU385" s="40">
        <v>1</v>
      </c>
      <c r="AV385" t="s">
        <v>104</v>
      </c>
      <c r="AW385" s="40" t="s">
        <v>104</v>
      </c>
      <c r="AX385">
        <v>0</v>
      </c>
      <c r="AY385" s="18">
        <v>1</v>
      </c>
      <c r="AZ385">
        <f t="shared" si="10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11</v>
      </c>
      <c r="DB385" s="34"/>
    </row>
    <row r="386" spans="1:106" x14ac:dyDescent="0.25">
      <c r="A386">
        <v>385</v>
      </c>
      <c r="B386">
        <v>24</v>
      </c>
      <c r="C386" s="25" t="s">
        <v>253</v>
      </c>
      <c r="D386" s="12">
        <v>25.77199271767741</v>
      </c>
      <c r="E386" s="14">
        <v>1.713563345590253</v>
      </c>
      <c r="F386" s="7">
        <v>15.04</v>
      </c>
      <c r="G386" s="7">
        <f t="shared" ref="G386:G449" si="107">D386-E386</f>
        <v>24.058429372087158</v>
      </c>
      <c r="H386" s="16">
        <f t="shared" ref="H386:H449" si="108">D386+E386</f>
        <v>27.485556063267662</v>
      </c>
      <c r="I386" s="11">
        <f t="shared" ref="I386:I449" si="109">IFERROR(F386/SQRT(F386^2+W386), "X")</f>
        <v>0.31883291842716138</v>
      </c>
      <c r="J386" s="33">
        <f t="shared" ref="J386:J449" si="110">IFERROR(SQRT((1-I386^2)/W386), "X")</f>
        <v>2.1198997235848498E-2</v>
      </c>
      <c r="K386" s="33">
        <f t="shared" ref="K386:K449" si="111">IFERROR(1/J386, "X")</f>
        <v>47.172042567605658</v>
      </c>
      <c r="L386" s="33">
        <f t="shared" ref="L386:L449" si="112">IFERROR(I386-J386, "X")</f>
        <v>0.29763392119131288</v>
      </c>
      <c r="M386" s="33">
        <f t="shared" ref="M386:M449" si="113">IFERROR(I386+J386, "X")</f>
        <v>0.34003191566300989</v>
      </c>
      <c r="N386" s="8">
        <v>1</v>
      </c>
      <c r="O386" s="9">
        <v>0</v>
      </c>
      <c r="P386" s="8">
        <v>0</v>
      </c>
      <c r="Q386" s="9">
        <v>0</v>
      </c>
      <c r="R386" s="9">
        <v>1</v>
      </c>
      <c r="S386" s="9">
        <v>0</v>
      </c>
      <c r="T386" s="9">
        <v>0</v>
      </c>
      <c r="U386" s="8">
        <v>2018</v>
      </c>
      <c r="V386" s="9">
        <v>18</v>
      </c>
      <c r="W386" s="9">
        <f t="shared" ref="W386:W449" si="114">U386-V386-1</f>
        <v>1999</v>
      </c>
      <c r="X386" s="9">
        <f t="shared" ref="X386:X449" si="115">COUNTIF(B:B,B386)</f>
        <v>32</v>
      </c>
      <c r="Y386" s="7">
        <v>10</v>
      </c>
      <c r="Z386" s="7">
        <v>20.097000000000001</v>
      </c>
      <c r="AA386" s="9">
        <v>0</v>
      </c>
      <c r="AB386" s="9">
        <v>1</v>
      </c>
      <c r="AC386" s="9">
        <v>0</v>
      </c>
      <c r="AD386" s="9">
        <v>0</v>
      </c>
      <c r="AE386" s="9">
        <v>1</v>
      </c>
      <c r="AF386" s="9">
        <v>0</v>
      </c>
      <c r="AG386" s="8">
        <v>0</v>
      </c>
      <c r="AH386" s="9">
        <v>1</v>
      </c>
      <c r="AI386" s="30">
        <v>0</v>
      </c>
      <c r="AJ386" s="9">
        <v>1</v>
      </c>
      <c r="AK386" s="30">
        <v>0</v>
      </c>
      <c r="AL386" s="21">
        <v>2002</v>
      </c>
      <c r="AM386" s="23">
        <f t="shared" ref="AM386:AM449" si="116">LN(AL386)</f>
        <v>7.6019019598751658</v>
      </c>
      <c r="AN386" s="33">
        <v>0.58099999999999996</v>
      </c>
      <c r="AO386" s="33">
        <v>9.0999999999999998E-2</v>
      </c>
      <c r="AP386" s="33">
        <v>0.20100000000000001</v>
      </c>
      <c r="AQ386" s="43">
        <f t="shared" si="105"/>
        <v>0.127</v>
      </c>
      <c r="AR386" s="42">
        <v>0.16</v>
      </c>
      <c r="AS386" s="18">
        <v>0.84</v>
      </c>
      <c r="AT386">
        <v>0</v>
      </c>
      <c r="AU386" s="40">
        <v>1</v>
      </c>
      <c r="AV386" t="s">
        <v>104</v>
      </c>
      <c r="AW386" s="40" t="s">
        <v>104</v>
      </c>
      <c r="AX386">
        <v>0</v>
      </c>
      <c r="AY386" s="18">
        <v>1</v>
      </c>
      <c r="AZ386">
        <f t="shared" si="10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11</v>
      </c>
      <c r="DB386" s="34"/>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14"/>
        <v>1999</v>
      </c>
      <c r="X387" s="9">
        <f t="shared" si="115"/>
        <v>32</v>
      </c>
      <c r="Y387" s="7">
        <v>12</v>
      </c>
      <c r="Z387" s="7">
        <v>20.097000000000001</v>
      </c>
      <c r="AA387" s="9">
        <v>0</v>
      </c>
      <c r="AB387" s="9">
        <v>1</v>
      </c>
      <c r="AC387" s="9">
        <v>0</v>
      </c>
      <c r="AD387" s="9">
        <v>0</v>
      </c>
      <c r="AE387" s="9">
        <v>1</v>
      </c>
      <c r="AF387" s="9">
        <v>0</v>
      </c>
      <c r="AG387" s="8">
        <v>0</v>
      </c>
      <c r="AH387" s="9">
        <v>1</v>
      </c>
      <c r="AI387" s="30">
        <v>0</v>
      </c>
      <c r="AJ387" s="9">
        <v>1</v>
      </c>
      <c r="AK387" s="30">
        <v>0</v>
      </c>
      <c r="AL387" s="21">
        <v>2002</v>
      </c>
      <c r="AM387" s="23">
        <f t="shared" si="116"/>
        <v>7.6019019598751658</v>
      </c>
      <c r="AN387" s="33">
        <v>0.58099999999999996</v>
      </c>
      <c r="AO387" s="33">
        <v>9.0999999999999998E-2</v>
      </c>
      <c r="AP387" s="33">
        <v>0.20100000000000001</v>
      </c>
      <c r="AQ387" s="43">
        <f t="shared" si="105"/>
        <v>0.127</v>
      </c>
      <c r="AR387" s="42">
        <v>0.16</v>
      </c>
      <c r="AS387" s="18">
        <v>0.84</v>
      </c>
      <c r="AT387">
        <v>0</v>
      </c>
      <c r="AU387" s="40">
        <v>1</v>
      </c>
      <c r="AV387" t="s">
        <v>104</v>
      </c>
      <c r="AW387" s="40" t="s">
        <v>104</v>
      </c>
      <c r="AX387">
        <v>0</v>
      </c>
      <c r="AY387" s="18">
        <v>1</v>
      </c>
      <c r="AZ387">
        <f t="shared" si="10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11</v>
      </c>
      <c r="DB387" s="34"/>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14"/>
        <v>1999</v>
      </c>
      <c r="X388" s="9">
        <f t="shared" si="115"/>
        <v>32</v>
      </c>
      <c r="Y388" s="7">
        <v>14</v>
      </c>
      <c r="Z388" s="7">
        <v>20.097000000000001</v>
      </c>
      <c r="AA388" s="9">
        <v>0</v>
      </c>
      <c r="AB388" s="9">
        <v>1</v>
      </c>
      <c r="AC388" s="9">
        <v>0</v>
      </c>
      <c r="AD388" s="9">
        <v>0</v>
      </c>
      <c r="AE388" s="9">
        <v>1</v>
      </c>
      <c r="AF388" s="9">
        <v>0</v>
      </c>
      <c r="AG388" s="8">
        <v>0</v>
      </c>
      <c r="AH388" s="9">
        <v>1</v>
      </c>
      <c r="AI388" s="30">
        <v>0</v>
      </c>
      <c r="AJ388" s="9">
        <v>1</v>
      </c>
      <c r="AK388" s="30">
        <v>0</v>
      </c>
      <c r="AL388" s="21">
        <v>2002</v>
      </c>
      <c r="AM388" s="23">
        <f t="shared" si="116"/>
        <v>7.6019019598751658</v>
      </c>
      <c r="AN388" s="33">
        <v>0.58099999999999996</v>
      </c>
      <c r="AO388" s="33">
        <v>9.0999999999999998E-2</v>
      </c>
      <c r="AP388" s="33">
        <v>0.20100000000000001</v>
      </c>
      <c r="AQ388" s="43">
        <f t="shared" si="105"/>
        <v>0.127</v>
      </c>
      <c r="AR388" s="42">
        <v>0.16</v>
      </c>
      <c r="AS388" s="18">
        <v>0.84</v>
      </c>
      <c r="AT388">
        <v>0</v>
      </c>
      <c r="AU388" s="40">
        <v>1</v>
      </c>
      <c r="AV388" t="s">
        <v>104</v>
      </c>
      <c r="AW388" s="40" t="s">
        <v>104</v>
      </c>
      <c r="AX388">
        <v>0</v>
      </c>
      <c r="AY388" s="18">
        <v>1</v>
      </c>
      <c r="AZ388">
        <f t="shared" si="10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11</v>
      </c>
      <c r="DB388" s="34"/>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14"/>
        <v>1999</v>
      </c>
      <c r="X389" s="9">
        <f t="shared" si="115"/>
        <v>32</v>
      </c>
      <c r="Y389" s="7">
        <v>16</v>
      </c>
      <c r="Z389" s="7">
        <v>20.097000000000001</v>
      </c>
      <c r="AA389" s="9">
        <v>0</v>
      </c>
      <c r="AB389" s="9">
        <v>1</v>
      </c>
      <c r="AC389" s="9">
        <v>0</v>
      </c>
      <c r="AD389" s="9">
        <v>0</v>
      </c>
      <c r="AE389" s="9">
        <v>1</v>
      </c>
      <c r="AF389" s="9">
        <v>0</v>
      </c>
      <c r="AG389" s="8">
        <v>0</v>
      </c>
      <c r="AH389" s="9">
        <v>1</v>
      </c>
      <c r="AI389" s="30">
        <v>0</v>
      </c>
      <c r="AJ389" s="9">
        <v>1</v>
      </c>
      <c r="AK389" s="30">
        <v>0</v>
      </c>
      <c r="AL389" s="21">
        <v>2002</v>
      </c>
      <c r="AM389" s="23">
        <f t="shared" si="116"/>
        <v>7.6019019598751658</v>
      </c>
      <c r="AN389" s="33">
        <v>0.58099999999999996</v>
      </c>
      <c r="AO389" s="33">
        <v>9.0999999999999998E-2</v>
      </c>
      <c r="AP389" s="33">
        <v>0.20100000000000001</v>
      </c>
      <c r="AQ389" s="43">
        <f t="shared" si="105"/>
        <v>0.127</v>
      </c>
      <c r="AR389" s="42">
        <v>0.16</v>
      </c>
      <c r="AS389" s="18">
        <v>0.84</v>
      </c>
      <c r="AT389">
        <v>0</v>
      </c>
      <c r="AU389" s="40">
        <v>1</v>
      </c>
      <c r="AV389" t="s">
        <v>104</v>
      </c>
      <c r="AW389" s="40" t="s">
        <v>104</v>
      </c>
      <c r="AX389">
        <v>0</v>
      </c>
      <c r="AY389" s="18">
        <v>1</v>
      </c>
      <c r="AZ389">
        <f t="shared" si="10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11</v>
      </c>
      <c r="DB389" s="34"/>
    </row>
    <row r="390" spans="1:106" x14ac:dyDescent="0.25">
      <c r="A390">
        <v>389</v>
      </c>
      <c r="B390">
        <v>24</v>
      </c>
      <c r="C390" s="25" t="s">
        <v>253</v>
      </c>
      <c r="D390" s="12">
        <v>9.9</v>
      </c>
      <c r="E390" s="14">
        <v>1</v>
      </c>
      <c r="F390" s="7">
        <f t="shared" ref="F390:F409" si="117">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14"/>
        <v>4144</v>
      </c>
      <c r="X390" s="9">
        <f t="shared" si="115"/>
        <v>32</v>
      </c>
      <c r="Y390" s="7">
        <v>5.6660000000000004</v>
      </c>
      <c r="Z390" s="7">
        <v>20.492000000000001</v>
      </c>
      <c r="AA390" s="9">
        <v>1</v>
      </c>
      <c r="AB390" s="9">
        <v>0</v>
      </c>
      <c r="AC390" s="9">
        <v>0</v>
      </c>
      <c r="AD390" s="9">
        <v>0</v>
      </c>
      <c r="AE390" s="9">
        <v>1</v>
      </c>
      <c r="AF390" s="9">
        <v>0</v>
      </c>
      <c r="AG390" s="8">
        <v>0</v>
      </c>
      <c r="AH390" s="9">
        <v>1</v>
      </c>
      <c r="AI390" s="30">
        <v>0</v>
      </c>
      <c r="AJ390" s="9">
        <v>1</v>
      </c>
      <c r="AK390" s="30">
        <v>0</v>
      </c>
      <c r="AL390" s="21">
        <v>2002</v>
      </c>
      <c r="AM390" s="23">
        <f t="shared" si="116"/>
        <v>7.6019019598751658</v>
      </c>
      <c r="AN390" s="33">
        <v>0.44</v>
      </c>
      <c r="AO390" s="33">
        <v>9.7000000000000003E-2</v>
      </c>
      <c r="AP390" s="33">
        <v>0.35499999999999998</v>
      </c>
      <c r="AQ390" s="43">
        <f t="shared" si="105"/>
        <v>0.10799999999999998</v>
      </c>
      <c r="AR390" s="42">
        <v>0.57999999999999996</v>
      </c>
      <c r="AS390" s="18">
        <v>0.42</v>
      </c>
      <c r="AT390">
        <v>1</v>
      </c>
      <c r="AU390" s="40">
        <v>0</v>
      </c>
      <c r="AV390" t="s">
        <v>104</v>
      </c>
      <c r="AW390" s="40" t="s">
        <v>104</v>
      </c>
      <c r="AX390">
        <v>0</v>
      </c>
      <c r="AY390" s="18">
        <v>1</v>
      </c>
      <c r="AZ390">
        <f t="shared" si="10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11</v>
      </c>
      <c r="DB390" s="34"/>
    </row>
    <row r="391" spans="1:106" x14ac:dyDescent="0.25">
      <c r="A391">
        <v>390</v>
      </c>
      <c r="B391">
        <v>24</v>
      </c>
      <c r="C391" s="25" t="s">
        <v>253</v>
      </c>
      <c r="D391" s="12">
        <v>10.6</v>
      </c>
      <c r="E391" s="14">
        <v>0.5</v>
      </c>
      <c r="F391" s="7">
        <f t="shared" si="117"/>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14"/>
        <v>5579</v>
      </c>
      <c r="X391" s="9">
        <f t="shared" si="115"/>
        <v>32</v>
      </c>
      <c r="Y391" s="7">
        <v>5.6660000000000004</v>
      </c>
      <c r="Z391" s="7">
        <v>20.492000000000001</v>
      </c>
      <c r="AA391" s="9">
        <v>1</v>
      </c>
      <c r="AB391" s="9">
        <v>0</v>
      </c>
      <c r="AC391" s="9">
        <v>0</v>
      </c>
      <c r="AD391" s="9">
        <v>0</v>
      </c>
      <c r="AE391" s="9">
        <v>1</v>
      </c>
      <c r="AF391" s="9">
        <v>0</v>
      </c>
      <c r="AG391" s="8">
        <v>0</v>
      </c>
      <c r="AH391" s="9">
        <v>1</v>
      </c>
      <c r="AI391" s="30">
        <v>0</v>
      </c>
      <c r="AJ391" s="9">
        <v>1</v>
      </c>
      <c r="AK391" s="30">
        <v>0</v>
      </c>
      <c r="AL391" s="21">
        <v>2002</v>
      </c>
      <c r="AM391" s="23">
        <f t="shared" si="116"/>
        <v>7.6019019598751658</v>
      </c>
      <c r="AN391" s="33">
        <v>0.44</v>
      </c>
      <c r="AO391" s="33">
        <v>9.7000000000000003E-2</v>
      </c>
      <c r="AP391" s="33">
        <v>0.35499999999999998</v>
      </c>
      <c r="AQ391" s="43">
        <f t="shared" si="105"/>
        <v>0.10799999999999998</v>
      </c>
      <c r="AR391" s="42">
        <v>0.57999999999999996</v>
      </c>
      <c r="AS391" s="18">
        <v>0.42</v>
      </c>
      <c r="AT391">
        <v>1</v>
      </c>
      <c r="AU391" s="40">
        <v>0</v>
      </c>
      <c r="AV391" t="s">
        <v>104</v>
      </c>
      <c r="AW391" s="40" t="s">
        <v>104</v>
      </c>
      <c r="AX391">
        <v>0</v>
      </c>
      <c r="AY391" s="18">
        <v>1</v>
      </c>
      <c r="AZ391">
        <f t="shared" si="10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11</v>
      </c>
      <c r="DB391" s="34"/>
    </row>
    <row r="392" spans="1:106" x14ac:dyDescent="0.25">
      <c r="A392">
        <v>391</v>
      </c>
      <c r="B392">
        <v>24</v>
      </c>
      <c r="C392" s="25" t="s">
        <v>253</v>
      </c>
      <c r="D392" s="12">
        <v>16.899999999999999</v>
      </c>
      <c r="E392" s="14">
        <v>3</v>
      </c>
      <c r="F392" s="7">
        <f t="shared" si="117"/>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14"/>
        <v>484</v>
      </c>
      <c r="X392" s="9">
        <f t="shared" si="115"/>
        <v>32</v>
      </c>
      <c r="Y392" s="7">
        <v>4.3259999999999996</v>
      </c>
      <c r="Z392" s="7">
        <v>20.097000000000001</v>
      </c>
      <c r="AA392" s="9">
        <v>1</v>
      </c>
      <c r="AB392" s="9">
        <v>0</v>
      </c>
      <c r="AC392" s="9">
        <v>0</v>
      </c>
      <c r="AD392" s="9">
        <v>0</v>
      </c>
      <c r="AE392" s="9">
        <v>1</v>
      </c>
      <c r="AF392" s="9">
        <v>0</v>
      </c>
      <c r="AG392" s="8">
        <v>0</v>
      </c>
      <c r="AH392" s="9">
        <v>1</v>
      </c>
      <c r="AI392" s="30">
        <v>0</v>
      </c>
      <c r="AJ392" s="9">
        <v>1</v>
      </c>
      <c r="AK392" s="30">
        <v>0</v>
      </c>
      <c r="AL392" s="21">
        <v>2002</v>
      </c>
      <c r="AM392" s="23">
        <f t="shared" si="116"/>
        <v>7.6019019598751658</v>
      </c>
      <c r="AN392" s="33">
        <v>0.58099999999999996</v>
      </c>
      <c r="AO392" s="33">
        <v>9.0999999999999998E-2</v>
      </c>
      <c r="AP392" s="33">
        <v>0.20100000000000001</v>
      </c>
      <c r="AQ392" s="43">
        <f t="shared" si="105"/>
        <v>0.127</v>
      </c>
      <c r="AR392" s="42">
        <v>0.16</v>
      </c>
      <c r="AS392" s="18">
        <v>0.84</v>
      </c>
      <c r="AT392">
        <v>0</v>
      </c>
      <c r="AU392" s="40">
        <v>1</v>
      </c>
      <c r="AV392" t="s">
        <v>104</v>
      </c>
      <c r="AW392" s="40" t="s">
        <v>104</v>
      </c>
      <c r="AX392">
        <v>0</v>
      </c>
      <c r="AY392" s="18">
        <v>1</v>
      </c>
      <c r="AZ392">
        <f t="shared" si="10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11</v>
      </c>
      <c r="DB392" s="34"/>
    </row>
    <row r="393" spans="1:106" s="51" customFormat="1" x14ac:dyDescent="0.25">
      <c r="A393" s="51">
        <v>392</v>
      </c>
      <c r="B393" s="51">
        <v>24</v>
      </c>
      <c r="C393" s="52" t="s">
        <v>253</v>
      </c>
      <c r="D393" s="53">
        <v>17.600000000000001</v>
      </c>
      <c r="E393" s="54">
        <v>1</v>
      </c>
      <c r="F393" s="55">
        <f t="shared" si="117"/>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14"/>
        <v>893</v>
      </c>
      <c r="X393" s="60">
        <f t="shared" si="115"/>
        <v>32</v>
      </c>
      <c r="Y393" s="55">
        <v>4.3259999999999996</v>
      </c>
      <c r="Z393" s="55">
        <v>20.097000000000001</v>
      </c>
      <c r="AA393" s="60">
        <v>1</v>
      </c>
      <c r="AB393" s="60">
        <v>0</v>
      </c>
      <c r="AC393" s="60">
        <v>0</v>
      </c>
      <c r="AD393" s="60">
        <v>0</v>
      </c>
      <c r="AE393" s="60">
        <v>1</v>
      </c>
      <c r="AF393" s="60">
        <v>0</v>
      </c>
      <c r="AG393" s="59">
        <v>0</v>
      </c>
      <c r="AH393" s="60">
        <v>1</v>
      </c>
      <c r="AI393" s="61">
        <v>0</v>
      </c>
      <c r="AJ393" s="60">
        <v>1</v>
      </c>
      <c r="AK393" s="61">
        <v>0</v>
      </c>
      <c r="AL393" s="62">
        <v>2002</v>
      </c>
      <c r="AM393" s="63">
        <f t="shared" si="116"/>
        <v>7.6019019598751658</v>
      </c>
      <c r="AN393" s="58">
        <v>0.58099999999999996</v>
      </c>
      <c r="AO393" s="58">
        <v>9.0999999999999998E-2</v>
      </c>
      <c r="AP393" s="58">
        <v>0.20100000000000001</v>
      </c>
      <c r="AQ393" s="64">
        <f t="shared" si="105"/>
        <v>0.127</v>
      </c>
      <c r="AR393" s="65">
        <v>0.16</v>
      </c>
      <c r="AS393" s="66">
        <v>0.84</v>
      </c>
      <c r="AT393" s="51">
        <v>0</v>
      </c>
      <c r="AU393" s="67">
        <v>1</v>
      </c>
      <c r="AV393" s="51" t="s">
        <v>104</v>
      </c>
      <c r="AW393" s="67" t="s">
        <v>104</v>
      </c>
      <c r="AX393">
        <v>0</v>
      </c>
      <c r="AY393" s="66">
        <v>1</v>
      </c>
      <c r="AZ393" s="51">
        <f t="shared" si="10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11</v>
      </c>
      <c r="CW393" s="68"/>
      <c r="DB393" s="68"/>
    </row>
    <row r="394" spans="1:106" x14ac:dyDescent="0.25">
      <c r="A394">
        <v>393</v>
      </c>
      <c r="B394">
        <v>25</v>
      </c>
      <c r="C394" s="25" t="s">
        <v>266</v>
      </c>
      <c r="D394" s="12">
        <v>8.61</v>
      </c>
      <c r="E394" s="14">
        <v>9.5899999999999999E-2</v>
      </c>
      <c r="F394" s="7">
        <f t="shared" si="117"/>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14"/>
        <v>54751</v>
      </c>
      <c r="X394" s="9">
        <f t="shared" si="115"/>
        <v>4</v>
      </c>
      <c r="Y394" s="7">
        <v>8.5079999999999991</v>
      </c>
      <c r="Z394" s="7">
        <f t="shared" ref="Z394:Z409" si="118">BN394-Y394-6</f>
        <v>23.718999999999998</v>
      </c>
      <c r="AA394" s="9">
        <v>1</v>
      </c>
      <c r="AB394" s="9">
        <v>0</v>
      </c>
      <c r="AC394" s="9">
        <v>0</v>
      </c>
      <c r="AD394" s="9">
        <v>0</v>
      </c>
      <c r="AE394" s="9">
        <v>1</v>
      </c>
      <c r="AF394" s="9">
        <v>0</v>
      </c>
      <c r="AG394" s="8">
        <v>0</v>
      </c>
      <c r="AH394" s="9">
        <v>1</v>
      </c>
      <c r="AI394" s="30">
        <v>0</v>
      </c>
      <c r="AJ394" s="9">
        <v>1</v>
      </c>
      <c r="AK394" s="30">
        <v>0</v>
      </c>
      <c r="AL394" s="21">
        <v>2003</v>
      </c>
      <c r="AM394" s="23">
        <f t="shared" si="116"/>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0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20</v>
      </c>
      <c r="DB394" s="34"/>
    </row>
    <row r="395" spans="1:106" x14ac:dyDescent="0.25">
      <c r="A395">
        <v>394</v>
      </c>
      <c r="B395">
        <v>25</v>
      </c>
      <c r="C395" s="25" t="s">
        <v>266</v>
      </c>
      <c r="D395" s="12">
        <v>7.11</v>
      </c>
      <c r="E395" s="14">
        <v>2.7</v>
      </c>
      <c r="F395" s="7">
        <f t="shared" si="117"/>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14"/>
        <v>54751</v>
      </c>
      <c r="X395" s="9">
        <f t="shared" si="115"/>
        <v>4</v>
      </c>
      <c r="Y395" s="7">
        <v>8.5079999999999991</v>
      </c>
      <c r="Z395" s="7">
        <f t="shared" si="118"/>
        <v>23.718999999999998</v>
      </c>
      <c r="AA395" s="9">
        <v>1</v>
      </c>
      <c r="AB395" s="9">
        <v>0</v>
      </c>
      <c r="AC395" s="9">
        <v>0</v>
      </c>
      <c r="AD395" s="9">
        <v>0</v>
      </c>
      <c r="AE395" s="9">
        <v>1</v>
      </c>
      <c r="AF395" s="9">
        <v>0</v>
      </c>
      <c r="AG395" s="8">
        <v>0</v>
      </c>
      <c r="AH395" s="9">
        <v>1</v>
      </c>
      <c r="AI395" s="30">
        <v>0</v>
      </c>
      <c r="AJ395" s="9">
        <v>0</v>
      </c>
      <c r="AK395" s="30">
        <v>1</v>
      </c>
      <c r="AL395" s="21">
        <v>2003</v>
      </c>
      <c r="AM395" s="23">
        <f t="shared" si="116"/>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0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20</v>
      </c>
      <c r="DB395" s="34"/>
    </row>
    <row r="396" spans="1:106" x14ac:dyDescent="0.25">
      <c r="A396">
        <v>395</v>
      </c>
      <c r="B396">
        <v>25</v>
      </c>
      <c r="C396" s="25" t="s">
        <v>266</v>
      </c>
      <c r="D396" s="12">
        <v>8.5299999999999994</v>
      </c>
      <c r="E396" s="14">
        <v>3.6</v>
      </c>
      <c r="F396" s="7">
        <f t="shared" si="117"/>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14"/>
        <v>54751</v>
      </c>
      <c r="X396" s="9">
        <f t="shared" si="115"/>
        <v>4</v>
      </c>
      <c r="Y396" s="7">
        <v>8.5079999999999991</v>
      </c>
      <c r="Z396" s="7">
        <f t="shared" si="118"/>
        <v>23.718999999999998</v>
      </c>
      <c r="AA396" s="9">
        <v>1</v>
      </c>
      <c r="AB396" s="9">
        <v>0</v>
      </c>
      <c r="AC396" s="9">
        <v>0</v>
      </c>
      <c r="AD396" s="9">
        <v>0</v>
      </c>
      <c r="AE396" s="9">
        <v>1</v>
      </c>
      <c r="AF396" s="9">
        <v>0</v>
      </c>
      <c r="AG396" s="8">
        <v>0</v>
      </c>
      <c r="AH396" s="9">
        <v>1</v>
      </c>
      <c r="AI396" s="30">
        <v>0</v>
      </c>
      <c r="AJ396" s="9">
        <v>0</v>
      </c>
      <c r="AK396" s="30">
        <v>1</v>
      </c>
      <c r="AL396" s="21">
        <v>2003</v>
      </c>
      <c r="AM396" s="23">
        <f t="shared" si="116"/>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0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20</v>
      </c>
      <c r="DB396" s="34"/>
    </row>
    <row r="397" spans="1:106" s="51" customFormat="1" x14ac:dyDescent="0.25">
      <c r="A397" s="51">
        <v>396</v>
      </c>
      <c r="B397" s="51">
        <v>25</v>
      </c>
      <c r="C397" s="52" t="s">
        <v>266</v>
      </c>
      <c r="D397" s="53">
        <v>4.4000000000000004</v>
      </c>
      <c r="E397" s="54">
        <v>0.28999999999999998</v>
      </c>
      <c r="F397" s="55">
        <f t="shared" si="117"/>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14"/>
        <v>18908</v>
      </c>
      <c r="X397" s="60">
        <f t="shared" si="115"/>
        <v>4</v>
      </c>
      <c r="Y397" s="55">
        <v>8.5079999999999991</v>
      </c>
      <c r="Z397" s="55">
        <f t="shared" si="118"/>
        <v>23.718999999999998</v>
      </c>
      <c r="AA397" s="60">
        <v>1</v>
      </c>
      <c r="AB397" s="60">
        <v>0</v>
      </c>
      <c r="AC397" s="60">
        <v>0</v>
      </c>
      <c r="AD397" s="60">
        <v>0</v>
      </c>
      <c r="AE397" s="60">
        <v>1</v>
      </c>
      <c r="AF397" s="60">
        <v>0</v>
      </c>
      <c r="AG397" s="59">
        <v>0</v>
      </c>
      <c r="AH397" s="60">
        <v>1</v>
      </c>
      <c r="AI397" s="61">
        <v>0</v>
      </c>
      <c r="AJ397" s="60">
        <v>0</v>
      </c>
      <c r="AK397" s="61">
        <v>1</v>
      </c>
      <c r="AL397" s="62">
        <v>2003</v>
      </c>
      <c r="AM397" s="63">
        <f t="shared" si="116"/>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0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20</v>
      </c>
      <c r="CW397" s="68"/>
      <c r="DB397" s="68"/>
    </row>
    <row r="398" spans="1:106" x14ac:dyDescent="0.25">
      <c r="A398">
        <v>397</v>
      </c>
      <c r="B398">
        <v>26</v>
      </c>
      <c r="C398" s="25" t="s">
        <v>267</v>
      </c>
      <c r="D398" s="12">
        <v>14.5</v>
      </c>
      <c r="E398" s="14">
        <v>0.41699999999999998</v>
      </c>
      <c r="F398" s="7">
        <f t="shared" si="117"/>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14"/>
        <v>199809</v>
      </c>
      <c r="X398" s="9">
        <f t="shared" si="115"/>
        <v>12</v>
      </c>
      <c r="Y398" s="7">
        <v>7.2</v>
      </c>
      <c r="Z398" s="7">
        <f t="shared" si="118"/>
        <v>28.299999999999997</v>
      </c>
      <c r="AA398" s="9">
        <v>1</v>
      </c>
      <c r="AB398" s="9">
        <v>0</v>
      </c>
      <c r="AC398" s="9">
        <v>1</v>
      </c>
      <c r="AD398" s="9">
        <v>0</v>
      </c>
      <c r="AE398" s="9">
        <v>0</v>
      </c>
      <c r="AF398" s="9">
        <v>0</v>
      </c>
      <c r="AG398" s="8">
        <v>0</v>
      </c>
      <c r="AH398" s="9">
        <v>1</v>
      </c>
      <c r="AI398" s="30">
        <v>0</v>
      </c>
      <c r="AJ398" s="9">
        <v>0</v>
      </c>
      <c r="AK398" s="30">
        <v>1</v>
      </c>
      <c r="AL398" s="21">
        <v>1996</v>
      </c>
      <c r="AM398" s="23">
        <f t="shared" si="116"/>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14</v>
      </c>
      <c r="DB398" s="34"/>
    </row>
    <row r="399" spans="1:106" x14ac:dyDescent="0.25">
      <c r="A399">
        <v>398</v>
      </c>
      <c r="B399">
        <v>26</v>
      </c>
      <c r="C399" s="25" t="s">
        <v>267</v>
      </c>
      <c r="D399" s="12">
        <v>15.1</v>
      </c>
      <c r="E399" s="14">
        <v>0.47299999999999998</v>
      </c>
      <c r="F399" s="7">
        <f t="shared" si="117"/>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14"/>
        <v>199809</v>
      </c>
      <c r="X399" s="9">
        <f t="shared" si="115"/>
        <v>12</v>
      </c>
      <c r="Y399" s="7">
        <v>7.2</v>
      </c>
      <c r="Z399" s="7">
        <f t="shared" si="118"/>
        <v>28.299999999999997</v>
      </c>
      <c r="AA399" s="9">
        <v>1</v>
      </c>
      <c r="AB399" s="9">
        <v>0</v>
      </c>
      <c r="AC399" s="9">
        <v>1</v>
      </c>
      <c r="AD399" s="9">
        <v>0</v>
      </c>
      <c r="AE399" s="9">
        <v>0</v>
      </c>
      <c r="AF399" s="9">
        <v>0</v>
      </c>
      <c r="AG399" s="8">
        <v>0</v>
      </c>
      <c r="AH399" s="9">
        <v>1</v>
      </c>
      <c r="AI399" s="30">
        <v>0</v>
      </c>
      <c r="AJ399" s="9">
        <v>0</v>
      </c>
      <c r="AK399" s="30">
        <v>1</v>
      </c>
      <c r="AL399" s="21">
        <v>1996</v>
      </c>
      <c r="AM399" s="23">
        <f t="shared" si="116"/>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14</v>
      </c>
      <c r="DB399" s="34"/>
    </row>
    <row r="400" spans="1:106" x14ac:dyDescent="0.25">
      <c r="A400">
        <v>399</v>
      </c>
      <c r="B400">
        <v>26</v>
      </c>
      <c r="C400" s="25" t="s">
        <v>267</v>
      </c>
      <c r="D400" s="12">
        <v>14.9</v>
      </c>
      <c r="E400" s="14">
        <v>0.54700000000000004</v>
      </c>
      <c r="F400" s="7">
        <f t="shared" si="117"/>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14"/>
        <v>199809</v>
      </c>
      <c r="X400" s="9">
        <f t="shared" si="115"/>
        <v>12</v>
      </c>
      <c r="Y400" s="7">
        <v>7.2</v>
      </c>
      <c r="Z400" s="7">
        <f t="shared" si="118"/>
        <v>28.299999999999997</v>
      </c>
      <c r="AA400" s="9">
        <v>1</v>
      </c>
      <c r="AB400" s="9">
        <v>0</v>
      </c>
      <c r="AC400" s="9">
        <v>1</v>
      </c>
      <c r="AD400" s="9">
        <v>0</v>
      </c>
      <c r="AE400" s="9">
        <v>0</v>
      </c>
      <c r="AF400" s="9">
        <v>0</v>
      </c>
      <c r="AG400" s="8">
        <v>0</v>
      </c>
      <c r="AH400" s="9">
        <v>1</v>
      </c>
      <c r="AI400" s="30">
        <v>0</v>
      </c>
      <c r="AJ400" s="9">
        <v>0</v>
      </c>
      <c r="AK400" s="30">
        <v>1</v>
      </c>
      <c r="AL400" s="21">
        <v>1996</v>
      </c>
      <c r="AM400" s="23">
        <f t="shared" si="116"/>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14</v>
      </c>
      <c r="DB400" s="34"/>
    </row>
    <row r="401" spans="1:106" x14ac:dyDescent="0.25">
      <c r="A401">
        <v>400</v>
      </c>
      <c r="B401">
        <v>26</v>
      </c>
      <c r="C401" s="25" t="s">
        <v>267</v>
      </c>
      <c r="D401" s="12">
        <v>16.100000000000001</v>
      </c>
      <c r="E401" s="14">
        <v>0.625</v>
      </c>
      <c r="F401" s="7">
        <f t="shared" si="117"/>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14"/>
        <v>199809</v>
      </c>
      <c r="X401" s="9">
        <f t="shared" si="115"/>
        <v>12</v>
      </c>
      <c r="Y401" s="7">
        <v>7.2</v>
      </c>
      <c r="Z401" s="7">
        <f t="shared" si="118"/>
        <v>28.299999999999997</v>
      </c>
      <c r="AA401" s="9">
        <v>1</v>
      </c>
      <c r="AB401" s="9">
        <v>0</v>
      </c>
      <c r="AC401" s="9">
        <v>1</v>
      </c>
      <c r="AD401" s="9">
        <v>0</v>
      </c>
      <c r="AE401" s="9">
        <v>0</v>
      </c>
      <c r="AF401" s="9">
        <v>0</v>
      </c>
      <c r="AG401" s="8">
        <v>0</v>
      </c>
      <c r="AH401" s="9">
        <v>1</v>
      </c>
      <c r="AI401" s="30">
        <v>0</v>
      </c>
      <c r="AJ401" s="9">
        <v>0</v>
      </c>
      <c r="AK401" s="30">
        <v>1</v>
      </c>
      <c r="AL401" s="21">
        <v>1996</v>
      </c>
      <c r="AM401" s="23">
        <f t="shared" si="116"/>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14</v>
      </c>
      <c r="DB401" s="34"/>
    </row>
    <row r="402" spans="1:106" x14ac:dyDescent="0.25">
      <c r="A402">
        <v>401</v>
      </c>
      <c r="B402">
        <v>26</v>
      </c>
      <c r="C402" s="25" t="s">
        <v>267</v>
      </c>
      <c r="D402" s="12">
        <v>12</v>
      </c>
      <c r="E402" s="14">
        <v>0.64800000000000002</v>
      </c>
      <c r="F402" s="7">
        <f t="shared" si="117"/>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14"/>
        <v>112395</v>
      </c>
      <c r="X402" s="9">
        <f t="shared" si="115"/>
        <v>12</v>
      </c>
      <c r="Y402" s="7">
        <v>7.2</v>
      </c>
      <c r="Z402" s="7">
        <f t="shared" si="118"/>
        <v>28.299999999999997</v>
      </c>
      <c r="AA402" s="9">
        <v>1</v>
      </c>
      <c r="AB402" s="9">
        <v>0</v>
      </c>
      <c r="AC402" s="9">
        <v>1</v>
      </c>
      <c r="AD402" s="9">
        <v>0</v>
      </c>
      <c r="AE402" s="9">
        <v>0</v>
      </c>
      <c r="AF402" s="9">
        <v>0</v>
      </c>
      <c r="AG402" s="8">
        <v>0</v>
      </c>
      <c r="AH402" s="9">
        <v>1</v>
      </c>
      <c r="AI402" s="30">
        <v>0</v>
      </c>
      <c r="AJ402" s="9">
        <v>0</v>
      </c>
      <c r="AK402" s="30">
        <v>1</v>
      </c>
      <c r="AL402" s="21">
        <v>1996</v>
      </c>
      <c r="AM402" s="23">
        <f t="shared" si="116"/>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14</v>
      </c>
      <c r="DB402" s="34"/>
    </row>
    <row r="403" spans="1:106" x14ac:dyDescent="0.25">
      <c r="A403">
        <v>402</v>
      </c>
      <c r="B403">
        <v>26</v>
      </c>
      <c r="C403" s="25" t="s">
        <v>267</v>
      </c>
      <c r="D403" s="12">
        <v>12.8</v>
      </c>
      <c r="E403" s="14">
        <v>0.747</v>
      </c>
      <c r="F403" s="7">
        <f t="shared" si="117"/>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si="114"/>
        <v>112395</v>
      </c>
      <c r="X403" s="9">
        <f t="shared" si="115"/>
        <v>12</v>
      </c>
      <c r="Y403" s="7">
        <v>7.2</v>
      </c>
      <c r="Z403" s="7">
        <f t="shared" si="118"/>
        <v>28.299999999999997</v>
      </c>
      <c r="AA403" s="9">
        <v>1</v>
      </c>
      <c r="AB403" s="9">
        <v>0</v>
      </c>
      <c r="AC403" s="9">
        <v>1</v>
      </c>
      <c r="AD403" s="9">
        <v>0</v>
      </c>
      <c r="AE403" s="9">
        <v>0</v>
      </c>
      <c r="AF403" s="9">
        <v>0</v>
      </c>
      <c r="AG403" s="8">
        <v>0</v>
      </c>
      <c r="AH403" s="9">
        <v>1</v>
      </c>
      <c r="AI403" s="30">
        <v>0</v>
      </c>
      <c r="AJ403" s="9">
        <v>0</v>
      </c>
      <c r="AK403" s="30">
        <v>1</v>
      </c>
      <c r="AL403" s="21">
        <v>1996</v>
      </c>
      <c r="AM403" s="23">
        <f t="shared" si="116"/>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14</v>
      </c>
      <c r="DB403" s="34"/>
    </row>
    <row r="404" spans="1:106" x14ac:dyDescent="0.25">
      <c r="A404">
        <v>403</v>
      </c>
      <c r="B404">
        <v>26</v>
      </c>
      <c r="C404" s="25" t="s">
        <v>267</v>
      </c>
      <c r="D404" s="12">
        <v>16.7</v>
      </c>
      <c r="E404" s="14">
        <v>0.61</v>
      </c>
      <c r="F404" s="7">
        <f t="shared" si="117"/>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14"/>
        <v>87390</v>
      </c>
      <c r="X404" s="9">
        <f t="shared" si="115"/>
        <v>12</v>
      </c>
      <c r="Y404" s="7">
        <v>7.2</v>
      </c>
      <c r="Z404" s="7">
        <f t="shared" si="118"/>
        <v>28.299999999999997</v>
      </c>
      <c r="AA404" s="9">
        <v>1</v>
      </c>
      <c r="AB404" s="9">
        <v>0</v>
      </c>
      <c r="AC404" s="9">
        <v>1</v>
      </c>
      <c r="AD404" s="9">
        <v>0</v>
      </c>
      <c r="AE404" s="9">
        <v>0</v>
      </c>
      <c r="AF404" s="9">
        <v>0</v>
      </c>
      <c r="AG404" s="8">
        <v>0</v>
      </c>
      <c r="AH404" s="9">
        <v>1</v>
      </c>
      <c r="AI404" s="30">
        <v>0</v>
      </c>
      <c r="AJ404" s="9">
        <v>0</v>
      </c>
      <c r="AK404" s="30">
        <v>1</v>
      </c>
      <c r="AL404" s="21">
        <v>1996</v>
      </c>
      <c r="AM404" s="23">
        <f t="shared" si="116"/>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14</v>
      </c>
      <c r="DB404" s="34"/>
    </row>
    <row r="405" spans="1:106" x14ac:dyDescent="0.25">
      <c r="A405">
        <v>404</v>
      </c>
      <c r="B405">
        <v>26</v>
      </c>
      <c r="C405" s="25" t="s">
        <v>267</v>
      </c>
      <c r="D405" s="12">
        <v>16.399999999999999</v>
      </c>
      <c r="E405" s="14">
        <v>0.65200000000000002</v>
      </c>
      <c r="F405" s="7">
        <f t="shared" si="117"/>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14"/>
        <v>87390</v>
      </c>
      <c r="X405" s="9">
        <f t="shared" si="115"/>
        <v>12</v>
      </c>
      <c r="Y405" s="7">
        <v>7.2</v>
      </c>
      <c r="Z405" s="7">
        <f t="shared" si="118"/>
        <v>28.299999999999997</v>
      </c>
      <c r="AA405" s="9">
        <v>1</v>
      </c>
      <c r="AB405" s="9">
        <v>0</v>
      </c>
      <c r="AC405" s="9">
        <v>1</v>
      </c>
      <c r="AD405" s="9">
        <v>0</v>
      </c>
      <c r="AE405" s="9">
        <v>0</v>
      </c>
      <c r="AF405" s="9">
        <v>0</v>
      </c>
      <c r="AG405" s="8">
        <v>0</v>
      </c>
      <c r="AH405" s="9">
        <v>1</v>
      </c>
      <c r="AI405" s="30">
        <v>0</v>
      </c>
      <c r="AJ405" s="9">
        <v>0</v>
      </c>
      <c r="AK405" s="30">
        <v>1</v>
      </c>
      <c r="AL405" s="21">
        <v>1996</v>
      </c>
      <c r="AM405" s="23">
        <f t="shared" si="116"/>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14</v>
      </c>
      <c r="DB405" s="34"/>
    </row>
    <row r="406" spans="1:106" x14ac:dyDescent="0.25">
      <c r="A406">
        <v>405</v>
      </c>
      <c r="B406">
        <v>26</v>
      </c>
      <c r="C406" s="25" t="s">
        <v>267</v>
      </c>
      <c r="D406" s="12">
        <v>14.6</v>
      </c>
      <c r="E406" s="14">
        <v>0.60099999999999998</v>
      </c>
      <c r="F406" s="7">
        <f t="shared" si="117"/>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14"/>
        <v>135224</v>
      </c>
      <c r="X406" s="9">
        <f t="shared" si="115"/>
        <v>12</v>
      </c>
      <c r="Y406" s="7">
        <v>7.2</v>
      </c>
      <c r="Z406" s="7">
        <f t="shared" si="118"/>
        <v>28.299999999999997</v>
      </c>
      <c r="AA406" s="9">
        <v>1</v>
      </c>
      <c r="AB406" s="9">
        <v>0</v>
      </c>
      <c r="AC406" s="9">
        <v>1</v>
      </c>
      <c r="AD406" s="9">
        <v>0</v>
      </c>
      <c r="AE406" s="9">
        <v>0</v>
      </c>
      <c r="AF406" s="9">
        <v>0</v>
      </c>
      <c r="AG406" s="8">
        <v>0</v>
      </c>
      <c r="AH406" s="9">
        <v>1</v>
      </c>
      <c r="AI406" s="30">
        <v>0</v>
      </c>
      <c r="AJ406" s="9">
        <v>0</v>
      </c>
      <c r="AK406" s="30">
        <v>1</v>
      </c>
      <c r="AL406" s="21">
        <v>1996</v>
      </c>
      <c r="AM406" s="23">
        <f t="shared" si="116"/>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14</v>
      </c>
      <c r="DB406" s="34"/>
    </row>
    <row r="407" spans="1:106" x14ac:dyDescent="0.25">
      <c r="A407">
        <v>406</v>
      </c>
      <c r="B407">
        <v>26</v>
      </c>
      <c r="C407" s="25" t="s">
        <v>267</v>
      </c>
      <c r="D407" s="12">
        <v>15.8</v>
      </c>
      <c r="E407" s="14">
        <v>0.627</v>
      </c>
      <c r="F407" s="7">
        <f t="shared" si="117"/>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14"/>
        <v>135224</v>
      </c>
      <c r="X407" s="9">
        <f t="shared" si="115"/>
        <v>12</v>
      </c>
      <c r="Y407" s="7">
        <v>7.2</v>
      </c>
      <c r="Z407" s="7">
        <f t="shared" si="118"/>
        <v>28.299999999999997</v>
      </c>
      <c r="AA407" s="9">
        <v>1</v>
      </c>
      <c r="AB407" s="9">
        <v>0</v>
      </c>
      <c r="AC407" s="9">
        <v>1</v>
      </c>
      <c r="AD407" s="9">
        <v>0</v>
      </c>
      <c r="AE407" s="9">
        <v>0</v>
      </c>
      <c r="AF407" s="9">
        <v>0</v>
      </c>
      <c r="AG407" s="8">
        <v>0</v>
      </c>
      <c r="AH407" s="9">
        <v>1</v>
      </c>
      <c r="AI407" s="30">
        <v>0</v>
      </c>
      <c r="AJ407" s="9">
        <v>0</v>
      </c>
      <c r="AK407" s="30">
        <v>1</v>
      </c>
      <c r="AL407" s="21">
        <v>1996</v>
      </c>
      <c r="AM407" s="23">
        <f t="shared" si="116"/>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14</v>
      </c>
      <c r="DB407" s="34"/>
    </row>
    <row r="408" spans="1:106" x14ac:dyDescent="0.25">
      <c r="A408">
        <v>407</v>
      </c>
      <c r="B408">
        <v>26</v>
      </c>
      <c r="C408" s="25" t="s">
        <v>267</v>
      </c>
      <c r="D408" s="12">
        <v>14.1</v>
      </c>
      <c r="E408" s="14">
        <v>0.57799999999999996</v>
      </c>
      <c r="F408" s="7">
        <f t="shared" si="117"/>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14"/>
        <v>64561</v>
      </c>
      <c r="X408" s="9">
        <f t="shared" si="115"/>
        <v>12</v>
      </c>
      <c r="Y408" s="7">
        <v>7.2</v>
      </c>
      <c r="Z408" s="7">
        <f t="shared" si="118"/>
        <v>28.299999999999997</v>
      </c>
      <c r="AA408" s="9">
        <v>1</v>
      </c>
      <c r="AB408" s="9">
        <v>0</v>
      </c>
      <c r="AC408" s="9">
        <v>1</v>
      </c>
      <c r="AD408" s="9">
        <v>0</v>
      </c>
      <c r="AE408" s="9">
        <v>0</v>
      </c>
      <c r="AF408" s="9">
        <v>0</v>
      </c>
      <c r="AG408" s="8">
        <v>0</v>
      </c>
      <c r="AH408" s="9">
        <v>1</v>
      </c>
      <c r="AI408" s="30">
        <v>0</v>
      </c>
      <c r="AJ408" s="9">
        <v>0</v>
      </c>
      <c r="AK408" s="30">
        <v>1</v>
      </c>
      <c r="AL408" s="21">
        <v>1996</v>
      </c>
      <c r="AM408" s="23">
        <f t="shared" si="116"/>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14</v>
      </c>
      <c r="DB408" s="34"/>
    </row>
    <row r="409" spans="1:106" x14ac:dyDescent="0.25">
      <c r="A409">
        <v>408</v>
      </c>
      <c r="B409" s="51">
        <v>26</v>
      </c>
      <c r="C409" s="52" t="s">
        <v>267</v>
      </c>
      <c r="D409" s="53">
        <v>16.3</v>
      </c>
      <c r="E409" s="54">
        <v>0.71099999999999997</v>
      </c>
      <c r="F409" s="55">
        <f t="shared" si="117"/>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14"/>
        <v>64561</v>
      </c>
      <c r="X409" s="60">
        <f t="shared" si="115"/>
        <v>12</v>
      </c>
      <c r="Y409" s="55">
        <v>7.2</v>
      </c>
      <c r="Z409" s="55">
        <f t="shared" si="118"/>
        <v>28.299999999999997</v>
      </c>
      <c r="AA409" s="60">
        <v>1</v>
      </c>
      <c r="AB409" s="60">
        <v>0</v>
      </c>
      <c r="AC409" s="60">
        <v>1</v>
      </c>
      <c r="AD409" s="60">
        <v>0</v>
      </c>
      <c r="AE409" s="60">
        <v>0</v>
      </c>
      <c r="AF409" s="60">
        <v>0</v>
      </c>
      <c r="AG409" s="59">
        <v>0</v>
      </c>
      <c r="AH409" s="60">
        <v>1</v>
      </c>
      <c r="AI409" s="61">
        <v>0</v>
      </c>
      <c r="AJ409" s="60">
        <v>0</v>
      </c>
      <c r="AK409" s="61">
        <v>1</v>
      </c>
      <c r="AL409" s="62">
        <v>1996</v>
      </c>
      <c r="AM409" s="63">
        <f t="shared" si="116"/>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14</v>
      </c>
      <c r="DB409" s="34"/>
    </row>
    <row r="410" spans="1:106" x14ac:dyDescent="0.25">
      <c r="A410">
        <v>409</v>
      </c>
      <c r="B410">
        <v>27</v>
      </c>
      <c r="C410" s="25" t="s">
        <v>509</v>
      </c>
      <c r="D410" s="12">
        <v>4.5999999999999996</v>
      </c>
      <c r="E410" s="14">
        <f t="shared" ref="E410:E417" si="119">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14"/>
        <v>9059</v>
      </c>
      <c r="X410" s="9">
        <f t="shared" si="115"/>
        <v>8</v>
      </c>
      <c r="Y410" s="7">
        <v>5.19</v>
      </c>
      <c r="Z410" s="7">
        <v>18.3</v>
      </c>
      <c r="AA410" s="9">
        <v>1</v>
      </c>
      <c r="AB410" s="9">
        <v>0</v>
      </c>
      <c r="AC410" s="9">
        <v>1</v>
      </c>
      <c r="AD410" s="9">
        <v>0</v>
      </c>
      <c r="AE410" s="9">
        <v>0</v>
      </c>
      <c r="AF410" s="9">
        <v>0</v>
      </c>
      <c r="AG410" s="8">
        <v>0</v>
      </c>
      <c r="AH410" s="9">
        <v>1</v>
      </c>
      <c r="AI410" s="30">
        <v>0</v>
      </c>
      <c r="AJ410" s="9">
        <v>0</v>
      </c>
      <c r="AK410" s="30">
        <v>1</v>
      </c>
      <c r="AL410" s="21">
        <v>1998</v>
      </c>
      <c r="AM410" s="23">
        <f t="shared" si="116"/>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10</v>
      </c>
      <c r="DB410" s="34"/>
    </row>
    <row r="411" spans="1:106" x14ac:dyDescent="0.25">
      <c r="A411">
        <v>410</v>
      </c>
      <c r="B411">
        <v>27</v>
      </c>
      <c r="C411" s="25" t="s">
        <v>509</v>
      </c>
      <c r="D411" s="12">
        <v>5.3</v>
      </c>
      <c r="E411" s="14">
        <f t="shared" si="119"/>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14"/>
        <v>3129</v>
      </c>
      <c r="X411" s="9">
        <f t="shared" si="115"/>
        <v>8</v>
      </c>
      <c r="Y411" s="7">
        <v>3.53</v>
      </c>
      <c r="Z411" s="7">
        <v>16.399999999999999</v>
      </c>
      <c r="AA411" s="9">
        <v>1</v>
      </c>
      <c r="AB411" s="9">
        <v>0</v>
      </c>
      <c r="AC411" s="9">
        <v>1</v>
      </c>
      <c r="AD411" s="9">
        <v>0</v>
      </c>
      <c r="AE411" s="9">
        <v>0</v>
      </c>
      <c r="AF411" s="9">
        <v>0</v>
      </c>
      <c r="AG411" s="8">
        <v>0</v>
      </c>
      <c r="AH411" s="9">
        <v>1</v>
      </c>
      <c r="AI411" s="30">
        <v>0</v>
      </c>
      <c r="AJ411" s="9">
        <v>0</v>
      </c>
      <c r="AK411" s="30">
        <v>1</v>
      </c>
      <c r="AL411" s="21">
        <v>1998</v>
      </c>
      <c r="AM411" s="23">
        <f t="shared" si="116"/>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10</v>
      </c>
      <c r="DB411" s="34"/>
    </row>
    <row r="412" spans="1:106" x14ac:dyDescent="0.25">
      <c r="A412">
        <v>411</v>
      </c>
      <c r="B412">
        <v>27</v>
      </c>
      <c r="C412" s="25" t="s">
        <v>509</v>
      </c>
      <c r="D412" s="12">
        <v>3.6</v>
      </c>
      <c r="E412" s="14">
        <f t="shared" si="119"/>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14"/>
        <v>55129</v>
      </c>
      <c r="X412" s="9">
        <f t="shared" si="115"/>
        <v>8</v>
      </c>
      <c r="Y412" s="7">
        <v>5.19</v>
      </c>
      <c r="Z412" s="7">
        <v>18.3</v>
      </c>
      <c r="AA412" s="9">
        <v>1</v>
      </c>
      <c r="AB412" s="9">
        <v>0</v>
      </c>
      <c r="AC412" s="9">
        <v>1</v>
      </c>
      <c r="AD412" s="9">
        <v>0</v>
      </c>
      <c r="AE412" s="9">
        <v>0</v>
      </c>
      <c r="AF412" s="9">
        <v>0</v>
      </c>
      <c r="AG412" s="8">
        <v>0</v>
      </c>
      <c r="AH412" s="9">
        <v>1</v>
      </c>
      <c r="AI412" s="30">
        <v>0</v>
      </c>
      <c r="AJ412" s="9">
        <v>0</v>
      </c>
      <c r="AK412" s="30">
        <v>1</v>
      </c>
      <c r="AL412" s="21">
        <v>1998</v>
      </c>
      <c r="AM412" s="23">
        <f t="shared" si="116"/>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10</v>
      </c>
      <c r="DB412" s="34"/>
    </row>
    <row r="413" spans="1:106" x14ac:dyDescent="0.25">
      <c r="A413">
        <v>412</v>
      </c>
      <c r="B413">
        <v>27</v>
      </c>
      <c r="C413" s="25" t="s">
        <v>509</v>
      </c>
      <c r="D413" s="12">
        <v>2.8</v>
      </c>
      <c r="E413" s="14">
        <f t="shared" si="119"/>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14"/>
        <v>24820</v>
      </c>
      <c r="X413" s="9">
        <f t="shared" si="115"/>
        <v>8</v>
      </c>
      <c r="Y413" s="7">
        <v>3.53</v>
      </c>
      <c r="Z413" s="7">
        <v>16.399999999999999</v>
      </c>
      <c r="AA413" s="9">
        <v>1</v>
      </c>
      <c r="AB413" s="9">
        <v>0</v>
      </c>
      <c r="AC413" s="9">
        <v>1</v>
      </c>
      <c r="AD413" s="9">
        <v>0</v>
      </c>
      <c r="AE413" s="9">
        <v>0</v>
      </c>
      <c r="AF413" s="9">
        <v>0</v>
      </c>
      <c r="AG413" s="8">
        <v>0</v>
      </c>
      <c r="AH413" s="9">
        <v>1</v>
      </c>
      <c r="AI413" s="30">
        <v>0</v>
      </c>
      <c r="AJ413" s="9">
        <v>0</v>
      </c>
      <c r="AK413" s="30">
        <v>1</v>
      </c>
      <c r="AL413" s="21">
        <v>1998</v>
      </c>
      <c r="AM413" s="23">
        <f t="shared" si="116"/>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10</v>
      </c>
      <c r="DB413" s="34"/>
    </row>
    <row r="414" spans="1:106" x14ac:dyDescent="0.25">
      <c r="A414">
        <v>413</v>
      </c>
      <c r="B414">
        <v>27</v>
      </c>
      <c r="C414" s="25" t="s">
        <v>509</v>
      </c>
      <c r="D414" s="12">
        <v>2.5</v>
      </c>
      <c r="E414" s="14">
        <f t="shared" si="119"/>
        <v>0.39936102236421728</v>
      </c>
      <c r="F414" s="7">
        <v>6.26</v>
      </c>
      <c r="G414" s="7">
        <f t="shared" si="107"/>
        <v>2.1006389776357826</v>
      </c>
      <c r="H414" s="16">
        <f t="shared" si="108"/>
        <v>2.8993610223642174</v>
      </c>
      <c r="I414" s="11">
        <f t="shared" si="109"/>
        <v>6.5629166615310958E-2</v>
      </c>
      <c r="J414" s="33">
        <f t="shared" si="110"/>
        <v>1.0483892430560858E-2</v>
      </c>
      <c r="K414" s="33">
        <f t="shared" si="111"/>
        <v>95.384420111462646</v>
      </c>
      <c r="L414" s="33">
        <f t="shared" si="112"/>
        <v>5.5145274184750098E-2</v>
      </c>
      <c r="M414" s="33">
        <f t="shared" si="113"/>
        <v>7.6113059045871817E-2</v>
      </c>
      <c r="N414" s="8">
        <v>0</v>
      </c>
      <c r="O414" s="9">
        <v>1</v>
      </c>
      <c r="P414" s="8">
        <v>0</v>
      </c>
      <c r="Q414" s="9">
        <v>0</v>
      </c>
      <c r="R414" s="9">
        <v>0</v>
      </c>
      <c r="S414" s="9">
        <v>1</v>
      </c>
      <c r="T414" s="9">
        <v>0</v>
      </c>
      <c r="U414" s="8">
        <v>9065</v>
      </c>
      <c r="V414" s="9">
        <v>5</v>
      </c>
      <c r="W414" s="9">
        <f t="shared" si="114"/>
        <v>9059</v>
      </c>
      <c r="X414" s="9">
        <f t="shared" si="115"/>
        <v>8</v>
      </c>
      <c r="Y414" s="7">
        <v>5.19</v>
      </c>
      <c r="Z414" s="7">
        <v>18.3</v>
      </c>
      <c r="AA414" s="9">
        <v>1</v>
      </c>
      <c r="AB414" s="9">
        <v>0</v>
      </c>
      <c r="AC414" s="9">
        <v>1</v>
      </c>
      <c r="AD414" s="9">
        <v>0</v>
      </c>
      <c r="AE414" s="9">
        <v>0</v>
      </c>
      <c r="AF414" s="9">
        <v>0</v>
      </c>
      <c r="AG414" s="8">
        <v>0</v>
      </c>
      <c r="AH414" s="9">
        <v>1</v>
      </c>
      <c r="AI414" s="30">
        <v>0</v>
      </c>
      <c r="AJ414" s="9">
        <v>0</v>
      </c>
      <c r="AK414" s="30">
        <v>1</v>
      </c>
      <c r="AL414" s="21">
        <v>1998</v>
      </c>
      <c r="AM414" s="23">
        <f t="shared" si="116"/>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10</v>
      </c>
      <c r="DB414" s="34"/>
    </row>
    <row r="415" spans="1:106" x14ac:dyDescent="0.25">
      <c r="A415">
        <v>414</v>
      </c>
      <c r="B415">
        <v>27</v>
      </c>
      <c r="C415" s="25" t="s">
        <v>509</v>
      </c>
      <c r="D415" s="12">
        <v>2.4</v>
      </c>
      <c r="E415" s="14">
        <f t="shared" si="119"/>
        <v>0.69364161849710981</v>
      </c>
      <c r="F415" s="7">
        <v>3.46</v>
      </c>
      <c r="G415" s="7">
        <f t="shared" si="107"/>
        <v>1.70635838150289</v>
      </c>
      <c r="H415" s="16">
        <f t="shared" si="108"/>
        <v>3.0936416184971098</v>
      </c>
      <c r="I415" s="11">
        <f t="shared" si="109"/>
        <v>6.173679701695501E-2</v>
      </c>
      <c r="J415" s="33">
        <f t="shared" si="110"/>
        <v>1.7843004918195092E-2</v>
      </c>
      <c r="K415" s="33">
        <f t="shared" si="111"/>
        <v>56.044371706711097</v>
      </c>
      <c r="L415" s="33">
        <f t="shared" si="112"/>
        <v>4.3893792098759918E-2</v>
      </c>
      <c r="M415" s="33">
        <f t="shared" si="113"/>
        <v>7.9579801935150102E-2</v>
      </c>
      <c r="N415" s="8">
        <v>0</v>
      </c>
      <c r="O415" s="9">
        <v>1</v>
      </c>
      <c r="P415" s="8">
        <v>0</v>
      </c>
      <c r="Q415" s="9">
        <v>0</v>
      </c>
      <c r="R415" s="9">
        <v>0</v>
      </c>
      <c r="S415" s="9">
        <v>1</v>
      </c>
      <c r="T415" s="9">
        <v>0</v>
      </c>
      <c r="U415" s="8">
        <v>3135</v>
      </c>
      <c r="V415" s="9">
        <v>5</v>
      </c>
      <c r="W415" s="9">
        <f t="shared" si="114"/>
        <v>3129</v>
      </c>
      <c r="X415" s="9">
        <f t="shared" si="115"/>
        <v>8</v>
      </c>
      <c r="Y415" s="7">
        <v>3.53</v>
      </c>
      <c r="Z415" s="7">
        <v>16.399999999999999</v>
      </c>
      <c r="AA415" s="9">
        <v>1</v>
      </c>
      <c r="AB415" s="9">
        <v>0</v>
      </c>
      <c r="AC415" s="9">
        <v>1</v>
      </c>
      <c r="AD415" s="9">
        <v>0</v>
      </c>
      <c r="AE415" s="9">
        <v>0</v>
      </c>
      <c r="AF415" s="9">
        <v>0</v>
      </c>
      <c r="AG415" s="8">
        <v>0</v>
      </c>
      <c r="AH415" s="9">
        <v>1</v>
      </c>
      <c r="AI415" s="30">
        <v>0</v>
      </c>
      <c r="AJ415" s="9">
        <v>0</v>
      </c>
      <c r="AK415" s="30">
        <v>1</v>
      </c>
      <c r="AL415" s="21">
        <v>1998</v>
      </c>
      <c r="AM415" s="23">
        <f t="shared" si="116"/>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10</v>
      </c>
      <c r="DB415" s="34"/>
    </row>
    <row r="416" spans="1:106" x14ac:dyDescent="0.25">
      <c r="A416">
        <v>415</v>
      </c>
      <c r="B416">
        <v>27</v>
      </c>
      <c r="C416" s="25" t="s">
        <v>509</v>
      </c>
      <c r="D416" s="12">
        <v>3.2</v>
      </c>
      <c r="E416" s="14">
        <f t="shared" si="119"/>
        <v>0.11228070175438597</v>
      </c>
      <c r="F416" s="7">
        <v>28.5</v>
      </c>
      <c r="G416" s="7">
        <f t="shared" si="107"/>
        <v>3.0877192982456143</v>
      </c>
      <c r="H416" s="16">
        <f t="shared" si="108"/>
        <v>3.312280701754386</v>
      </c>
      <c r="I416" s="11">
        <f t="shared" si="109"/>
        <v>0.12049770538708542</v>
      </c>
      <c r="J416" s="33">
        <f t="shared" si="110"/>
        <v>4.2279896627047519E-3</v>
      </c>
      <c r="K416" s="33">
        <f t="shared" si="111"/>
        <v>236.51902671878216</v>
      </c>
      <c r="L416" s="33">
        <f t="shared" si="112"/>
        <v>0.11626971572438066</v>
      </c>
      <c r="M416" s="33">
        <f t="shared" si="113"/>
        <v>0.12472569504979017</v>
      </c>
      <c r="N416" s="8">
        <v>0</v>
      </c>
      <c r="O416" s="9">
        <v>1</v>
      </c>
      <c r="P416" s="8">
        <v>0</v>
      </c>
      <c r="Q416" s="9">
        <v>0</v>
      </c>
      <c r="R416" s="9">
        <v>0</v>
      </c>
      <c r="S416" s="9">
        <v>1</v>
      </c>
      <c r="T416" s="9">
        <v>0</v>
      </c>
      <c r="U416" s="8">
        <v>55135</v>
      </c>
      <c r="V416" s="9">
        <v>5</v>
      </c>
      <c r="W416" s="9">
        <f t="shared" si="114"/>
        <v>55129</v>
      </c>
      <c r="X416" s="9">
        <f t="shared" si="115"/>
        <v>8</v>
      </c>
      <c r="Y416" s="7">
        <v>5.19</v>
      </c>
      <c r="Z416" s="7">
        <v>18.3</v>
      </c>
      <c r="AA416" s="9">
        <v>1</v>
      </c>
      <c r="AB416" s="9">
        <v>0</v>
      </c>
      <c r="AC416" s="9">
        <v>1</v>
      </c>
      <c r="AD416" s="9">
        <v>0</v>
      </c>
      <c r="AE416" s="9">
        <v>0</v>
      </c>
      <c r="AF416" s="9">
        <v>0</v>
      </c>
      <c r="AG416" s="8">
        <v>0</v>
      </c>
      <c r="AH416" s="9">
        <v>1</v>
      </c>
      <c r="AI416" s="30">
        <v>0</v>
      </c>
      <c r="AJ416" s="9">
        <v>0</v>
      </c>
      <c r="AK416" s="30">
        <v>1</v>
      </c>
      <c r="AL416" s="21">
        <v>1998</v>
      </c>
      <c r="AM416" s="23">
        <f t="shared" si="116"/>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10</v>
      </c>
      <c r="DB416" s="34"/>
    </row>
    <row r="417" spans="1:106" s="51" customFormat="1" x14ac:dyDescent="0.25">
      <c r="A417" s="51">
        <v>416</v>
      </c>
      <c r="B417" s="51">
        <v>27</v>
      </c>
      <c r="C417" s="52" t="s">
        <v>509</v>
      </c>
      <c r="D417" s="53">
        <v>1.9</v>
      </c>
      <c r="E417" s="54">
        <f t="shared" si="119"/>
        <v>0.14843749999999997</v>
      </c>
      <c r="F417" s="55">
        <v>12.8</v>
      </c>
      <c r="G417" s="55">
        <f t="shared" si="107"/>
        <v>1.7515624999999999</v>
      </c>
      <c r="H417" s="56">
        <f t="shared" si="108"/>
        <v>2.0484374999999999</v>
      </c>
      <c r="I417" s="57">
        <f t="shared" si="109"/>
        <v>8.0980485224041943E-2</v>
      </c>
      <c r="J417" s="58">
        <f t="shared" si="110"/>
        <v>6.3266004081282768E-3</v>
      </c>
      <c r="K417" s="58">
        <f t="shared" si="111"/>
        <v>158.06277234061156</v>
      </c>
      <c r="L417" s="58">
        <f t="shared" si="112"/>
        <v>7.465388481591366E-2</v>
      </c>
      <c r="M417" s="58">
        <f t="shared" si="113"/>
        <v>8.7307085632170225E-2</v>
      </c>
      <c r="N417" s="59">
        <v>0</v>
      </c>
      <c r="O417" s="60">
        <v>1</v>
      </c>
      <c r="P417" s="59">
        <v>0</v>
      </c>
      <c r="Q417" s="60">
        <v>0</v>
      </c>
      <c r="R417" s="60">
        <v>0</v>
      </c>
      <c r="S417" s="60">
        <v>1</v>
      </c>
      <c r="T417" s="60">
        <v>0</v>
      </c>
      <c r="U417" s="59">
        <v>24826</v>
      </c>
      <c r="V417" s="60">
        <v>5</v>
      </c>
      <c r="W417" s="60">
        <f t="shared" si="114"/>
        <v>24820</v>
      </c>
      <c r="X417" s="60">
        <f t="shared" si="115"/>
        <v>8</v>
      </c>
      <c r="Y417" s="55">
        <v>3.53</v>
      </c>
      <c r="Z417" s="55">
        <v>16.399999999999999</v>
      </c>
      <c r="AA417" s="60">
        <v>1</v>
      </c>
      <c r="AB417" s="60">
        <v>0</v>
      </c>
      <c r="AC417" s="60">
        <v>1</v>
      </c>
      <c r="AD417" s="60">
        <v>0</v>
      </c>
      <c r="AE417" s="60">
        <v>0</v>
      </c>
      <c r="AF417" s="60">
        <v>0</v>
      </c>
      <c r="AG417" s="59">
        <v>0</v>
      </c>
      <c r="AH417" s="60">
        <v>1</v>
      </c>
      <c r="AI417" s="61">
        <v>0</v>
      </c>
      <c r="AJ417" s="60">
        <v>0</v>
      </c>
      <c r="AK417" s="61">
        <v>1</v>
      </c>
      <c r="AL417" s="62">
        <v>1998</v>
      </c>
      <c r="AM417" s="63">
        <f t="shared" si="116"/>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10</v>
      </c>
      <c r="CW417" s="68"/>
      <c r="DB417" s="68"/>
    </row>
    <row r="418" spans="1:106" x14ac:dyDescent="0.25">
      <c r="A418">
        <v>417</v>
      </c>
      <c r="B418">
        <v>28</v>
      </c>
      <c r="C418" s="25" t="s">
        <v>281</v>
      </c>
      <c r="D418" s="12">
        <v>4.8</v>
      </c>
      <c r="E418" s="14">
        <v>0.3</v>
      </c>
      <c r="F418" s="7">
        <f t="shared" ref="F418:F426" si="120">D418/E418</f>
        <v>16</v>
      </c>
      <c r="G418" s="7">
        <f t="shared" si="107"/>
        <v>4.5</v>
      </c>
      <c r="H418" s="16">
        <f t="shared" si="108"/>
        <v>5.0999999999999996</v>
      </c>
      <c r="I418" s="11">
        <f t="shared" si="109"/>
        <v>0.36891438072857313</v>
      </c>
      <c r="J418" s="33">
        <f t="shared" si="110"/>
        <v>2.3057148795535824E-2</v>
      </c>
      <c r="K418" s="33">
        <f t="shared" si="111"/>
        <v>43.370496884402876</v>
      </c>
      <c r="L418" s="33">
        <f t="shared" si="112"/>
        <v>0.3458572319330373</v>
      </c>
      <c r="M418" s="33">
        <f t="shared" si="113"/>
        <v>0.39197152952410896</v>
      </c>
      <c r="N418" s="8">
        <v>1</v>
      </c>
      <c r="O418" s="9">
        <v>0</v>
      </c>
      <c r="P418" s="8">
        <v>0</v>
      </c>
      <c r="Q418" s="9">
        <v>0</v>
      </c>
      <c r="R418" s="9">
        <v>0</v>
      </c>
      <c r="S418" s="9">
        <v>0</v>
      </c>
      <c r="T418" s="9">
        <v>1</v>
      </c>
      <c r="U418" s="8">
        <v>1629</v>
      </c>
      <c r="V418" s="9">
        <v>3</v>
      </c>
      <c r="W418" s="9">
        <f t="shared" si="114"/>
        <v>1625</v>
      </c>
      <c r="X418" s="9">
        <f t="shared" si="115"/>
        <v>27</v>
      </c>
      <c r="Y418" s="7">
        <v>7.96</v>
      </c>
      <c r="Z418" s="7">
        <v>19.91</v>
      </c>
      <c r="AA418" s="9">
        <v>1</v>
      </c>
      <c r="AB418" s="9">
        <v>0</v>
      </c>
      <c r="AC418" s="9">
        <v>1</v>
      </c>
      <c r="AD418" s="9">
        <v>0</v>
      </c>
      <c r="AE418" s="9">
        <v>0</v>
      </c>
      <c r="AF418" s="9">
        <v>0</v>
      </c>
      <c r="AG418" s="8">
        <v>0</v>
      </c>
      <c r="AH418" s="9">
        <v>1</v>
      </c>
      <c r="AI418" s="30">
        <v>0</v>
      </c>
      <c r="AJ418" s="9">
        <v>0</v>
      </c>
      <c r="AK418" s="30">
        <v>1</v>
      </c>
      <c r="AL418" s="21">
        <v>1988</v>
      </c>
      <c r="AM418" s="23">
        <f t="shared" si="116"/>
        <v>7.5948843872165197</v>
      </c>
      <c r="AN418" s="33">
        <v>0.3407</v>
      </c>
      <c r="AO418" s="33">
        <v>7.7300000000000008E-2</v>
      </c>
      <c r="AP418" s="33">
        <v>0.35670000000000002</v>
      </c>
      <c r="AQ418" s="43">
        <v>0.2253</v>
      </c>
      <c r="AR418" s="42">
        <v>1</v>
      </c>
      <c r="AS418" s="18">
        <v>0</v>
      </c>
      <c r="AT418">
        <v>1</v>
      </c>
      <c r="AU418" s="40">
        <v>0</v>
      </c>
      <c r="AV418" s="39">
        <f t="shared" ref="AV418:AV466" si="12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13</v>
      </c>
      <c r="DB418" s="34"/>
    </row>
    <row r="419" spans="1:106" x14ac:dyDescent="0.25">
      <c r="A419">
        <v>418</v>
      </c>
      <c r="B419">
        <v>28</v>
      </c>
      <c r="C419" s="25" t="s">
        <v>281</v>
      </c>
      <c r="D419" s="12">
        <v>4.5999999999999996</v>
      </c>
      <c r="E419" s="14">
        <v>0.3</v>
      </c>
      <c r="F419" s="7">
        <f t="shared" si="120"/>
        <v>15.333333333333332</v>
      </c>
      <c r="G419" s="7">
        <f t="shared" si="107"/>
        <v>4.3</v>
      </c>
      <c r="H419" s="16">
        <f t="shared" si="108"/>
        <v>4.8999999999999995</v>
      </c>
      <c r="I419" s="11">
        <f t="shared" si="109"/>
        <v>0.32167832167832161</v>
      </c>
      <c r="J419" s="33">
        <f t="shared" si="110"/>
        <v>2.097902097902098E-2</v>
      </c>
      <c r="K419" s="33">
        <f t="shared" si="111"/>
        <v>47.666666666666664</v>
      </c>
      <c r="L419" s="33">
        <f t="shared" si="112"/>
        <v>0.30069930069930062</v>
      </c>
      <c r="M419" s="33">
        <f t="shared" si="113"/>
        <v>0.3426573426573426</v>
      </c>
      <c r="N419" s="8">
        <v>1</v>
      </c>
      <c r="O419" s="9">
        <v>0</v>
      </c>
      <c r="P419" s="8">
        <v>0</v>
      </c>
      <c r="Q419" s="9">
        <v>0</v>
      </c>
      <c r="R419" s="9">
        <v>0</v>
      </c>
      <c r="S419" s="9">
        <v>0</v>
      </c>
      <c r="T419" s="9">
        <v>1</v>
      </c>
      <c r="U419" s="8">
        <v>2041</v>
      </c>
      <c r="V419" s="9">
        <v>3</v>
      </c>
      <c r="W419" s="9">
        <f t="shared" si="114"/>
        <v>2037</v>
      </c>
      <c r="X419" s="9">
        <f t="shared" si="115"/>
        <v>27</v>
      </c>
      <c r="Y419" s="7">
        <v>10.15</v>
      </c>
      <c r="Z419" s="7">
        <v>19.170000000000002</v>
      </c>
      <c r="AA419" s="9">
        <v>1</v>
      </c>
      <c r="AB419" s="9">
        <v>0</v>
      </c>
      <c r="AC419" s="9">
        <v>1</v>
      </c>
      <c r="AD419" s="9">
        <v>0</v>
      </c>
      <c r="AE419" s="9">
        <v>0</v>
      </c>
      <c r="AF419" s="9">
        <v>0</v>
      </c>
      <c r="AG419" s="8">
        <v>0</v>
      </c>
      <c r="AH419" s="9">
        <v>1</v>
      </c>
      <c r="AI419" s="30">
        <v>0</v>
      </c>
      <c r="AJ419" s="9">
        <v>0</v>
      </c>
      <c r="AK419" s="30">
        <v>1</v>
      </c>
      <c r="AL419" s="21">
        <v>1998</v>
      </c>
      <c r="AM419" s="23">
        <f t="shared" si="116"/>
        <v>7.5999019592084984</v>
      </c>
      <c r="AN419" s="33">
        <v>0.19259999999999999</v>
      </c>
      <c r="AO419" s="33">
        <v>0.11459999999999999</v>
      </c>
      <c r="AP419" s="33">
        <v>0.44299999999999989</v>
      </c>
      <c r="AQ419" s="43">
        <v>0.24990000000000001</v>
      </c>
      <c r="AR419" s="42">
        <v>1</v>
      </c>
      <c r="AS419" s="18">
        <v>0</v>
      </c>
      <c r="AT419">
        <v>1</v>
      </c>
      <c r="AU419" s="40">
        <v>0</v>
      </c>
      <c r="AV419" s="39">
        <f t="shared" si="12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13</v>
      </c>
      <c r="DB419" s="34"/>
    </row>
    <row r="420" spans="1:106" x14ac:dyDescent="0.25">
      <c r="A420">
        <v>419</v>
      </c>
      <c r="B420">
        <v>28</v>
      </c>
      <c r="C420" s="25" t="s">
        <v>281</v>
      </c>
      <c r="D420" s="12">
        <v>5.3</v>
      </c>
      <c r="E420" s="14">
        <v>0.3</v>
      </c>
      <c r="F420" s="7">
        <f t="shared" si="120"/>
        <v>17.666666666666668</v>
      </c>
      <c r="G420" s="7">
        <f t="shared" si="107"/>
        <v>5</v>
      </c>
      <c r="H420" s="16">
        <f t="shared" si="108"/>
        <v>5.6</v>
      </c>
      <c r="I420" s="11">
        <f t="shared" si="109"/>
        <v>0.30955535968034781</v>
      </c>
      <c r="J420" s="33">
        <f t="shared" si="110"/>
        <v>1.7522001491340439E-2</v>
      </c>
      <c r="K420" s="33">
        <f t="shared" si="111"/>
        <v>57.071105746350419</v>
      </c>
      <c r="L420" s="33">
        <f t="shared" si="112"/>
        <v>0.29203335818900739</v>
      </c>
      <c r="M420" s="33">
        <f t="shared" si="113"/>
        <v>0.32707736117168823</v>
      </c>
      <c r="N420" s="8">
        <v>1</v>
      </c>
      <c r="O420" s="9">
        <v>0</v>
      </c>
      <c r="P420" s="8">
        <v>0</v>
      </c>
      <c r="Q420" s="9">
        <v>0</v>
      </c>
      <c r="R420" s="9">
        <v>0</v>
      </c>
      <c r="S420" s="9">
        <v>0</v>
      </c>
      <c r="T420" s="9">
        <v>1</v>
      </c>
      <c r="U420" s="8">
        <v>2949</v>
      </c>
      <c r="V420" s="9">
        <v>3</v>
      </c>
      <c r="W420" s="9">
        <f t="shared" si="114"/>
        <v>2945</v>
      </c>
      <c r="X420" s="9">
        <f t="shared" si="115"/>
        <v>27</v>
      </c>
      <c r="Y420" s="7">
        <v>10.9</v>
      </c>
      <c r="Z420" s="7">
        <v>17.3</v>
      </c>
      <c r="AA420" s="9">
        <v>1</v>
      </c>
      <c r="AB420" s="9">
        <v>0</v>
      </c>
      <c r="AC420" s="9">
        <v>1</v>
      </c>
      <c r="AD420" s="9">
        <v>0</v>
      </c>
      <c r="AE420" s="9">
        <v>0</v>
      </c>
      <c r="AF420" s="9">
        <v>0</v>
      </c>
      <c r="AG420" s="8">
        <v>0</v>
      </c>
      <c r="AH420" s="9">
        <v>1</v>
      </c>
      <c r="AI420" s="30">
        <v>0</v>
      </c>
      <c r="AJ420" s="9">
        <v>0</v>
      </c>
      <c r="AK420" s="30">
        <v>1</v>
      </c>
      <c r="AL420" s="21">
        <v>2006</v>
      </c>
      <c r="AM420" s="23">
        <f t="shared" si="116"/>
        <v>7.6038979685218813</v>
      </c>
      <c r="AN420" s="33">
        <v>0.13969999999999999</v>
      </c>
      <c r="AO420" s="33">
        <v>9.8699999999999996E-2</v>
      </c>
      <c r="AP420" s="33">
        <v>0.48859999999999998</v>
      </c>
      <c r="AQ420" s="43">
        <v>0.27300000000000002</v>
      </c>
      <c r="AR420" s="42">
        <v>1</v>
      </c>
      <c r="AS420" s="18">
        <v>0</v>
      </c>
      <c r="AT420">
        <v>1</v>
      </c>
      <c r="AU420" s="40">
        <v>0</v>
      </c>
      <c r="AV420" s="39">
        <f t="shared" si="12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13</v>
      </c>
      <c r="DB420" s="34"/>
    </row>
    <row r="421" spans="1:106" x14ac:dyDescent="0.25">
      <c r="A421">
        <v>420</v>
      </c>
      <c r="B421">
        <v>28</v>
      </c>
      <c r="C421" s="25" t="s">
        <v>281</v>
      </c>
      <c r="D421" s="12">
        <v>7</v>
      </c>
      <c r="E421" s="14">
        <v>0.6</v>
      </c>
      <c r="F421" s="7">
        <f t="shared" si="120"/>
        <v>11.666666666666668</v>
      </c>
      <c r="G421" s="7">
        <f t="shared" si="107"/>
        <v>6.4</v>
      </c>
      <c r="H421" s="16">
        <f t="shared" si="108"/>
        <v>7.6</v>
      </c>
      <c r="I421" s="11">
        <f t="shared" si="109"/>
        <v>0.28395287839479089</v>
      </c>
      <c r="J421" s="33">
        <f t="shared" si="110"/>
        <v>2.4338818148124934E-2</v>
      </c>
      <c r="K421" s="33">
        <f t="shared" si="111"/>
        <v>41.08662934716245</v>
      </c>
      <c r="L421" s="33">
        <f t="shared" si="112"/>
        <v>0.25961406024666595</v>
      </c>
      <c r="M421" s="33">
        <f t="shared" si="113"/>
        <v>0.30829169654291583</v>
      </c>
      <c r="N421" s="8">
        <v>1</v>
      </c>
      <c r="O421" s="9">
        <v>0</v>
      </c>
      <c r="P421" s="8">
        <v>0</v>
      </c>
      <c r="Q421" s="9">
        <v>0</v>
      </c>
      <c r="R421" s="9">
        <v>0</v>
      </c>
      <c r="S421" s="9">
        <v>0</v>
      </c>
      <c r="T421" s="9">
        <v>1</v>
      </c>
      <c r="U421" s="8">
        <v>1556</v>
      </c>
      <c r="V421" s="9">
        <v>3</v>
      </c>
      <c r="W421" s="9">
        <f t="shared" si="114"/>
        <v>1552</v>
      </c>
      <c r="X421" s="9">
        <f t="shared" si="115"/>
        <v>27</v>
      </c>
      <c r="Y421" s="7">
        <v>6.49</v>
      </c>
      <c r="Z421" s="7">
        <v>18.21</v>
      </c>
      <c r="AA421" s="9">
        <v>1</v>
      </c>
      <c r="AB421" s="9">
        <v>0</v>
      </c>
      <c r="AC421" s="9">
        <v>1</v>
      </c>
      <c r="AD421" s="9">
        <v>0</v>
      </c>
      <c r="AE421" s="9">
        <v>0</v>
      </c>
      <c r="AF421" s="9">
        <v>0</v>
      </c>
      <c r="AG421" s="8">
        <v>0</v>
      </c>
      <c r="AH421" s="9">
        <v>1</v>
      </c>
      <c r="AI421" s="30">
        <v>0</v>
      </c>
      <c r="AJ421" s="9">
        <v>0</v>
      </c>
      <c r="AK421" s="30">
        <v>1</v>
      </c>
      <c r="AL421" s="21">
        <v>1988</v>
      </c>
      <c r="AM421" s="23">
        <f t="shared" si="116"/>
        <v>7.5948843872165197</v>
      </c>
      <c r="AN421" s="33">
        <v>0.28729999999999989</v>
      </c>
      <c r="AO421" s="33">
        <v>0.25640000000000002</v>
      </c>
      <c r="AP421" s="33">
        <v>0.43580000000000002</v>
      </c>
      <c r="AQ421" s="43">
        <v>2.06E-2</v>
      </c>
      <c r="AR421" s="42">
        <v>1</v>
      </c>
      <c r="AS421" s="18">
        <v>0</v>
      </c>
      <c r="AT421">
        <v>1</v>
      </c>
      <c r="AU421" s="40">
        <v>0</v>
      </c>
      <c r="AV421" s="39">
        <f t="shared" si="12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13</v>
      </c>
      <c r="DB421" s="34"/>
    </row>
    <row r="422" spans="1:106" x14ac:dyDescent="0.25">
      <c r="A422">
        <v>421</v>
      </c>
      <c r="B422">
        <v>28</v>
      </c>
      <c r="C422" s="25" t="s">
        <v>281</v>
      </c>
      <c r="D422" s="12">
        <v>9.1</v>
      </c>
      <c r="E422" s="14">
        <v>0.4</v>
      </c>
      <c r="F422" s="7">
        <f t="shared" si="120"/>
        <v>22.749999999999996</v>
      </c>
      <c r="G422" s="7">
        <f t="shared" si="107"/>
        <v>8.6999999999999993</v>
      </c>
      <c r="H422" s="16">
        <f t="shared" si="108"/>
        <v>9.5</v>
      </c>
      <c r="I422" s="11">
        <f t="shared" si="109"/>
        <v>0.44230554911311321</v>
      </c>
      <c r="J422" s="33">
        <f t="shared" si="110"/>
        <v>1.9442002158818167E-2</v>
      </c>
      <c r="K422" s="33">
        <f t="shared" si="111"/>
        <v>51.435031836288388</v>
      </c>
      <c r="L422" s="33">
        <f t="shared" si="112"/>
        <v>0.42286354695429507</v>
      </c>
      <c r="M422" s="33">
        <f t="shared" si="113"/>
        <v>0.46174755127193134</v>
      </c>
      <c r="N422" s="8">
        <v>1</v>
      </c>
      <c r="O422" s="9">
        <v>0</v>
      </c>
      <c r="P422" s="8">
        <v>0</v>
      </c>
      <c r="Q422" s="9">
        <v>0</v>
      </c>
      <c r="R422" s="9">
        <v>0</v>
      </c>
      <c r="S422" s="9">
        <v>0</v>
      </c>
      <c r="T422" s="9">
        <v>1</v>
      </c>
      <c r="U422" s="8">
        <v>2132</v>
      </c>
      <c r="V422" s="9">
        <v>3</v>
      </c>
      <c r="W422" s="9">
        <f t="shared" si="114"/>
        <v>2128</v>
      </c>
      <c r="X422" s="9">
        <f t="shared" si="115"/>
        <v>27</v>
      </c>
      <c r="Y422" s="7">
        <v>8.89</v>
      </c>
      <c r="Z422" s="7">
        <v>19.36</v>
      </c>
      <c r="AA422" s="9">
        <v>1</v>
      </c>
      <c r="AB422" s="9">
        <v>0</v>
      </c>
      <c r="AC422" s="9">
        <v>1</v>
      </c>
      <c r="AD422" s="9">
        <v>0</v>
      </c>
      <c r="AE422" s="9">
        <v>0</v>
      </c>
      <c r="AF422" s="9">
        <v>0</v>
      </c>
      <c r="AG422" s="8">
        <v>0</v>
      </c>
      <c r="AH422" s="9">
        <v>1</v>
      </c>
      <c r="AI422" s="30">
        <v>0</v>
      </c>
      <c r="AJ422" s="9">
        <v>0</v>
      </c>
      <c r="AK422" s="30">
        <v>1</v>
      </c>
      <c r="AL422" s="21">
        <v>1998</v>
      </c>
      <c r="AM422" s="23">
        <f t="shared" si="116"/>
        <v>7.5999019592084984</v>
      </c>
      <c r="AN422" s="33">
        <v>0.1116</v>
      </c>
      <c r="AO422" s="33">
        <v>0.20399999999999999</v>
      </c>
      <c r="AP422" s="33">
        <v>0.62340000000000007</v>
      </c>
      <c r="AQ422" s="43">
        <v>6.0999999999999999E-2</v>
      </c>
      <c r="AR422" s="42">
        <v>1</v>
      </c>
      <c r="AS422" s="18">
        <v>0</v>
      </c>
      <c r="AT422">
        <v>1</v>
      </c>
      <c r="AU422" s="40">
        <v>0</v>
      </c>
      <c r="AV422" s="39">
        <f t="shared" si="12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13</v>
      </c>
      <c r="DB422" s="34"/>
    </row>
    <row r="423" spans="1:106" x14ac:dyDescent="0.25">
      <c r="A423">
        <v>422</v>
      </c>
      <c r="B423">
        <v>28</v>
      </c>
      <c r="C423" s="25" t="s">
        <v>281</v>
      </c>
      <c r="D423" s="12">
        <v>8.1</v>
      </c>
      <c r="E423" s="14">
        <v>0.2</v>
      </c>
      <c r="F423" s="7">
        <f t="shared" si="120"/>
        <v>40.499999999999993</v>
      </c>
      <c r="G423" s="7">
        <f t="shared" si="107"/>
        <v>7.8999999999999995</v>
      </c>
      <c r="H423" s="16">
        <f t="shared" si="108"/>
        <v>8.2999999999999989</v>
      </c>
      <c r="I423" s="11">
        <f t="shared" si="109"/>
        <v>0.42586185739690013</v>
      </c>
      <c r="J423" s="33">
        <f t="shared" si="110"/>
        <v>1.051510759004692E-2</v>
      </c>
      <c r="K423" s="33">
        <f t="shared" si="111"/>
        <v>95.101261821281838</v>
      </c>
      <c r="L423" s="33">
        <f t="shared" si="112"/>
        <v>0.41534674980685321</v>
      </c>
      <c r="M423" s="33">
        <f t="shared" si="113"/>
        <v>0.43637696498694706</v>
      </c>
      <c r="N423" s="8">
        <v>1</v>
      </c>
      <c r="O423" s="9">
        <v>0</v>
      </c>
      <c r="P423" s="8">
        <v>0</v>
      </c>
      <c r="Q423" s="9">
        <v>0</v>
      </c>
      <c r="R423" s="9">
        <v>0</v>
      </c>
      <c r="S423" s="9">
        <v>0</v>
      </c>
      <c r="T423" s="9">
        <v>1</v>
      </c>
      <c r="U423" s="8">
        <v>7408</v>
      </c>
      <c r="V423" s="9">
        <v>3</v>
      </c>
      <c r="W423" s="9">
        <f t="shared" si="114"/>
        <v>7404</v>
      </c>
      <c r="X423" s="9">
        <f t="shared" si="115"/>
        <v>27</v>
      </c>
      <c r="Y423" s="7">
        <v>9.08</v>
      </c>
      <c r="Z423" s="7">
        <v>18.649999999999999</v>
      </c>
      <c r="AA423" s="9">
        <v>1</v>
      </c>
      <c r="AB423" s="9">
        <v>0</v>
      </c>
      <c r="AC423" s="9">
        <v>1</v>
      </c>
      <c r="AD423" s="9">
        <v>0</v>
      </c>
      <c r="AE423" s="9">
        <v>0</v>
      </c>
      <c r="AF423" s="9">
        <v>0</v>
      </c>
      <c r="AG423" s="8">
        <v>0</v>
      </c>
      <c r="AH423" s="9">
        <v>1</v>
      </c>
      <c r="AI423" s="30">
        <v>0</v>
      </c>
      <c r="AJ423" s="9">
        <v>0</v>
      </c>
      <c r="AK423" s="30">
        <v>1</v>
      </c>
      <c r="AL423" s="21">
        <v>2006</v>
      </c>
      <c r="AM423" s="23">
        <f t="shared" si="116"/>
        <v>7.6038979685218813</v>
      </c>
      <c r="AN423" s="33">
        <v>0.1016</v>
      </c>
      <c r="AO423" s="33">
        <v>0.22159999999999999</v>
      </c>
      <c r="AP423" s="33">
        <v>0.54919999999999991</v>
      </c>
      <c r="AQ423" s="43">
        <v>0.12759999999999999</v>
      </c>
      <c r="AR423" s="42">
        <v>1</v>
      </c>
      <c r="AS423" s="18">
        <v>0</v>
      </c>
      <c r="AT423">
        <v>1</v>
      </c>
      <c r="AU423" s="40">
        <v>0</v>
      </c>
      <c r="AV423" s="39">
        <f t="shared" si="12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13</v>
      </c>
      <c r="DB423" s="34"/>
    </row>
    <row r="424" spans="1:106" x14ac:dyDescent="0.25">
      <c r="A424">
        <v>423</v>
      </c>
      <c r="B424">
        <v>28</v>
      </c>
      <c r="C424" s="25" t="s">
        <v>281</v>
      </c>
      <c r="D424" s="12">
        <v>6.5</v>
      </c>
      <c r="E424" s="14">
        <v>0.2</v>
      </c>
      <c r="F424" s="7">
        <f t="shared" si="120"/>
        <v>32.5</v>
      </c>
      <c r="G424" s="7">
        <f t="shared" si="107"/>
        <v>6.3</v>
      </c>
      <c r="H424" s="16">
        <f t="shared" si="108"/>
        <v>6.7</v>
      </c>
      <c r="I424" s="11">
        <f t="shared" si="109"/>
        <v>0.34632820004060327</v>
      </c>
      <c r="J424" s="33">
        <f t="shared" si="110"/>
        <v>1.0656252308941638E-2</v>
      </c>
      <c r="K424" s="33">
        <f t="shared" si="111"/>
        <v>93.841621895617294</v>
      </c>
      <c r="L424" s="33">
        <f t="shared" si="112"/>
        <v>0.33567194773166165</v>
      </c>
      <c r="M424" s="33">
        <f t="shared" si="113"/>
        <v>0.3569844523495449</v>
      </c>
      <c r="N424" s="8">
        <v>1</v>
      </c>
      <c r="O424" s="9">
        <v>0</v>
      </c>
      <c r="P424" s="8">
        <v>0</v>
      </c>
      <c r="Q424" s="9">
        <v>0</v>
      </c>
      <c r="R424" s="9">
        <v>0</v>
      </c>
      <c r="S424" s="9">
        <v>0</v>
      </c>
      <c r="T424" s="9">
        <v>1</v>
      </c>
      <c r="U424" s="8">
        <v>7754</v>
      </c>
      <c r="V424" s="9">
        <v>3</v>
      </c>
      <c r="W424" s="9">
        <f t="shared" si="114"/>
        <v>7750</v>
      </c>
      <c r="X424" s="9">
        <f t="shared" si="115"/>
        <v>27</v>
      </c>
      <c r="Y424" s="7">
        <v>7</v>
      </c>
      <c r="Z424" s="7">
        <v>19.7</v>
      </c>
      <c r="AA424" s="9">
        <v>1</v>
      </c>
      <c r="AB424" s="9">
        <v>0</v>
      </c>
      <c r="AC424" s="9">
        <v>1</v>
      </c>
      <c r="AD424" s="9">
        <v>0</v>
      </c>
      <c r="AE424" s="9">
        <v>0</v>
      </c>
      <c r="AF424" s="9">
        <v>0</v>
      </c>
      <c r="AG424" s="8">
        <v>0</v>
      </c>
      <c r="AH424" s="9">
        <v>1</v>
      </c>
      <c r="AI424" s="30">
        <v>0</v>
      </c>
      <c r="AJ424" s="9">
        <v>0</v>
      </c>
      <c r="AK424" s="30">
        <v>1</v>
      </c>
      <c r="AL424" s="21">
        <v>1988</v>
      </c>
      <c r="AM424" s="23">
        <f t="shared" si="116"/>
        <v>7.5948843872165197</v>
      </c>
      <c r="AN424" s="33">
        <v>0.1018</v>
      </c>
      <c r="AO424" s="33">
        <v>0.53220000000000001</v>
      </c>
      <c r="AP424" s="33">
        <v>0.2636</v>
      </c>
      <c r="AQ424" s="43">
        <v>0.1024</v>
      </c>
      <c r="AR424" s="42">
        <v>1</v>
      </c>
      <c r="AS424" s="18">
        <v>0</v>
      </c>
      <c r="AT424">
        <v>1</v>
      </c>
      <c r="AU424" s="40">
        <v>0</v>
      </c>
      <c r="AV424" s="39">
        <f t="shared" si="12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13</v>
      </c>
      <c r="DB424" s="34"/>
    </row>
    <row r="425" spans="1:106" x14ac:dyDescent="0.25">
      <c r="A425">
        <v>424</v>
      </c>
      <c r="B425">
        <v>28</v>
      </c>
      <c r="C425" s="25" t="s">
        <v>281</v>
      </c>
      <c r="D425" s="12">
        <v>9.3000000000000007</v>
      </c>
      <c r="E425" s="14">
        <v>0.3</v>
      </c>
      <c r="F425" s="7">
        <f t="shared" si="120"/>
        <v>31.000000000000004</v>
      </c>
      <c r="G425" s="7">
        <f t="shared" si="107"/>
        <v>9</v>
      </c>
      <c r="H425" s="16">
        <f t="shared" si="108"/>
        <v>9.6000000000000014</v>
      </c>
      <c r="I425" s="11">
        <f t="shared" si="109"/>
        <v>0.2861186337195587</v>
      </c>
      <c r="J425" s="33">
        <f t="shared" si="110"/>
        <v>9.2296333457922153E-3</v>
      </c>
      <c r="K425" s="33">
        <f t="shared" si="111"/>
        <v>108.34666584625482</v>
      </c>
      <c r="L425" s="33">
        <f t="shared" si="112"/>
        <v>0.27688900037376651</v>
      </c>
      <c r="M425" s="33">
        <f t="shared" si="113"/>
        <v>0.29534826706535089</v>
      </c>
      <c r="N425" s="8">
        <v>1</v>
      </c>
      <c r="O425" s="9">
        <v>0</v>
      </c>
      <c r="P425" s="8">
        <v>0</v>
      </c>
      <c r="Q425" s="9">
        <v>0</v>
      </c>
      <c r="R425" s="9">
        <v>0</v>
      </c>
      <c r="S425" s="9">
        <v>0</v>
      </c>
      <c r="T425" s="9">
        <v>1</v>
      </c>
      <c r="U425" s="8">
        <v>10782</v>
      </c>
      <c r="V425" s="9">
        <v>3</v>
      </c>
      <c r="W425" s="9">
        <f t="shared" si="114"/>
        <v>10778</v>
      </c>
      <c r="X425" s="9">
        <f t="shared" si="115"/>
        <v>27</v>
      </c>
      <c r="Y425" s="7">
        <v>7.73</v>
      </c>
      <c r="Z425" s="7">
        <v>20.350000000000001</v>
      </c>
      <c r="AA425" s="9">
        <v>1</v>
      </c>
      <c r="AB425" s="9">
        <v>0</v>
      </c>
      <c r="AC425" s="9">
        <v>1</v>
      </c>
      <c r="AD425" s="9">
        <v>0</v>
      </c>
      <c r="AE425" s="9">
        <v>0</v>
      </c>
      <c r="AF425" s="9">
        <v>0</v>
      </c>
      <c r="AG425" s="8">
        <v>0</v>
      </c>
      <c r="AH425" s="9">
        <v>1</v>
      </c>
      <c r="AI425" s="30">
        <v>0</v>
      </c>
      <c r="AJ425" s="9">
        <v>0</v>
      </c>
      <c r="AK425" s="30">
        <v>1</v>
      </c>
      <c r="AL425" s="21">
        <v>1998</v>
      </c>
      <c r="AM425" s="23">
        <f t="shared" si="116"/>
        <v>7.5999019592084984</v>
      </c>
      <c r="AN425" s="33">
        <v>4.2699999999999988E-2</v>
      </c>
      <c r="AO425" s="33">
        <v>0.50719999999999998</v>
      </c>
      <c r="AP425" s="33">
        <v>0.33500000000000002</v>
      </c>
      <c r="AQ425" s="43">
        <v>0.1152</v>
      </c>
      <c r="AR425" s="42">
        <v>1</v>
      </c>
      <c r="AS425" s="18">
        <v>0</v>
      </c>
      <c r="AT425">
        <v>1</v>
      </c>
      <c r="AU425" s="40">
        <v>0</v>
      </c>
      <c r="AV425" s="39">
        <f t="shared" si="12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13</v>
      </c>
      <c r="DB425" s="34"/>
    </row>
    <row r="426" spans="1:106" x14ac:dyDescent="0.25">
      <c r="A426">
        <v>425</v>
      </c>
      <c r="B426">
        <v>28</v>
      </c>
      <c r="C426" s="25" t="s">
        <v>281</v>
      </c>
      <c r="D426" s="12">
        <v>11.6</v>
      </c>
      <c r="E426" s="14">
        <v>0.3</v>
      </c>
      <c r="F426" s="7">
        <f t="shared" si="120"/>
        <v>38.666666666666664</v>
      </c>
      <c r="G426" s="7">
        <f t="shared" si="107"/>
        <v>11.299999999999999</v>
      </c>
      <c r="H426" s="16">
        <f t="shared" si="108"/>
        <v>11.9</v>
      </c>
      <c r="I426" s="11">
        <f t="shared" si="109"/>
        <v>0.49193630773042418</v>
      </c>
      <c r="J426" s="33">
        <f t="shared" si="110"/>
        <v>1.2722490717166144E-2</v>
      </c>
      <c r="K426" s="33">
        <f t="shared" si="111"/>
        <v>78.60096126073212</v>
      </c>
      <c r="L426" s="33">
        <f t="shared" si="112"/>
        <v>0.47921381701325805</v>
      </c>
      <c r="M426" s="33">
        <f t="shared" si="113"/>
        <v>0.50465879844759032</v>
      </c>
      <c r="N426" s="8">
        <v>1</v>
      </c>
      <c r="O426" s="9">
        <v>0</v>
      </c>
      <c r="P426" s="8">
        <v>0</v>
      </c>
      <c r="Q426" s="9">
        <v>0</v>
      </c>
      <c r="R426" s="9">
        <v>0</v>
      </c>
      <c r="S426" s="9">
        <v>0</v>
      </c>
      <c r="T426" s="9">
        <v>1</v>
      </c>
      <c r="U426" s="8">
        <v>4687</v>
      </c>
      <c r="V426" s="9">
        <v>3</v>
      </c>
      <c r="W426" s="9">
        <f t="shared" si="114"/>
        <v>4683</v>
      </c>
      <c r="X426" s="9">
        <f t="shared" si="115"/>
        <v>27</v>
      </c>
      <c r="Y426" s="7">
        <v>8.3000000000000007</v>
      </c>
      <c r="Z426" s="7">
        <v>20.41</v>
      </c>
      <c r="AA426" s="9">
        <v>1</v>
      </c>
      <c r="AB426" s="9">
        <v>0</v>
      </c>
      <c r="AC426" s="9">
        <v>1</v>
      </c>
      <c r="AD426" s="9">
        <v>0</v>
      </c>
      <c r="AE426" s="9">
        <v>0</v>
      </c>
      <c r="AF426" s="9">
        <v>0</v>
      </c>
      <c r="AG426" s="8">
        <v>0</v>
      </c>
      <c r="AH426" s="9">
        <v>1</v>
      </c>
      <c r="AI426" s="30">
        <v>0</v>
      </c>
      <c r="AJ426" s="9">
        <v>0</v>
      </c>
      <c r="AK426" s="30">
        <v>1</v>
      </c>
      <c r="AL426" s="21">
        <v>2006</v>
      </c>
      <c r="AM426" s="23">
        <f t="shared" si="116"/>
        <v>7.6038979685218813</v>
      </c>
      <c r="AN426" s="33">
        <v>3.5000000000000003E-2</v>
      </c>
      <c r="AO426" s="33">
        <v>0.44450000000000001</v>
      </c>
      <c r="AP426" s="33">
        <v>0.37890000000000001</v>
      </c>
      <c r="AQ426" s="43">
        <v>0.14149999999999999</v>
      </c>
      <c r="AR426" s="42">
        <v>1</v>
      </c>
      <c r="AS426" s="18">
        <v>0</v>
      </c>
      <c r="AT426">
        <v>1</v>
      </c>
      <c r="AU426" s="40">
        <v>0</v>
      </c>
      <c r="AV426" s="39">
        <f t="shared" si="12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13</v>
      </c>
      <c r="DB426" s="34"/>
    </row>
    <row r="427" spans="1:106" x14ac:dyDescent="0.25">
      <c r="A427">
        <v>426</v>
      </c>
      <c r="B427">
        <v>28</v>
      </c>
      <c r="C427" s="25" t="s">
        <v>281</v>
      </c>
      <c r="D427" s="12">
        <v>0.53426072862545748</v>
      </c>
      <c r="E427" s="14">
        <v>0.93000941649616686</v>
      </c>
      <c r="F427" s="7">
        <v>0.57446808510638292</v>
      </c>
      <c r="G427" s="7">
        <f t="shared" si="107"/>
        <v>-0.39574868787070938</v>
      </c>
      <c r="H427" s="16">
        <f t="shared" si="108"/>
        <v>1.4642701451216245</v>
      </c>
      <c r="I427" s="11">
        <f t="shared" si="109"/>
        <v>1.3980967807515428E-2</v>
      </c>
      <c r="J427" s="33">
        <f t="shared" si="110"/>
        <v>2.4337240257526857E-2</v>
      </c>
      <c r="K427" s="33">
        <f t="shared" si="111"/>
        <v>41.089293174509663</v>
      </c>
      <c r="L427" s="33">
        <f t="shared" si="112"/>
        <v>-1.0356272450011429E-2</v>
      </c>
      <c r="M427" s="33">
        <f t="shared" si="113"/>
        <v>3.8318208065042283E-2</v>
      </c>
      <c r="N427" s="8">
        <v>1</v>
      </c>
      <c r="O427" s="9">
        <v>0</v>
      </c>
      <c r="P427" s="8">
        <v>0</v>
      </c>
      <c r="Q427" s="9">
        <v>0</v>
      </c>
      <c r="R427" s="9">
        <v>0</v>
      </c>
      <c r="S427" s="9">
        <v>0</v>
      </c>
      <c r="T427" s="9">
        <v>1</v>
      </c>
      <c r="U427" s="8">
        <v>1695</v>
      </c>
      <c r="V427" s="9">
        <v>6</v>
      </c>
      <c r="W427" s="9">
        <f t="shared" si="114"/>
        <v>1688</v>
      </c>
      <c r="X427" s="9">
        <f t="shared" si="115"/>
        <v>27</v>
      </c>
      <c r="Y427" s="7">
        <v>7.96</v>
      </c>
      <c r="Z427" s="7">
        <v>19.91</v>
      </c>
      <c r="AA427" s="9">
        <v>0</v>
      </c>
      <c r="AB427" s="9">
        <v>1</v>
      </c>
      <c r="AC427" s="9">
        <v>1</v>
      </c>
      <c r="AD427" s="9">
        <v>0</v>
      </c>
      <c r="AE427" s="9">
        <v>0</v>
      </c>
      <c r="AF427" s="9">
        <v>0</v>
      </c>
      <c r="AG427" s="8">
        <v>0</v>
      </c>
      <c r="AH427" s="9">
        <v>1</v>
      </c>
      <c r="AI427" s="30">
        <v>0</v>
      </c>
      <c r="AJ427" s="9">
        <v>0</v>
      </c>
      <c r="AK427" s="30">
        <v>1</v>
      </c>
      <c r="AL427" s="21">
        <v>1988</v>
      </c>
      <c r="AM427" s="23">
        <f t="shared" si="116"/>
        <v>7.5948843872165197</v>
      </c>
      <c r="AN427" s="33">
        <v>0.3407</v>
      </c>
      <c r="AO427" s="33">
        <v>7.7300000000000008E-2</v>
      </c>
      <c r="AP427" s="33">
        <v>0.35670000000000002</v>
      </c>
      <c r="AQ427" s="43">
        <v>0.2253</v>
      </c>
      <c r="AR427" s="42">
        <v>1</v>
      </c>
      <c r="AS427" s="18">
        <v>0</v>
      </c>
      <c r="AT427">
        <v>1</v>
      </c>
      <c r="AU427" s="40">
        <v>0</v>
      </c>
      <c r="AV427" s="39">
        <f t="shared" si="12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13</v>
      </c>
      <c r="DB427" s="34"/>
    </row>
    <row r="428" spans="1:106" x14ac:dyDescent="0.25">
      <c r="A428">
        <v>427</v>
      </c>
      <c r="B428">
        <v>28</v>
      </c>
      <c r="C428" s="25" t="s">
        <v>281</v>
      </c>
      <c r="D428" s="12">
        <v>5.8058332763509357</v>
      </c>
      <c r="E428" s="14">
        <v>1.363695723049871</v>
      </c>
      <c r="F428" s="7">
        <v>4.2574257425742568</v>
      </c>
      <c r="G428" s="7">
        <f t="shared" si="107"/>
        <v>4.4421375533010643</v>
      </c>
      <c r="H428" s="16">
        <f t="shared" si="108"/>
        <v>7.1695289994008071</v>
      </c>
      <c r="I428" s="11">
        <f t="shared" si="109"/>
        <v>0.10307220635875566</v>
      </c>
      <c r="J428" s="33">
        <f t="shared" si="110"/>
        <v>2.4209983354033311E-2</v>
      </c>
      <c r="K428" s="33">
        <f t="shared" si="111"/>
        <v>41.305274166303917</v>
      </c>
      <c r="L428" s="33">
        <f t="shared" si="112"/>
        <v>7.8862223004722357E-2</v>
      </c>
      <c r="M428" s="33">
        <f t="shared" si="113"/>
        <v>0.12728218971278898</v>
      </c>
      <c r="N428" s="8">
        <v>1</v>
      </c>
      <c r="O428" s="9">
        <v>0</v>
      </c>
      <c r="P428" s="8">
        <v>0</v>
      </c>
      <c r="Q428" s="9">
        <v>0</v>
      </c>
      <c r="R428" s="9">
        <v>0</v>
      </c>
      <c r="S428" s="9">
        <v>0</v>
      </c>
      <c r="T428" s="9">
        <v>1</v>
      </c>
      <c r="U428" s="8">
        <v>1695</v>
      </c>
      <c r="V428" s="9">
        <v>6</v>
      </c>
      <c r="W428" s="9">
        <f t="shared" si="114"/>
        <v>1688</v>
      </c>
      <c r="X428" s="9">
        <f t="shared" si="115"/>
        <v>27</v>
      </c>
      <c r="Y428" s="7">
        <v>7.96</v>
      </c>
      <c r="Z428" s="7">
        <v>19.91</v>
      </c>
      <c r="AA428" s="9">
        <v>0</v>
      </c>
      <c r="AB428" s="9">
        <v>1</v>
      </c>
      <c r="AC428" s="9">
        <v>1</v>
      </c>
      <c r="AD428" s="9">
        <v>0</v>
      </c>
      <c r="AE428" s="9">
        <v>0</v>
      </c>
      <c r="AF428" s="9">
        <v>0</v>
      </c>
      <c r="AG428" s="8">
        <v>0</v>
      </c>
      <c r="AH428" s="9">
        <v>1</v>
      </c>
      <c r="AI428" s="30">
        <v>0</v>
      </c>
      <c r="AJ428" s="9">
        <v>0</v>
      </c>
      <c r="AK428" s="30">
        <v>1</v>
      </c>
      <c r="AL428" s="21">
        <v>1988</v>
      </c>
      <c r="AM428" s="23">
        <f t="shared" si="116"/>
        <v>7.5948843872165197</v>
      </c>
      <c r="AN428" s="33">
        <v>0.3407</v>
      </c>
      <c r="AO428" s="33">
        <v>7.7300000000000008E-2</v>
      </c>
      <c r="AP428" s="33">
        <v>0.35670000000000002</v>
      </c>
      <c r="AQ428" s="43">
        <v>0.2253</v>
      </c>
      <c r="AR428" s="42">
        <v>1</v>
      </c>
      <c r="AS428" s="18">
        <v>0</v>
      </c>
      <c r="AT428">
        <v>1</v>
      </c>
      <c r="AU428" s="40">
        <v>0</v>
      </c>
      <c r="AV428" s="39">
        <f t="shared" si="12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13</v>
      </c>
      <c r="DB428" s="34"/>
    </row>
    <row r="429" spans="1:106" x14ac:dyDescent="0.25">
      <c r="A429">
        <v>428</v>
      </c>
      <c r="B429">
        <v>28</v>
      </c>
      <c r="C429" s="25" t="s">
        <v>281</v>
      </c>
      <c r="D429" s="12">
        <v>3.782779413590132</v>
      </c>
      <c r="E429" s="14">
        <v>0.25059421982773739</v>
      </c>
      <c r="F429" s="7">
        <v>15.09523809523809</v>
      </c>
      <c r="G429" s="7">
        <f t="shared" si="107"/>
        <v>3.5321851937623947</v>
      </c>
      <c r="H429" s="16">
        <f t="shared" si="108"/>
        <v>4.0333736334178694</v>
      </c>
      <c r="I429" s="11">
        <f t="shared" si="109"/>
        <v>0.34487155734135655</v>
      </c>
      <c r="J429" s="33">
        <f t="shared" si="110"/>
        <v>2.2846380770247605E-2</v>
      </c>
      <c r="K429" s="33">
        <f t="shared" si="111"/>
        <v>43.770609010521284</v>
      </c>
      <c r="L429" s="33">
        <f t="shared" si="112"/>
        <v>0.32202517657110896</v>
      </c>
      <c r="M429" s="33">
        <f t="shared" si="113"/>
        <v>0.36771793811160414</v>
      </c>
      <c r="N429" s="8">
        <v>1</v>
      </c>
      <c r="O429" s="9">
        <v>0</v>
      </c>
      <c r="P429" s="8">
        <v>0</v>
      </c>
      <c r="Q429" s="9">
        <v>0</v>
      </c>
      <c r="R429" s="9">
        <v>0</v>
      </c>
      <c r="S429" s="9">
        <v>0</v>
      </c>
      <c r="T429" s="9">
        <v>1</v>
      </c>
      <c r="U429" s="8">
        <v>1695</v>
      </c>
      <c r="V429" s="9">
        <v>6</v>
      </c>
      <c r="W429" s="9">
        <f t="shared" si="114"/>
        <v>1688</v>
      </c>
      <c r="X429" s="9">
        <f t="shared" si="115"/>
        <v>27</v>
      </c>
      <c r="Y429" s="7">
        <v>7.96</v>
      </c>
      <c r="Z429" s="7">
        <v>19.91</v>
      </c>
      <c r="AA429" s="9">
        <v>0</v>
      </c>
      <c r="AB429" s="9">
        <v>1</v>
      </c>
      <c r="AC429" s="9">
        <v>1</v>
      </c>
      <c r="AD429" s="9">
        <v>0</v>
      </c>
      <c r="AE429" s="9">
        <v>0</v>
      </c>
      <c r="AF429" s="9">
        <v>0</v>
      </c>
      <c r="AG429" s="8">
        <v>0</v>
      </c>
      <c r="AH429" s="9">
        <v>1</v>
      </c>
      <c r="AI429" s="30">
        <v>0</v>
      </c>
      <c r="AJ429" s="9">
        <v>0</v>
      </c>
      <c r="AK429" s="30">
        <v>1</v>
      </c>
      <c r="AL429" s="21">
        <v>1988</v>
      </c>
      <c r="AM429" s="23">
        <f t="shared" si="116"/>
        <v>7.5948843872165197</v>
      </c>
      <c r="AN429" s="33">
        <v>0.3407</v>
      </c>
      <c r="AO429" s="33">
        <v>7.7300000000000008E-2</v>
      </c>
      <c r="AP429" s="33">
        <v>0.35670000000000002</v>
      </c>
      <c r="AQ429" s="43">
        <v>0.2253</v>
      </c>
      <c r="AR429" s="42">
        <v>1</v>
      </c>
      <c r="AS429" s="18">
        <v>0</v>
      </c>
      <c r="AT429">
        <v>1</v>
      </c>
      <c r="AU429" s="40">
        <v>0</v>
      </c>
      <c r="AV429" s="39">
        <f t="shared" si="12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13</v>
      </c>
      <c r="DB429" s="34"/>
    </row>
    <row r="430" spans="1:106" x14ac:dyDescent="0.25">
      <c r="A430">
        <v>429</v>
      </c>
      <c r="B430">
        <v>28</v>
      </c>
      <c r="C430" s="25" t="s">
        <v>281</v>
      </c>
      <c r="D430" s="12">
        <v>2.8882691843426622</v>
      </c>
      <c r="E430" s="14">
        <v>0.75510305473010786</v>
      </c>
      <c r="F430" s="7">
        <v>3.8250000000000002</v>
      </c>
      <c r="G430" s="7">
        <f t="shared" si="107"/>
        <v>2.1331661296125546</v>
      </c>
      <c r="H430" s="16">
        <f t="shared" si="108"/>
        <v>3.6433722390727699</v>
      </c>
      <c r="I430" s="11">
        <f t="shared" si="109"/>
        <v>8.3435955787929159E-2</v>
      </c>
      <c r="J430" s="33">
        <f t="shared" si="110"/>
        <v>2.1813321774621999E-2</v>
      </c>
      <c r="K430" s="33">
        <f t="shared" si="111"/>
        <v>45.84354507452494</v>
      </c>
      <c r="L430" s="33">
        <f t="shared" si="112"/>
        <v>6.1622634013307157E-2</v>
      </c>
      <c r="M430" s="33">
        <f t="shared" si="113"/>
        <v>0.10524927756255116</v>
      </c>
      <c r="N430" s="8">
        <v>1</v>
      </c>
      <c r="O430" s="9">
        <v>0</v>
      </c>
      <c r="P430" s="8">
        <v>0</v>
      </c>
      <c r="Q430" s="9">
        <v>0</v>
      </c>
      <c r="R430" s="9">
        <v>0</v>
      </c>
      <c r="S430" s="9">
        <v>0</v>
      </c>
      <c r="T430" s="9">
        <v>1</v>
      </c>
      <c r="U430" s="8">
        <v>2094</v>
      </c>
      <c r="V430" s="9">
        <v>6</v>
      </c>
      <c r="W430" s="9">
        <f t="shared" si="114"/>
        <v>2087</v>
      </c>
      <c r="X430" s="9">
        <f t="shared" si="115"/>
        <v>27</v>
      </c>
      <c r="Y430" s="7">
        <v>10.15</v>
      </c>
      <c r="Z430" s="7">
        <v>19.170000000000002</v>
      </c>
      <c r="AA430" s="9">
        <v>0</v>
      </c>
      <c r="AB430" s="9">
        <v>1</v>
      </c>
      <c r="AC430" s="9">
        <v>1</v>
      </c>
      <c r="AD430" s="9">
        <v>0</v>
      </c>
      <c r="AE430" s="9">
        <v>0</v>
      </c>
      <c r="AF430" s="9">
        <v>0</v>
      </c>
      <c r="AG430" s="8">
        <v>0</v>
      </c>
      <c r="AH430" s="9">
        <v>1</v>
      </c>
      <c r="AI430" s="30">
        <v>0</v>
      </c>
      <c r="AJ430" s="9">
        <v>0</v>
      </c>
      <c r="AK430" s="30">
        <v>1</v>
      </c>
      <c r="AL430" s="21">
        <v>1998</v>
      </c>
      <c r="AM430" s="23">
        <f t="shared" si="116"/>
        <v>7.5999019592084984</v>
      </c>
      <c r="AN430" s="33">
        <v>0.19259999999999999</v>
      </c>
      <c r="AO430" s="33">
        <v>0.11459999999999999</v>
      </c>
      <c r="AP430" s="33">
        <v>0.44299999999999989</v>
      </c>
      <c r="AQ430" s="43">
        <v>0.24990000000000001</v>
      </c>
      <c r="AR430" s="42">
        <v>1</v>
      </c>
      <c r="AS430" s="18">
        <v>0</v>
      </c>
      <c r="AT430">
        <v>1</v>
      </c>
      <c r="AU430" s="40">
        <v>0</v>
      </c>
      <c r="AV430" s="39">
        <f t="shared" si="12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13</v>
      </c>
      <c r="DB430" s="34"/>
    </row>
    <row r="431" spans="1:106" x14ac:dyDescent="0.25">
      <c r="A431">
        <v>430</v>
      </c>
      <c r="B431">
        <v>28</v>
      </c>
      <c r="C431" s="25" t="s">
        <v>281</v>
      </c>
      <c r="D431" s="12">
        <v>5.1029684358929073</v>
      </c>
      <c r="E431" s="14">
        <v>0.99818544254990993</v>
      </c>
      <c r="F431" s="7">
        <v>5.1122448979591839</v>
      </c>
      <c r="G431" s="7">
        <f t="shared" si="107"/>
        <v>4.1047829933429973</v>
      </c>
      <c r="H431" s="16">
        <f t="shared" si="108"/>
        <v>6.1011538784428172</v>
      </c>
      <c r="I431" s="11">
        <f t="shared" si="109"/>
        <v>0.11121107110684131</v>
      </c>
      <c r="J431" s="33">
        <f t="shared" si="110"/>
        <v>2.1753862212515865E-2</v>
      </c>
      <c r="K431" s="33">
        <f t="shared" si="111"/>
        <v>45.968848668383131</v>
      </c>
      <c r="L431" s="33">
        <f t="shared" si="112"/>
        <v>8.9457208894325443E-2</v>
      </c>
      <c r="M431" s="33">
        <f t="shared" si="113"/>
        <v>0.13296493331935716</v>
      </c>
      <c r="N431" s="8">
        <v>1</v>
      </c>
      <c r="O431" s="9">
        <v>0</v>
      </c>
      <c r="P431" s="8">
        <v>0</v>
      </c>
      <c r="Q431" s="9">
        <v>0</v>
      </c>
      <c r="R431" s="9">
        <v>0</v>
      </c>
      <c r="S431" s="9">
        <v>0</v>
      </c>
      <c r="T431" s="9">
        <v>1</v>
      </c>
      <c r="U431" s="8">
        <v>2094</v>
      </c>
      <c r="V431" s="9">
        <v>6</v>
      </c>
      <c r="W431" s="9">
        <f t="shared" si="114"/>
        <v>2087</v>
      </c>
      <c r="X431" s="9">
        <f t="shared" si="115"/>
        <v>27</v>
      </c>
      <c r="Y431" s="7">
        <v>10.15</v>
      </c>
      <c r="Z431" s="7">
        <v>19.170000000000002</v>
      </c>
      <c r="AA431" s="9">
        <v>0</v>
      </c>
      <c r="AB431" s="9">
        <v>1</v>
      </c>
      <c r="AC431" s="9">
        <v>1</v>
      </c>
      <c r="AD431" s="9">
        <v>0</v>
      </c>
      <c r="AE431" s="9">
        <v>0</v>
      </c>
      <c r="AF431" s="9">
        <v>0</v>
      </c>
      <c r="AG431" s="8">
        <v>0</v>
      </c>
      <c r="AH431" s="9">
        <v>1</v>
      </c>
      <c r="AI431" s="30">
        <v>0</v>
      </c>
      <c r="AJ431" s="9">
        <v>0</v>
      </c>
      <c r="AK431" s="30">
        <v>1</v>
      </c>
      <c r="AL431" s="21">
        <v>1998</v>
      </c>
      <c r="AM431" s="23">
        <f t="shared" si="116"/>
        <v>7.5999019592084984</v>
      </c>
      <c r="AN431" s="33">
        <v>0.19259999999999999</v>
      </c>
      <c r="AO431" s="33">
        <v>0.11459999999999999</v>
      </c>
      <c r="AP431" s="33">
        <v>0.44299999999999989</v>
      </c>
      <c r="AQ431" s="43">
        <v>0.24990000000000001</v>
      </c>
      <c r="AR431" s="42">
        <v>1</v>
      </c>
      <c r="AS431" s="18">
        <v>0</v>
      </c>
      <c r="AT431">
        <v>1</v>
      </c>
      <c r="AU431" s="40">
        <v>0</v>
      </c>
      <c r="AV431" s="39">
        <f t="shared" si="12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13</v>
      </c>
      <c r="DB431" s="34"/>
    </row>
    <row r="432" spans="1:106" x14ac:dyDescent="0.25">
      <c r="A432">
        <v>431</v>
      </c>
      <c r="B432">
        <v>28</v>
      </c>
      <c r="C432" s="25" t="s">
        <v>281</v>
      </c>
      <c r="D432" s="12">
        <v>2.637187966687971</v>
      </c>
      <c r="E432" s="14">
        <v>0.1607036417200482</v>
      </c>
      <c r="F432" s="7">
        <v>16.410256410256409</v>
      </c>
      <c r="G432" s="7">
        <f t="shared" si="107"/>
        <v>2.4764843249679229</v>
      </c>
      <c r="H432" s="16">
        <f t="shared" si="108"/>
        <v>2.797891608408019</v>
      </c>
      <c r="I432" s="11">
        <f t="shared" si="109"/>
        <v>0.33806514481568656</v>
      </c>
      <c r="J432" s="33">
        <f t="shared" si="110"/>
        <v>2.0600844762205903E-2</v>
      </c>
      <c r="K432" s="33">
        <f t="shared" si="111"/>
        <v>48.541698728519606</v>
      </c>
      <c r="L432" s="33">
        <f t="shared" si="112"/>
        <v>0.31746430005348064</v>
      </c>
      <c r="M432" s="33">
        <f t="shared" si="113"/>
        <v>0.35866598957789247</v>
      </c>
      <c r="N432" s="8">
        <v>1</v>
      </c>
      <c r="O432" s="9">
        <v>0</v>
      </c>
      <c r="P432" s="8">
        <v>0</v>
      </c>
      <c r="Q432" s="9">
        <v>0</v>
      </c>
      <c r="R432" s="9">
        <v>0</v>
      </c>
      <c r="S432" s="9">
        <v>0</v>
      </c>
      <c r="T432" s="9">
        <v>1</v>
      </c>
      <c r="U432" s="8">
        <v>2094</v>
      </c>
      <c r="V432" s="9">
        <v>6</v>
      </c>
      <c r="W432" s="9">
        <f t="shared" si="114"/>
        <v>2087</v>
      </c>
      <c r="X432" s="9">
        <f t="shared" si="115"/>
        <v>27</v>
      </c>
      <c r="Y432" s="7">
        <v>10.15</v>
      </c>
      <c r="Z432" s="7">
        <v>19.170000000000002</v>
      </c>
      <c r="AA432" s="9">
        <v>0</v>
      </c>
      <c r="AB432" s="9">
        <v>1</v>
      </c>
      <c r="AC432" s="9">
        <v>1</v>
      </c>
      <c r="AD432" s="9">
        <v>0</v>
      </c>
      <c r="AE432" s="9">
        <v>0</v>
      </c>
      <c r="AF432" s="9">
        <v>0</v>
      </c>
      <c r="AG432" s="8">
        <v>0</v>
      </c>
      <c r="AH432" s="9">
        <v>1</v>
      </c>
      <c r="AI432" s="30">
        <v>0</v>
      </c>
      <c r="AJ432" s="9">
        <v>0</v>
      </c>
      <c r="AK432" s="30">
        <v>1</v>
      </c>
      <c r="AL432" s="21">
        <v>1998</v>
      </c>
      <c r="AM432" s="23">
        <f t="shared" si="116"/>
        <v>7.5999019592084984</v>
      </c>
      <c r="AN432" s="33">
        <v>0.19259999999999999</v>
      </c>
      <c r="AO432" s="33">
        <v>0.11459999999999999</v>
      </c>
      <c r="AP432" s="33">
        <v>0.44299999999999989</v>
      </c>
      <c r="AQ432" s="43">
        <v>0.24990000000000001</v>
      </c>
      <c r="AR432" s="42">
        <v>1</v>
      </c>
      <c r="AS432" s="18">
        <v>0</v>
      </c>
      <c r="AT432">
        <v>1</v>
      </c>
      <c r="AU432" s="40">
        <v>0</v>
      </c>
      <c r="AV432" s="39">
        <f t="shared" si="12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13</v>
      </c>
      <c r="DB432" s="34"/>
    </row>
    <row r="433" spans="1:106" x14ac:dyDescent="0.25">
      <c r="A433">
        <v>432</v>
      </c>
      <c r="B433">
        <v>28</v>
      </c>
      <c r="C433" s="25" t="s">
        <v>281</v>
      </c>
      <c r="D433" s="12">
        <v>1.362369791050599</v>
      </c>
      <c r="E433" s="14">
        <v>0.79795944904392246</v>
      </c>
      <c r="F433" s="7">
        <v>1.7073170731707319</v>
      </c>
      <c r="G433" s="7">
        <f t="shared" si="107"/>
        <v>0.5644103420066765</v>
      </c>
      <c r="H433" s="16">
        <f t="shared" si="108"/>
        <v>2.1603292400945215</v>
      </c>
      <c r="I433" s="11">
        <f t="shared" si="109"/>
        <v>3.1376263115216206E-2</v>
      </c>
      <c r="J433" s="33">
        <f t="shared" si="110"/>
        <v>1.8377525538912347E-2</v>
      </c>
      <c r="K433" s="33">
        <f t="shared" si="111"/>
        <v>54.414289773811618</v>
      </c>
      <c r="L433" s="33">
        <f t="shared" si="112"/>
        <v>1.2998737576303859E-2</v>
      </c>
      <c r="M433" s="33">
        <f t="shared" si="113"/>
        <v>4.975378865412855E-2</v>
      </c>
      <c r="N433" s="8">
        <v>1</v>
      </c>
      <c r="O433" s="9">
        <v>0</v>
      </c>
      <c r="P433" s="8">
        <v>0</v>
      </c>
      <c r="Q433" s="9">
        <v>0</v>
      </c>
      <c r="R433" s="9">
        <v>0</v>
      </c>
      <c r="S433" s="9">
        <v>0</v>
      </c>
      <c r="T433" s="9">
        <v>1</v>
      </c>
      <c r="U433" s="8">
        <v>2965</v>
      </c>
      <c r="V433" s="9">
        <v>6</v>
      </c>
      <c r="W433" s="9">
        <f t="shared" si="114"/>
        <v>2958</v>
      </c>
      <c r="X433" s="9">
        <f t="shared" si="115"/>
        <v>27</v>
      </c>
      <c r="Y433" s="7">
        <v>10.9</v>
      </c>
      <c r="Z433" s="7">
        <v>17.3</v>
      </c>
      <c r="AA433" s="9">
        <v>0</v>
      </c>
      <c r="AB433" s="9">
        <v>1</v>
      </c>
      <c r="AC433" s="9">
        <v>1</v>
      </c>
      <c r="AD433" s="9">
        <v>0</v>
      </c>
      <c r="AE433" s="9">
        <v>0</v>
      </c>
      <c r="AF433" s="9">
        <v>0</v>
      </c>
      <c r="AG433" s="8">
        <v>0</v>
      </c>
      <c r="AH433" s="9">
        <v>1</v>
      </c>
      <c r="AI433" s="30">
        <v>0</v>
      </c>
      <c r="AJ433" s="9">
        <v>0</v>
      </c>
      <c r="AK433" s="30">
        <v>1</v>
      </c>
      <c r="AL433" s="21">
        <v>2006</v>
      </c>
      <c r="AM433" s="23">
        <f t="shared" si="116"/>
        <v>7.6038979685218813</v>
      </c>
      <c r="AN433" s="33">
        <v>0.13969999999999999</v>
      </c>
      <c r="AO433" s="33">
        <v>9.8699999999999996E-2</v>
      </c>
      <c r="AP433" s="33">
        <v>0.48859999999999998</v>
      </c>
      <c r="AQ433" s="43">
        <v>0.27300000000000002</v>
      </c>
      <c r="AR433" s="42">
        <v>1</v>
      </c>
      <c r="AS433" s="18">
        <v>0</v>
      </c>
      <c r="AT433">
        <v>1</v>
      </c>
      <c r="AU433" s="40">
        <v>0</v>
      </c>
      <c r="AV433" s="39">
        <f t="shared" si="12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13</v>
      </c>
      <c r="DB433" s="34"/>
    </row>
    <row r="434" spans="1:106" x14ac:dyDescent="0.25">
      <c r="A434">
        <v>433</v>
      </c>
      <c r="B434">
        <v>28</v>
      </c>
      <c r="C434" s="25" t="s">
        <v>281</v>
      </c>
      <c r="D434" s="12">
        <v>4.6032590966232689</v>
      </c>
      <c r="E434" s="14">
        <v>1.538457645450408</v>
      </c>
      <c r="F434" s="7">
        <v>2.992125984251969</v>
      </c>
      <c r="G434" s="7">
        <f t="shared" si="107"/>
        <v>3.064801451172861</v>
      </c>
      <c r="H434" s="16">
        <f t="shared" si="108"/>
        <v>6.1417167420736769</v>
      </c>
      <c r="I434" s="11">
        <f t="shared" si="109"/>
        <v>5.4931891764221967E-2</v>
      </c>
      <c r="J434" s="33">
        <f t="shared" si="110"/>
        <v>1.8358816458042604E-2</v>
      </c>
      <c r="K434" s="33">
        <f t="shared" si="111"/>
        <v>54.469742223601862</v>
      </c>
      <c r="L434" s="33">
        <f t="shared" si="112"/>
        <v>3.6573075306179363E-2</v>
      </c>
      <c r="M434" s="33">
        <f t="shared" si="113"/>
        <v>7.3290708222264578E-2</v>
      </c>
      <c r="N434" s="8">
        <v>1</v>
      </c>
      <c r="O434" s="9">
        <v>0</v>
      </c>
      <c r="P434" s="8">
        <v>0</v>
      </c>
      <c r="Q434" s="9">
        <v>0</v>
      </c>
      <c r="R434" s="9">
        <v>0</v>
      </c>
      <c r="S434" s="9">
        <v>0</v>
      </c>
      <c r="T434" s="9">
        <v>1</v>
      </c>
      <c r="U434" s="8">
        <v>2965</v>
      </c>
      <c r="V434" s="9">
        <v>6</v>
      </c>
      <c r="W434" s="9">
        <f t="shared" si="114"/>
        <v>2958</v>
      </c>
      <c r="X434" s="9">
        <f t="shared" si="115"/>
        <v>27</v>
      </c>
      <c r="Y434" s="7">
        <v>10.9</v>
      </c>
      <c r="Z434" s="7">
        <v>17.3</v>
      </c>
      <c r="AA434" s="9">
        <v>0</v>
      </c>
      <c r="AB434" s="9">
        <v>1</v>
      </c>
      <c r="AC434" s="9">
        <v>1</v>
      </c>
      <c r="AD434" s="9">
        <v>0</v>
      </c>
      <c r="AE434" s="9">
        <v>0</v>
      </c>
      <c r="AF434" s="9">
        <v>0</v>
      </c>
      <c r="AG434" s="8">
        <v>0</v>
      </c>
      <c r="AH434" s="9">
        <v>1</v>
      </c>
      <c r="AI434" s="30">
        <v>0</v>
      </c>
      <c r="AJ434" s="9">
        <v>0</v>
      </c>
      <c r="AK434" s="30">
        <v>1</v>
      </c>
      <c r="AL434" s="21">
        <v>2006</v>
      </c>
      <c r="AM434" s="23">
        <f t="shared" si="116"/>
        <v>7.6038979685218813</v>
      </c>
      <c r="AN434" s="33">
        <v>0.13969999999999999</v>
      </c>
      <c r="AO434" s="33">
        <v>9.8699999999999996E-2</v>
      </c>
      <c r="AP434" s="33">
        <v>0.48859999999999998</v>
      </c>
      <c r="AQ434" s="43">
        <v>0.27300000000000002</v>
      </c>
      <c r="AR434" s="42">
        <v>1</v>
      </c>
      <c r="AS434" s="18">
        <v>0</v>
      </c>
      <c r="AT434">
        <v>1</v>
      </c>
      <c r="AU434" s="40">
        <v>0</v>
      </c>
      <c r="AV434" s="39">
        <f t="shared" si="12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13</v>
      </c>
      <c r="DB434" s="34"/>
    </row>
    <row r="435" spans="1:106" x14ac:dyDescent="0.25">
      <c r="A435">
        <v>434</v>
      </c>
      <c r="B435">
        <v>28</v>
      </c>
      <c r="C435" s="25" t="s">
        <v>281</v>
      </c>
      <c r="D435" s="12">
        <v>6.0755280859349448</v>
      </c>
      <c r="E435" s="14">
        <v>0.32772558139898039</v>
      </c>
      <c r="F435" s="7">
        <v>18.53846153846154</v>
      </c>
      <c r="G435" s="7">
        <f t="shared" si="107"/>
        <v>5.7478025045359642</v>
      </c>
      <c r="H435" s="16">
        <f t="shared" si="108"/>
        <v>6.4032536673339253</v>
      </c>
      <c r="I435" s="11">
        <f t="shared" si="109"/>
        <v>0.32263134511512198</v>
      </c>
      <c r="J435" s="33">
        <f t="shared" si="110"/>
        <v>1.7403350566375875E-2</v>
      </c>
      <c r="K435" s="33">
        <f t="shared" si="111"/>
        <v>57.460199757858639</v>
      </c>
      <c r="L435" s="33">
        <f t="shared" si="112"/>
        <v>0.30522799454874611</v>
      </c>
      <c r="M435" s="33">
        <f t="shared" si="113"/>
        <v>0.34003469568149786</v>
      </c>
      <c r="N435" s="8">
        <v>1</v>
      </c>
      <c r="O435" s="9">
        <v>0</v>
      </c>
      <c r="P435" s="8">
        <v>0</v>
      </c>
      <c r="Q435" s="9">
        <v>0</v>
      </c>
      <c r="R435" s="9">
        <v>0</v>
      </c>
      <c r="S435" s="9">
        <v>0</v>
      </c>
      <c r="T435" s="9">
        <v>1</v>
      </c>
      <c r="U435" s="8">
        <v>2965</v>
      </c>
      <c r="V435" s="9">
        <v>6</v>
      </c>
      <c r="W435" s="9">
        <f t="shared" si="114"/>
        <v>2958</v>
      </c>
      <c r="X435" s="9">
        <f t="shared" si="115"/>
        <v>27</v>
      </c>
      <c r="Y435" s="7">
        <v>10.9</v>
      </c>
      <c r="Z435" s="7">
        <v>17.3</v>
      </c>
      <c r="AA435" s="9">
        <v>0</v>
      </c>
      <c r="AB435" s="9">
        <v>1</v>
      </c>
      <c r="AC435" s="9">
        <v>1</v>
      </c>
      <c r="AD435" s="9">
        <v>0</v>
      </c>
      <c r="AE435" s="9">
        <v>0</v>
      </c>
      <c r="AF435" s="9">
        <v>0</v>
      </c>
      <c r="AG435" s="8">
        <v>0</v>
      </c>
      <c r="AH435" s="9">
        <v>1</v>
      </c>
      <c r="AI435" s="30">
        <v>0</v>
      </c>
      <c r="AJ435" s="9">
        <v>0</v>
      </c>
      <c r="AK435" s="30">
        <v>1</v>
      </c>
      <c r="AL435" s="21">
        <v>2006</v>
      </c>
      <c r="AM435" s="23">
        <f t="shared" si="116"/>
        <v>7.6038979685218813</v>
      </c>
      <c r="AN435" s="33">
        <v>0.13969999999999999</v>
      </c>
      <c r="AO435" s="33">
        <v>9.8699999999999996E-2</v>
      </c>
      <c r="AP435" s="33">
        <v>0.48859999999999998</v>
      </c>
      <c r="AQ435" s="43">
        <v>0.27300000000000002</v>
      </c>
      <c r="AR435" s="42">
        <v>1</v>
      </c>
      <c r="AS435" s="18">
        <v>0</v>
      </c>
      <c r="AT435">
        <v>1</v>
      </c>
      <c r="AU435" s="40">
        <v>0</v>
      </c>
      <c r="AV435" s="39">
        <f t="shared" si="12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13</v>
      </c>
      <c r="DB435" s="34"/>
    </row>
    <row r="436" spans="1:106" x14ac:dyDescent="0.25">
      <c r="A436">
        <v>435</v>
      </c>
      <c r="B436">
        <v>28</v>
      </c>
      <c r="C436" s="25" t="s">
        <v>281</v>
      </c>
      <c r="D436" s="12">
        <v>2.0538807778703432</v>
      </c>
      <c r="E436" s="14">
        <v>1.170903994860663</v>
      </c>
      <c r="F436" s="7">
        <v>1.7540983606557381</v>
      </c>
      <c r="G436" s="7">
        <f t="shared" si="107"/>
        <v>0.88297678300968019</v>
      </c>
      <c r="H436" s="16">
        <f t="shared" si="108"/>
        <v>3.2247847727310059</v>
      </c>
      <c r="I436" s="11">
        <f t="shared" si="109"/>
        <v>4.4524323599036242E-2</v>
      </c>
      <c r="J436" s="33">
        <f t="shared" si="110"/>
        <v>2.5383025603188881E-2</v>
      </c>
      <c r="K436" s="33">
        <f t="shared" si="111"/>
        <v>39.396406702373952</v>
      </c>
      <c r="L436" s="33">
        <f t="shared" si="112"/>
        <v>1.9141297995847361E-2</v>
      </c>
      <c r="M436" s="33">
        <f t="shared" si="113"/>
        <v>6.9907349202225119E-2</v>
      </c>
      <c r="N436" s="8">
        <v>1</v>
      </c>
      <c r="O436" s="9">
        <v>0</v>
      </c>
      <c r="P436" s="8">
        <v>0</v>
      </c>
      <c r="Q436" s="9">
        <v>0</v>
      </c>
      <c r="R436" s="9">
        <v>0</v>
      </c>
      <c r="S436" s="9">
        <v>0</v>
      </c>
      <c r="T436" s="9">
        <v>1</v>
      </c>
      <c r="U436" s="8">
        <v>1556</v>
      </c>
      <c r="V436" s="9">
        <v>6</v>
      </c>
      <c r="W436" s="9">
        <f t="shared" si="114"/>
        <v>1549</v>
      </c>
      <c r="X436" s="9">
        <f t="shared" si="115"/>
        <v>27</v>
      </c>
      <c r="Y436" s="7">
        <v>7</v>
      </c>
      <c r="Z436" s="7">
        <v>19.7</v>
      </c>
      <c r="AA436" s="9">
        <v>0</v>
      </c>
      <c r="AB436" s="9">
        <v>1</v>
      </c>
      <c r="AC436" s="9">
        <v>1</v>
      </c>
      <c r="AD436" s="9">
        <v>0</v>
      </c>
      <c r="AE436" s="9">
        <v>0</v>
      </c>
      <c r="AF436" s="9">
        <v>0</v>
      </c>
      <c r="AG436" s="8">
        <v>0</v>
      </c>
      <c r="AH436" s="9">
        <v>1</v>
      </c>
      <c r="AI436" s="30">
        <v>0</v>
      </c>
      <c r="AJ436" s="9">
        <v>0</v>
      </c>
      <c r="AK436" s="30">
        <v>1</v>
      </c>
      <c r="AL436" s="21">
        <v>1987</v>
      </c>
      <c r="AM436" s="23">
        <f t="shared" si="116"/>
        <v>7.5943812425518171</v>
      </c>
      <c r="AN436" s="33">
        <v>0.1018</v>
      </c>
      <c r="AO436" s="33">
        <v>0.53220000000000001</v>
      </c>
      <c r="AP436" s="33">
        <v>0.2636</v>
      </c>
      <c r="AQ436" s="43">
        <v>0.1024</v>
      </c>
      <c r="AR436" s="42">
        <v>1</v>
      </c>
      <c r="AS436" s="18">
        <v>0</v>
      </c>
      <c r="AT436">
        <v>1</v>
      </c>
      <c r="AU436" s="40">
        <v>0</v>
      </c>
      <c r="AV436" s="39">
        <f t="shared" si="12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13</v>
      </c>
      <c r="DB436" s="34"/>
    </row>
    <row r="437" spans="1:106" x14ac:dyDescent="0.25">
      <c r="A437">
        <v>436</v>
      </c>
      <c r="B437">
        <v>28</v>
      </c>
      <c r="C437" s="25" t="s">
        <v>281</v>
      </c>
      <c r="D437" s="12">
        <v>7.8648870451029076</v>
      </c>
      <c r="E437" s="14">
        <v>0.9456315802029891</v>
      </c>
      <c r="F437" s="7">
        <v>8.3170731707317067</v>
      </c>
      <c r="G437" s="7">
        <f t="shared" si="107"/>
        <v>6.9192554648999183</v>
      </c>
      <c r="H437" s="16">
        <f t="shared" si="108"/>
        <v>8.810518625305896</v>
      </c>
      <c r="I437" s="11">
        <f t="shared" si="109"/>
        <v>0.2067559194316444</v>
      </c>
      <c r="J437" s="33">
        <f t="shared" si="110"/>
        <v>2.4859216119347275E-2</v>
      </c>
      <c r="K437" s="33">
        <f t="shared" si="111"/>
        <v>40.226529879263822</v>
      </c>
      <c r="L437" s="33">
        <f t="shared" si="112"/>
        <v>0.18189670331229713</v>
      </c>
      <c r="M437" s="33">
        <f t="shared" si="113"/>
        <v>0.23161513555099167</v>
      </c>
      <c r="N437" s="8">
        <v>1</v>
      </c>
      <c r="O437" s="9">
        <v>0</v>
      </c>
      <c r="P437" s="8">
        <v>0</v>
      </c>
      <c r="Q437" s="9">
        <v>0</v>
      </c>
      <c r="R437" s="9">
        <v>0</v>
      </c>
      <c r="S437" s="9">
        <v>0</v>
      </c>
      <c r="T437" s="9">
        <v>1</v>
      </c>
      <c r="U437" s="8">
        <v>1556</v>
      </c>
      <c r="V437" s="9">
        <v>6</v>
      </c>
      <c r="W437" s="9">
        <f t="shared" si="114"/>
        <v>1549</v>
      </c>
      <c r="X437" s="9">
        <f t="shared" si="115"/>
        <v>27</v>
      </c>
      <c r="Y437" s="7">
        <v>7</v>
      </c>
      <c r="Z437" s="7">
        <v>19.7</v>
      </c>
      <c r="AA437" s="9">
        <v>0</v>
      </c>
      <c r="AB437" s="9">
        <v>1</v>
      </c>
      <c r="AC437" s="9">
        <v>1</v>
      </c>
      <c r="AD437" s="9">
        <v>0</v>
      </c>
      <c r="AE437" s="9">
        <v>0</v>
      </c>
      <c r="AF437" s="9">
        <v>0</v>
      </c>
      <c r="AG437" s="8">
        <v>0</v>
      </c>
      <c r="AH437" s="9">
        <v>1</v>
      </c>
      <c r="AI437" s="30">
        <v>0</v>
      </c>
      <c r="AJ437" s="9">
        <v>0</v>
      </c>
      <c r="AK437" s="30">
        <v>1</v>
      </c>
      <c r="AL437" s="21">
        <v>1987</v>
      </c>
      <c r="AM437" s="23">
        <f t="shared" si="116"/>
        <v>7.5943812425518171</v>
      </c>
      <c r="AN437" s="33">
        <v>0.1018</v>
      </c>
      <c r="AO437" s="33">
        <v>0.53220000000000001</v>
      </c>
      <c r="AP437" s="33">
        <v>0.2636</v>
      </c>
      <c r="AQ437" s="43">
        <v>0.1024</v>
      </c>
      <c r="AR437" s="42">
        <v>1</v>
      </c>
      <c r="AS437" s="18">
        <v>0</v>
      </c>
      <c r="AT437">
        <v>1</v>
      </c>
      <c r="AU437" s="40">
        <v>0</v>
      </c>
      <c r="AV437" s="39">
        <f t="shared" si="12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13</v>
      </c>
      <c r="DB437" s="34"/>
    </row>
    <row r="438" spans="1:106" x14ac:dyDescent="0.25">
      <c r="A438">
        <v>437</v>
      </c>
      <c r="B438">
        <v>28</v>
      </c>
      <c r="C438" s="25" t="s">
        <v>281</v>
      </c>
      <c r="D438" s="12">
        <v>9.745977902720405</v>
      </c>
      <c r="E438" s="14">
        <v>1.0097873494184411</v>
      </c>
      <c r="F438" s="7">
        <v>9.6515151515151505</v>
      </c>
      <c r="G438" s="7">
        <f t="shared" si="107"/>
        <v>8.736190553301963</v>
      </c>
      <c r="H438" s="16">
        <f t="shared" si="108"/>
        <v>10.755765252138847</v>
      </c>
      <c r="I438" s="11">
        <f t="shared" si="109"/>
        <v>0.23817098554182045</v>
      </c>
      <c r="J438" s="33">
        <f t="shared" si="110"/>
        <v>2.467705658675063E-2</v>
      </c>
      <c r="K438" s="33">
        <f t="shared" si="111"/>
        <v>40.523471528484905</v>
      </c>
      <c r="L438" s="33">
        <f t="shared" si="112"/>
        <v>0.21349392895506983</v>
      </c>
      <c r="M438" s="33">
        <f t="shared" si="113"/>
        <v>0.2628480421285711</v>
      </c>
      <c r="N438" s="8">
        <v>1</v>
      </c>
      <c r="O438" s="9">
        <v>0</v>
      </c>
      <c r="P438" s="8">
        <v>0</v>
      </c>
      <c r="Q438" s="9">
        <v>0</v>
      </c>
      <c r="R438" s="9">
        <v>0</v>
      </c>
      <c r="S438" s="9">
        <v>0</v>
      </c>
      <c r="T438" s="9">
        <v>1</v>
      </c>
      <c r="U438" s="8">
        <v>1556</v>
      </c>
      <c r="V438" s="9">
        <v>6</v>
      </c>
      <c r="W438" s="9">
        <f t="shared" si="114"/>
        <v>1549</v>
      </c>
      <c r="X438" s="9">
        <f t="shared" si="115"/>
        <v>27</v>
      </c>
      <c r="Y438" s="7">
        <v>7</v>
      </c>
      <c r="Z438" s="7">
        <v>19.7</v>
      </c>
      <c r="AA438" s="9">
        <v>0</v>
      </c>
      <c r="AB438" s="9">
        <v>1</v>
      </c>
      <c r="AC438" s="9">
        <v>1</v>
      </c>
      <c r="AD438" s="9">
        <v>0</v>
      </c>
      <c r="AE438" s="9">
        <v>0</v>
      </c>
      <c r="AF438" s="9">
        <v>0</v>
      </c>
      <c r="AG438" s="8">
        <v>0</v>
      </c>
      <c r="AH438" s="9">
        <v>1</v>
      </c>
      <c r="AI438" s="30">
        <v>0</v>
      </c>
      <c r="AJ438" s="9">
        <v>0</v>
      </c>
      <c r="AK438" s="30">
        <v>1</v>
      </c>
      <c r="AL438" s="21">
        <v>1987</v>
      </c>
      <c r="AM438" s="23">
        <f t="shared" si="116"/>
        <v>7.5943812425518171</v>
      </c>
      <c r="AN438" s="33">
        <v>0.1018</v>
      </c>
      <c r="AO438" s="33">
        <v>0.53220000000000001</v>
      </c>
      <c r="AP438" s="33">
        <v>0.2636</v>
      </c>
      <c r="AQ438" s="43">
        <v>0.1024</v>
      </c>
      <c r="AR438" s="42">
        <v>1</v>
      </c>
      <c r="AS438" s="18">
        <v>0</v>
      </c>
      <c r="AT438">
        <v>1</v>
      </c>
      <c r="AU438" s="40">
        <v>0</v>
      </c>
      <c r="AV438" s="39">
        <f t="shared" si="12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13</v>
      </c>
      <c r="DB438" s="34"/>
    </row>
    <row r="439" spans="1:106" x14ac:dyDescent="0.25">
      <c r="A439">
        <v>438</v>
      </c>
      <c r="B439">
        <v>28</v>
      </c>
      <c r="C439" s="25" t="s">
        <v>281</v>
      </c>
      <c r="D439" s="12">
        <v>4.6140978438483859</v>
      </c>
      <c r="E439" s="14">
        <v>1.0577773713170211</v>
      </c>
      <c r="F439" s="7">
        <v>4.3620689655172411</v>
      </c>
      <c r="G439" s="7">
        <f t="shared" si="107"/>
        <v>3.5563204725313646</v>
      </c>
      <c r="H439" s="16">
        <f t="shared" si="108"/>
        <v>5.6718752151654073</v>
      </c>
      <c r="I439" s="11">
        <f t="shared" si="109"/>
        <v>9.4205733875260531E-2</v>
      </c>
      <c r="J439" s="33">
        <f t="shared" si="110"/>
        <v>2.1596571402233637E-2</v>
      </c>
      <c r="K439" s="33">
        <f t="shared" si="111"/>
        <v>46.303646137857534</v>
      </c>
      <c r="L439" s="33">
        <f t="shared" si="112"/>
        <v>7.26091624730269E-2</v>
      </c>
      <c r="M439" s="33">
        <f t="shared" si="113"/>
        <v>0.11580230527749416</v>
      </c>
      <c r="N439" s="8">
        <v>1</v>
      </c>
      <c r="O439" s="9">
        <v>0</v>
      </c>
      <c r="P439" s="8">
        <v>0</v>
      </c>
      <c r="Q439" s="9">
        <v>0</v>
      </c>
      <c r="R439" s="9">
        <v>0</v>
      </c>
      <c r="S439" s="9">
        <v>0</v>
      </c>
      <c r="T439" s="9">
        <v>1</v>
      </c>
      <c r="U439" s="8">
        <v>2132</v>
      </c>
      <c r="V439" s="9">
        <v>6</v>
      </c>
      <c r="W439" s="9">
        <f t="shared" si="114"/>
        <v>2125</v>
      </c>
      <c r="X439" s="9">
        <f t="shared" si="115"/>
        <v>27</v>
      </c>
      <c r="Y439" s="7">
        <v>7.73</v>
      </c>
      <c r="Z439" s="7">
        <v>20.350000000000001</v>
      </c>
      <c r="AA439" s="9">
        <v>0</v>
      </c>
      <c r="AB439" s="9">
        <v>1</v>
      </c>
      <c r="AC439" s="9">
        <v>1</v>
      </c>
      <c r="AD439" s="9">
        <v>0</v>
      </c>
      <c r="AE439" s="9">
        <v>0</v>
      </c>
      <c r="AF439" s="9">
        <v>0</v>
      </c>
      <c r="AG439" s="8">
        <v>0</v>
      </c>
      <c r="AH439" s="9">
        <v>1</v>
      </c>
      <c r="AI439" s="30">
        <v>0</v>
      </c>
      <c r="AJ439" s="9">
        <v>0</v>
      </c>
      <c r="AK439" s="30">
        <v>1</v>
      </c>
      <c r="AL439" s="21">
        <v>2001</v>
      </c>
      <c r="AM439" s="23">
        <f t="shared" si="116"/>
        <v>7.6014023345837334</v>
      </c>
      <c r="AN439" s="33">
        <v>4.2699999999999988E-2</v>
      </c>
      <c r="AO439" s="33">
        <v>0.50719999999999998</v>
      </c>
      <c r="AP439" s="33">
        <v>0.33500000000000002</v>
      </c>
      <c r="AQ439" s="43">
        <v>0.1152</v>
      </c>
      <c r="AR439" s="42">
        <v>1</v>
      </c>
      <c r="AS439" s="18">
        <v>0</v>
      </c>
      <c r="AT439">
        <v>1</v>
      </c>
      <c r="AU439" s="40">
        <v>0</v>
      </c>
      <c r="AV439" s="39">
        <f t="shared" si="12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13</v>
      </c>
      <c r="DB439" s="34"/>
    </row>
    <row r="440" spans="1:106" x14ac:dyDescent="0.25">
      <c r="A440">
        <v>439</v>
      </c>
      <c r="B440">
        <v>28</v>
      </c>
      <c r="C440" s="25" t="s">
        <v>281</v>
      </c>
      <c r="D440" s="12">
        <v>6.4739236902311426</v>
      </c>
      <c r="E440" s="14">
        <v>0.59268315473947086</v>
      </c>
      <c r="F440" s="7">
        <v>10.92307692307692</v>
      </c>
      <c r="G440" s="7">
        <f t="shared" si="107"/>
        <v>5.8812405354916715</v>
      </c>
      <c r="H440" s="16">
        <f t="shared" si="108"/>
        <v>7.0666068449706136</v>
      </c>
      <c r="I440" s="11">
        <f t="shared" si="109"/>
        <v>0.23057022351054177</v>
      </c>
      <c r="J440" s="33">
        <f t="shared" si="110"/>
        <v>2.1108541588993265E-2</v>
      </c>
      <c r="K440" s="33">
        <f t="shared" si="111"/>
        <v>47.374187164187369</v>
      </c>
      <c r="L440" s="33">
        <f t="shared" si="112"/>
        <v>0.20946168192154851</v>
      </c>
      <c r="M440" s="33">
        <f t="shared" si="113"/>
        <v>0.25167876509953502</v>
      </c>
      <c r="N440" s="8">
        <v>1</v>
      </c>
      <c r="O440" s="9">
        <v>0</v>
      </c>
      <c r="P440" s="8">
        <v>0</v>
      </c>
      <c r="Q440" s="9">
        <v>0</v>
      </c>
      <c r="R440" s="9">
        <v>0</v>
      </c>
      <c r="S440" s="9">
        <v>0</v>
      </c>
      <c r="T440" s="9">
        <v>1</v>
      </c>
      <c r="U440" s="8">
        <v>2132</v>
      </c>
      <c r="V440" s="9">
        <v>6</v>
      </c>
      <c r="W440" s="9">
        <f t="shared" si="114"/>
        <v>2125</v>
      </c>
      <c r="X440" s="9">
        <f t="shared" si="115"/>
        <v>27</v>
      </c>
      <c r="Y440" s="7">
        <v>7.73</v>
      </c>
      <c r="Z440" s="7">
        <v>20.350000000000001</v>
      </c>
      <c r="AA440" s="9">
        <v>0</v>
      </c>
      <c r="AB440" s="9">
        <v>1</v>
      </c>
      <c r="AC440" s="9">
        <v>1</v>
      </c>
      <c r="AD440" s="9">
        <v>0</v>
      </c>
      <c r="AE440" s="9">
        <v>0</v>
      </c>
      <c r="AF440" s="9">
        <v>0</v>
      </c>
      <c r="AG440" s="8">
        <v>0</v>
      </c>
      <c r="AH440" s="9">
        <v>1</v>
      </c>
      <c r="AI440" s="30">
        <v>0</v>
      </c>
      <c r="AJ440" s="9">
        <v>0</v>
      </c>
      <c r="AK440" s="30">
        <v>1</v>
      </c>
      <c r="AL440" s="21">
        <v>2001</v>
      </c>
      <c r="AM440" s="23">
        <f t="shared" si="116"/>
        <v>7.6014023345837334</v>
      </c>
      <c r="AN440" s="33">
        <v>4.2699999999999988E-2</v>
      </c>
      <c r="AO440" s="33">
        <v>0.50719999999999998</v>
      </c>
      <c r="AP440" s="33">
        <v>0.33500000000000002</v>
      </c>
      <c r="AQ440" s="43">
        <v>0.1152</v>
      </c>
      <c r="AR440" s="42">
        <v>1</v>
      </c>
      <c r="AS440" s="18">
        <v>0</v>
      </c>
      <c r="AT440">
        <v>1</v>
      </c>
      <c r="AU440" s="40">
        <v>0</v>
      </c>
      <c r="AV440" s="39">
        <f t="shared" si="12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13</v>
      </c>
      <c r="DB440" s="34"/>
    </row>
    <row r="441" spans="1:106" x14ac:dyDescent="0.25">
      <c r="A441">
        <v>440</v>
      </c>
      <c r="B441">
        <v>28</v>
      </c>
      <c r="C441" s="25" t="s">
        <v>281</v>
      </c>
      <c r="D441" s="12">
        <v>8.490521329106592</v>
      </c>
      <c r="E441" s="14">
        <v>0.92394791050459202</v>
      </c>
      <c r="F441" s="7">
        <v>9.1893939393939394</v>
      </c>
      <c r="G441" s="7">
        <f t="shared" si="107"/>
        <v>7.5665734186020002</v>
      </c>
      <c r="H441" s="16">
        <f t="shared" si="108"/>
        <v>9.4144692396111846</v>
      </c>
      <c r="I441" s="11">
        <f t="shared" si="109"/>
        <v>0.19549933117032514</v>
      </c>
      <c r="J441" s="33">
        <f t="shared" si="110"/>
        <v>2.127445318588864E-2</v>
      </c>
      <c r="K441" s="33">
        <f t="shared" si="111"/>
        <v>47.004733389025517</v>
      </c>
      <c r="L441" s="33">
        <f t="shared" si="112"/>
        <v>0.1742248779844365</v>
      </c>
      <c r="M441" s="33">
        <f t="shared" si="113"/>
        <v>0.21677378435621378</v>
      </c>
      <c r="N441" s="8">
        <v>1</v>
      </c>
      <c r="O441" s="9">
        <v>0</v>
      </c>
      <c r="P441" s="8">
        <v>0</v>
      </c>
      <c r="Q441" s="9">
        <v>0</v>
      </c>
      <c r="R441" s="9">
        <v>0</v>
      </c>
      <c r="S441" s="9">
        <v>0</v>
      </c>
      <c r="T441" s="9">
        <v>1</v>
      </c>
      <c r="U441" s="8">
        <v>2132</v>
      </c>
      <c r="V441" s="9">
        <v>6</v>
      </c>
      <c r="W441" s="9">
        <f t="shared" si="114"/>
        <v>2125</v>
      </c>
      <c r="X441" s="9">
        <f t="shared" si="115"/>
        <v>27</v>
      </c>
      <c r="Y441" s="7">
        <v>7.73</v>
      </c>
      <c r="Z441" s="7">
        <v>20.350000000000001</v>
      </c>
      <c r="AA441" s="9">
        <v>0</v>
      </c>
      <c r="AB441" s="9">
        <v>1</v>
      </c>
      <c r="AC441" s="9">
        <v>1</v>
      </c>
      <c r="AD441" s="9">
        <v>0</v>
      </c>
      <c r="AE441" s="9">
        <v>0</v>
      </c>
      <c r="AF441" s="9">
        <v>0</v>
      </c>
      <c r="AG441" s="8">
        <v>0</v>
      </c>
      <c r="AH441" s="9">
        <v>1</v>
      </c>
      <c r="AI441" s="30">
        <v>0</v>
      </c>
      <c r="AJ441" s="9">
        <v>0</v>
      </c>
      <c r="AK441" s="30">
        <v>1</v>
      </c>
      <c r="AL441" s="21">
        <v>2001</v>
      </c>
      <c r="AM441" s="23">
        <f t="shared" si="116"/>
        <v>7.6014023345837334</v>
      </c>
      <c r="AN441" s="33">
        <v>4.2699999999999988E-2</v>
      </c>
      <c r="AO441" s="33">
        <v>0.50719999999999998</v>
      </c>
      <c r="AP441" s="33">
        <v>0.33500000000000002</v>
      </c>
      <c r="AQ441" s="43">
        <v>0.1152</v>
      </c>
      <c r="AR441" s="42">
        <v>1</v>
      </c>
      <c r="AS441" s="18">
        <v>0</v>
      </c>
      <c r="AT441">
        <v>1</v>
      </c>
      <c r="AU441" s="40">
        <v>0</v>
      </c>
      <c r="AV441" s="39">
        <f t="shared" si="12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13</v>
      </c>
      <c r="DB441" s="34"/>
    </row>
    <row r="442" spans="1:106" x14ac:dyDescent="0.25">
      <c r="A442">
        <v>441</v>
      </c>
      <c r="B442">
        <v>28</v>
      </c>
      <c r="C442" s="25" t="s">
        <v>281</v>
      </c>
      <c r="D442" s="12">
        <v>2.9595585437330869</v>
      </c>
      <c r="E442" s="14">
        <v>0.52781935811800285</v>
      </c>
      <c r="F442" s="7">
        <v>5.6071428571428568</v>
      </c>
      <c r="G442" s="7">
        <f t="shared" si="107"/>
        <v>2.4317391856150841</v>
      </c>
      <c r="H442" s="16">
        <f t="shared" si="108"/>
        <v>3.4873779018510898</v>
      </c>
      <c r="I442" s="11">
        <f t="shared" si="109"/>
        <v>6.5039308263637657E-2</v>
      </c>
      <c r="J442" s="33">
        <f t="shared" si="110"/>
        <v>1.1599367078865316E-2</v>
      </c>
      <c r="K442" s="33">
        <f t="shared" si="111"/>
        <v>86.211600443446173</v>
      </c>
      <c r="L442" s="33">
        <f t="shared" si="112"/>
        <v>5.3439941184772341E-2</v>
      </c>
      <c r="M442" s="33">
        <f t="shared" si="113"/>
        <v>7.6638675342502974E-2</v>
      </c>
      <c r="N442" s="8">
        <v>1</v>
      </c>
      <c r="O442" s="9">
        <v>0</v>
      </c>
      <c r="P442" s="8">
        <v>0</v>
      </c>
      <c r="Q442" s="9">
        <v>0</v>
      </c>
      <c r="R442" s="9">
        <v>0</v>
      </c>
      <c r="S442" s="9">
        <v>0</v>
      </c>
      <c r="T442" s="9">
        <v>1</v>
      </c>
      <c r="U442" s="8">
        <v>7408</v>
      </c>
      <c r="V442" s="9">
        <v>6</v>
      </c>
      <c r="W442" s="9">
        <f t="shared" si="114"/>
        <v>7401</v>
      </c>
      <c r="X442" s="9">
        <f t="shared" si="115"/>
        <v>27</v>
      </c>
      <c r="Y442" s="7">
        <v>8.3000000000000007</v>
      </c>
      <c r="Z442" s="7">
        <v>20.41</v>
      </c>
      <c r="AA442" s="9">
        <v>0</v>
      </c>
      <c r="AB442" s="9">
        <v>1</v>
      </c>
      <c r="AC442" s="9">
        <v>1</v>
      </c>
      <c r="AD442" s="9">
        <v>0</v>
      </c>
      <c r="AE442" s="9">
        <v>0</v>
      </c>
      <c r="AF442" s="9">
        <v>0</v>
      </c>
      <c r="AG442" s="8">
        <v>0</v>
      </c>
      <c r="AH442" s="9">
        <v>1</v>
      </c>
      <c r="AI442" s="30">
        <v>0</v>
      </c>
      <c r="AJ442" s="9">
        <v>0</v>
      </c>
      <c r="AK442" s="30">
        <v>1</v>
      </c>
      <c r="AL442" s="21">
        <v>2006</v>
      </c>
      <c r="AM442" s="23">
        <f t="shared" si="116"/>
        <v>7.6038979685218813</v>
      </c>
      <c r="AN442" s="33">
        <v>3.5000000000000003E-2</v>
      </c>
      <c r="AO442" s="33">
        <v>0.44450000000000001</v>
      </c>
      <c r="AP442" s="33">
        <v>0.37890000000000001</v>
      </c>
      <c r="AQ442" s="43">
        <v>0.14149999999999999</v>
      </c>
      <c r="AR442" s="42">
        <v>1</v>
      </c>
      <c r="AS442" s="18">
        <v>0</v>
      </c>
      <c r="AT442">
        <v>1</v>
      </c>
      <c r="AU442" s="40">
        <v>0</v>
      </c>
      <c r="AV442" s="39">
        <f t="shared" si="12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13</v>
      </c>
      <c r="DB442" s="34"/>
    </row>
    <row r="443" spans="1:106" x14ac:dyDescent="0.25">
      <c r="A443">
        <v>442</v>
      </c>
      <c r="B443">
        <v>28</v>
      </c>
      <c r="C443" s="25" t="s">
        <v>281</v>
      </c>
      <c r="D443" s="12">
        <v>5.9686029727814338</v>
      </c>
      <c r="E443" s="14">
        <v>0.3333251223891901</v>
      </c>
      <c r="F443" s="7">
        <v>17.90625</v>
      </c>
      <c r="G443" s="7">
        <f t="shared" si="107"/>
        <v>5.635277850392244</v>
      </c>
      <c r="H443" s="16">
        <f t="shared" si="108"/>
        <v>6.3019280951706236</v>
      </c>
      <c r="I443" s="11">
        <f t="shared" si="109"/>
        <v>0.20377459718790986</v>
      </c>
      <c r="J443" s="33">
        <f t="shared" si="110"/>
        <v>1.1380082216427776E-2</v>
      </c>
      <c r="K443" s="33">
        <f t="shared" si="111"/>
        <v>87.872827364677988</v>
      </c>
      <c r="L443" s="33">
        <f t="shared" si="112"/>
        <v>0.19239451497148208</v>
      </c>
      <c r="M443" s="33">
        <f t="shared" si="113"/>
        <v>0.21515467940433763</v>
      </c>
      <c r="N443" s="8">
        <v>1</v>
      </c>
      <c r="O443" s="9">
        <v>0</v>
      </c>
      <c r="P443" s="8">
        <v>0</v>
      </c>
      <c r="Q443" s="9">
        <v>0</v>
      </c>
      <c r="R443" s="9">
        <v>0</v>
      </c>
      <c r="S443" s="9">
        <v>0</v>
      </c>
      <c r="T443" s="9">
        <v>1</v>
      </c>
      <c r="U443" s="8">
        <v>7408</v>
      </c>
      <c r="V443" s="9">
        <v>6</v>
      </c>
      <c r="W443" s="9">
        <f t="shared" si="114"/>
        <v>7401</v>
      </c>
      <c r="X443" s="9">
        <f t="shared" si="115"/>
        <v>27</v>
      </c>
      <c r="Y443" s="7">
        <v>8.3000000000000007</v>
      </c>
      <c r="Z443" s="7">
        <v>20.41</v>
      </c>
      <c r="AA443" s="9">
        <v>0</v>
      </c>
      <c r="AB443" s="9">
        <v>1</v>
      </c>
      <c r="AC443" s="9">
        <v>1</v>
      </c>
      <c r="AD443" s="9">
        <v>0</v>
      </c>
      <c r="AE443" s="9">
        <v>0</v>
      </c>
      <c r="AF443" s="9">
        <v>0</v>
      </c>
      <c r="AG443" s="8">
        <v>0</v>
      </c>
      <c r="AH443" s="9">
        <v>1</v>
      </c>
      <c r="AI443" s="30">
        <v>0</v>
      </c>
      <c r="AJ443" s="9">
        <v>0</v>
      </c>
      <c r="AK443" s="30">
        <v>1</v>
      </c>
      <c r="AL443" s="21">
        <v>2006</v>
      </c>
      <c r="AM443" s="23">
        <f t="shared" si="116"/>
        <v>7.6038979685218813</v>
      </c>
      <c r="AN443" s="33">
        <v>3.5000000000000003E-2</v>
      </c>
      <c r="AO443" s="33">
        <v>0.44450000000000001</v>
      </c>
      <c r="AP443" s="33">
        <v>0.37890000000000001</v>
      </c>
      <c r="AQ443" s="43">
        <v>0.14149999999999999</v>
      </c>
      <c r="AR443" s="42">
        <v>1</v>
      </c>
      <c r="AS443" s="18">
        <v>0</v>
      </c>
      <c r="AT443">
        <v>1</v>
      </c>
      <c r="AU443" s="40">
        <v>0</v>
      </c>
      <c r="AV443" s="39">
        <f t="shared" si="12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13</v>
      </c>
      <c r="DB443" s="34"/>
    </row>
    <row r="444" spans="1:106" s="51" customFormat="1" x14ac:dyDescent="0.25">
      <c r="A444" s="51">
        <v>443</v>
      </c>
      <c r="B444" s="51">
        <v>28</v>
      </c>
      <c r="C444" s="52" t="s">
        <v>281</v>
      </c>
      <c r="D444" s="53">
        <v>8.6632090658934402</v>
      </c>
      <c r="E444" s="54">
        <v>0.28665029997441532</v>
      </c>
      <c r="F444" s="55">
        <v>30.222222222222221</v>
      </c>
      <c r="G444" s="55">
        <f t="shared" si="107"/>
        <v>8.3765587659190253</v>
      </c>
      <c r="H444" s="56">
        <f t="shared" si="108"/>
        <v>8.9498593658678551</v>
      </c>
      <c r="I444" s="57">
        <f t="shared" si="109"/>
        <v>0.33144493664839791</v>
      </c>
      <c r="J444" s="58">
        <f t="shared" si="110"/>
        <v>1.0966928050866107E-2</v>
      </c>
      <c r="K444" s="58">
        <f t="shared" si="111"/>
        <v>91.183237034278307</v>
      </c>
      <c r="L444" s="58">
        <f t="shared" si="112"/>
        <v>0.32047800859753178</v>
      </c>
      <c r="M444" s="58">
        <f t="shared" si="113"/>
        <v>0.34241186469926405</v>
      </c>
      <c r="N444" s="59">
        <v>1</v>
      </c>
      <c r="O444" s="60">
        <v>0</v>
      </c>
      <c r="P444" s="59">
        <v>0</v>
      </c>
      <c r="Q444" s="60">
        <v>0</v>
      </c>
      <c r="R444" s="60">
        <v>0</v>
      </c>
      <c r="S444" s="60">
        <v>0</v>
      </c>
      <c r="T444" s="60">
        <v>1</v>
      </c>
      <c r="U444" s="59">
        <v>7408</v>
      </c>
      <c r="V444" s="60">
        <v>6</v>
      </c>
      <c r="W444" s="60">
        <f t="shared" si="114"/>
        <v>7401</v>
      </c>
      <c r="X444" s="60">
        <f t="shared" si="115"/>
        <v>27</v>
      </c>
      <c r="Y444" s="55">
        <v>8.3000000000000007</v>
      </c>
      <c r="Z444" s="55">
        <v>20.41</v>
      </c>
      <c r="AA444" s="60">
        <v>0</v>
      </c>
      <c r="AB444" s="60">
        <v>1</v>
      </c>
      <c r="AC444" s="60">
        <v>1</v>
      </c>
      <c r="AD444" s="60">
        <v>0</v>
      </c>
      <c r="AE444" s="60">
        <v>0</v>
      </c>
      <c r="AF444" s="60">
        <v>0</v>
      </c>
      <c r="AG444" s="59">
        <v>0</v>
      </c>
      <c r="AH444" s="60">
        <v>1</v>
      </c>
      <c r="AI444" s="61">
        <v>0</v>
      </c>
      <c r="AJ444" s="60">
        <v>0</v>
      </c>
      <c r="AK444" s="61">
        <v>1</v>
      </c>
      <c r="AL444" s="62">
        <v>2006</v>
      </c>
      <c r="AM444" s="63">
        <f t="shared" si="116"/>
        <v>7.6038979685218813</v>
      </c>
      <c r="AN444" s="58">
        <v>3.5000000000000003E-2</v>
      </c>
      <c r="AO444" s="58">
        <v>0.44450000000000001</v>
      </c>
      <c r="AP444" s="58">
        <v>0.37890000000000001</v>
      </c>
      <c r="AQ444" s="64">
        <v>0.14149999999999999</v>
      </c>
      <c r="AR444" s="65">
        <v>1</v>
      </c>
      <c r="AS444" s="66">
        <v>0</v>
      </c>
      <c r="AT444" s="51">
        <v>1</v>
      </c>
      <c r="AU444" s="67">
        <v>0</v>
      </c>
      <c r="AV444" s="69">
        <f t="shared" si="12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13</v>
      </c>
      <c r="CW444" s="68"/>
      <c r="DB444" s="68"/>
    </row>
    <row r="445" spans="1:106" x14ac:dyDescent="0.25">
      <c r="A445">
        <v>444</v>
      </c>
      <c r="B445">
        <v>29</v>
      </c>
      <c r="C445" s="25" t="s">
        <v>9</v>
      </c>
      <c r="D445" s="12">
        <v>6.94</v>
      </c>
      <c r="E445" s="14">
        <v>0.59</v>
      </c>
      <c r="F445" s="7">
        <f t="shared" ref="F445:F454" si="122">D445/E445</f>
        <v>11.76271186440678</v>
      </c>
      <c r="G445" s="7">
        <f t="shared" si="107"/>
        <v>6.3500000000000005</v>
      </c>
      <c r="H445" s="16">
        <f t="shared" si="108"/>
        <v>7.53</v>
      </c>
      <c r="I445" s="11">
        <f t="shared" si="109"/>
        <v>0.23963844097900014</v>
      </c>
      <c r="J445" s="33">
        <f t="shared" si="110"/>
        <v>2.037272048668733E-2</v>
      </c>
      <c r="K445" s="33">
        <f t="shared" si="111"/>
        <v>49.08524615813856</v>
      </c>
      <c r="L445" s="33">
        <f t="shared" si="112"/>
        <v>0.2192657204923128</v>
      </c>
      <c r="M445" s="33">
        <f t="shared" si="113"/>
        <v>0.26001116146568748</v>
      </c>
      <c r="N445" s="8">
        <v>0</v>
      </c>
      <c r="O445" s="9">
        <v>1</v>
      </c>
      <c r="P445" s="8">
        <v>0</v>
      </c>
      <c r="Q445" s="9">
        <v>0</v>
      </c>
      <c r="R445" s="9">
        <v>1</v>
      </c>
      <c r="S445" s="9">
        <v>0</v>
      </c>
      <c r="T445" s="9">
        <v>0</v>
      </c>
      <c r="U445" s="8">
        <v>2276</v>
      </c>
      <c r="V445" s="9">
        <v>4</v>
      </c>
      <c r="W445" s="9">
        <f t="shared" si="114"/>
        <v>2271</v>
      </c>
      <c r="X445" s="9">
        <f t="shared" si="115"/>
        <v>10</v>
      </c>
      <c r="Y445" s="7">
        <v>13.2</v>
      </c>
      <c r="Z445" s="7">
        <f t="shared" ref="Z445:Z454" si="123">BN354-Y354-6</f>
        <v>19.479700000000001</v>
      </c>
      <c r="AA445" s="9">
        <v>1</v>
      </c>
      <c r="AB445" s="9">
        <v>0</v>
      </c>
      <c r="AC445" s="9">
        <v>0</v>
      </c>
      <c r="AD445" s="9">
        <v>0</v>
      </c>
      <c r="AE445" s="9">
        <v>1</v>
      </c>
      <c r="AF445" s="9">
        <v>0</v>
      </c>
      <c r="AG445" s="8">
        <v>0</v>
      </c>
      <c r="AH445" s="9">
        <v>1</v>
      </c>
      <c r="AI445" s="30">
        <v>0</v>
      </c>
      <c r="AJ445" s="9">
        <v>1</v>
      </c>
      <c r="AK445" s="30">
        <v>0</v>
      </c>
      <c r="AL445" s="21">
        <v>2006</v>
      </c>
      <c r="AM445" s="23">
        <f t="shared" si="116"/>
        <v>7.6038979685218813</v>
      </c>
      <c r="AN445" s="33">
        <v>0</v>
      </c>
      <c r="AO445" s="33">
        <v>7.0000000000000001E-3</v>
      </c>
      <c r="AP445" s="33">
        <f t="shared" ref="AP445:AP454" si="124">1-AN445-AO445-AQ445</f>
        <v>0.59399999999999997</v>
      </c>
      <c r="AQ445" s="43">
        <v>0.39900000000000002</v>
      </c>
      <c r="AR445" s="42">
        <v>1</v>
      </c>
      <c r="AS445" s="18">
        <v>0</v>
      </c>
      <c r="AT445">
        <v>0.59599999999999997</v>
      </c>
      <c r="AU445" s="40">
        <f>1-AT445</f>
        <v>0.40400000000000003</v>
      </c>
      <c r="AV445" s="39">
        <f t="shared" si="12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0.14599999999999999</v>
      </c>
      <c r="CS445">
        <v>3</v>
      </c>
      <c r="CT445">
        <v>0</v>
      </c>
      <c r="CU445">
        <v>1</v>
      </c>
      <c r="CV445">
        <v>11</v>
      </c>
      <c r="DB445" s="34"/>
    </row>
    <row r="446" spans="1:106" x14ac:dyDescent="0.25">
      <c r="A446">
        <v>445</v>
      </c>
      <c r="B446">
        <v>29</v>
      </c>
      <c r="C446" s="25" t="s">
        <v>9</v>
      </c>
      <c r="D446" s="12">
        <v>8.19</v>
      </c>
      <c r="E446" s="14">
        <v>0.77</v>
      </c>
      <c r="F446" s="7">
        <f t="shared" si="122"/>
        <v>10.636363636363635</v>
      </c>
      <c r="G446" s="7">
        <f t="shared" si="107"/>
        <v>7.42</v>
      </c>
      <c r="H446" s="16">
        <f t="shared" si="108"/>
        <v>8.9599999999999991</v>
      </c>
      <c r="I446" s="11">
        <f t="shared" si="109"/>
        <v>0.27778360252890461</v>
      </c>
      <c r="J446" s="33">
        <f t="shared" si="110"/>
        <v>2.6116407075367106E-2</v>
      </c>
      <c r="K446" s="33">
        <f t="shared" si="111"/>
        <v>38.290106181688223</v>
      </c>
      <c r="L446" s="33">
        <f t="shared" si="112"/>
        <v>0.2516671954535375</v>
      </c>
      <c r="M446" s="33">
        <f t="shared" si="113"/>
        <v>0.30390000960427171</v>
      </c>
      <c r="N446" s="8">
        <v>0</v>
      </c>
      <c r="O446" s="9">
        <v>1</v>
      </c>
      <c r="P446" s="8">
        <v>0</v>
      </c>
      <c r="Q446" s="9">
        <v>0</v>
      </c>
      <c r="R446" s="9">
        <v>1</v>
      </c>
      <c r="S446" s="9">
        <v>0</v>
      </c>
      <c r="T446" s="9">
        <v>0</v>
      </c>
      <c r="U446" s="8">
        <v>1357</v>
      </c>
      <c r="V446" s="9">
        <v>3</v>
      </c>
      <c r="W446" s="9">
        <f t="shared" si="114"/>
        <v>1353</v>
      </c>
      <c r="X446" s="9">
        <f t="shared" si="115"/>
        <v>10</v>
      </c>
      <c r="Y446" s="7">
        <v>12.9</v>
      </c>
      <c r="Z446" s="7">
        <f t="shared" si="123"/>
        <v>19.479700000000001</v>
      </c>
      <c r="AA446" s="9">
        <v>1</v>
      </c>
      <c r="AB446" s="9">
        <v>0</v>
      </c>
      <c r="AC446" s="9">
        <v>0</v>
      </c>
      <c r="AD446" s="9">
        <v>0</v>
      </c>
      <c r="AE446" s="9">
        <v>1</v>
      </c>
      <c r="AF446" s="9">
        <v>0</v>
      </c>
      <c r="AG446" s="8">
        <v>0</v>
      </c>
      <c r="AH446" s="9">
        <v>1</v>
      </c>
      <c r="AI446" s="30">
        <v>0</v>
      </c>
      <c r="AJ446" s="9">
        <v>1</v>
      </c>
      <c r="AK446" s="30">
        <v>0</v>
      </c>
      <c r="AL446" s="21">
        <v>2006</v>
      </c>
      <c r="AM446" s="23">
        <f t="shared" si="116"/>
        <v>7.6038979685218813</v>
      </c>
      <c r="AN446" s="33">
        <v>0</v>
      </c>
      <c r="AO446" s="33">
        <v>7.0000000000000001E-3</v>
      </c>
      <c r="AP446" s="33">
        <f t="shared" si="124"/>
        <v>0.65100000000000002</v>
      </c>
      <c r="AQ446" s="43">
        <v>0.34200000000000003</v>
      </c>
      <c r="AR446" s="42">
        <v>1</v>
      </c>
      <c r="AS446" s="18">
        <v>0</v>
      </c>
      <c r="AT446">
        <v>1</v>
      </c>
      <c r="AU446" s="40">
        <v>0</v>
      </c>
      <c r="AV446" s="39">
        <f t="shared" si="12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0.14599999999999999</v>
      </c>
      <c r="CS446">
        <v>3</v>
      </c>
      <c r="CT446">
        <v>0</v>
      </c>
      <c r="CU446">
        <v>1</v>
      </c>
      <c r="CV446">
        <v>11</v>
      </c>
      <c r="DB446" s="34"/>
    </row>
    <row r="447" spans="1:106" x14ac:dyDescent="0.25">
      <c r="A447">
        <v>446</v>
      </c>
      <c r="B447">
        <v>29</v>
      </c>
      <c r="C447" s="25" t="s">
        <v>9</v>
      </c>
      <c r="D447" s="12">
        <v>5.09</v>
      </c>
      <c r="E447" s="14">
        <v>0.88</v>
      </c>
      <c r="F447" s="7">
        <f t="shared" si="122"/>
        <v>5.7840909090909092</v>
      </c>
      <c r="G447" s="7">
        <f t="shared" si="107"/>
        <v>4.21</v>
      </c>
      <c r="H447" s="16">
        <f t="shared" si="108"/>
        <v>5.97</v>
      </c>
      <c r="I447" s="11">
        <f t="shared" si="109"/>
        <v>0.1878134035333307</v>
      </c>
      <c r="J447" s="33">
        <f t="shared" si="110"/>
        <v>3.2470686661951083E-2</v>
      </c>
      <c r="K447" s="33">
        <f t="shared" si="111"/>
        <v>30.797008095667803</v>
      </c>
      <c r="L447" s="33">
        <f t="shared" si="112"/>
        <v>0.15534271687137963</v>
      </c>
      <c r="M447" s="33">
        <f t="shared" si="113"/>
        <v>0.22028409019528178</v>
      </c>
      <c r="N447" s="8">
        <v>0</v>
      </c>
      <c r="O447" s="9">
        <v>1</v>
      </c>
      <c r="P447" s="8">
        <v>0</v>
      </c>
      <c r="Q447" s="9">
        <v>0</v>
      </c>
      <c r="R447" s="9">
        <v>1</v>
      </c>
      <c r="S447" s="9">
        <v>0</v>
      </c>
      <c r="T447" s="9">
        <v>0</v>
      </c>
      <c r="U447" s="8">
        <v>919</v>
      </c>
      <c r="V447" s="9">
        <v>3</v>
      </c>
      <c r="W447" s="9">
        <f t="shared" si="114"/>
        <v>915</v>
      </c>
      <c r="X447" s="9">
        <f t="shared" si="115"/>
        <v>10</v>
      </c>
      <c r="Y447" s="7">
        <v>13.6</v>
      </c>
      <c r="Z447" s="7">
        <f t="shared" si="123"/>
        <v>19.479700000000001</v>
      </c>
      <c r="AA447" s="9">
        <v>1</v>
      </c>
      <c r="AB447" s="9">
        <v>0</v>
      </c>
      <c r="AC447" s="9">
        <v>0</v>
      </c>
      <c r="AD447" s="9">
        <v>0</v>
      </c>
      <c r="AE447" s="9">
        <v>1</v>
      </c>
      <c r="AF447" s="9">
        <v>0</v>
      </c>
      <c r="AG447" s="8">
        <v>0</v>
      </c>
      <c r="AH447" s="9">
        <v>1</v>
      </c>
      <c r="AI447" s="30">
        <v>0</v>
      </c>
      <c r="AJ447" s="9">
        <v>1</v>
      </c>
      <c r="AK447" s="30">
        <v>0</v>
      </c>
      <c r="AL447" s="21">
        <v>2006</v>
      </c>
      <c r="AM447" s="23">
        <f t="shared" si="116"/>
        <v>7.6038979685218813</v>
      </c>
      <c r="AN447" s="33">
        <v>0</v>
      </c>
      <c r="AO447" s="33">
        <v>5.0000000000000001E-3</v>
      </c>
      <c r="AP447" s="33">
        <f t="shared" si="124"/>
        <v>0.51200000000000001</v>
      </c>
      <c r="AQ447" s="43">
        <v>0.48299999999999998</v>
      </c>
      <c r="AR447" s="42">
        <v>1</v>
      </c>
      <c r="AS447" s="18">
        <v>0</v>
      </c>
      <c r="AT447">
        <v>0</v>
      </c>
      <c r="AU447" s="40">
        <v>1</v>
      </c>
      <c r="AV447" s="39">
        <f t="shared" si="12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0.14599999999999999</v>
      </c>
      <c r="CS447">
        <v>3</v>
      </c>
      <c r="CT447">
        <v>0</v>
      </c>
      <c r="CU447">
        <v>1</v>
      </c>
      <c r="CV447">
        <v>11</v>
      </c>
      <c r="DB447" s="34"/>
    </row>
    <row r="448" spans="1:106" x14ac:dyDescent="0.25">
      <c r="A448">
        <v>447</v>
      </c>
      <c r="B448">
        <v>29</v>
      </c>
      <c r="C448" s="25" t="s">
        <v>9</v>
      </c>
      <c r="D448" s="12">
        <v>6.8</v>
      </c>
      <c r="E448" s="14">
        <v>0.6</v>
      </c>
      <c r="F448" s="7">
        <f t="shared" si="122"/>
        <v>11.333333333333334</v>
      </c>
      <c r="G448" s="7">
        <f t="shared" si="107"/>
        <v>6.2</v>
      </c>
      <c r="H448" s="16">
        <f t="shared" si="108"/>
        <v>7.3999999999999995</v>
      </c>
      <c r="I448" s="11">
        <f t="shared" si="109"/>
        <v>0.23189964848373007</v>
      </c>
      <c r="J448" s="33">
        <f t="shared" si="110"/>
        <v>2.0461733689740885E-2</v>
      </c>
      <c r="K448" s="33">
        <f t="shared" si="111"/>
        <v>48.87171415496335</v>
      </c>
      <c r="L448" s="33">
        <f t="shared" si="112"/>
        <v>0.21143791479398918</v>
      </c>
      <c r="M448" s="33">
        <f t="shared" si="113"/>
        <v>0.25236138217347093</v>
      </c>
      <c r="N448" s="8">
        <v>0</v>
      </c>
      <c r="O448" s="9">
        <v>1</v>
      </c>
      <c r="P448" s="8">
        <v>0</v>
      </c>
      <c r="Q448" s="9">
        <v>0</v>
      </c>
      <c r="R448" s="9">
        <v>1</v>
      </c>
      <c r="S448" s="9">
        <v>0</v>
      </c>
      <c r="T448" s="9">
        <v>0</v>
      </c>
      <c r="U448" s="8">
        <v>2276</v>
      </c>
      <c r="V448" s="9">
        <v>15</v>
      </c>
      <c r="W448" s="9">
        <f t="shared" si="114"/>
        <v>2260</v>
      </c>
      <c r="X448" s="9">
        <f t="shared" si="115"/>
        <v>10</v>
      </c>
      <c r="Y448" s="7">
        <v>13.2</v>
      </c>
      <c r="Z448" s="7">
        <f t="shared" si="123"/>
        <v>19.479700000000001</v>
      </c>
      <c r="AA448" s="9">
        <v>1</v>
      </c>
      <c r="AB448" s="9">
        <v>0</v>
      </c>
      <c r="AC448" s="9">
        <v>0</v>
      </c>
      <c r="AD448" s="9">
        <v>0</v>
      </c>
      <c r="AE448" s="9">
        <v>1</v>
      </c>
      <c r="AF448" s="9">
        <v>0</v>
      </c>
      <c r="AG448" s="8">
        <v>0</v>
      </c>
      <c r="AH448" s="9">
        <v>1</v>
      </c>
      <c r="AI448" s="30">
        <v>0</v>
      </c>
      <c r="AJ448" s="9">
        <v>1</v>
      </c>
      <c r="AK448" s="30">
        <v>0</v>
      </c>
      <c r="AL448" s="21">
        <v>2006</v>
      </c>
      <c r="AM448" s="23">
        <f t="shared" si="116"/>
        <v>7.6038979685218813</v>
      </c>
      <c r="AN448" s="33">
        <v>0</v>
      </c>
      <c r="AO448" s="33">
        <v>7.0000000000000001E-3</v>
      </c>
      <c r="AP448" s="33">
        <f t="shared" si="124"/>
        <v>0.59399999999999997</v>
      </c>
      <c r="AQ448" s="43">
        <v>0.39900000000000002</v>
      </c>
      <c r="AR448" s="42">
        <v>1</v>
      </c>
      <c r="AS448" s="18">
        <v>0</v>
      </c>
      <c r="AT448">
        <v>0.59599999999999997</v>
      </c>
      <c r="AU448" s="40">
        <f>1-AT448</f>
        <v>0.40400000000000003</v>
      </c>
      <c r="AV448" s="39">
        <f t="shared" si="12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0.14599999999999999</v>
      </c>
      <c r="CS448">
        <v>3</v>
      </c>
      <c r="CT448">
        <v>0</v>
      </c>
      <c r="CU448">
        <v>1</v>
      </c>
      <c r="CV448">
        <v>11</v>
      </c>
      <c r="DB448" s="34"/>
    </row>
    <row r="449" spans="1:106" x14ac:dyDescent="0.25">
      <c r="A449">
        <v>448</v>
      </c>
      <c r="B449">
        <v>29</v>
      </c>
      <c r="C449" s="25" t="s">
        <v>9</v>
      </c>
      <c r="D449" s="12">
        <v>7.06</v>
      </c>
      <c r="E449" s="14">
        <v>0.78</v>
      </c>
      <c r="F449" s="7">
        <f t="shared" si="122"/>
        <v>9.0512820512820511</v>
      </c>
      <c r="G449" s="7">
        <f t="shared" si="107"/>
        <v>6.2799999999999994</v>
      </c>
      <c r="H449" s="16">
        <f t="shared" si="108"/>
        <v>7.84</v>
      </c>
      <c r="I449" s="11">
        <f t="shared" si="109"/>
        <v>0.23986475186127454</v>
      </c>
      <c r="J449" s="33">
        <f t="shared" si="110"/>
        <v>2.6500638307619565E-2</v>
      </c>
      <c r="K449" s="33">
        <f t="shared" si="111"/>
        <v>37.734940132082635</v>
      </c>
      <c r="L449" s="33">
        <f t="shared" si="112"/>
        <v>0.21336411355365498</v>
      </c>
      <c r="M449" s="33">
        <f t="shared" si="113"/>
        <v>0.2663653901688941</v>
      </c>
      <c r="N449" s="8">
        <v>0</v>
      </c>
      <c r="O449" s="9">
        <v>1</v>
      </c>
      <c r="P449" s="8">
        <v>0</v>
      </c>
      <c r="Q449" s="9">
        <v>0</v>
      </c>
      <c r="R449" s="9">
        <v>1</v>
      </c>
      <c r="S449" s="9">
        <v>0</v>
      </c>
      <c r="T449" s="9">
        <v>0</v>
      </c>
      <c r="U449" s="8">
        <v>1357</v>
      </c>
      <c r="V449" s="9">
        <v>14</v>
      </c>
      <c r="W449" s="9">
        <f t="shared" si="114"/>
        <v>1342</v>
      </c>
      <c r="X449" s="9">
        <f t="shared" si="115"/>
        <v>10</v>
      </c>
      <c r="Y449" s="7">
        <v>12.9</v>
      </c>
      <c r="Z449" s="7">
        <f t="shared" si="123"/>
        <v>19.479700000000001</v>
      </c>
      <c r="AA449" s="9">
        <v>1</v>
      </c>
      <c r="AB449" s="9">
        <v>0</v>
      </c>
      <c r="AC449" s="9">
        <v>0</v>
      </c>
      <c r="AD449" s="9">
        <v>0</v>
      </c>
      <c r="AE449" s="9">
        <v>1</v>
      </c>
      <c r="AF449" s="9">
        <v>0</v>
      </c>
      <c r="AG449" s="8">
        <v>0</v>
      </c>
      <c r="AH449" s="9">
        <v>1</v>
      </c>
      <c r="AI449" s="30">
        <v>0</v>
      </c>
      <c r="AJ449" s="9">
        <v>1</v>
      </c>
      <c r="AK449" s="30">
        <v>0</v>
      </c>
      <c r="AL449" s="21">
        <v>2006</v>
      </c>
      <c r="AM449" s="23">
        <f t="shared" si="116"/>
        <v>7.6038979685218813</v>
      </c>
      <c r="AN449" s="33">
        <v>0</v>
      </c>
      <c r="AO449" s="33">
        <v>7.0000000000000001E-3</v>
      </c>
      <c r="AP449" s="33">
        <f t="shared" si="124"/>
        <v>0.65100000000000002</v>
      </c>
      <c r="AQ449" s="43">
        <v>0.34200000000000003</v>
      </c>
      <c r="AR449" s="42">
        <v>1</v>
      </c>
      <c r="AS449" s="18">
        <v>0</v>
      </c>
      <c r="AT449">
        <v>1</v>
      </c>
      <c r="AU449" s="40">
        <v>0</v>
      </c>
      <c r="AV449" s="39">
        <f t="shared" si="12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0.14599999999999999</v>
      </c>
      <c r="CS449">
        <v>3</v>
      </c>
      <c r="CT449">
        <v>0</v>
      </c>
      <c r="CU449">
        <v>1</v>
      </c>
      <c r="CV449">
        <v>11</v>
      </c>
      <c r="DB449" s="34"/>
    </row>
    <row r="450" spans="1:106" x14ac:dyDescent="0.25">
      <c r="A450">
        <v>449</v>
      </c>
      <c r="B450">
        <v>29</v>
      </c>
      <c r="C450" s="25" t="s">
        <v>9</v>
      </c>
      <c r="D450" s="12">
        <v>6.21</v>
      </c>
      <c r="E450" s="14">
        <v>0.94</v>
      </c>
      <c r="F450" s="7">
        <f t="shared" si="122"/>
        <v>6.6063829787234045</v>
      </c>
      <c r="G450" s="7">
        <f t="shared" ref="G450:G513" si="125">D450-E450</f>
        <v>5.27</v>
      </c>
      <c r="H450" s="16">
        <f t="shared" ref="H450:H513" si="126">D450+E450</f>
        <v>7.15</v>
      </c>
      <c r="I450" s="11">
        <f t="shared" ref="I450:I513" si="127">IFERROR(F450/SQRT(F450^2+W450), "X")</f>
        <v>0.21460560973649845</v>
      </c>
      <c r="J450" s="33">
        <f t="shared" ref="J450:J513" si="128">IFERROR(SQRT((1-I450^2)/W450), "X")</f>
        <v>3.2484585048680924E-2</v>
      </c>
      <c r="K450" s="33">
        <f t="shared" ref="K450:K513" si="129">IFERROR(1/J450, "X")</f>
        <v>30.783831731309316</v>
      </c>
      <c r="L450" s="33">
        <f t="shared" ref="L450:L513" si="130">IFERROR(I450-J450, "X")</f>
        <v>0.18212102468781752</v>
      </c>
      <c r="M450" s="33">
        <f t="shared" ref="M450:M513" si="131">IFERROR(I450+J450, "X")</f>
        <v>0.24709019478517938</v>
      </c>
      <c r="N450" s="8">
        <v>0</v>
      </c>
      <c r="O450" s="9">
        <v>1</v>
      </c>
      <c r="P450" s="8">
        <v>0</v>
      </c>
      <c r="Q450" s="9">
        <v>0</v>
      </c>
      <c r="R450" s="9">
        <v>1</v>
      </c>
      <c r="S450" s="9">
        <v>0</v>
      </c>
      <c r="T450" s="9">
        <v>0</v>
      </c>
      <c r="U450" s="8">
        <v>919</v>
      </c>
      <c r="V450" s="9">
        <v>14</v>
      </c>
      <c r="W450" s="9">
        <f t="shared" ref="W450:W513" si="132">U450-V450-1</f>
        <v>904</v>
      </c>
      <c r="X450" s="9">
        <f t="shared" ref="X450:X513" si="133">COUNTIF(B:B,B450)</f>
        <v>10</v>
      </c>
      <c r="Y450" s="7">
        <v>13.6</v>
      </c>
      <c r="Z450" s="7">
        <f t="shared" si="123"/>
        <v>19.479700000000001</v>
      </c>
      <c r="AA450" s="9">
        <v>1</v>
      </c>
      <c r="AB450" s="9">
        <v>0</v>
      </c>
      <c r="AC450" s="9">
        <v>0</v>
      </c>
      <c r="AD450" s="9">
        <v>0</v>
      </c>
      <c r="AE450" s="9">
        <v>1</v>
      </c>
      <c r="AF450" s="9">
        <v>0</v>
      </c>
      <c r="AG450" s="8">
        <v>0</v>
      </c>
      <c r="AH450" s="9">
        <v>1</v>
      </c>
      <c r="AI450" s="30">
        <v>0</v>
      </c>
      <c r="AJ450" s="9">
        <v>1</v>
      </c>
      <c r="AK450" s="30">
        <v>0</v>
      </c>
      <c r="AL450" s="21">
        <v>2006</v>
      </c>
      <c r="AM450" s="23">
        <f t="shared" ref="AM450:AM513" si="134">LN(AL450)</f>
        <v>7.6038979685218813</v>
      </c>
      <c r="AN450" s="33">
        <v>0</v>
      </c>
      <c r="AO450" s="33">
        <v>5.0000000000000001E-3</v>
      </c>
      <c r="AP450" s="33">
        <f t="shared" si="124"/>
        <v>0.51200000000000001</v>
      </c>
      <c r="AQ450" s="43">
        <v>0.48299999999999998</v>
      </c>
      <c r="AR450" s="42">
        <v>1</v>
      </c>
      <c r="AS450" s="18">
        <v>0</v>
      </c>
      <c r="AT450">
        <v>0</v>
      </c>
      <c r="AU450" s="40">
        <v>1</v>
      </c>
      <c r="AV450" s="39">
        <f t="shared" si="12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0.14599999999999999</v>
      </c>
      <c r="CS450">
        <v>3</v>
      </c>
      <c r="CT450">
        <v>0</v>
      </c>
      <c r="CU450">
        <v>1</v>
      </c>
      <c r="CV450">
        <v>11</v>
      </c>
      <c r="DB450" s="34"/>
    </row>
    <row r="451" spans="1:106" x14ac:dyDescent="0.25">
      <c r="A451">
        <v>450</v>
      </c>
      <c r="B451">
        <v>29</v>
      </c>
      <c r="C451" s="25" t="s">
        <v>9</v>
      </c>
      <c r="D451" s="12">
        <v>6.16</v>
      </c>
      <c r="E451" s="14">
        <v>0.86</v>
      </c>
      <c r="F451" s="7">
        <f t="shared" si="122"/>
        <v>7.1627906976744189</v>
      </c>
      <c r="G451" s="7">
        <f t="shared" si="125"/>
        <v>5.3</v>
      </c>
      <c r="H451" s="16">
        <f t="shared" si="126"/>
        <v>7.0200000000000005</v>
      </c>
      <c r="I451" s="11">
        <f t="shared" si="127"/>
        <v>0.19189297421546586</v>
      </c>
      <c r="J451" s="33">
        <f t="shared" si="128"/>
        <v>2.6790252893717639E-2</v>
      </c>
      <c r="K451" s="33">
        <f t="shared" si="129"/>
        <v>37.327008594028676</v>
      </c>
      <c r="L451" s="33">
        <f t="shared" si="130"/>
        <v>0.16510272132174822</v>
      </c>
      <c r="M451" s="33">
        <f t="shared" si="131"/>
        <v>0.2186832271091835</v>
      </c>
      <c r="N451" s="8">
        <v>0</v>
      </c>
      <c r="O451" s="9">
        <v>1</v>
      </c>
      <c r="P451" s="8">
        <v>0</v>
      </c>
      <c r="Q451" s="9">
        <v>0</v>
      </c>
      <c r="R451" s="9">
        <v>1</v>
      </c>
      <c r="S451" s="9">
        <v>0</v>
      </c>
      <c r="T451" s="9">
        <v>0</v>
      </c>
      <c r="U451" s="8">
        <v>1357</v>
      </c>
      <c r="V451" s="9">
        <v>14</v>
      </c>
      <c r="W451" s="9">
        <f t="shared" si="132"/>
        <v>1342</v>
      </c>
      <c r="X451" s="9">
        <f t="shared" si="133"/>
        <v>10</v>
      </c>
      <c r="Y451" s="7">
        <v>12.9</v>
      </c>
      <c r="Z451" s="7">
        <f t="shared" si="123"/>
        <v>19.479700000000001</v>
      </c>
      <c r="AA451" s="9">
        <v>1</v>
      </c>
      <c r="AB451" s="9">
        <v>0</v>
      </c>
      <c r="AC451" s="9">
        <v>0</v>
      </c>
      <c r="AD451" s="9">
        <v>0</v>
      </c>
      <c r="AE451" s="9">
        <v>1</v>
      </c>
      <c r="AF451" s="9">
        <v>0</v>
      </c>
      <c r="AG451" s="8">
        <v>0</v>
      </c>
      <c r="AH451" s="9">
        <v>1</v>
      </c>
      <c r="AI451" s="30">
        <v>0</v>
      </c>
      <c r="AJ451" s="9">
        <v>1</v>
      </c>
      <c r="AK451" s="30">
        <v>0</v>
      </c>
      <c r="AL451" s="21">
        <v>2006</v>
      </c>
      <c r="AM451" s="23">
        <f t="shared" si="134"/>
        <v>7.6038979685218813</v>
      </c>
      <c r="AN451" s="33">
        <v>0</v>
      </c>
      <c r="AO451" s="33">
        <v>7.0000000000000001E-3</v>
      </c>
      <c r="AP451" s="33">
        <f t="shared" si="124"/>
        <v>0.65100000000000002</v>
      </c>
      <c r="AQ451" s="43">
        <v>0.34200000000000003</v>
      </c>
      <c r="AR451" s="42">
        <v>1</v>
      </c>
      <c r="AS451" s="18">
        <v>0</v>
      </c>
      <c r="AT451">
        <v>1</v>
      </c>
      <c r="AU451" s="40">
        <v>0</v>
      </c>
      <c r="AV451" s="39">
        <f t="shared" si="12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0.14599999999999999</v>
      </c>
      <c r="CS451">
        <v>3</v>
      </c>
      <c r="CT451">
        <v>0</v>
      </c>
      <c r="CU451">
        <v>1</v>
      </c>
      <c r="CV451">
        <v>11</v>
      </c>
      <c r="DB451" s="34"/>
    </row>
    <row r="452" spans="1:106" x14ac:dyDescent="0.25">
      <c r="A452">
        <v>451</v>
      </c>
      <c r="B452">
        <v>29</v>
      </c>
      <c r="C452" s="25" t="s">
        <v>9</v>
      </c>
      <c r="D452" s="12">
        <v>5.48</v>
      </c>
      <c r="E452" s="14">
        <v>1.3</v>
      </c>
      <c r="F452" s="7">
        <f t="shared" si="122"/>
        <v>4.2153846153846155</v>
      </c>
      <c r="G452" s="7">
        <f t="shared" si="125"/>
        <v>4.1800000000000006</v>
      </c>
      <c r="H452" s="16">
        <f t="shared" si="126"/>
        <v>6.78</v>
      </c>
      <c r="I452" s="11">
        <f t="shared" si="127"/>
        <v>0.13884365792453493</v>
      </c>
      <c r="J452" s="33">
        <f t="shared" si="128"/>
        <v>3.2937364106185293E-2</v>
      </c>
      <c r="K452" s="33">
        <f t="shared" si="129"/>
        <v>30.360656571550315</v>
      </c>
      <c r="L452" s="33">
        <f t="shared" si="130"/>
        <v>0.10590629381834964</v>
      </c>
      <c r="M452" s="33">
        <f t="shared" si="131"/>
        <v>0.17178102203072021</v>
      </c>
      <c r="N452" s="8">
        <v>0</v>
      </c>
      <c r="O452" s="9">
        <v>1</v>
      </c>
      <c r="P452" s="8">
        <v>0</v>
      </c>
      <c r="Q452" s="9">
        <v>0</v>
      </c>
      <c r="R452" s="9">
        <v>1</v>
      </c>
      <c r="S452" s="9">
        <v>0</v>
      </c>
      <c r="T452" s="9">
        <v>0</v>
      </c>
      <c r="U452" s="8">
        <v>919</v>
      </c>
      <c r="V452" s="9">
        <v>14</v>
      </c>
      <c r="W452" s="9">
        <f t="shared" si="132"/>
        <v>904</v>
      </c>
      <c r="X452" s="9">
        <f t="shared" si="133"/>
        <v>10</v>
      </c>
      <c r="Y452" s="7">
        <v>13.6</v>
      </c>
      <c r="Z452" s="7">
        <f t="shared" si="123"/>
        <v>19.479700000000001</v>
      </c>
      <c r="AA452" s="9">
        <v>1</v>
      </c>
      <c r="AB452" s="9">
        <v>0</v>
      </c>
      <c r="AC452" s="9">
        <v>0</v>
      </c>
      <c r="AD452" s="9">
        <v>0</v>
      </c>
      <c r="AE452" s="9">
        <v>1</v>
      </c>
      <c r="AF452" s="9">
        <v>0</v>
      </c>
      <c r="AG452" s="8">
        <v>0</v>
      </c>
      <c r="AH452" s="9">
        <v>1</v>
      </c>
      <c r="AI452" s="30">
        <v>0</v>
      </c>
      <c r="AJ452" s="9">
        <v>1</v>
      </c>
      <c r="AK452" s="30">
        <v>0</v>
      </c>
      <c r="AL452" s="21">
        <v>2006</v>
      </c>
      <c r="AM452" s="23">
        <f t="shared" si="134"/>
        <v>7.6038979685218813</v>
      </c>
      <c r="AN452" s="33">
        <v>0</v>
      </c>
      <c r="AO452" s="33">
        <v>5.0000000000000001E-3</v>
      </c>
      <c r="AP452" s="33">
        <f t="shared" si="124"/>
        <v>0.51200000000000001</v>
      </c>
      <c r="AQ452" s="43">
        <v>0.48299999999999998</v>
      </c>
      <c r="AR452" s="42">
        <v>1</v>
      </c>
      <c r="AS452" s="18">
        <v>0</v>
      </c>
      <c r="AT452">
        <v>0</v>
      </c>
      <c r="AU452" s="40">
        <v>1</v>
      </c>
      <c r="AV452" s="39">
        <f t="shared" si="12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0.14599999999999999</v>
      </c>
      <c r="CS452">
        <v>3</v>
      </c>
      <c r="CT452">
        <v>0</v>
      </c>
      <c r="CU452">
        <v>1</v>
      </c>
      <c r="CV452">
        <v>11</v>
      </c>
      <c r="DB452" s="34"/>
    </row>
    <row r="453" spans="1:106" x14ac:dyDescent="0.25">
      <c r="A453">
        <v>452</v>
      </c>
      <c r="B453">
        <v>29</v>
      </c>
      <c r="C453" s="25" t="s">
        <v>9</v>
      </c>
      <c r="D453" s="12">
        <v>6</v>
      </c>
      <c r="E453" s="14">
        <v>1.2</v>
      </c>
      <c r="F453" s="7">
        <f t="shared" si="122"/>
        <v>5</v>
      </c>
      <c r="G453" s="7">
        <f t="shared" si="125"/>
        <v>4.8</v>
      </c>
      <c r="H453" s="16">
        <f t="shared" si="126"/>
        <v>7.2</v>
      </c>
      <c r="I453" s="11">
        <f t="shared" si="127"/>
        <v>0.16602227504272984</v>
      </c>
      <c r="J453" s="33">
        <f t="shared" si="128"/>
        <v>3.320445500854597E-2</v>
      </c>
      <c r="K453" s="33">
        <f t="shared" si="129"/>
        <v>30.116440692751194</v>
      </c>
      <c r="L453" s="33">
        <f t="shared" si="130"/>
        <v>0.13281782003418388</v>
      </c>
      <c r="M453" s="33">
        <f t="shared" si="131"/>
        <v>0.19922673005127581</v>
      </c>
      <c r="N453" s="8">
        <v>0</v>
      </c>
      <c r="O453" s="9">
        <v>1</v>
      </c>
      <c r="P453" s="8">
        <v>0</v>
      </c>
      <c r="Q453" s="9">
        <v>0</v>
      </c>
      <c r="R453" s="9">
        <v>1</v>
      </c>
      <c r="S453" s="9">
        <v>0</v>
      </c>
      <c r="T453" s="9">
        <v>0</v>
      </c>
      <c r="U453" s="8">
        <v>897</v>
      </c>
      <c r="V453" s="9">
        <v>14</v>
      </c>
      <c r="W453" s="9">
        <f t="shared" si="132"/>
        <v>882</v>
      </c>
      <c r="X453" s="9">
        <f t="shared" si="133"/>
        <v>10</v>
      </c>
      <c r="Y453" s="7">
        <v>13.3</v>
      </c>
      <c r="Z453" s="7">
        <f t="shared" si="123"/>
        <v>21.712</v>
      </c>
      <c r="AA453" s="9">
        <v>1</v>
      </c>
      <c r="AB453" s="9">
        <v>0</v>
      </c>
      <c r="AC453" s="9">
        <v>0</v>
      </c>
      <c r="AD453" s="9">
        <v>0</v>
      </c>
      <c r="AE453" s="9">
        <v>1</v>
      </c>
      <c r="AF453" s="9">
        <v>0</v>
      </c>
      <c r="AG453" s="8">
        <v>0</v>
      </c>
      <c r="AH453" s="9">
        <v>1</v>
      </c>
      <c r="AI453" s="30">
        <v>0</v>
      </c>
      <c r="AJ453" s="9">
        <v>1</v>
      </c>
      <c r="AK453" s="30">
        <v>0</v>
      </c>
      <c r="AL453" s="21">
        <v>2006</v>
      </c>
      <c r="AM453" s="23">
        <f t="shared" si="134"/>
        <v>7.6038979685218813</v>
      </c>
      <c r="AN453" s="33">
        <v>0</v>
      </c>
      <c r="AO453" s="33">
        <v>8.0000000000000002E-3</v>
      </c>
      <c r="AP453" s="33">
        <f t="shared" si="124"/>
        <v>0.56800000000000006</v>
      </c>
      <c r="AQ453" s="43">
        <v>0.42399999999999999</v>
      </c>
      <c r="AR453" s="42">
        <v>1</v>
      </c>
      <c r="AS453" s="18">
        <v>0</v>
      </c>
      <c r="AT453">
        <v>1</v>
      </c>
      <c r="AU453" s="40">
        <v>0</v>
      </c>
      <c r="AV453" s="39">
        <f t="shared" si="12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0.14599999999999999</v>
      </c>
      <c r="CS453">
        <v>3</v>
      </c>
      <c r="CT453">
        <v>0</v>
      </c>
      <c r="CU453">
        <v>1</v>
      </c>
      <c r="CV453">
        <v>11</v>
      </c>
      <c r="DB453" s="34"/>
    </row>
    <row r="454" spans="1:106" s="51" customFormat="1" x14ac:dyDescent="0.25">
      <c r="A454" s="51">
        <v>453</v>
      </c>
      <c r="B454" s="51">
        <v>29</v>
      </c>
      <c r="C454" s="52" t="s">
        <v>9</v>
      </c>
      <c r="D454" s="53">
        <v>6.29</v>
      </c>
      <c r="E454" s="54">
        <v>1.6</v>
      </c>
      <c r="F454" s="55">
        <f t="shared" si="122"/>
        <v>3.9312499999999999</v>
      </c>
      <c r="G454" s="55">
        <f t="shared" si="125"/>
        <v>4.6899999999999995</v>
      </c>
      <c r="H454" s="56">
        <f t="shared" si="126"/>
        <v>7.8900000000000006</v>
      </c>
      <c r="I454" s="57">
        <f t="shared" si="127"/>
        <v>0.14555646222812504</v>
      </c>
      <c r="J454" s="58">
        <f t="shared" si="128"/>
        <v>3.7025491186804461E-2</v>
      </c>
      <c r="K454" s="58">
        <f t="shared" si="129"/>
        <v>27.008419549512706</v>
      </c>
      <c r="L454" s="58">
        <f t="shared" si="130"/>
        <v>0.10853097104132059</v>
      </c>
      <c r="M454" s="58">
        <f t="shared" si="131"/>
        <v>0.1825819534149295</v>
      </c>
      <c r="N454" s="59">
        <v>0</v>
      </c>
      <c r="O454" s="60">
        <v>1</v>
      </c>
      <c r="P454" s="59">
        <v>0</v>
      </c>
      <c r="Q454" s="60">
        <v>0</v>
      </c>
      <c r="R454" s="60">
        <v>1</v>
      </c>
      <c r="S454" s="60">
        <v>0</v>
      </c>
      <c r="T454" s="60">
        <v>0</v>
      </c>
      <c r="U454" s="59">
        <v>729</v>
      </c>
      <c r="V454" s="60">
        <v>14</v>
      </c>
      <c r="W454" s="60">
        <f t="shared" si="132"/>
        <v>714</v>
      </c>
      <c r="X454" s="60">
        <f t="shared" si="133"/>
        <v>10</v>
      </c>
      <c r="Y454" s="55">
        <v>14</v>
      </c>
      <c r="Z454" s="55">
        <f t="shared" si="123"/>
        <v>22.378</v>
      </c>
      <c r="AA454" s="60">
        <v>1</v>
      </c>
      <c r="AB454" s="60">
        <v>0</v>
      </c>
      <c r="AC454" s="60">
        <v>0</v>
      </c>
      <c r="AD454" s="60">
        <v>0</v>
      </c>
      <c r="AE454" s="60">
        <v>1</v>
      </c>
      <c r="AF454" s="60">
        <v>0</v>
      </c>
      <c r="AG454" s="59">
        <v>0</v>
      </c>
      <c r="AH454" s="60">
        <v>1</v>
      </c>
      <c r="AI454" s="61">
        <v>0</v>
      </c>
      <c r="AJ454" s="60">
        <v>1</v>
      </c>
      <c r="AK454" s="61">
        <v>0</v>
      </c>
      <c r="AL454" s="62">
        <v>2006</v>
      </c>
      <c r="AM454" s="63">
        <f t="shared" si="134"/>
        <v>7.6038979685218813</v>
      </c>
      <c r="AN454" s="58">
        <v>0</v>
      </c>
      <c r="AO454" s="58">
        <v>3.0000000000000001E-3</v>
      </c>
      <c r="AP454" s="58">
        <f t="shared" si="124"/>
        <v>0.43899999999999995</v>
      </c>
      <c r="AQ454" s="64">
        <v>0.55800000000000005</v>
      </c>
      <c r="AR454" s="65">
        <v>1</v>
      </c>
      <c r="AS454" s="66">
        <v>0</v>
      </c>
      <c r="AT454" s="51">
        <v>0</v>
      </c>
      <c r="AU454" s="67">
        <v>1</v>
      </c>
      <c r="AV454" s="69">
        <f t="shared" si="12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0.14599999999999999</v>
      </c>
      <c r="CS454">
        <v>3</v>
      </c>
      <c r="CT454">
        <v>0</v>
      </c>
      <c r="CU454">
        <v>1</v>
      </c>
      <c r="CV454">
        <v>11</v>
      </c>
      <c r="CW454" s="68"/>
      <c r="DB454" s="68"/>
    </row>
    <row r="455" spans="1:106" x14ac:dyDescent="0.25">
      <c r="A455">
        <v>454</v>
      </c>
      <c r="B455">
        <v>30</v>
      </c>
      <c r="C455" s="25" t="s">
        <v>318</v>
      </c>
      <c r="D455" s="12">
        <v>14.7</v>
      </c>
      <c r="E455" s="14">
        <f t="shared" ref="E455:E482" si="135">D455/F455</f>
        <v>0.8207705192629815</v>
      </c>
      <c r="F455" s="7">
        <v>17.91</v>
      </c>
      <c r="G455" s="7">
        <f t="shared" si="125"/>
        <v>13.879229480737017</v>
      </c>
      <c r="H455" s="16">
        <f t="shared" si="126"/>
        <v>15.520770519262982</v>
      </c>
      <c r="I455" s="11">
        <f t="shared" si="127"/>
        <v>0.42346601809461165</v>
      </c>
      <c r="J455" s="33">
        <f t="shared" si="128"/>
        <v>2.3644110446376973E-2</v>
      </c>
      <c r="K455" s="33">
        <f t="shared" si="129"/>
        <v>42.2938305193559</v>
      </c>
      <c r="L455" s="33">
        <f t="shared" si="130"/>
        <v>0.39982190764823466</v>
      </c>
      <c r="M455" s="33">
        <f t="shared" si="131"/>
        <v>0.44711012854098864</v>
      </c>
      <c r="N455" s="8">
        <v>0</v>
      </c>
      <c r="O455" s="9">
        <v>1</v>
      </c>
      <c r="P455" s="8">
        <v>0</v>
      </c>
      <c r="Q455" s="9">
        <v>1</v>
      </c>
      <c r="R455" s="9">
        <v>0</v>
      </c>
      <c r="S455" s="9">
        <v>0</v>
      </c>
      <c r="T455" s="9">
        <v>0</v>
      </c>
      <c r="U455" s="8">
        <v>1476</v>
      </c>
      <c r="V455" s="9">
        <v>7</v>
      </c>
      <c r="W455" s="9">
        <f t="shared" si="132"/>
        <v>1468</v>
      </c>
      <c r="X455" s="9">
        <f t="shared" si="133"/>
        <v>12</v>
      </c>
      <c r="Y455" s="7">
        <v>9</v>
      </c>
      <c r="Z455" s="7">
        <v>10.6</v>
      </c>
      <c r="AA455" s="9">
        <v>1</v>
      </c>
      <c r="AB455" s="9">
        <v>0</v>
      </c>
      <c r="AC455" s="9">
        <v>1</v>
      </c>
      <c r="AD455" s="9">
        <v>0</v>
      </c>
      <c r="AE455" s="9">
        <v>0</v>
      </c>
      <c r="AF455" s="9">
        <v>0</v>
      </c>
      <c r="AG455" s="8">
        <v>0</v>
      </c>
      <c r="AH455" s="9">
        <v>1</v>
      </c>
      <c r="AI455" s="30">
        <v>0</v>
      </c>
      <c r="AJ455" s="9">
        <v>0</v>
      </c>
      <c r="AK455" s="30">
        <v>1</v>
      </c>
      <c r="AL455" s="21">
        <v>1995</v>
      </c>
      <c r="AM455" s="23">
        <f t="shared" si="134"/>
        <v>7.5983993293239642</v>
      </c>
      <c r="AN455" s="33" t="s">
        <v>104</v>
      </c>
      <c r="AO455" s="33" t="s">
        <v>104</v>
      </c>
      <c r="AP455" s="33" t="s">
        <v>104</v>
      </c>
      <c r="AQ455" s="43" t="s">
        <v>104</v>
      </c>
      <c r="AR455" s="42">
        <v>1</v>
      </c>
      <c r="AS455" s="18">
        <v>0</v>
      </c>
      <c r="AT455" s="39">
        <f t="shared" ref="AT455:AT466" si="136">1-AU455</f>
        <v>0.63200000000000001</v>
      </c>
      <c r="AU455" s="40">
        <v>0.36799999999999999</v>
      </c>
      <c r="AV455" s="39">
        <f t="shared" si="12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9</v>
      </c>
      <c r="DB455" s="34"/>
    </row>
    <row r="456" spans="1:106" x14ac:dyDescent="0.25">
      <c r="A456">
        <v>455</v>
      </c>
      <c r="B456">
        <v>30</v>
      </c>
      <c r="C456" s="25" t="s">
        <v>318</v>
      </c>
      <c r="D456" s="12">
        <v>19.3</v>
      </c>
      <c r="E456" s="14">
        <f t="shared" si="135"/>
        <v>1.2363869314541962</v>
      </c>
      <c r="F456" s="7">
        <v>15.61</v>
      </c>
      <c r="G456" s="7">
        <f t="shared" si="125"/>
        <v>18.063613068545806</v>
      </c>
      <c r="H456" s="16">
        <f t="shared" si="126"/>
        <v>20.536386931454196</v>
      </c>
      <c r="I456" s="11">
        <f t="shared" si="127"/>
        <v>0.37730504926893033</v>
      </c>
      <c r="J456" s="33">
        <f t="shared" si="128"/>
        <v>2.4170727051180674E-2</v>
      </c>
      <c r="K456" s="33">
        <f t="shared" si="129"/>
        <v>41.372359130221227</v>
      </c>
      <c r="L456" s="33">
        <f t="shared" si="130"/>
        <v>0.35313432221774965</v>
      </c>
      <c r="M456" s="33">
        <f t="shared" si="131"/>
        <v>0.401475776320111</v>
      </c>
      <c r="N456" s="8">
        <v>0</v>
      </c>
      <c r="O456" s="9">
        <v>1</v>
      </c>
      <c r="P456" s="8">
        <v>0</v>
      </c>
      <c r="Q456" s="9">
        <v>1</v>
      </c>
      <c r="R456" s="9">
        <v>0</v>
      </c>
      <c r="S456" s="9">
        <v>0</v>
      </c>
      <c r="T456" s="9">
        <v>0</v>
      </c>
      <c r="U456" s="8">
        <v>1476</v>
      </c>
      <c r="V456" s="9">
        <v>7</v>
      </c>
      <c r="W456" s="9">
        <f t="shared" si="132"/>
        <v>1468</v>
      </c>
      <c r="X456" s="9">
        <f t="shared" si="133"/>
        <v>12</v>
      </c>
      <c r="Y456" s="7">
        <v>9</v>
      </c>
      <c r="Z456" s="7">
        <v>10.6</v>
      </c>
      <c r="AA456" s="9">
        <v>1</v>
      </c>
      <c r="AB456" s="9">
        <v>0</v>
      </c>
      <c r="AC456" s="9">
        <v>1</v>
      </c>
      <c r="AD456" s="9">
        <v>0</v>
      </c>
      <c r="AE456" s="9">
        <v>0</v>
      </c>
      <c r="AF456" s="9">
        <v>0</v>
      </c>
      <c r="AG456" s="8">
        <v>0</v>
      </c>
      <c r="AH456" s="9">
        <v>1</v>
      </c>
      <c r="AI456" s="30">
        <v>0</v>
      </c>
      <c r="AJ456" s="9">
        <v>0</v>
      </c>
      <c r="AK456" s="30">
        <v>1</v>
      </c>
      <c r="AL456" s="21">
        <v>1995</v>
      </c>
      <c r="AM456" s="23">
        <f t="shared" si="134"/>
        <v>7.5983993293239642</v>
      </c>
      <c r="AN456" s="33" t="s">
        <v>104</v>
      </c>
      <c r="AO456" s="33" t="s">
        <v>104</v>
      </c>
      <c r="AP456" s="33" t="s">
        <v>104</v>
      </c>
      <c r="AQ456" s="43" t="s">
        <v>104</v>
      </c>
      <c r="AR456" s="42">
        <v>1</v>
      </c>
      <c r="AS456" s="18">
        <v>0</v>
      </c>
      <c r="AT456" s="39">
        <f t="shared" si="136"/>
        <v>0.63200000000000001</v>
      </c>
      <c r="AU456" s="40">
        <v>0.36799999999999999</v>
      </c>
      <c r="AV456" s="39">
        <f t="shared" si="12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9</v>
      </c>
      <c r="DB456" s="34"/>
    </row>
    <row r="457" spans="1:106" x14ac:dyDescent="0.25">
      <c r="A457">
        <v>456</v>
      </c>
      <c r="B457">
        <v>30</v>
      </c>
      <c r="C457" s="25" t="s">
        <v>318</v>
      </c>
      <c r="D457" s="12">
        <v>18.899999999999999</v>
      </c>
      <c r="E457" s="14">
        <f t="shared" si="135"/>
        <v>0.84074733096085397</v>
      </c>
      <c r="F457" s="7">
        <v>22.48</v>
      </c>
      <c r="G457" s="7">
        <f t="shared" si="125"/>
        <v>18.059252669039143</v>
      </c>
      <c r="H457" s="16">
        <f t="shared" si="126"/>
        <v>19.740747330960854</v>
      </c>
      <c r="I457" s="11">
        <f t="shared" si="127"/>
        <v>0.50605090150970966</v>
      </c>
      <c r="J457" s="33">
        <f t="shared" si="128"/>
        <v>2.2511161099186373E-2</v>
      </c>
      <c r="K457" s="33">
        <f t="shared" si="129"/>
        <v>44.42240875954387</v>
      </c>
      <c r="L457" s="33">
        <f t="shared" si="130"/>
        <v>0.48353974041052328</v>
      </c>
      <c r="M457" s="33">
        <f t="shared" si="131"/>
        <v>0.52856206260889604</v>
      </c>
      <c r="N457" s="8">
        <v>0</v>
      </c>
      <c r="O457" s="9">
        <v>1</v>
      </c>
      <c r="P457" s="8">
        <v>0</v>
      </c>
      <c r="Q457" s="9">
        <v>1</v>
      </c>
      <c r="R457" s="9">
        <v>0</v>
      </c>
      <c r="S457" s="9">
        <v>0</v>
      </c>
      <c r="T457" s="9">
        <v>0</v>
      </c>
      <c r="U457" s="8">
        <v>1476</v>
      </c>
      <c r="V457" s="9">
        <v>7</v>
      </c>
      <c r="W457" s="9">
        <f t="shared" si="132"/>
        <v>1468</v>
      </c>
      <c r="X457" s="9">
        <f t="shared" si="133"/>
        <v>12</v>
      </c>
      <c r="Y457" s="7">
        <v>9</v>
      </c>
      <c r="Z457" s="7">
        <v>10.6</v>
      </c>
      <c r="AA457" s="9">
        <v>1</v>
      </c>
      <c r="AB457" s="9">
        <v>0</v>
      </c>
      <c r="AC457" s="9">
        <v>1</v>
      </c>
      <c r="AD457" s="9">
        <v>0</v>
      </c>
      <c r="AE457" s="9">
        <v>0</v>
      </c>
      <c r="AF457" s="9">
        <v>0</v>
      </c>
      <c r="AG457" s="8">
        <v>0</v>
      </c>
      <c r="AH457" s="9">
        <v>1</v>
      </c>
      <c r="AI457" s="30">
        <v>0</v>
      </c>
      <c r="AJ457" s="9">
        <v>0</v>
      </c>
      <c r="AK457" s="30">
        <v>1</v>
      </c>
      <c r="AL457" s="21">
        <v>1995</v>
      </c>
      <c r="AM457" s="23">
        <f t="shared" si="134"/>
        <v>7.5983993293239642</v>
      </c>
      <c r="AN457" s="33" t="s">
        <v>104</v>
      </c>
      <c r="AO457" s="33" t="s">
        <v>104</v>
      </c>
      <c r="AP457" s="33" t="s">
        <v>104</v>
      </c>
      <c r="AQ457" s="43" t="s">
        <v>104</v>
      </c>
      <c r="AR457" s="42">
        <v>1</v>
      </c>
      <c r="AS457" s="18">
        <v>0</v>
      </c>
      <c r="AT457" s="39">
        <f t="shared" si="136"/>
        <v>0.63200000000000001</v>
      </c>
      <c r="AU457" s="40">
        <v>0.36799999999999999</v>
      </c>
      <c r="AV457" s="39">
        <f t="shared" si="12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9</v>
      </c>
      <c r="DB457" s="34"/>
    </row>
    <row r="458" spans="1:106" x14ac:dyDescent="0.25">
      <c r="A458">
        <v>457</v>
      </c>
      <c r="B458">
        <v>30</v>
      </c>
      <c r="C458" s="25" t="s">
        <v>318</v>
      </c>
      <c r="D458" s="12">
        <v>15.2</v>
      </c>
      <c r="E458" s="14">
        <f t="shared" si="135"/>
        <v>0.58800773694390707</v>
      </c>
      <c r="F458" s="7">
        <v>25.85</v>
      </c>
      <c r="G458" s="7">
        <f t="shared" si="125"/>
        <v>14.611992263056091</v>
      </c>
      <c r="H458" s="16">
        <f t="shared" si="126"/>
        <v>15.788007736943907</v>
      </c>
      <c r="I458" s="11">
        <f t="shared" si="127"/>
        <v>0.55929032276646651</v>
      </c>
      <c r="J458" s="33">
        <f t="shared" si="128"/>
        <v>2.1635989275298514E-2</v>
      </c>
      <c r="K458" s="33">
        <f t="shared" si="129"/>
        <v>46.219287099651368</v>
      </c>
      <c r="L458" s="33">
        <f t="shared" si="130"/>
        <v>0.53765433349116798</v>
      </c>
      <c r="M458" s="33">
        <f t="shared" si="131"/>
        <v>0.58092631204176504</v>
      </c>
      <c r="N458" s="8">
        <v>0</v>
      </c>
      <c r="O458" s="9">
        <v>1</v>
      </c>
      <c r="P458" s="8">
        <v>0</v>
      </c>
      <c r="Q458" s="9">
        <v>1</v>
      </c>
      <c r="R458" s="9">
        <v>0</v>
      </c>
      <c r="S458" s="9">
        <v>0</v>
      </c>
      <c r="T458" s="9">
        <v>0</v>
      </c>
      <c r="U458" s="8">
        <v>1476</v>
      </c>
      <c r="V458" s="9">
        <v>7</v>
      </c>
      <c r="W458" s="9">
        <f t="shared" si="132"/>
        <v>1468</v>
      </c>
      <c r="X458" s="9">
        <f t="shared" si="133"/>
        <v>12</v>
      </c>
      <c r="Y458" s="7">
        <v>9</v>
      </c>
      <c r="Z458" s="7">
        <v>10.6</v>
      </c>
      <c r="AA458" s="9">
        <v>1</v>
      </c>
      <c r="AB458" s="9">
        <v>0</v>
      </c>
      <c r="AC458" s="9">
        <v>1</v>
      </c>
      <c r="AD458" s="9">
        <v>0</v>
      </c>
      <c r="AE458" s="9">
        <v>0</v>
      </c>
      <c r="AF458" s="9">
        <v>0</v>
      </c>
      <c r="AG458" s="8">
        <v>0</v>
      </c>
      <c r="AH458" s="9">
        <v>1</v>
      </c>
      <c r="AI458" s="30">
        <v>0</v>
      </c>
      <c r="AJ458" s="9">
        <v>0</v>
      </c>
      <c r="AK458" s="30">
        <v>1</v>
      </c>
      <c r="AL458" s="21">
        <v>1995</v>
      </c>
      <c r="AM458" s="23">
        <f t="shared" si="134"/>
        <v>7.5983993293239642</v>
      </c>
      <c r="AN458" s="33" t="s">
        <v>104</v>
      </c>
      <c r="AO458" s="33" t="s">
        <v>104</v>
      </c>
      <c r="AP458" s="33" t="s">
        <v>104</v>
      </c>
      <c r="AQ458" s="43" t="s">
        <v>104</v>
      </c>
      <c r="AR458" s="42">
        <v>1</v>
      </c>
      <c r="AS458" s="18">
        <v>0</v>
      </c>
      <c r="AT458" s="39">
        <f t="shared" si="136"/>
        <v>0.63200000000000001</v>
      </c>
      <c r="AU458" s="40">
        <v>0.36799999999999999</v>
      </c>
      <c r="AV458" s="39">
        <f t="shared" si="12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9</v>
      </c>
      <c r="DB458" s="34"/>
    </row>
    <row r="459" spans="1:106" x14ac:dyDescent="0.25">
      <c r="A459">
        <v>458</v>
      </c>
      <c r="B459">
        <v>30</v>
      </c>
      <c r="C459" s="25" t="s">
        <v>318</v>
      </c>
      <c r="D459" s="12">
        <v>12.1</v>
      </c>
      <c r="E459" s="14">
        <f t="shared" si="135"/>
        <v>0.57318806252960686</v>
      </c>
      <c r="F459" s="7">
        <v>21.11</v>
      </c>
      <c r="G459" s="7">
        <f t="shared" si="125"/>
        <v>11.526811937470393</v>
      </c>
      <c r="H459" s="16">
        <f t="shared" si="126"/>
        <v>12.673188062529606</v>
      </c>
      <c r="I459" s="11">
        <f t="shared" si="127"/>
        <v>0.48256854443850716</v>
      </c>
      <c r="J459" s="33">
        <f t="shared" si="128"/>
        <v>2.2859713142515736E-2</v>
      </c>
      <c r="K459" s="33">
        <f t="shared" si="129"/>
        <v>43.745080866309983</v>
      </c>
      <c r="L459" s="33">
        <f t="shared" si="130"/>
        <v>0.45970883129599144</v>
      </c>
      <c r="M459" s="33">
        <f t="shared" si="131"/>
        <v>0.50542825758102294</v>
      </c>
      <c r="N459" s="8">
        <v>0</v>
      </c>
      <c r="O459" s="9">
        <v>1</v>
      </c>
      <c r="P459" s="8">
        <v>0</v>
      </c>
      <c r="Q459" s="9">
        <v>1</v>
      </c>
      <c r="R459" s="9">
        <v>0</v>
      </c>
      <c r="S459" s="9">
        <v>0</v>
      </c>
      <c r="T459" s="9">
        <v>0</v>
      </c>
      <c r="U459" s="8">
        <v>1476</v>
      </c>
      <c r="V459" s="9">
        <v>7</v>
      </c>
      <c r="W459" s="9">
        <f t="shared" si="132"/>
        <v>1468</v>
      </c>
      <c r="X459" s="9">
        <f t="shared" si="133"/>
        <v>12</v>
      </c>
      <c r="Y459" s="7">
        <v>9</v>
      </c>
      <c r="Z459" s="7">
        <v>10.6</v>
      </c>
      <c r="AA459" s="9">
        <v>1</v>
      </c>
      <c r="AB459" s="9">
        <v>0</v>
      </c>
      <c r="AC459" s="9">
        <v>1</v>
      </c>
      <c r="AD459" s="9">
        <v>0</v>
      </c>
      <c r="AE459" s="9">
        <v>0</v>
      </c>
      <c r="AF459" s="9">
        <v>0</v>
      </c>
      <c r="AG459" s="8">
        <v>0</v>
      </c>
      <c r="AH459" s="9">
        <v>1</v>
      </c>
      <c r="AI459" s="30">
        <v>0</v>
      </c>
      <c r="AJ459" s="9">
        <v>0</v>
      </c>
      <c r="AK459" s="30">
        <v>1</v>
      </c>
      <c r="AL459" s="21">
        <v>1995</v>
      </c>
      <c r="AM459" s="23">
        <f t="shared" si="134"/>
        <v>7.5983993293239642</v>
      </c>
      <c r="AN459" s="33" t="s">
        <v>104</v>
      </c>
      <c r="AO459" s="33" t="s">
        <v>104</v>
      </c>
      <c r="AP459" s="33" t="s">
        <v>104</v>
      </c>
      <c r="AQ459" s="43" t="s">
        <v>104</v>
      </c>
      <c r="AR459" s="42">
        <v>1</v>
      </c>
      <c r="AS459" s="18">
        <v>0</v>
      </c>
      <c r="AT459" s="39">
        <f t="shared" si="136"/>
        <v>0.63200000000000001</v>
      </c>
      <c r="AU459" s="40">
        <v>0.36799999999999999</v>
      </c>
      <c r="AV459" s="39">
        <f t="shared" si="12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9</v>
      </c>
      <c r="DB459" s="34"/>
    </row>
    <row r="460" spans="1:106" x14ac:dyDescent="0.25">
      <c r="A460">
        <v>459</v>
      </c>
      <c r="B460">
        <v>30</v>
      </c>
      <c r="C460" s="25" t="s">
        <v>318</v>
      </c>
      <c r="D460" s="12">
        <v>10.9</v>
      </c>
      <c r="E460" s="14">
        <f t="shared" si="135"/>
        <v>1.0976837865055389</v>
      </c>
      <c r="F460" s="7">
        <v>9.93</v>
      </c>
      <c r="G460" s="7">
        <f t="shared" si="125"/>
        <v>9.8023162134944606</v>
      </c>
      <c r="H460" s="16">
        <f t="shared" si="126"/>
        <v>11.99768378650554</v>
      </c>
      <c r="I460" s="11">
        <f t="shared" si="127"/>
        <v>0.25088200291266882</v>
      </c>
      <c r="J460" s="33">
        <f t="shared" si="128"/>
        <v>2.5265055681034123E-2</v>
      </c>
      <c r="K460" s="33">
        <f t="shared" si="129"/>
        <v>39.580360028680886</v>
      </c>
      <c r="L460" s="33">
        <f t="shared" si="130"/>
        <v>0.2256169472316347</v>
      </c>
      <c r="M460" s="33">
        <f t="shared" si="131"/>
        <v>0.27614705859370292</v>
      </c>
      <c r="N460" s="8">
        <v>0</v>
      </c>
      <c r="O460" s="9">
        <v>1</v>
      </c>
      <c r="P460" s="8">
        <v>0</v>
      </c>
      <c r="Q460" s="9">
        <v>1</v>
      </c>
      <c r="R460" s="9">
        <v>0</v>
      </c>
      <c r="S460" s="9">
        <v>0</v>
      </c>
      <c r="T460" s="9">
        <v>0</v>
      </c>
      <c r="U460" s="8">
        <v>1476</v>
      </c>
      <c r="V460" s="9">
        <v>7</v>
      </c>
      <c r="W460" s="9">
        <f t="shared" si="132"/>
        <v>1468</v>
      </c>
      <c r="X460" s="9">
        <f t="shared" si="133"/>
        <v>12</v>
      </c>
      <c r="Y460" s="7">
        <v>9</v>
      </c>
      <c r="Z460" s="7">
        <v>10.6</v>
      </c>
      <c r="AA460" s="9">
        <v>1</v>
      </c>
      <c r="AB460" s="9">
        <v>0</v>
      </c>
      <c r="AC460" s="9">
        <v>1</v>
      </c>
      <c r="AD460" s="9">
        <v>0</v>
      </c>
      <c r="AE460" s="9">
        <v>0</v>
      </c>
      <c r="AF460" s="9">
        <v>0</v>
      </c>
      <c r="AG460" s="8">
        <v>0</v>
      </c>
      <c r="AH460" s="9">
        <v>1</v>
      </c>
      <c r="AI460" s="30">
        <v>0</v>
      </c>
      <c r="AJ460" s="9">
        <v>0</v>
      </c>
      <c r="AK460" s="30">
        <v>1</v>
      </c>
      <c r="AL460" s="21">
        <v>1995</v>
      </c>
      <c r="AM460" s="23">
        <f t="shared" si="134"/>
        <v>7.5983993293239642</v>
      </c>
      <c r="AN460" s="33" t="s">
        <v>104</v>
      </c>
      <c r="AO460" s="33" t="s">
        <v>104</v>
      </c>
      <c r="AP460" s="33" t="s">
        <v>104</v>
      </c>
      <c r="AQ460" s="43" t="s">
        <v>104</v>
      </c>
      <c r="AR460" s="42">
        <v>1</v>
      </c>
      <c r="AS460" s="18">
        <v>0</v>
      </c>
      <c r="AT460" s="39">
        <f t="shared" si="136"/>
        <v>0.63200000000000001</v>
      </c>
      <c r="AU460" s="40">
        <v>0.36799999999999999</v>
      </c>
      <c r="AV460" s="39">
        <f t="shared" si="12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9</v>
      </c>
      <c r="DB460" s="34"/>
    </row>
    <row r="461" spans="1:106" x14ac:dyDescent="0.25">
      <c r="A461">
        <v>460</v>
      </c>
      <c r="B461">
        <v>30</v>
      </c>
      <c r="C461" s="25" t="s">
        <v>318</v>
      </c>
      <c r="D461" s="12">
        <v>13.7</v>
      </c>
      <c r="E461" s="14">
        <f t="shared" si="135"/>
        <v>3.3171912832929782</v>
      </c>
      <c r="F461" s="7">
        <v>4.13</v>
      </c>
      <c r="G461" s="7">
        <f t="shared" si="125"/>
        <v>10.382808716707022</v>
      </c>
      <c r="H461" s="16">
        <f t="shared" si="126"/>
        <v>17.017191283292977</v>
      </c>
      <c r="I461" s="11">
        <f t="shared" si="127"/>
        <v>0.10717130145140812</v>
      </c>
      <c r="J461" s="33">
        <f t="shared" si="128"/>
        <v>2.5949467663779209E-2</v>
      </c>
      <c r="K461" s="33">
        <f t="shared" si="129"/>
        <v>38.536436005422189</v>
      </c>
      <c r="L461" s="33">
        <f t="shared" si="130"/>
        <v>8.12218337876289E-2</v>
      </c>
      <c r="M461" s="33">
        <f t="shared" si="131"/>
        <v>0.13312076911518733</v>
      </c>
      <c r="N461" s="8">
        <v>0</v>
      </c>
      <c r="O461" s="9">
        <v>1</v>
      </c>
      <c r="P461" s="8">
        <v>0</v>
      </c>
      <c r="Q461" s="9">
        <v>1</v>
      </c>
      <c r="R461" s="9">
        <v>0</v>
      </c>
      <c r="S461" s="9">
        <v>0</v>
      </c>
      <c r="T461" s="9">
        <v>0</v>
      </c>
      <c r="U461" s="8">
        <v>1476</v>
      </c>
      <c r="V461" s="9">
        <v>7</v>
      </c>
      <c r="W461" s="9">
        <f t="shared" si="132"/>
        <v>1468</v>
      </c>
      <c r="X461" s="9">
        <f t="shared" si="133"/>
        <v>12</v>
      </c>
      <c r="Y461" s="7">
        <v>9</v>
      </c>
      <c r="Z461" s="7">
        <v>10.6</v>
      </c>
      <c r="AA461" s="9">
        <v>1</v>
      </c>
      <c r="AB461" s="9">
        <v>0</v>
      </c>
      <c r="AC461" s="9">
        <v>1</v>
      </c>
      <c r="AD461" s="9">
        <v>0</v>
      </c>
      <c r="AE461" s="9">
        <v>0</v>
      </c>
      <c r="AF461" s="9">
        <v>0</v>
      </c>
      <c r="AG461" s="8">
        <v>0</v>
      </c>
      <c r="AH461" s="9">
        <v>1</v>
      </c>
      <c r="AI461" s="30">
        <v>0</v>
      </c>
      <c r="AJ461" s="9">
        <v>0</v>
      </c>
      <c r="AK461" s="30">
        <v>1</v>
      </c>
      <c r="AL461" s="21">
        <v>1995</v>
      </c>
      <c r="AM461" s="23">
        <f t="shared" si="134"/>
        <v>7.5983993293239642</v>
      </c>
      <c r="AN461" s="33" t="s">
        <v>104</v>
      </c>
      <c r="AO461" s="33" t="s">
        <v>104</v>
      </c>
      <c r="AP461" s="33" t="s">
        <v>104</v>
      </c>
      <c r="AQ461" s="43" t="s">
        <v>104</v>
      </c>
      <c r="AR461" s="42">
        <v>1</v>
      </c>
      <c r="AS461" s="18">
        <v>0</v>
      </c>
      <c r="AT461" s="39">
        <f t="shared" si="136"/>
        <v>0.63200000000000001</v>
      </c>
      <c r="AU461" s="40">
        <v>0.36799999999999999</v>
      </c>
      <c r="AV461" s="39">
        <f t="shared" si="12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9</v>
      </c>
      <c r="DB461" s="34"/>
    </row>
    <row r="462" spans="1:106" x14ac:dyDescent="0.25">
      <c r="A462">
        <v>461</v>
      </c>
      <c r="B462">
        <v>30</v>
      </c>
      <c r="C462" s="25" t="s">
        <v>318</v>
      </c>
      <c r="D462" s="12">
        <v>12.6</v>
      </c>
      <c r="E462" s="14">
        <f t="shared" si="135"/>
        <v>5.25</v>
      </c>
      <c r="F462" s="7">
        <v>2.4</v>
      </c>
      <c r="G462" s="7">
        <f t="shared" si="125"/>
        <v>7.35</v>
      </c>
      <c r="H462" s="16">
        <f t="shared" si="126"/>
        <v>17.850000000000001</v>
      </c>
      <c r="I462" s="11">
        <f t="shared" si="127"/>
        <v>6.2516961111875644E-2</v>
      </c>
      <c r="J462" s="33">
        <f t="shared" si="128"/>
        <v>2.6048733796614851E-2</v>
      </c>
      <c r="K462" s="33">
        <f t="shared" si="129"/>
        <v>38.389581920099104</v>
      </c>
      <c r="L462" s="33">
        <f t="shared" si="130"/>
        <v>3.6468227315260796E-2</v>
      </c>
      <c r="M462" s="33">
        <f t="shared" si="131"/>
        <v>8.8565694908490492E-2</v>
      </c>
      <c r="N462" s="8">
        <v>0</v>
      </c>
      <c r="O462" s="9">
        <v>1</v>
      </c>
      <c r="P462" s="8">
        <v>0</v>
      </c>
      <c r="Q462" s="9">
        <v>1</v>
      </c>
      <c r="R462" s="9">
        <v>0</v>
      </c>
      <c r="S462" s="9">
        <v>0</v>
      </c>
      <c r="T462" s="9">
        <v>0</v>
      </c>
      <c r="U462" s="8">
        <v>1476</v>
      </c>
      <c r="V462" s="9">
        <v>7</v>
      </c>
      <c r="W462" s="9">
        <f t="shared" si="132"/>
        <v>1468</v>
      </c>
      <c r="X462" s="9">
        <f t="shared" si="133"/>
        <v>12</v>
      </c>
      <c r="Y462" s="7">
        <v>9</v>
      </c>
      <c r="Z462" s="7">
        <v>10.6</v>
      </c>
      <c r="AA462" s="9">
        <v>1</v>
      </c>
      <c r="AB462" s="9">
        <v>0</v>
      </c>
      <c r="AC462" s="9">
        <v>1</v>
      </c>
      <c r="AD462" s="9">
        <v>0</v>
      </c>
      <c r="AE462" s="9">
        <v>0</v>
      </c>
      <c r="AF462" s="9">
        <v>0</v>
      </c>
      <c r="AG462" s="8">
        <v>0</v>
      </c>
      <c r="AH462" s="9">
        <v>1</v>
      </c>
      <c r="AI462" s="30">
        <v>0</v>
      </c>
      <c r="AJ462" s="9">
        <v>0</v>
      </c>
      <c r="AK462" s="30">
        <v>1</v>
      </c>
      <c r="AL462" s="21">
        <v>1995</v>
      </c>
      <c r="AM462" s="23">
        <f t="shared" si="134"/>
        <v>7.5983993293239642</v>
      </c>
      <c r="AN462" s="33" t="s">
        <v>104</v>
      </c>
      <c r="AO462" s="33" t="s">
        <v>104</v>
      </c>
      <c r="AP462" s="33" t="s">
        <v>104</v>
      </c>
      <c r="AQ462" s="43" t="s">
        <v>104</v>
      </c>
      <c r="AR462" s="42">
        <v>1</v>
      </c>
      <c r="AS462" s="18">
        <v>0</v>
      </c>
      <c r="AT462" s="39">
        <f t="shared" si="136"/>
        <v>0.63200000000000001</v>
      </c>
      <c r="AU462" s="40">
        <v>0.36799999999999999</v>
      </c>
      <c r="AV462" s="39">
        <f t="shared" si="12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9</v>
      </c>
      <c r="DB462" s="34"/>
    </row>
    <row r="463" spans="1:106" x14ac:dyDescent="0.25">
      <c r="A463">
        <v>462</v>
      </c>
      <c r="B463">
        <v>30</v>
      </c>
      <c r="C463" s="25" t="s">
        <v>318</v>
      </c>
      <c r="D463" s="12">
        <v>19.600000000000001</v>
      </c>
      <c r="E463" s="14">
        <f t="shared" si="135"/>
        <v>2.5000000000000004</v>
      </c>
      <c r="F463" s="7">
        <v>7.84</v>
      </c>
      <c r="G463" s="7">
        <f t="shared" si="125"/>
        <v>17.100000000000001</v>
      </c>
      <c r="H463" s="16">
        <f t="shared" si="126"/>
        <v>22.1</v>
      </c>
      <c r="I463" s="11">
        <f t="shared" si="127"/>
        <v>0.20046853007196822</v>
      </c>
      <c r="J463" s="33">
        <f t="shared" si="128"/>
        <v>2.5569965570404109E-2</v>
      </c>
      <c r="K463" s="33">
        <f t="shared" si="129"/>
        <v>39.108382733117459</v>
      </c>
      <c r="L463" s="33">
        <f t="shared" si="130"/>
        <v>0.1748985645015641</v>
      </c>
      <c r="M463" s="33">
        <f t="shared" si="131"/>
        <v>0.22603849564237233</v>
      </c>
      <c r="N463" s="8">
        <v>0</v>
      </c>
      <c r="O463" s="9">
        <v>1</v>
      </c>
      <c r="P463" s="8">
        <v>0</v>
      </c>
      <c r="Q463" s="9">
        <v>1</v>
      </c>
      <c r="R463" s="9">
        <v>0</v>
      </c>
      <c r="S463" s="9">
        <v>0</v>
      </c>
      <c r="T463" s="9">
        <v>0</v>
      </c>
      <c r="U463" s="8">
        <v>1476</v>
      </c>
      <c r="V463" s="9">
        <v>7</v>
      </c>
      <c r="W463" s="9">
        <f t="shared" si="132"/>
        <v>1468</v>
      </c>
      <c r="X463" s="9">
        <f t="shared" si="133"/>
        <v>12</v>
      </c>
      <c r="Y463" s="7">
        <v>9</v>
      </c>
      <c r="Z463" s="7">
        <v>10.6</v>
      </c>
      <c r="AA463" s="9">
        <v>1</v>
      </c>
      <c r="AB463" s="9">
        <v>0</v>
      </c>
      <c r="AC463" s="9">
        <v>1</v>
      </c>
      <c r="AD463" s="9">
        <v>0</v>
      </c>
      <c r="AE463" s="9">
        <v>0</v>
      </c>
      <c r="AF463" s="9">
        <v>0</v>
      </c>
      <c r="AG463" s="8">
        <v>0</v>
      </c>
      <c r="AH463" s="9">
        <v>1</v>
      </c>
      <c r="AI463" s="30">
        <v>0</v>
      </c>
      <c r="AJ463" s="9">
        <v>0</v>
      </c>
      <c r="AK463" s="30">
        <v>1</v>
      </c>
      <c r="AL463" s="21">
        <v>1995</v>
      </c>
      <c r="AM463" s="23">
        <f t="shared" si="134"/>
        <v>7.5983993293239642</v>
      </c>
      <c r="AN463" s="33" t="s">
        <v>104</v>
      </c>
      <c r="AO463" s="33" t="s">
        <v>104</v>
      </c>
      <c r="AP463" s="33" t="s">
        <v>104</v>
      </c>
      <c r="AQ463" s="43" t="s">
        <v>104</v>
      </c>
      <c r="AR463" s="42">
        <v>1</v>
      </c>
      <c r="AS463" s="18">
        <v>0</v>
      </c>
      <c r="AT463" s="39">
        <f t="shared" si="136"/>
        <v>0.63200000000000001</v>
      </c>
      <c r="AU463" s="40">
        <v>0.36799999999999999</v>
      </c>
      <c r="AV463" s="39">
        <f t="shared" si="12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9</v>
      </c>
      <c r="DB463" s="34"/>
    </row>
    <row r="464" spans="1:106" x14ac:dyDescent="0.25">
      <c r="A464">
        <v>463</v>
      </c>
      <c r="B464">
        <v>30</v>
      </c>
      <c r="C464" s="25" t="s">
        <v>318</v>
      </c>
      <c r="D464" s="12">
        <v>18.600000000000001</v>
      </c>
      <c r="E464" s="14">
        <f t="shared" si="135"/>
        <v>2.4281984334203655</v>
      </c>
      <c r="F464" s="7">
        <v>7.66</v>
      </c>
      <c r="G464" s="7">
        <f t="shared" si="125"/>
        <v>16.171801566579635</v>
      </c>
      <c r="H464" s="16">
        <f t="shared" si="126"/>
        <v>21.028198433420368</v>
      </c>
      <c r="I464" s="11">
        <f t="shared" si="127"/>
        <v>0.19604482709698576</v>
      </c>
      <c r="J464" s="33">
        <f t="shared" si="128"/>
        <v>2.5593319464358451E-2</v>
      </c>
      <c r="K464" s="33">
        <f t="shared" si="129"/>
        <v>39.072696349241113</v>
      </c>
      <c r="L464" s="33">
        <f t="shared" si="130"/>
        <v>0.17045150763262731</v>
      </c>
      <c r="M464" s="33">
        <f t="shared" si="131"/>
        <v>0.2216381465613442</v>
      </c>
      <c r="N464" s="8">
        <v>0</v>
      </c>
      <c r="O464" s="9">
        <v>1</v>
      </c>
      <c r="P464" s="8">
        <v>0</v>
      </c>
      <c r="Q464" s="9">
        <v>1</v>
      </c>
      <c r="R464" s="9">
        <v>0</v>
      </c>
      <c r="S464" s="9">
        <v>0</v>
      </c>
      <c r="T464" s="9">
        <v>0</v>
      </c>
      <c r="U464" s="8">
        <v>1476</v>
      </c>
      <c r="V464" s="9">
        <v>7</v>
      </c>
      <c r="W464" s="9">
        <f t="shared" si="132"/>
        <v>1468</v>
      </c>
      <c r="X464" s="9">
        <f t="shared" si="133"/>
        <v>12</v>
      </c>
      <c r="Y464" s="7">
        <v>9</v>
      </c>
      <c r="Z464" s="7">
        <v>10.6</v>
      </c>
      <c r="AA464" s="9">
        <v>1</v>
      </c>
      <c r="AB464" s="9">
        <v>0</v>
      </c>
      <c r="AC464" s="9">
        <v>1</v>
      </c>
      <c r="AD464" s="9">
        <v>0</v>
      </c>
      <c r="AE464" s="9">
        <v>0</v>
      </c>
      <c r="AF464" s="9">
        <v>0</v>
      </c>
      <c r="AG464" s="8">
        <v>0</v>
      </c>
      <c r="AH464" s="9">
        <v>1</v>
      </c>
      <c r="AI464" s="30">
        <v>0</v>
      </c>
      <c r="AJ464" s="9">
        <v>0</v>
      </c>
      <c r="AK464" s="30">
        <v>1</v>
      </c>
      <c r="AL464" s="21">
        <v>1995</v>
      </c>
      <c r="AM464" s="23">
        <f t="shared" si="134"/>
        <v>7.5983993293239642</v>
      </c>
      <c r="AN464" s="33" t="s">
        <v>104</v>
      </c>
      <c r="AO464" s="33" t="s">
        <v>104</v>
      </c>
      <c r="AP464" s="33" t="s">
        <v>104</v>
      </c>
      <c r="AQ464" s="43" t="s">
        <v>104</v>
      </c>
      <c r="AR464" s="42">
        <v>1</v>
      </c>
      <c r="AS464" s="18">
        <v>0</v>
      </c>
      <c r="AT464" s="39">
        <f t="shared" si="136"/>
        <v>0.63200000000000001</v>
      </c>
      <c r="AU464" s="40">
        <v>0.36799999999999999</v>
      </c>
      <c r="AV464" s="39">
        <f t="shared" si="12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9</v>
      </c>
      <c r="DB464" s="34"/>
    </row>
    <row r="465" spans="1:106" x14ac:dyDescent="0.25">
      <c r="A465">
        <v>464</v>
      </c>
      <c r="B465">
        <v>30</v>
      </c>
      <c r="C465" s="25" t="s">
        <v>318</v>
      </c>
      <c r="D465" s="12">
        <v>10.7</v>
      </c>
      <c r="E465" s="14">
        <f t="shared" si="135"/>
        <v>1.9814814814814812</v>
      </c>
      <c r="F465" s="7">
        <v>5.4</v>
      </c>
      <c r="G465" s="7">
        <f t="shared" si="125"/>
        <v>8.7185185185185183</v>
      </c>
      <c r="H465" s="16">
        <f t="shared" si="126"/>
        <v>12.68148148148148</v>
      </c>
      <c r="I465" s="11">
        <f t="shared" si="127"/>
        <v>0.13955957945972247</v>
      </c>
      <c r="J465" s="33">
        <f t="shared" si="128"/>
        <v>2.5844366566615273E-2</v>
      </c>
      <c r="K465" s="33">
        <f t="shared" si="129"/>
        <v>38.693151848873725</v>
      </c>
      <c r="L465" s="33">
        <f t="shared" si="130"/>
        <v>0.1137152128931072</v>
      </c>
      <c r="M465" s="33">
        <f t="shared" si="131"/>
        <v>0.16540394602633773</v>
      </c>
      <c r="N465" s="8">
        <v>0</v>
      </c>
      <c r="O465" s="9">
        <v>1</v>
      </c>
      <c r="P465" s="8">
        <v>0</v>
      </c>
      <c r="Q465" s="9">
        <v>1</v>
      </c>
      <c r="R465" s="9">
        <v>0</v>
      </c>
      <c r="S465" s="9">
        <v>0</v>
      </c>
      <c r="T465" s="9">
        <v>0</v>
      </c>
      <c r="U465" s="8">
        <v>1476</v>
      </c>
      <c r="V465" s="9">
        <v>7</v>
      </c>
      <c r="W465" s="9">
        <f t="shared" si="132"/>
        <v>1468</v>
      </c>
      <c r="X465" s="9">
        <f t="shared" si="133"/>
        <v>12</v>
      </c>
      <c r="Y465" s="7">
        <v>9</v>
      </c>
      <c r="Z465" s="7">
        <v>10.6</v>
      </c>
      <c r="AA465" s="9">
        <v>1</v>
      </c>
      <c r="AB465" s="9">
        <v>0</v>
      </c>
      <c r="AC465" s="9">
        <v>1</v>
      </c>
      <c r="AD465" s="9">
        <v>0</v>
      </c>
      <c r="AE465" s="9">
        <v>0</v>
      </c>
      <c r="AF465" s="9">
        <v>0</v>
      </c>
      <c r="AG465" s="8">
        <v>0</v>
      </c>
      <c r="AH465" s="9">
        <v>1</v>
      </c>
      <c r="AI465" s="30">
        <v>0</v>
      </c>
      <c r="AJ465" s="9">
        <v>0</v>
      </c>
      <c r="AK465" s="30">
        <v>1</v>
      </c>
      <c r="AL465" s="21">
        <v>1995</v>
      </c>
      <c r="AM465" s="23">
        <f t="shared" si="134"/>
        <v>7.5983993293239642</v>
      </c>
      <c r="AN465" s="33" t="s">
        <v>104</v>
      </c>
      <c r="AO465" s="33" t="s">
        <v>104</v>
      </c>
      <c r="AP465" s="33" t="s">
        <v>104</v>
      </c>
      <c r="AQ465" s="43" t="s">
        <v>104</v>
      </c>
      <c r="AR465" s="42">
        <v>1</v>
      </c>
      <c r="AS465" s="18">
        <v>0</v>
      </c>
      <c r="AT465" s="39">
        <f t="shared" si="136"/>
        <v>0.63200000000000001</v>
      </c>
      <c r="AU465" s="40">
        <v>0.36799999999999999</v>
      </c>
      <c r="AV465" s="39">
        <f t="shared" si="12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9</v>
      </c>
      <c r="DB465" s="34"/>
    </row>
    <row r="466" spans="1:106" s="51" customFormat="1" x14ac:dyDescent="0.25">
      <c r="A466" s="51">
        <v>465</v>
      </c>
      <c r="B466" s="51">
        <v>30</v>
      </c>
      <c r="C466" s="52" t="s">
        <v>318</v>
      </c>
      <c r="D466" s="53">
        <v>9.1999999999999993</v>
      </c>
      <c r="E466" s="54">
        <f t="shared" si="135"/>
        <v>4.7179487179487181</v>
      </c>
      <c r="F466" s="55">
        <v>1.95</v>
      </c>
      <c r="G466" s="55">
        <f t="shared" si="125"/>
        <v>4.4820512820512812</v>
      </c>
      <c r="H466" s="56">
        <f t="shared" si="126"/>
        <v>13.917948717948718</v>
      </c>
      <c r="I466" s="57">
        <f t="shared" si="127"/>
        <v>5.0828798421125441E-2</v>
      </c>
      <c r="J466" s="58">
        <f t="shared" si="128"/>
        <v>2.606605047237202E-2</v>
      </c>
      <c r="K466" s="58">
        <f t="shared" si="129"/>
        <v>38.36407825036332</v>
      </c>
      <c r="L466" s="58">
        <f t="shared" si="130"/>
        <v>2.4762747948753421E-2</v>
      </c>
      <c r="M466" s="58">
        <f t="shared" si="131"/>
        <v>7.6894848893497458E-2</v>
      </c>
      <c r="N466" s="59">
        <v>0</v>
      </c>
      <c r="O466" s="60">
        <v>1</v>
      </c>
      <c r="P466" s="59">
        <v>0</v>
      </c>
      <c r="Q466" s="60">
        <v>1</v>
      </c>
      <c r="R466" s="60">
        <v>0</v>
      </c>
      <c r="S466" s="60">
        <v>0</v>
      </c>
      <c r="T466" s="60">
        <v>0</v>
      </c>
      <c r="U466" s="59">
        <v>1476</v>
      </c>
      <c r="V466" s="60">
        <v>7</v>
      </c>
      <c r="W466" s="60">
        <f t="shared" si="132"/>
        <v>1468</v>
      </c>
      <c r="X466" s="60">
        <f t="shared" si="133"/>
        <v>12</v>
      </c>
      <c r="Y466" s="55">
        <v>9</v>
      </c>
      <c r="Z466" s="55">
        <v>10.6</v>
      </c>
      <c r="AA466" s="60">
        <v>1</v>
      </c>
      <c r="AB466" s="60">
        <v>0</v>
      </c>
      <c r="AC466" s="60">
        <v>1</v>
      </c>
      <c r="AD466" s="60">
        <v>0</v>
      </c>
      <c r="AE466" s="60">
        <v>0</v>
      </c>
      <c r="AF466" s="60">
        <v>0</v>
      </c>
      <c r="AG466" s="59">
        <v>0</v>
      </c>
      <c r="AH466" s="60">
        <v>1</v>
      </c>
      <c r="AI466" s="61">
        <v>0</v>
      </c>
      <c r="AJ466" s="60">
        <v>0</v>
      </c>
      <c r="AK466" s="61">
        <v>1</v>
      </c>
      <c r="AL466" s="62">
        <v>1995</v>
      </c>
      <c r="AM466" s="63">
        <f t="shared" si="134"/>
        <v>7.5983993293239642</v>
      </c>
      <c r="AN466" s="58" t="s">
        <v>104</v>
      </c>
      <c r="AO466" s="58" t="s">
        <v>104</v>
      </c>
      <c r="AP466" s="58" t="s">
        <v>104</v>
      </c>
      <c r="AQ466" s="64" t="s">
        <v>104</v>
      </c>
      <c r="AR466" s="65">
        <v>1</v>
      </c>
      <c r="AS466" s="66">
        <v>0</v>
      </c>
      <c r="AT466" s="69">
        <f t="shared" si="136"/>
        <v>0.63200000000000001</v>
      </c>
      <c r="AU466" s="67">
        <v>0.36799999999999999</v>
      </c>
      <c r="AV466" s="69">
        <f t="shared" si="12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9</v>
      </c>
      <c r="CW466" s="68"/>
      <c r="DB466" s="68"/>
    </row>
    <row r="467" spans="1:106" x14ac:dyDescent="0.25">
      <c r="A467">
        <v>466</v>
      </c>
      <c r="B467">
        <v>31</v>
      </c>
      <c r="C467" s="25" t="s">
        <v>317</v>
      </c>
      <c r="D467" s="12">
        <v>6.3</v>
      </c>
      <c r="E467" s="14">
        <f t="shared" si="135"/>
        <v>0.83776595744680848</v>
      </c>
      <c r="F467" s="7">
        <v>7.52</v>
      </c>
      <c r="G467" s="7">
        <f t="shared" si="125"/>
        <v>5.4622340425531917</v>
      </c>
      <c r="H467" s="16">
        <f t="shared" si="126"/>
        <v>7.137765957446808</v>
      </c>
      <c r="I467" s="11">
        <f t="shared" si="127"/>
        <v>0.22951264688149664</v>
      </c>
      <c r="J467" s="33">
        <f t="shared" si="128"/>
        <v>3.0520298787433064E-2</v>
      </c>
      <c r="K467" s="33">
        <f t="shared" si="129"/>
        <v>32.765078971368283</v>
      </c>
      <c r="L467" s="33">
        <f t="shared" si="130"/>
        <v>0.19899234809406358</v>
      </c>
      <c r="M467" s="33">
        <f t="shared" si="131"/>
        <v>0.2600329456689297</v>
      </c>
      <c r="N467" s="8">
        <v>1</v>
      </c>
      <c r="O467" s="9">
        <v>0</v>
      </c>
      <c r="P467" s="8">
        <v>1</v>
      </c>
      <c r="Q467" s="9">
        <v>0</v>
      </c>
      <c r="R467" s="9">
        <v>0</v>
      </c>
      <c r="S467" s="9">
        <v>0</v>
      </c>
      <c r="T467" s="9">
        <v>0</v>
      </c>
      <c r="U467" s="8">
        <v>1023</v>
      </c>
      <c r="V467" s="9">
        <v>5</v>
      </c>
      <c r="W467" s="9">
        <f t="shared" si="132"/>
        <v>1017</v>
      </c>
      <c r="X467" s="9">
        <f t="shared" si="133"/>
        <v>16</v>
      </c>
      <c r="Y467" s="7">
        <v>7.68</v>
      </c>
      <c r="Z467" s="7">
        <v>17.46</v>
      </c>
      <c r="AA467" s="9">
        <v>1</v>
      </c>
      <c r="AB467" s="9">
        <v>0</v>
      </c>
      <c r="AC467" s="9">
        <v>1</v>
      </c>
      <c r="AD467" s="9">
        <v>0</v>
      </c>
      <c r="AE467" s="9">
        <v>0</v>
      </c>
      <c r="AF467" s="9">
        <v>0</v>
      </c>
      <c r="AG467" s="8">
        <v>1</v>
      </c>
      <c r="AH467" s="9">
        <v>0</v>
      </c>
      <c r="AI467" s="30">
        <v>0</v>
      </c>
      <c r="AJ467" s="9">
        <v>1</v>
      </c>
      <c r="AK467" s="30">
        <v>0</v>
      </c>
      <c r="AL467" s="21">
        <v>2000</v>
      </c>
      <c r="AM467" s="23">
        <f t="shared" si="134"/>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12</v>
      </c>
      <c r="DB467" s="34"/>
    </row>
    <row r="468" spans="1:106" x14ac:dyDescent="0.25">
      <c r="A468">
        <v>467</v>
      </c>
      <c r="B468">
        <v>31</v>
      </c>
      <c r="C468" t="s">
        <v>317</v>
      </c>
      <c r="D468" s="12">
        <v>6.1</v>
      </c>
      <c r="E468" s="14">
        <f t="shared" si="135"/>
        <v>0.8276797829036634</v>
      </c>
      <c r="F468" s="7">
        <v>7.37</v>
      </c>
      <c r="G468" s="7">
        <f t="shared" si="125"/>
        <v>5.2723202170963361</v>
      </c>
      <c r="H468" s="16">
        <f t="shared" si="126"/>
        <v>6.9276797829036632</v>
      </c>
      <c r="I468" s="11">
        <f t="shared" si="127"/>
        <v>0.2252741171820597</v>
      </c>
      <c r="J468" s="33">
        <f t="shared" si="128"/>
        <v>3.0566365967715021E-2</v>
      </c>
      <c r="K468" s="33">
        <f t="shared" si="129"/>
        <v>32.715698066830242</v>
      </c>
      <c r="L468" s="33">
        <f t="shared" si="130"/>
        <v>0.19470775121434467</v>
      </c>
      <c r="M468" s="33">
        <f t="shared" si="131"/>
        <v>0.2558404831497747</v>
      </c>
      <c r="N468" s="8">
        <v>1</v>
      </c>
      <c r="O468" s="9">
        <v>0</v>
      </c>
      <c r="P468" s="8">
        <v>1</v>
      </c>
      <c r="Q468" s="9">
        <v>0</v>
      </c>
      <c r="R468" s="9">
        <v>0</v>
      </c>
      <c r="S468" s="9">
        <v>0</v>
      </c>
      <c r="T468" s="9">
        <v>0</v>
      </c>
      <c r="U468" s="8">
        <v>1023</v>
      </c>
      <c r="V468" s="9">
        <v>6</v>
      </c>
      <c r="W468" s="9">
        <f t="shared" si="132"/>
        <v>1016</v>
      </c>
      <c r="X468" s="9">
        <f t="shared" si="133"/>
        <v>16</v>
      </c>
      <c r="Y468" s="7">
        <v>7.68</v>
      </c>
      <c r="Z468" s="7">
        <v>17.46</v>
      </c>
      <c r="AA468" s="9">
        <v>1</v>
      </c>
      <c r="AB468" s="9">
        <v>0</v>
      </c>
      <c r="AC468" s="9">
        <v>1</v>
      </c>
      <c r="AD468" s="9">
        <v>0</v>
      </c>
      <c r="AE468" s="9">
        <v>0</v>
      </c>
      <c r="AF468" s="9">
        <v>0</v>
      </c>
      <c r="AG468" s="8">
        <v>1</v>
      </c>
      <c r="AH468" s="9">
        <v>0</v>
      </c>
      <c r="AI468" s="30">
        <v>0</v>
      </c>
      <c r="AJ468" s="9">
        <v>1</v>
      </c>
      <c r="AK468" s="30">
        <v>0</v>
      </c>
      <c r="AL468" s="21">
        <v>2000</v>
      </c>
      <c r="AM468" s="23">
        <f t="shared" si="134"/>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12</v>
      </c>
      <c r="DB468" s="34"/>
    </row>
    <row r="469" spans="1:106" x14ac:dyDescent="0.25">
      <c r="A469">
        <v>468</v>
      </c>
      <c r="B469">
        <v>31</v>
      </c>
      <c r="C469" s="25" t="s">
        <v>317</v>
      </c>
      <c r="D469" s="12">
        <v>6.5</v>
      </c>
      <c r="E469" s="14">
        <f t="shared" si="135"/>
        <v>0.8904109589041096</v>
      </c>
      <c r="F469" s="7">
        <v>7.3</v>
      </c>
      <c r="G469" s="7">
        <f t="shared" si="125"/>
        <v>5.6095890410958908</v>
      </c>
      <c r="H469" s="16">
        <f t="shared" si="126"/>
        <v>7.3904109589041092</v>
      </c>
      <c r="I469" s="11">
        <f t="shared" si="127"/>
        <v>0.22742757354036125</v>
      </c>
      <c r="J469" s="33">
        <f t="shared" si="128"/>
        <v>3.1154462128816611E-2</v>
      </c>
      <c r="K469" s="33">
        <f t="shared" si="129"/>
        <v>32.098130786698469</v>
      </c>
      <c r="L469" s="33">
        <f t="shared" si="130"/>
        <v>0.19627311141154463</v>
      </c>
      <c r="M469" s="33">
        <f t="shared" si="131"/>
        <v>0.25858203566917787</v>
      </c>
      <c r="N469" s="8">
        <v>1</v>
      </c>
      <c r="O469" s="9">
        <v>0</v>
      </c>
      <c r="P469" s="8">
        <v>1</v>
      </c>
      <c r="Q469" s="9">
        <v>0</v>
      </c>
      <c r="R469" s="9">
        <v>0</v>
      </c>
      <c r="S469" s="9">
        <v>0</v>
      </c>
      <c r="T469" s="9">
        <v>0</v>
      </c>
      <c r="U469" s="8">
        <v>986</v>
      </c>
      <c r="V469" s="9">
        <v>8</v>
      </c>
      <c r="W469" s="9">
        <f t="shared" si="132"/>
        <v>977</v>
      </c>
      <c r="X469" s="9">
        <f t="shared" si="133"/>
        <v>16</v>
      </c>
      <c r="Y469" s="7">
        <v>7.68</v>
      </c>
      <c r="Z469" s="7">
        <v>17.46</v>
      </c>
      <c r="AA469" s="9">
        <v>1</v>
      </c>
      <c r="AB469" s="9">
        <v>0</v>
      </c>
      <c r="AC469" s="9">
        <v>1</v>
      </c>
      <c r="AD469" s="9">
        <v>0</v>
      </c>
      <c r="AE469" s="9">
        <v>0</v>
      </c>
      <c r="AF469" s="9">
        <v>0</v>
      </c>
      <c r="AG469" s="8">
        <v>1</v>
      </c>
      <c r="AH469" s="9">
        <v>0</v>
      </c>
      <c r="AI469" s="30">
        <v>0</v>
      </c>
      <c r="AJ469" s="9">
        <v>1</v>
      </c>
      <c r="AK469" s="30">
        <v>0</v>
      </c>
      <c r="AL469" s="21">
        <v>2000</v>
      </c>
      <c r="AM469" s="23">
        <f t="shared" si="134"/>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12</v>
      </c>
      <c r="DB469" s="34"/>
    </row>
    <row r="470" spans="1:106" x14ac:dyDescent="0.25">
      <c r="A470">
        <v>469</v>
      </c>
      <c r="B470">
        <v>31</v>
      </c>
      <c r="C470" s="25" t="s">
        <v>317</v>
      </c>
      <c r="D470" s="12">
        <v>6.4</v>
      </c>
      <c r="E470" s="14">
        <f t="shared" si="135"/>
        <v>0.86838534599728634</v>
      </c>
      <c r="F470" s="7">
        <v>7.37</v>
      </c>
      <c r="G470" s="7">
        <f t="shared" si="125"/>
        <v>5.5316146540027145</v>
      </c>
      <c r="H470" s="16">
        <f t="shared" si="126"/>
        <v>7.2683853459972863</v>
      </c>
      <c r="I470" s="11">
        <f t="shared" si="127"/>
        <v>0.12618462893964844</v>
      </c>
      <c r="J470" s="33">
        <f t="shared" si="128"/>
        <v>1.7121387915827468E-2</v>
      </c>
      <c r="K470" s="33">
        <f t="shared" si="129"/>
        <v>58.406479948718022</v>
      </c>
      <c r="L470" s="33">
        <f t="shared" si="130"/>
        <v>0.10906324102382096</v>
      </c>
      <c r="M470" s="33">
        <f t="shared" si="131"/>
        <v>0.14330601685547589</v>
      </c>
      <c r="N470" s="8">
        <v>1</v>
      </c>
      <c r="O470" s="9">
        <v>0</v>
      </c>
      <c r="P470" s="8">
        <v>1</v>
      </c>
      <c r="Q470" s="9">
        <v>0</v>
      </c>
      <c r="R470" s="9">
        <v>0</v>
      </c>
      <c r="S470" s="9">
        <v>0</v>
      </c>
      <c r="T470" s="9">
        <v>0</v>
      </c>
      <c r="U470" s="8">
        <v>3364</v>
      </c>
      <c r="V470" s="9">
        <v>6</v>
      </c>
      <c r="W470" s="9">
        <f t="shared" si="132"/>
        <v>3357</v>
      </c>
      <c r="X470" s="9">
        <f t="shared" si="133"/>
        <v>16</v>
      </c>
      <c r="Y470" s="7">
        <v>7.68</v>
      </c>
      <c r="Z470" s="7">
        <v>17.46</v>
      </c>
      <c r="AA470" s="9">
        <v>1</v>
      </c>
      <c r="AB470" s="9">
        <v>0</v>
      </c>
      <c r="AC470" s="9">
        <v>1</v>
      </c>
      <c r="AD470" s="9">
        <v>0</v>
      </c>
      <c r="AE470" s="9">
        <v>0</v>
      </c>
      <c r="AF470" s="9">
        <v>0</v>
      </c>
      <c r="AG470" s="8">
        <v>1</v>
      </c>
      <c r="AH470" s="9">
        <v>0</v>
      </c>
      <c r="AI470" s="30">
        <v>0</v>
      </c>
      <c r="AJ470" s="9">
        <v>1</v>
      </c>
      <c r="AK470" s="30">
        <v>0</v>
      </c>
      <c r="AL470" s="21">
        <v>2000</v>
      </c>
      <c r="AM470" s="23">
        <f t="shared" si="134"/>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12</v>
      </c>
      <c r="DB470" s="34"/>
    </row>
    <row r="471" spans="1:106" x14ac:dyDescent="0.25">
      <c r="A471">
        <v>470</v>
      </c>
      <c r="B471">
        <v>31</v>
      </c>
      <c r="C471" s="25" t="s">
        <v>317</v>
      </c>
      <c r="D471" s="12">
        <v>4.3</v>
      </c>
      <c r="E471" s="14">
        <f t="shared" si="135"/>
        <v>1.4625850340136055</v>
      </c>
      <c r="F471" s="7">
        <v>2.94</v>
      </c>
      <c r="G471" s="7">
        <f t="shared" si="125"/>
        <v>2.8374149659863943</v>
      </c>
      <c r="H471" s="16">
        <f t="shared" si="126"/>
        <v>5.7625850340136058</v>
      </c>
      <c r="I471" s="11">
        <f t="shared" si="127"/>
        <v>5.0677276605177769E-2</v>
      </c>
      <c r="J471" s="33">
        <f t="shared" si="128"/>
        <v>1.7237168913325773E-2</v>
      </c>
      <c r="K471" s="33">
        <f t="shared" si="129"/>
        <v>58.014167235253836</v>
      </c>
      <c r="L471" s="33">
        <f t="shared" si="130"/>
        <v>3.3440107691851996E-2</v>
      </c>
      <c r="M471" s="33">
        <f t="shared" si="131"/>
        <v>6.7914445518503536E-2</v>
      </c>
      <c r="N471" s="8">
        <v>1</v>
      </c>
      <c r="O471" s="9">
        <v>0</v>
      </c>
      <c r="P471" s="8">
        <v>1</v>
      </c>
      <c r="Q471" s="9">
        <v>0</v>
      </c>
      <c r="R471" s="9">
        <v>0</v>
      </c>
      <c r="S471" s="9">
        <v>0</v>
      </c>
      <c r="T471" s="9">
        <v>0</v>
      </c>
      <c r="U471" s="8">
        <v>3364</v>
      </c>
      <c r="V471" s="9">
        <v>6</v>
      </c>
      <c r="W471" s="9">
        <f t="shared" si="132"/>
        <v>3357</v>
      </c>
      <c r="X471" s="9">
        <f t="shared" si="133"/>
        <v>16</v>
      </c>
      <c r="Y471" s="7">
        <v>7.68</v>
      </c>
      <c r="Z471" s="7">
        <v>17.46</v>
      </c>
      <c r="AA471" s="9">
        <v>1</v>
      </c>
      <c r="AB471" s="9">
        <v>0</v>
      </c>
      <c r="AC471" s="9">
        <v>1</v>
      </c>
      <c r="AD471" s="9">
        <v>0</v>
      </c>
      <c r="AE471" s="9">
        <v>0</v>
      </c>
      <c r="AF471" s="9">
        <v>0</v>
      </c>
      <c r="AG471" s="8">
        <v>1</v>
      </c>
      <c r="AH471" s="9">
        <v>0</v>
      </c>
      <c r="AI471" s="30">
        <v>0</v>
      </c>
      <c r="AJ471" s="9">
        <v>1</v>
      </c>
      <c r="AK471" s="30">
        <v>0</v>
      </c>
      <c r="AL471" s="21">
        <v>2000</v>
      </c>
      <c r="AM471" s="23">
        <f t="shared" si="134"/>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12</v>
      </c>
      <c r="DB471" s="34"/>
    </row>
    <row r="472" spans="1:106" x14ac:dyDescent="0.25">
      <c r="A472">
        <v>471</v>
      </c>
      <c r="B472">
        <v>31</v>
      </c>
      <c r="C472" s="25" t="s">
        <v>317</v>
      </c>
      <c r="D472" s="12">
        <v>7.8</v>
      </c>
      <c r="E472" s="14">
        <f t="shared" si="135"/>
        <v>1.1854103343465046</v>
      </c>
      <c r="F472" s="7">
        <v>6.58</v>
      </c>
      <c r="G472" s="7">
        <f t="shared" si="125"/>
        <v>6.6145896656534955</v>
      </c>
      <c r="H472" s="16">
        <f t="shared" si="126"/>
        <v>8.9854103343465042</v>
      </c>
      <c r="I472" s="11">
        <f t="shared" si="127"/>
        <v>0.112841150584339</v>
      </c>
      <c r="J472" s="33">
        <f t="shared" si="128"/>
        <v>1.714911103105456E-2</v>
      </c>
      <c r="K472" s="33">
        <f t="shared" si="129"/>
        <v>58.3120605020951</v>
      </c>
      <c r="L472" s="33">
        <f t="shared" si="130"/>
        <v>9.5692039553284439E-2</v>
      </c>
      <c r="M472" s="33">
        <f t="shared" si="131"/>
        <v>0.12999026161539357</v>
      </c>
      <c r="N472" s="8">
        <v>1</v>
      </c>
      <c r="O472" s="9">
        <v>0</v>
      </c>
      <c r="P472" s="8">
        <v>1</v>
      </c>
      <c r="Q472" s="9">
        <v>0</v>
      </c>
      <c r="R472" s="9">
        <v>0</v>
      </c>
      <c r="S472" s="9">
        <v>0</v>
      </c>
      <c r="T472" s="9">
        <v>0</v>
      </c>
      <c r="U472" s="8">
        <v>3364</v>
      </c>
      <c r="V472" s="9">
        <v>6</v>
      </c>
      <c r="W472" s="9">
        <f t="shared" si="132"/>
        <v>3357</v>
      </c>
      <c r="X472" s="9">
        <f t="shared" si="133"/>
        <v>16</v>
      </c>
      <c r="Y472" s="7">
        <v>7.68</v>
      </c>
      <c r="Z472" s="7">
        <v>17.46</v>
      </c>
      <c r="AA472" s="9">
        <v>1</v>
      </c>
      <c r="AB472" s="9">
        <v>0</v>
      </c>
      <c r="AC472" s="9">
        <v>1</v>
      </c>
      <c r="AD472" s="9">
        <v>0</v>
      </c>
      <c r="AE472" s="9">
        <v>0</v>
      </c>
      <c r="AF472" s="9">
        <v>0</v>
      </c>
      <c r="AG472" s="8">
        <v>1</v>
      </c>
      <c r="AH472" s="9">
        <v>0</v>
      </c>
      <c r="AI472" s="30">
        <v>0</v>
      </c>
      <c r="AJ472" s="9">
        <v>1</v>
      </c>
      <c r="AK472" s="30">
        <v>0</v>
      </c>
      <c r="AL472" s="21">
        <v>2000</v>
      </c>
      <c r="AM472" s="23">
        <f t="shared" si="134"/>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12</v>
      </c>
      <c r="DB472" s="34"/>
    </row>
    <row r="473" spans="1:106" x14ac:dyDescent="0.25">
      <c r="A473">
        <v>472</v>
      </c>
      <c r="B473">
        <v>31</v>
      </c>
      <c r="C473" s="25" t="s">
        <v>317</v>
      </c>
      <c r="D473" s="12">
        <v>10.5</v>
      </c>
      <c r="E473" s="14">
        <f t="shared" si="135"/>
        <v>1.2804878048780488</v>
      </c>
      <c r="F473" s="7">
        <v>8.1999999999999993</v>
      </c>
      <c r="G473" s="7">
        <f t="shared" si="125"/>
        <v>9.2195121951219505</v>
      </c>
      <c r="H473" s="16">
        <f t="shared" si="126"/>
        <v>11.780487804878049</v>
      </c>
      <c r="I473" s="11">
        <f t="shared" si="127"/>
        <v>0.20660483785702163</v>
      </c>
      <c r="J473" s="33">
        <f t="shared" si="128"/>
        <v>2.5195711933783126E-2</v>
      </c>
      <c r="K473" s="33">
        <f t="shared" si="129"/>
        <v>39.689293266572541</v>
      </c>
      <c r="L473" s="33">
        <f t="shared" si="130"/>
        <v>0.18140912592323852</v>
      </c>
      <c r="M473" s="33">
        <f t="shared" si="131"/>
        <v>0.23180054979080475</v>
      </c>
      <c r="N473" s="8">
        <v>1</v>
      </c>
      <c r="O473" s="9">
        <v>0</v>
      </c>
      <c r="P473" s="8">
        <v>1</v>
      </c>
      <c r="Q473" s="9">
        <v>0</v>
      </c>
      <c r="R473" s="9">
        <v>0</v>
      </c>
      <c r="S473" s="9">
        <v>0</v>
      </c>
      <c r="T473" s="9">
        <v>0</v>
      </c>
      <c r="U473" s="8">
        <v>1515</v>
      </c>
      <c r="V473" s="9">
        <v>6</v>
      </c>
      <c r="W473" s="9">
        <f t="shared" si="132"/>
        <v>1508</v>
      </c>
      <c r="X473" s="9">
        <f t="shared" si="133"/>
        <v>16</v>
      </c>
      <c r="Y473" s="7">
        <v>7.68</v>
      </c>
      <c r="Z473" s="7">
        <v>17.46</v>
      </c>
      <c r="AA473" s="9">
        <v>1</v>
      </c>
      <c r="AB473" s="9">
        <v>0</v>
      </c>
      <c r="AC473" s="9">
        <v>1</v>
      </c>
      <c r="AD473" s="9">
        <v>0</v>
      </c>
      <c r="AE473" s="9">
        <v>0</v>
      </c>
      <c r="AF473" s="9">
        <v>0</v>
      </c>
      <c r="AG473" s="8">
        <v>1</v>
      </c>
      <c r="AH473" s="9">
        <v>0</v>
      </c>
      <c r="AI473" s="30">
        <v>0</v>
      </c>
      <c r="AJ473" s="9">
        <v>1</v>
      </c>
      <c r="AK473" s="30">
        <v>0</v>
      </c>
      <c r="AL473" s="21">
        <v>2000</v>
      </c>
      <c r="AM473" s="23">
        <f t="shared" si="134"/>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12</v>
      </c>
      <c r="DB473" s="34"/>
    </row>
    <row r="474" spans="1:106" x14ac:dyDescent="0.25">
      <c r="A474">
        <v>473</v>
      </c>
      <c r="B474">
        <v>31</v>
      </c>
      <c r="C474" s="25" t="s">
        <v>317</v>
      </c>
      <c r="D474" s="12">
        <v>8.9</v>
      </c>
      <c r="E474" s="14">
        <f t="shared" si="135"/>
        <v>2.8253968253968256</v>
      </c>
      <c r="F474" s="7">
        <v>3.15</v>
      </c>
      <c r="G474" s="7">
        <f t="shared" si="125"/>
        <v>6.0746031746031743</v>
      </c>
      <c r="H474" s="16">
        <f t="shared" si="126"/>
        <v>11.725396825396826</v>
      </c>
      <c r="I474" s="11">
        <f t="shared" si="127"/>
        <v>8.0851066780717365E-2</v>
      </c>
      <c r="J474" s="33">
        <f t="shared" si="128"/>
        <v>2.5667005327211861E-2</v>
      </c>
      <c r="K474" s="33">
        <f t="shared" si="129"/>
        <v>38.960524893794741</v>
      </c>
      <c r="L474" s="33">
        <f t="shared" si="130"/>
        <v>5.5184061453505504E-2</v>
      </c>
      <c r="M474" s="33">
        <f t="shared" si="131"/>
        <v>0.10651807210792923</v>
      </c>
      <c r="N474" s="8">
        <v>1</v>
      </c>
      <c r="O474" s="9">
        <v>0</v>
      </c>
      <c r="P474" s="8">
        <v>1</v>
      </c>
      <c r="Q474" s="9">
        <v>0</v>
      </c>
      <c r="R474" s="9">
        <v>0</v>
      </c>
      <c r="S474" s="9">
        <v>0</v>
      </c>
      <c r="T474" s="9">
        <v>0</v>
      </c>
      <c r="U474" s="8">
        <v>1515</v>
      </c>
      <c r="V474" s="9">
        <v>6</v>
      </c>
      <c r="W474" s="9">
        <f t="shared" si="132"/>
        <v>1508</v>
      </c>
      <c r="X474" s="9">
        <f t="shared" si="133"/>
        <v>16</v>
      </c>
      <c r="Y474" s="7">
        <v>7.68</v>
      </c>
      <c r="Z474" s="7">
        <v>17.46</v>
      </c>
      <c r="AA474" s="9">
        <v>1</v>
      </c>
      <c r="AB474" s="9">
        <v>0</v>
      </c>
      <c r="AC474" s="9">
        <v>1</v>
      </c>
      <c r="AD474" s="9">
        <v>0</v>
      </c>
      <c r="AE474" s="9">
        <v>0</v>
      </c>
      <c r="AF474" s="9">
        <v>0</v>
      </c>
      <c r="AG474" s="8">
        <v>1</v>
      </c>
      <c r="AH474" s="9">
        <v>0</v>
      </c>
      <c r="AI474" s="30">
        <v>0</v>
      </c>
      <c r="AJ474" s="9">
        <v>1</v>
      </c>
      <c r="AK474" s="30">
        <v>0</v>
      </c>
      <c r="AL474" s="21">
        <v>2000</v>
      </c>
      <c r="AM474" s="23">
        <f t="shared" si="134"/>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12</v>
      </c>
      <c r="DB474" s="34"/>
    </row>
    <row r="475" spans="1:106" x14ac:dyDescent="0.25">
      <c r="A475">
        <v>474</v>
      </c>
      <c r="B475">
        <v>31</v>
      </c>
      <c r="C475" s="25" t="s">
        <v>317</v>
      </c>
      <c r="D475" s="12">
        <v>11.7</v>
      </c>
      <c r="E475" s="14">
        <f t="shared" si="135"/>
        <v>1.4516129032258063</v>
      </c>
      <c r="F475" s="7">
        <v>8.06</v>
      </c>
      <c r="G475" s="7">
        <f t="shared" si="125"/>
        <v>10.248387096774193</v>
      </c>
      <c r="H475" s="16">
        <f t="shared" si="126"/>
        <v>13.151612903225805</v>
      </c>
      <c r="I475" s="11">
        <f t="shared" si="127"/>
        <v>0.20322433235021214</v>
      </c>
      <c r="J475" s="33">
        <f t="shared" si="128"/>
        <v>2.5213937016155347E-2</v>
      </c>
      <c r="K475" s="33">
        <f t="shared" si="129"/>
        <v>39.66060513910498</v>
      </c>
      <c r="L475" s="33">
        <f t="shared" si="130"/>
        <v>0.1780103953340568</v>
      </c>
      <c r="M475" s="33">
        <f t="shared" si="131"/>
        <v>0.22843826936636749</v>
      </c>
      <c r="N475" s="8">
        <v>1</v>
      </c>
      <c r="O475" s="9">
        <v>0</v>
      </c>
      <c r="P475" s="8">
        <v>1</v>
      </c>
      <c r="Q475" s="9">
        <v>0</v>
      </c>
      <c r="R475" s="9">
        <v>0</v>
      </c>
      <c r="S475" s="9">
        <v>0</v>
      </c>
      <c r="T475" s="9">
        <v>0</v>
      </c>
      <c r="U475" s="8">
        <v>1515</v>
      </c>
      <c r="V475" s="9">
        <v>6</v>
      </c>
      <c r="W475" s="9">
        <f t="shared" si="132"/>
        <v>1508</v>
      </c>
      <c r="X475" s="9">
        <f t="shared" si="133"/>
        <v>16</v>
      </c>
      <c r="Y475" s="7">
        <v>7.68</v>
      </c>
      <c r="Z475" s="7">
        <v>17.46</v>
      </c>
      <c r="AA475" s="9">
        <v>1</v>
      </c>
      <c r="AB475" s="9">
        <v>0</v>
      </c>
      <c r="AC475" s="9">
        <v>1</v>
      </c>
      <c r="AD475" s="9">
        <v>0</v>
      </c>
      <c r="AE475" s="9">
        <v>0</v>
      </c>
      <c r="AF475" s="9">
        <v>0</v>
      </c>
      <c r="AG475" s="8">
        <v>1</v>
      </c>
      <c r="AH475" s="9">
        <v>0</v>
      </c>
      <c r="AI475" s="30">
        <v>0</v>
      </c>
      <c r="AJ475" s="9">
        <v>1</v>
      </c>
      <c r="AK475" s="30">
        <v>0</v>
      </c>
      <c r="AL475" s="21">
        <v>2000</v>
      </c>
      <c r="AM475" s="23">
        <f t="shared" si="134"/>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12</v>
      </c>
      <c r="DB475" s="34"/>
    </row>
    <row r="476" spans="1:106" x14ac:dyDescent="0.25">
      <c r="A476">
        <v>475</v>
      </c>
      <c r="B476">
        <v>31</v>
      </c>
      <c r="C476" s="25" t="s">
        <v>317</v>
      </c>
      <c r="D476" s="12">
        <v>2.9</v>
      </c>
      <c r="E476" s="14">
        <f t="shared" si="135"/>
        <v>1.5025906735751295</v>
      </c>
      <c r="F476" s="7">
        <v>1.93</v>
      </c>
      <c r="G476" s="7">
        <f t="shared" si="125"/>
        <v>1.3974093264248704</v>
      </c>
      <c r="H476" s="16">
        <f t="shared" si="126"/>
        <v>4.4025906735751299</v>
      </c>
      <c r="I476" s="11">
        <f t="shared" si="127"/>
        <v>4.4245520473194209E-2</v>
      </c>
      <c r="J476" s="33">
        <f t="shared" si="128"/>
        <v>2.2925140141551403E-2</v>
      </c>
      <c r="K476" s="33">
        <f t="shared" si="129"/>
        <v>43.620234983319385</v>
      </c>
      <c r="L476" s="33">
        <f t="shared" si="130"/>
        <v>2.1320380331642807E-2</v>
      </c>
      <c r="M476" s="33">
        <f t="shared" si="131"/>
        <v>6.7170660614745609E-2</v>
      </c>
      <c r="N476" s="8">
        <v>1</v>
      </c>
      <c r="O476" s="9">
        <v>0</v>
      </c>
      <c r="P476" s="8">
        <v>1</v>
      </c>
      <c r="Q476" s="9">
        <v>0</v>
      </c>
      <c r="R476" s="9">
        <v>0</v>
      </c>
      <c r="S476" s="9">
        <v>0</v>
      </c>
      <c r="T476" s="9">
        <v>0</v>
      </c>
      <c r="U476" s="8">
        <v>1906</v>
      </c>
      <c r="V476" s="9">
        <v>6</v>
      </c>
      <c r="W476" s="9">
        <f t="shared" si="132"/>
        <v>1899</v>
      </c>
      <c r="X476" s="9">
        <f t="shared" si="133"/>
        <v>16</v>
      </c>
      <c r="Y476" s="7">
        <v>7.68</v>
      </c>
      <c r="Z476" s="7">
        <v>17.46</v>
      </c>
      <c r="AA476" s="9">
        <v>1</v>
      </c>
      <c r="AB476" s="9">
        <v>0</v>
      </c>
      <c r="AC476" s="9">
        <v>1</v>
      </c>
      <c r="AD476" s="9">
        <v>0</v>
      </c>
      <c r="AE476" s="9">
        <v>0</v>
      </c>
      <c r="AF476" s="9">
        <v>0</v>
      </c>
      <c r="AG476" s="8">
        <v>1</v>
      </c>
      <c r="AH476" s="9">
        <v>0</v>
      </c>
      <c r="AI476" s="30">
        <v>0</v>
      </c>
      <c r="AJ476" s="9">
        <v>1</v>
      </c>
      <c r="AK476" s="30">
        <v>0</v>
      </c>
      <c r="AL476" s="21">
        <v>2000</v>
      </c>
      <c r="AM476" s="23">
        <f t="shared" si="134"/>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12</v>
      </c>
      <c r="DB476" s="34"/>
    </row>
    <row r="477" spans="1:106" x14ac:dyDescent="0.25">
      <c r="A477">
        <v>476</v>
      </c>
      <c r="B477">
        <v>31</v>
      </c>
      <c r="C477" s="25" t="s">
        <v>317</v>
      </c>
      <c r="D477" s="12">
        <v>2.6</v>
      </c>
      <c r="E477" s="14">
        <f t="shared" si="135"/>
        <v>1.8978102189781021</v>
      </c>
      <c r="F477" s="7">
        <v>1.37</v>
      </c>
      <c r="G477" s="7">
        <f t="shared" si="125"/>
        <v>0.702189781021898</v>
      </c>
      <c r="H477" s="16">
        <f t="shared" si="126"/>
        <v>4.4978102189781026</v>
      </c>
      <c r="I477" s="11">
        <f t="shared" si="127"/>
        <v>3.1422705174053607E-2</v>
      </c>
      <c r="J477" s="33">
        <f t="shared" si="128"/>
        <v>2.2936281148944235E-2</v>
      </c>
      <c r="K477" s="33">
        <f t="shared" si="129"/>
        <v>43.599047007933557</v>
      </c>
      <c r="L477" s="33">
        <f t="shared" si="130"/>
        <v>8.4864240251093723E-3</v>
      </c>
      <c r="M477" s="33">
        <f t="shared" si="131"/>
        <v>5.4358986322997842E-2</v>
      </c>
      <c r="N477" s="8">
        <v>1</v>
      </c>
      <c r="O477" s="9">
        <v>0</v>
      </c>
      <c r="P477" s="8">
        <v>1</v>
      </c>
      <c r="Q477" s="9">
        <v>0</v>
      </c>
      <c r="R477" s="9">
        <v>0</v>
      </c>
      <c r="S477" s="9">
        <v>0</v>
      </c>
      <c r="T477" s="9">
        <v>0</v>
      </c>
      <c r="U477" s="8">
        <v>1906</v>
      </c>
      <c r="V477" s="9">
        <v>6</v>
      </c>
      <c r="W477" s="9">
        <f t="shared" si="132"/>
        <v>1899</v>
      </c>
      <c r="X477" s="9">
        <f t="shared" si="133"/>
        <v>16</v>
      </c>
      <c r="Y477" s="7">
        <v>7.68</v>
      </c>
      <c r="Z477" s="7">
        <v>17.46</v>
      </c>
      <c r="AA477" s="9">
        <v>1</v>
      </c>
      <c r="AB477" s="9">
        <v>0</v>
      </c>
      <c r="AC477" s="9">
        <v>1</v>
      </c>
      <c r="AD477" s="9">
        <v>0</v>
      </c>
      <c r="AE477" s="9">
        <v>0</v>
      </c>
      <c r="AF477" s="9">
        <v>0</v>
      </c>
      <c r="AG477" s="8">
        <v>1</v>
      </c>
      <c r="AH477" s="9">
        <v>0</v>
      </c>
      <c r="AI477" s="30">
        <v>0</v>
      </c>
      <c r="AJ477" s="9">
        <v>1</v>
      </c>
      <c r="AK477" s="30">
        <v>0</v>
      </c>
      <c r="AL477" s="21">
        <v>2000</v>
      </c>
      <c r="AM477" s="23">
        <f t="shared" si="134"/>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12</v>
      </c>
      <c r="DB477" s="34"/>
    </row>
    <row r="478" spans="1:106" x14ac:dyDescent="0.25">
      <c r="A478">
        <v>477</v>
      </c>
      <c r="B478">
        <v>31</v>
      </c>
      <c r="C478" s="25" t="s">
        <v>317</v>
      </c>
      <c r="D478" s="12">
        <v>-1</v>
      </c>
      <c r="E478" s="14">
        <f t="shared" si="135"/>
        <v>3.8461538461538458</v>
      </c>
      <c r="F478" s="7">
        <v>-0.26</v>
      </c>
      <c r="G478" s="7">
        <f t="shared" si="125"/>
        <v>-4.8461538461538458</v>
      </c>
      <c r="H478" s="16">
        <f t="shared" si="126"/>
        <v>2.8461538461538458</v>
      </c>
      <c r="I478" s="11">
        <f t="shared" si="127"/>
        <v>-5.966273195313905E-3</v>
      </c>
      <c r="J478" s="33">
        <f t="shared" si="128"/>
        <v>2.294720459736117E-2</v>
      </c>
      <c r="K478" s="33">
        <f t="shared" si="129"/>
        <v>43.578292761419654</v>
      </c>
      <c r="L478" s="33">
        <f t="shared" si="130"/>
        <v>-2.8913477792675075E-2</v>
      </c>
      <c r="M478" s="33">
        <f t="shared" si="131"/>
        <v>1.6980931402047265E-2</v>
      </c>
      <c r="N478" s="8">
        <v>1</v>
      </c>
      <c r="O478" s="9">
        <v>0</v>
      </c>
      <c r="P478" s="8">
        <v>1</v>
      </c>
      <c r="Q478" s="9">
        <v>0</v>
      </c>
      <c r="R478" s="9">
        <v>0</v>
      </c>
      <c r="S478" s="9">
        <v>0</v>
      </c>
      <c r="T478" s="9">
        <v>0</v>
      </c>
      <c r="U478" s="8">
        <v>1906</v>
      </c>
      <c r="V478" s="9">
        <v>6</v>
      </c>
      <c r="W478" s="9">
        <f t="shared" si="132"/>
        <v>1899</v>
      </c>
      <c r="X478" s="9">
        <f t="shared" si="133"/>
        <v>16</v>
      </c>
      <c r="Y478" s="7">
        <v>7.68</v>
      </c>
      <c r="Z478" s="7">
        <v>17.46</v>
      </c>
      <c r="AA478" s="9">
        <v>1</v>
      </c>
      <c r="AB478" s="9">
        <v>0</v>
      </c>
      <c r="AC478" s="9">
        <v>1</v>
      </c>
      <c r="AD478" s="9">
        <v>0</v>
      </c>
      <c r="AE478" s="9">
        <v>0</v>
      </c>
      <c r="AF478" s="9">
        <v>0</v>
      </c>
      <c r="AG478" s="8">
        <v>1</v>
      </c>
      <c r="AH478" s="9">
        <v>0</v>
      </c>
      <c r="AI478" s="30">
        <v>0</v>
      </c>
      <c r="AJ478" s="9">
        <v>1</v>
      </c>
      <c r="AK478" s="30">
        <v>0</v>
      </c>
      <c r="AL478" s="21">
        <v>2000</v>
      </c>
      <c r="AM478" s="23">
        <f t="shared" si="134"/>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12</v>
      </c>
      <c r="DB478" s="34"/>
    </row>
    <row r="479" spans="1:106" x14ac:dyDescent="0.25">
      <c r="A479">
        <v>478</v>
      </c>
      <c r="B479">
        <v>31</v>
      </c>
      <c r="C479" s="25" t="s">
        <v>317</v>
      </c>
      <c r="D479" s="12">
        <v>3.9</v>
      </c>
      <c r="E479" s="14">
        <f t="shared" si="135"/>
        <v>1.9509754877438719</v>
      </c>
      <c r="F479" s="7">
        <v>1.9990000000000001</v>
      </c>
      <c r="G479" s="7">
        <f t="shared" si="125"/>
        <v>1.949024512256128</v>
      </c>
      <c r="H479" s="16">
        <f t="shared" si="126"/>
        <v>5.850975487743872</v>
      </c>
      <c r="I479" s="11">
        <f t="shared" si="127"/>
        <v>6.2621945271200061E-2</v>
      </c>
      <c r="J479" s="33">
        <f t="shared" si="128"/>
        <v>3.132663595357682E-2</v>
      </c>
      <c r="K479" s="33">
        <f t="shared" si="129"/>
        <v>31.921716761477601</v>
      </c>
      <c r="L479" s="33">
        <f t="shared" si="130"/>
        <v>3.1295309317623241E-2</v>
      </c>
      <c r="M479" s="33">
        <f t="shared" si="131"/>
        <v>9.3948581224776881E-2</v>
      </c>
      <c r="N479" s="8">
        <v>1</v>
      </c>
      <c r="O479" s="9">
        <v>0</v>
      </c>
      <c r="P479" s="8">
        <v>1</v>
      </c>
      <c r="Q479" s="9">
        <v>0</v>
      </c>
      <c r="R479" s="9">
        <v>0</v>
      </c>
      <c r="S479" s="9">
        <v>0</v>
      </c>
      <c r="T479" s="9">
        <v>0</v>
      </c>
      <c r="U479" s="8">
        <v>1023</v>
      </c>
      <c r="V479" s="9">
        <v>7</v>
      </c>
      <c r="W479" s="9">
        <f t="shared" si="132"/>
        <v>1015</v>
      </c>
      <c r="X479" s="9">
        <f t="shared" si="133"/>
        <v>16</v>
      </c>
      <c r="Y479" s="7">
        <v>5.45</v>
      </c>
      <c r="Z479" s="7">
        <v>17.46</v>
      </c>
      <c r="AA479" s="9">
        <v>1</v>
      </c>
      <c r="AB479" s="9">
        <v>0</v>
      </c>
      <c r="AC479" s="9">
        <v>1</v>
      </c>
      <c r="AD479" s="9">
        <v>0</v>
      </c>
      <c r="AE479" s="9">
        <v>0</v>
      </c>
      <c r="AF479" s="9">
        <v>0</v>
      </c>
      <c r="AG479" s="8">
        <v>1</v>
      </c>
      <c r="AH479" s="9">
        <v>0</v>
      </c>
      <c r="AI479" s="30">
        <v>0</v>
      </c>
      <c r="AJ479" s="9">
        <v>1</v>
      </c>
      <c r="AK479" s="30">
        <v>0</v>
      </c>
      <c r="AL479" s="21">
        <v>2000</v>
      </c>
      <c r="AM479" s="23">
        <f t="shared" si="134"/>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12</v>
      </c>
      <c r="DB479" s="34"/>
    </row>
    <row r="480" spans="1:106" x14ac:dyDescent="0.25">
      <c r="A480">
        <v>479</v>
      </c>
      <c r="B480">
        <v>31</v>
      </c>
      <c r="C480" s="25" t="s">
        <v>317</v>
      </c>
      <c r="D480" s="12">
        <v>7.4</v>
      </c>
      <c r="E480" s="14">
        <f t="shared" si="135"/>
        <v>1.1297709923664123</v>
      </c>
      <c r="F480" s="7">
        <v>6.55</v>
      </c>
      <c r="G480" s="7">
        <f t="shared" si="125"/>
        <v>6.2702290076335885</v>
      </c>
      <c r="H480" s="16">
        <f t="shared" si="126"/>
        <v>8.5297709923664122</v>
      </c>
      <c r="I480" s="11">
        <f t="shared" si="127"/>
        <v>0.20138099312014243</v>
      </c>
      <c r="J480" s="33">
        <f t="shared" si="128"/>
        <v>3.0745189789334722E-2</v>
      </c>
      <c r="K480" s="33">
        <f t="shared" si="129"/>
        <v>32.52541314111167</v>
      </c>
      <c r="L480" s="33">
        <f t="shared" si="130"/>
        <v>0.17063580333080772</v>
      </c>
      <c r="M480" s="33">
        <f t="shared" si="131"/>
        <v>0.23212618290947715</v>
      </c>
      <c r="N480" s="8">
        <v>1</v>
      </c>
      <c r="O480" s="9">
        <v>0</v>
      </c>
      <c r="P480" s="8">
        <v>1</v>
      </c>
      <c r="Q480" s="9">
        <v>0</v>
      </c>
      <c r="R480" s="9">
        <v>0</v>
      </c>
      <c r="S480" s="9">
        <v>0</v>
      </c>
      <c r="T480" s="9">
        <v>0</v>
      </c>
      <c r="U480" s="8">
        <v>1023</v>
      </c>
      <c r="V480" s="9">
        <v>7</v>
      </c>
      <c r="W480" s="9">
        <f t="shared" si="132"/>
        <v>1015</v>
      </c>
      <c r="X480" s="9">
        <f t="shared" si="133"/>
        <v>16</v>
      </c>
      <c r="Y480" s="7">
        <v>7.68</v>
      </c>
      <c r="Z480" s="7">
        <v>17.46</v>
      </c>
      <c r="AA480" s="9">
        <v>1</v>
      </c>
      <c r="AB480" s="9">
        <v>0</v>
      </c>
      <c r="AC480" s="9">
        <v>1</v>
      </c>
      <c r="AD480" s="9">
        <v>0</v>
      </c>
      <c r="AE480" s="9">
        <v>0</v>
      </c>
      <c r="AF480" s="9">
        <v>0</v>
      </c>
      <c r="AG480" s="8">
        <v>1</v>
      </c>
      <c r="AH480" s="9">
        <v>0</v>
      </c>
      <c r="AI480" s="30">
        <v>0</v>
      </c>
      <c r="AJ480" s="9">
        <v>1</v>
      </c>
      <c r="AK480" s="30">
        <v>0</v>
      </c>
      <c r="AL480" s="21">
        <v>2000</v>
      </c>
      <c r="AM480" s="23">
        <f t="shared" si="134"/>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12</v>
      </c>
      <c r="DB480" s="34"/>
    </row>
    <row r="481" spans="1:106" x14ac:dyDescent="0.25">
      <c r="A481">
        <v>480</v>
      </c>
      <c r="B481">
        <v>31</v>
      </c>
      <c r="C481" s="25" t="s">
        <v>317</v>
      </c>
      <c r="D481" s="12">
        <v>6</v>
      </c>
      <c r="E481" s="14">
        <f t="shared" si="135"/>
        <v>3.333333333333333</v>
      </c>
      <c r="F481" s="7">
        <v>1.8</v>
      </c>
      <c r="G481" s="7">
        <f t="shared" si="125"/>
        <v>2.666666666666667</v>
      </c>
      <c r="H481" s="16">
        <f t="shared" si="126"/>
        <v>9.3333333333333321</v>
      </c>
      <c r="I481" s="11">
        <f t="shared" si="127"/>
        <v>6.9683742661882223E-2</v>
      </c>
      <c r="J481" s="33">
        <f t="shared" si="128"/>
        <v>3.8713190367712341E-2</v>
      </c>
      <c r="K481" s="33">
        <f t="shared" si="129"/>
        <v>25.830989140952386</v>
      </c>
      <c r="L481" s="33">
        <f t="shared" si="130"/>
        <v>3.0970552294169881E-2</v>
      </c>
      <c r="M481" s="33">
        <f t="shared" si="131"/>
        <v>0.10839693302959456</v>
      </c>
      <c r="N481" s="8">
        <v>1</v>
      </c>
      <c r="O481" s="9">
        <v>0</v>
      </c>
      <c r="P481" s="8">
        <v>1</v>
      </c>
      <c r="Q481" s="9">
        <v>0</v>
      </c>
      <c r="R481" s="9">
        <v>0</v>
      </c>
      <c r="S481" s="9">
        <v>0</v>
      </c>
      <c r="T481" s="9">
        <v>0</v>
      </c>
      <c r="U481" s="8">
        <v>672</v>
      </c>
      <c r="V481" s="9">
        <v>7</v>
      </c>
      <c r="W481" s="9">
        <f t="shared" si="132"/>
        <v>664</v>
      </c>
      <c r="X481" s="9">
        <f t="shared" si="133"/>
        <v>16</v>
      </c>
      <c r="Y481" s="7">
        <v>5.45</v>
      </c>
      <c r="Z481" s="7">
        <v>17.46</v>
      </c>
      <c r="AA481" s="9">
        <v>1</v>
      </c>
      <c r="AB481" s="9">
        <v>0</v>
      </c>
      <c r="AC481" s="9">
        <v>1</v>
      </c>
      <c r="AD481" s="9">
        <v>0</v>
      </c>
      <c r="AE481" s="9">
        <v>0</v>
      </c>
      <c r="AF481" s="9">
        <v>0</v>
      </c>
      <c r="AG481" s="8">
        <v>1</v>
      </c>
      <c r="AH481" s="9">
        <v>0</v>
      </c>
      <c r="AI481" s="30">
        <v>0</v>
      </c>
      <c r="AJ481" s="9">
        <v>1</v>
      </c>
      <c r="AK481" s="30">
        <v>0</v>
      </c>
      <c r="AL481" s="21">
        <v>2000</v>
      </c>
      <c r="AM481" s="23">
        <f t="shared" si="134"/>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12</v>
      </c>
      <c r="DB481" s="34"/>
    </row>
    <row r="482" spans="1:106" s="51" customFormat="1" x14ac:dyDescent="0.25">
      <c r="A482" s="51">
        <v>481</v>
      </c>
      <c r="B482" s="51">
        <v>31</v>
      </c>
      <c r="C482" s="52" t="s">
        <v>317</v>
      </c>
      <c r="D482" s="53">
        <v>11.5</v>
      </c>
      <c r="E482" s="54">
        <f t="shared" si="135"/>
        <v>1.4631043256997456</v>
      </c>
      <c r="F482" s="55">
        <v>7.86</v>
      </c>
      <c r="G482" s="55">
        <f t="shared" si="125"/>
        <v>10.036895674300254</v>
      </c>
      <c r="H482" s="56">
        <f t="shared" si="126"/>
        <v>12.963104325699746</v>
      </c>
      <c r="I482" s="57">
        <f t="shared" si="127"/>
        <v>0.29175624950447748</v>
      </c>
      <c r="J482" s="58">
        <f t="shared" si="128"/>
        <v>3.7119115713037845E-2</v>
      </c>
      <c r="K482" s="58">
        <f t="shared" si="129"/>
        <v>26.940296954562324</v>
      </c>
      <c r="L482" s="58">
        <f t="shared" si="130"/>
        <v>0.25463713379143965</v>
      </c>
      <c r="M482" s="58">
        <f t="shared" si="131"/>
        <v>0.32887536521751531</v>
      </c>
      <c r="N482" s="59">
        <v>1</v>
      </c>
      <c r="O482" s="60">
        <v>0</v>
      </c>
      <c r="P482" s="59">
        <v>1</v>
      </c>
      <c r="Q482" s="60">
        <v>0</v>
      </c>
      <c r="R482" s="60">
        <v>0</v>
      </c>
      <c r="S482" s="60">
        <v>0</v>
      </c>
      <c r="T482" s="60">
        <v>0</v>
      </c>
      <c r="U482" s="59">
        <v>672</v>
      </c>
      <c r="V482" s="60">
        <v>7</v>
      </c>
      <c r="W482" s="60">
        <f t="shared" si="132"/>
        <v>664</v>
      </c>
      <c r="X482" s="60">
        <f t="shared" si="133"/>
        <v>16</v>
      </c>
      <c r="Y482" s="55">
        <v>7.68</v>
      </c>
      <c r="Z482" s="55">
        <v>17.46</v>
      </c>
      <c r="AA482" s="60">
        <v>1</v>
      </c>
      <c r="AB482" s="60">
        <v>0</v>
      </c>
      <c r="AC482" s="60">
        <v>1</v>
      </c>
      <c r="AD482" s="60">
        <v>0</v>
      </c>
      <c r="AE482" s="60">
        <v>0</v>
      </c>
      <c r="AF482" s="60">
        <v>0</v>
      </c>
      <c r="AG482" s="59">
        <v>1</v>
      </c>
      <c r="AH482" s="60">
        <v>0</v>
      </c>
      <c r="AI482" s="61">
        <v>0</v>
      </c>
      <c r="AJ482" s="60">
        <v>1</v>
      </c>
      <c r="AK482" s="61">
        <v>0</v>
      </c>
      <c r="AL482" s="62">
        <v>2000</v>
      </c>
      <c r="AM482" s="63">
        <f t="shared" si="134"/>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12</v>
      </c>
      <c r="CW482" s="68"/>
      <c r="DB482" s="68"/>
    </row>
    <row r="483" spans="1:106" x14ac:dyDescent="0.25">
      <c r="A483">
        <v>482</v>
      </c>
      <c r="B483">
        <v>32</v>
      </c>
      <c r="C483" s="25" t="s">
        <v>319</v>
      </c>
      <c r="D483" s="12">
        <v>6.62</v>
      </c>
      <c r="E483" s="14">
        <v>0.39</v>
      </c>
      <c r="F483" s="7">
        <f t="shared" ref="F483:F488" si="137">D483/E483</f>
        <v>16.974358974358974</v>
      </c>
      <c r="G483" s="7">
        <f t="shared" si="125"/>
        <v>6.23</v>
      </c>
      <c r="H483" s="16">
        <f t="shared" si="126"/>
        <v>7.01</v>
      </c>
      <c r="I483" s="11">
        <f t="shared" si="127"/>
        <v>0.7442826674266283</v>
      </c>
      <c r="J483" s="33">
        <f t="shared" si="128"/>
        <v>4.3847468322716771E-2</v>
      </c>
      <c r="K483" s="33">
        <f t="shared" si="129"/>
        <v>22.806333826163318</v>
      </c>
      <c r="L483" s="33">
        <f t="shared" si="130"/>
        <v>0.7004351991039115</v>
      </c>
      <c r="M483" s="33">
        <f t="shared" si="131"/>
        <v>0.7881301357493451</v>
      </c>
      <c r="N483" s="8">
        <v>1</v>
      </c>
      <c r="O483" s="9">
        <v>0</v>
      </c>
      <c r="P483" s="8">
        <v>1</v>
      </c>
      <c r="Q483" s="9">
        <v>0</v>
      </c>
      <c r="R483" s="9">
        <v>0</v>
      </c>
      <c r="S483" s="9">
        <v>0</v>
      </c>
      <c r="T483" s="9">
        <v>0</v>
      </c>
      <c r="U483" s="8">
        <v>237</v>
      </c>
      <c r="V483" s="9">
        <v>4</v>
      </c>
      <c r="W483" s="9">
        <f t="shared" si="132"/>
        <v>232</v>
      </c>
      <c r="X483" s="9">
        <f t="shared" si="133"/>
        <v>6</v>
      </c>
      <c r="Y483" s="7">
        <v>15.046200000000001</v>
      </c>
      <c r="Z483" s="7">
        <v>15.176500000000001</v>
      </c>
      <c r="AA483" s="9">
        <v>1</v>
      </c>
      <c r="AB483" s="9">
        <v>0</v>
      </c>
      <c r="AC483" s="9">
        <v>0</v>
      </c>
      <c r="AD483" s="9">
        <v>0</v>
      </c>
      <c r="AE483" s="9">
        <v>1</v>
      </c>
      <c r="AF483" s="9">
        <v>0</v>
      </c>
      <c r="AG483" s="8">
        <v>0</v>
      </c>
      <c r="AH483" s="9">
        <v>0</v>
      </c>
      <c r="AI483" s="30">
        <v>1</v>
      </c>
      <c r="AJ483" s="9">
        <v>1</v>
      </c>
      <c r="AK483" s="30">
        <v>0</v>
      </c>
      <c r="AL483" s="21">
        <v>2017</v>
      </c>
      <c r="AM483" s="7">
        <f t="shared" si="134"/>
        <v>7.6093665379542115</v>
      </c>
      <c r="AN483" s="33">
        <v>0</v>
      </c>
      <c r="AO483" s="33">
        <v>0</v>
      </c>
      <c r="AP483" s="33">
        <v>0.185</v>
      </c>
      <c r="AQ483" s="43">
        <f t="shared" ref="AQ483:AQ488" si="13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25</v>
      </c>
      <c r="DB483" s="34"/>
    </row>
    <row r="484" spans="1:106" x14ac:dyDescent="0.25">
      <c r="A484">
        <v>483</v>
      </c>
      <c r="B484">
        <v>32</v>
      </c>
      <c r="C484" s="25" t="s">
        <v>319</v>
      </c>
      <c r="D484" s="12">
        <v>9.9700000000000006</v>
      </c>
      <c r="E484" s="14">
        <v>1.1100000000000001</v>
      </c>
      <c r="F484" s="7">
        <f t="shared" si="137"/>
        <v>8.9819819819819813</v>
      </c>
      <c r="G484" s="7">
        <f t="shared" si="125"/>
        <v>8.8600000000000012</v>
      </c>
      <c r="H484" s="16">
        <f t="shared" si="126"/>
        <v>11.08</v>
      </c>
      <c r="I484" s="11">
        <f t="shared" si="127"/>
        <v>0.51040909554348857</v>
      </c>
      <c r="J484" s="33">
        <f t="shared" si="128"/>
        <v>5.6825887267128616E-2</v>
      </c>
      <c r="K484" s="33">
        <f t="shared" si="129"/>
        <v>17.597613483783789</v>
      </c>
      <c r="L484" s="33">
        <f t="shared" si="130"/>
        <v>0.45358320827635995</v>
      </c>
      <c r="M484" s="33">
        <f t="shared" si="131"/>
        <v>0.56723498281061713</v>
      </c>
      <c r="N484" s="8">
        <v>1</v>
      </c>
      <c r="O484" s="9">
        <v>0</v>
      </c>
      <c r="P484" s="8">
        <v>1</v>
      </c>
      <c r="Q484" s="9">
        <v>0</v>
      </c>
      <c r="R484" s="9">
        <v>0</v>
      </c>
      <c r="S484" s="9">
        <v>0</v>
      </c>
      <c r="T484" s="9">
        <v>0</v>
      </c>
      <c r="U484" s="8">
        <v>237</v>
      </c>
      <c r="V484" s="9">
        <v>7</v>
      </c>
      <c r="W484" s="9">
        <f t="shared" si="132"/>
        <v>229</v>
      </c>
      <c r="X484" s="9">
        <f t="shared" si="133"/>
        <v>6</v>
      </c>
      <c r="Y484" s="7">
        <v>15.046200000000001</v>
      </c>
      <c r="Z484" s="7">
        <v>15.176500000000001</v>
      </c>
      <c r="AA484" s="9">
        <v>1</v>
      </c>
      <c r="AB484" s="9">
        <v>0</v>
      </c>
      <c r="AC484" s="9">
        <v>0</v>
      </c>
      <c r="AD484" s="9">
        <v>0</v>
      </c>
      <c r="AE484" s="9">
        <v>1</v>
      </c>
      <c r="AF484" s="9">
        <v>0</v>
      </c>
      <c r="AG484" s="8">
        <v>0</v>
      </c>
      <c r="AH484" s="9">
        <v>0</v>
      </c>
      <c r="AI484" s="30">
        <v>1</v>
      </c>
      <c r="AJ484" s="9">
        <v>1</v>
      </c>
      <c r="AK484" s="30">
        <v>0</v>
      </c>
      <c r="AL484" s="21">
        <v>2017</v>
      </c>
      <c r="AM484" s="7">
        <f t="shared" si="134"/>
        <v>7.6093665379542115</v>
      </c>
      <c r="AN484" s="33">
        <v>0</v>
      </c>
      <c r="AO484" s="33">
        <v>0</v>
      </c>
      <c r="AP484" s="33">
        <v>0.185</v>
      </c>
      <c r="AQ484" s="43">
        <f t="shared" si="13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25</v>
      </c>
      <c r="DB484" s="34"/>
    </row>
    <row r="485" spans="1:106" x14ac:dyDescent="0.25">
      <c r="A485">
        <v>484</v>
      </c>
      <c r="B485">
        <v>32</v>
      </c>
      <c r="C485" s="25" t="s">
        <v>319</v>
      </c>
      <c r="D485" s="12">
        <v>5.72</v>
      </c>
      <c r="E485" s="14">
        <v>0.67</v>
      </c>
      <c r="F485" s="7">
        <f t="shared" si="137"/>
        <v>8.5373134328358198</v>
      </c>
      <c r="G485" s="7">
        <f t="shared" si="125"/>
        <v>5.05</v>
      </c>
      <c r="H485" s="16">
        <f t="shared" si="126"/>
        <v>6.39</v>
      </c>
      <c r="I485" s="11">
        <f t="shared" si="127"/>
        <v>0.49217600558469293</v>
      </c>
      <c r="J485" s="33">
        <f t="shared" si="128"/>
        <v>5.7649986668137115E-2</v>
      </c>
      <c r="K485" s="33">
        <f t="shared" si="129"/>
        <v>17.346057784132938</v>
      </c>
      <c r="L485" s="33">
        <f t="shared" si="130"/>
        <v>0.43452601891655585</v>
      </c>
      <c r="M485" s="33">
        <f t="shared" si="131"/>
        <v>0.54982599225283002</v>
      </c>
      <c r="N485" s="8">
        <v>1</v>
      </c>
      <c r="O485" s="9">
        <v>0</v>
      </c>
      <c r="P485" s="8">
        <v>1</v>
      </c>
      <c r="Q485" s="9">
        <v>0</v>
      </c>
      <c r="R485" s="9">
        <v>0</v>
      </c>
      <c r="S485" s="9">
        <v>0</v>
      </c>
      <c r="T485" s="9">
        <v>0</v>
      </c>
      <c r="U485" s="8">
        <v>237</v>
      </c>
      <c r="V485" s="9">
        <v>8</v>
      </c>
      <c r="W485" s="9">
        <f t="shared" si="132"/>
        <v>228</v>
      </c>
      <c r="X485" s="9">
        <f t="shared" si="133"/>
        <v>6</v>
      </c>
      <c r="Y485" s="7">
        <v>15.046200000000001</v>
      </c>
      <c r="Z485" s="7">
        <v>15.176500000000001</v>
      </c>
      <c r="AA485" s="9">
        <v>1</v>
      </c>
      <c r="AB485" s="9">
        <v>0</v>
      </c>
      <c r="AC485" s="9">
        <v>0</v>
      </c>
      <c r="AD485" s="9">
        <v>0</v>
      </c>
      <c r="AE485" s="9">
        <v>1</v>
      </c>
      <c r="AF485" s="9">
        <v>0</v>
      </c>
      <c r="AG485" s="8">
        <v>0</v>
      </c>
      <c r="AH485" s="9">
        <v>0</v>
      </c>
      <c r="AI485" s="30">
        <v>1</v>
      </c>
      <c r="AJ485" s="9">
        <v>1</v>
      </c>
      <c r="AK485" s="30">
        <v>0</v>
      </c>
      <c r="AL485" s="21">
        <v>2017</v>
      </c>
      <c r="AM485" s="7">
        <f t="shared" si="134"/>
        <v>7.6093665379542115</v>
      </c>
      <c r="AN485" s="33">
        <v>0</v>
      </c>
      <c r="AO485" s="33">
        <v>0</v>
      </c>
      <c r="AP485" s="33">
        <v>0.185</v>
      </c>
      <c r="AQ485" s="43">
        <f t="shared" si="13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25</v>
      </c>
      <c r="DB485" s="34"/>
    </row>
    <row r="486" spans="1:106" x14ac:dyDescent="0.25">
      <c r="A486">
        <v>485</v>
      </c>
      <c r="B486">
        <v>32</v>
      </c>
      <c r="C486" s="25" t="s">
        <v>319</v>
      </c>
      <c r="D486" s="12">
        <v>5.28</v>
      </c>
      <c r="E486" s="14">
        <v>0.7</v>
      </c>
      <c r="F486" s="7">
        <f t="shared" si="137"/>
        <v>7.5428571428571436</v>
      </c>
      <c r="G486" s="7">
        <f t="shared" si="125"/>
        <v>4.58</v>
      </c>
      <c r="H486" s="16">
        <f t="shared" si="126"/>
        <v>5.98</v>
      </c>
      <c r="I486" s="11">
        <f t="shared" si="127"/>
        <v>0.44688286452391052</v>
      </c>
      <c r="J486" s="33">
        <f t="shared" si="128"/>
        <v>5.924583431188208E-2</v>
      </c>
      <c r="K486" s="33">
        <f t="shared" si="129"/>
        <v>16.87882382980375</v>
      </c>
      <c r="L486" s="33">
        <f t="shared" si="130"/>
        <v>0.38763703021202844</v>
      </c>
      <c r="M486" s="33">
        <f t="shared" si="131"/>
        <v>0.50612869883579259</v>
      </c>
      <c r="N486" s="8">
        <v>1</v>
      </c>
      <c r="O486" s="9">
        <v>0</v>
      </c>
      <c r="P486" s="8">
        <v>1</v>
      </c>
      <c r="Q486" s="9">
        <v>0</v>
      </c>
      <c r="R486" s="9">
        <v>0</v>
      </c>
      <c r="S486" s="9">
        <v>0</v>
      </c>
      <c r="T486" s="9">
        <v>0</v>
      </c>
      <c r="U486" s="8">
        <v>237</v>
      </c>
      <c r="V486" s="9">
        <v>8</v>
      </c>
      <c r="W486" s="9">
        <f t="shared" si="132"/>
        <v>228</v>
      </c>
      <c r="X486" s="9">
        <f t="shared" si="133"/>
        <v>6</v>
      </c>
      <c r="Y486" s="7">
        <v>15.046200000000001</v>
      </c>
      <c r="Z486" s="7">
        <v>15.176500000000001</v>
      </c>
      <c r="AA486" s="9">
        <v>1</v>
      </c>
      <c r="AB486" s="9">
        <v>0</v>
      </c>
      <c r="AC486" s="9">
        <v>0</v>
      </c>
      <c r="AD486" s="9">
        <v>0</v>
      </c>
      <c r="AE486" s="9">
        <v>1</v>
      </c>
      <c r="AF486" s="9">
        <v>0</v>
      </c>
      <c r="AG486" s="8">
        <v>0</v>
      </c>
      <c r="AH486" s="9">
        <v>0</v>
      </c>
      <c r="AI486" s="30">
        <v>1</v>
      </c>
      <c r="AJ486" s="9">
        <v>1</v>
      </c>
      <c r="AK486" s="30">
        <v>0</v>
      </c>
      <c r="AL486" s="21">
        <v>2017</v>
      </c>
      <c r="AM486" s="7">
        <f t="shared" si="134"/>
        <v>7.6093665379542115</v>
      </c>
      <c r="AN486" s="33">
        <v>0</v>
      </c>
      <c r="AO486" s="33">
        <v>0</v>
      </c>
      <c r="AP486" s="33">
        <v>0.185</v>
      </c>
      <c r="AQ486" s="43">
        <f t="shared" si="13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25</v>
      </c>
      <c r="DB486" s="34"/>
    </row>
    <row r="487" spans="1:106" x14ac:dyDescent="0.25">
      <c r="A487">
        <v>486</v>
      </c>
      <c r="B487">
        <v>32</v>
      </c>
      <c r="C487" s="25" t="s">
        <v>319</v>
      </c>
      <c r="D487" s="12">
        <v>8.99</v>
      </c>
      <c r="E487" s="14">
        <v>1.39</v>
      </c>
      <c r="F487" s="7">
        <f t="shared" si="137"/>
        <v>6.4676258992805762</v>
      </c>
      <c r="G487" s="7">
        <f t="shared" si="125"/>
        <v>7.6000000000000005</v>
      </c>
      <c r="H487" s="16">
        <f t="shared" si="126"/>
        <v>10.38</v>
      </c>
      <c r="I487" s="11">
        <f t="shared" si="127"/>
        <v>0.39373101472301469</v>
      </c>
      <c r="J487" s="33">
        <f t="shared" si="128"/>
        <v>6.0877209172968898E-2</v>
      </c>
      <c r="K487" s="33">
        <f t="shared" si="129"/>
        <v>16.426508599609502</v>
      </c>
      <c r="L487" s="33">
        <f t="shared" si="130"/>
        <v>0.33285380555004579</v>
      </c>
      <c r="M487" s="33">
        <f t="shared" si="131"/>
        <v>0.4546082238959836</v>
      </c>
      <c r="N487" s="8">
        <v>1</v>
      </c>
      <c r="O487" s="9">
        <v>0</v>
      </c>
      <c r="P487" s="8">
        <v>1</v>
      </c>
      <c r="Q487" s="9">
        <v>0</v>
      </c>
      <c r="R487" s="9">
        <v>0</v>
      </c>
      <c r="S487" s="9">
        <v>0</v>
      </c>
      <c r="T487" s="9">
        <v>0</v>
      </c>
      <c r="U487" s="8">
        <v>237</v>
      </c>
      <c r="V487" s="9">
        <v>8</v>
      </c>
      <c r="W487" s="9">
        <f t="shared" si="132"/>
        <v>228</v>
      </c>
      <c r="X487" s="9">
        <f t="shared" si="133"/>
        <v>6</v>
      </c>
      <c r="Y487" s="7">
        <v>15.046200000000001</v>
      </c>
      <c r="Z487" s="7">
        <v>15.176500000000001</v>
      </c>
      <c r="AA487" s="9">
        <v>1</v>
      </c>
      <c r="AB487" s="9">
        <v>0</v>
      </c>
      <c r="AC487" s="9">
        <v>0</v>
      </c>
      <c r="AD487" s="9">
        <v>0</v>
      </c>
      <c r="AE487" s="9">
        <v>1</v>
      </c>
      <c r="AF487" s="9">
        <v>0</v>
      </c>
      <c r="AG487" s="8">
        <v>0</v>
      </c>
      <c r="AH487" s="9">
        <v>0</v>
      </c>
      <c r="AI487" s="30">
        <v>1</v>
      </c>
      <c r="AJ487" s="9">
        <v>1</v>
      </c>
      <c r="AK487" s="30">
        <v>0</v>
      </c>
      <c r="AL487" s="21">
        <v>2017</v>
      </c>
      <c r="AM487" s="7">
        <f t="shared" si="134"/>
        <v>7.6093665379542115</v>
      </c>
      <c r="AN487" s="33">
        <v>0</v>
      </c>
      <c r="AO487" s="33">
        <v>0</v>
      </c>
      <c r="AP487" s="33">
        <v>0.185</v>
      </c>
      <c r="AQ487" s="43">
        <f t="shared" si="13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25</v>
      </c>
      <c r="DB487" s="34"/>
    </row>
    <row r="488" spans="1:106" s="51" customFormat="1" x14ac:dyDescent="0.25">
      <c r="A488" s="51">
        <v>487</v>
      </c>
      <c r="B488" s="51">
        <v>32</v>
      </c>
      <c r="C488" s="52" t="s">
        <v>319</v>
      </c>
      <c r="D488" s="53">
        <v>7.98</v>
      </c>
      <c r="E488" s="54">
        <v>1.8</v>
      </c>
      <c r="F488" s="55">
        <f t="shared" si="137"/>
        <v>4.4333333333333336</v>
      </c>
      <c r="G488" s="55">
        <f t="shared" si="125"/>
        <v>6.1800000000000006</v>
      </c>
      <c r="H488" s="56">
        <f t="shared" si="126"/>
        <v>9.7800000000000011</v>
      </c>
      <c r="I488" s="57">
        <f t="shared" si="127"/>
        <v>0.28171328190061568</v>
      </c>
      <c r="J488" s="58">
        <f t="shared" si="128"/>
        <v>6.3544349300890743E-2</v>
      </c>
      <c r="K488" s="58">
        <f t="shared" si="129"/>
        <v>15.737040523695823</v>
      </c>
      <c r="L488" s="58">
        <f t="shared" si="130"/>
        <v>0.21816893259972492</v>
      </c>
      <c r="M488" s="58">
        <f t="shared" si="131"/>
        <v>0.34525763120150643</v>
      </c>
      <c r="N488" s="59">
        <v>1</v>
      </c>
      <c r="O488" s="60">
        <v>0</v>
      </c>
      <c r="P488" s="59">
        <v>1</v>
      </c>
      <c r="Q488" s="60">
        <v>0</v>
      </c>
      <c r="R488" s="60">
        <v>0</v>
      </c>
      <c r="S488" s="60">
        <v>0</v>
      </c>
      <c r="T488" s="60">
        <v>0</v>
      </c>
      <c r="U488" s="59">
        <v>237</v>
      </c>
      <c r="V488" s="60">
        <v>8</v>
      </c>
      <c r="W488" s="60">
        <f t="shared" si="132"/>
        <v>228</v>
      </c>
      <c r="X488" s="60">
        <f t="shared" si="133"/>
        <v>6</v>
      </c>
      <c r="Y488" s="55">
        <v>15.046200000000001</v>
      </c>
      <c r="Z488" s="55">
        <v>15.176500000000001</v>
      </c>
      <c r="AA488" s="60">
        <v>1</v>
      </c>
      <c r="AB488" s="60">
        <v>0</v>
      </c>
      <c r="AC488" s="60">
        <v>0</v>
      </c>
      <c r="AD488" s="60">
        <v>0</v>
      </c>
      <c r="AE488" s="60">
        <v>1</v>
      </c>
      <c r="AF488" s="60">
        <v>0</v>
      </c>
      <c r="AG488" s="59">
        <v>0</v>
      </c>
      <c r="AH488" s="60">
        <v>0</v>
      </c>
      <c r="AI488" s="61">
        <v>1</v>
      </c>
      <c r="AJ488" s="60">
        <v>1</v>
      </c>
      <c r="AK488" s="61">
        <v>0</v>
      </c>
      <c r="AL488" s="62">
        <v>2017</v>
      </c>
      <c r="AM488" s="63">
        <f t="shared" si="134"/>
        <v>7.6093665379542115</v>
      </c>
      <c r="AN488" s="58">
        <v>0</v>
      </c>
      <c r="AO488" s="58">
        <v>0</v>
      </c>
      <c r="AP488" s="58">
        <v>0.185</v>
      </c>
      <c r="AQ488" s="64">
        <f t="shared" si="13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25</v>
      </c>
      <c r="CW488" s="68"/>
      <c r="DB488" s="68"/>
    </row>
    <row r="489" spans="1:106" x14ac:dyDescent="0.25">
      <c r="A489">
        <v>488</v>
      </c>
      <c r="B489">
        <v>33</v>
      </c>
      <c r="C489" s="25" t="s">
        <v>326</v>
      </c>
      <c r="D489" s="12">
        <v>10.8332353640085</v>
      </c>
      <c r="E489" s="14">
        <v>0.27083088410021261</v>
      </c>
      <c r="F489" s="7">
        <v>40</v>
      </c>
      <c r="G489" s="7">
        <f t="shared" si="125"/>
        <v>10.562404479908288</v>
      </c>
      <c r="H489" s="16">
        <f t="shared" si="126"/>
        <v>11.104066248108712</v>
      </c>
      <c r="I489" s="11">
        <f t="shared" si="127"/>
        <v>0.18815249919273908</v>
      </c>
      <c r="J489" s="33">
        <f t="shared" si="128"/>
        <v>4.7038124798184765E-3</v>
      </c>
      <c r="K489" s="33">
        <f t="shared" si="129"/>
        <v>212.59350883787585</v>
      </c>
      <c r="L489" s="33">
        <f t="shared" si="130"/>
        <v>0.18344868671292061</v>
      </c>
      <c r="M489" s="33">
        <f t="shared" si="131"/>
        <v>0.19285631167255754</v>
      </c>
      <c r="N489" s="8">
        <v>0</v>
      </c>
      <c r="O489" s="9">
        <v>1</v>
      </c>
      <c r="P489" s="8">
        <v>0</v>
      </c>
      <c r="Q489" s="9">
        <v>0</v>
      </c>
      <c r="R489" s="9">
        <v>1</v>
      </c>
      <c r="S489" s="9">
        <v>0</v>
      </c>
      <c r="T489" s="9">
        <v>0</v>
      </c>
      <c r="U489" s="8">
        <v>43611</v>
      </c>
      <c r="V489" s="9">
        <v>14</v>
      </c>
      <c r="W489" s="9">
        <f t="shared" si="132"/>
        <v>43596</v>
      </c>
      <c r="X489" s="9">
        <f t="shared" si="133"/>
        <v>16</v>
      </c>
      <c r="Y489" s="7">
        <v>16</v>
      </c>
      <c r="Z489" s="7" t="s">
        <v>104</v>
      </c>
      <c r="AA489" s="9">
        <v>0</v>
      </c>
      <c r="AB489" s="9">
        <v>1</v>
      </c>
      <c r="AC489" s="9">
        <v>0</v>
      </c>
      <c r="AD489" s="9">
        <v>0</v>
      </c>
      <c r="AE489" s="9">
        <v>1</v>
      </c>
      <c r="AF489" s="9">
        <v>0</v>
      </c>
      <c r="AG489" s="8">
        <v>1</v>
      </c>
      <c r="AH489" s="9">
        <v>0</v>
      </c>
      <c r="AI489" s="30">
        <v>0</v>
      </c>
      <c r="AJ489" s="9">
        <v>0</v>
      </c>
      <c r="AK489" s="30">
        <v>1</v>
      </c>
      <c r="AL489" s="21">
        <v>2008</v>
      </c>
      <c r="AM489" s="23">
        <f t="shared" si="134"/>
        <v>7.6048944808116197</v>
      </c>
      <c r="AN489" s="33">
        <v>0</v>
      </c>
      <c r="AO489" s="33">
        <v>0</v>
      </c>
      <c r="AP489" s="33">
        <v>0.20100000000000001</v>
      </c>
      <c r="AQ489" s="43">
        <v>0.79900000000000004</v>
      </c>
      <c r="AR489" s="42" t="s">
        <v>104</v>
      </c>
      <c r="AS489" s="18" t="s">
        <v>104</v>
      </c>
      <c r="AT489" s="39">
        <f t="shared" ref="AT489:AT500" si="139">1-AU489</f>
        <v>0.42900000000000005</v>
      </c>
      <c r="AU489" s="40">
        <v>0.57099999999999995</v>
      </c>
      <c r="AV489">
        <v>0.61499999999999999</v>
      </c>
      <c r="AW489" s="40">
        <f t="shared" ref="AW489:AW504" si="140">1-AV489</f>
        <v>0.38500000000000001</v>
      </c>
      <c r="AX489">
        <v>0</v>
      </c>
      <c r="AY489" s="18">
        <v>1</v>
      </c>
      <c r="AZ489">
        <f t="shared" ref="AZ489:AZ504" si="14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19</v>
      </c>
      <c r="DB489" s="34"/>
    </row>
    <row r="490" spans="1:106" x14ac:dyDescent="0.25">
      <c r="A490">
        <v>489</v>
      </c>
      <c r="B490">
        <v>33</v>
      </c>
      <c r="C490" s="25" t="s">
        <v>326</v>
      </c>
      <c r="D490" s="12">
        <v>14.89125293076059</v>
      </c>
      <c r="E490" s="14">
        <v>0.28468571779395241</v>
      </c>
      <c r="F490" s="7">
        <v>52.307692307692307</v>
      </c>
      <c r="G490" s="7">
        <f t="shared" si="125"/>
        <v>14.606567212966638</v>
      </c>
      <c r="H490" s="16">
        <f t="shared" si="126"/>
        <v>15.175938648554542</v>
      </c>
      <c r="I490" s="11">
        <f t="shared" si="127"/>
        <v>0.24301025035175566</v>
      </c>
      <c r="J490" s="33">
        <f t="shared" si="128"/>
        <v>4.6457841979012111E-3</v>
      </c>
      <c r="K490" s="33">
        <f t="shared" si="129"/>
        <v>215.24891329471612</v>
      </c>
      <c r="L490" s="33">
        <f t="shared" si="130"/>
        <v>0.23836446615385445</v>
      </c>
      <c r="M490" s="33">
        <f t="shared" si="131"/>
        <v>0.24765603454965687</v>
      </c>
      <c r="N490" s="8">
        <v>0</v>
      </c>
      <c r="O490" s="9">
        <v>1</v>
      </c>
      <c r="P490" s="8">
        <v>0</v>
      </c>
      <c r="Q490" s="9">
        <v>0</v>
      </c>
      <c r="R490" s="9">
        <v>1</v>
      </c>
      <c r="S490" s="9">
        <v>0</v>
      </c>
      <c r="T490" s="9">
        <v>0</v>
      </c>
      <c r="U490" s="8">
        <v>43611</v>
      </c>
      <c r="V490" s="9">
        <v>14</v>
      </c>
      <c r="W490" s="9">
        <f t="shared" si="132"/>
        <v>43596</v>
      </c>
      <c r="X490" s="9">
        <f t="shared" si="133"/>
        <v>16</v>
      </c>
      <c r="Y490" s="7">
        <v>18</v>
      </c>
      <c r="Z490" s="7" t="s">
        <v>104</v>
      </c>
      <c r="AA490" s="9">
        <v>0</v>
      </c>
      <c r="AB490" s="9">
        <v>1</v>
      </c>
      <c r="AC490" s="9">
        <v>0</v>
      </c>
      <c r="AD490" s="9">
        <v>0</v>
      </c>
      <c r="AE490" s="9">
        <v>1</v>
      </c>
      <c r="AF490" s="9">
        <v>0</v>
      </c>
      <c r="AG490" s="8">
        <v>1</v>
      </c>
      <c r="AH490" s="9">
        <v>0</v>
      </c>
      <c r="AI490" s="30">
        <v>0</v>
      </c>
      <c r="AJ490" s="9">
        <v>0</v>
      </c>
      <c r="AK490" s="30">
        <v>1</v>
      </c>
      <c r="AL490" s="21">
        <v>2008</v>
      </c>
      <c r="AM490" s="23">
        <f t="shared" si="134"/>
        <v>7.6048944808116197</v>
      </c>
      <c r="AN490" s="33">
        <v>0</v>
      </c>
      <c r="AO490" s="33">
        <v>0</v>
      </c>
      <c r="AP490" s="33">
        <v>0.20100000000000001</v>
      </c>
      <c r="AQ490" s="43">
        <v>0.79900000000000004</v>
      </c>
      <c r="AR490" s="42" t="s">
        <v>104</v>
      </c>
      <c r="AS490" s="18" t="s">
        <v>104</v>
      </c>
      <c r="AT490" s="39">
        <f t="shared" si="139"/>
        <v>0.42900000000000005</v>
      </c>
      <c r="AU490" s="40">
        <v>0.57099999999999995</v>
      </c>
      <c r="AV490">
        <v>0.61499999999999999</v>
      </c>
      <c r="AW490" s="40">
        <f t="shared" si="140"/>
        <v>0.38500000000000001</v>
      </c>
      <c r="AX490">
        <v>0</v>
      </c>
      <c r="AY490" s="18">
        <v>1</v>
      </c>
      <c r="AZ490">
        <f t="shared" si="14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19</v>
      </c>
      <c r="DB490" s="34"/>
    </row>
    <row r="491" spans="1:106" x14ac:dyDescent="0.25">
      <c r="A491">
        <v>490</v>
      </c>
      <c r="B491">
        <v>33</v>
      </c>
      <c r="C491" s="25" t="s">
        <v>326</v>
      </c>
      <c r="D491" s="12">
        <v>11.193365366583111</v>
      </c>
      <c r="E491" s="14">
        <v>0.18151403297161811</v>
      </c>
      <c r="F491" s="7">
        <v>61.666666666666657</v>
      </c>
      <c r="G491" s="7">
        <f t="shared" si="125"/>
        <v>11.011851333611492</v>
      </c>
      <c r="H491" s="16">
        <f t="shared" si="126"/>
        <v>11.374879399554729</v>
      </c>
      <c r="I491" s="11">
        <f t="shared" si="127"/>
        <v>0.28325102065209717</v>
      </c>
      <c r="J491" s="33">
        <f t="shared" si="128"/>
        <v>4.5932597943583323E-3</v>
      </c>
      <c r="K491" s="33">
        <f t="shared" si="129"/>
        <v>217.71030700859751</v>
      </c>
      <c r="L491" s="33">
        <f t="shared" si="130"/>
        <v>0.27865776085773886</v>
      </c>
      <c r="M491" s="33">
        <f t="shared" si="131"/>
        <v>0.28784428044645549</v>
      </c>
      <c r="N491" s="8">
        <v>0</v>
      </c>
      <c r="O491" s="9">
        <v>1</v>
      </c>
      <c r="P491" s="8">
        <v>0</v>
      </c>
      <c r="Q491" s="9">
        <v>0</v>
      </c>
      <c r="R491" s="9">
        <v>1</v>
      </c>
      <c r="S491" s="9">
        <v>0</v>
      </c>
      <c r="T491" s="9">
        <v>0</v>
      </c>
      <c r="U491" s="8">
        <v>43611</v>
      </c>
      <c r="V491" s="9">
        <v>15</v>
      </c>
      <c r="W491" s="9">
        <f t="shared" si="132"/>
        <v>43595</v>
      </c>
      <c r="X491" s="9">
        <f t="shared" si="133"/>
        <v>16</v>
      </c>
      <c r="Y491" s="7">
        <v>16</v>
      </c>
      <c r="Z491" s="7" t="s">
        <v>104</v>
      </c>
      <c r="AA491" s="9">
        <v>0</v>
      </c>
      <c r="AB491" s="9">
        <v>1</v>
      </c>
      <c r="AC491" s="9">
        <v>0</v>
      </c>
      <c r="AD491" s="9">
        <v>0</v>
      </c>
      <c r="AE491" s="9">
        <v>1</v>
      </c>
      <c r="AF491" s="9">
        <v>0</v>
      </c>
      <c r="AG491" s="8">
        <v>1</v>
      </c>
      <c r="AH491" s="9">
        <v>0</v>
      </c>
      <c r="AI491" s="30">
        <v>0</v>
      </c>
      <c r="AJ491" s="9">
        <v>0</v>
      </c>
      <c r="AK491" s="30">
        <v>1</v>
      </c>
      <c r="AL491" s="21">
        <v>2008</v>
      </c>
      <c r="AM491" s="23">
        <f t="shared" si="134"/>
        <v>7.6048944808116197</v>
      </c>
      <c r="AN491" s="33">
        <v>0</v>
      </c>
      <c r="AO491" s="33">
        <v>0</v>
      </c>
      <c r="AP491" s="33">
        <v>0.20100000000000001</v>
      </c>
      <c r="AQ491" s="43">
        <v>0.79900000000000004</v>
      </c>
      <c r="AR491" s="42" t="s">
        <v>104</v>
      </c>
      <c r="AS491" s="18" t="s">
        <v>104</v>
      </c>
      <c r="AT491" s="39">
        <f t="shared" si="139"/>
        <v>0.42900000000000005</v>
      </c>
      <c r="AU491" s="40">
        <v>0.57099999999999995</v>
      </c>
      <c r="AV491">
        <v>0.61499999999999999</v>
      </c>
      <c r="AW491" s="40">
        <f t="shared" si="140"/>
        <v>0.38500000000000001</v>
      </c>
      <c r="AX491">
        <v>0</v>
      </c>
      <c r="AY491" s="18">
        <v>1</v>
      </c>
      <c r="AZ491">
        <f t="shared" si="14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19</v>
      </c>
      <c r="DB491" s="34"/>
    </row>
    <row r="492" spans="1:106" x14ac:dyDescent="0.25">
      <c r="A492">
        <v>491</v>
      </c>
      <c r="B492">
        <v>33</v>
      </c>
      <c r="C492" s="25" t="s">
        <v>326</v>
      </c>
      <c r="D492" s="12">
        <v>14.891252930760571</v>
      </c>
      <c r="E492" s="14">
        <v>0.1942337338794857</v>
      </c>
      <c r="F492" s="7">
        <v>76.666666666666671</v>
      </c>
      <c r="G492" s="7">
        <f t="shared" si="125"/>
        <v>14.697019196881085</v>
      </c>
      <c r="H492" s="16">
        <f t="shared" si="126"/>
        <v>15.085486664640056</v>
      </c>
      <c r="I492" s="11">
        <f t="shared" si="127"/>
        <v>0.34468583278159914</v>
      </c>
      <c r="J492" s="33">
        <f t="shared" si="128"/>
        <v>4.4959021667165108E-3</v>
      </c>
      <c r="K492" s="33">
        <f t="shared" si="129"/>
        <v>222.42476880459552</v>
      </c>
      <c r="L492" s="33">
        <f t="shared" si="130"/>
        <v>0.34018993061488262</v>
      </c>
      <c r="M492" s="33">
        <f t="shared" si="131"/>
        <v>0.34918173494831567</v>
      </c>
      <c r="N492" s="8">
        <v>0</v>
      </c>
      <c r="O492" s="9">
        <v>1</v>
      </c>
      <c r="P492" s="8">
        <v>0</v>
      </c>
      <c r="Q492" s="9">
        <v>0</v>
      </c>
      <c r="R492" s="9">
        <v>1</v>
      </c>
      <c r="S492" s="9">
        <v>0</v>
      </c>
      <c r="T492" s="9">
        <v>0</v>
      </c>
      <c r="U492" s="8">
        <v>43611</v>
      </c>
      <c r="V492" s="9">
        <v>15</v>
      </c>
      <c r="W492" s="9">
        <f t="shared" si="132"/>
        <v>43595</v>
      </c>
      <c r="X492" s="9">
        <f t="shared" si="133"/>
        <v>16</v>
      </c>
      <c r="Y492" s="7">
        <v>18</v>
      </c>
      <c r="Z492" s="7" t="s">
        <v>104</v>
      </c>
      <c r="AA492" s="9">
        <v>0</v>
      </c>
      <c r="AB492" s="9">
        <v>1</v>
      </c>
      <c r="AC492" s="9">
        <v>0</v>
      </c>
      <c r="AD492" s="9">
        <v>0</v>
      </c>
      <c r="AE492" s="9">
        <v>1</v>
      </c>
      <c r="AF492" s="9">
        <v>0</v>
      </c>
      <c r="AG492" s="8">
        <v>1</v>
      </c>
      <c r="AH492" s="9">
        <v>0</v>
      </c>
      <c r="AI492" s="30">
        <v>0</v>
      </c>
      <c r="AJ492" s="9">
        <v>0</v>
      </c>
      <c r="AK492" s="30">
        <v>1</v>
      </c>
      <c r="AL492" s="21">
        <v>2008</v>
      </c>
      <c r="AM492" s="23">
        <f t="shared" si="134"/>
        <v>7.6048944808116197</v>
      </c>
      <c r="AN492" s="33">
        <v>0</v>
      </c>
      <c r="AO492" s="33">
        <v>0</v>
      </c>
      <c r="AP492" s="33">
        <v>0.20100000000000001</v>
      </c>
      <c r="AQ492" s="43">
        <v>0.79900000000000004</v>
      </c>
      <c r="AR492" s="42" t="s">
        <v>104</v>
      </c>
      <c r="AS492" s="18" t="s">
        <v>104</v>
      </c>
      <c r="AT492" s="39">
        <f t="shared" si="139"/>
        <v>0.42900000000000005</v>
      </c>
      <c r="AU492" s="40">
        <v>0.57099999999999995</v>
      </c>
      <c r="AV492">
        <v>0.61499999999999999</v>
      </c>
      <c r="AW492" s="40">
        <f t="shared" si="140"/>
        <v>0.38500000000000001</v>
      </c>
      <c r="AX492">
        <v>0</v>
      </c>
      <c r="AY492" s="18">
        <v>1</v>
      </c>
      <c r="AZ492">
        <f t="shared" si="14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19</v>
      </c>
      <c r="DB492" s="34"/>
    </row>
    <row r="493" spans="1:106" x14ac:dyDescent="0.25">
      <c r="A493">
        <v>492</v>
      </c>
      <c r="B493">
        <v>33</v>
      </c>
      <c r="C493" s="25" t="s">
        <v>326</v>
      </c>
      <c r="D493" s="12">
        <v>10.8332353640085</v>
      </c>
      <c r="E493" s="14">
        <v>0.18055392273347509</v>
      </c>
      <c r="F493" s="7">
        <v>60</v>
      </c>
      <c r="G493" s="7">
        <f t="shared" si="125"/>
        <v>10.652681441275025</v>
      </c>
      <c r="H493" s="16">
        <f t="shared" si="126"/>
        <v>11.013789286741975</v>
      </c>
      <c r="I493" s="11">
        <f t="shared" si="127"/>
        <v>0.2761899403727695</v>
      </c>
      <c r="J493" s="33">
        <f t="shared" si="128"/>
        <v>4.603165672879491E-3</v>
      </c>
      <c r="K493" s="33">
        <f t="shared" si="129"/>
        <v>217.2418007658747</v>
      </c>
      <c r="L493" s="33">
        <f t="shared" si="130"/>
        <v>0.27158677469989001</v>
      </c>
      <c r="M493" s="33">
        <f t="shared" si="131"/>
        <v>0.280793106045649</v>
      </c>
      <c r="N493" s="8">
        <v>0</v>
      </c>
      <c r="O493" s="9">
        <v>1</v>
      </c>
      <c r="P493" s="8">
        <v>0</v>
      </c>
      <c r="Q493" s="9">
        <v>0</v>
      </c>
      <c r="R493" s="9">
        <v>1</v>
      </c>
      <c r="S493" s="9">
        <v>0</v>
      </c>
      <c r="T493" s="9">
        <v>0</v>
      </c>
      <c r="U493" s="8">
        <v>43611</v>
      </c>
      <c r="V493" s="9">
        <v>16</v>
      </c>
      <c r="W493" s="9">
        <f t="shared" si="132"/>
        <v>43594</v>
      </c>
      <c r="X493" s="9">
        <f t="shared" si="133"/>
        <v>16</v>
      </c>
      <c r="Y493" s="7">
        <v>16</v>
      </c>
      <c r="Z493" s="7" t="s">
        <v>104</v>
      </c>
      <c r="AA493" s="9">
        <v>0</v>
      </c>
      <c r="AB493" s="9">
        <v>1</v>
      </c>
      <c r="AC493" s="9">
        <v>0</v>
      </c>
      <c r="AD493" s="9">
        <v>0</v>
      </c>
      <c r="AE493" s="9">
        <v>1</v>
      </c>
      <c r="AF493" s="9">
        <v>0</v>
      </c>
      <c r="AG493" s="8">
        <v>1</v>
      </c>
      <c r="AH493" s="9">
        <v>0</v>
      </c>
      <c r="AI493" s="30">
        <v>0</v>
      </c>
      <c r="AJ493" s="9">
        <v>0</v>
      </c>
      <c r="AK493" s="30">
        <v>1</v>
      </c>
      <c r="AL493" s="21">
        <v>2008</v>
      </c>
      <c r="AM493" s="23">
        <f t="shared" si="134"/>
        <v>7.6048944808116197</v>
      </c>
      <c r="AN493" s="33">
        <v>0</v>
      </c>
      <c r="AO493" s="33">
        <v>0</v>
      </c>
      <c r="AP493" s="33">
        <v>0.20100000000000001</v>
      </c>
      <c r="AQ493" s="43">
        <v>0.79900000000000004</v>
      </c>
      <c r="AR493" s="42" t="s">
        <v>104</v>
      </c>
      <c r="AS493" s="18" t="s">
        <v>104</v>
      </c>
      <c r="AT493" s="39">
        <f t="shared" si="139"/>
        <v>0.42900000000000005</v>
      </c>
      <c r="AU493" s="40">
        <v>0.57099999999999995</v>
      </c>
      <c r="AV493">
        <v>0.61499999999999999</v>
      </c>
      <c r="AW493" s="40">
        <f t="shared" si="140"/>
        <v>0.38500000000000001</v>
      </c>
      <c r="AX493">
        <v>0</v>
      </c>
      <c r="AY493" s="18">
        <v>1</v>
      </c>
      <c r="AZ493">
        <f t="shared" si="14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19</v>
      </c>
      <c r="DB493" s="34"/>
    </row>
    <row r="494" spans="1:106" x14ac:dyDescent="0.25">
      <c r="A494">
        <v>493</v>
      </c>
      <c r="B494">
        <v>33</v>
      </c>
      <c r="C494" s="25" t="s">
        <v>326</v>
      </c>
      <c r="D494" s="12">
        <v>14.89125293076059</v>
      </c>
      <c r="E494" s="14">
        <v>0.19709011231889009</v>
      </c>
      <c r="F494" s="7">
        <v>75.555555555555571</v>
      </c>
      <c r="G494" s="7">
        <f t="shared" si="125"/>
        <v>14.694162818441701</v>
      </c>
      <c r="H494" s="16">
        <f t="shared" si="126"/>
        <v>15.08834304307948</v>
      </c>
      <c r="I494" s="11">
        <f t="shared" si="127"/>
        <v>0.34027599068456138</v>
      </c>
      <c r="J494" s="33">
        <f t="shared" si="128"/>
        <v>4.5036528178838998E-3</v>
      </c>
      <c r="K494" s="33">
        <f t="shared" si="129"/>
        <v>222.04198246121979</v>
      </c>
      <c r="L494" s="33">
        <f t="shared" si="130"/>
        <v>0.33577233786667748</v>
      </c>
      <c r="M494" s="33">
        <f t="shared" si="131"/>
        <v>0.34477964350244528</v>
      </c>
      <c r="N494" s="8">
        <v>0</v>
      </c>
      <c r="O494" s="9">
        <v>1</v>
      </c>
      <c r="P494" s="8">
        <v>0</v>
      </c>
      <c r="Q494" s="9">
        <v>0</v>
      </c>
      <c r="R494" s="9">
        <v>1</v>
      </c>
      <c r="S494" s="9">
        <v>0</v>
      </c>
      <c r="T494" s="9">
        <v>0</v>
      </c>
      <c r="U494" s="8">
        <v>43611</v>
      </c>
      <c r="V494" s="9">
        <v>16</v>
      </c>
      <c r="W494" s="9">
        <f t="shared" si="132"/>
        <v>43594</v>
      </c>
      <c r="X494" s="9">
        <f t="shared" si="133"/>
        <v>16</v>
      </c>
      <c r="Y494" s="7">
        <v>18</v>
      </c>
      <c r="Z494" s="7" t="s">
        <v>104</v>
      </c>
      <c r="AA494" s="9">
        <v>0</v>
      </c>
      <c r="AB494" s="9">
        <v>1</v>
      </c>
      <c r="AC494" s="9">
        <v>0</v>
      </c>
      <c r="AD494" s="9">
        <v>0</v>
      </c>
      <c r="AE494" s="9">
        <v>1</v>
      </c>
      <c r="AF494" s="9">
        <v>0</v>
      </c>
      <c r="AG494" s="8">
        <v>1</v>
      </c>
      <c r="AH494" s="9">
        <v>0</v>
      </c>
      <c r="AI494" s="30">
        <v>0</v>
      </c>
      <c r="AJ494" s="9">
        <v>0</v>
      </c>
      <c r="AK494" s="30">
        <v>1</v>
      </c>
      <c r="AL494" s="21">
        <v>2008</v>
      </c>
      <c r="AM494" s="23">
        <f t="shared" si="134"/>
        <v>7.6048944808116197</v>
      </c>
      <c r="AN494" s="33">
        <v>0</v>
      </c>
      <c r="AO494" s="33">
        <v>0</v>
      </c>
      <c r="AP494" s="33">
        <v>0.20100000000000001</v>
      </c>
      <c r="AQ494" s="43">
        <v>0.79900000000000004</v>
      </c>
      <c r="AR494" s="42" t="s">
        <v>104</v>
      </c>
      <c r="AS494" s="18" t="s">
        <v>104</v>
      </c>
      <c r="AT494" s="39">
        <f t="shared" si="139"/>
        <v>0.42900000000000005</v>
      </c>
      <c r="AU494" s="40">
        <v>0.57099999999999995</v>
      </c>
      <c r="AV494">
        <v>0.61499999999999999</v>
      </c>
      <c r="AW494" s="40">
        <f t="shared" si="140"/>
        <v>0.38500000000000001</v>
      </c>
      <c r="AX494">
        <v>0</v>
      </c>
      <c r="AY494" s="18">
        <v>1</v>
      </c>
      <c r="AZ494">
        <f t="shared" si="14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19</v>
      </c>
      <c r="DB494" s="34"/>
    </row>
    <row r="495" spans="1:106" x14ac:dyDescent="0.25">
      <c r="A495">
        <v>494</v>
      </c>
      <c r="B495">
        <v>33</v>
      </c>
      <c r="C495" s="25" t="s">
        <v>326</v>
      </c>
      <c r="D495" s="12">
        <v>10.8332353640085</v>
      </c>
      <c r="E495" s="14">
        <v>0.18055392273347509</v>
      </c>
      <c r="F495" s="7">
        <v>60</v>
      </c>
      <c r="G495" s="7">
        <f t="shared" si="125"/>
        <v>10.652681441275025</v>
      </c>
      <c r="H495" s="16">
        <f t="shared" si="126"/>
        <v>11.013789286741975</v>
      </c>
      <c r="I495" s="11">
        <f t="shared" si="127"/>
        <v>0.27619286653212893</v>
      </c>
      <c r="J495" s="33">
        <f t="shared" si="128"/>
        <v>4.6032144422021486E-3</v>
      </c>
      <c r="K495" s="33">
        <f t="shared" si="129"/>
        <v>217.23949917084599</v>
      </c>
      <c r="L495" s="33">
        <f t="shared" si="130"/>
        <v>0.2715896520899268</v>
      </c>
      <c r="M495" s="33">
        <f t="shared" si="131"/>
        <v>0.28079608097433106</v>
      </c>
      <c r="N495" s="8">
        <v>0</v>
      </c>
      <c r="O495" s="9">
        <v>1</v>
      </c>
      <c r="P495" s="8">
        <v>0</v>
      </c>
      <c r="Q495" s="9">
        <v>0</v>
      </c>
      <c r="R495" s="9">
        <v>1</v>
      </c>
      <c r="S495" s="9">
        <v>0</v>
      </c>
      <c r="T495" s="9">
        <v>0</v>
      </c>
      <c r="U495" s="8">
        <v>43611</v>
      </c>
      <c r="V495" s="9">
        <v>17</v>
      </c>
      <c r="W495" s="9">
        <f t="shared" si="132"/>
        <v>43593</v>
      </c>
      <c r="X495" s="9">
        <f t="shared" si="133"/>
        <v>16</v>
      </c>
      <c r="Y495" s="7">
        <v>16</v>
      </c>
      <c r="Z495" s="7" t="s">
        <v>104</v>
      </c>
      <c r="AA495" s="9">
        <v>0</v>
      </c>
      <c r="AB495" s="9">
        <v>1</v>
      </c>
      <c r="AC495" s="9">
        <v>0</v>
      </c>
      <c r="AD495" s="9">
        <v>0</v>
      </c>
      <c r="AE495" s="9">
        <v>1</v>
      </c>
      <c r="AF495" s="9">
        <v>0</v>
      </c>
      <c r="AG495" s="8">
        <v>1</v>
      </c>
      <c r="AH495" s="9">
        <v>0</v>
      </c>
      <c r="AI495" s="30">
        <v>0</v>
      </c>
      <c r="AJ495" s="9">
        <v>0</v>
      </c>
      <c r="AK495" s="30">
        <v>1</v>
      </c>
      <c r="AL495" s="21">
        <v>2008</v>
      </c>
      <c r="AM495" s="23">
        <f t="shared" si="134"/>
        <v>7.6048944808116197</v>
      </c>
      <c r="AN495" s="33">
        <v>0</v>
      </c>
      <c r="AO495" s="33">
        <v>0</v>
      </c>
      <c r="AP495" s="33">
        <v>0.20100000000000001</v>
      </c>
      <c r="AQ495" s="43">
        <v>0.79900000000000004</v>
      </c>
      <c r="AR495" s="42" t="s">
        <v>104</v>
      </c>
      <c r="AS495" s="18" t="s">
        <v>104</v>
      </c>
      <c r="AT495" s="39">
        <f t="shared" si="139"/>
        <v>0.42900000000000005</v>
      </c>
      <c r="AU495" s="40">
        <v>0.57099999999999995</v>
      </c>
      <c r="AV495">
        <v>0.61499999999999999</v>
      </c>
      <c r="AW495" s="40">
        <f t="shared" si="140"/>
        <v>0.38500000000000001</v>
      </c>
      <c r="AX495">
        <v>0</v>
      </c>
      <c r="AY495" s="18">
        <v>1</v>
      </c>
      <c r="AZ495">
        <f t="shared" si="14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19</v>
      </c>
      <c r="DB495" s="34"/>
    </row>
    <row r="496" spans="1:106" x14ac:dyDescent="0.25">
      <c r="A496">
        <v>495</v>
      </c>
      <c r="B496">
        <v>33</v>
      </c>
      <c r="C496" s="25" t="s">
        <v>326</v>
      </c>
      <c r="D496" s="12">
        <v>14.45523142259597</v>
      </c>
      <c r="E496" s="14">
        <v>0.19417475045278171</v>
      </c>
      <c r="F496" s="7">
        <v>74.444444444444457</v>
      </c>
      <c r="G496" s="7">
        <f t="shared" si="125"/>
        <v>14.261056672143189</v>
      </c>
      <c r="H496" s="16">
        <f t="shared" si="126"/>
        <v>14.649406173048751</v>
      </c>
      <c r="I496" s="11">
        <f t="shared" si="127"/>
        <v>0.33584348060361058</v>
      </c>
      <c r="J496" s="33">
        <f t="shared" si="128"/>
        <v>4.5113303364664112E-3</v>
      </c>
      <c r="K496" s="33">
        <f t="shared" si="129"/>
        <v>221.66410469140459</v>
      </c>
      <c r="L496" s="33">
        <f t="shared" si="130"/>
        <v>0.33133215026714419</v>
      </c>
      <c r="M496" s="33">
        <f t="shared" si="131"/>
        <v>0.34035481094007697</v>
      </c>
      <c r="N496" s="8">
        <v>0</v>
      </c>
      <c r="O496" s="9">
        <v>1</v>
      </c>
      <c r="P496" s="8">
        <v>0</v>
      </c>
      <c r="Q496" s="9">
        <v>0</v>
      </c>
      <c r="R496" s="9">
        <v>1</v>
      </c>
      <c r="S496" s="9">
        <v>0</v>
      </c>
      <c r="T496" s="9">
        <v>0</v>
      </c>
      <c r="U496" s="8">
        <v>43611</v>
      </c>
      <c r="V496" s="9">
        <v>17</v>
      </c>
      <c r="W496" s="9">
        <f t="shared" si="132"/>
        <v>43593</v>
      </c>
      <c r="X496" s="9">
        <f t="shared" si="133"/>
        <v>16</v>
      </c>
      <c r="Y496" s="7">
        <v>18</v>
      </c>
      <c r="Z496" s="7" t="s">
        <v>104</v>
      </c>
      <c r="AA496" s="9">
        <v>0</v>
      </c>
      <c r="AB496" s="9">
        <v>1</v>
      </c>
      <c r="AC496" s="9">
        <v>0</v>
      </c>
      <c r="AD496" s="9">
        <v>0</v>
      </c>
      <c r="AE496" s="9">
        <v>1</v>
      </c>
      <c r="AF496" s="9">
        <v>0</v>
      </c>
      <c r="AG496" s="8">
        <v>1</v>
      </c>
      <c r="AH496" s="9">
        <v>0</v>
      </c>
      <c r="AI496" s="30">
        <v>0</v>
      </c>
      <c r="AJ496" s="9">
        <v>0</v>
      </c>
      <c r="AK496" s="30">
        <v>1</v>
      </c>
      <c r="AL496" s="21">
        <v>2008</v>
      </c>
      <c r="AM496" s="23">
        <f t="shared" si="134"/>
        <v>7.6048944808116197</v>
      </c>
      <c r="AN496" s="33">
        <v>0</v>
      </c>
      <c r="AO496" s="33">
        <v>0</v>
      </c>
      <c r="AP496" s="33">
        <v>0.20100000000000001</v>
      </c>
      <c r="AQ496" s="43">
        <v>0.79900000000000004</v>
      </c>
      <c r="AR496" s="42" t="s">
        <v>104</v>
      </c>
      <c r="AS496" s="18" t="s">
        <v>104</v>
      </c>
      <c r="AT496" s="39">
        <f t="shared" si="139"/>
        <v>0.42900000000000005</v>
      </c>
      <c r="AU496" s="40">
        <v>0.57099999999999995</v>
      </c>
      <c r="AV496">
        <v>0.61499999999999999</v>
      </c>
      <c r="AW496" s="40">
        <f t="shared" si="140"/>
        <v>0.38500000000000001</v>
      </c>
      <c r="AX496">
        <v>0</v>
      </c>
      <c r="AY496" s="18">
        <v>1</v>
      </c>
      <c r="AZ496">
        <f t="shared" si="14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19</v>
      </c>
      <c r="DB496" s="34"/>
    </row>
    <row r="497" spans="1:106" x14ac:dyDescent="0.25">
      <c r="A497">
        <v>496</v>
      </c>
      <c r="B497">
        <v>33</v>
      </c>
      <c r="C497" s="25" t="s">
        <v>326</v>
      </c>
      <c r="D497" s="12">
        <v>11.924519847066071</v>
      </c>
      <c r="E497" s="14">
        <v>0.42805968681775619</v>
      </c>
      <c r="F497" s="7">
        <v>27.857142857142861</v>
      </c>
      <c r="G497" s="7">
        <f t="shared" si="125"/>
        <v>11.496460160248315</v>
      </c>
      <c r="H497" s="16">
        <f t="shared" si="126"/>
        <v>12.352579533883826</v>
      </c>
      <c r="I497" s="11">
        <f t="shared" si="127"/>
        <v>0.13839588612814366</v>
      </c>
      <c r="J497" s="33">
        <f t="shared" si="128"/>
        <v>4.9680574507538749E-3</v>
      </c>
      <c r="K497" s="33">
        <f t="shared" si="129"/>
        <v>201.28591706367155</v>
      </c>
      <c r="L497" s="33">
        <f t="shared" si="130"/>
        <v>0.13342782867738978</v>
      </c>
      <c r="M497" s="33">
        <f t="shared" si="131"/>
        <v>0.14336394357889753</v>
      </c>
      <c r="N497" s="8">
        <v>0</v>
      </c>
      <c r="O497" s="9">
        <v>1</v>
      </c>
      <c r="P497" s="8">
        <v>0</v>
      </c>
      <c r="Q497" s="9">
        <v>0</v>
      </c>
      <c r="R497" s="9">
        <v>1</v>
      </c>
      <c r="S497" s="9">
        <v>0</v>
      </c>
      <c r="T497" s="9">
        <v>0</v>
      </c>
      <c r="U497" s="8">
        <v>39756</v>
      </c>
      <c r="V497" s="9">
        <v>15</v>
      </c>
      <c r="W497" s="9">
        <f t="shared" si="132"/>
        <v>39740</v>
      </c>
      <c r="X497" s="9">
        <f t="shared" si="133"/>
        <v>16</v>
      </c>
      <c r="Y497" s="7">
        <v>16</v>
      </c>
      <c r="Z497" s="7" t="s">
        <v>104</v>
      </c>
      <c r="AA497" s="9">
        <v>0</v>
      </c>
      <c r="AB497" s="9">
        <v>1</v>
      </c>
      <c r="AC497" s="9">
        <v>0</v>
      </c>
      <c r="AD497" s="9">
        <v>0</v>
      </c>
      <c r="AE497" s="9">
        <v>1</v>
      </c>
      <c r="AF497" s="9">
        <v>0</v>
      </c>
      <c r="AG497" s="8">
        <v>1</v>
      </c>
      <c r="AH497" s="9">
        <v>0</v>
      </c>
      <c r="AI497" s="30">
        <v>0</v>
      </c>
      <c r="AJ497" s="9">
        <v>0</v>
      </c>
      <c r="AK497" s="30">
        <v>1</v>
      </c>
      <c r="AL497" s="21">
        <v>2008</v>
      </c>
      <c r="AM497" s="23">
        <f t="shared" si="134"/>
        <v>7.6048944808116197</v>
      </c>
      <c r="AN497" s="33">
        <v>0</v>
      </c>
      <c r="AO497" s="33">
        <v>0</v>
      </c>
      <c r="AP497" s="33">
        <v>0.20100000000000001</v>
      </c>
      <c r="AQ497" s="43">
        <v>0.79900000000000004</v>
      </c>
      <c r="AR497" s="42" t="s">
        <v>104</v>
      </c>
      <c r="AS497" s="18" t="s">
        <v>104</v>
      </c>
      <c r="AT497" s="39">
        <f t="shared" si="139"/>
        <v>0.42900000000000005</v>
      </c>
      <c r="AU497" s="40">
        <v>0.57099999999999995</v>
      </c>
      <c r="AV497">
        <v>0.61499999999999999</v>
      </c>
      <c r="AW497" s="40">
        <f t="shared" si="140"/>
        <v>0.38500000000000001</v>
      </c>
      <c r="AX497">
        <v>0</v>
      </c>
      <c r="AY497" s="18">
        <v>1</v>
      </c>
      <c r="AZ497">
        <f t="shared" si="14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19</v>
      </c>
      <c r="DB497" s="34"/>
    </row>
    <row r="498" spans="1:106" x14ac:dyDescent="0.25">
      <c r="A498">
        <v>497</v>
      </c>
      <c r="B498">
        <v>33</v>
      </c>
      <c r="C498" s="25" t="s">
        <v>326</v>
      </c>
      <c r="D498" s="12">
        <v>14.45523142259597</v>
      </c>
      <c r="E498" s="14">
        <v>0.35105562026304499</v>
      </c>
      <c r="F498" s="7">
        <v>41.17647058823529</v>
      </c>
      <c r="G498" s="7">
        <f t="shared" si="125"/>
        <v>14.104175802332925</v>
      </c>
      <c r="H498" s="16">
        <f t="shared" si="126"/>
        <v>14.806287042859015</v>
      </c>
      <c r="I498" s="11">
        <f t="shared" si="127"/>
        <v>0.20228459842864593</v>
      </c>
      <c r="J498" s="33">
        <f t="shared" si="128"/>
        <v>4.912625961838544E-3</v>
      </c>
      <c r="K498" s="33">
        <f t="shared" si="129"/>
        <v>203.55712154111387</v>
      </c>
      <c r="L498" s="33">
        <f t="shared" si="130"/>
        <v>0.19737197246680738</v>
      </c>
      <c r="M498" s="33">
        <f t="shared" si="131"/>
        <v>0.20719722439048449</v>
      </c>
      <c r="N498" s="8">
        <v>0</v>
      </c>
      <c r="O498" s="9">
        <v>1</v>
      </c>
      <c r="P498" s="8">
        <v>0</v>
      </c>
      <c r="Q498" s="9">
        <v>0</v>
      </c>
      <c r="R498" s="9">
        <v>1</v>
      </c>
      <c r="S498" s="9">
        <v>0</v>
      </c>
      <c r="T498" s="9">
        <v>0</v>
      </c>
      <c r="U498" s="8">
        <v>39756</v>
      </c>
      <c r="V498" s="9">
        <v>15</v>
      </c>
      <c r="W498" s="9">
        <f t="shared" si="132"/>
        <v>39740</v>
      </c>
      <c r="X498" s="9">
        <f t="shared" si="133"/>
        <v>16</v>
      </c>
      <c r="Y498" s="7">
        <v>18</v>
      </c>
      <c r="Z498" s="7" t="s">
        <v>104</v>
      </c>
      <c r="AA498" s="9">
        <v>0</v>
      </c>
      <c r="AB498" s="9">
        <v>1</v>
      </c>
      <c r="AC498" s="9">
        <v>0</v>
      </c>
      <c r="AD498" s="9">
        <v>0</v>
      </c>
      <c r="AE498" s="9">
        <v>1</v>
      </c>
      <c r="AF498" s="9">
        <v>0</v>
      </c>
      <c r="AG498" s="8">
        <v>1</v>
      </c>
      <c r="AH498" s="9">
        <v>0</v>
      </c>
      <c r="AI498" s="30">
        <v>0</v>
      </c>
      <c r="AJ498" s="9">
        <v>0</v>
      </c>
      <c r="AK498" s="30">
        <v>1</v>
      </c>
      <c r="AL498" s="21">
        <v>2008</v>
      </c>
      <c r="AM498" s="23">
        <f t="shared" si="134"/>
        <v>7.6048944808116197</v>
      </c>
      <c r="AN498" s="33">
        <v>0</v>
      </c>
      <c r="AO498" s="33">
        <v>0</v>
      </c>
      <c r="AP498" s="33">
        <v>0.20100000000000001</v>
      </c>
      <c r="AQ498" s="43">
        <v>0.79900000000000004</v>
      </c>
      <c r="AR498" s="42" t="s">
        <v>104</v>
      </c>
      <c r="AS498" s="18" t="s">
        <v>104</v>
      </c>
      <c r="AT498" s="39">
        <f t="shared" si="139"/>
        <v>0.42900000000000005</v>
      </c>
      <c r="AU498" s="40">
        <v>0.57099999999999995</v>
      </c>
      <c r="AV498">
        <v>0.61499999999999999</v>
      </c>
      <c r="AW498" s="40">
        <f t="shared" si="140"/>
        <v>0.38500000000000001</v>
      </c>
      <c r="AX498">
        <v>0</v>
      </c>
      <c r="AY498" s="18">
        <v>1</v>
      </c>
      <c r="AZ498">
        <f t="shared" si="14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19</v>
      </c>
      <c r="DB498" s="34"/>
    </row>
    <row r="499" spans="1:106" x14ac:dyDescent="0.25">
      <c r="A499">
        <v>498</v>
      </c>
      <c r="B499">
        <v>33</v>
      </c>
      <c r="C499" s="25" t="s">
        <v>326</v>
      </c>
      <c r="D499" s="12">
        <v>10.123689764089839</v>
      </c>
      <c r="E499" s="14">
        <v>1.548329022743153</v>
      </c>
      <c r="F499" s="7">
        <v>6.5384615384615392</v>
      </c>
      <c r="G499" s="7">
        <f t="shared" si="125"/>
        <v>8.5753607413466852</v>
      </c>
      <c r="H499" s="16">
        <f t="shared" si="126"/>
        <v>11.672018786832993</v>
      </c>
      <c r="I499" s="11">
        <f t="shared" si="127"/>
        <v>0.10494498983487337</v>
      </c>
      <c r="J499" s="33">
        <f t="shared" si="128"/>
        <v>1.6050410210039456E-2</v>
      </c>
      <c r="K499" s="33">
        <f t="shared" si="129"/>
        <v>62.303703576031019</v>
      </c>
      <c r="L499" s="33">
        <f t="shared" si="130"/>
        <v>8.8894579624833908E-2</v>
      </c>
      <c r="M499" s="33">
        <f t="shared" si="131"/>
        <v>0.12099540004491283</v>
      </c>
      <c r="N499" s="8">
        <v>0</v>
      </c>
      <c r="O499" s="9">
        <v>1</v>
      </c>
      <c r="P499" s="8">
        <v>0</v>
      </c>
      <c r="Q499" s="9">
        <v>0</v>
      </c>
      <c r="R499" s="9">
        <v>1</v>
      </c>
      <c r="S499" s="9">
        <v>0</v>
      </c>
      <c r="T499" s="9">
        <v>0</v>
      </c>
      <c r="U499" s="8">
        <v>3855</v>
      </c>
      <c r="V499" s="9">
        <v>15</v>
      </c>
      <c r="W499" s="9">
        <f t="shared" si="132"/>
        <v>3839</v>
      </c>
      <c r="X499" s="9">
        <f t="shared" si="133"/>
        <v>16</v>
      </c>
      <c r="Y499" s="7">
        <v>16</v>
      </c>
      <c r="Z499" s="7" t="s">
        <v>104</v>
      </c>
      <c r="AA499" s="9">
        <v>0</v>
      </c>
      <c r="AB499" s="9">
        <v>1</v>
      </c>
      <c r="AC499" s="9">
        <v>0</v>
      </c>
      <c r="AD499" s="9">
        <v>0</v>
      </c>
      <c r="AE499" s="9">
        <v>1</v>
      </c>
      <c r="AF499" s="9">
        <v>0</v>
      </c>
      <c r="AG499" s="8">
        <v>1</v>
      </c>
      <c r="AH499" s="9">
        <v>0</v>
      </c>
      <c r="AI499" s="30">
        <v>0</v>
      </c>
      <c r="AJ499" s="9">
        <v>0</v>
      </c>
      <c r="AK499" s="30">
        <v>1</v>
      </c>
      <c r="AL499" s="21">
        <v>2008</v>
      </c>
      <c r="AM499" s="23">
        <f t="shared" si="134"/>
        <v>7.6048944808116197</v>
      </c>
      <c r="AN499" s="33">
        <v>0</v>
      </c>
      <c r="AO499" s="33">
        <v>0</v>
      </c>
      <c r="AP499" s="33">
        <v>0.20100000000000001</v>
      </c>
      <c r="AQ499" s="43">
        <v>0.79900000000000004</v>
      </c>
      <c r="AR499" s="42" t="s">
        <v>104</v>
      </c>
      <c r="AS499" s="18" t="s">
        <v>104</v>
      </c>
      <c r="AT499" s="39">
        <f t="shared" si="139"/>
        <v>0.42900000000000005</v>
      </c>
      <c r="AU499" s="40">
        <v>0.57099999999999995</v>
      </c>
      <c r="AV499">
        <v>0.61499999999999999</v>
      </c>
      <c r="AW499" s="40">
        <f t="shared" si="140"/>
        <v>0.38500000000000001</v>
      </c>
      <c r="AX499">
        <v>0</v>
      </c>
      <c r="AY499" s="18">
        <v>1</v>
      </c>
      <c r="AZ499">
        <f t="shared" si="14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19</v>
      </c>
      <c r="DB499" s="34"/>
    </row>
    <row r="500" spans="1:106" x14ac:dyDescent="0.25">
      <c r="A500">
        <v>499</v>
      </c>
      <c r="B500">
        <v>33</v>
      </c>
      <c r="C500" s="25" t="s">
        <v>326</v>
      </c>
      <c r="D500" s="12">
        <v>15.75836902790226</v>
      </c>
      <c r="E500" s="14">
        <v>0.88061473979453819</v>
      </c>
      <c r="F500" s="7">
        <v>17.89473684210526</v>
      </c>
      <c r="G500" s="7">
        <f t="shared" si="125"/>
        <v>14.877754288107722</v>
      </c>
      <c r="H500" s="16">
        <f t="shared" si="126"/>
        <v>16.6389837676968</v>
      </c>
      <c r="I500" s="11">
        <f t="shared" si="127"/>
        <v>0.277472077484269</v>
      </c>
      <c r="J500" s="33">
        <f t="shared" si="128"/>
        <v>1.5505792565297388E-2</v>
      </c>
      <c r="K500" s="33">
        <f t="shared" si="129"/>
        <v>64.492027465789903</v>
      </c>
      <c r="L500" s="33">
        <f t="shared" si="130"/>
        <v>0.26196628491897161</v>
      </c>
      <c r="M500" s="33">
        <f t="shared" si="131"/>
        <v>0.29297787004956638</v>
      </c>
      <c r="N500" s="8">
        <v>0</v>
      </c>
      <c r="O500" s="9">
        <v>1</v>
      </c>
      <c r="P500" s="8">
        <v>0</v>
      </c>
      <c r="Q500" s="9">
        <v>0</v>
      </c>
      <c r="R500" s="9">
        <v>1</v>
      </c>
      <c r="S500" s="9">
        <v>0</v>
      </c>
      <c r="T500" s="9">
        <v>0</v>
      </c>
      <c r="U500" s="8">
        <v>3855</v>
      </c>
      <c r="V500" s="9">
        <v>15</v>
      </c>
      <c r="W500" s="9">
        <f t="shared" si="132"/>
        <v>3839</v>
      </c>
      <c r="X500" s="9">
        <f t="shared" si="133"/>
        <v>16</v>
      </c>
      <c r="Y500" s="7">
        <v>18</v>
      </c>
      <c r="Z500" s="7" t="s">
        <v>104</v>
      </c>
      <c r="AA500" s="9">
        <v>0</v>
      </c>
      <c r="AB500" s="9">
        <v>1</v>
      </c>
      <c r="AC500" s="9">
        <v>0</v>
      </c>
      <c r="AD500" s="9">
        <v>0</v>
      </c>
      <c r="AE500" s="9">
        <v>1</v>
      </c>
      <c r="AF500" s="9">
        <v>0</v>
      </c>
      <c r="AG500" s="8">
        <v>1</v>
      </c>
      <c r="AH500" s="9">
        <v>0</v>
      </c>
      <c r="AI500" s="30">
        <v>0</v>
      </c>
      <c r="AJ500" s="9">
        <v>0</v>
      </c>
      <c r="AK500" s="30">
        <v>1</v>
      </c>
      <c r="AL500" s="21">
        <v>2008</v>
      </c>
      <c r="AM500" s="23">
        <f t="shared" si="134"/>
        <v>7.6048944808116197</v>
      </c>
      <c r="AN500" s="33">
        <v>0</v>
      </c>
      <c r="AO500" s="33">
        <v>0</v>
      </c>
      <c r="AP500" s="33">
        <v>0.20100000000000001</v>
      </c>
      <c r="AQ500" s="43">
        <v>0.79900000000000004</v>
      </c>
      <c r="AR500" s="42" t="s">
        <v>104</v>
      </c>
      <c r="AS500" s="18" t="s">
        <v>104</v>
      </c>
      <c r="AT500" s="39">
        <f t="shared" si="139"/>
        <v>0.42900000000000005</v>
      </c>
      <c r="AU500" s="40">
        <v>0.57099999999999995</v>
      </c>
      <c r="AV500">
        <v>0.61499999999999999</v>
      </c>
      <c r="AW500" s="40">
        <f t="shared" si="140"/>
        <v>0.38500000000000001</v>
      </c>
      <c r="AX500">
        <v>0</v>
      </c>
      <c r="AY500" s="18">
        <v>1</v>
      </c>
      <c r="AZ500">
        <f t="shared" si="14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19</v>
      </c>
      <c r="DB500" s="34"/>
    </row>
    <row r="501" spans="1:106" x14ac:dyDescent="0.25">
      <c r="A501">
        <v>500</v>
      </c>
      <c r="B501">
        <v>33</v>
      </c>
      <c r="C501" s="25" t="s">
        <v>326</v>
      </c>
      <c r="D501" s="12">
        <v>10.8332353640085</v>
      </c>
      <c r="E501" s="14">
        <v>0.27083088410021261</v>
      </c>
      <c r="F501" s="7">
        <v>40</v>
      </c>
      <c r="G501" s="7">
        <f t="shared" si="125"/>
        <v>10.562404479908288</v>
      </c>
      <c r="H501" s="16">
        <f t="shared" si="126"/>
        <v>11.104066248108712</v>
      </c>
      <c r="I501" s="11">
        <f t="shared" si="127"/>
        <v>0.28075187769348076</v>
      </c>
      <c r="J501" s="33">
        <f t="shared" si="128"/>
        <v>7.0187969423370199E-3</v>
      </c>
      <c r="K501" s="33">
        <f t="shared" si="129"/>
        <v>142.47455913249917</v>
      </c>
      <c r="L501" s="33">
        <f t="shared" si="130"/>
        <v>0.27373308075114372</v>
      </c>
      <c r="M501" s="33">
        <f t="shared" si="131"/>
        <v>0.28777067463581779</v>
      </c>
      <c r="N501" s="8">
        <v>0</v>
      </c>
      <c r="O501" s="9">
        <v>1</v>
      </c>
      <c r="P501" s="8">
        <v>0</v>
      </c>
      <c r="Q501" s="9">
        <v>0</v>
      </c>
      <c r="R501" s="9">
        <v>1</v>
      </c>
      <c r="S501" s="9">
        <v>0</v>
      </c>
      <c r="T501" s="9">
        <v>0</v>
      </c>
      <c r="U501" s="8">
        <v>18716</v>
      </c>
      <c r="V501" s="9">
        <v>16</v>
      </c>
      <c r="W501" s="9">
        <f t="shared" si="132"/>
        <v>18699</v>
      </c>
      <c r="X501" s="9">
        <f t="shared" si="133"/>
        <v>16</v>
      </c>
      <c r="Y501" s="7">
        <v>16</v>
      </c>
      <c r="Z501" s="7" t="s">
        <v>104</v>
      </c>
      <c r="AA501" s="9">
        <v>0</v>
      </c>
      <c r="AB501" s="9">
        <v>1</v>
      </c>
      <c r="AC501" s="9">
        <v>0</v>
      </c>
      <c r="AD501" s="9">
        <v>0</v>
      </c>
      <c r="AE501" s="9">
        <v>1</v>
      </c>
      <c r="AF501" s="9">
        <v>0</v>
      </c>
      <c r="AG501" s="8">
        <v>1</v>
      </c>
      <c r="AH501" s="9">
        <v>0</v>
      </c>
      <c r="AI501" s="30">
        <v>0</v>
      </c>
      <c r="AJ501" s="9">
        <v>0</v>
      </c>
      <c r="AK501" s="30">
        <v>1</v>
      </c>
      <c r="AL501" s="21">
        <v>2008</v>
      </c>
      <c r="AM501" s="23">
        <f t="shared" si="134"/>
        <v>7.6048944808116197</v>
      </c>
      <c r="AN501" s="33">
        <v>0</v>
      </c>
      <c r="AO501" s="33">
        <v>0</v>
      </c>
      <c r="AP501" s="33">
        <v>0.20100000000000001</v>
      </c>
      <c r="AQ501" s="43">
        <v>0.79900000000000004</v>
      </c>
      <c r="AR501" s="42" t="s">
        <v>104</v>
      </c>
      <c r="AS501" s="18" t="s">
        <v>104</v>
      </c>
      <c r="AT501">
        <v>1</v>
      </c>
      <c r="AU501" s="40">
        <v>0</v>
      </c>
      <c r="AV501">
        <v>0.61499999999999999</v>
      </c>
      <c r="AW501" s="40">
        <f t="shared" si="140"/>
        <v>0.38500000000000001</v>
      </c>
      <c r="AX501">
        <v>0</v>
      </c>
      <c r="AY501" s="18">
        <v>1</v>
      </c>
      <c r="AZ501">
        <f t="shared" si="14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19</v>
      </c>
      <c r="DB501" s="34"/>
    </row>
    <row r="502" spans="1:106" x14ac:dyDescent="0.25">
      <c r="A502">
        <v>501</v>
      </c>
      <c r="B502">
        <v>33</v>
      </c>
      <c r="C502" s="25" t="s">
        <v>326</v>
      </c>
      <c r="D502" s="12">
        <v>14.89125293076059</v>
      </c>
      <c r="E502" s="14">
        <v>0.28468571779395241</v>
      </c>
      <c r="F502" s="7">
        <v>52.307692307692307</v>
      </c>
      <c r="G502" s="7">
        <f t="shared" si="125"/>
        <v>14.606567212966638</v>
      </c>
      <c r="H502" s="16">
        <f t="shared" si="126"/>
        <v>15.175938648554542</v>
      </c>
      <c r="I502" s="11">
        <f t="shared" si="127"/>
        <v>0.35727518878461623</v>
      </c>
      <c r="J502" s="33">
        <f t="shared" si="128"/>
        <v>6.8302609620588409E-3</v>
      </c>
      <c r="K502" s="33">
        <f t="shared" si="129"/>
        <v>146.40729037365662</v>
      </c>
      <c r="L502" s="33">
        <f t="shared" si="130"/>
        <v>0.35044492782255737</v>
      </c>
      <c r="M502" s="33">
        <f t="shared" si="131"/>
        <v>0.36410544974667508</v>
      </c>
      <c r="N502" s="8">
        <v>0</v>
      </c>
      <c r="O502" s="9">
        <v>1</v>
      </c>
      <c r="P502" s="8">
        <v>0</v>
      </c>
      <c r="Q502" s="9">
        <v>0</v>
      </c>
      <c r="R502" s="9">
        <v>1</v>
      </c>
      <c r="S502" s="9">
        <v>0</v>
      </c>
      <c r="T502" s="9">
        <v>0</v>
      </c>
      <c r="U502" s="8">
        <v>18716</v>
      </c>
      <c r="V502" s="9">
        <v>16</v>
      </c>
      <c r="W502" s="9">
        <f t="shared" si="132"/>
        <v>18699</v>
      </c>
      <c r="X502" s="9">
        <f t="shared" si="133"/>
        <v>16</v>
      </c>
      <c r="Y502" s="7">
        <v>18</v>
      </c>
      <c r="Z502" s="7" t="s">
        <v>104</v>
      </c>
      <c r="AA502" s="9">
        <v>0</v>
      </c>
      <c r="AB502" s="9">
        <v>1</v>
      </c>
      <c r="AC502" s="9">
        <v>0</v>
      </c>
      <c r="AD502" s="9">
        <v>0</v>
      </c>
      <c r="AE502" s="9">
        <v>1</v>
      </c>
      <c r="AF502" s="9">
        <v>0</v>
      </c>
      <c r="AG502" s="8">
        <v>1</v>
      </c>
      <c r="AH502" s="9">
        <v>0</v>
      </c>
      <c r="AI502" s="30">
        <v>0</v>
      </c>
      <c r="AJ502" s="9">
        <v>0</v>
      </c>
      <c r="AK502" s="30">
        <v>1</v>
      </c>
      <c r="AL502" s="21">
        <v>2008</v>
      </c>
      <c r="AM502" s="23">
        <f t="shared" si="134"/>
        <v>7.6048944808116197</v>
      </c>
      <c r="AN502" s="33">
        <v>0</v>
      </c>
      <c r="AO502" s="33">
        <v>0</v>
      </c>
      <c r="AP502" s="33">
        <v>0.20100000000000001</v>
      </c>
      <c r="AQ502" s="43">
        <v>0.79900000000000004</v>
      </c>
      <c r="AR502" s="42" t="s">
        <v>104</v>
      </c>
      <c r="AS502" s="18" t="s">
        <v>104</v>
      </c>
      <c r="AT502">
        <v>1</v>
      </c>
      <c r="AU502" s="40">
        <v>0</v>
      </c>
      <c r="AV502">
        <v>0.61499999999999999</v>
      </c>
      <c r="AW502" s="40">
        <f t="shared" si="140"/>
        <v>0.38500000000000001</v>
      </c>
      <c r="AX502">
        <v>0</v>
      </c>
      <c r="AY502" s="18">
        <v>1</v>
      </c>
      <c r="AZ502">
        <f t="shared" si="14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19</v>
      </c>
      <c r="DB502" s="34"/>
    </row>
    <row r="503" spans="1:106" x14ac:dyDescent="0.25">
      <c r="A503">
        <v>502</v>
      </c>
      <c r="B503">
        <v>33</v>
      </c>
      <c r="C503" s="25" t="s">
        <v>326</v>
      </c>
      <c r="D503" s="12">
        <v>11.193365366583111</v>
      </c>
      <c r="E503" s="14">
        <v>0.2420187106288241</v>
      </c>
      <c r="F503" s="7">
        <v>46.25</v>
      </c>
      <c r="G503" s="7">
        <f t="shared" si="125"/>
        <v>10.951346655954286</v>
      </c>
      <c r="H503" s="16">
        <f t="shared" si="126"/>
        <v>11.435384077211936</v>
      </c>
      <c r="I503" s="11">
        <f t="shared" si="127"/>
        <v>0.28136402135764199</v>
      </c>
      <c r="J503" s="33">
        <f t="shared" si="128"/>
        <v>6.0835464077327985E-3</v>
      </c>
      <c r="K503" s="33">
        <f t="shared" si="129"/>
        <v>164.37780415859072</v>
      </c>
      <c r="L503" s="33">
        <f t="shared" si="130"/>
        <v>0.2752804749499092</v>
      </c>
      <c r="M503" s="33">
        <f t="shared" si="131"/>
        <v>0.28744756776537478</v>
      </c>
      <c r="N503" s="8">
        <v>0</v>
      </c>
      <c r="O503" s="9">
        <v>1</v>
      </c>
      <c r="P503" s="8">
        <v>0</v>
      </c>
      <c r="Q503" s="9">
        <v>0</v>
      </c>
      <c r="R503" s="9">
        <v>1</v>
      </c>
      <c r="S503" s="9">
        <v>0</v>
      </c>
      <c r="T503" s="9">
        <v>0</v>
      </c>
      <c r="U503" s="8">
        <v>24898</v>
      </c>
      <c r="V503" s="9">
        <v>16</v>
      </c>
      <c r="W503" s="9">
        <f t="shared" si="132"/>
        <v>24881</v>
      </c>
      <c r="X503" s="9">
        <f t="shared" si="133"/>
        <v>16</v>
      </c>
      <c r="Y503" s="7">
        <v>16</v>
      </c>
      <c r="Z503" s="7" t="s">
        <v>104</v>
      </c>
      <c r="AA503" s="9">
        <v>0</v>
      </c>
      <c r="AB503" s="9">
        <v>1</v>
      </c>
      <c r="AC503" s="9">
        <v>0</v>
      </c>
      <c r="AD503" s="9">
        <v>0</v>
      </c>
      <c r="AE503" s="9">
        <v>1</v>
      </c>
      <c r="AF503" s="9">
        <v>0</v>
      </c>
      <c r="AG503" s="8">
        <v>1</v>
      </c>
      <c r="AH503" s="9">
        <v>0</v>
      </c>
      <c r="AI503" s="30">
        <v>0</v>
      </c>
      <c r="AJ503" s="9">
        <v>0</v>
      </c>
      <c r="AK503" s="30">
        <v>1</v>
      </c>
      <c r="AL503" s="21">
        <v>2008</v>
      </c>
      <c r="AM503" s="23">
        <f t="shared" si="134"/>
        <v>7.6048944808116197</v>
      </c>
      <c r="AN503" s="33">
        <v>0</v>
      </c>
      <c r="AO503" s="33">
        <v>0</v>
      </c>
      <c r="AP503" s="33">
        <v>0.20100000000000001</v>
      </c>
      <c r="AQ503" s="43">
        <v>0.79900000000000004</v>
      </c>
      <c r="AR503" s="42" t="s">
        <v>104</v>
      </c>
      <c r="AS503" s="18" t="s">
        <v>104</v>
      </c>
      <c r="AT503">
        <v>0</v>
      </c>
      <c r="AU503" s="40">
        <v>1</v>
      </c>
      <c r="AV503">
        <v>0.61499999999999999</v>
      </c>
      <c r="AW503" s="40">
        <f t="shared" si="140"/>
        <v>0.38500000000000001</v>
      </c>
      <c r="AX503">
        <v>0</v>
      </c>
      <c r="AY503" s="18">
        <v>1</v>
      </c>
      <c r="AZ503">
        <f t="shared" si="14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19</v>
      </c>
      <c r="DB503" s="34"/>
    </row>
    <row r="504" spans="1:106" x14ac:dyDescent="0.25">
      <c r="A504">
        <v>503</v>
      </c>
      <c r="B504">
        <v>33</v>
      </c>
      <c r="C504" s="25" t="s">
        <v>326</v>
      </c>
      <c r="D504" s="12">
        <v>14.891252930760571</v>
      </c>
      <c r="E504" s="14">
        <v>0.25897831183931419</v>
      </c>
      <c r="F504" s="7">
        <v>57.499999999999993</v>
      </c>
      <c r="G504" s="7">
        <f t="shared" si="125"/>
        <v>14.632274618921256</v>
      </c>
      <c r="H504" s="16">
        <f t="shared" si="126"/>
        <v>15.150231242599885</v>
      </c>
      <c r="I504" s="11">
        <f t="shared" si="127"/>
        <v>0.34248494936346119</v>
      </c>
      <c r="J504" s="33">
        <f t="shared" si="128"/>
        <v>5.9562599889297612E-3</v>
      </c>
      <c r="K504" s="33">
        <f t="shared" si="129"/>
        <v>167.89058937296036</v>
      </c>
      <c r="L504" s="33">
        <f t="shared" si="130"/>
        <v>0.33652868937453145</v>
      </c>
      <c r="M504" s="33">
        <f t="shared" si="131"/>
        <v>0.34844120935239092</v>
      </c>
      <c r="N504" s="8">
        <v>0</v>
      </c>
      <c r="O504" s="9">
        <v>1</v>
      </c>
      <c r="P504" s="8">
        <v>0</v>
      </c>
      <c r="Q504" s="9">
        <v>0</v>
      </c>
      <c r="R504" s="9">
        <v>1</v>
      </c>
      <c r="S504" s="9">
        <v>0</v>
      </c>
      <c r="T504" s="9">
        <v>0</v>
      </c>
      <c r="U504" s="8">
        <v>24898</v>
      </c>
      <c r="V504" s="9">
        <v>16</v>
      </c>
      <c r="W504" s="9">
        <f t="shared" si="132"/>
        <v>24881</v>
      </c>
      <c r="X504" s="9">
        <f t="shared" si="133"/>
        <v>16</v>
      </c>
      <c r="Y504" s="7">
        <v>18</v>
      </c>
      <c r="Z504" s="7" t="s">
        <v>104</v>
      </c>
      <c r="AA504" s="9">
        <v>0</v>
      </c>
      <c r="AB504" s="9">
        <v>1</v>
      </c>
      <c r="AC504" s="9">
        <v>0</v>
      </c>
      <c r="AD504" s="9">
        <v>0</v>
      </c>
      <c r="AE504" s="9">
        <v>1</v>
      </c>
      <c r="AF504" s="9">
        <v>0</v>
      </c>
      <c r="AG504" s="8">
        <v>1</v>
      </c>
      <c r="AH504" s="9">
        <v>0</v>
      </c>
      <c r="AI504" s="30">
        <v>0</v>
      </c>
      <c r="AJ504" s="9">
        <v>0</v>
      </c>
      <c r="AK504" s="30">
        <v>1</v>
      </c>
      <c r="AL504" s="21">
        <v>2008</v>
      </c>
      <c r="AM504" s="23">
        <f t="shared" si="134"/>
        <v>7.6048944808116197</v>
      </c>
      <c r="AN504" s="33">
        <v>0</v>
      </c>
      <c r="AO504" s="33">
        <v>0</v>
      </c>
      <c r="AP504" s="33">
        <v>0.20100000000000001</v>
      </c>
      <c r="AQ504" s="43">
        <v>0.79900000000000004</v>
      </c>
      <c r="AR504" s="42" t="s">
        <v>104</v>
      </c>
      <c r="AS504" s="18" t="s">
        <v>104</v>
      </c>
      <c r="AT504">
        <v>0</v>
      </c>
      <c r="AU504" s="40">
        <v>1</v>
      </c>
      <c r="AV504">
        <v>0.61499999999999999</v>
      </c>
      <c r="AW504" s="40">
        <f t="shared" si="140"/>
        <v>0.38500000000000001</v>
      </c>
      <c r="AX504">
        <v>0</v>
      </c>
      <c r="AY504" s="18">
        <v>1</v>
      </c>
      <c r="AZ504">
        <f t="shared" si="14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19</v>
      </c>
      <c r="DB504" s="34"/>
    </row>
    <row r="505" spans="1:106" s="95" customFormat="1" x14ac:dyDescent="0.25">
      <c r="A505" s="95">
        <v>504</v>
      </c>
      <c r="B505" s="95">
        <v>34</v>
      </c>
      <c r="C505" s="96" t="s">
        <v>327</v>
      </c>
      <c r="D505" s="97">
        <v>8.07</v>
      </c>
      <c r="E505" s="98">
        <v>0.36</v>
      </c>
      <c r="F505" s="99">
        <f t="shared" ref="F505:F528" si="142">D505/E505</f>
        <v>22.416666666666668</v>
      </c>
      <c r="G505" s="99">
        <f t="shared" si="125"/>
        <v>7.71</v>
      </c>
      <c r="H505" s="100">
        <f t="shared" si="126"/>
        <v>8.43</v>
      </c>
      <c r="I505" s="101">
        <f t="shared" si="127"/>
        <v>0.13448371164683043</v>
      </c>
      <c r="J505" s="102">
        <f t="shared" si="128"/>
        <v>5.9992733820147404E-3</v>
      </c>
      <c r="K505" s="102">
        <f t="shared" si="129"/>
        <v>166.68685294420925</v>
      </c>
      <c r="L505" s="102">
        <f t="shared" si="130"/>
        <v>0.12848443826481568</v>
      </c>
      <c r="M505" s="102">
        <f t="shared" si="131"/>
        <v>0.14048298502884518</v>
      </c>
      <c r="N505" s="103">
        <v>1</v>
      </c>
      <c r="O505" s="104">
        <v>0</v>
      </c>
      <c r="P505" s="103">
        <v>0</v>
      </c>
      <c r="Q505" s="104">
        <v>0</v>
      </c>
      <c r="R505" s="104">
        <v>1</v>
      </c>
      <c r="S505" s="104">
        <v>0</v>
      </c>
      <c r="T505" s="104">
        <v>0</v>
      </c>
      <c r="U505" s="103">
        <v>27356</v>
      </c>
      <c r="V505" s="104">
        <v>73</v>
      </c>
      <c r="W505" s="104">
        <f t="shared" si="132"/>
        <v>27282</v>
      </c>
      <c r="X505" s="104">
        <f t="shared" si="133"/>
        <v>24</v>
      </c>
      <c r="Y505" s="99">
        <v>5</v>
      </c>
      <c r="Z505" s="99">
        <f t="shared" ref="Z505:Z528" si="143">BN505-Y505-6</f>
        <v>23.878999999999998</v>
      </c>
      <c r="AA505" s="104">
        <v>1</v>
      </c>
      <c r="AB505" s="104">
        <v>0</v>
      </c>
      <c r="AC505" s="104">
        <v>1</v>
      </c>
      <c r="AD505" s="104">
        <v>0</v>
      </c>
      <c r="AE505" s="104">
        <v>0</v>
      </c>
      <c r="AF505" s="104">
        <v>0</v>
      </c>
      <c r="AG505" s="103">
        <v>0</v>
      </c>
      <c r="AH505" s="104">
        <v>1</v>
      </c>
      <c r="AI505" s="105">
        <v>0</v>
      </c>
      <c r="AJ505" s="104">
        <v>0</v>
      </c>
      <c r="AK505" s="105">
        <v>1</v>
      </c>
      <c r="AL505" s="106">
        <v>1983</v>
      </c>
      <c r="AM505" s="107">
        <f t="shared" si="134"/>
        <v>7.5923661285197959</v>
      </c>
      <c r="AN505" s="102">
        <f t="shared" ref="AN505:AN528" si="144">1-SUM(AO505:AQ505)</f>
        <v>0.28200000000000003</v>
      </c>
      <c r="AO505" s="102">
        <v>0.1472</v>
      </c>
      <c r="AP505" s="102">
        <v>0.43049999999999999</v>
      </c>
      <c r="AQ505" s="108">
        <v>0.14030000000000001</v>
      </c>
      <c r="AR505" s="109">
        <f t="shared" ref="AR505:AR528" si="14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4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10</v>
      </c>
      <c r="CW505" s="112"/>
      <c r="DB505" s="112"/>
    </row>
    <row r="506" spans="1:106" x14ac:dyDescent="0.25">
      <c r="A506">
        <v>505</v>
      </c>
      <c r="B506">
        <v>34</v>
      </c>
      <c r="C506" s="25" t="s">
        <v>327</v>
      </c>
      <c r="D506" s="12">
        <v>5.0999999999999996</v>
      </c>
      <c r="E506" s="14">
        <v>0.47</v>
      </c>
      <c r="F506" s="7">
        <f t="shared" si="142"/>
        <v>10.851063829787234</v>
      </c>
      <c r="G506" s="7">
        <f t="shared" si="125"/>
        <v>4.63</v>
      </c>
      <c r="H506" s="16">
        <f t="shared" si="126"/>
        <v>5.5699999999999994</v>
      </c>
      <c r="I506" s="11">
        <f t="shared" si="127"/>
        <v>6.6744826887680936E-2</v>
      </c>
      <c r="J506" s="33">
        <f t="shared" si="128"/>
        <v>6.1509938504333405E-3</v>
      </c>
      <c r="K506" s="33">
        <f t="shared" si="129"/>
        <v>162.5753535633188</v>
      </c>
      <c r="L506" s="33">
        <f t="shared" si="130"/>
        <v>6.0593833037247594E-2</v>
      </c>
      <c r="M506" s="33">
        <f t="shared" si="131"/>
        <v>7.2895820738114278E-2</v>
      </c>
      <c r="N506" s="8">
        <v>1</v>
      </c>
      <c r="O506" s="9">
        <v>0</v>
      </c>
      <c r="P506" s="8">
        <v>0</v>
      </c>
      <c r="Q506" s="9">
        <v>0</v>
      </c>
      <c r="R506" s="9">
        <v>1</v>
      </c>
      <c r="S506" s="9">
        <v>0</v>
      </c>
      <c r="T506" s="9">
        <v>0</v>
      </c>
      <c r="U506" s="8">
        <v>26387</v>
      </c>
      <c r="V506" s="9">
        <v>73</v>
      </c>
      <c r="W506" s="9">
        <f t="shared" si="132"/>
        <v>26313</v>
      </c>
      <c r="X506" s="9">
        <f t="shared" si="133"/>
        <v>24</v>
      </c>
      <c r="Y506" s="7">
        <v>5</v>
      </c>
      <c r="Z506" s="7">
        <f t="shared" si="143"/>
        <v>25.769599999999997</v>
      </c>
      <c r="AA506" s="9">
        <v>1</v>
      </c>
      <c r="AB506" s="9">
        <v>0</v>
      </c>
      <c r="AC506" s="9">
        <v>1</v>
      </c>
      <c r="AD506" s="9">
        <v>0</v>
      </c>
      <c r="AE506" s="9">
        <v>0</v>
      </c>
      <c r="AF506" s="9">
        <v>0</v>
      </c>
      <c r="AG506" s="8">
        <v>0</v>
      </c>
      <c r="AH506" s="9">
        <v>1</v>
      </c>
      <c r="AI506" s="30">
        <v>0</v>
      </c>
      <c r="AJ506" s="9">
        <v>0</v>
      </c>
      <c r="AK506" s="30">
        <v>1</v>
      </c>
      <c r="AL506" s="21">
        <v>1993</v>
      </c>
      <c r="AM506" s="23">
        <f t="shared" si="134"/>
        <v>7.5973963202127948</v>
      </c>
      <c r="AN506" s="33">
        <f t="shared" si="144"/>
        <v>0.19130000000000003</v>
      </c>
      <c r="AO506" s="33">
        <v>0.1027</v>
      </c>
      <c r="AP506" s="33">
        <v>0.4718</v>
      </c>
      <c r="AQ506" s="43">
        <v>0.23419999999999999</v>
      </c>
      <c r="AR506" s="42">
        <f t="shared" si="145"/>
        <v>0.52929399999999993</v>
      </c>
      <c r="AS506" s="18">
        <f>(0.622*AZ506+0.4104*BA506)</f>
        <v>0.47070600000000001</v>
      </c>
      <c r="AT506">
        <v>1</v>
      </c>
      <c r="AU506" s="40">
        <v>0</v>
      </c>
      <c r="AV506" t="s">
        <v>104</v>
      </c>
      <c r="AW506" s="40" t="s">
        <v>104</v>
      </c>
      <c r="AX506">
        <v>0</v>
      </c>
      <c r="AY506" s="18">
        <v>1</v>
      </c>
      <c r="AZ506">
        <v>0.28499999999999998</v>
      </c>
      <c r="BA506" s="18">
        <f t="shared" si="14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10</v>
      </c>
      <c r="DB506" s="34"/>
    </row>
    <row r="507" spans="1:106" x14ac:dyDescent="0.25">
      <c r="A507">
        <v>506</v>
      </c>
      <c r="B507">
        <v>34</v>
      </c>
      <c r="C507" s="25" t="s">
        <v>327</v>
      </c>
      <c r="D507" s="12">
        <v>5.6</v>
      </c>
      <c r="E507" s="14">
        <v>0.55999999999999994</v>
      </c>
      <c r="F507" s="7">
        <f t="shared" si="142"/>
        <v>10</v>
      </c>
      <c r="G507" s="7">
        <f t="shared" si="125"/>
        <v>5.04</v>
      </c>
      <c r="H507" s="16">
        <f t="shared" si="126"/>
        <v>6.1599999999999993</v>
      </c>
      <c r="I507" s="11">
        <f t="shared" si="127"/>
        <v>6.0499488705856599E-2</v>
      </c>
      <c r="J507" s="33">
        <f t="shared" si="128"/>
        <v>6.0499488705856603E-3</v>
      </c>
      <c r="K507" s="33">
        <f t="shared" si="129"/>
        <v>165.29065309327083</v>
      </c>
      <c r="L507" s="33">
        <f t="shared" si="130"/>
        <v>5.4449539835270941E-2</v>
      </c>
      <c r="M507" s="33">
        <f t="shared" si="131"/>
        <v>6.6549437576442258E-2</v>
      </c>
      <c r="N507" s="8">
        <v>1</v>
      </c>
      <c r="O507" s="9">
        <v>0</v>
      </c>
      <c r="P507" s="8">
        <v>0</v>
      </c>
      <c r="Q507" s="9">
        <v>0</v>
      </c>
      <c r="R507" s="9">
        <v>1</v>
      </c>
      <c r="S507" s="9">
        <v>0</v>
      </c>
      <c r="T507" s="9">
        <v>0</v>
      </c>
      <c r="U507" s="8">
        <v>27295</v>
      </c>
      <c r="V507" s="9">
        <v>73</v>
      </c>
      <c r="W507" s="9">
        <f t="shared" si="132"/>
        <v>27221</v>
      </c>
      <c r="X507" s="9">
        <f t="shared" si="133"/>
        <v>24</v>
      </c>
      <c r="Y507" s="7">
        <v>5</v>
      </c>
      <c r="Z507" s="7">
        <f t="shared" si="143"/>
        <v>26.110999999999997</v>
      </c>
      <c r="AA507" s="9">
        <v>1</v>
      </c>
      <c r="AB507" s="9">
        <v>0</v>
      </c>
      <c r="AC507" s="9">
        <v>1</v>
      </c>
      <c r="AD507" s="9">
        <v>0</v>
      </c>
      <c r="AE507" s="9">
        <v>0</v>
      </c>
      <c r="AF507" s="9">
        <v>0</v>
      </c>
      <c r="AG507" s="8">
        <v>0</v>
      </c>
      <c r="AH507" s="9">
        <v>1</v>
      </c>
      <c r="AI507" s="30">
        <v>0</v>
      </c>
      <c r="AJ507" s="9">
        <v>0</v>
      </c>
      <c r="AK507" s="30">
        <v>1</v>
      </c>
      <c r="AL507" s="21">
        <v>1999</v>
      </c>
      <c r="AM507" s="23">
        <f t="shared" si="134"/>
        <v>7.6004023345003997</v>
      </c>
      <c r="AN507" s="33">
        <f t="shared" si="144"/>
        <v>0.16289999999999993</v>
      </c>
      <c r="AO507" s="33">
        <v>9.69E-2</v>
      </c>
      <c r="AP507" s="33">
        <v>0.49940000000000001</v>
      </c>
      <c r="AQ507" s="43">
        <v>0.24079999999999999</v>
      </c>
      <c r="AR507" s="42">
        <f t="shared" si="145"/>
        <v>0.53514991000000001</v>
      </c>
      <c r="AS507" s="18">
        <f>(0.5965*AZ507+0.4124*BA507)</f>
        <v>0.46485008999999999</v>
      </c>
      <c r="AT507">
        <v>1</v>
      </c>
      <c r="AU507" s="40">
        <v>0</v>
      </c>
      <c r="AV507" t="s">
        <v>104</v>
      </c>
      <c r="AW507" s="40" t="s">
        <v>104</v>
      </c>
      <c r="AX507">
        <v>0</v>
      </c>
      <c r="AY507" s="18">
        <v>1</v>
      </c>
      <c r="AZ507">
        <v>0.28489999999999999</v>
      </c>
      <c r="BA507" s="18">
        <f t="shared" si="14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10</v>
      </c>
      <c r="DB507" s="34"/>
    </row>
    <row r="508" spans="1:106" x14ac:dyDescent="0.25">
      <c r="A508">
        <v>507</v>
      </c>
      <c r="B508">
        <v>34</v>
      </c>
      <c r="C508" s="25" t="s">
        <v>327</v>
      </c>
      <c r="D508" s="12">
        <v>3.42</v>
      </c>
      <c r="E508" s="14">
        <v>0.26</v>
      </c>
      <c r="F508" s="7">
        <f t="shared" si="142"/>
        <v>13.153846153846153</v>
      </c>
      <c r="G508" s="7">
        <f t="shared" si="125"/>
        <v>3.16</v>
      </c>
      <c r="H508" s="16">
        <f t="shared" si="126"/>
        <v>3.6799999999999997</v>
      </c>
      <c r="I508" s="11">
        <f t="shared" si="127"/>
        <v>7.9385621078379501E-2</v>
      </c>
      <c r="J508" s="33">
        <f t="shared" si="128"/>
        <v>6.0351641755493181E-3</v>
      </c>
      <c r="K508" s="33">
        <f t="shared" si="129"/>
        <v>165.69557528382904</v>
      </c>
      <c r="L508" s="33">
        <f t="shared" si="130"/>
        <v>7.335045690283018E-2</v>
      </c>
      <c r="M508" s="33">
        <f t="shared" si="131"/>
        <v>8.5420785253928821E-2</v>
      </c>
      <c r="N508" s="8">
        <v>1</v>
      </c>
      <c r="O508" s="9">
        <v>0</v>
      </c>
      <c r="P508" s="8">
        <v>0</v>
      </c>
      <c r="Q508" s="9">
        <v>0</v>
      </c>
      <c r="R508" s="9">
        <v>1</v>
      </c>
      <c r="S508" s="9">
        <v>0</v>
      </c>
      <c r="T508" s="9">
        <v>0</v>
      </c>
      <c r="U508" s="8">
        <v>27356</v>
      </c>
      <c r="V508" s="9">
        <v>73</v>
      </c>
      <c r="W508" s="9">
        <f t="shared" si="132"/>
        <v>27282</v>
      </c>
      <c r="X508" s="9">
        <f t="shared" si="133"/>
        <v>24</v>
      </c>
      <c r="Y508" s="7">
        <v>8</v>
      </c>
      <c r="Z508" s="7">
        <f t="shared" si="143"/>
        <v>20.878999999999998</v>
      </c>
      <c r="AA508" s="9">
        <v>1</v>
      </c>
      <c r="AB508" s="9">
        <v>0</v>
      </c>
      <c r="AC508" s="9">
        <v>1</v>
      </c>
      <c r="AD508" s="9">
        <v>0</v>
      </c>
      <c r="AE508" s="9">
        <v>0</v>
      </c>
      <c r="AF508" s="9">
        <v>0</v>
      </c>
      <c r="AG508" s="8">
        <v>0</v>
      </c>
      <c r="AH508" s="9">
        <v>1</v>
      </c>
      <c r="AI508" s="30">
        <v>0</v>
      </c>
      <c r="AJ508" s="9">
        <v>0</v>
      </c>
      <c r="AK508" s="30">
        <v>1</v>
      </c>
      <c r="AL508" s="21">
        <v>1983</v>
      </c>
      <c r="AM508" s="23">
        <f t="shared" si="134"/>
        <v>7.5923661285197959</v>
      </c>
      <c r="AN508" s="33">
        <f t="shared" si="144"/>
        <v>0.28200000000000003</v>
      </c>
      <c r="AO508" s="33">
        <v>0.1472</v>
      </c>
      <c r="AP508" s="33">
        <v>0.43049999999999999</v>
      </c>
      <c r="AQ508" s="43">
        <v>0.14030000000000001</v>
      </c>
      <c r="AR508" s="42">
        <f t="shared" si="145"/>
        <v>0.54134831999999999</v>
      </c>
      <c r="AS508" s="18">
        <v>0.45865168000000001</v>
      </c>
      <c r="AT508">
        <v>1</v>
      </c>
      <c r="AU508" s="40">
        <v>0</v>
      </c>
      <c r="AV508" t="s">
        <v>104</v>
      </c>
      <c r="AW508" s="40" t="s">
        <v>104</v>
      </c>
      <c r="AX508">
        <v>0</v>
      </c>
      <c r="AY508" s="18">
        <v>1</v>
      </c>
      <c r="AZ508">
        <v>0.30980000000000002</v>
      </c>
      <c r="BA508" s="18">
        <f t="shared" si="14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10</v>
      </c>
      <c r="DB508" s="34"/>
    </row>
    <row r="509" spans="1:106" x14ac:dyDescent="0.25">
      <c r="A509">
        <v>508</v>
      </c>
      <c r="B509">
        <v>34</v>
      </c>
      <c r="C509" s="25" t="s">
        <v>327</v>
      </c>
      <c r="D509" s="12">
        <v>3.14</v>
      </c>
      <c r="E509" s="14">
        <v>0.32</v>
      </c>
      <c r="F509" s="7">
        <f t="shared" si="142"/>
        <v>9.8125</v>
      </c>
      <c r="G509" s="7">
        <f t="shared" si="125"/>
        <v>2.8200000000000003</v>
      </c>
      <c r="H509" s="16">
        <f t="shared" si="126"/>
        <v>3.46</v>
      </c>
      <c r="I509" s="11">
        <f t="shared" si="127"/>
        <v>6.0381145354891051E-2</v>
      </c>
      <c r="J509" s="33">
        <f t="shared" si="128"/>
        <v>6.1534925202436745E-3</v>
      </c>
      <c r="K509" s="33">
        <f t="shared" si="129"/>
        <v>162.50933867396668</v>
      </c>
      <c r="L509" s="33">
        <f t="shared" si="130"/>
        <v>5.422765283464738E-2</v>
      </c>
      <c r="M509" s="33">
        <f t="shared" si="131"/>
        <v>6.6534637875134722E-2</v>
      </c>
      <c r="N509" s="8">
        <v>1</v>
      </c>
      <c r="O509" s="9">
        <v>0</v>
      </c>
      <c r="P509" s="8">
        <v>0</v>
      </c>
      <c r="Q509" s="9">
        <v>0</v>
      </c>
      <c r="R509" s="9">
        <v>1</v>
      </c>
      <c r="S509" s="9">
        <v>0</v>
      </c>
      <c r="T509" s="9">
        <v>0</v>
      </c>
      <c r="U509" s="8">
        <v>26387</v>
      </c>
      <c r="V509" s="9">
        <v>73</v>
      </c>
      <c r="W509" s="9">
        <f t="shared" si="132"/>
        <v>26313</v>
      </c>
      <c r="X509" s="9">
        <f t="shared" si="133"/>
        <v>24</v>
      </c>
      <c r="Y509" s="7">
        <v>8</v>
      </c>
      <c r="Z509" s="7">
        <f t="shared" si="143"/>
        <v>22.769599999999997</v>
      </c>
      <c r="AA509" s="9">
        <v>1</v>
      </c>
      <c r="AB509" s="9">
        <v>0</v>
      </c>
      <c r="AC509" s="9">
        <v>1</v>
      </c>
      <c r="AD509" s="9">
        <v>0</v>
      </c>
      <c r="AE509" s="9">
        <v>0</v>
      </c>
      <c r="AF509" s="9">
        <v>0</v>
      </c>
      <c r="AG509" s="8">
        <v>0</v>
      </c>
      <c r="AH509" s="9">
        <v>1</v>
      </c>
      <c r="AI509" s="30">
        <v>0</v>
      </c>
      <c r="AJ509" s="9">
        <v>0</v>
      </c>
      <c r="AK509" s="30">
        <v>1</v>
      </c>
      <c r="AL509" s="21">
        <v>1993</v>
      </c>
      <c r="AM509" s="23">
        <f t="shared" si="134"/>
        <v>7.5973963202127948</v>
      </c>
      <c r="AN509" s="33">
        <f t="shared" si="144"/>
        <v>0.19130000000000003</v>
      </c>
      <c r="AO509" s="33">
        <v>0.1027</v>
      </c>
      <c r="AP509" s="33">
        <v>0.4718</v>
      </c>
      <c r="AQ509" s="43">
        <v>0.23419999999999999</v>
      </c>
      <c r="AR509" s="42">
        <f t="shared" si="145"/>
        <v>0.52929399999999993</v>
      </c>
      <c r="AS509" s="18">
        <v>0.47070600000000001</v>
      </c>
      <c r="AT509">
        <v>1</v>
      </c>
      <c r="AU509" s="40">
        <v>0</v>
      </c>
      <c r="AV509" t="s">
        <v>104</v>
      </c>
      <c r="AW509" s="40" t="s">
        <v>104</v>
      </c>
      <c r="AX509">
        <v>0</v>
      </c>
      <c r="AY509" s="18">
        <v>1</v>
      </c>
      <c r="AZ509">
        <v>0.28499999999999998</v>
      </c>
      <c r="BA509" s="18">
        <f t="shared" si="14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10</v>
      </c>
      <c r="DB509" s="34"/>
    </row>
    <row r="510" spans="1:106" x14ac:dyDescent="0.25">
      <c r="A510">
        <v>509</v>
      </c>
      <c r="B510">
        <v>34</v>
      </c>
      <c r="C510" s="25" t="s">
        <v>327</v>
      </c>
      <c r="D510" s="12">
        <v>3.53</v>
      </c>
      <c r="E510" s="14">
        <v>0.36</v>
      </c>
      <c r="F510" s="7">
        <f t="shared" si="142"/>
        <v>9.8055555555555554</v>
      </c>
      <c r="G510" s="7">
        <f t="shared" si="125"/>
        <v>3.17</v>
      </c>
      <c r="H510" s="16">
        <f t="shared" si="126"/>
        <v>3.8899999999999997</v>
      </c>
      <c r="I510" s="11">
        <f t="shared" si="127"/>
        <v>5.9327291198186465E-2</v>
      </c>
      <c r="J510" s="33">
        <f t="shared" si="128"/>
        <v>6.0503753063306312E-3</v>
      </c>
      <c r="K510" s="33">
        <f t="shared" si="129"/>
        <v>165.27900326343055</v>
      </c>
      <c r="L510" s="33">
        <f t="shared" si="130"/>
        <v>5.3276915891855833E-2</v>
      </c>
      <c r="M510" s="33">
        <f t="shared" si="131"/>
        <v>6.5377666504517096E-2</v>
      </c>
      <c r="N510" s="8">
        <v>1</v>
      </c>
      <c r="O510" s="9">
        <v>0</v>
      </c>
      <c r="P510" s="8">
        <v>0</v>
      </c>
      <c r="Q510" s="9">
        <v>0</v>
      </c>
      <c r="R510" s="9">
        <v>1</v>
      </c>
      <c r="S510" s="9">
        <v>0</v>
      </c>
      <c r="T510" s="9">
        <v>0</v>
      </c>
      <c r="U510" s="8">
        <v>27295</v>
      </c>
      <c r="V510" s="9">
        <v>73</v>
      </c>
      <c r="W510" s="9">
        <f t="shared" si="132"/>
        <v>27221</v>
      </c>
      <c r="X510" s="9">
        <f t="shared" si="133"/>
        <v>24</v>
      </c>
      <c r="Y510" s="7">
        <v>8</v>
      </c>
      <c r="Z510" s="7">
        <f t="shared" si="143"/>
        <v>23.110999999999997</v>
      </c>
      <c r="AA510" s="9">
        <v>1</v>
      </c>
      <c r="AB510" s="9">
        <v>0</v>
      </c>
      <c r="AC510" s="9">
        <v>1</v>
      </c>
      <c r="AD510" s="9">
        <v>0</v>
      </c>
      <c r="AE510" s="9">
        <v>0</v>
      </c>
      <c r="AF510" s="9">
        <v>0</v>
      </c>
      <c r="AG510" s="8">
        <v>0</v>
      </c>
      <c r="AH510" s="9">
        <v>1</v>
      </c>
      <c r="AI510" s="30">
        <v>0</v>
      </c>
      <c r="AJ510" s="9">
        <v>0</v>
      </c>
      <c r="AK510" s="30">
        <v>1</v>
      </c>
      <c r="AL510" s="21">
        <v>1999</v>
      </c>
      <c r="AM510" s="23">
        <f t="shared" si="134"/>
        <v>7.6004023345003997</v>
      </c>
      <c r="AN510" s="33">
        <f t="shared" si="144"/>
        <v>0.16289999999999993</v>
      </c>
      <c r="AO510" s="33">
        <v>9.69E-2</v>
      </c>
      <c r="AP510" s="33">
        <v>0.49940000000000001</v>
      </c>
      <c r="AQ510" s="43">
        <v>0.24079999999999999</v>
      </c>
      <c r="AR510" s="42">
        <f t="shared" si="145"/>
        <v>0.53514991000000001</v>
      </c>
      <c r="AS510" s="18">
        <v>0.46485008999999999</v>
      </c>
      <c r="AT510">
        <v>1</v>
      </c>
      <c r="AU510" s="40">
        <v>0</v>
      </c>
      <c r="AV510" t="s">
        <v>104</v>
      </c>
      <c r="AW510" s="40" t="s">
        <v>104</v>
      </c>
      <c r="AX510">
        <v>0</v>
      </c>
      <c r="AY510" s="18">
        <v>1</v>
      </c>
      <c r="AZ510">
        <v>0.28489999999999999</v>
      </c>
      <c r="BA510" s="18">
        <f t="shared" si="14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10</v>
      </c>
      <c r="DB510" s="34"/>
    </row>
    <row r="511" spans="1:106" x14ac:dyDescent="0.25">
      <c r="A511">
        <v>510</v>
      </c>
      <c r="B511">
        <v>34</v>
      </c>
      <c r="C511" s="25" t="s">
        <v>327</v>
      </c>
      <c r="D511" s="12">
        <v>6</v>
      </c>
      <c r="E511" s="14">
        <v>0.18</v>
      </c>
      <c r="F511" s="7">
        <f t="shared" si="142"/>
        <v>33.333333333333336</v>
      </c>
      <c r="G511" s="7">
        <f t="shared" si="125"/>
        <v>5.82</v>
      </c>
      <c r="H511" s="16">
        <f t="shared" si="126"/>
        <v>6.18</v>
      </c>
      <c r="I511" s="11">
        <f t="shared" si="127"/>
        <v>0.1978209368545675</v>
      </c>
      <c r="J511" s="33">
        <f t="shared" si="128"/>
        <v>5.9346281056370243E-3</v>
      </c>
      <c r="K511" s="33">
        <f t="shared" si="129"/>
        <v>168.50255520647485</v>
      </c>
      <c r="L511" s="33">
        <f t="shared" si="130"/>
        <v>0.19188630874893048</v>
      </c>
      <c r="M511" s="33">
        <f t="shared" si="131"/>
        <v>0.20375556496020453</v>
      </c>
      <c r="N511" s="8">
        <v>1</v>
      </c>
      <c r="O511" s="9">
        <v>0</v>
      </c>
      <c r="P511" s="8">
        <v>0</v>
      </c>
      <c r="Q511" s="9">
        <v>0</v>
      </c>
      <c r="R511" s="9">
        <v>1</v>
      </c>
      <c r="S511" s="9">
        <v>0</v>
      </c>
      <c r="T511" s="9">
        <v>0</v>
      </c>
      <c r="U511" s="8">
        <v>27356</v>
      </c>
      <c r="V511" s="9">
        <v>73</v>
      </c>
      <c r="W511" s="9">
        <f t="shared" si="132"/>
        <v>27282</v>
      </c>
      <c r="X511" s="9">
        <f t="shared" si="133"/>
        <v>24</v>
      </c>
      <c r="Y511" s="7">
        <v>12</v>
      </c>
      <c r="Z511" s="7">
        <f t="shared" si="143"/>
        <v>16.878999999999998</v>
      </c>
      <c r="AA511" s="9">
        <v>1</v>
      </c>
      <c r="AB511" s="9">
        <v>0</v>
      </c>
      <c r="AC511" s="9">
        <v>1</v>
      </c>
      <c r="AD511" s="9">
        <v>0</v>
      </c>
      <c r="AE511" s="9">
        <v>0</v>
      </c>
      <c r="AF511" s="9">
        <v>0</v>
      </c>
      <c r="AG511" s="8">
        <v>0</v>
      </c>
      <c r="AH511" s="9">
        <v>1</v>
      </c>
      <c r="AI511" s="30">
        <v>0</v>
      </c>
      <c r="AJ511" s="9">
        <v>0</v>
      </c>
      <c r="AK511" s="30">
        <v>1</v>
      </c>
      <c r="AL511" s="21">
        <v>1983</v>
      </c>
      <c r="AM511" s="23">
        <f t="shared" si="134"/>
        <v>7.5923661285197959</v>
      </c>
      <c r="AN511" s="33">
        <f t="shared" si="144"/>
        <v>0.28200000000000003</v>
      </c>
      <c r="AO511" s="33">
        <v>0.1472</v>
      </c>
      <c r="AP511" s="33">
        <v>0.43049999999999999</v>
      </c>
      <c r="AQ511" s="43">
        <v>0.14030000000000001</v>
      </c>
      <c r="AR511" s="42">
        <f t="shared" si="145"/>
        <v>0.54134831999999999</v>
      </c>
      <c r="AS511" s="18">
        <v>0.45865168000000001</v>
      </c>
      <c r="AT511">
        <v>1</v>
      </c>
      <c r="AU511" s="40">
        <v>0</v>
      </c>
      <c r="AV511" t="s">
        <v>104</v>
      </c>
      <c r="AW511" s="40" t="s">
        <v>104</v>
      </c>
      <c r="AX511">
        <v>0</v>
      </c>
      <c r="AY511" s="18">
        <v>1</v>
      </c>
      <c r="AZ511">
        <v>0.30980000000000002</v>
      </c>
      <c r="BA511" s="18">
        <f t="shared" si="14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10</v>
      </c>
      <c r="DB511" s="34"/>
    </row>
    <row r="512" spans="1:106" x14ac:dyDescent="0.25">
      <c r="A512">
        <v>511</v>
      </c>
      <c r="B512">
        <v>34</v>
      </c>
      <c r="C512" s="25" t="s">
        <v>327</v>
      </c>
      <c r="D512" s="12">
        <v>5.37</v>
      </c>
      <c r="E512" s="14">
        <v>0.2</v>
      </c>
      <c r="F512" s="7">
        <f t="shared" si="142"/>
        <v>26.849999999999998</v>
      </c>
      <c r="G512" s="7">
        <f t="shared" si="125"/>
        <v>5.17</v>
      </c>
      <c r="H512" s="16">
        <f t="shared" si="126"/>
        <v>5.57</v>
      </c>
      <c r="I512" s="11">
        <f t="shared" si="127"/>
        <v>0.16330134352703748</v>
      </c>
      <c r="J512" s="33">
        <f t="shared" si="128"/>
        <v>6.0819867235395713E-3</v>
      </c>
      <c r="K512" s="33">
        <f t="shared" si="129"/>
        <v>164.41995773019772</v>
      </c>
      <c r="L512" s="33">
        <f t="shared" si="130"/>
        <v>0.15721935680349791</v>
      </c>
      <c r="M512" s="33">
        <f t="shared" si="131"/>
        <v>0.16938333025057706</v>
      </c>
      <c r="N512" s="8">
        <v>1</v>
      </c>
      <c r="O512" s="9">
        <v>0</v>
      </c>
      <c r="P512" s="8">
        <v>0</v>
      </c>
      <c r="Q512" s="9">
        <v>0</v>
      </c>
      <c r="R512" s="9">
        <v>1</v>
      </c>
      <c r="S512" s="9">
        <v>0</v>
      </c>
      <c r="T512" s="9">
        <v>0</v>
      </c>
      <c r="U512" s="8">
        <v>26387</v>
      </c>
      <c r="V512" s="9">
        <v>73</v>
      </c>
      <c r="W512" s="9">
        <f t="shared" si="132"/>
        <v>26313</v>
      </c>
      <c r="X512" s="9">
        <f t="shared" si="133"/>
        <v>24</v>
      </c>
      <c r="Y512" s="7">
        <v>12</v>
      </c>
      <c r="Z512" s="7">
        <f t="shared" si="143"/>
        <v>18.769599999999997</v>
      </c>
      <c r="AA512" s="9">
        <v>1</v>
      </c>
      <c r="AB512" s="9">
        <v>0</v>
      </c>
      <c r="AC512" s="9">
        <v>1</v>
      </c>
      <c r="AD512" s="9">
        <v>0</v>
      </c>
      <c r="AE512" s="9">
        <v>0</v>
      </c>
      <c r="AF512" s="9">
        <v>0</v>
      </c>
      <c r="AG512" s="8">
        <v>0</v>
      </c>
      <c r="AH512" s="9">
        <v>1</v>
      </c>
      <c r="AI512" s="30">
        <v>0</v>
      </c>
      <c r="AJ512" s="9">
        <v>0</v>
      </c>
      <c r="AK512" s="30">
        <v>1</v>
      </c>
      <c r="AL512" s="21">
        <v>1993</v>
      </c>
      <c r="AM512" s="23">
        <f t="shared" si="134"/>
        <v>7.5973963202127948</v>
      </c>
      <c r="AN512" s="33">
        <f t="shared" si="144"/>
        <v>0.19130000000000003</v>
      </c>
      <c r="AO512" s="33">
        <v>0.1027</v>
      </c>
      <c r="AP512" s="33">
        <v>0.4718</v>
      </c>
      <c r="AQ512" s="43">
        <v>0.23419999999999999</v>
      </c>
      <c r="AR512" s="42">
        <f t="shared" si="145"/>
        <v>0.52929399999999993</v>
      </c>
      <c r="AS512" s="18">
        <v>0.47070600000000001</v>
      </c>
      <c r="AT512">
        <v>1</v>
      </c>
      <c r="AU512" s="40">
        <v>0</v>
      </c>
      <c r="AV512" t="s">
        <v>104</v>
      </c>
      <c r="AW512" s="40" t="s">
        <v>104</v>
      </c>
      <c r="AX512">
        <v>0</v>
      </c>
      <c r="AY512" s="18">
        <v>1</v>
      </c>
      <c r="AZ512">
        <v>0.28499999999999998</v>
      </c>
      <c r="BA512" s="18">
        <f t="shared" si="14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10</v>
      </c>
      <c r="DB512" s="34"/>
    </row>
    <row r="513" spans="1:106" x14ac:dyDescent="0.25">
      <c r="A513">
        <v>512</v>
      </c>
      <c r="B513">
        <v>34</v>
      </c>
      <c r="C513" s="25" t="s">
        <v>327</v>
      </c>
      <c r="D513" s="12">
        <v>6.12</v>
      </c>
      <c r="E513" s="14">
        <v>0.21</v>
      </c>
      <c r="F513" s="7">
        <f t="shared" si="142"/>
        <v>29.142857142857146</v>
      </c>
      <c r="G513" s="7">
        <f t="shared" si="125"/>
        <v>5.91</v>
      </c>
      <c r="H513" s="16">
        <f t="shared" si="126"/>
        <v>6.33</v>
      </c>
      <c r="I513" s="11">
        <f t="shared" si="127"/>
        <v>0.17394363957968195</v>
      </c>
      <c r="J513" s="33">
        <f t="shared" si="128"/>
        <v>5.9686542993028112E-3</v>
      </c>
      <c r="K513" s="33">
        <f t="shared" si="129"/>
        <v>167.54195332050114</v>
      </c>
      <c r="L513" s="33">
        <f t="shared" si="130"/>
        <v>0.16797498528037913</v>
      </c>
      <c r="M513" s="33">
        <f t="shared" si="131"/>
        <v>0.17991229387898477</v>
      </c>
      <c r="N513" s="8">
        <v>1</v>
      </c>
      <c r="O513" s="9">
        <v>0</v>
      </c>
      <c r="P513" s="8">
        <v>0</v>
      </c>
      <c r="Q513" s="9">
        <v>0</v>
      </c>
      <c r="R513" s="9">
        <v>1</v>
      </c>
      <c r="S513" s="9">
        <v>0</v>
      </c>
      <c r="T513" s="9">
        <v>0</v>
      </c>
      <c r="U513" s="8">
        <v>27295</v>
      </c>
      <c r="V513" s="9">
        <v>73</v>
      </c>
      <c r="W513" s="9">
        <f t="shared" si="132"/>
        <v>27221</v>
      </c>
      <c r="X513" s="9">
        <f t="shared" si="133"/>
        <v>24</v>
      </c>
      <c r="Y513" s="7">
        <v>12</v>
      </c>
      <c r="Z513" s="7">
        <f t="shared" si="143"/>
        <v>19.110999999999997</v>
      </c>
      <c r="AA513" s="9">
        <v>1</v>
      </c>
      <c r="AB513" s="9">
        <v>0</v>
      </c>
      <c r="AC513" s="9">
        <v>1</v>
      </c>
      <c r="AD513" s="9">
        <v>0</v>
      </c>
      <c r="AE513" s="9">
        <v>0</v>
      </c>
      <c r="AF513" s="9">
        <v>0</v>
      </c>
      <c r="AG513" s="8">
        <v>0</v>
      </c>
      <c r="AH513" s="9">
        <v>1</v>
      </c>
      <c r="AI513" s="30">
        <v>0</v>
      </c>
      <c r="AJ513" s="9">
        <v>0</v>
      </c>
      <c r="AK513" s="30">
        <v>1</v>
      </c>
      <c r="AL513" s="21">
        <v>1999</v>
      </c>
      <c r="AM513" s="23">
        <f t="shared" si="134"/>
        <v>7.6004023345003997</v>
      </c>
      <c r="AN513" s="33">
        <f t="shared" si="144"/>
        <v>0.16289999999999993</v>
      </c>
      <c r="AO513" s="33">
        <v>9.69E-2</v>
      </c>
      <c r="AP513" s="33">
        <v>0.49940000000000001</v>
      </c>
      <c r="AQ513" s="43">
        <v>0.24079999999999999</v>
      </c>
      <c r="AR513" s="42">
        <f t="shared" si="145"/>
        <v>0.53514991000000001</v>
      </c>
      <c r="AS513" s="18">
        <v>0.46485008999999999</v>
      </c>
      <c r="AT513">
        <v>1</v>
      </c>
      <c r="AU513" s="40">
        <v>0</v>
      </c>
      <c r="AV513" t="s">
        <v>104</v>
      </c>
      <c r="AW513" s="40" t="s">
        <v>104</v>
      </c>
      <c r="AX513">
        <v>0</v>
      </c>
      <c r="AY513" s="18">
        <v>1</v>
      </c>
      <c r="AZ513">
        <v>0.28489999999999999</v>
      </c>
      <c r="BA513" s="18">
        <f t="shared" si="14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10</v>
      </c>
      <c r="DB513" s="34"/>
    </row>
    <row r="514" spans="1:106" x14ac:dyDescent="0.25">
      <c r="A514">
        <v>513</v>
      </c>
      <c r="B514">
        <v>34</v>
      </c>
      <c r="C514" s="25" t="s">
        <v>327</v>
      </c>
      <c r="D514" s="12">
        <v>9.9700000000000006</v>
      </c>
      <c r="E514" s="14">
        <v>0.28000000000000003</v>
      </c>
      <c r="F514" s="7">
        <f t="shared" si="142"/>
        <v>35.607142857142854</v>
      </c>
      <c r="G514" s="7">
        <f t="shared" ref="G514:G577" si="147">D514-E514</f>
        <v>9.6900000000000013</v>
      </c>
      <c r="H514" s="16">
        <f t="shared" ref="H514:H577" si="148">D514+E514</f>
        <v>10.25</v>
      </c>
      <c r="I514" s="11">
        <f t="shared" ref="I514:I577" si="149">IFERROR(F514/SQRT(F514^2+W514), "X")</f>
        <v>0.21073422283035778</v>
      </c>
      <c r="J514" s="33">
        <f t="shared" ref="J514:J577" si="150">IFERROR(SQRT((1-I514^2)/W514), "X")</f>
        <v>5.9183131787863769E-3</v>
      </c>
      <c r="K514" s="33">
        <f t="shared" ref="K514:K577" si="151">IFERROR(1/J514, "X")</f>
        <v>168.96706372085944</v>
      </c>
      <c r="L514" s="33">
        <f t="shared" ref="L514:L577" si="152">IFERROR(I514-J514, "X")</f>
        <v>0.2048159096515714</v>
      </c>
      <c r="M514" s="33">
        <f t="shared" ref="M514:M577" si="153">IFERROR(I514+J514, "X")</f>
        <v>0.21665253600914416</v>
      </c>
      <c r="N514" s="8">
        <v>1</v>
      </c>
      <c r="O514" s="9">
        <v>0</v>
      </c>
      <c r="P514" s="8">
        <v>0</v>
      </c>
      <c r="Q514" s="9">
        <v>0</v>
      </c>
      <c r="R514" s="9">
        <v>1</v>
      </c>
      <c r="S514" s="9">
        <v>0</v>
      </c>
      <c r="T514" s="9">
        <v>0</v>
      </c>
      <c r="U514" s="8">
        <v>27356</v>
      </c>
      <c r="V514" s="9">
        <v>73</v>
      </c>
      <c r="W514" s="9">
        <f t="shared" ref="W514:W577" si="154">U514-V514-1</f>
        <v>27282</v>
      </c>
      <c r="X514" s="9">
        <f t="shared" ref="X514:X577" si="155">COUNTIF(B:B,B514)</f>
        <v>24</v>
      </c>
      <c r="Y514" s="7">
        <v>15.5</v>
      </c>
      <c r="Z514" s="7">
        <f t="shared" si="143"/>
        <v>13.378999999999998</v>
      </c>
      <c r="AA514" s="9">
        <v>1</v>
      </c>
      <c r="AB514" s="9">
        <v>0</v>
      </c>
      <c r="AC514" s="9">
        <v>1</v>
      </c>
      <c r="AD514" s="9">
        <v>0</v>
      </c>
      <c r="AE514" s="9">
        <v>0</v>
      </c>
      <c r="AF514" s="9">
        <v>0</v>
      </c>
      <c r="AG514" s="8">
        <v>0</v>
      </c>
      <c r="AH514" s="9">
        <v>1</v>
      </c>
      <c r="AI514" s="30">
        <v>0</v>
      </c>
      <c r="AJ514" s="9">
        <v>0</v>
      </c>
      <c r="AK514" s="30">
        <v>1</v>
      </c>
      <c r="AL514" s="21">
        <v>1983</v>
      </c>
      <c r="AM514" s="23">
        <f t="shared" ref="AM514:AM577" si="156">LN(AL514)</f>
        <v>7.5923661285197959</v>
      </c>
      <c r="AN514" s="33">
        <f t="shared" si="144"/>
        <v>0.28200000000000003</v>
      </c>
      <c r="AO514" s="33">
        <v>0.1472</v>
      </c>
      <c r="AP514" s="33">
        <v>0.43049999999999999</v>
      </c>
      <c r="AQ514" s="43">
        <v>0.14030000000000001</v>
      </c>
      <c r="AR514" s="42">
        <f t="shared" si="145"/>
        <v>0.54134831999999999</v>
      </c>
      <c r="AS514" s="18">
        <v>0.45865168000000001</v>
      </c>
      <c r="AT514">
        <v>1</v>
      </c>
      <c r="AU514" s="40">
        <v>0</v>
      </c>
      <c r="AV514" t="s">
        <v>104</v>
      </c>
      <c r="AW514" s="40" t="s">
        <v>104</v>
      </c>
      <c r="AX514">
        <v>0</v>
      </c>
      <c r="AY514" s="18">
        <v>1</v>
      </c>
      <c r="AZ514">
        <v>0.30980000000000002</v>
      </c>
      <c r="BA514" s="18">
        <f t="shared" si="14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10</v>
      </c>
      <c r="DB514" s="34"/>
    </row>
    <row r="515" spans="1:106" x14ac:dyDescent="0.25">
      <c r="A515">
        <v>514</v>
      </c>
      <c r="B515">
        <v>34</v>
      </c>
      <c r="C515" s="25" t="s">
        <v>327</v>
      </c>
      <c r="D515" s="12">
        <v>10.94</v>
      </c>
      <c r="E515" s="14">
        <v>0.28000000000000003</v>
      </c>
      <c r="F515" s="7">
        <f t="shared" si="142"/>
        <v>39.071428571428569</v>
      </c>
      <c r="G515" s="7">
        <f t="shared" si="147"/>
        <v>10.66</v>
      </c>
      <c r="H515" s="16">
        <f t="shared" si="148"/>
        <v>11.219999999999999</v>
      </c>
      <c r="I515" s="11">
        <f t="shared" si="149"/>
        <v>0.23416823266045317</v>
      </c>
      <c r="J515" s="33">
        <f t="shared" si="150"/>
        <v>5.9933368505417639E-3</v>
      </c>
      <c r="K515" s="33">
        <f t="shared" si="151"/>
        <v>166.85195992439597</v>
      </c>
      <c r="L515" s="33">
        <f t="shared" si="152"/>
        <v>0.2281748958099114</v>
      </c>
      <c r="M515" s="33">
        <f t="shared" si="153"/>
        <v>0.24016156951099493</v>
      </c>
      <c r="N515" s="8">
        <v>1</v>
      </c>
      <c r="O515" s="9">
        <v>0</v>
      </c>
      <c r="P515" s="8">
        <v>0</v>
      </c>
      <c r="Q515" s="9">
        <v>0</v>
      </c>
      <c r="R515" s="9">
        <v>1</v>
      </c>
      <c r="S515" s="9">
        <v>0</v>
      </c>
      <c r="T515" s="9">
        <v>0</v>
      </c>
      <c r="U515" s="8">
        <v>26387</v>
      </c>
      <c r="V515" s="9">
        <v>73</v>
      </c>
      <c r="W515" s="9">
        <f t="shared" si="154"/>
        <v>26313</v>
      </c>
      <c r="X515" s="9">
        <f t="shared" si="155"/>
        <v>24</v>
      </c>
      <c r="Y515" s="7">
        <v>15.5</v>
      </c>
      <c r="Z515" s="7">
        <f t="shared" si="143"/>
        <v>15.269599999999997</v>
      </c>
      <c r="AA515" s="9">
        <v>1</v>
      </c>
      <c r="AB515" s="9">
        <v>0</v>
      </c>
      <c r="AC515" s="9">
        <v>1</v>
      </c>
      <c r="AD515" s="9">
        <v>0</v>
      </c>
      <c r="AE515" s="9">
        <v>0</v>
      </c>
      <c r="AF515" s="9">
        <v>0</v>
      </c>
      <c r="AG515" s="8">
        <v>0</v>
      </c>
      <c r="AH515" s="9">
        <v>1</v>
      </c>
      <c r="AI515" s="30">
        <v>0</v>
      </c>
      <c r="AJ515" s="9">
        <v>0</v>
      </c>
      <c r="AK515" s="30">
        <v>1</v>
      </c>
      <c r="AL515" s="21">
        <v>1993</v>
      </c>
      <c r="AM515" s="23">
        <f t="shared" si="156"/>
        <v>7.5973963202127948</v>
      </c>
      <c r="AN515" s="33">
        <f t="shared" si="144"/>
        <v>0.19130000000000003</v>
      </c>
      <c r="AO515" s="33">
        <v>0.1027</v>
      </c>
      <c r="AP515" s="33">
        <v>0.4718</v>
      </c>
      <c r="AQ515" s="43">
        <v>0.23419999999999999</v>
      </c>
      <c r="AR515" s="42">
        <f t="shared" si="145"/>
        <v>0.52929399999999993</v>
      </c>
      <c r="AS515" s="18">
        <v>0.47070600000000001</v>
      </c>
      <c r="AT515">
        <v>1</v>
      </c>
      <c r="AU515" s="40">
        <v>0</v>
      </c>
      <c r="AV515" t="s">
        <v>104</v>
      </c>
      <c r="AW515" s="40" t="s">
        <v>104</v>
      </c>
      <c r="AX515">
        <v>0</v>
      </c>
      <c r="AY515" s="18">
        <v>1</v>
      </c>
      <c r="AZ515">
        <v>0.28499999999999998</v>
      </c>
      <c r="BA515" s="18">
        <f t="shared" si="14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10</v>
      </c>
      <c r="DB515" s="34"/>
    </row>
    <row r="516" spans="1:106" x14ac:dyDescent="0.25">
      <c r="A516">
        <v>515</v>
      </c>
      <c r="B516">
        <v>34</v>
      </c>
      <c r="C516" s="25" t="s">
        <v>327</v>
      </c>
      <c r="D516" s="12">
        <v>12.29</v>
      </c>
      <c r="E516" s="14">
        <v>0.28000000000000003</v>
      </c>
      <c r="F516" s="7">
        <f t="shared" si="142"/>
        <v>43.892857142857139</v>
      </c>
      <c r="G516" s="7">
        <f t="shared" si="147"/>
        <v>12.01</v>
      </c>
      <c r="H516" s="16">
        <f t="shared" si="148"/>
        <v>12.569999999999999</v>
      </c>
      <c r="I516" s="11">
        <f t="shared" si="149"/>
        <v>0.25709437715131611</v>
      </c>
      <c r="J516" s="33">
        <f t="shared" si="150"/>
        <v>5.8573169733416195E-3</v>
      </c>
      <c r="K516" s="33">
        <f t="shared" si="151"/>
        <v>170.7266320998668</v>
      </c>
      <c r="L516" s="33">
        <f t="shared" si="152"/>
        <v>0.25123706017797448</v>
      </c>
      <c r="M516" s="33">
        <f t="shared" si="153"/>
        <v>0.26295169412465774</v>
      </c>
      <c r="N516" s="8">
        <v>1</v>
      </c>
      <c r="O516" s="9">
        <v>0</v>
      </c>
      <c r="P516" s="8">
        <v>0</v>
      </c>
      <c r="Q516" s="9">
        <v>0</v>
      </c>
      <c r="R516" s="9">
        <v>1</v>
      </c>
      <c r="S516" s="9">
        <v>0</v>
      </c>
      <c r="T516" s="9">
        <v>0</v>
      </c>
      <c r="U516" s="8">
        <v>27295</v>
      </c>
      <c r="V516" s="9">
        <v>73</v>
      </c>
      <c r="W516" s="9">
        <f t="shared" si="154"/>
        <v>27221</v>
      </c>
      <c r="X516" s="9">
        <f t="shared" si="155"/>
        <v>24</v>
      </c>
      <c r="Y516" s="7">
        <v>15.5</v>
      </c>
      <c r="Z516" s="7">
        <f t="shared" si="143"/>
        <v>15.610999999999997</v>
      </c>
      <c r="AA516" s="9">
        <v>1</v>
      </c>
      <c r="AB516" s="9">
        <v>0</v>
      </c>
      <c r="AC516" s="9">
        <v>1</v>
      </c>
      <c r="AD516" s="9">
        <v>0</v>
      </c>
      <c r="AE516" s="9">
        <v>0</v>
      </c>
      <c r="AF516" s="9">
        <v>0</v>
      </c>
      <c r="AG516" s="8">
        <v>0</v>
      </c>
      <c r="AH516" s="9">
        <v>1</v>
      </c>
      <c r="AI516" s="30">
        <v>0</v>
      </c>
      <c r="AJ516" s="9">
        <v>0</v>
      </c>
      <c r="AK516" s="30">
        <v>1</v>
      </c>
      <c r="AL516" s="21">
        <v>1999</v>
      </c>
      <c r="AM516" s="23">
        <f t="shared" si="156"/>
        <v>7.6004023345003997</v>
      </c>
      <c r="AN516" s="33">
        <f t="shared" si="144"/>
        <v>0.16289999999999993</v>
      </c>
      <c r="AO516" s="33">
        <v>9.69E-2</v>
      </c>
      <c r="AP516" s="33">
        <v>0.49940000000000001</v>
      </c>
      <c r="AQ516" s="43">
        <v>0.24079999999999999</v>
      </c>
      <c r="AR516" s="42">
        <f t="shared" si="145"/>
        <v>0.53514991000000001</v>
      </c>
      <c r="AS516" s="18">
        <v>0.46485008999999999</v>
      </c>
      <c r="AT516">
        <v>1</v>
      </c>
      <c r="AU516" s="40">
        <v>0</v>
      </c>
      <c r="AV516" t="s">
        <v>104</v>
      </c>
      <c r="AW516" s="40" t="s">
        <v>104</v>
      </c>
      <c r="AX516">
        <v>0</v>
      </c>
      <c r="AY516" s="18">
        <v>1</v>
      </c>
      <c r="AZ516">
        <v>0.28489999999999999</v>
      </c>
      <c r="BA516" s="18">
        <f t="shared" si="14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10</v>
      </c>
      <c r="DB516" s="34"/>
    </row>
    <row r="517" spans="1:106" x14ac:dyDescent="0.25">
      <c r="A517">
        <v>516</v>
      </c>
      <c r="B517">
        <v>34</v>
      </c>
      <c r="C517" s="25" t="s">
        <v>327</v>
      </c>
      <c r="D517" s="12">
        <v>5.17</v>
      </c>
      <c r="E517" s="14">
        <v>0.24</v>
      </c>
      <c r="F517" s="7">
        <f t="shared" si="142"/>
        <v>21.541666666666668</v>
      </c>
      <c r="G517" s="7">
        <f t="shared" si="147"/>
        <v>4.93</v>
      </c>
      <c r="H517" s="16">
        <f t="shared" si="148"/>
        <v>5.41</v>
      </c>
      <c r="I517" s="11">
        <f t="shared" si="149"/>
        <v>0.12596594997664462</v>
      </c>
      <c r="J517" s="33">
        <f t="shared" si="150"/>
        <v>5.8475489350860175E-3</v>
      </c>
      <c r="K517" s="33">
        <f t="shared" si="151"/>
        <v>171.01182240645755</v>
      </c>
      <c r="L517" s="33">
        <f t="shared" si="152"/>
        <v>0.1201184010415586</v>
      </c>
      <c r="M517" s="33">
        <f t="shared" si="153"/>
        <v>0.13181349891173064</v>
      </c>
      <c r="N517" s="8">
        <v>1</v>
      </c>
      <c r="O517" s="9">
        <v>0</v>
      </c>
      <c r="P517" s="8">
        <v>0</v>
      </c>
      <c r="Q517" s="9">
        <v>0</v>
      </c>
      <c r="R517" s="9">
        <v>1</v>
      </c>
      <c r="S517" s="9">
        <v>0</v>
      </c>
      <c r="T517" s="9">
        <v>0</v>
      </c>
      <c r="U517" s="8">
        <v>28855</v>
      </c>
      <c r="V517" s="9">
        <v>73</v>
      </c>
      <c r="W517" s="9">
        <f t="shared" si="154"/>
        <v>28781</v>
      </c>
      <c r="X517" s="9">
        <f t="shared" si="155"/>
        <v>24</v>
      </c>
      <c r="Y517" s="7">
        <v>5</v>
      </c>
      <c r="Z517" s="7">
        <f t="shared" si="143"/>
        <v>21.476599999999998</v>
      </c>
      <c r="AA517" s="9">
        <v>1</v>
      </c>
      <c r="AB517" s="9">
        <v>0</v>
      </c>
      <c r="AC517" s="9">
        <v>1</v>
      </c>
      <c r="AD517" s="9">
        <v>0</v>
      </c>
      <c r="AE517" s="9">
        <v>0</v>
      </c>
      <c r="AF517" s="9">
        <v>0</v>
      </c>
      <c r="AG517" s="8">
        <v>0</v>
      </c>
      <c r="AH517" s="9">
        <v>1</v>
      </c>
      <c r="AI517" s="30">
        <v>0</v>
      </c>
      <c r="AJ517" s="9">
        <v>0</v>
      </c>
      <c r="AK517" s="30">
        <v>1</v>
      </c>
      <c r="AL517" s="21">
        <v>1983</v>
      </c>
      <c r="AM517" s="23">
        <f t="shared" si="156"/>
        <v>7.5923661285197959</v>
      </c>
      <c r="AN517" s="33">
        <f t="shared" si="144"/>
        <v>0.75960000000000005</v>
      </c>
      <c r="AO517" s="33">
        <v>0.14369999999999999</v>
      </c>
      <c r="AP517" s="33">
        <v>9.5100000000000004E-2</v>
      </c>
      <c r="AQ517" s="43">
        <v>1.6000000000000001E-3</v>
      </c>
      <c r="AR517" s="42">
        <f t="shared" si="145"/>
        <v>0.54134831999999999</v>
      </c>
      <c r="AS517" s="18">
        <v>0.45865168000000001</v>
      </c>
      <c r="AT517">
        <v>1</v>
      </c>
      <c r="AU517" s="40">
        <v>0</v>
      </c>
      <c r="AV517" t="s">
        <v>104</v>
      </c>
      <c r="AW517" s="40" t="s">
        <v>104</v>
      </c>
      <c r="AX517">
        <v>0</v>
      </c>
      <c r="AY517" s="18">
        <v>1</v>
      </c>
      <c r="AZ517">
        <v>0.79579999999999995</v>
      </c>
      <c r="BA517" s="18">
        <f t="shared" si="14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10</v>
      </c>
      <c r="DB517" s="34"/>
    </row>
    <row r="518" spans="1:106" x14ac:dyDescent="0.25">
      <c r="A518">
        <v>517</v>
      </c>
      <c r="B518">
        <v>34</v>
      </c>
      <c r="C518" s="25" t="s">
        <v>327</v>
      </c>
      <c r="D518" s="12">
        <v>5.09</v>
      </c>
      <c r="E518" s="14">
        <v>0.25</v>
      </c>
      <c r="F518" s="7">
        <f t="shared" si="142"/>
        <v>20.36</v>
      </c>
      <c r="G518" s="7">
        <f t="shared" si="147"/>
        <v>4.84</v>
      </c>
      <c r="H518" s="16">
        <f t="shared" si="148"/>
        <v>5.34</v>
      </c>
      <c r="I518" s="11">
        <f t="shared" si="149"/>
        <v>0.1245113704291685</v>
      </c>
      <c r="J518" s="33">
        <f t="shared" si="150"/>
        <v>6.1154897067371566E-3</v>
      </c>
      <c r="K518" s="33">
        <f t="shared" si="151"/>
        <v>163.51920254208679</v>
      </c>
      <c r="L518" s="33">
        <f t="shared" si="152"/>
        <v>0.11839588072243135</v>
      </c>
      <c r="M518" s="33">
        <f t="shared" si="153"/>
        <v>0.13062686013590566</v>
      </c>
      <c r="N518" s="8">
        <v>1</v>
      </c>
      <c r="O518" s="9">
        <v>0</v>
      </c>
      <c r="P518" s="8">
        <v>0</v>
      </c>
      <c r="Q518" s="9">
        <v>0</v>
      </c>
      <c r="R518" s="9">
        <v>1</v>
      </c>
      <c r="S518" s="9">
        <v>0</v>
      </c>
      <c r="T518" s="9">
        <v>0</v>
      </c>
      <c r="U518" s="8">
        <v>26398</v>
      </c>
      <c r="V518" s="9">
        <v>73</v>
      </c>
      <c r="W518" s="9">
        <f t="shared" si="154"/>
        <v>26324</v>
      </c>
      <c r="X518" s="9">
        <f t="shared" si="155"/>
        <v>24</v>
      </c>
      <c r="Y518" s="7">
        <v>5</v>
      </c>
      <c r="Z518" s="7">
        <f t="shared" si="143"/>
        <v>22.099899999999998</v>
      </c>
      <c r="AA518" s="9">
        <v>1</v>
      </c>
      <c r="AB518" s="9">
        <v>0</v>
      </c>
      <c r="AC518" s="9">
        <v>1</v>
      </c>
      <c r="AD518" s="9">
        <v>0</v>
      </c>
      <c r="AE518" s="9">
        <v>0</v>
      </c>
      <c r="AF518" s="9">
        <v>0</v>
      </c>
      <c r="AG518" s="8">
        <v>0</v>
      </c>
      <c r="AH518" s="9">
        <v>1</v>
      </c>
      <c r="AI518" s="30">
        <v>0</v>
      </c>
      <c r="AJ518" s="9">
        <v>0</v>
      </c>
      <c r="AK518" s="30">
        <v>1</v>
      </c>
      <c r="AL518" s="21">
        <v>1993</v>
      </c>
      <c r="AM518" s="23">
        <f t="shared" si="156"/>
        <v>7.5973963202127948</v>
      </c>
      <c r="AN518" s="33">
        <f t="shared" si="144"/>
        <v>0.69320000000000004</v>
      </c>
      <c r="AO518" s="33">
        <v>0.1447</v>
      </c>
      <c r="AP518" s="33">
        <v>0.1585</v>
      </c>
      <c r="AQ518" s="43">
        <v>3.5999999999999999E-3</v>
      </c>
      <c r="AR518" s="42">
        <f t="shared" si="145"/>
        <v>0.52929399999999993</v>
      </c>
      <c r="AS518" s="18">
        <v>0.47070600000000001</v>
      </c>
      <c r="AT518">
        <v>1</v>
      </c>
      <c r="AU518" s="40">
        <v>0</v>
      </c>
      <c r="AV518" t="s">
        <v>104</v>
      </c>
      <c r="AW518" s="40" t="s">
        <v>104</v>
      </c>
      <c r="AX518">
        <v>0</v>
      </c>
      <c r="AY518" s="18">
        <v>1</v>
      </c>
      <c r="AZ518">
        <v>0.76400000000000001</v>
      </c>
      <c r="BA518" s="18">
        <f t="shared" si="14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10</v>
      </c>
      <c r="DB518" s="34"/>
    </row>
    <row r="519" spans="1:106" x14ac:dyDescent="0.25">
      <c r="A519">
        <v>518</v>
      </c>
      <c r="B519">
        <v>34</v>
      </c>
      <c r="C519" s="25" t="s">
        <v>327</v>
      </c>
      <c r="D519" s="12">
        <v>5.15</v>
      </c>
      <c r="E519" s="14">
        <v>0.25</v>
      </c>
      <c r="F519" s="7">
        <f t="shared" si="142"/>
        <v>20.6</v>
      </c>
      <c r="G519" s="7">
        <f t="shared" si="147"/>
        <v>4.9000000000000004</v>
      </c>
      <c r="H519" s="16">
        <f t="shared" si="148"/>
        <v>5.4</v>
      </c>
      <c r="I519" s="11">
        <f t="shared" si="149"/>
        <v>0.11862738625856023</v>
      </c>
      <c r="J519" s="33">
        <f t="shared" si="150"/>
        <v>5.7586109834252535E-3</v>
      </c>
      <c r="K519" s="33">
        <f t="shared" si="151"/>
        <v>173.65298730514255</v>
      </c>
      <c r="L519" s="33">
        <f t="shared" si="152"/>
        <v>0.11286877527513497</v>
      </c>
      <c r="M519" s="33">
        <f t="shared" si="153"/>
        <v>0.12438599724198549</v>
      </c>
      <c r="N519" s="8">
        <v>1</v>
      </c>
      <c r="O519" s="9">
        <v>0</v>
      </c>
      <c r="P519" s="8">
        <v>0</v>
      </c>
      <c r="Q519" s="9">
        <v>0</v>
      </c>
      <c r="R519" s="9">
        <v>1</v>
      </c>
      <c r="S519" s="9">
        <v>0</v>
      </c>
      <c r="T519" s="9">
        <v>0</v>
      </c>
      <c r="U519" s="8">
        <v>29805</v>
      </c>
      <c r="V519" s="9">
        <v>73</v>
      </c>
      <c r="W519" s="9">
        <f t="shared" si="154"/>
        <v>29731</v>
      </c>
      <c r="X519" s="9">
        <f t="shared" si="155"/>
        <v>24</v>
      </c>
      <c r="Y519" s="7">
        <v>5</v>
      </c>
      <c r="Z519" s="7">
        <f t="shared" si="143"/>
        <v>22.079599999999999</v>
      </c>
      <c r="AA519" s="9">
        <v>1</v>
      </c>
      <c r="AB519" s="9">
        <v>0</v>
      </c>
      <c r="AC519" s="9">
        <v>1</v>
      </c>
      <c r="AD519" s="9">
        <v>0</v>
      </c>
      <c r="AE519" s="9">
        <v>0</v>
      </c>
      <c r="AF519" s="9">
        <v>0</v>
      </c>
      <c r="AG519" s="8">
        <v>0</v>
      </c>
      <c r="AH519" s="9">
        <v>1</v>
      </c>
      <c r="AI519" s="30">
        <v>0</v>
      </c>
      <c r="AJ519" s="9">
        <v>0</v>
      </c>
      <c r="AK519" s="30">
        <v>1</v>
      </c>
      <c r="AL519" s="21">
        <v>1999</v>
      </c>
      <c r="AM519" s="23">
        <f t="shared" si="156"/>
        <v>7.6004023345003997</v>
      </c>
      <c r="AN519" s="33">
        <f t="shared" si="144"/>
        <v>0.61990000000000001</v>
      </c>
      <c r="AO519" s="33">
        <v>0.14649999999999999</v>
      </c>
      <c r="AP519" s="33">
        <v>0.22819999999999999</v>
      </c>
      <c r="AQ519" s="43">
        <v>5.4000000000000003E-3</v>
      </c>
      <c r="AR519" s="42">
        <f t="shared" si="145"/>
        <v>0.53514991000000001</v>
      </c>
      <c r="AS519" s="18">
        <v>0.46485008999999999</v>
      </c>
      <c r="AT519">
        <v>1</v>
      </c>
      <c r="AU519" s="40">
        <v>0</v>
      </c>
      <c r="AV519" t="s">
        <v>104</v>
      </c>
      <c r="AW519" s="40" t="s">
        <v>104</v>
      </c>
      <c r="AX519">
        <v>0</v>
      </c>
      <c r="AY519" s="18">
        <v>1</v>
      </c>
      <c r="AZ519">
        <v>0.75</v>
      </c>
      <c r="BA519" s="18">
        <f t="shared" si="14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10</v>
      </c>
      <c r="DB519" s="34"/>
    </row>
    <row r="520" spans="1:106" x14ac:dyDescent="0.25">
      <c r="A520">
        <v>519</v>
      </c>
      <c r="B520">
        <v>34</v>
      </c>
      <c r="C520" s="25" t="s">
        <v>327</v>
      </c>
      <c r="D520" s="12">
        <v>0.82</v>
      </c>
      <c r="E520" s="14">
        <v>0.26</v>
      </c>
      <c r="F520" s="7">
        <f t="shared" si="142"/>
        <v>3.1538461538461537</v>
      </c>
      <c r="G520" s="7">
        <f t="shared" si="147"/>
        <v>0.55999999999999994</v>
      </c>
      <c r="H520" s="16">
        <f t="shared" si="148"/>
        <v>1.08</v>
      </c>
      <c r="I520" s="11">
        <f t="shared" si="149"/>
        <v>1.8587138339873844E-2</v>
      </c>
      <c r="J520" s="33">
        <f t="shared" si="150"/>
        <v>5.8934828882526826E-3</v>
      </c>
      <c r="K520" s="33">
        <f t="shared" si="151"/>
        <v>169.67895198156467</v>
      </c>
      <c r="L520" s="33">
        <f t="shared" si="152"/>
        <v>1.2693655451621162E-2</v>
      </c>
      <c r="M520" s="33">
        <f t="shared" si="153"/>
        <v>2.4480621228126526E-2</v>
      </c>
      <c r="N520" s="8">
        <v>1</v>
      </c>
      <c r="O520" s="9">
        <v>0</v>
      </c>
      <c r="P520" s="8">
        <v>0</v>
      </c>
      <c r="Q520" s="9">
        <v>0</v>
      </c>
      <c r="R520" s="9">
        <v>1</v>
      </c>
      <c r="S520" s="9">
        <v>0</v>
      </c>
      <c r="T520" s="9">
        <v>0</v>
      </c>
      <c r="U520" s="8">
        <v>28855</v>
      </c>
      <c r="V520" s="9">
        <v>73</v>
      </c>
      <c r="W520" s="9">
        <f t="shared" si="154"/>
        <v>28781</v>
      </c>
      <c r="X520" s="9">
        <f t="shared" si="155"/>
        <v>24</v>
      </c>
      <c r="Y520" s="7">
        <v>8</v>
      </c>
      <c r="Z520" s="7">
        <f t="shared" si="143"/>
        <v>20.878999999999998</v>
      </c>
      <c r="AA520" s="9">
        <v>1</v>
      </c>
      <c r="AB520" s="9">
        <v>0</v>
      </c>
      <c r="AC520" s="9">
        <v>1</v>
      </c>
      <c r="AD520" s="9">
        <v>0</v>
      </c>
      <c r="AE520" s="9">
        <v>0</v>
      </c>
      <c r="AF520" s="9">
        <v>0</v>
      </c>
      <c r="AG520" s="8">
        <v>0</v>
      </c>
      <c r="AH520" s="9">
        <v>1</v>
      </c>
      <c r="AI520" s="30">
        <v>0</v>
      </c>
      <c r="AJ520" s="9">
        <v>0</v>
      </c>
      <c r="AK520" s="30">
        <v>1</v>
      </c>
      <c r="AL520" s="21">
        <v>1983</v>
      </c>
      <c r="AM520" s="23">
        <f t="shared" si="156"/>
        <v>7.5923661285197959</v>
      </c>
      <c r="AN520" s="33">
        <f t="shared" si="144"/>
        <v>0.75960000000000005</v>
      </c>
      <c r="AO520" s="33">
        <v>0.14369999999999999</v>
      </c>
      <c r="AP520" s="33">
        <v>9.5100000000000004E-2</v>
      </c>
      <c r="AQ520" s="43">
        <v>1.6000000000000001E-3</v>
      </c>
      <c r="AR520" s="42">
        <f t="shared" si="145"/>
        <v>0.54134831999999999</v>
      </c>
      <c r="AS520" s="18">
        <v>0.45865168000000001</v>
      </c>
      <c r="AT520">
        <v>1</v>
      </c>
      <c r="AU520" s="40">
        <v>0</v>
      </c>
      <c r="AV520" t="s">
        <v>104</v>
      </c>
      <c r="AW520" s="40" t="s">
        <v>104</v>
      </c>
      <c r="AX520">
        <v>0</v>
      </c>
      <c r="AY520" s="18">
        <v>1</v>
      </c>
      <c r="AZ520">
        <v>0.30980000000000002</v>
      </c>
      <c r="BA520" s="18">
        <f t="shared" si="14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10</v>
      </c>
      <c r="DB520" s="34"/>
    </row>
    <row r="521" spans="1:106" x14ac:dyDescent="0.25">
      <c r="A521">
        <v>520</v>
      </c>
      <c r="B521">
        <v>34</v>
      </c>
      <c r="C521" s="25" t="s">
        <v>327</v>
      </c>
      <c r="D521" s="12">
        <v>0.72</v>
      </c>
      <c r="E521" s="14">
        <v>0.24</v>
      </c>
      <c r="F521" s="7">
        <f t="shared" si="142"/>
        <v>3</v>
      </c>
      <c r="G521" s="7">
        <f t="shared" si="147"/>
        <v>0.48</v>
      </c>
      <c r="H521" s="16">
        <f t="shared" si="148"/>
        <v>0.96</v>
      </c>
      <c r="I521" s="11">
        <f t="shared" si="149"/>
        <v>1.8487197683350179E-2</v>
      </c>
      <c r="J521" s="33">
        <f t="shared" si="150"/>
        <v>6.1623992277833927E-3</v>
      </c>
      <c r="K521" s="33">
        <f t="shared" si="151"/>
        <v>162.27445886522005</v>
      </c>
      <c r="L521" s="33">
        <f t="shared" si="152"/>
        <v>1.2324798455566787E-2</v>
      </c>
      <c r="M521" s="33">
        <f t="shared" si="153"/>
        <v>2.4649596911133571E-2</v>
      </c>
      <c r="N521" s="8">
        <v>1</v>
      </c>
      <c r="O521" s="9">
        <v>0</v>
      </c>
      <c r="P521" s="8">
        <v>0</v>
      </c>
      <c r="Q521" s="9">
        <v>0</v>
      </c>
      <c r="R521" s="9">
        <v>1</v>
      </c>
      <c r="S521" s="9">
        <v>0</v>
      </c>
      <c r="T521" s="9">
        <v>0</v>
      </c>
      <c r="U521" s="8">
        <v>26398</v>
      </c>
      <c r="V521" s="9">
        <v>73</v>
      </c>
      <c r="W521" s="9">
        <f t="shared" si="154"/>
        <v>26324</v>
      </c>
      <c r="X521" s="9">
        <f t="shared" si="155"/>
        <v>24</v>
      </c>
      <c r="Y521" s="7">
        <v>8</v>
      </c>
      <c r="Z521" s="7">
        <f t="shared" si="143"/>
        <v>22.769599999999997</v>
      </c>
      <c r="AA521" s="9">
        <v>1</v>
      </c>
      <c r="AB521" s="9">
        <v>0</v>
      </c>
      <c r="AC521" s="9">
        <v>1</v>
      </c>
      <c r="AD521" s="9">
        <v>0</v>
      </c>
      <c r="AE521" s="9">
        <v>0</v>
      </c>
      <c r="AF521" s="9">
        <v>0</v>
      </c>
      <c r="AG521" s="8">
        <v>0</v>
      </c>
      <c r="AH521" s="9">
        <v>1</v>
      </c>
      <c r="AI521" s="30">
        <v>0</v>
      </c>
      <c r="AJ521" s="9">
        <v>0</v>
      </c>
      <c r="AK521" s="30">
        <v>1</v>
      </c>
      <c r="AL521" s="21">
        <v>1993</v>
      </c>
      <c r="AM521" s="23">
        <f t="shared" si="156"/>
        <v>7.5973963202127948</v>
      </c>
      <c r="AN521" s="33">
        <f t="shared" si="144"/>
        <v>0.69320000000000004</v>
      </c>
      <c r="AO521" s="33">
        <v>0.1447</v>
      </c>
      <c r="AP521" s="33">
        <v>0.1585</v>
      </c>
      <c r="AQ521" s="43">
        <v>3.5999999999999999E-3</v>
      </c>
      <c r="AR521" s="42">
        <f t="shared" si="145"/>
        <v>0.52929399999999993</v>
      </c>
      <c r="AS521" s="18">
        <v>0.47070600000000001</v>
      </c>
      <c r="AT521">
        <v>1</v>
      </c>
      <c r="AU521" s="40">
        <v>0</v>
      </c>
      <c r="AV521" t="s">
        <v>104</v>
      </c>
      <c r="AW521" s="40" t="s">
        <v>104</v>
      </c>
      <c r="AX521">
        <v>0</v>
      </c>
      <c r="AY521" s="18">
        <v>1</v>
      </c>
      <c r="AZ521">
        <v>0.28499999999999998</v>
      </c>
      <c r="BA521" s="18">
        <f t="shared" si="14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10</v>
      </c>
      <c r="DB521" s="34"/>
    </row>
    <row r="522" spans="1:106" x14ac:dyDescent="0.25">
      <c r="A522">
        <v>521</v>
      </c>
      <c r="B522">
        <v>34</v>
      </c>
      <c r="C522" s="25" t="s">
        <v>327</v>
      </c>
      <c r="D522" s="12">
        <v>0.72</v>
      </c>
      <c r="E522" s="14">
        <v>0.22</v>
      </c>
      <c r="F522" s="7">
        <f t="shared" si="142"/>
        <v>3.2727272727272725</v>
      </c>
      <c r="G522" s="7">
        <f t="shared" si="147"/>
        <v>0.5</v>
      </c>
      <c r="H522" s="16">
        <f t="shared" si="148"/>
        <v>0.94</v>
      </c>
      <c r="I522" s="11">
        <f t="shared" si="149"/>
        <v>1.8976968768129054E-2</v>
      </c>
      <c r="J522" s="33">
        <f t="shared" si="150"/>
        <v>5.7985182347060999E-3</v>
      </c>
      <c r="K522" s="33">
        <f t="shared" si="151"/>
        <v>172.45785207928822</v>
      </c>
      <c r="L522" s="33">
        <f t="shared" si="152"/>
        <v>1.3178450533422953E-2</v>
      </c>
      <c r="M522" s="33">
        <f t="shared" si="153"/>
        <v>2.4775487002835155E-2</v>
      </c>
      <c r="N522" s="8">
        <v>1</v>
      </c>
      <c r="O522" s="9">
        <v>0</v>
      </c>
      <c r="P522" s="8">
        <v>0</v>
      </c>
      <c r="Q522" s="9">
        <v>0</v>
      </c>
      <c r="R522" s="9">
        <v>1</v>
      </c>
      <c r="S522" s="9">
        <v>0</v>
      </c>
      <c r="T522" s="9">
        <v>0</v>
      </c>
      <c r="U522" s="8">
        <v>29805</v>
      </c>
      <c r="V522" s="9">
        <v>73</v>
      </c>
      <c r="W522" s="9">
        <f t="shared" si="154"/>
        <v>29731</v>
      </c>
      <c r="X522" s="9">
        <f t="shared" si="155"/>
        <v>24</v>
      </c>
      <c r="Y522" s="7">
        <v>8</v>
      </c>
      <c r="Z522" s="7">
        <f t="shared" si="143"/>
        <v>23.110999999999997</v>
      </c>
      <c r="AA522" s="9">
        <v>1</v>
      </c>
      <c r="AB522" s="9">
        <v>0</v>
      </c>
      <c r="AC522" s="9">
        <v>1</v>
      </c>
      <c r="AD522" s="9">
        <v>0</v>
      </c>
      <c r="AE522" s="9">
        <v>0</v>
      </c>
      <c r="AF522" s="9">
        <v>0</v>
      </c>
      <c r="AG522" s="8">
        <v>0</v>
      </c>
      <c r="AH522" s="9">
        <v>1</v>
      </c>
      <c r="AI522" s="30">
        <v>0</v>
      </c>
      <c r="AJ522" s="9">
        <v>0</v>
      </c>
      <c r="AK522" s="30">
        <v>1</v>
      </c>
      <c r="AL522" s="21">
        <v>1999</v>
      </c>
      <c r="AM522" s="23">
        <f t="shared" si="156"/>
        <v>7.6004023345003997</v>
      </c>
      <c r="AN522" s="33">
        <f t="shared" si="144"/>
        <v>0.61990000000000001</v>
      </c>
      <c r="AO522" s="33">
        <v>0.14649999999999999</v>
      </c>
      <c r="AP522" s="33">
        <v>0.22819999999999999</v>
      </c>
      <c r="AQ522" s="43">
        <v>5.4000000000000003E-3</v>
      </c>
      <c r="AR522" s="42">
        <f t="shared" si="145"/>
        <v>0.53514991000000001</v>
      </c>
      <c r="AS522" s="18">
        <v>0.46485008999999999</v>
      </c>
      <c r="AT522">
        <v>1</v>
      </c>
      <c r="AU522" s="40">
        <v>0</v>
      </c>
      <c r="AV522" t="s">
        <v>104</v>
      </c>
      <c r="AW522" s="40" t="s">
        <v>104</v>
      </c>
      <c r="AX522">
        <v>0</v>
      </c>
      <c r="AY522" s="18">
        <v>1</v>
      </c>
      <c r="AZ522">
        <v>0.28489999999999999</v>
      </c>
      <c r="BA522" s="18">
        <f t="shared" si="14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10</v>
      </c>
      <c r="DB522" s="34"/>
    </row>
    <row r="523" spans="1:106" x14ac:dyDescent="0.25">
      <c r="A523">
        <v>522</v>
      </c>
      <c r="B523">
        <v>34</v>
      </c>
      <c r="C523" s="25" t="s">
        <v>327</v>
      </c>
      <c r="D523" s="12">
        <v>0.69</v>
      </c>
      <c r="E523" s="14">
        <v>0.36</v>
      </c>
      <c r="F523" s="7">
        <f t="shared" si="142"/>
        <v>1.9166666666666665</v>
      </c>
      <c r="G523" s="7">
        <f t="shared" si="147"/>
        <v>0.32999999999999996</v>
      </c>
      <c r="H523" s="16">
        <f t="shared" si="148"/>
        <v>1.0499999999999998</v>
      </c>
      <c r="I523" s="11">
        <f t="shared" si="149"/>
        <v>1.1297073004638739E-2</v>
      </c>
      <c r="J523" s="33">
        <f t="shared" si="150"/>
        <v>5.8941250458984726E-3</v>
      </c>
      <c r="K523" s="33">
        <f t="shared" si="151"/>
        <v>169.66046566926283</v>
      </c>
      <c r="L523" s="33">
        <f t="shared" si="152"/>
        <v>5.402947958740266E-3</v>
      </c>
      <c r="M523" s="33">
        <f t="shared" si="153"/>
        <v>1.7191198050537211E-2</v>
      </c>
      <c r="N523" s="8">
        <v>1</v>
      </c>
      <c r="O523" s="9">
        <v>0</v>
      </c>
      <c r="P523" s="8">
        <v>0</v>
      </c>
      <c r="Q523" s="9">
        <v>0</v>
      </c>
      <c r="R523" s="9">
        <v>1</v>
      </c>
      <c r="S523" s="9">
        <v>0</v>
      </c>
      <c r="T523" s="9">
        <v>0</v>
      </c>
      <c r="U523" s="8">
        <v>28855</v>
      </c>
      <c r="V523" s="9">
        <v>73</v>
      </c>
      <c r="W523" s="9">
        <f t="shared" si="154"/>
        <v>28781</v>
      </c>
      <c r="X523" s="9">
        <f t="shared" si="155"/>
        <v>24</v>
      </c>
      <c r="Y523" s="7">
        <v>12</v>
      </c>
      <c r="Z523" s="7">
        <f t="shared" si="143"/>
        <v>16.878999999999998</v>
      </c>
      <c r="AA523" s="9">
        <v>1</v>
      </c>
      <c r="AB523" s="9">
        <v>0</v>
      </c>
      <c r="AC523" s="9">
        <v>1</v>
      </c>
      <c r="AD523" s="9">
        <v>0</v>
      </c>
      <c r="AE523" s="9">
        <v>0</v>
      </c>
      <c r="AF523" s="9">
        <v>0</v>
      </c>
      <c r="AG523" s="8">
        <v>0</v>
      </c>
      <c r="AH523" s="9">
        <v>1</v>
      </c>
      <c r="AI523" s="30">
        <v>0</v>
      </c>
      <c r="AJ523" s="9">
        <v>0</v>
      </c>
      <c r="AK523" s="30">
        <v>1</v>
      </c>
      <c r="AL523" s="21">
        <v>1983</v>
      </c>
      <c r="AM523" s="23">
        <f t="shared" si="156"/>
        <v>7.5923661285197959</v>
      </c>
      <c r="AN523" s="33">
        <f t="shared" si="144"/>
        <v>0.75960000000000005</v>
      </c>
      <c r="AO523" s="33">
        <v>0.14369999999999999</v>
      </c>
      <c r="AP523" s="33">
        <v>9.5100000000000004E-2</v>
      </c>
      <c r="AQ523" s="43">
        <v>1.6000000000000001E-3</v>
      </c>
      <c r="AR523" s="42">
        <f t="shared" si="145"/>
        <v>0.54134831999999999</v>
      </c>
      <c r="AS523" s="18">
        <v>0.45865168000000001</v>
      </c>
      <c r="AT523">
        <v>1</v>
      </c>
      <c r="AU523" s="40">
        <v>0</v>
      </c>
      <c r="AV523" t="s">
        <v>104</v>
      </c>
      <c r="AW523" s="40" t="s">
        <v>104</v>
      </c>
      <c r="AX523">
        <v>0</v>
      </c>
      <c r="AY523" s="18">
        <v>1</v>
      </c>
      <c r="AZ523">
        <v>0.30980000000000002</v>
      </c>
      <c r="BA523" s="18">
        <f t="shared" si="14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10</v>
      </c>
      <c r="DB523" s="34"/>
    </row>
    <row r="524" spans="1:106" x14ac:dyDescent="0.25">
      <c r="A524">
        <v>523</v>
      </c>
      <c r="B524">
        <v>34</v>
      </c>
      <c r="C524" s="25" t="s">
        <v>327</v>
      </c>
      <c r="D524" s="12">
        <f>0.47</f>
        <v>0.47</v>
      </c>
      <c r="E524" s="14">
        <v>0.26</v>
      </c>
      <c r="F524" s="7">
        <f t="shared" si="142"/>
        <v>1.8076923076923075</v>
      </c>
      <c r="G524" s="7">
        <f t="shared" si="147"/>
        <v>0.20999999999999996</v>
      </c>
      <c r="H524" s="16">
        <f t="shared" si="148"/>
        <v>0.73</v>
      </c>
      <c r="I524" s="11">
        <f t="shared" si="149"/>
        <v>1.1140934343436375E-2</v>
      </c>
      <c r="J524" s="33">
        <f t="shared" si="150"/>
        <v>6.1630700623265056E-3</v>
      </c>
      <c r="K524" s="33">
        <f t="shared" si="151"/>
        <v>162.25679570199608</v>
      </c>
      <c r="L524" s="33">
        <f t="shared" si="152"/>
        <v>4.9778642811098691E-3</v>
      </c>
      <c r="M524" s="33">
        <f t="shared" si="153"/>
        <v>1.7304004405762879E-2</v>
      </c>
      <c r="N524" s="8">
        <v>1</v>
      </c>
      <c r="O524" s="9">
        <v>0</v>
      </c>
      <c r="P524" s="8">
        <v>0</v>
      </c>
      <c r="Q524" s="9">
        <v>0</v>
      </c>
      <c r="R524" s="9">
        <v>1</v>
      </c>
      <c r="S524" s="9">
        <v>0</v>
      </c>
      <c r="T524" s="9">
        <v>0</v>
      </c>
      <c r="U524" s="8">
        <v>26398</v>
      </c>
      <c r="V524" s="9">
        <v>73</v>
      </c>
      <c r="W524" s="9">
        <f t="shared" si="154"/>
        <v>26324</v>
      </c>
      <c r="X524" s="9">
        <f t="shared" si="155"/>
        <v>24</v>
      </c>
      <c r="Y524" s="7">
        <v>12</v>
      </c>
      <c r="Z524" s="7">
        <f t="shared" si="143"/>
        <v>18.769599999999997</v>
      </c>
      <c r="AA524" s="9">
        <v>1</v>
      </c>
      <c r="AB524" s="9">
        <v>0</v>
      </c>
      <c r="AC524" s="9">
        <v>1</v>
      </c>
      <c r="AD524" s="9">
        <v>0</v>
      </c>
      <c r="AE524" s="9">
        <v>0</v>
      </c>
      <c r="AF524" s="9">
        <v>0</v>
      </c>
      <c r="AG524" s="8">
        <v>0</v>
      </c>
      <c r="AH524" s="9">
        <v>1</v>
      </c>
      <c r="AI524" s="30">
        <v>0</v>
      </c>
      <c r="AJ524" s="9">
        <v>0</v>
      </c>
      <c r="AK524" s="30">
        <v>1</v>
      </c>
      <c r="AL524" s="21">
        <v>1993</v>
      </c>
      <c r="AM524" s="23">
        <f t="shared" si="156"/>
        <v>7.5973963202127948</v>
      </c>
      <c r="AN524" s="33">
        <f t="shared" si="144"/>
        <v>0.69320000000000004</v>
      </c>
      <c r="AO524" s="33">
        <v>0.1447</v>
      </c>
      <c r="AP524" s="33">
        <v>0.1585</v>
      </c>
      <c r="AQ524" s="43">
        <v>3.5999999999999999E-3</v>
      </c>
      <c r="AR524" s="42">
        <f t="shared" si="145"/>
        <v>0.52929399999999993</v>
      </c>
      <c r="AS524" s="18">
        <v>0.47070600000000001</v>
      </c>
      <c r="AT524">
        <v>1</v>
      </c>
      <c r="AU524" s="40">
        <v>0</v>
      </c>
      <c r="AV524" t="s">
        <v>104</v>
      </c>
      <c r="AW524" s="40" t="s">
        <v>104</v>
      </c>
      <c r="AX524">
        <v>0</v>
      </c>
      <c r="AY524" s="18">
        <v>1</v>
      </c>
      <c r="AZ524">
        <v>0.28499999999999998</v>
      </c>
      <c r="BA524" s="18">
        <f t="shared" si="14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10</v>
      </c>
      <c r="DB524" s="34"/>
    </row>
    <row r="525" spans="1:106" x14ac:dyDescent="0.25">
      <c r="A525">
        <v>524</v>
      </c>
      <c r="B525">
        <v>34</v>
      </c>
      <c r="C525" s="25" t="s">
        <v>327</v>
      </c>
      <c r="D525" s="12">
        <v>0.16</v>
      </c>
      <c r="E525" s="14">
        <v>0.21</v>
      </c>
      <c r="F525" s="7">
        <f t="shared" si="142"/>
        <v>0.76190476190476197</v>
      </c>
      <c r="G525" s="7">
        <f t="shared" si="147"/>
        <v>-4.9999999999999989E-2</v>
      </c>
      <c r="H525" s="16">
        <f t="shared" si="148"/>
        <v>0.37</v>
      </c>
      <c r="I525" s="11">
        <f t="shared" si="149"/>
        <v>4.4186712350274774E-3</v>
      </c>
      <c r="J525" s="33">
        <f t="shared" si="150"/>
        <v>5.799505995973564E-3</v>
      </c>
      <c r="K525" s="33">
        <f t="shared" si="151"/>
        <v>172.42847937294525</v>
      </c>
      <c r="L525" s="33">
        <f t="shared" si="152"/>
        <v>-1.3808347609460866E-3</v>
      </c>
      <c r="M525" s="33">
        <f t="shared" si="153"/>
        <v>1.0218177231001041E-2</v>
      </c>
      <c r="N525" s="8">
        <v>1</v>
      </c>
      <c r="O525" s="9">
        <v>0</v>
      </c>
      <c r="P525" s="8">
        <v>0</v>
      </c>
      <c r="Q525" s="9">
        <v>0</v>
      </c>
      <c r="R525" s="9">
        <v>1</v>
      </c>
      <c r="S525" s="9">
        <v>0</v>
      </c>
      <c r="T525" s="9">
        <v>0</v>
      </c>
      <c r="U525" s="8">
        <v>29805</v>
      </c>
      <c r="V525" s="9">
        <v>73</v>
      </c>
      <c r="W525" s="9">
        <f t="shared" si="154"/>
        <v>29731</v>
      </c>
      <c r="X525" s="9">
        <f t="shared" si="155"/>
        <v>24</v>
      </c>
      <c r="Y525" s="7">
        <v>12</v>
      </c>
      <c r="Z525" s="7">
        <f t="shared" si="143"/>
        <v>19.110999999999997</v>
      </c>
      <c r="AA525" s="9">
        <v>1</v>
      </c>
      <c r="AB525" s="9">
        <v>0</v>
      </c>
      <c r="AC525" s="9">
        <v>1</v>
      </c>
      <c r="AD525" s="9">
        <v>0</v>
      </c>
      <c r="AE525" s="9">
        <v>0</v>
      </c>
      <c r="AF525" s="9">
        <v>0</v>
      </c>
      <c r="AG525" s="8">
        <v>0</v>
      </c>
      <c r="AH525" s="9">
        <v>1</v>
      </c>
      <c r="AI525" s="30">
        <v>0</v>
      </c>
      <c r="AJ525" s="9">
        <v>0</v>
      </c>
      <c r="AK525" s="30">
        <v>1</v>
      </c>
      <c r="AL525" s="21">
        <v>1999</v>
      </c>
      <c r="AM525" s="23">
        <f t="shared" si="156"/>
        <v>7.6004023345003997</v>
      </c>
      <c r="AN525" s="33">
        <f t="shared" si="144"/>
        <v>0.61990000000000001</v>
      </c>
      <c r="AO525" s="33">
        <v>0.14649999999999999</v>
      </c>
      <c r="AP525" s="33">
        <v>0.22819999999999999</v>
      </c>
      <c r="AQ525" s="43">
        <v>5.4000000000000003E-3</v>
      </c>
      <c r="AR525" s="42">
        <f t="shared" si="145"/>
        <v>0.53514991000000001</v>
      </c>
      <c r="AS525" s="18">
        <v>0.46485008999999999</v>
      </c>
      <c r="AT525">
        <v>1</v>
      </c>
      <c r="AU525" s="40">
        <v>0</v>
      </c>
      <c r="AV525" t="s">
        <v>104</v>
      </c>
      <c r="AW525" s="40" t="s">
        <v>104</v>
      </c>
      <c r="AX525">
        <v>0</v>
      </c>
      <c r="AY525" s="18">
        <v>1</v>
      </c>
      <c r="AZ525">
        <v>0.28489999999999999</v>
      </c>
      <c r="BA525" s="18">
        <f t="shared" si="14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10</v>
      </c>
      <c r="DB525" s="34"/>
    </row>
    <row r="526" spans="1:106" x14ac:dyDescent="0.25">
      <c r="A526">
        <v>525</v>
      </c>
      <c r="B526">
        <v>34</v>
      </c>
      <c r="C526" s="25" t="s">
        <v>327</v>
      </c>
      <c r="D526" s="12">
        <v>2.1800000000000002</v>
      </c>
      <c r="E526" s="14">
        <v>1.84</v>
      </c>
      <c r="F526" s="7">
        <f t="shared" si="142"/>
        <v>1.1847826086956521</v>
      </c>
      <c r="G526" s="7">
        <f t="shared" si="147"/>
        <v>0.34000000000000008</v>
      </c>
      <c r="H526" s="16">
        <f t="shared" si="148"/>
        <v>4.0200000000000005</v>
      </c>
      <c r="I526" s="11">
        <f t="shared" si="149"/>
        <v>6.9835322069161185E-3</v>
      </c>
      <c r="J526" s="33">
        <f t="shared" si="150"/>
        <v>5.8943574590484679E-3</v>
      </c>
      <c r="K526" s="33">
        <f t="shared" si="151"/>
        <v>169.65377599637995</v>
      </c>
      <c r="L526" s="33">
        <f t="shared" si="152"/>
        <v>1.0891747478676507E-3</v>
      </c>
      <c r="M526" s="33">
        <f t="shared" si="153"/>
        <v>1.2877889665964586E-2</v>
      </c>
      <c r="N526" s="8">
        <v>1</v>
      </c>
      <c r="O526" s="9">
        <v>0</v>
      </c>
      <c r="P526" s="8">
        <v>0</v>
      </c>
      <c r="Q526" s="9">
        <v>0</v>
      </c>
      <c r="R526" s="9">
        <v>1</v>
      </c>
      <c r="S526" s="9">
        <v>0</v>
      </c>
      <c r="T526" s="9">
        <v>0</v>
      </c>
      <c r="U526" s="8">
        <v>28855</v>
      </c>
      <c r="V526" s="9">
        <v>73</v>
      </c>
      <c r="W526" s="9">
        <f t="shared" si="154"/>
        <v>28781</v>
      </c>
      <c r="X526" s="9">
        <f t="shared" si="155"/>
        <v>24</v>
      </c>
      <c r="Y526" s="7">
        <v>15.5</v>
      </c>
      <c r="Z526" s="7">
        <f t="shared" si="143"/>
        <v>13.378999999999998</v>
      </c>
      <c r="AA526" s="9">
        <v>1</v>
      </c>
      <c r="AB526" s="9">
        <v>0</v>
      </c>
      <c r="AC526" s="9">
        <v>1</v>
      </c>
      <c r="AD526" s="9">
        <v>0</v>
      </c>
      <c r="AE526" s="9">
        <v>0</v>
      </c>
      <c r="AF526" s="9">
        <v>0</v>
      </c>
      <c r="AG526" s="8">
        <v>0</v>
      </c>
      <c r="AH526" s="9">
        <v>1</v>
      </c>
      <c r="AI526" s="30">
        <v>0</v>
      </c>
      <c r="AJ526" s="9">
        <v>0</v>
      </c>
      <c r="AK526" s="30">
        <v>1</v>
      </c>
      <c r="AL526" s="21">
        <v>1983</v>
      </c>
      <c r="AM526" s="23">
        <f t="shared" si="156"/>
        <v>7.5923661285197959</v>
      </c>
      <c r="AN526" s="33">
        <f t="shared" si="144"/>
        <v>0.75960000000000005</v>
      </c>
      <c r="AO526" s="33">
        <v>0.14369999999999999</v>
      </c>
      <c r="AP526" s="33">
        <v>9.5100000000000004E-2</v>
      </c>
      <c r="AQ526" s="43">
        <v>1.6000000000000001E-3</v>
      </c>
      <c r="AR526" s="42">
        <f t="shared" si="145"/>
        <v>0.54134831999999999</v>
      </c>
      <c r="AS526" s="18">
        <v>0.45865168000000001</v>
      </c>
      <c r="AT526">
        <v>1</v>
      </c>
      <c r="AU526" s="40">
        <v>0</v>
      </c>
      <c r="AV526" t="s">
        <v>104</v>
      </c>
      <c r="AW526" s="40" t="s">
        <v>104</v>
      </c>
      <c r="AX526">
        <v>0</v>
      </c>
      <c r="AY526" s="18">
        <v>1</v>
      </c>
      <c r="AZ526">
        <v>0.30980000000000002</v>
      </c>
      <c r="BA526" s="18">
        <f t="shared" si="14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10</v>
      </c>
      <c r="DB526" s="34"/>
    </row>
    <row r="527" spans="1:106" x14ac:dyDescent="0.25">
      <c r="A527">
        <v>526</v>
      </c>
      <c r="B527">
        <v>34</v>
      </c>
      <c r="C527" s="25" t="s">
        <v>327</v>
      </c>
      <c r="D527" s="12">
        <v>-2.11</v>
      </c>
      <c r="E527" s="14">
        <v>1.1499999999999999</v>
      </c>
      <c r="F527" s="7">
        <f t="shared" si="142"/>
        <v>-1.8347826086956522</v>
      </c>
      <c r="G527" s="7">
        <f t="shared" si="147"/>
        <v>-3.26</v>
      </c>
      <c r="H527" s="16">
        <f t="shared" si="148"/>
        <v>-0.96</v>
      </c>
      <c r="I527" s="11">
        <f t="shared" si="149"/>
        <v>-1.1307872575350824E-2</v>
      </c>
      <c r="J527" s="33">
        <f t="shared" si="150"/>
        <v>6.1630585126319663E-3</v>
      </c>
      <c r="K527" s="33">
        <f t="shared" si="151"/>
        <v>162.2570997744665</v>
      </c>
      <c r="L527" s="33">
        <f t="shared" si="152"/>
        <v>-1.747093108798279E-2</v>
      </c>
      <c r="M527" s="33">
        <f t="shared" si="153"/>
        <v>-5.144814062718858E-3</v>
      </c>
      <c r="N527" s="8">
        <v>1</v>
      </c>
      <c r="O527" s="9">
        <v>0</v>
      </c>
      <c r="P527" s="8">
        <v>0</v>
      </c>
      <c r="Q527" s="9">
        <v>0</v>
      </c>
      <c r="R527" s="9">
        <v>1</v>
      </c>
      <c r="S527" s="9">
        <v>0</v>
      </c>
      <c r="T527" s="9">
        <v>0</v>
      </c>
      <c r="U527" s="8">
        <v>26398</v>
      </c>
      <c r="V527" s="9">
        <v>73</v>
      </c>
      <c r="W527" s="9">
        <f t="shared" si="154"/>
        <v>26324</v>
      </c>
      <c r="X527" s="9">
        <f t="shared" si="155"/>
        <v>24</v>
      </c>
      <c r="Y527" s="7">
        <v>15.5</v>
      </c>
      <c r="Z527" s="7">
        <f t="shared" si="143"/>
        <v>15.269599999999997</v>
      </c>
      <c r="AA527" s="9">
        <v>1</v>
      </c>
      <c r="AB527" s="9">
        <v>0</v>
      </c>
      <c r="AC527" s="9">
        <v>1</v>
      </c>
      <c r="AD527" s="9">
        <v>0</v>
      </c>
      <c r="AE527" s="9">
        <v>0</v>
      </c>
      <c r="AF527" s="9">
        <v>0</v>
      </c>
      <c r="AG527" s="8">
        <v>0</v>
      </c>
      <c r="AH527" s="9">
        <v>1</v>
      </c>
      <c r="AI527" s="30">
        <v>0</v>
      </c>
      <c r="AJ527" s="9">
        <v>0</v>
      </c>
      <c r="AK527" s="30">
        <v>1</v>
      </c>
      <c r="AL527" s="21">
        <v>1993</v>
      </c>
      <c r="AM527" s="23">
        <f t="shared" si="156"/>
        <v>7.5973963202127948</v>
      </c>
      <c r="AN527" s="33">
        <f t="shared" si="144"/>
        <v>0.69320000000000004</v>
      </c>
      <c r="AO527" s="33">
        <v>0.1447</v>
      </c>
      <c r="AP527" s="33">
        <v>0.1585</v>
      </c>
      <c r="AQ527" s="43">
        <v>3.5999999999999999E-3</v>
      </c>
      <c r="AR527" s="42">
        <f t="shared" si="145"/>
        <v>0.52929399999999993</v>
      </c>
      <c r="AS527" s="18">
        <v>0.47070600000000001</v>
      </c>
      <c r="AT527">
        <v>1</v>
      </c>
      <c r="AU527" s="40">
        <v>0</v>
      </c>
      <c r="AV527" t="s">
        <v>104</v>
      </c>
      <c r="AW527" s="40" t="s">
        <v>104</v>
      </c>
      <c r="AX527">
        <v>0</v>
      </c>
      <c r="AY527" s="18">
        <v>1</v>
      </c>
      <c r="AZ527">
        <v>0.28499999999999998</v>
      </c>
      <c r="BA527" s="18">
        <f t="shared" si="14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10</v>
      </c>
      <c r="DB527" s="34"/>
    </row>
    <row r="528" spans="1:106" x14ac:dyDescent="0.25">
      <c r="A528">
        <v>527</v>
      </c>
      <c r="B528">
        <v>34</v>
      </c>
      <c r="C528" s="25" t="s">
        <v>327</v>
      </c>
      <c r="D528" s="12">
        <v>-7.0000000000000007E-2</v>
      </c>
      <c r="E528" s="14">
        <v>0.95</v>
      </c>
      <c r="F528" s="7">
        <f t="shared" si="142"/>
        <v>-7.3684210526315796E-2</v>
      </c>
      <c r="G528" s="7">
        <f t="shared" si="147"/>
        <v>-1.02</v>
      </c>
      <c r="H528" s="16">
        <f t="shared" si="148"/>
        <v>0.87999999999999989</v>
      </c>
      <c r="I528" s="11">
        <f t="shared" si="149"/>
        <v>-4.2733615355302289E-4</v>
      </c>
      <c r="J528" s="33">
        <f t="shared" si="150"/>
        <v>5.7995620839338818E-3</v>
      </c>
      <c r="K528" s="33">
        <f t="shared" si="151"/>
        <v>172.42681180536536</v>
      </c>
      <c r="L528" s="33">
        <f t="shared" si="152"/>
        <v>-6.2268982374869049E-3</v>
      </c>
      <c r="M528" s="33">
        <f t="shared" si="153"/>
        <v>5.3722259303808587E-3</v>
      </c>
      <c r="N528" s="8">
        <v>1</v>
      </c>
      <c r="O528" s="9">
        <v>0</v>
      </c>
      <c r="P528" s="8">
        <v>0</v>
      </c>
      <c r="Q528" s="9">
        <v>0</v>
      </c>
      <c r="R528" s="9">
        <v>1</v>
      </c>
      <c r="S528" s="9">
        <v>0</v>
      </c>
      <c r="T528" s="9">
        <v>0</v>
      </c>
      <c r="U528" s="8">
        <v>29805</v>
      </c>
      <c r="V528" s="9">
        <v>73</v>
      </c>
      <c r="W528" s="9">
        <f t="shared" si="154"/>
        <v>29731</v>
      </c>
      <c r="X528" s="9">
        <f t="shared" si="155"/>
        <v>24</v>
      </c>
      <c r="Y528" s="7">
        <v>15.5</v>
      </c>
      <c r="Z528" s="7">
        <f t="shared" si="143"/>
        <v>15.610999999999997</v>
      </c>
      <c r="AA528" s="9">
        <v>1</v>
      </c>
      <c r="AB528" s="9">
        <v>0</v>
      </c>
      <c r="AC528" s="9">
        <v>1</v>
      </c>
      <c r="AD528" s="9">
        <v>0</v>
      </c>
      <c r="AE528" s="9">
        <v>0</v>
      </c>
      <c r="AF528" s="9">
        <v>0</v>
      </c>
      <c r="AG528" s="8">
        <v>0</v>
      </c>
      <c r="AH528" s="9">
        <v>1</v>
      </c>
      <c r="AI528" s="30">
        <v>0</v>
      </c>
      <c r="AJ528" s="9">
        <v>0</v>
      </c>
      <c r="AK528" s="30">
        <v>1</v>
      </c>
      <c r="AL528" s="21">
        <v>1999</v>
      </c>
      <c r="AM528" s="23">
        <f t="shared" si="156"/>
        <v>7.6004023345003997</v>
      </c>
      <c r="AN528" s="33">
        <f t="shared" si="144"/>
        <v>0.61990000000000001</v>
      </c>
      <c r="AO528" s="33">
        <v>0.14649999999999999</v>
      </c>
      <c r="AP528" s="33">
        <v>0.22819999999999999</v>
      </c>
      <c r="AQ528" s="43">
        <v>5.4000000000000003E-3</v>
      </c>
      <c r="AR528" s="42">
        <f t="shared" si="145"/>
        <v>0.53514991000000001</v>
      </c>
      <c r="AS528" s="18">
        <v>0.46485008999999999</v>
      </c>
      <c r="AT528">
        <v>1</v>
      </c>
      <c r="AU528" s="40">
        <v>0</v>
      </c>
      <c r="AV528" t="s">
        <v>104</v>
      </c>
      <c r="AW528" s="40" t="s">
        <v>104</v>
      </c>
      <c r="AX528">
        <v>0</v>
      </c>
      <c r="AY528" s="18">
        <v>1</v>
      </c>
      <c r="AZ528">
        <v>0.28489999999999999</v>
      </c>
      <c r="BA528" s="18">
        <f t="shared" si="14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10</v>
      </c>
      <c r="DB528" s="34"/>
    </row>
    <row r="529" spans="1:106" s="95" customFormat="1" x14ac:dyDescent="0.25">
      <c r="A529" s="95">
        <v>528</v>
      </c>
      <c r="B529" s="95">
        <v>35</v>
      </c>
      <c r="C529" s="96" t="s">
        <v>331</v>
      </c>
      <c r="D529" s="97">
        <v>11.1</v>
      </c>
      <c r="E529" s="98">
        <f t="shared" ref="E529:E543" si="157">D529/F529</f>
        <v>0.44758064516129031</v>
      </c>
      <c r="F529" s="99">
        <v>24.8</v>
      </c>
      <c r="G529" s="99">
        <f t="shared" si="147"/>
        <v>10.65241935483871</v>
      </c>
      <c r="H529" s="100">
        <f t="shared" si="148"/>
        <v>11.54758064516129</v>
      </c>
      <c r="I529" s="101">
        <f t="shared" si="149"/>
        <v>0.53861649976244053</v>
      </c>
      <c r="J529" s="102">
        <f t="shared" si="150"/>
        <v>2.1718407248485505E-2</v>
      </c>
      <c r="K529" s="102">
        <f t="shared" si="151"/>
        <v>46.043892103079209</v>
      </c>
      <c r="L529" s="102">
        <f t="shared" si="152"/>
        <v>0.51689809251395502</v>
      </c>
      <c r="M529" s="102">
        <f t="shared" si="153"/>
        <v>0.56033490701092603</v>
      </c>
      <c r="N529" s="103">
        <v>1</v>
      </c>
      <c r="O529" s="104">
        <v>0</v>
      </c>
      <c r="P529" s="103">
        <v>0</v>
      </c>
      <c r="Q529" s="104">
        <v>0</v>
      </c>
      <c r="R529" s="104">
        <v>0</v>
      </c>
      <c r="S529" s="104">
        <v>1</v>
      </c>
      <c r="T529" s="104">
        <v>0</v>
      </c>
      <c r="U529" s="103">
        <v>1510</v>
      </c>
      <c r="V529" s="104">
        <v>4</v>
      </c>
      <c r="W529" s="104">
        <f t="shared" si="154"/>
        <v>1505</v>
      </c>
      <c r="X529" s="104">
        <f t="shared" si="155"/>
        <v>15</v>
      </c>
      <c r="Y529" s="99">
        <f>(7.477*$AT529+9.003*$AU529)</f>
        <v>7.66012</v>
      </c>
      <c r="Z529" s="99">
        <f t="shared" ref="Z529:Z543" si="158">(17.561*$AT529+11.448*$AU529)</f>
        <v>16.827439999999999</v>
      </c>
      <c r="AA529" s="104">
        <v>1</v>
      </c>
      <c r="AB529" s="104">
        <v>0</v>
      </c>
      <c r="AC529" s="104">
        <v>1</v>
      </c>
      <c r="AD529" s="104">
        <v>0</v>
      </c>
      <c r="AE529" s="104">
        <v>0</v>
      </c>
      <c r="AF529" s="104">
        <v>0</v>
      </c>
      <c r="AG529" s="103">
        <v>1</v>
      </c>
      <c r="AH529" s="104">
        <v>0</v>
      </c>
      <c r="AI529" s="105">
        <v>0</v>
      </c>
      <c r="AJ529" s="104">
        <v>0</v>
      </c>
      <c r="AK529" s="105">
        <v>1</v>
      </c>
      <c r="AL529" s="106">
        <v>1986</v>
      </c>
      <c r="AM529" s="107">
        <f t="shared" si="156"/>
        <v>7.5938778446051183</v>
      </c>
      <c r="AN529" s="102">
        <v>0.36</v>
      </c>
      <c r="AO529" s="102">
        <v>0.49</v>
      </c>
      <c r="AP529" s="102">
        <v>0.13</v>
      </c>
      <c r="AQ529" s="108">
        <v>0.02</v>
      </c>
      <c r="AR529" s="109">
        <v>1</v>
      </c>
      <c r="AS529" s="110">
        <v>0</v>
      </c>
      <c r="AT529" s="95">
        <v>0.88</v>
      </c>
      <c r="AU529" s="111">
        <f>1-AT529</f>
        <v>0.12</v>
      </c>
      <c r="AV529" s="113">
        <f t="shared" ref="AV529:AV543" si="159">1-AW529</f>
        <v>0.54400000000000004</v>
      </c>
      <c r="AW529" s="111">
        <f t="shared" ref="AW529:AW543" si="160">(0.45*$AT529+0.5*$AU529)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1">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10</v>
      </c>
      <c r="CW529" s="112"/>
      <c r="DB529" s="112"/>
    </row>
    <row r="530" spans="1:106" x14ac:dyDescent="0.25">
      <c r="A530">
        <v>529</v>
      </c>
      <c r="B530">
        <v>35</v>
      </c>
      <c r="C530" s="25" t="s">
        <v>331</v>
      </c>
      <c r="D530" s="12">
        <v>10.9</v>
      </c>
      <c r="E530" s="14">
        <f t="shared" si="157"/>
        <v>0.47996477322765302</v>
      </c>
      <c r="F530" s="7">
        <v>22.71</v>
      </c>
      <c r="G530" s="7">
        <f t="shared" si="147"/>
        <v>10.420035226772347</v>
      </c>
      <c r="H530" s="16">
        <f t="shared" si="148"/>
        <v>11.379964773227654</v>
      </c>
      <c r="I530" s="11">
        <f t="shared" si="149"/>
        <v>0.54588442624056877</v>
      </c>
      <c r="J530" s="33">
        <f t="shared" si="150"/>
        <v>2.4037183013675419E-2</v>
      </c>
      <c r="K530" s="33">
        <f t="shared" si="151"/>
        <v>41.602212681538944</v>
      </c>
      <c r="L530" s="33">
        <f t="shared" si="152"/>
        <v>0.52184724322689335</v>
      </c>
      <c r="M530" s="33">
        <f t="shared" si="153"/>
        <v>0.56992160925424418</v>
      </c>
      <c r="N530" s="8">
        <v>1</v>
      </c>
      <c r="O530" s="9">
        <v>0</v>
      </c>
      <c r="P530" s="8">
        <v>0</v>
      </c>
      <c r="Q530" s="9">
        <v>0</v>
      </c>
      <c r="R530" s="9">
        <v>0</v>
      </c>
      <c r="S530" s="9">
        <v>1</v>
      </c>
      <c r="T530" s="9">
        <v>0</v>
      </c>
      <c r="U530" s="8">
        <v>1220</v>
      </c>
      <c r="V530" s="9">
        <v>4</v>
      </c>
      <c r="W530" s="9">
        <f t="shared" si="154"/>
        <v>1215</v>
      </c>
      <c r="X530" s="9">
        <f t="shared" si="155"/>
        <v>15</v>
      </c>
      <c r="Y530" s="7">
        <f t="shared" ref="Y530:Y543" si="162">(7.477*AT530+9.003*AU530)</f>
        <v>7.4770000000000003</v>
      </c>
      <c r="Z530" s="7">
        <f t="shared" si="158"/>
        <v>17.561</v>
      </c>
      <c r="AA530" s="9">
        <v>1</v>
      </c>
      <c r="AB530" s="9">
        <v>0</v>
      </c>
      <c r="AC530" s="9">
        <v>1</v>
      </c>
      <c r="AD530" s="9">
        <v>0</v>
      </c>
      <c r="AE530" s="9">
        <v>0</v>
      </c>
      <c r="AF530" s="9">
        <v>0</v>
      </c>
      <c r="AG530" s="8">
        <v>1</v>
      </c>
      <c r="AH530" s="9">
        <v>0</v>
      </c>
      <c r="AI530" s="30">
        <v>0</v>
      </c>
      <c r="AJ530" s="9">
        <v>0</v>
      </c>
      <c r="AK530" s="30">
        <v>1</v>
      </c>
      <c r="AL530" s="21">
        <v>1986</v>
      </c>
      <c r="AM530" s="23">
        <f t="shared" si="156"/>
        <v>7.5938778446051183</v>
      </c>
      <c r="AN530" s="33">
        <v>0.36</v>
      </c>
      <c r="AO530" s="33">
        <v>0.49</v>
      </c>
      <c r="AP530" s="33">
        <v>0.13</v>
      </c>
      <c r="AQ530" s="43">
        <v>0.02</v>
      </c>
      <c r="AR530" s="42">
        <v>1</v>
      </c>
      <c r="AS530" s="18">
        <v>0</v>
      </c>
      <c r="AT530">
        <v>1</v>
      </c>
      <c r="AU530" s="40">
        <v>0</v>
      </c>
      <c r="AV530" s="39">
        <f t="shared" si="159"/>
        <v>0.55000000000000004</v>
      </c>
      <c r="AW530" s="40">
        <f t="shared" si="160"/>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1"/>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10</v>
      </c>
      <c r="DB530" s="34"/>
    </row>
    <row r="531" spans="1:106" x14ac:dyDescent="0.25">
      <c r="A531">
        <v>530</v>
      </c>
      <c r="B531">
        <v>35</v>
      </c>
      <c r="C531" s="25" t="s">
        <v>331</v>
      </c>
      <c r="D531" s="12">
        <v>12.8</v>
      </c>
      <c r="E531" s="14">
        <f t="shared" si="157"/>
        <v>1.2598425196850394</v>
      </c>
      <c r="F531" s="7">
        <v>10.16</v>
      </c>
      <c r="G531" s="7">
        <f t="shared" si="147"/>
        <v>11.540157480314962</v>
      </c>
      <c r="H531" s="16">
        <f t="shared" si="148"/>
        <v>14.05984251968504</v>
      </c>
      <c r="I531" s="11">
        <f t="shared" si="149"/>
        <v>0.51564596422723608</v>
      </c>
      <c r="J531" s="33">
        <f t="shared" si="150"/>
        <v>5.0752555534176777E-2</v>
      </c>
      <c r="K531" s="33">
        <f t="shared" si="151"/>
        <v>19.703441323789104</v>
      </c>
      <c r="L531" s="33">
        <f t="shared" si="152"/>
        <v>0.46489340869305928</v>
      </c>
      <c r="M531" s="33">
        <f t="shared" si="153"/>
        <v>0.56639851976141287</v>
      </c>
      <c r="N531" s="8">
        <v>1</v>
      </c>
      <c r="O531" s="9">
        <v>0</v>
      </c>
      <c r="P531" s="8">
        <v>0</v>
      </c>
      <c r="Q531" s="9">
        <v>0</v>
      </c>
      <c r="R531" s="9">
        <v>0</v>
      </c>
      <c r="S531" s="9">
        <v>1</v>
      </c>
      <c r="T531" s="9">
        <v>0</v>
      </c>
      <c r="U531" s="8">
        <v>290</v>
      </c>
      <c r="V531" s="9">
        <v>4</v>
      </c>
      <c r="W531" s="9">
        <f t="shared" si="154"/>
        <v>285</v>
      </c>
      <c r="X531" s="9">
        <f t="shared" si="155"/>
        <v>15</v>
      </c>
      <c r="Y531" s="7">
        <f t="shared" si="162"/>
        <v>9.0030000000000001</v>
      </c>
      <c r="Z531" s="7">
        <f t="shared" si="158"/>
        <v>11.448</v>
      </c>
      <c r="AA531" s="9">
        <v>1</v>
      </c>
      <c r="AB531" s="9">
        <v>0</v>
      </c>
      <c r="AC531" s="9">
        <v>1</v>
      </c>
      <c r="AD531" s="9">
        <v>0</v>
      </c>
      <c r="AE531" s="9">
        <v>0</v>
      </c>
      <c r="AF531" s="9">
        <v>0</v>
      </c>
      <c r="AG531" s="8">
        <v>1</v>
      </c>
      <c r="AH531" s="9">
        <v>0</v>
      </c>
      <c r="AI531" s="30">
        <v>0</v>
      </c>
      <c r="AJ531" s="9">
        <v>0</v>
      </c>
      <c r="AK531" s="30">
        <v>1</v>
      </c>
      <c r="AL531" s="21">
        <v>1986</v>
      </c>
      <c r="AM531" s="23">
        <f t="shared" si="156"/>
        <v>7.5938778446051183</v>
      </c>
      <c r="AN531" s="33">
        <v>0.36</v>
      </c>
      <c r="AO531" s="33">
        <v>0.49</v>
      </c>
      <c r="AP531" s="33">
        <v>0.13</v>
      </c>
      <c r="AQ531" s="43">
        <v>0.02</v>
      </c>
      <c r="AR531" s="42">
        <v>1</v>
      </c>
      <c r="AS531" s="18">
        <v>0</v>
      </c>
      <c r="AT531">
        <v>0</v>
      </c>
      <c r="AU531" s="40">
        <v>1</v>
      </c>
      <c r="AV531" s="39">
        <f t="shared" si="159"/>
        <v>0.5</v>
      </c>
      <c r="AW531" s="40">
        <f t="shared" si="160"/>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1"/>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10</v>
      </c>
      <c r="DB531" s="34"/>
    </row>
    <row r="532" spans="1:106" x14ac:dyDescent="0.25">
      <c r="A532">
        <v>531</v>
      </c>
      <c r="B532">
        <v>35</v>
      </c>
      <c r="C532" s="25" t="s">
        <v>331</v>
      </c>
      <c r="D532" s="12">
        <v>6.5</v>
      </c>
      <c r="E532" s="14">
        <f t="shared" si="157"/>
        <v>0.93525179856115104</v>
      </c>
      <c r="F532" s="7">
        <v>6.95</v>
      </c>
      <c r="G532" s="7">
        <f t="shared" si="147"/>
        <v>5.5647482014388494</v>
      </c>
      <c r="H532" s="16">
        <f t="shared" si="148"/>
        <v>7.4352517985611506</v>
      </c>
      <c r="I532" s="11">
        <f t="shared" si="149"/>
        <v>0.17651295312271437</v>
      </c>
      <c r="J532" s="33">
        <f t="shared" si="150"/>
        <v>2.5397547211901347E-2</v>
      </c>
      <c r="K532" s="33">
        <f t="shared" si="151"/>
        <v>39.373880936478692</v>
      </c>
      <c r="L532" s="33">
        <f t="shared" si="152"/>
        <v>0.15111540591081302</v>
      </c>
      <c r="M532" s="33">
        <f t="shared" si="153"/>
        <v>0.20191050033461572</v>
      </c>
      <c r="N532" s="8">
        <v>1</v>
      </c>
      <c r="O532" s="9">
        <v>0</v>
      </c>
      <c r="P532" s="8">
        <v>0</v>
      </c>
      <c r="Q532" s="9">
        <v>0</v>
      </c>
      <c r="R532" s="9">
        <v>0</v>
      </c>
      <c r="S532" s="9">
        <v>1</v>
      </c>
      <c r="T532" s="9">
        <v>0</v>
      </c>
      <c r="U532" s="8">
        <v>1510</v>
      </c>
      <c r="V532" s="9">
        <v>7</v>
      </c>
      <c r="W532" s="9">
        <f t="shared" si="154"/>
        <v>1502</v>
      </c>
      <c r="X532" s="9">
        <f t="shared" si="155"/>
        <v>15</v>
      </c>
      <c r="Y532" s="7">
        <f t="shared" si="162"/>
        <v>7.66012</v>
      </c>
      <c r="Z532" s="7">
        <f t="shared" si="158"/>
        <v>16.827439999999999</v>
      </c>
      <c r="AA532" s="9">
        <v>1</v>
      </c>
      <c r="AB532" s="9">
        <v>0</v>
      </c>
      <c r="AC532" s="9">
        <v>1</v>
      </c>
      <c r="AD532" s="9">
        <v>0</v>
      </c>
      <c r="AE532" s="9">
        <v>0</v>
      </c>
      <c r="AF532" s="9">
        <v>0</v>
      </c>
      <c r="AG532" s="8">
        <v>1</v>
      </c>
      <c r="AH532" s="9">
        <v>0</v>
      </c>
      <c r="AI532" s="30">
        <v>0</v>
      </c>
      <c r="AJ532" s="9">
        <v>0</v>
      </c>
      <c r="AK532" s="30">
        <v>1</v>
      </c>
      <c r="AL532" s="21">
        <v>1986</v>
      </c>
      <c r="AM532" s="23">
        <f t="shared" si="156"/>
        <v>7.5938778446051183</v>
      </c>
      <c r="AN532" s="33">
        <v>0.36</v>
      </c>
      <c r="AO532" s="33">
        <v>0.49</v>
      </c>
      <c r="AP532" s="33">
        <v>0.13</v>
      </c>
      <c r="AQ532" s="43">
        <v>0.02</v>
      </c>
      <c r="AR532" s="42">
        <v>1</v>
      </c>
      <c r="AS532" s="18">
        <v>0</v>
      </c>
      <c r="AT532">
        <v>0.88</v>
      </c>
      <c r="AU532" s="40">
        <f t="shared" ref="AU532:AU538" si="163">1-AT532</f>
        <v>0.12</v>
      </c>
      <c r="AV532" s="39">
        <f t="shared" si="159"/>
        <v>0.54400000000000004</v>
      </c>
      <c r="AW532" s="40">
        <f t="shared" si="160"/>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1"/>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10</v>
      </c>
      <c r="DB532" s="34"/>
    </row>
    <row r="533" spans="1:106" x14ac:dyDescent="0.25">
      <c r="A533">
        <v>532</v>
      </c>
      <c r="B533">
        <v>35</v>
      </c>
      <c r="C533" s="25" t="s">
        <v>331</v>
      </c>
      <c r="D533" s="12">
        <v>7.4</v>
      </c>
      <c r="E533" s="14">
        <f t="shared" si="157"/>
        <v>0.95238095238095244</v>
      </c>
      <c r="F533" s="7">
        <v>7.77</v>
      </c>
      <c r="G533" s="7">
        <f t="shared" si="147"/>
        <v>6.4476190476190478</v>
      </c>
      <c r="H533" s="16">
        <f t="shared" si="148"/>
        <v>8.3523809523809529</v>
      </c>
      <c r="I533" s="11">
        <f t="shared" si="149"/>
        <v>0.19657517462416382</v>
      </c>
      <c r="J533" s="33">
        <f t="shared" si="150"/>
        <v>2.5299250273380161E-2</v>
      </c>
      <c r="K533" s="33">
        <f t="shared" si="151"/>
        <v>39.526863017446757</v>
      </c>
      <c r="L533" s="33">
        <f t="shared" si="152"/>
        <v>0.17127592435078365</v>
      </c>
      <c r="M533" s="33">
        <f t="shared" si="153"/>
        <v>0.221874424897544</v>
      </c>
      <c r="N533" s="8">
        <v>1</v>
      </c>
      <c r="O533" s="9">
        <v>0</v>
      </c>
      <c r="P533" s="8">
        <v>0</v>
      </c>
      <c r="Q533" s="9">
        <v>0</v>
      </c>
      <c r="R533" s="9">
        <v>0</v>
      </c>
      <c r="S533" s="9">
        <v>1</v>
      </c>
      <c r="T533" s="9">
        <v>0</v>
      </c>
      <c r="U533" s="8">
        <v>1510</v>
      </c>
      <c r="V533" s="9">
        <v>7</v>
      </c>
      <c r="W533" s="9">
        <f t="shared" si="154"/>
        <v>1502</v>
      </c>
      <c r="X533" s="9">
        <f t="shared" si="155"/>
        <v>15</v>
      </c>
      <c r="Y533" s="7">
        <f t="shared" si="162"/>
        <v>7.66012</v>
      </c>
      <c r="Z533" s="7">
        <f t="shared" si="158"/>
        <v>16.827439999999999</v>
      </c>
      <c r="AA533" s="9">
        <v>1</v>
      </c>
      <c r="AB533" s="9">
        <v>0</v>
      </c>
      <c r="AC533" s="9">
        <v>1</v>
      </c>
      <c r="AD533" s="9">
        <v>0</v>
      </c>
      <c r="AE533" s="9">
        <v>0</v>
      </c>
      <c r="AF533" s="9">
        <v>0</v>
      </c>
      <c r="AG533" s="8">
        <v>1</v>
      </c>
      <c r="AH533" s="9">
        <v>0</v>
      </c>
      <c r="AI533" s="30">
        <v>0</v>
      </c>
      <c r="AJ533" s="9">
        <v>0</v>
      </c>
      <c r="AK533" s="30">
        <v>1</v>
      </c>
      <c r="AL533" s="21">
        <v>1986</v>
      </c>
      <c r="AM533" s="23">
        <f t="shared" si="156"/>
        <v>7.5938778446051183</v>
      </c>
      <c r="AN533" s="33">
        <v>0.36</v>
      </c>
      <c r="AO533" s="33">
        <v>0.49</v>
      </c>
      <c r="AP533" s="33">
        <v>0.13</v>
      </c>
      <c r="AQ533" s="43">
        <v>0.02</v>
      </c>
      <c r="AR533" s="42">
        <v>1</v>
      </c>
      <c r="AS533" s="18">
        <v>0</v>
      </c>
      <c r="AT533">
        <v>0.88</v>
      </c>
      <c r="AU533" s="40">
        <f t="shared" si="163"/>
        <v>0.12</v>
      </c>
      <c r="AV533" s="39">
        <f t="shared" si="159"/>
        <v>0.54400000000000004</v>
      </c>
      <c r="AW533" s="40">
        <f t="shared" si="160"/>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1"/>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10</v>
      </c>
      <c r="DB533" s="34"/>
    </row>
    <row r="534" spans="1:106" x14ac:dyDescent="0.25">
      <c r="A534">
        <v>533</v>
      </c>
      <c r="B534">
        <v>35</v>
      </c>
      <c r="C534" s="25" t="s">
        <v>331</v>
      </c>
      <c r="D534" s="12">
        <v>7.5</v>
      </c>
      <c r="E534" s="14">
        <f t="shared" si="157"/>
        <v>0.96030729833546735</v>
      </c>
      <c r="F534" s="7">
        <v>7.81</v>
      </c>
      <c r="G534" s="7">
        <f t="shared" si="147"/>
        <v>6.5396927016645323</v>
      </c>
      <c r="H534" s="16">
        <f t="shared" si="148"/>
        <v>8.4603072983354668</v>
      </c>
      <c r="I534" s="11">
        <f t="shared" si="149"/>
        <v>0.1975477495959001</v>
      </c>
      <c r="J534" s="33">
        <f t="shared" si="150"/>
        <v>2.5294206094225363E-2</v>
      </c>
      <c r="K534" s="33">
        <f t="shared" si="151"/>
        <v>39.534745477870473</v>
      </c>
      <c r="L534" s="33">
        <f t="shared" si="152"/>
        <v>0.17225354350167474</v>
      </c>
      <c r="M534" s="33">
        <f t="shared" si="153"/>
        <v>0.22284195569012547</v>
      </c>
      <c r="N534" s="8">
        <v>1</v>
      </c>
      <c r="O534" s="9">
        <v>0</v>
      </c>
      <c r="P534" s="8">
        <v>0</v>
      </c>
      <c r="Q534" s="9">
        <v>0</v>
      </c>
      <c r="R534" s="9">
        <v>0</v>
      </c>
      <c r="S534" s="9">
        <v>1</v>
      </c>
      <c r="T534" s="9">
        <v>0</v>
      </c>
      <c r="U534" s="8">
        <v>1510</v>
      </c>
      <c r="V534" s="9">
        <v>7</v>
      </c>
      <c r="W534" s="9">
        <f t="shared" si="154"/>
        <v>1502</v>
      </c>
      <c r="X534" s="9">
        <f t="shared" si="155"/>
        <v>15</v>
      </c>
      <c r="Y534" s="7">
        <f t="shared" si="162"/>
        <v>7.66012</v>
      </c>
      <c r="Z534" s="7">
        <f t="shared" si="158"/>
        <v>16.827439999999999</v>
      </c>
      <c r="AA534" s="9">
        <v>1</v>
      </c>
      <c r="AB534" s="9">
        <v>0</v>
      </c>
      <c r="AC534" s="9">
        <v>1</v>
      </c>
      <c r="AD534" s="9">
        <v>0</v>
      </c>
      <c r="AE534" s="9">
        <v>0</v>
      </c>
      <c r="AF534" s="9">
        <v>0</v>
      </c>
      <c r="AG534" s="8">
        <v>1</v>
      </c>
      <c r="AH534" s="9">
        <v>0</v>
      </c>
      <c r="AI534" s="30">
        <v>0</v>
      </c>
      <c r="AJ534" s="9">
        <v>0</v>
      </c>
      <c r="AK534" s="30">
        <v>1</v>
      </c>
      <c r="AL534" s="21">
        <v>1986</v>
      </c>
      <c r="AM534" s="23">
        <f t="shared" si="156"/>
        <v>7.5938778446051183</v>
      </c>
      <c r="AN534" s="33">
        <v>0.36</v>
      </c>
      <c r="AO534" s="33">
        <v>0.49</v>
      </c>
      <c r="AP534" s="33">
        <v>0.13</v>
      </c>
      <c r="AQ534" s="43">
        <v>0.02</v>
      </c>
      <c r="AR534" s="42">
        <v>1</v>
      </c>
      <c r="AS534" s="18">
        <v>0</v>
      </c>
      <c r="AT534">
        <v>0.88</v>
      </c>
      <c r="AU534" s="40">
        <f t="shared" si="163"/>
        <v>0.12</v>
      </c>
      <c r="AV534" s="39">
        <f t="shared" si="159"/>
        <v>0.54400000000000004</v>
      </c>
      <c r="AW534" s="40">
        <f t="shared" si="160"/>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1"/>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10</v>
      </c>
      <c r="DB534" s="34"/>
    </row>
    <row r="535" spans="1:106" x14ac:dyDescent="0.25">
      <c r="A535">
        <v>534</v>
      </c>
      <c r="B535">
        <v>35</v>
      </c>
      <c r="C535" s="25" t="s">
        <v>331</v>
      </c>
      <c r="D535" s="12">
        <v>7.3</v>
      </c>
      <c r="E535" s="14">
        <f t="shared" si="157"/>
        <v>0.96052631578947367</v>
      </c>
      <c r="F535" s="7">
        <v>7.6</v>
      </c>
      <c r="G535" s="7">
        <f t="shared" si="147"/>
        <v>6.3394736842105264</v>
      </c>
      <c r="H535" s="16">
        <f t="shared" si="148"/>
        <v>8.2605263157894733</v>
      </c>
      <c r="I535" s="11">
        <f t="shared" si="149"/>
        <v>0.19243528302935478</v>
      </c>
      <c r="J535" s="33">
        <f t="shared" si="150"/>
        <v>2.5320431977546683E-2</v>
      </c>
      <c r="K535" s="33">
        <f t="shared" si="151"/>
        <v>39.493796981298217</v>
      </c>
      <c r="L535" s="33">
        <f t="shared" si="152"/>
        <v>0.16711485105180809</v>
      </c>
      <c r="M535" s="33">
        <f t="shared" si="153"/>
        <v>0.21775571500690147</v>
      </c>
      <c r="N535" s="8">
        <v>1</v>
      </c>
      <c r="O535" s="9">
        <v>0</v>
      </c>
      <c r="P535" s="8">
        <v>0</v>
      </c>
      <c r="Q535" s="9">
        <v>0</v>
      </c>
      <c r="R535" s="9">
        <v>0</v>
      </c>
      <c r="S535" s="9">
        <v>1</v>
      </c>
      <c r="T535" s="9">
        <v>0</v>
      </c>
      <c r="U535" s="8">
        <v>1510</v>
      </c>
      <c r="V535" s="9">
        <v>7</v>
      </c>
      <c r="W535" s="9">
        <f t="shared" si="154"/>
        <v>1502</v>
      </c>
      <c r="X535" s="9">
        <f t="shared" si="155"/>
        <v>15</v>
      </c>
      <c r="Y535" s="7">
        <f t="shared" si="162"/>
        <v>7.66012</v>
      </c>
      <c r="Z535" s="7">
        <f t="shared" si="158"/>
        <v>16.827439999999999</v>
      </c>
      <c r="AA535" s="9">
        <v>1</v>
      </c>
      <c r="AB535" s="9">
        <v>0</v>
      </c>
      <c r="AC535" s="9">
        <v>1</v>
      </c>
      <c r="AD535" s="9">
        <v>0</v>
      </c>
      <c r="AE535" s="9">
        <v>0</v>
      </c>
      <c r="AF535" s="9">
        <v>0</v>
      </c>
      <c r="AG535" s="8">
        <v>1</v>
      </c>
      <c r="AH535" s="9">
        <v>0</v>
      </c>
      <c r="AI535" s="30">
        <v>0</v>
      </c>
      <c r="AJ535" s="9">
        <v>0</v>
      </c>
      <c r="AK535" s="30">
        <v>1</v>
      </c>
      <c r="AL535" s="21">
        <v>1986</v>
      </c>
      <c r="AM535" s="23">
        <f t="shared" si="156"/>
        <v>7.5938778446051183</v>
      </c>
      <c r="AN535" s="33">
        <v>0.36</v>
      </c>
      <c r="AO535" s="33">
        <v>0.49</v>
      </c>
      <c r="AP535" s="33">
        <v>0.13</v>
      </c>
      <c r="AQ535" s="43">
        <v>0.02</v>
      </c>
      <c r="AR535" s="42">
        <v>1</v>
      </c>
      <c r="AS535" s="18">
        <v>0</v>
      </c>
      <c r="AT535">
        <v>0.88</v>
      </c>
      <c r="AU535" s="40">
        <f t="shared" si="163"/>
        <v>0.12</v>
      </c>
      <c r="AV535" s="39">
        <f t="shared" si="159"/>
        <v>0.54400000000000004</v>
      </c>
      <c r="AW535" s="40">
        <f t="shared" si="160"/>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1"/>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10</v>
      </c>
      <c r="DB535" s="34"/>
    </row>
    <row r="536" spans="1:106" x14ac:dyDescent="0.25">
      <c r="A536">
        <v>535</v>
      </c>
      <c r="B536">
        <v>35</v>
      </c>
      <c r="C536" s="25" t="s">
        <v>331</v>
      </c>
      <c r="D536" s="12">
        <v>7.1</v>
      </c>
      <c r="E536" s="14">
        <f t="shared" si="157"/>
        <v>0.94164456233421745</v>
      </c>
      <c r="F536" s="7">
        <v>7.54</v>
      </c>
      <c r="G536" s="7">
        <f t="shared" si="147"/>
        <v>6.1583554376657821</v>
      </c>
      <c r="H536" s="16">
        <f t="shared" si="148"/>
        <v>8.0416445623342163</v>
      </c>
      <c r="I536" s="11">
        <f t="shared" si="149"/>
        <v>0.19097167590337699</v>
      </c>
      <c r="J536" s="33">
        <f t="shared" si="150"/>
        <v>2.5327808475248934E-2</v>
      </c>
      <c r="K536" s="33">
        <f t="shared" si="151"/>
        <v>39.482294766135368</v>
      </c>
      <c r="L536" s="33">
        <f t="shared" si="152"/>
        <v>0.16564386742812806</v>
      </c>
      <c r="M536" s="33">
        <f t="shared" si="153"/>
        <v>0.21629948437862592</v>
      </c>
      <c r="N536" s="8">
        <v>1</v>
      </c>
      <c r="O536" s="9">
        <v>0</v>
      </c>
      <c r="P536" s="8">
        <v>0</v>
      </c>
      <c r="Q536" s="9">
        <v>0</v>
      </c>
      <c r="R536" s="9">
        <v>0</v>
      </c>
      <c r="S536" s="9">
        <v>1</v>
      </c>
      <c r="T536" s="9">
        <v>0</v>
      </c>
      <c r="U536" s="8">
        <v>1510</v>
      </c>
      <c r="V536" s="9">
        <v>7</v>
      </c>
      <c r="W536" s="9">
        <f t="shared" si="154"/>
        <v>1502</v>
      </c>
      <c r="X536" s="9">
        <f t="shared" si="155"/>
        <v>15</v>
      </c>
      <c r="Y536" s="7">
        <f t="shared" si="162"/>
        <v>7.66012</v>
      </c>
      <c r="Z536" s="7">
        <f t="shared" si="158"/>
        <v>16.827439999999999</v>
      </c>
      <c r="AA536" s="9">
        <v>1</v>
      </c>
      <c r="AB536" s="9">
        <v>0</v>
      </c>
      <c r="AC536" s="9">
        <v>1</v>
      </c>
      <c r="AD536" s="9">
        <v>0</v>
      </c>
      <c r="AE536" s="9">
        <v>0</v>
      </c>
      <c r="AF536" s="9">
        <v>0</v>
      </c>
      <c r="AG536" s="8">
        <v>1</v>
      </c>
      <c r="AH536" s="9">
        <v>0</v>
      </c>
      <c r="AI536" s="30">
        <v>0</v>
      </c>
      <c r="AJ536" s="9">
        <v>0</v>
      </c>
      <c r="AK536" s="30">
        <v>1</v>
      </c>
      <c r="AL536" s="21">
        <v>1986</v>
      </c>
      <c r="AM536" s="23">
        <f t="shared" si="156"/>
        <v>7.5938778446051183</v>
      </c>
      <c r="AN536" s="33">
        <v>0.36</v>
      </c>
      <c r="AO536" s="33">
        <v>0.49</v>
      </c>
      <c r="AP536" s="33">
        <v>0.13</v>
      </c>
      <c r="AQ536" s="43">
        <v>0.02</v>
      </c>
      <c r="AR536" s="42">
        <v>1</v>
      </c>
      <c r="AS536" s="18">
        <v>0</v>
      </c>
      <c r="AT536">
        <v>0.88</v>
      </c>
      <c r="AU536" s="40">
        <f t="shared" si="163"/>
        <v>0.12</v>
      </c>
      <c r="AV536" s="39">
        <f t="shared" si="159"/>
        <v>0.54400000000000004</v>
      </c>
      <c r="AW536" s="40">
        <f t="shared" si="160"/>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1"/>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10</v>
      </c>
      <c r="DB536" s="34"/>
    </row>
    <row r="537" spans="1:106" x14ac:dyDescent="0.25">
      <c r="A537">
        <v>536</v>
      </c>
      <c r="B537">
        <v>35</v>
      </c>
      <c r="C537" s="25" t="s">
        <v>331</v>
      </c>
      <c r="D537" s="12">
        <v>6</v>
      </c>
      <c r="E537" s="14">
        <f t="shared" si="157"/>
        <v>0.90361445783132532</v>
      </c>
      <c r="F537" s="7">
        <v>6.64</v>
      </c>
      <c r="G537" s="7">
        <f t="shared" si="147"/>
        <v>5.096385542168675</v>
      </c>
      <c r="H537" s="16">
        <f t="shared" si="148"/>
        <v>6.903614457831325</v>
      </c>
      <c r="I537" s="11">
        <f t="shared" si="149"/>
        <v>0.16886931820305151</v>
      </c>
      <c r="J537" s="33">
        <f t="shared" si="150"/>
        <v>2.5432126235399324E-2</v>
      </c>
      <c r="K537" s="33">
        <f t="shared" si="151"/>
        <v>39.320345878438047</v>
      </c>
      <c r="L537" s="33">
        <f t="shared" si="152"/>
        <v>0.1434371919676522</v>
      </c>
      <c r="M537" s="33">
        <f t="shared" si="153"/>
        <v>0.19430144443845082</v>
      </c>
      <c r="N537" s="8">
        <v>1</v>
      </c>
      <c r="O537" s="9">
        <v>0</v>
      </c>
      <c r="P537" s="8">
        <v>0</v>
      </c>
      <c r="Q537" s="9">
        <v>0</v>
      </c>
      <c r="R537" s="9">
        <v>0</v>
      </c>
      <c r="S537" s="9">
        <v>1</v>
      </c>
      <c r="T537" s="9">
        <v>0</v>
      </c>
      <c r="U537" s="8">
        <v>1510</v>
      </c>
      <c r="V537" s="9">
        <v>7</v>
      </c>
      <c r="W537" s="9">
        <f t="shared" si="154"/>
        <v>1502</v>
      </c>
      <c r="X537" s="9">
        <f t="shared" si="155"/>
        <v>15</v>
      </c>
      <c r="Y537" s="7">
        <f t="shared" si="162"/>
        <v>7.66012</v>
      </c>
      <c r="Z537" s="7">
        <f t="shared" si="158"/>
        <v>16.827439999999999</v>
      </c>
      <c r="AA537" s="9">
        <v>1</v>
      </c>
      <c r="AB537" s="9">
        <v>0</v>
      </c>
      <c r="AC537" s="9">
        <v>1</v>
      </c>
      <c r="AD537" s="9">
        <v>0</v>
      </c>
      <c r="AE537" s="9">
        <v>0</v>
      </c>
      <c r="AF537" s="9">
        <v>0</v>
      </c>
      <c r="AG537" s="8">
        <v>1</v>
      </c>
      <c r="AH537" s="9">
        <v>0</v>
      </c>
      <c r="AI537" s="30">
        <v>0</v>
      </c>
      <c r="AJ537" s="9">
        <v>0</v>
      </c>
      <c r="AK537" s="30">
        <v>1</v>
      </c>
      <c r="AL537" s="21">
        <v>1986</v>
      </c>
      <c r="AM537" s="23">
        <f t="shared" si="156"/>
        <v>7.5938778446051183</v>
      </c>
      <c r="AN537" s="33">
        <v>0.36</v>
      </c>
      <c r="AO537" s="33">
        <v>0.49</v>
      </c>
      <c r="AP537" s="33">
        <v>0.13</v>
      </c>
      <c r="AQ537" s="43">
        <v>0.02</v>
      </c>
      <c r="AR537" s="42">
        <v>1</v>
      </c>
      <c r="AS537" s="18">
        <v>0</v>
      </c>
      <c r="AT537">
        <v>0.88</v>
      </c>
      <c r="AU537" s="40">
        <f t="shared" si="163"/>
        <v>0.12</v>
      </c>
      <c r="AV537" s="39">
        <f t="shared" si="159"/>
        <v>0.54400000000000004</v>
      </c>
      <c r="AW537" s="40">
        <f t="shared" si="160"/>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1"/>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10</v>
      </c>
      <c r="DB537" s="34"/>
    </row>
    <row r="538" spans="1:106" x14ac:dyDescent="0.25">
      <c r="A538">
        <v>537</v>
      </c>
      <c r="B538">
        <v>35</v>
      </c>
      <c r="C538" s="25" t="s">
        <v>331</v>
      </c>
      <c r="D538" s="12">
        <v>8.4</v>
      </c>
      <c r="E538" s="14">
        <f t="shared" si="157"/>
        <v>0.98707403055229148</v>
      </c>
      <c r="F538" s="7">
        <v>8.51</v>
      </c>
      <c r="G538" s="7">
        <f t="shared" si="147"/>
        <v>7.4129259694477092</v>
      </c>
      <c r="H538" s="16">
        <f t="shared" si="148"/>
        <v>9.3870740305522915</v>
      </c>
      <c r="I538" s="11">
        <f t="shared" si="149"/>
        <v>0.21440325235359536</v>
      </c>
      <c r="J538" s="33">
        <f t="shared" si="150"/>
        <v>2.5194271721926603E-2</v>
      </c>
      <c r="K538" s="33">
        <f t="shared" si="151"/>
        <v>39.691562075584777</v>
      </c>
      <c r="L538" s="33">
        <f t="shared" si="152"/>
        <v>0.18920898063166877</v>
      </c>
      <c r="M538" s="33">
        <f t="shared" si="153"/>
        <v>0.23959752407552196</v>
      </c>
      <c r="N538" s="8">
        <v>1</v>
      </c>
      <c r="O538" s="9">
        <v>0</v>
      </c>
      <c r="P538" s="8">
        <v>0</v>
      </c>
      <c r="Q538" s="9">
        <v>0</v>
      </c>
      <c r="R538" s="9">
        <v>0</v>
      </c>
      <c r="S538" s="9">
        <v>1</v>
      </c>
      <c r="T538" s="9">
        <v>0</v>
      </c>
      <c r="U538" s="8">
        <v>1510</v>
      </c>
      <c r="V538" s="9">
        <v>6</v>
      </c>
      <c r="W538" s="9">
        <f t="shared" si="154"/>
        <v>1503</v>
      </c>
      <c r="X538" s="9">
        <f t="shared" si="155"/>
        <v>15</v>
      </c>
      <c r="Y538" s="7">
        <f t="shared" si="162"/>
        <v>7.66012</v>
      </c>
      <c r="Z538" s="7">
        <f t="shared" si="158"/>
        <v>16.827439999999999</v>
      </c>
      <c r="AA538" s="9">
        <v>1</v>
      </c>
      <c r="AB538" s="9">
        <v>0</v>
      </c>
      <c r="AC538" s="9">
        <v>1</v>
      </c>
      <c r="AD538" s="9">
        <v>0</v>
      </c>
      <c r="AE538" s="9">
        <v>0</v>
      </c>
      <c r="AF538" s="9">
        <v>0</v>
      </c>
      <c r="AG538" s="8">
        <v>1</v>
      </c>
      <c r="AH538" s="9">
        <v>0</v>
      </c>
      <c r="AI538" s="30">
        <v>0</v>
      </c>
      <c r="AJ538" s="9">
        <v>0</v>
      </c>
      <c r="AK538" s="30">
        <v>1</v>
      </c>
      <c r="AL538" s="21">
        <v>1986</v>
      </c>
      <c r="AM538" s="23">
        <f t="shared" si="156"/>
        <v>7.5938778446051183</v>
      </c>
      <c r="AN538" s="33">
        <v>0.36</v>
      </c>
      <c r="AO538" s="33">
        <v>0.49</v>
      </c>
      <c r="AP538" s="33">
        <v>0.13</v>
      </c>
      <c r="AQ538" s="43">
        <v>0.02</v>
      </c>
      <c r="AR538" s="42">
        <v>1</v>
      </c>
      <c r="AS538" s="18">
        <v>0</v>
      </c>
      <c r="AT538">
        <v>0.88</v>
      </c>
      <c r="AU538" s="40">
        <f t="shared" si="163"/>
        <v>0.12</v>
      </c>
      <c r="AV538" s="39">
        <f t="shared" si="159"/>
        <v>0.54400000000000004</v>
      </c>
      <c r="AW538" s="40">
        <f t="shared" si="160"/>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1"/>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10</v>
      </c>
      <c r="DB538" s="34"/>
    </row>
    <row r="539" spans="1:106" x14ac:dyDescent="0.25">
      <c r="A539">
        <v>538</v>
      </c>
      <c r="B539">
        <v>35</v>
      </c>
      <c r="C539" s="25" t="s">
        <v>331</v>
      </c>
      <c r="D539" s="12">
        <v>7.4</v>
      </c>
      <c r="E539" s="14">
        <f t="shared" si="157"/>
        <v>1.0407876230661042</v>
      </c>
      <c r="F539" s="7">
        <v>7.11</v>
      </c>
      <c r="G539" s="7">
        <f t="shared" si="147"/>
        <v>6.359212376933896</v>
      </c>
      <c r="H539" s="16">
        <f t="shared" si="148"/>
        <v>8.4407876230661039</v>
      </c>
      <c r="I539" s="11">
        <f t="shared" si="149"/>
        <v>0.19994071330712809</v>
      </c>
      <c r="J539" s="33">
        <f t="shared" si="150"/>
        <v>2.8121056723928003E-2</v>
      </c>
      <c r="K539" s="33">
        <f t="shared" si="151"/>
        <v>35.560541334462272</v>
      </c>
      <c r="L539" s="33">
        <f t="shared" si="152"/>
        <v>0.17181965658320009</v>
      </c>
      <c r="M539" s="33">
        <f t="shared" si="153"/>
        <v>0.2280617700310561</v>
      </c>
      <c r="N539" s="8">
        <v>1</v>
      </c>
      <c r="O539" s="9">
        <v>0</v>
      </c>
      <c r="P539" s="8">
        <v>0</v>
      </c>
      <c r="Q539" s="9">
        <v>0</v>
      </c>
      <c r="R539" s="9">
        <v>0</v>
      </c>
      <c r="S539" s="9">
        <v>1</v>
      </c>
      <c r="T539" s="9">
        <v>0</v>
      </c>
      <c r="U539" s="8">
        <v>1220</v>
      </c>
      <c r="V539" s="9">
        <v>5</v>
      </c>
      <c r="W539" s="9">
        <f t="shared" si="154"/>
        <v>1214</v>
      </c>
      <c r="X539" s="9">
        <f t="shared" si="155"/>
        <v>15</v>
      </c>
      <c r="Y539" s="7">
        <f t="shared" si="162"/>
        <v>7.4770000000000003</v>
      </c>
      <c r="Z539" s="7">
        <f t="shared" si="158"/>
        <v>17.561</v>
      </c>
      <c r="AA539" s="9">
        <v>1</v>
      </c>
      <c r="AB539" s="9">
        <v>0</v>
      </c>
      <c r="AC539" s="9">
        <v>1</v>
      </c>
      <c r="AD539" s="9">
        <v>0</v>
      </c>
      <c r="AE539" s="9">
        <v>0</v>
      </c>
      <c r="AF539" s="9">
        <v>0</v>
      </c>
      <c r="AG539" s="8">
        <v>1</v>
      </c>
      <c r="AH539" s="9">
        <v>0</v>
      </c>
      <c r="AI539" s="30">
        <v>0</v>
      </c>
      <c r="AJ539" s="9">
        <v>0</v>
      </c>
      <c r="AK539" s="30">
        <v>1</v>
      </c>
      <c r="AL539" s="21">
        <v>1986</v>
      </c>
      <c r="AM539" s="23">
        <f t="shared" si="156"/>
        <v>7.5938778446051183</v>
      </c>
      <c r="AN539" s="33">
        <v>0.36</v>
      </c>
      <c r="AO539" s="33">
        <v>0.49</v>
      </c>
      <c r="AP539" s="33">
        <v>0.13</v>
      </c>
      <c r="AQ539" s="43">
        <v>0.02</v>
      </c>
      <c r="AR539" s="42">
        <v>1</v>
      </c>
      <c r="AS539" s="18">
        <v>0</v>
      </c>
      <c r="AT539">
        <v>1</v>
      </c>
      <c r="AU539" s="40">
        <v>0</v>
      </c>
      <c r="AV539" s="39">
        <f t="shared" si="159"/>
        <v>0.55000000000000004</v>
      </c>
      <c r="AW539" s="40">
        <f t="shared" si="160"/>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1"/>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10</v>
      </c>
      <c r="DB539" s="34"/>
    </row>
    <row r="540" spans="1:106" x14ac:dyDescent="0.25">
      <c r="A540">
        <v>539</v>
      </c>
      <c r="B540">
        <v>35</v>
      </c>
      <c r="C540" s="25" t="s">
        <v>331</v>
      </c>
      <c r="D540" s="12">
        <v>7.6</v>
      </c>
      <c r="E540" s="14">
        <f t="shared" si="157"/>
        <v>3.1275720164609049</v>
      </c>
      <c r="F540" s="7">
        <v>2.4300000000000002</v>
      </c>
      <c r="G540" s="7">
        <f t="shared" si="147"/>
        <v>4.4724279835390952</v>
      </c>
      <c r="H540" s="16">
        <f t="shared" si="148"/>
        <v>10.727572016460904</v>
      </c>
      <c r="I540" s="11">
        <f t="shared" si="149"/>
        <v>6.11932504058443E-2</v>
      </c>
      <c r="J540" s="33">
        <f t="shared" si="150"/>
        <v>2.5182407574421521E-2</v>
      </c>
      <c r="K540" s="33">
        <f t="shared" si="151"/>
        <v>39.710261897902413</v>
      </c>
      <c r="L540" s="33">
        <f t="shared" si="152"/>
        <v>3.6010842831422779E-2</v>
      </c>
      <c r="M540" s="33">
        <f t="shared" si="153"/>
        <v>8.6375657980265821E-2</v>
      </c>
      <c r="N540" s="8">
        <v>1</v>
      </c>
      <c r="O540" s="9">
        <v>0</v>
      </c>
      <c r="P540" s="8">
        <v>0</v>
      </c>
      <c r="Q540" s="9">
        <v>0</v>
      </c>
      <c r="R540" s="9">
        <v>0</v>
      </c>
      <c r="S540" s="9">
        <v>1</v>
      </c>
      <c r="T540" s="9">
        <v>0</v>
      </c>
      <c r="U540" s="8">
        <v>1577</v>
      </c>
      <c r="V540" s="9">
        <v>5</v>
      </c>
      <c r="W540" s="9">
        <f t="shared" si="154"/>
        <v>1571</v>
      </c>
      <c r="X540" s="9">
        <f t="shared" si="155"/>
        <v>15</v>
      </c>
      <c r="Y540" s="7">
        <f t="shared" si="162"/>
        <v>9.0030000000000001</v>
      </c>
      <c r="Z540" s="7">
        <f t="shared" si="158"/>
        <v>11.448</v>
      </c>
      <c r="AA540" s="9">
        <v>1</v>
      </c>
      <c r="AB540" s="9">
        <v>0</v>
      </c>
      <c r="AC540" s="9">
        <v>1</v>
      </c>
      <c r="AD540" s="9">
        <v>0</v>
      </c>
      <c r="AE540" s="9">
        <v>0</v>
      </c>
      <c r="AF540" s="9">
        <v>0</v>
      </c>
      <c r="AG540" s="8">
        <v>1</v>
      </c>
      <c r="AH540" s="9">
        <v>0</v>
      </c>
      <c r="AI540" s="30">
        <v>0</v>
      </c>
      <c r="AJ540" s="9">
        <v>0</v>
      </c>
      <c r="AK540" s="30">
        <v>1</v>
      </c>
      <c r="AL540" s="21">
        <v>1986</v>
      </c>
      <c r="AM540" s="23">
        <f t="shared" si="156"/>
        <v>7.5938778446051183</v>
      </c>
      <c r="AN540" s="33">
        <v>0.36</v>
      </c>
      <c r="AO540" s="33">
        <v>0.49</v>
      </c>
      <c r="AP540" s="33">
        <v>0.13</v>
      </c>
      <c r="AQ540" s="43">
        <v>0.02</v>
      </c>
      <c r="AR540" s="42">
        <v>1</v>
      </c>
      <c r="AS540" s="18">
        <v>0</v>
      </c>
      <c r="AT540">
        <v>0</v>
      </c>
      <c r="AU540" s="40">
        <v>1</v>
      </c>
      <c r="AV540" s="39">
        <f t="shared" si="159"/>
        <v>0.5</v>
      </c>
      <c r="AW540" s="40">
        <f t="shared" si="160"/>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1"/>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10</v>
      </c>
      <c r="DB540" s="34"/>
    </row>
    <row r="541" spans="1:106" x14ac:dyDescent="0.25">
      <c r="A541">
        <v>540</v>
      </c>
      <c r="B541">
        <v>35</v>
      </c>
      <c r="C541" s="25" t="s">
        <v>331</v>
      </c>
      <c r="D541" s="12">
        <v>6.7</v>
      </c>
      <c r="E541" s="14">
        <f t="shared" si="157"/>
        <v>0.93314763231197773</v>
      </c>
      <c r="F541" s="7">
        <v>7.18</v>
      </c>
      <c r="G541" s="7">
        <f t="shared" si="147"/>
        <v>5.7668523676880223</v>
      </c>
      <c r="H541" s="16">
        <f t="shared" si="148"/>
        <v>7.633147632311978</v>
      </c>
      <c r="I541" s="11">
        <f t="shared" si="149"/>
        <v>0.18239852026663411</v>
      </c>
      <c r="J541" s="33">
        <f t="shared" si="150"/>
        <v>2.5403693630450433E-2</v>
      </c>
      <c r="K541" s="33">
        <f t="shared" si="151"/>
        <v>39.364354433929179</v>
      </c>
      <c r="L541" s="33">
        <f t="shared" si="152"/>
        <v>0.15699482663618369</v>
      </c>
      <c r="M541" s="33">
        <f t="shared" si="153"/>
        <v>0.20780221389708453</v>
      </c>
      <c r="N541" s="8">
        <v>1</v>
      </c>
      <c r="O541" s="9">
        <v>0</v>
      </c>
      <c r="P541" s="8">
        <v>0</v>
      </c>
      <c r="Q541" s="9">
        <v>0</v>
      </c>
      <c r="R541" s="9">
        <v>0</v>
      </c>
      <c r="S541" s="9">
        <v>1</v>
      </c>
      <c r="T541" s="9">
        <v>0</v>
      </c>
      <c r="U541" s="8">
        <v>1510</v>
      </c>
      <c r="V541" s="9">
        <v>11</v>
      </c>
      <c r="W541" s="9">
        <f t="shared" si="154"/>
        <v>1498</v>
      </c>
      <c r="X541" s="9">
        <f t="shared" si="155"/>
        <v>15</v>
      </c>
      <c r="Y541" s="7">
        <f t="shared" si="162"/>
        <v>7.66012</v>
      </c>
      <c r="Z541" s="7">
        <f t="shared" si="158"/>
        <v>16.827439999999999</v>
      </c>
      <c r="AA541" s="9">
        <v>1</v>
      </c>
      <c r="AB541" s="9">
        <v>0</v>
      </c>
      <c r="AC541" s="9">
        <v>1</v>
      </c>
      <c r="AD541" s="9">
        <v>0</v>
      </c>
      <c r="AE541" s="9">
        <v>0</v>
      </c>
      <c r="AF541" s="9">
        <v>0</v>
      </c>
      <c r="AG541" s="8">
        <v>1</v>
      </c>
      <c r="AH541" s="9">
        <v>0</v>
      </c>
      <c r="AI541" s="30">
        <v>0</v>
      </c>
      <c r="AJ541" s="9">
        <v>0</v>
      </c>
      <c r="AK541" s="30">
        <v>1</v>
      </c>
      <c r="AL541" s="21">
        <v>1986</v>
      </c>
      <c r="AM541" s="23">
        <f t="shared" si="156"/>
        <v>7.5938778446051183</v>
      </c>
      <c r="AN541" s="33">
        <v>0.36</v>
      </c>
      <c r="AO541" s="33">
        <v>0.49</v>
      </c>
      <c r="AP541" s="33">
        <v>0.13</v>
      </c>
      <c r="AQ541" s="43">
        <v>0.02</v>
      </c>
      <c r="AR541" s="42">
        <v>1</v>
      </c>
      <c r="AS541" s="18">
        <v>0</v>
      </c>
      <c r="AT541">
        <v>0.88</v>
      </c>
      <c r="AU541" s="40">
        <f>1-AT541</f>
        <v>0.12</v>
      </c>
      <c r="AV541" s="39">
        <f t="shared" si="159"/>
        <v>0.54400000000000004</v>
      </c>
      <c r="AW541" s="40">
        <f t="shared" si="160"/>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1"/>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10</v>
      </c>
      <c r="DB541" s="34"/>
    </row>
    <row r="542" spans="1:106" x14ac:dyDescent="0.25">
      <c r="A542">
        <v>541</v>
      </c>
      <c r="B542">
        <v>35</v>
      </c>
      <c r="C542" s="25" t="s">
        <v>331</v>
      </c>
      <c r="D542" s="12">
        <v>5.9</v>
      </c>
      <c r="E542" s="14">
        <f t="shared" si="157"/>
        <v>0.94855305466237949</v>
      </c>
      <c r="F542" s="7">
        <v>6.22</v>
      </c>
      <c r="G542" s="7">
        <f t="shared" si="147"/>
        <v>4.9514469453376204</v>
      </c>
      <c r="H542" s="16">
        <f t="shared" si="148"/>
        <v>6.8485530546623803</v>
      </c>
      <c r="I542" s="11">
        <f t="shared" si="149"/>
        <v>0.17609106334503863</v>
      </c>
      <c r="J542" s="33">
        <f t="shared" si="150"/>
        <v>2.8310460344861517E-2</v>
      </c>
      <c r="K542" s="33">
        <f t="shared" si="151"/>
        <v>35.322632970943715</v>
      </c>
      <c r="L542" s="33">
        <f t="shared" si="152"/>
        <v>0.14778060300017712</v>
      </c>
      <c r="M542" s="33">
        <f t="shared" si="153"/>
        <v>0.20440152368990014</v>
      </c>
      <c r="N542" s="8">
        <v>1</v>
      </c>
      <c r="O542" s="9">
        <v>0</v>
      </c>
      <c r="P542" s="8">
        <v>0</v>
      </c>
      <c r="Q542" s="9">
        <v>0</v>
      </c>
      <c r="R542" s="9">
        <v>0</v>
      </c>
      <c r="S542" s="9">
        <v>1</v>
      </c>
      <c r="T542" s="9">
        <v>0</v>
      </c>
      <c r="U542" s="8">
        <v>1220</v>
      </c>
      <c r="V542" s="9">
        <v>10</v>
      </c>
      <c r="W542" s="9">
        <f t="shared" si="154"/>
        <v>1209</v>
      </c>
      <c r="X542" s="9">
        <f t="shared" si="155"/>
        <v>15</v>
      </c>
      <c r="Y542" s="7">
        <f t="shared" si="162"/>
        <v>7.4770000000000003</v>
      </c>
      <c r="Z542" s="7">
        <f t="shared" si="158"/>
        <v>17.561</v>
      </c>
      <c r="AA542" s="9">
        <v>1</v>
      </c>
      <c r="AB542" s="9">
        <v>0</v>
      </c>
      <c r="AC542" s="9">
        <v>1</v>
      </c>
      <c r="AD542" s="9">
        <v>0</v>
      </c>
      <c r="AE542" s="9">
        <v>0</v>
      </c>
      <c r="AF542" s="9">
        <v>0</v>
      </c>
      <c r="AG542" s="8">
        <v>1</v>
      </c>
      <c r="AH542" s="9">
        <v>0</v>
      </c>
      <c r="AI542" s="30">
        <v>0</v>
      </c>
      <c r="AJ542" s="9">
        <v>0</v>
      </c>
      <c r="AK542" s="30">
        <v>1</v>
      </c>
      <c r="AL542" s="21">
        <v>1986</v>
      </c>
      <c r="AM542" s="23">
        <f t="shared" si="156"/>
        <v>7.5938778446051183</v>
      </c>
      <c r="AN542" s="33">
        <v>0.36</v>
      </c>
      <c r="AO542" s="33">
        <v>0.49</v>
      </c>
      <c r="AP542" s="33">
        <v>0.13</v>
      </c>
      <c r="AQ542" s="43">
        <v>0.02</v>
      </c>
      <c r="AR542" s="42">
        <v>1</v>
      </c>
      <c r="AS542" s="18">
        <v>0</v>
      </c>
      <c r="AT542">
        <v>1</v>
      </c>
      <c r="AU542" s="40">
        <v>0</v>
      </c>
      <c r="AV542" s="39">
        <f t="shared" si="159"/>
        <v>0.55000000000000004</v>
      </c>
      <c r="AW542" s="40">
        <f t="shared" si="160"/>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1"/>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10</v>
      </c>
      <c r="DB542" s="34"/>
    </row>
    <row r="543" spans="1:106" x14ac:dyDescent="0.25">
      <c r="A543">
        <v>542</v>
      </c>
      <c r="B543">
        <v>35</v>
      </c>
      <c r="C543" s="25" t="s">
        <v>331</v>
      </c>
      <c r="D543" s="12">
        <v>6.6</v>
      </c>
      <c r="E543" s="14">
        <f t="shared" si="157"/>
        <v>3.1132075471698109</v>
      </c>
      <c r="F543" s="7">
        <v>2.12</v>
      </c>
      <c r="G543" s="7">
        <f t="shared" si="147"/>
        <v>3.4867924528301888</v>
      </c>
      <c r="H543" s="16">
        <f t="shared" si="148"/>
        <v>9.7132075471698105</v>
      </c>
      <c r="I543" s="11">
        <f t="shared" si="149"/>
        <v>0.12591098420571495</v>
      </c>
      <c r="J543" s="33">
        <f t="shared" si="150"/>
        <v>5.9391973681941011E-2</v>
      </c>
      <c r="K543" s="33">
        <f t="shared" si="151"/>
        <v>16.837291943777657</v>
      </c>
      <c r="L543" s="33">
        <f t="shared" si="152"/>
        <v>6.651901052377393E-2</v>
      </c>
      <c r="M543" s="33">
        <f t="shared" si="153"/>
        <v>0.18530295788765597</v>
      </c>
      <c r="N543" s="8">
        <v>1</v>
      </c>
      <c r="O543" s="9">
        <v>0</v>
      </c>
      <c r="P543" s="8">
        <v>0</v>
      </c>
      <c r="Q543" s="9">
        <v>0</v>
      </c>
      <c r="R543" s="9">
        <v>0</v>
      </c>
      <c r="S543" s="9">
        <v>1</v>
      </c>
      <c r="T543" s="9">
        <v>0</v>
      </c>
      <c r="U543" s="8">
        <v>290</v>
      </c>
      <c r="V543" s="9">
        <v>10</v>
      </c>
      <c r="W543" s="9">
        <f t="shared" si="154"/>
        <v>279</v>
      </c>
      <c r="X543" s="9">
        <f t="shared" si="155"/>
        <v>15</v>
      </c>
      <c r="Y543" s="7">
        <f t="shared" si="162"/>
        <v>9.0030000000000001</v>
      </c>
      <c r="Z543" s="7">
        <f t="shared" si="158"/>
        <v>11.448</v>
      </c>
      <c r="AA543" s="9">
        <v>1</v>
      </c>
      <c r="AB543" s="9">
        <v>0</v>
      </c>
      <c r="AC543" s="9">
        <v>1</v>
      </c>
      <c r="AD543" s="9">
        <v>0</v>
      </c>
      <c r="AE543" s="9">
        <v>0</v>
      </c>
      <c r="AF543" s="9">
        <v>0</v>
      </c>
      <c r="AG543" s="8">
        <v>1</v>
      </c>
      <c r="AH543" s="9">
        <v>0</v>
      </c>
      <c r="AI543" s="30">
        <v>0</v>
      </c>
      <c r="AJ543" s="9">
        <v>0</v>
      </c>
      <c r="AK543" s="30">
        <v>1</v>
      </c>
      <c r="AL543" s="21">
        <v>1986</v>
      </c>
      <c r="AM543" s="23">
        <f t="shared" si="156"/>
        <v>7.5938778446051183</v>
      </c>
      <c r="AN543" s="33">
        <v>0.36</v>
      </c>
      <c r="AO543" s="33">
        <v>0.49</v>
      </c>
      <c r="AP543" s="33">
        <v>0.13</v>
      </c>
      <c r="AQ543" s="43">
        <v>0.02</v>
      </c>
      <c r="AR543" s="42">
        <v>1</v>
      </c>
      <c r="AS543" s="18">
        <v>0</v>
      </c>
      <c r="AT543">
        <v>0</v>
      </c>
      <c r="AU543" s="40">
        <v>1</v>
      </c>
      <c r="AV543" s="39">
        <f t="shared" si="159"/>
        <v>0.5</v>
      </c>
      <c r="AW543" s="40">
        <f t="shared" si="160"/>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1"/>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10</v>
      </c>
      <c r="DB543" s="34"/>
    </row>
    <row r="544" spans="1:106" s="95" customFormat="1" x14ac:dyDescent="0.25">
      <c r="A544" s="95">
        <v>543</v>
      </c>
      <c r="B544" s="95">
        <v>36</v>
      </c>
      <c r="C544" s="96" t="s">
        <v>332</v>
      </c>
      <c r="D544" s="97">
        <v>11.1</v>
      </c>
      <c r="E544" s="98">
        <v>0.5</v>
      </c>
      <c r="F544" s="99">
        <f t="shared" ref="F544:F607" si="164">D544/E544</f>
        <v>22.2</v>
      </c>
      <c r="G544" s="99">
        <f t="shared" si="147"/>
        <v>10.6</v>
      </c>
      <c r="H544" s="100">
        <f t="shared" si="148"/>
        <v>11.6</v>
      </c>
      <c r="I544" s="101">
        <f t="shared" si="149"/>
        <v>0.39245407503305468</v>
      </c>
      <c r="J544" s="102">
        <f t="shared" si="150"/>
        <v>1.7678111487975434E-2</v>
      </c>
      <c r="K544" s="102">
        <f t="shared" si="151"/>
        <v>56.567128263683323</v>
      </c>
      <c r="L544" s="102">
        <f t="shared" si="152"/>
        <v>0.37477596354507925</v>
      </c>
      <c r="M544" s="102">
        <f t="shared" si="153"/>
        <v>0.41013218652103012</v>
      </c>
      <c r="N544" s="103">
        <v>1</v>
      </c>
      <c r="O544" s="104">
        <v>0</v>
      </c>
      <c r="P544" s="103">
        <v>0</v>
      </c>
      <c r="Q544" s="104">
        <v>0</v>
      </c>
      <c r="R544" s="104">
        <v>1</v>
      </c>
      <c r="S544" s="104">
        <v>0</v>
      </c>
      <c r="T544" s="104">
        <v>0</v>
      </c>
      <c r="U544" s="103">
        <v>2717</v>
      </c>
      <c r="V544" s="104">
        <v>9</v>
      </c>
      <c r="W544" s="104">
        <f t="shared" si="154"/>
        <v>2707</v>
      </c>
      <c r="X544" s="104">
        <f t="shared" si="155"/>
        <v>6</v>
      </c>
      <c r="Y544" s="99">
        <v>8.49</v>
      </c>
      <c r="Z544" s="99">
        <v>14.73</v>
      </c>
      <c r="AA544" s="104">
        <v>1</v>
      </c>
      <c r="AB544" s="104">
        <v>0</v>
      </c>
      <c r="AC544" s="104">
        <v>0</v>
      </c>
      <c r="AD544" s="104">
        <v>0</v>
      </c>
      <c r="AE544" s="104">
        <v>1</v>
      </c>
      <c r="AF544" s="104">
        <v>0</v>
      </c>
      <c r="AG544" s="103">
        <v>0</v>
      </c>
      <c r="AH544" s="104">
        <v>1</v>
      </c>
      <c r="AI544" s="105">
        <v>0</v>
      </c>
      <c r="AJ544" s="104">
        <v>0</v>
      </c>
      <c r="AK544" s="105">
        <v>1</v>
      </c>
      <c r="AL544" s="106">
        <v>1985</v>
      </c>
      <c r="AM544" s="107">
        <f t="shared" si="156"/>
        <v>7.5933741931212904</v>
      </c>
      <c r="AN544" s="102">
        <v>0.01</v>
      </c>
      <c r="AO544" s="102">
        <v>0.47</v>
      </c>
      <c r="AP544" s="102">
        <v>0.28999999999999998</v>
      </c>
      <c r="AQ544" s="108">
        <v>0.23</v>
      </c>
      <c r="AR544" s="109">
        <v>1</v>
      </c>
      <c r="AS544" s="110">
        <v>0</v>
      </c>
      <c r="AT544" s="95">
        <v>1</v>
      </c>
      <c r="AU544" s="111">
        <v>0</v>
      </c>
      <c r="AV544" s="113">
        <v>0.63</v>
      </c>
      <c r="AW544" s="111">
        <f t="shared" ref="AW544:AW549" si="165">1-AV544</f>
        <v>0.37</v>
      </c>
      <c r="AX544">
        <v>0</v>
      </c>
      <c r="AY544" s="110">
        <v>1</v>
      </c>
      <c r="AZ544" s="113">
        <v>0.15</v>
      </c>
      <c r="BA544" s="111">
        <f t="shared" ref="BA544:BA549" si="166">1-AZ544</f>
        <v>0.85</v>
      </c>
      <c r="BB544" s="110" t="s">
        <v>28</v>
      </c>
      <c r="BC544">
        <v>0</v>
      </c>
      <c r="BD544">
        <v>1</v>
      </c>
      <c r="BE544">
        <v>0</v>
      </c>
      <c r="BF544">
        <v>0</v>
      </c>
      <c r="BG544">
        <v>0</v>
      </c>
      <c r="BH544" s="110">
        <v>0</v>
      </c>
      <c r="BI544">
        <v>0</v>
      </c>
      <c r="BJ544">
        <v>1</v>
      </c>
      <c r="BK544" s="110">
        <v>0</v>
      </c>
      <c r="BL544">
        <v>111.9166666666667</v>
      </c>
      <c r="BM544">
        <v>45</v>
      </c>
      <c r="BN544" s="114">
        <f t="shared" ref="BN544:BN564" si="16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8</v>
      </c>
      <c r="CW544" s="112"/>
      <c r="DB544" s="112"/>
    </row>
    <row r="545" spans="1:106" x14ac:dyDescent="0.25">
      <c r="A545">
        <v>544</v>
      </c>
      <c r="B545">
        <v>36</v>
      </c>
      <c r="C545" s="25" t="s">
        <v>332</v>
      </c>
      <c r="D545" s="12">
        <v>10.3</v>
      </c>
      <c r="E545" s="14">
        <v>0.8</v>
      </c>
      <c r="F545" s="7">
        <f t="shared" si="164"/>
        <v>12.875</v>
      </c>
      <c r="G545" s="7">
        <f t="shared" si="147"/>
        <v>9.5</v>
      </c>
      <c r="H545" s="16">
        <f t="shared" si="148"/>
        <v>11.100000000000001</v>
      </c>
      <c r="I545" s="11">
        <f t="shared" si="149"/>
        <v>0.14568016832067471</v>
      </c>
      <c r="J545" s="33">
        <f t="shared" si="150"/>
        <v>1.1314964529761141E-2</v>
      </c>
      <c r="K545" s="33">
        <f t="shared" si="151"/>
        <v>88.378535997152611</v>
      </c>
      <c r="L545" s="33">
        <f t="shared" si="152"/>
        <v>0.13436520379091357</v>
      </c>
      <c r="M545" s="33">
        <f t="shared" si="153"/>
        <v>0.15699513285043584</v>
      </c>
      <c r="N545" s="8">
        <v>1</v>
      </c>
      <c r="O545" s="9">
        <v>0</v>
      </c>
      <c r="P545" s="8">
        <v>0</v>
      </c>
      <c r="Q545" s="9">
        <v>0</v>
      </c>
      <c r="R545" s="9">
        <v>1</v>
      </c>
      <c r="S545" s="9">
        <v>0</v>
      </c>
      <c r="T545" s="9">
        <v>0</v>
      </c>
      <c r="U545" s="8">
        <v>7655</v>
      </c>
      <c r="V545" s="9">
        <v>9</v>
      </c>
      <c r="W545" s="9">
        <f t="shared" si="154"/>
        <v>7645</v>
      </c>
      <c r="X545" s="9">
        <f t="shared" si="155"/>
        <v>6</v>
      </c>
      <c r="Y545" s="7">
        <v>9.09</v>
      </c>
      <c r="Z545" s="7">
        <v>14.38</v>
      </c>
      <c r="AA545" s="9">
        <v>1</v>
      </c>
      <c r="AB545" s="9">
        <v>0</v>
      </c>
      <c r="AC545" s="9">
        <v>0</v>
      </c>
      <c r="AD545" s="9">
        <v>0</v>
      </c>
      <c r="AE545" s="9">
        <v>1</v>
      </c>
      <c r="AF545" s="9">
        <v>0</v>
      </c>
      <c r="AG545" s="8">
        <v>0</v>
      </c>
      <c r="AH545" s="9">
        <v>1</v>
      </c>
      <c r="AI545" s="30">
        <v>0</v>
      </c>
      <c r="AJ545" s="9">
        <v>0</v>
      </c>
      <c r="AK545" s="30">
        <v>1</v>
      </c>
      <c r="AL545" s="21">
        <v>1995</v>
      </c>
      <c r="AM545" s="23">
        <f t="shared" si="156"/>
        <v>7.5983993293239642</v>
      </c>
      <c r="AN545" s="33">
        <v>0.01</v>
      </c>
      <c r="AO545" s="33">
        <v>0.3</v>
      </c>
      <c r="AP545" s="33">
        <v>0.44</v>
      </c>
      <c r="AQ545" s="43">
        <v>0.25</v>
      </c>
      <c r="AR545" s="42">
        <v>1</v>
      </c>
      <c r="AS545" s="18">
        <v>0</v>
      </c>
      <c r="AT545">
        <v>1</v>
      </c>
      <c r="AU545" s="40">
        <v>0</v>
      </c>
      <c r="AV545" s="39">
        <v>0.71</v>
      </c>
      <c r="AW545" s="40">
        <f t="shared" si="165"/>
        <v>0.29000000000000004</v>
      </c>
      <c r="AX545">
        <v>0</v>
      </c>
      <c r="AY545" s="18">
        <v>1</v>
      </c>
      <c r="AZ545" s="39">
        <v>0.25</v>
      </c>
      <c r="BA545" s="40">
        <f t="shared" si="166"/>
        <v>0.75</v>
      </c>
      <c r="BB545" s="18" t="s">
        <v>28</v>
      </c>
      <c r="BC545">
        <v>0</v>
      </c>
      <c r="BD545">
        <v>1</v>
      </c>
      <c r="BE545">
        <v>0</v>
      </c>
      <c r="BF545">
        <v>0</v>
      </c>
      <c r="BG545">
        <v>0</v>
      </c>
      <c r="BH545" s="18">
        <v>0</v>
      </c>
      <c r="BI545">
        <v>0</v>
      </c>
      <c r="BJ545">
        <v>1</v>
      </c>
      <c r="BK545" s="18">
        <v>0</v>
      </c>
      <c r="BL545">
        <v>111.9166666666667</v>
      </c>
      <c r="BM545">
        <v>45</v>
      </c>
      <c r="BN545" s="94">
        <f t="shared" si="16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8</v>
      </c>
      <c r="DB545" s="34"/>
    </row>
    <row r="546" spans="1:106" x14ac:dyDescent="0.25">
      <c r="A546">
        <v>545</v>
      </c>
      <c r="B546">
        <v>36</v>
      </c>
      <c r="C546" s="25" t="s">
        <v>332</v>
      </c>
      <c r="D546" s="12">
        <v>10.3</v>
      </c>
      <c r="E546" s="14">
        <v>0.4</v>
      </c>
      <c r="F546" s="7">
        <f t="shared" si="164"/>
        <v>25.75</v>
      </c>
      <c r="G546" s="7">
        <f t="shared" si="147"/>
        <v>9.9</v>
      </c>
      <c r="H546" s="16">
        <f t="shared" si="148"/>
        <v>10.700000000000001</v>
      </c>
      <c r="I546" s="11">
        <f t="shared" si="149"/>
        <v>0.30460976967849723</v>
      </c>
      <c r="J546" s="33">
        <f t="shared" si="150"/>
        <v>1.1829505618582415E-2</v>
      </c>
      <c r="K546" s="33">
        <f t="shared" si="151"/>
        <v>84.534386494491116</v>
      </c>
      <c r="L546" s="33">
        <f t="shared" si="152"/>
        <v>0.29278026405991481</v>
      </c>
      <c r="M546" s="33">
        <f t="shared" si="153"/>
        <v>0.31643927529707966</v>
      </c>
      <c r="N546" s="8">
        <v>1</v>
      </c>
      <c r="O546" s="9">
        <v>0</v>
      </c>
      <c r="P546" s="8">
        <v>0</v>
      </c>
      <c r="Q546" s="9">
        <v>0</v>
      </c>
      <c r="R546" s="9">
        <v>1</v>
      </c>
      <c r="S546" s="9">
        <v>0</v>
      </c>
      <c r="T546" s="9">
        <v>0</v>
      </c>
      <c r="U546" s="8">
        <v>6493</v>
      </c>
      <c r="V546" s="9">
        <v>9</v>
      </c>
      <c r="W546" s="9">
        <f t="shared" si="154"/>
        <v>6483</v>
      </c>
      <c r="X546" s="9">
        <f t="shared" si="155"/>
        <v>6</v>
      </c>
      <c r="Y546" s="7">
        <v>9.66</v>
      </c>
      <c r="Z546" s="7">
        <v>13.85</v>
      </c>
      <c r="AA546" s="9">
        <v>1</v>
      </c>
      <c r="AB546" s="9">
        <v>0</v>
      </c>
      <c r="AC546" s="9">
        <v>0</v>
      </c>
      <c r="AD546" s="9">
        <v>0</v>
      </c>
      <c r="AE546" s="9">
        <v>1</v>
      </c>
      <c r="AF546" s="9">
        <v>0</v>
      </c>
      <c r="AG546" s="8">
        <v>0</v>
      </c>
      <c r="AH546" s="9">
        <v>1</v>
      </c>
      <c r="AI546" s="30">
        <v>0</v>
      </c>
      <c r="AJ546" s="9">
        <v>0</v>
      </c>
      <c r="AK546" s="30">
        <v>1</v>
      </c>
      <c r="AL546" s="21">
        <v>1998</v>
      </c>
      <c r="AM546" s="23">
        <f t="shared" si="156"/>
        <v>7.5999019592084984</v>
      </c>
      <c r="AN546" s="33">
        <v>0.01</v>
      </c>
      <c r="AO546" s="33">
        <v>0.25</v>
      </c>
      <c r="AP546" s="33">
        <v>0.46</v>
      </c>
      <c r="AQ546" s="43">
        <v>0.28000000000000003</v>
      </c>
      <c r="AR546" s="42">
        <v>1</v>
      </c>
      <c r="AS546" s="18">
        <v>0</v>
      </c>
      <c r="AT546">
        <v>1</v>
      </c>
      <c r="AU546" s="40">
        <v>0</v>
      </c>
      <c r="AV546" s="39">
        <v>0.69</v>
      </c>
      <c r="AW546" s="40">
        <f t="shared" si="165"/>
        <v>0.31000000000000005</v>
      </c>
      <c r="AX546">
        <v>0</v>
      </c>
      <c r="AY546" s="18">
        <v>1</v>
      </c>
      <c r="AZ546" s="39">
        <v>0.25</v>
      </c>
      <c r="BA546" s="40">
        <f t="shared" si="166"/>
        <v>0.75</v>
      </c>
      <c r="BB546" s="18" t="s">
        <v>28</v>
      </c>
      <c r="BC546">
        <v>0</v>
      </c>
      <c r="BD546">
        <v>1</v>
      </c>
      <c r="BE546">
        <v>0</v>
      </c>
      <c r="BF546">
        <v>0</v>
      </c>
      <c r="BG546">
        <v>0</v>
      </c>
      <c r="BH546" s="18">
        <v>0</v>
      </c>
      <c r="BI546">
        <v>0</v>
      </c>
      <c r="BJ546">
        <v>1</v>
      </c>
      <c r="BK546" s="18">
        <v>0</v>
      </c>
      <c r="BL546">
        <v>111.9166666666667</v>
      </c>
      <c r="BM546">
        <v>45</v>
      </c>
      <c r="BN546" s="94">
        <f t="shared" si="16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8</v>
      </c>
      <c r="DB546" s="34"/>
    </row>
    <row r="547" spans="1:106" x14ac:dyDescent="0.25">
      <c r="A547">
        <v>546</v>
      </c>
      <c r="B547">
        <v>36</v>
      </c>
      <c r="C547" s="25" t="s">
        <v>332</v>
      </c>
      <c r="D547" s="12">
        <v>10.8</v>
      </c>
      <c r="E547" s="14">
        <v>0.8</v>
      </c>
      <c r="F547" s="7">
        <f t="shared" si="164"/>
        <v>13.5</v>
      </c>
      <c r="G547" s="7">
        <f t="shared" si="147"/>
        <v>10</v>
      </c>
      <c r="H547" s="16">
        <f t="shared" si="148"/>
        <v>11.600000000000001</v>
      </c>
      <c r="I547" s="11">
        <f t="shared" si="149"/>
        <v>0.27960140146238877</v>
      </c>
      <c r="J547" s="33">
        <f t="shared" si="150"/>
        <v>2.071121492313991E-2</v>
      </c>
      <c r="K547" s="33">
        <f t="shared" si="151"/>
        <v>48.283019789569913</v>
      </c>
      <c r="L547" s="33">
        <f t="shared" si="152"/>
        <v>0.25889018653924883</v>
      </c>
      <c r="M547" s="33">
        <f t="shared" si="153"/>
        <v>0.3003126163855287</v>
      </c>
      <c r="N547" s="8">
        <v>1</v>
      </c>
      <c r="O547" s="9">
        <v>0</v>
      </c>
      <c r="P547" s="8">
        <v>0</v>
      </c>
      <c r="Q547" s="9">
        <v>0</v>
      </c>
      <c r="R547" s="9">
        <v>1</v>
      </c>
      <c r="S547" s="9">
        <v>0</v>
      </c>
      <c r="T547" s="9">
        <v>0</v>
      </c>
      <c r="U547" s="8">
        <v>2159</v>
      </c>
      <c r="V547" s="9">
        <v>9</v>
      </c>
      <c r="W547" s="9">
        <f t="shared" si="154"/>
        <v>2149</v>
      </c>
      <c r="X547" s="9">
        <f t="shared" si="155"/>
        <v>6</v>
      </c>
      <c r="Y547" s="7">
        <v>9.15</v>
      </c>
      <c r="Z547" s="7">
        <v>13.47</v>
      </c>
      <c r="AA547" s="9">
        <v>1</v>
      </c>
      <c r="AB547" s="9">
        <v>0</v>
      </c>
      <c r="AC547" s="9">
        <v>0</v>
      </c>
      <c r="AD547" s="9">
        <v>0</v>
      </c>
      <c r="AE547" s="9">
        <v>1</v>
      </c>
      <c r="AF547" s="9">
        <v>0</v>
      </c>
      <c r="AG547" s="8">
        <v>0</v>
      </c>
      <c r="AH547" s="9">
        <v>1</v>
      </c>
      <c r="AI547" s="30">
        <v>0</v>
      </c>
      <c r="AJ547" s="9">
        <v>0</v>
      </c>
      <c r="AK547" s="30">
        <v>1</v>
      </c>
      <c r="AL547" s="21">
        <v>1985</v>
      </c>
      <c r="AM547" s="23">
        <f t="shared" si="156"/>
        <v>7.5933741931212904</v>
      </c>
      <c r="AN547" s="33">
        <v>0.03</v>
      </c>
      <c r="AO547" s="33">
        <v>0.39</v>
      </c>
      <c r="AP547" s="33">
        <v>0.26</v>
      </c>
      <c r="AQ547" s="43">
        <v>0.32</v>
      </c>
      <c r="AR547" s="42">
        <v>1</v>
      </c>
      <c r="AS547" s="18">
        <v>0</v>
      </c>
      <c r="AT547">
        <v>0</v>
      </c>
      <c r="AU547" s="40">
        <v>1</v>
      </c>
      <c r="AV547" s="39">
        <v>0.64</v>
      </c>
      <c r="AW547" s="40">
        <f t="shared" si="165"/>
        <v>0.36</v>
      </c>
      <c r="AX547">
        <v>0</v>
      </c>
      <c r="AY547" s="18">
        <v>1</v>
      </c>
      <c r="AZ547" s="39">
        <v>0.12</v>
      </c>
      <c r="BA547" s="40">
        <f t="shared" si="166"/>
        <v>0.88</v>
      </c>
      <c r="BB547" s="18" t="s">
        <v>28</v>
      </c>
      <c r="BC547">
        <v>0</v>
      </c>
      <c r="BD547">
        <v>1</v>
      </c>
      <c r="BE547">
        <v>0</v>
      </c>
      <c r="BF547">
        <v>0</v>
      </c>
      <c r="BG547">
        <v>0</v>
      </c>
      <c r="BH547" s="18">
        <v>0</v>
      </c>
      <c r="BI547">
        <v>0</v>
      </c>
      <c r="BJ547">
        <v>1</v>
      </c>
      <c r="BK547" s="18">
        <v>0</v>
      </c>
      <c r="BL547">
        <v>111.9166666666667</v>
      </c>
      <c r="BM547">
        <v>45</v>
      </c>
      <c r="BN547" s="94">
        <f t="shared" si="16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8</v>
      </c>
      <c r="DB547" s="34"/>
    </row>
    <row r="548" spans="1:106" x14ac:dyDescent="0.25">
      <c r="A548">
        <v>547</v>
      </c>
      <c r="B548">
        <v>36</v>
      </c>
      <c r="C548" s="25" t="s">
        <v>332</v>
      </c>
      <c r="D548" s="12">
        <v>10.3</v>
      </c>
      <c r="E548" s="14">
        <v>0.4</v>
      </c>
      <c r="F548" s="7">
        <f t="shared" si="164"/>
        <v>25.75</v>
      </c>
      <c r="G548" s="7">
        <f t="shared" si="147"/>
        <v>9.9</v>
      </c>
      <c r="H548" s="16">
        <f t="shared" si="148"/>
        <v>10.700000000000001</v>
      </c>
      <c r="I548" s="11">
        <f t="shared" si="149"/>
        <v>0.30144160977152851</v>
      </c>
      <c r="J548" s="33">
        <f t="shared" si="150"/>
        <v>1.1706470282389457E-2</v>
      </c>
      <c r="K548" s="33">
        <f t="shared" si="151"/>
        <v>85.422845304988527</v>
      </c>
      <c r="L548" s="33">
        <f t="shared" si="152"/>
        <v>0.28973513948913904</v>
      </c>
      <c r="M548" s="33">
        <f t="shared" si="153"/>
        <v>0.31314808005391798</v>
      </c>
      <c r="N548" s="8">
        <v>1</v>
      </c>
      <c r="O548" s="9">
        <v>0</v>
      </c>
      <c r="P548" s="8">
        <v>0</v>
      </c>
      <c r="Q548" s="9">
        <v>0</v>
      </c>
      <c r="R548" s="9">
        <v>1</v>
      </c>
      <c r="S548" s="9">
        <v>0</v>
      </c>
      <c r="T548" s="9">
        <v>0</v>
      </c>
      <c r="U548" s="8">
        <v>6644</v>
      </c>
      <c r="V548" s="9">
        <v>9</v>
      </c>
      <c r="W548" s="9">
        <f t="shared" si="154"/>
        <v>6634</v>
      </c>
      <c r="X548" s="9">
        <f t="shared" si="155"/>
        <v>6</v>
      </c>
      <c r="Y548" s="7">
        <v>10.11</v>
      </c>
      <c r="Z548" s="7">
        <v>13.19</v>
      </c>
      <c r="AA548" s="9">
        <v>1</v>
      </c>
      <c r="AB548" s="9">
        <v>0</v>
      </c>
      <c r="AC548" s="9">
        <v>0</v>
      </c>
      <c r="AD548" s="9">
        <v>0</v>
      </c>
      <c r="AE548" s="9">
        <v>1</v>
      </c>
      <c r="AF548" s="9">
        <v>0</v>
      </c>
      <c r="AG548" s="8">
        <v>0</v>
      </c>
      <c r="AH548" s="9">
        <v>1</v>
      </c>
      <c r="AI548" s="30">
        <v>0</v>
      </c>
      <c r="AJ548" s="9">
        <v>0</v>
      </c>
      <c r="AK548" s="30">
        <v>1</v>
      </c>
      <c r="AL548" s="21">
        <v>1995</v>
      </c>
      <c r="AM548" s="23">
        <f t="shared" si="156"/>
        <v>7.5983993293239642</v>
      </c>
      <c r="AN548" s="33">
        <v>0.02</v>
      </c>
      <c r="AO548" s="33">
        <v>0.33</v>
      </c>
      <c r="AP548" s="33">
        <v>0.28000000000000003</v>
      </c>
      <c r="AQ548" s="43">
        <v>0.37</v>
      </c>
      <c r="AR548" s="42">
        <v>1</v>
      </c>
      <c r="AS548" s="18">
        <v>0</v>
      </c>
      <c r="AT548">
        <v>0</v>
      </c>
      <c r="AU548" s="40">
        <v>1</v>
      </c>
      <c r="AV548" s="39">
        <v>0.68</v>
      </c>
      <c r="AW548" s="40">
        <f t="shared" si="165"/>
        <v>0.31999999999999995</v>
      </c>
      <c r="AX548">
        <v>0</v>
      </c>
      <c r="AY548" s="18">
        <v>1</v>
      </c>
      <c r="AZ548" s="39">
        <v>0.22</v>
      </c>
      <c r="BA548" s="40">
        <f t="shared" si="166"/>
        <v>0.78</v>
      </c>
      <c r="BB548" s="18" t="s">
        <v>28</v>
      </c>
      <c r="BC548">
        <v>0</v>
      </c>
      <c r="BD548">
        <v>1</v>
      </c>
      <c r="BE548">
        <v>0</v>
      </c>
      <c r="BF548">
        <v>0</v>
      </c>
      <c r="BG548">
        <v>0</v>
      </c>
      <c r="BH548" s="18">
        <v>0</v>
      </c>
      <c r="BI548">
        <v>0</v>
      </c>
      <c r="BJ548">
        <v>1</v>
      </c>
      <c r="BK548" s="18">
        <v>0</v>
      </c>
      <c r="BL548">
        <v>111.9166666666667</v>
      </c>
      <c r="BM548">
        <v>45</v>
      </c>
      <c r="BN548" s="94">
        <f t="shared" si="16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8</v>
      </c>
      <c r="DB548" s="34"/>
    </row>
    <row r="549" spans="1:106" x14ac:dyDescent="0.25">
      <c r="A549">
        <v>548</v>
      </c>
      <c r="B549">
        <v>36</v>
      </c>
      <c r="C549" s="25" t="s">
        <v>332</v>
      </c>
      <c r="D549" s="12">
        <v>10.7</v>
      </c>
      <c r="E549" s="14">
        <v>0.4</v>
      </c>
      <c r="F549" s="7">
        <f t="shared" si="164"/>
        <v>26.749999999999996</v>
      </c>
      <c r="G549" s="7">
        <f t="shared" si="147"/>
        <v>10.299999999999999</v>
      </c>
      <c r="H549" s="16">
        <f t="shared" si="148"/>
        <v>11.1</v>
      </c>
      <c r="I549" s="11">
        <f t="shared" si="149"/>
        <v>0.32404460614450042</v>
      </c>
      <c r="J549" s="33">
        <f t="shared" si="150"/>
        <v>1.2113817052130859E-2</v>
      </c>
      <c r="K549" s="33">
        <f t="shared" si="151"/>
        <v>82.550363415311509</v>
      </c>
      <c r="L549" s="33">
        <f t="shared" si="152"/>
        <v>0.31193078909236954</v>
      </c>
      <c r="M549" s="33">
        <f t="shared" si="153"/>
        <v>0.33615842319663131</v>
      </c>
      <c r="N549" s="8">
        <v>1</v>
      </c>
      <c r="O549" s="9">
        <v>0</v>
      </c>
      <c r="P549" s="8">
        <v>0</v>
      </c>
      <c r="Q549" s="9">
        <v>0</v>
      </c>
      <c r="R549" s="9">
        <v>1</v>
      </c>
      <c r="S549" s="9">
        <v>0</v>
      </c>
      <c r="T549" s="9">
        <v>0</v>
      </c>
      <c r="U549" s="8">
        <v>6109</v>
      </c>
      <c r="V549" s="9">
        <v>9</v>
      </c>
      <c r="W549" s="9">
        <f t="shared" si="154"/>
        <v>6099</v>
      </c>
      <c r="X549" s="9">
        <f t="shared" si="155"/>
        <v>6</v>
      </c>
      <c r="Y549" s="7">
        <v>10.45</v>
      </c>
      <c r="Z549" s="7">
        <v>12.81</v>
      </c>
      <c r="AA549" s="9">
        <v>1</v>
      </c>
      <c r="AB549" s="9">
        <v>0</v>
      </c>
      <c r="AC549" s="9">
        <v>0</v>
      </c>
      <c r="AD549" s="9">
        <v>0</v>
      </c>
      <c r="AE549" s="9">
        <v>1</v>
      </c>
      <c r="AF549" s="9">
        <v>0</v>
      </c>
      <c r="AG549" s="8">
        <v>0</v>
      </c>
      <c r="AH549" s="9">
        <v>1</v>
      </c>
      <c r="AI549" s="30">
        <v>0</v>
      </c>
      <c r="AJ549" s="9">
        <v>0</v>
      </c>
      <c r="AK549" s="30">
        <v>1</v>
      </c>
      <c r="AL549" s="21">
        <v>1998</v>
      </c>
      <c r="AM549" s="23">
        <f t="shared" si="156"/>
        <v>7.5999019592084984</v>
      </c>
      <c r="AN549" s="33">
        <v>0.02</v>
      </c>
      <c r="AO549" s="33">
        <v>0.18</v>
      </c>
      <c r="AP549" s="33">
        <v>0.42</v>
      </c>
      <c r="AQ549" s="43">
        <v>0.38</v>
      </c>
      <c r="AR549" s="42">
        <v>1</v>
      </c>
      <c r="AS549" s="18">
        <v>0</v>
      </c>
      <c r="AT549">
        <v>0</v>
      </c>
      <c r="AU549" s="40">
        <v>1</v>
      </c>
      <c r="AV549" s="39">
        <v>0.7</v>
      </c>
      <c r="AW549" s="40">
        <f t="shared" si="165"/>
        <v>0.30000000000000004</v>
      </c>
      <c r="AX549">
        <v>0</v>
      </c>
      <c r="AY549" s="18">
        <v>1</v>
      </c>
      <c r="AZ549" s="39">
        <v>0.23</v>
      </c>
      <c r="BA549" s="40">
        <f t="shared" si="166"/>
        <v>0.77</v>
      </c>
      <c r="BB549" s="18" t="s">
        <v>28</v>
      </c>
      <c r="BC549">
        <v>0</v>
      </c>
      <c r="BD549">
        <v>1</v>
      </c>
      <c r="BE549">
        <v>0</v>
      </c>
      <c r="BF549">
        <v>0</v>
      </c>
      <c r="BG549">
        <v>0</v>
      </c>
      <c r="BH549" s="18">
        <v>0</v>
      </c>
      <c r="BI549">
        <v>0</v>
      </c>
      <c r="BJ549">
        <v>1</v>
      </c>
      <c r="BK549" s="18">
        <v>0</v>
      </c>
      <c r="BL549">
        <v>111.9166666666667</v>
      </c>
      <c r="BM549">
        <v>45</v>
      </c>
      <c r="BN549" s="94">
        <f t="shared" si="16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8</v>
      </c>
      <c r="DB549" s="34"/>
    </row>
    <row r="550" spans="1:106" s="95" customFormat="1" x14ac:dyDescent="0.25">
      <c r="A550" s="95">
        <v>549</v>
      </c>
      <c r="B550" s="95">
        <v>37</v>
      </c>
      <c r="C550" s="96" t="s">
        <v>14</v>
      </c>
      <c r="D550" s="97">
        <v>10.7</v>
      </c>
      <c r="E550" s="98">
        <v>0.4</v>
      </c>
      <c r="F550" s="99">
        <f t="shared" si="164"/>
        <v>26.749999999999996</v>
      </c>
      <c r="G550" s="99">
        <f t="shared" si="147"/>
        <v>10.299999999999999</v>
      </c>
      <c r="H550" s="100">
        <f t="shared" si="148"/>
        <v>11.1</v>
      </c>
      <c r="I550" s="101">
        <f t="shared" si="149"/>
        <v>0.2884097035040431</v>
      </c>
      <c r="J550" s="102">
        <f t="shared" si="150"/>
        <v>1.078167115902965E-2</v>
      </c>
      <c r="K550" s="102">
        <f t="shared" si="151"/>
        <v>92.75</v>
      </c>
      <c r="L550" s="102">
        <f t="shared" si="152"/>
        <v>0.27762803234501343</v>
      </c>
      <c r="M550" s="102">
        <f t="shared" si="153"/>
        <v>0.29919137466307277</v>
      </c>
      <c r="N550" s="103">
        <v>0</v>
      </c>
      <c r="O550" s="104">
        <v>1</v>
      </c>
      <c r="P550" s="103">
        <v>0</v>
      </c>
      <c r="Q550" s="104">
        <v>0</v>
      </c>
      <c r="R550" s="104">
        <v>1</v>
      </c>
      <c r="S550" s="104">
        <v>0</v>
      </c>
      <c r="T550" s="104">
        <v>0</v>
      </c>
      <c r="U550" s="103">
        <v>7892</v>
      </c>
      <c r="V550" s="104">
        <v>4</v>
      </c>
      <c r="W550" s="104">
        <f t="shared" si="154"/>
        <v>7887</v>
      </c>
      <c r="X550" s="104">
        <f t="shared" si="155"/>
        <v>15</v>
      </c>
      <c r="Y550" s="99">
        <v>8.6</v>
      </c>
      <c r="Z550" s="99">
        <v>22.2</v>
      </c>
      <c r="AA550" s="104">
        <v>1</v>
      </c>
      <c r="AB550" s="104">
        <v>0</v>
      </c>
      <c r="AC550" s="104">
        <v>1</v>
      </c>
      <c r="AD550" s="104">
        <v>0</v>
      </c>
      <c r="AE550" s="104">
        <v>0</v>
      </c>
      <c r="AF550" s="104">
        <v>0</v>
      </c>
      <c r="AG550" s="103">
        <v>0</v>
      </c>
      <c r="AH550" s="104">
        <v>1</v>
      </c>
      <c r="AI550" s="105">
        <v>0</v>
      </c>
      <c r="AJ550" s="104">
        <v>0</v>
      </c>
      <c r="AK550" s="105">
        <v>1</v>
      </c>
      <c r="AL550" s="106">
        <v>2004</v>
      </c>
      <c r="AM550" s="107">
        <f t="shared" si="156"/>
        <v>7.6029004622047553</v>
      </c>
      <c r="AN550" s="102">
        <v>3.4299999999999997E-2</v>
      </c>
      <c r="AO550" s="102">
        <v>0.37</v>
      </c>
      <c r="AP550" s="102">
        <v>0.47699999999999998</v>
      </c>
      <c r="AQ550" s="108">
        <f t="shared" ref="AQ550:AQ564" si="16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6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17</v>
      </c>
      <c r="CW550" s="112"/>
      <c r="DB550" s="112"/>
    </row>
    <row r="551" spans="1:106" x14ac:dyDescent="0.25">
      <c r="A551">
        <v>550</v>
      </c>
      <c r="B551">
        <v>37</v>
      </c>
      <c r="C551" s="25" t="s">
        <v>14</v>
      </c>
      <c r="D551" s="12">
        <v>5.7</v>
      </c>
      <c r="E551" s="14">
        <v>4.9000000000000004</v>
      </c>
      <c r="F551" s="7">
        <f t="shared" si="164"/>
        <v>1.1632653061224489</v>
      </c>
      <c r="G551" s="7">
        <f t="shared" si="147"/>
        <v>0.79999999999999982</v>
      </c>
      <c r="H551" s="16">
        <f t="shared" si="148"/>
        <v>10.600000000000001</v>
      </c>
      <c r="I551" s="11">
        <f t="shared" si="149"/>
        <v>1.3097415406194352E-2</v>
      </c>
      <c r="J551" s="33">
        <f t="shared" si="150"/>
        <v>1.1259181664974091E-2</v>
      </c>
      <c r="K551" s="33">
        <f t="shared" si="151"/>
        <v>88.816401560592553</v>
      </c>
      <c r="L551" s="33">
        <f t="shared" si="152"/>
        <v>1.8382337412202604E-3</v>
      </c>
      <c r="M551" s="33">
        <f t="shared" si="153"/>
        <v>2.4356597071168443E-2</v>
      </c>
      <c r="N551" s="8">
        <v>0</v>
      </c>
      <c r="O551" s="9">
        <v>1</v>
      </c>
      <c r="P551" s="8">
        <v>0</v>
      </c>
      <c r="Q551" s="9">
        <v>0</v>
      </c>
      <c r="R551" s="9">
        <v>1</v>
      </c>
      <c r="S551" s="9">
        <v>0</v>
      </c>
      <c r="T551" s="9">
        <v>0</v>
      </c>
      <c r="U551" s="8">
        <v>7892</v>
      </c>
      <c r="V551" s="9">
        <v>4</v>
      </c>
      <c r="W551" s="9">
        <f t="shared" si="154"/>
        <v>7887</v>
      </c>
      <c r="X551" s="9">
        <f t="shared" si="155"/>
        <v>15</v>
      </c>
      <c r="Y551" s="7">
        <v>8.6</v>
      </c>
      <c r="Z551" s="7">
        <v>22.2</v>
      </c>
      <c r="AA551" s="9">
        <v>1</v>
      </c>
      <c r="AB551" s="9">
        <v>0</v>
      </c>
      <c r="AC551" s="9">
        <v>1</v>
      </c>
      <c r="AD551" s="9">
        <v>0</v>
      </c>
      <c r="AE551" s="9">
        <v>0</v>
      </c>
      <c r="AF551" s="9">
        <v>0</v>
      </c>
      <c r="AG551" s="8">
        <v>0</v>
      </c>
      <c r="AH551" s="9">
        <v>1</v>
      </c>
      <c r="AI551" s="30">
        <v>0</v>
      </c>
      <c r="AJ551" s="9">
        <v>0</v>
      </c>
      <c r="AK551" s="30">
        <v>1</v>
      </c>
      <c r="AL551" s="21">
        <v>2004</v>
      </c>
      <c r="AM551" s="23">
        <f t="shared" si="156"/>
        <v>7.6029004622047553</v>
      </c>
      <c r="AN551" s="33">
        <v>3.4299999999999997E-2</v>
      </c>
      <c r="AO551" s="33">
        <v>0.37</v>
      </c>
      <c r="AP551" s="33">
        <v>0.47699999999999998</v>
      </c>
      <c r="AQ551" s="43">
        <f t="shared" si="16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6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17</v>
      </c>
      <c r="DB551" s="34"/>
    </row>
    <row r="552" spans="1:106" x14ac:dyDescent="0.25">
      <c r="A552">
        <v>551</v>
      </c>
      <c r="B552">
        <v>37</v>
      </c>
      <c r="C552" s="25" t="s">
        <v>14</v>
      </c>
      <c r="D552" s="12">
        <v>9.6</v>
      </c>
      <c r="E552" s="14">
        <v>0.4</v>
      </c>
      <c r="F552" s="7">
        <f t="shared" si="164"/>
        <v>23.999999999999996</v>
      </c>
      <c r="G552" s="7">
        <f t="shared" si="147"/>
        <v>9.1999999999999993</v>
      </c>
      <c r="H552" s="16">
        <f t="shared" si="148"/>
        <v>10</v>
      </c>
      <c r="I552" s="11">
        <f t="shared" si="149"/>
        <v>0.26088497711976005</v>
      </c>
      <c r="J552" s="33">
        <f t="shared" si="150"/>
        <v>1.0870207379990005E-2</v>
      </c>
      <c r="K552" s="33">
        <f t="shared" si="151"/>
        <v>91.994565056855379</v>
      </c>
      <c r="L552" s="33">
        <f t="shared" si="152"/>
        <v>0.25001476973977005</v>
      </c>
      <c r="M552" s="33">
        <f t="shared" si="153"/>
        <v>0.27175518449975006</v>
      </c>
      <c r="N552" s="8">
        <v>0</v>
      </c>
      <c r="O552" s="9">
        <v>1</v>
      </c>
      <c r="P552" s="8">
        <v>0</v>
      </c>
      <c r="Q552" s="9">
        <v>0</v>
      </c>
      <c r="R552" s="9">
        <v>1</v>
      </c>
      <c r="S552" s="9">
        <v>0</v>
      </c>
      <c r="T552" s="9">
        <v>0</v>
      </c>
      <c r="U552" s="8">
        <v>7892</v>
      </c>
      <c r="V552" s="9">
        <v>4</v>
      </c>
      <c r="W552" s="9">
        <f t="shared" si="154"/>
        <v>7887</v>
      </c>
      <c r="X552" s="9">
        <f t="shared" si="155"/>
        <v>15</v>
      </c>
      <c r="Y552" s="7">
        <v>8.6</v>
      </c>
      <c r="Z552" s="7">
        <v>22.2</v>
      </c>
      <c r="AA552" s="9">
        <v>1</v>
      </c>
      <c r="AB552" s="9">
        <v>0</v>
      </c>
      <c r="AC552" s="9">
        <v>1</v>
      </c>
      <c r="AD552" s="9">
        <v>0</v>
      </c>
      <c r="AE552" s="9">
        <v>0</v>
      </c>
      <c r="AF552" s="9">
        <v>0</v>
      </c>
      <c r="AG552" s="8">
        <v>0</v>
      </c>
      <c r="AH552" s="9">
        <v>1</v>
      </c>
      <c r="AI552" s="30">
        <v>0</v>
      </c>
      <c r="AJ552" s="9">
        <v>0</v>
      </c>
      <c r="AK552" s="30">
        <v>1</v>
      </c>
      <c r="AL552" s="21">
        <v>2004</v>
      </c>
      <c r="AM552" s="23">
        <f t="shared" si="156"/>
        <v>7.6029004622047553</v>
      </c>
      <c r="AN552" s="33">
        <v>3.4299999999999997E-2</v>
      </c>
      <c r="AO552" s="33">
        <v>0.37</v>
      </c>
      <c r="AP552" s="33">
        <v>0.47699999999999998</v>
      </c>
      <c r="AQ552" s="43">
        <f t="shared" si="16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6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17</v>
      </c>
      <c r="DB552" s="34"/>
    </row>
    <row r="553" spans="1:106" x14ac:dyDescent="0.25">
      <c r="A553">
        <v>552</v>
      </c>
      <c r="B553">
        <v>37</v>
      </c>
      <c r="C553" s="25" t="s">
        <v>14</v>
      </c>
      <c r="D553" s="12">
        <v>12.1</v>
      </c>
      <c r="E553" s="14">
        <v>0.7</v>
      </c>
      <c r="F553" s="7">
        <f t="shared" si="164"/>
        <v>17.285714285714285</v>
      </c>
      <c r="G553" s="7">
        <f t="shared" si="147"/>
        <v>11.4</v>
      </c>
      <c r="H553" s="16">
        <f t="shared" si="148"/>
        <v>12.799999999999999</v>
      </c>
      <c r="I553" s="11">
        <f t="shared" si="149"/>
        <v>0.19105432514279824</v>
      </c>
      <c r="J553" s="33">
        <f t="shared" si="150"/>
        <v>1.1052729553715602E-2</v>
      </c>
      <c r="K553" s="33">
        <f t="shared" si="151"/>
        <v>90.475388467623318</v>
      </c>
      <c r="L553" s="33">
        <f t="shared" si="152"/>
        <v>0.18000159558908263</v>
      </c>
      <c r="M553" s="33">
        <f t="shared" si="153"/>
        <v>0.20210705469651385</v>
      </c>
      <c r="N553" s="8">
        <v>0</v>
      </c>
      <c r="O553" s="9">
        <v>1</v>
      </c>
      <c r="P553" s="8">
        <v>0</v>
      </c>
      <c r="Q553" s="9">
        <v>0</v>
      </c>
      <c r="R553" s="9">
        <v>1</v>
      </c>
      <c r="S553" s="9">
        <v>0</v>
      </c>
      <c r="T553" s="9">
        <v>0</v>
      </c>
      <c r="U553" s="8">
        <v>7892</v>
      </c>
      <c r="V553" s="9">
        <v>4</v>
      </c>
      <c r="W553" s="9">
        <f t="shared" si="154"/>
        <v>7887</v>
      </c>
      <c r="X553" s="9">
        <f t="shared" si="155"/>
        <v>15</v>
      </c>
      <c r="Y553" s="7">
        <v>8.6</v>
      </c>
      <c r="Z553" s="7">
        <v>22.2</v>
      </c>
      <c r="AA553" s="9">
        <v>1</v>
      </c>
      <c r="AB553" s="9">
        <v>0</v>
      </c>
      <c r="AC553" s="9">
        <v>1</v>
      </c>
      <c r="AD553" s="9">
        <v>0</v>
      </c>
      <c r="AE553" s="9">
        <v>0</v>
      </c>
      <c r="AF553" s="9">
        <v>0</v>
      </c>
      <c r="AG553" s="8">
        <v>0</v>
      </c>
      <c r="AH553" s="9">
        <v>1</v>
      </c>
      <c r="AI553" s="30">
        <v>0</v>
      </c>
      <c r="AJ553" s="9">
        <v>0</v>
      </c>
      <c r="AK553" s="30">
        <v>1</v>
      </c>
      <c r="AL553" s="21">
        <v>2004</v>
      </c>
      <c r="AM553" s="23">
        <f t="shared" si="156"/>
        <v>7.6029004622047553</v>
      </c>
      <c r="AN553" s="33">
        <v>3.4299999999999997E-2</v>
      </c>
      <c r="AO553" s="33">
        <v>0.37</v>
      </c>
      <c r="AP553" s="33">
        <v>0.47699999999999998</v>
      </c>
      <c r="AQ553" s="43">
        <f t="shared" si="16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6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17</v>
      </c>
      <c r="DB553" s="34"/>
    </row>
    <row r="554" spans="1:106" x14ac:dyDescent="0.25">
      <c r="A554">
        <v>553</v>
      </c>
      <c r="B554">
        <v>37</v>
      </c>
      <c r="C554" s="25" t="s">
        <v>14</v>
      </c>
      <c r="D554" s="12">
        <v>11.5</v>
      </c>
      <c r="E554" s="14">
        <v>0.4</v>
      </c>
      <c r="F554" s="7">
        <f t="shared" si="164"/>
        <v>28.75</v>
      </c>
      <c r="G554" s="7">
        <f t="shared" si="147"/>
        <v>11.1</v>
      </c>
      <c r="H554" s="16">
        <f t="shared" si="148"/>
        <v>11.9</v>
      </c>
      <c r="I554" s="11">
        <f t="shared" si="149"/>
        <v>0.30799238135248219</v>
      </c>
      <c r="J554" s="33">
        <f t="shared" si="150"/>
        <v>1.0712778481825468E-2</v>
      </c>
      <c r="K554" s="33">
        <f t="shared" si="151"/>
        <v>93.346464850041315</v>
      </c>
      <c r="L554" s="33">
        <f t="shared" si="152"/>
        <v>0.29727960287065675</v>
      </c>
      <c r="M554" s="33">
        <f t="shared" si="153"/>
        <v>0.31870515983430764</v>
      </c>
      <c r="N554" s="8">
        <v>0</v>
      </c>
      <c r="O554" s="9">
        <v>1</v>
      </c>
      <c r="P554" s="8">
        <v>0</v>
      </c>
      <c r="Q554" s="9">
        <v>0</v>
      </c>
      <c r="R554" s="9">
        <v>1</v>
      </c>
      <c r="S554" s="9">
        <v>0</v>
      </c>
      <c r="T554" s="9">
        <v>0</v>
      </c>
      <c r="U554" s="8">
        <v>7892</v>
      </c>
      <c r="V554" s="9">
        <v>4</v>
      </c>
      <c r="W554" s="9">
        <f t="shared" si="154"/>
        <v>7887</v>
      </c>
      <c r="X554" s="9">
        <f t="shared" si="155"/>
        <v>15</v>
      </c>
      <c r="Y554" s="7">
        <v>8.6</v>
      </c>
      <c r="Z554" s="7">
        <v>22.2</v>
      </c>
      <c r="AA554" s="9">
        <v>1</v>
      </c>
      <c r="AB554" s="9">
        <v>0</v>
      </c>
      <c r="AC554" s="9">
        <v>1</v>
      </c>
      <c r="AD554" s="9">
        <v>0</v>
      </c>
      <c r="AE554" s="9">
        <v>0</v>
      </c>
      <c r="AF554" s="9">
        <v>0</v>
      </c>
      <c r="AG554" s="8">
        <v>0</v>
      </c>
      <c r="AH554" s="9">
        <v>1</v>
      </c>
      <c r="AI554" s="30">
        <v>0</v>
      </c>
      <c r="AJ554" s="9">
        <v>0</v>
      </c>
      <c r="AK554" s="30">
        <v>1</v>
      </c>
      <c r="AL554" s="21">
        <v>2004</v>
      </c>
      <c r="AM554" s="23">
        <f t="shared" si="156"/>
        <v>7.6029004622047553</v>
      </c>
      <c r="AN554" s="33">
        <v>3.4299999999999997E-2</v>
      </c>
      <c r="AO554" s="33">
        <v>0.37</v>
      </c>
      <c r="AP554" s="33">
        <v>0.47699999999999998</v>
      </c>
      <c r="AQ554" s="43">
        <f t="shared" si="16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6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17</v>
      </c>
      <c r="DB554" s="34"/>
    </row>
    <row r="555" spans="1:106" x14ac:dyDescent="0.25">
      <c r="A555">
        <v>554</v>
      </c>
      <c r="B555">
        <v>37</v>
      </c>
      <c r="C555" s="25" t="s">
        <v>14</v>
      </c>
      <c r="D555" s="12">
        <v>12.1</v>
      </c>
      <c r="E555" s="14">
        <v>0.3</v>
      </c>
      <c r="F555" s="7">
        <f t="shared" si="164"/>
        <v>40.333333333333336</v>
      </c>
      <c r="G555" s="7">
        <f t="shared" si="147"/>
        <v>11.799999999999999</v>
      </c>
      <c r="H555" s="16">
        <f t="shared" si="148"/>
        <v>12.4</v>
      </c>
      <c r="I555" s="11">
        <f t="shared" si="149"/>
        <v>0.4135115210077786</v>
      </c>
      <c r="J555" s="33">
        <f t="shared" si="150"/>
        <v>1.0252351760523436E-2</v>
      </c>
      <c r="K555" s="33">
        <f t="shared" si="151"/>
        <v>97.53859634922874</v>
      </c>
      <c r="L555" s="33">
        <f t="shared" si="152"/>
        <v>0.40325916924725519</v>
      </c>
      <c r="M555" s="33">
        <f t="shared" si="153"/>
        <v>0.42376387276830202</v>
      </c>
      <c r="N555" s="8">
        <v>0</v>
      </c>
      <c r="O555" s="9">
        <v>1</v>
      </c>
      <c r="P555" s="8">
        <v>0</v>
      </c>
      <c r="Q555" s="9">
        <v>0</v>
      </c>
      <c r="R555" s="9">
        <v>1</v>
      </c>
      <c r="S555" s="9">
        <v>0</v>
      </c>
      <c r="T555" s="9">
        <v>0</v>
      </c>
      <c r="U555" s="8">
        <v>7892</v>
      </c>
      <c r="V555" s="9">
        <v>4</v>
      </c>
      <c r="W555" s="9">
        <f t="shared" si="154"/>
        <v>7887</v>
      </c>
      <c r="X555" s="9">
        <f t="shared" si="155"/>
        <v>15</v>
      </c>
      <c r="Y555" s="7">
        <v>8.6</v>
      </c>
      <c r="Z555" s="7">
        <v>22.2</v>
      </c>
      <c r="AA555" s="9">
        <v>1</v>
      </c>
      <c r="AB555" s="9">
        <v>0</v>
      </c>
      <c r="AC555" s="9">
        <v>1</v>
      </c>
      <c r="AD555" s="9">
        <v>0</v>
      </c>
      <c r="AE555" s="9">
        <v>0</v>
      </c>
      <c r="AF555" s="9">
        <v>0</v>
      </c>
      <c r="AG555" s="8">
        <v>0</v>
      </c>
      <c r="AH555" s="9">
        <v>1</v>
      </c>
      <c r="AI555" s="30">
        <v>0</v>
      </c>
      <c r="AJ555" s="9">
        <v>0</v>
      </c>
      <c r="AK555" s="30">
        <v>1</v>
      </c>
      <c r="AL555" s="21">
        <v>2004</v>
      </c>
      <c r="AM555" s="23">
        <f t="shared" si="156"/>
        <v>7.6029004622047553</v>
      </c>
      <c r="AN555" s="33">
        <v>3.4299999999999997E-2</v>
      </c>
      <c r="AO555" s="33">
        <v>0.37</v>
      </c>
      <c r="AP555" s="33">
        <v>0.47699999999999998</v>
      </c>
      <c r="AQ555" s="43">
        <f t="shared" si="16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6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17</v>
      </c>
      <c r="DB555" s="34"/>
    </row>
    <row r="556" spans="1:106" x14ac:dyDescent="0.25">
      <c r="A556">
        <v>555</v>
      </c>
      <c r="B556">
        <v>37</v>
      </c>
      <c r="C556" s="25" t="s">
        <v>14</v>
      </c>
      <c r="D556" s="12">
        <v>11.4</v>
      </c>
      <c r="E556" s="14">
        <v>0.3</v>
      </c>
      <c r="F556" s="7">
        <f t="shared" si="164"/>
        <v>38</v>
      </c>
      <c r="G556" s="7">
        <f t="shared" si="147"/>
        <v>11.1</v>
      </c>
      <c r="H556" s="16">
        <f t="shared" si="148"/>
        <v>11.700000000000001</v>
      </c>
      <c r="I556" s="11">
        <f t="shared" si="149"/>
        <v>0.39338654521701061</v>
      </c>
      <c r="J556" s="33">
        <f t="shared" si="150"/>
        <v>1.0352277505710807E-2</v>
      </c>
      <c r="K556" s="33">
        <f t="shared" si="151"/>
        <v>96.597101405787527</v>
      </c>
      <c r="L556" s="33">
        <f t="shared" si="152"/>
        <v>0.38303426771129978</v>
      </c>
      <c r="M556" s="33">
        <f t="shared" si="153"/>
        <v>0.40373882272272144</v>
      </c>
      <c r="N556" s="8">
        <v>0</v>
      </c>
      <c r="O556" s="9">
        <v>1</v>
      </c>
      <c r="P556" s="8">
        <v>0</v>
      </c>
      <c r="Q556" s="9">
        <v>0</v>
      </c>
      <c r="R556" s="9">
        <v>1</v>
      </c>
      <c r="S556" s="9">
        <v>0</v>
      </c>
      <c r="T556" s="9">
        <v>0</v>
      </c>
      <c r="U556" s="8">
        <v>7892</v>
      </c>
      <c r="V556" s="9">
        <v>4</v>
      </c>
      <c r="W556" s="9">
        <f t="shared" si="154"/>
        <v>7887</v>
      </c>
      <c r="X556" s="9">
        <f t="shared" si="155"/>
        <v>15</v>
      </c>
      <c r="Y556" s="7">
        <v>8.6</v>
      </c>
      <c r="Z556" s="7">
        <v>22.2</v>
      </c>
      <c r="AA556" s="9">
        <v>1</v>
      </c>
      <c r="AB556" s="9">
        <v>0</v>
      </c>
      <c r="AC556" s="9">
        <v>1</v>
      </c>
      <c r="AD556" s="9">
        <v>0</v>
      </c>
      <c r="AE556" s="9">
        <v>0</v>
      </c>
      <c r="AF556" s="9">
        <v>0</v>
      </c>
      <c r="AG556" s="8">
        <v>0</v>
      </c>
      <c r="AH556" s="9">
        <v>1</v>
      </c>
      <c r="AI556" s="30">
        <v>0</v>
      </c>
      <c r="AJ556" s="9">
        <v>0</v>
      </c>
      <c r="AK556" s="30">
        <v>1</v>
      </c>
      <c r="AL556" s="21">
        <v>2004</v>
      </c>
      <c r="AM556" s="23">
        <f t="shared" si="156"/>
        <v>7.6029004622047553</v>
      </c>
      <c r="AN556" s="33">
        <v>3.4299999999999997E-2</v>
      </c>
      <c r="AO556" s="33">
        <v>0.37</v>
      </c>
      <c r="AP556" s="33">
        <v>0.47699999999999998</v>
      </c>
      <c r="AQ556" s="43">
        <f t="shared" si="16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6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17</v>
      </c>
      <c r="DB556" s="34"/>
    </row>
    <row r="557" spans="1:106" x14ac:dyDescent="0.25">
      <c r="A557">
        <v>556</v>
      </c>
      <c r="B557">
        <v>37</v>
      </c>
      <c r="C557" s="25" t="s">
        <v>14</v>
      </c>
      <c r="D557" s="12">
        <v>9.6</v>
      </c>
      <c r="E557" s="14">
        <v>0.5</v>
      </c>
      <c r="F557" s="7">
        <f t="shared" si="164"/>
        <v>19.2</v>
      </c>
      <c r="G557" s="7">
        <f t="shared" si="147"/>
        <v>9.1</v>
      </c>
      <c r="H557" s="16">
        <f t="shared" si="148"/>
        <v>10.1</v>
      </c>
      <c r="I557" s="11">
        <f t="shared" si="149"/>
        <v>0.21131282467937684</v>
      </c>
      <c r="J557" s="33">
        <f t="shared" si="150"/>
        <v>1.1005876285384211E-2</v>
      </c>
      <c r="K557" s="33">
        <f t="shared" si="151"/>
        <v>90.860552496669314</v>
      </c>
      <c r="L557" s="33">
        <f t="shared" si="152"/>
        <v>0.20030694839399263</v>
      </c>
      <c r="M557" s="33">
        <f t="shared" si="153"/>
        <v>0.22231870096476106</v>
      </c>
      <c r="N557" s="8">
        <v>0</v>
      </c>
      <c r="O557" s="9">
        <v>1</v>
      </c>
      <c r="P557" s="8">
        <v>0</v>
      </c>
      <c r="Q557" s="9">
        <v>0</v>
      </c>
      <c r="R557" s="9">
        <v>1</v>
      </c>
      <c r="S557" s="9">
        <v>0</v>
      </c>
      <c r="T557" s="9">
        <v>0</v>
      </c>
      <c r="U557" s="8">
        <v>7892</v>
      </c>
      <c r="V557" s="9">
        <v>4</v>
      </c>
      <c r="W557" s="9">
        <f t="shared" si="154"/>
        <v>7887</v>
      </c>
      <c r="X557" s="9">
        <f t="shared" si="155"/>
        <v>15</v>
      </c>
      <c r="Y557" s="7">
        <v>8.6</v>
      </c>
      <c r="Z557" s="7">
        <v>22.2</v>
      </c>
      <c r="AA557" s="9">
        <v>1</v>
      </c>
      <c r="AB557" s="9">
        <v>0</v>
      </c>
      <c r="AC557" s="9">
        <v>1</v>
      </c>
      <c r="AD557" s="9">
        <v>0</v>
      </c>
      <c r="AE557" s="9">
        <v>0</v>
      </c>
      <c r="AF557" s="9">
        <v>0</v>
      </c>
      <c r="AG557" s="8">
        <v>0</v>
      </c>
      <c r="AH557" s="9">
        <v>1</v>
      </c>
      <c r="AI557" s="30">
        <v>0</v>
      </c>
      <c r="AJ557" s="9">
        <v>0</v>
      </c>
      <c r="AK557" s="30">
        <v>1</v>
      </c>
      <c r="AL557" s="21">
        <v>2004</v>
      </c>
      <c r="AM557" s="23">
        <f t="shared" si="156"/>
        <v>7.6029004622047553</v>
      </c>
      <c r="AN557" s="33">
        <v>3.4299999999999997E-2</v>
      </c>
      <c r="AO557" s="33">
        <v>0.37</v>
      </c>
      <c r="AP557" s="33">
        <v>0.47699999999999998</v>
      </c>
      <c r="AQ557" s="43">
        <f t="shared" si="16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6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17</v>
      </c>
      <c r="DB557" s="34"/>
    </row>
    <row r="558" spans="1:106" x14ac:dyDescent="0.25">
      <c r="A558">
        <v>557</v>
      </c>
      <c r="B558">
        <v>37</v>
      </c>
      <c r="C558" s="25" t="s">
        <v>14</v>
      </c>
      <c r="D558" s="12">
        <v>12.5</v>
      </c>
      <c r="E558" s="14">
        <v>0.4</v>
      </c>
      <c r="F558" s="7">
        <f t="shared" si="164"/>
        <v>31.25</v>
      </c>
      <c r="G558" s="7">
        <f t="shared" si="147"/>
        <v>12.1</v>
      </c>
      <c r="H558" s="16">
        <f t="shared" si="148"/>
        <v>12.9</v>
      </c>
      <c r="I558" s="11">
        <f t="shared" si="149"/>
        <v>0.33192951088238148</v>
      </c>
      <c r="J558" s="33">
        <f t="shared" si="150"/>
        <v>1.0621744348236208E-2</v>
      </c>
      <c r="K558" s="33">
        <f t="shared" si="151"/>
        <v>94.146494889613379</v>
      </c>
      <c r="L558" s="33">
        <f t="shared" si="152"/>
        <v>0.32130776653414528</v>
      </c>
      <c r="M558" s="33">
        <f t="shared" si="153"/>
        <v>0.34255125523061769</v>
      </c>
      <c r="N558" s="8">
        <v>0</v>
      </c>
      <c r="O558" s="9">
        <v>1</v>
      </c>
      <c r="P558" s="8">
        <v>0</v>
      </c>
      <c r="Q558" s="9">
        <v>0</v>
      </c>
      <c r="R558" s="9">
        <v>1</v>
      </c>
      <c r="S558" s="9">
        <v>0</v>
      </c>
      <c r="T558" s="9">
        <v>0</v>
      </c>
      <c r="U558" s="8">
        <v>7892</v>
      </c>
      <c r="V558" s="9">
        <v>4</v>
      </c>
      <c r="W558" s="9">
        <f t="shared" si="154"/>
        <v>7887</v>
      </c>
      <c r="X558" s="9">
        <f t="shared" si="155"/>
        <v>15</v>
      </c>
      <c r="Y558" s="7">
        <v>8.6</v>
      </c>
      <c r="Z558" s="7">
        <v>22.2</v>
      </c>
      <c r="AA558" s="9">
        <v>1</v>
      </c>
      <c r="AB558" s="9">
        <v>0</v>
      </c>
      <c r="AC558" s="9">
        <v>1</v>
      </c>
      <c r="AD558" s="9">
        <v>0</v>
      </c>
      <c r="AE558" s="9">
        <v>0</v>
      </c>
      <c r="AF558" s="9">
        <v>0</v>
      </c>
      <c r="AG558" s="8">
        <v>0</v>
      </c>
      <c r="AH558" s="9">
        <v>1</v>
      </c>
      <c r="AI558" s="30">
        <v>0</v>
      </c>
      <c r="AJ558" s="9">
        <v>0</v>
      </c>
      <c r="AK558" s="30">
        <v>1</v>
      </c>
      <c r="AL558" s="21">
        <v>2007</v>
      </c>
      <c r="AM558" s="23">
        <f t="shared" si="156"/>
        <v>7.604396348796338</v>
      </c>
      <c r="AN558" s="33">
        <v>3.4299999999999997E-2</v>
      </c>
      <c r="AO558" s="33">
        <v>0.37</v>
      </c>
      <c r="AP558" s="33">
        <v>0.47699999999999998</v>
      </c>
      <c r="AQ558" s="43">
        <f t="shared" si="16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6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17</v>
      </c>
      <c r="DB558" s="34"/>
    </row>
    <row r="559" spans="1:106" x14ac:dyDescent="0.25">
      <c r="A559">
        <v>558</v>
      </c>
      <c r="B559">
        <v>37</v>
      </c>
      <c r="C559" s="25" t="s">
        <v>14</v>
      </c>
      <c r="D559" s="12">
        <v>6.1</v>
      </c>
      <c r="E559" s="14">
        <v>1</v>
      </c>
      <c r="F559" s="7">
        <f t="shared" si="164"/>
        <v>6.1</v>
      </c>
      <c r="G559" s="7">
        <f t="shared" si="147"/>
        <v>5.0999999999999996</v>
      </c>
      <c r="H559" s="16">
        <f t="shared" si="148"/>
        <v>7.1</v>
      </c>
      <c r="I559" s="11">
        <f t="shared" si="149"/>
        <v>0.1290529211438062</v>
      </c>
      <c r="J559" s="33">
        <f t="shared" si="150"/>
        <v>2.1156216580951834E-2</v>
      </c>
      <c r="K559" s="33">
        <f t="shared" si="151"/>
        <v>47.267430647328403</v>
      </c>
      <c r="L559" s="33">
        <f t="shared" si="152"/>
        <v>0.10789670456285437</v>
      </c>
      <c r="M559" s="33">
        <f t="shared" si="153"/>
        <v>0.15020913772475802</v>
      </c>
      <c r="N559" s="8">
        <v>0</v>
      </c>
      <c r="O559" s="9">
        <v>1</v>
      </c>
      <c r="P559" s="8">
        <v>0</v>
      </c>
      <c r="Q559" s="9">
        <v>0</v>
      </c>
      <c r="R559" s="9">
        <v>1</v>
      </c>
      <c r="S559" s="9">
        <v>0</v>
      </c>
      <c r="T559" s="9">
        <v>0</v>
      </c>
      <c r="U559" s="8">
        <v>2202</v>
      </c>
      <c r="V559" s="9">
        <v>4</v>
      </c>
      <c r="W559" s="9">
        <f t="shared" si="154"/>
        <v>2197</v>
      </c>
      <c r="X559" s="9">
        <f t="shared" si="155"/>
        <v>15</v>
      </c>
      <c r="Y559" s="7">
        <v>8.6</v>
      </c>
      <c r="Z559" s="7">
        <v>22.2</v>
      </c>
      <c r="AA559" s="9">
        <v>1</v>
      </c>
      <c r="AB559" s="9">
        <v>0</v>
      </c>
      <c r="AC559" s="9">
        <v>1</v>
      </c>
      <c r="AD559" s="9">
        <v>0</v>
      </c>
      <c r="AE559" s="9">
        <v>0</v>
      </c>
      <c r="AF559" s="9">
        <v>0</v>
      </c>
      <c r="AG559" s="8">
        <v>0</v>
      </c>
      <c r="AH559" s="9">
        <v>1</v>
      </c>
      <c r="AI559" s="30">
        <v>0</v>
      </c>
      <c r="AJ559" s="9">
        <v>0</v>
      </c>
      <c r="AK559" s="30">
        <v>1</v>
      </c>
      <c r="AL559" s="21">
        <v>2000</v>
      </c>
      <c r="AM559" s="23">
        <f t="shared" si="156"/>
        <v>7.6009024595420822</v>
      </c>
      <c r="AN559" s="33">
        <v>3.4299999999999997E-2</v>
      </c>
      <c r="AO559" s="33">
        <v>0.37</v>
      </c>
      <c r="AP559" s="33">
        <v>0.47699999999999998</v>
      </c>
      <c r="AQ559" s="43">
        <f t="shared" si="16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6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17</v>
      </c>
      <c r="DB559" s="34"/>
    </row>
    <row r="560" spans="1:106" x14ac:dyDescent="0.25">
      <c r="A560">
        <v>559</v>
      </c>
      <c r="B560">
        <v>37</v>
      </c>
      <c r="C560" s="25" t="s">
        <v>14</v>
      </c>
      <c r="D560" s="12">
        <v>13</v>
      </c>
      <c r="E560" s="14">
        <v>0.5</v>
      </c>
      <c r="F560" s="7">
        <f t="shared" si="164"/>
        <v>26</v>
      </c>
      <c r="G560" s="7">
        <f t="shared" si="147"/>
        <v>12.5</v>
      </c>
      <c r="H560" s="16">
        <f t="shared" si="148"/>
        <v>13.5</v>
      </c>
      <c r="I560" s="11">
        <f t="shared" si="149"/>
        <v>0.40839935366624441</v>
      </c>
      <c r="J560" s="33">
        <f t="shared" si="150"/>
        <v>1.5707667448701706E-2</v>
      </c>
      <c r="K560" s="33">
        <f t="shared" si="151"/>
        <v>63.663176169588027</v>
      </c>
      <c r="L560" s="33">
        <f t="shared" si="152"/>
        <v>0.39269168621754269</v>
      </c>
      <c r="M560" s="33">
        <f t="shared" si="153"/>
        <v>0.42410702111494614</v>
      </c>
      <c r="N560" s="8">
        <v>0</v>
      </c>
      <c r="O560" s="9">
        <v>1</v>
      </c>
      <c r="P560" s="8">
        <v>0</v>
      </c>
      <c r="Q560" s="9">
        <v>0</v>
      </c>
      <c r="R560" s="9">
        <v>1</v>
      </c>
      <c r="S560" s="9">
        <v>0</v>
      </c>
      <c r="T560" s="9">
        <v>0</v>
      </c>
      <c r="U560" s="8">
        <v>3382</v>
      </c>
      <c r="V560" s="9">
        <v>4</v>
      </c>
      <c r="W560" s="9">
        <f t="shared" si="154"/>
        <v>3377</v>
      </c>
      <c r="X560" s="9">
        <f t="shared" si="155"/>
        <v>15</v>
      </c>
      <c r="Y560" s="7">
        <v>8.6</v>
      </c>
      <c r="Z560" s="7">
        <v>22.2</v>
      </c>
      <c r="AA560" s="9">
        <v>1</v>
      </c>
      <c r="AB560" s="9">
        <v>0</v>
      </c>
      <c r="AC560" s="9">
        <v>1</v>
      </c>
      <c r="AD560" s="9">
        <v>0</v>
      </c>
      <c r="AE560" s="9">
        <v>0</v>
      </c>
      <c r="AF560" s="9">
        <v>0</v>
      </c>
      <c r="AG560" s="8">
        <v>0</v>
      </c>
      <c r="AH560" s="9">
        <v>1</v>
      </c>
      <c r="AI560" s="30">
        <v>0</v>
      </c>
      <c r="AJ560" s="9">
        <v>0</v>
      </c>
      <c r="AK560" s="30">
        <v>1</v>
      </c>
      <c r="AL560" s="21">
        <v>2000</v>
      </c>
      <c r="AM560" s="23">
        <f t="shared" si="156"/>
        <v>7.6009024595420822</v>
      </c>
      <c r="AN560" s="33">
        <v>3.4299999999999997E-2</v>
      </c>
      <c r="AO560" s="33">
        <v>0.37</v>
      </c>
      <c r="AP560" s="33">
        <v>0.47699999999999998</v>
      </c>
      <c r="AQ560" s="43">
        <f t="shared" si="16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6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17</v>
      </c>
      <c r="DB560" s="34"/>
    </row>
    <row r="561" spans="1:106" x14ac:dyDescent="0.25">
      <c r="A561">
        <v>560</v>
      </c>
      <c r="B561">
        <v>37</v>
      </c>
      <c r="C561" s="25" t="s">
        <v>14</v>
      </c>
      <c r="D561" s="12">
        <v>9.3000000000000007</v>
      </c>
      <c r="E561" s="14">
        <v>1.2</v>
      </c>
      <c r="F561" s="7">
        <f t="shared" si="164"/>
        <v>7.7500000000000009</v>
      </c>
      <c r="G561" s="7">
        <f t="shared" si="147"/>
        <v>8.1000000000000014</v>
      </c>
      <c r="H561" s="16">
        <f t="shared" si="148"/>
        <v>10.5</v>
      </c>
      <c r="I561" s="11">
        <f t="shared" si="149"/>
        <v>0.3500869861115416</v>
      </c>
      <c r="J561" s="33">
        <f t="shared" si="150"/>
        <v>4.5172514336973099E-2</v>
      </c>
      <c r="K561" s="33">
        <f t="shared" si="151"/>
        <v>22.137355307262879</v>
      </c>
      <c r="L561" s="33">
        <f t="shared" si="152"/>
        <v>0.30491447177456849</v>
      </c>
      <c r="M561" s="33">
        <f t="shared" si="153"/>
        <v>0.39525950044851471</v>
      </c>
      <c r="N561" s="8">
        <v>0</v>
      </c>
      <c r="O561" s="9">
        <v>1</v>
      </c>
      <c r="P561" s="8">
        <v>0</v>
      </c>
      <c r="Q561" s="9">
        <v>0</v>
      </c>
      <c r="R561" s="9">
        <v>1</v>
      </c>
      <c r="S561" s="9">
        <v>0</v>
      </c>
      <c r="T561" s="9">
        <v>0</v>
      </c>
      <c r="U561" s="8">
        <v>435</v>
      </c>
      <c r="V561" s="9">
        <v>4</v>
      </c>
      <c r="W561" s="9">
        <f t="shared" si="154"/>
        <v>430</v>
      </c>
      <c r="X561" s="9">
        <f t="shared" si="155"/>
        <v>15</v>
      </c>
      <c r="Y561" s="7">
        <v>8.6</v>
      </c>
      <c r="Z561" s="7">
        <v>22.2</v>
      </c>
      <c r="AA561" s="9">
        <v>1</v>
      </c>
      <c r="AB561" s="9">
        <v>0</v>
      </c>
      <c r="AC561" s="9">
        <v>1</v>
      </c>
      <c r="AD561" s="9">
        <v>0</v>
      </c>
      <c r="AE561" s="9">
        <v>0</v>
      </c>
      <c r="AF561" s="9">
        <v>0</v>
      </c>
      <c r="AG561" s="8">
        <v>0</v>
      </c>
      <c r="AH561" s="9">
        <v>1</v>
      </c>
      <c r="AI561" s="30">
        <v>0</v>
      </c>
      <c r="AJ561" s="9">
        <v>0</v>
      </c>
      <c r="AK561" s="30">
        <v>1</v>
      </c>
      <c r="AL561" s="21">
        <v>2000</v>
      </c>
      <c r="AM561" s="23">
        <f t="shared" si="156"/>
        <v>7.6009024595420822</v>
      </c>
      <c r="AN561" s="33">
        <v>3.4299999999999997E-2</v>
      </c>
      <c r="AO561" s="33">
        <v>0.37</v>
      </c>
      <c r="AP561" s="33">
        <v>0.47699999999999998</v>
      </c>
      <c r="AQ561" s="43">
        <f t="shared" si="16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6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17</v>
      </c>
      <c r="DB561" s="34"/>
    </row>
    <row r="562" spans="1:106" x14ac:dyDescent="0.25">
      <c r="A562">
        <v>561</v>
      </c>
      <c r="B562">
        <v>37</v>
      </c>
      <c r="C562" s="25" t="s">
        <v>14</v>
      </c>
      <c r="D562" s="12">
        <v>8.4</v>
      </c>
      <c r="E562" s="14">
        <v>1.5</v>
      </c>
      <c r="F562" s="7">
        <f t="shared" si="164"/>
        <v>5.6000000000000005</v>
      </c>
      <c r="G562" s="7">
        <f t="shared" si="147"/>
        <v>6.9</v>
      </c>
      <c r="H562" s="16">
        <f t="shared" si="148"/>
        <v>9.9</v>
      </c>
      <c r="I562" s="11">
        <f t="shared" si="149"/>
        <v>0.26043413082715794</v>
      </c>
      <c r="J562" s="33">
        <f t="shared" si="150"/>
        <v>4.6506094790563918E-2</v>
      </c>
      <c r="K562" s="33">
        <f t="shared" si="151"/>
        <v>21.50255798736513</v>
      </c>
      <c r="L562" s="33">
        <f t="shared" si="152"/>
        <v>0.21392803603659402</v>
      </c>
      <c r="M562" s="33">
        <f t="shared" si="153"/>
        <v>0.30694022561772183</v>
      </c>
      <c r="N562" s="8">
        <v>0</v>
      </c>
      <c r="O562" s="9">
        <v>1</v>
      </c>
      <c r="P562" s="8">
        <v>0</v>
      </c>
      <c r="Q562" s="9">
        <v>0</v>
      </c>
      <c r="R562" s="9">
        <v>1</v>
      </c>
      <c r="S562" s="9">
        <v>0</v>
      </c>
      <c r="T562" s="9">
        <v>0</v>
      </c>
      <c r="U562" s="8">
        <v>436</v>
      </c>
      <c r="V562" s="9">
        <v>4</v>
      </c>
      <c r="W562" s="9">
        <f t="shared" si="154"/>
        <v>431</v>
      </c>
      <c r="X562" s="9">
        <f t="shared" si="155"/>
        <v>15</v>
      </c>
      <c r="Y562" s="7">
        <v>8.6</v>
      </c>
      <c r="Z562" s="7">
        <v>22.2</v>
      </c>
      <c r="AA562" s="9">
        <v>1</v>
      </c>
      <c r="AB562" s="9">
        <v>0</v>
      </c>
      <c r="AC562" s="9">
        <v>1</v>
      </c>
      <c r="AD562" s="9">
        <v>0</v>
      </c>
      <c r="AE562" s="9">
        <v>0</v>
      </c>
      <c r="AF562" s="9">
        <v>0</v>
      </c>
      <c r="AG562" s="8">
        <v>0</v>
      </c>
      <c r="AH562" s="9">
        <v>1</v>
      </c>
      <c r="AI562" s="30">
        <v>0</v>
      </c>
      <c r="AJ562" s="9">
        <v>0</v>
      </c>
      <c r="AK562" s="30">
        <v>1</v>
      </c>
      <c r="AL562" s="21">
        <v>2007</v>
      </c>
      <c r="AM562" s="23">
        <f t="shared" si="156"/>
        <v>7.604396348796338</v>
      </c>
      <c r="AN562" s="33">
        <v>3.4299999999999997E-2</v>
      </c>
      <c r="AO562" s="33">
        <v>0.37</v>
      </c>
      <c r="AP562" s="33">
        <v>0.47699999999999998</v>
      </c>
      <c r="AQ562" s="43">
        <f t="shared" si="16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6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17</v>
      </c>
      <c r="DB562" s="34"/>
    </row>
    <row r="563" spans="1:106" x14ac:dyDescent="0.25">
      <c r="A563">
        <v>562</v>
      </c>
      <c r="B563">
        <v>37</v>
      </c>
      <c r="C563" s="25" t="s">
        <v>14</v>
      </c>
      <c r="D563" s="12">
        <v>11.2</v>
      </c>
      <c r="E563" s="14">
        <v>0.8</v>
      </c>
      <c r="F563" s="7">
        <f t="shared" si="164"/>
        <v>13.999999999999998</v>
      </c>
      <c r="G563" s="7">
        <f t="shared" si="147"/>
        <v>10.399999999999999</v>
      </c>
      <c r="H563" s="16">
        <f t="shared" si="148"/>
        <v>12</v>
      </c>
      <c r="I563" s="11">
        <f t="shared" si="149"/>
        <v>0.49039861087284109</v>
      </c>
      <c r="J563" s="33">
        <f t="shared" si="150"/>
        <v>3.5028472205202943E-2</v>
      </c>
      <c r="K563" s="33">
        <f t="shared" si="151"/>
        <v>28.548204847240392</v>
      </c>
      <c r="L563" s="33">
        <f t="shared" si="152"/>
        <v>0.45537013866763815</v>
      </c>
      <c r="M563" s="33">
        <f t="shared" si="153"/>
        <v>0.52542708307804409</v>
      </c>
      <c r="N563" s="8">
        <v>0</v>
      </c>
      <c r="O563" s="9">
        <v>1</v>
      </c>
      <c r="P563" s="8">
        <v>0</v>
      </c>
      <c r="Q563" s="9">
        <v>0</v>
      </c>
      <c r="R563" s="9">
        <v>1</v>
      </c>
      <c r="S563" s="9">
        <v>0</v>
      </c>
      <c r="T563" s="9">
        <v>0</v>
      </c>
      <c r="U563" s="8">
        <v>624</v>
      </c>
      <c r="V563" s="9">
        <v>4</v>
      </c>
      <c r="W563" s="9">
        <f t="shared" si="154"/>
        <v>619</v>
      </c>
      <c r="X563" s="9">
        <f t="shared" si="155"/>
        <v>15</v>
      </c>
      <c r="Y563" s="7">
        <v>8.6</v>
      </c>
      <c r="Z563" s="7">
        <v>22.2</v>
      </c>
      <c r="AA563" s="9">
        <v>1</v>
      </c>
      <c r="AB563" s="9">
        <v>0</v>
      </c>
      <c r="AC563" s="9">
        <v>1</v>
      </c>
      <c r="AD563" s="9">
        <v>0</v>
      </c>
      <c r="AE563" s="9">
        <v>0</v>
      </c>
      <c r="AF563" s="9">
        <v>0</v>
      </c>
      <c r="AG563" s="8">
        <v>0</v>
      </c>
      <c r="AH563" s="9">
        <v>1</v>
      </c>
      <c r="AI563" s="30">
        <v>0</v>
      </c>
      <c r="AJ563" s="9">
        <v>0</v>
      </c>
      <c r="AK563" s="30">
        <v>1</v>
      </c>
      <c r="AL563" s="21">
        <v>2000</v>
      </c>
      <c r="AM563" s="23">
        <f t="shared" si="156"/>
        <v>7.6009024595420822</v>
      </c>
      <c r="AN563" s="33">
        <v>3.4299999999999997E-2</v>
      </c>
      <c r="AO563" s="33">
        <v>0.37</v>
      </c>
      <c r="AP563" s="33">
        <v>0.47699999999999998</v>
      </c>
      <c r="AQ563" s="43">
        <f t="shared" si="16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6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17</v>
      </c>
      <c r="DB563" s="34"/>
    </row>
    <row r="564" spans="1:106" s="148" customFormat="1" x14ac:dyDescent="0.25">
      <c r="A564" s="148">
        <v>563</v>
      </c>
      <c r="B564" s="148">
        <v>37</v>
      </c>
      <c r="C564" s="149" t="s">
        <v>14</v>
      </c>
      <c r="D564" s="150">
        <v>5.8</v>
      </c>
      <c r="E564" s="151">
        <v>1.7</v>
      </c>
      <c r="F564" s="152">
        <f t="shared" si="164"/>
        <v>3.4117647058823528</v>
      </c>
      <c r="G564" s="152">
        <f t="shared" si="147"/>
        <v>4.0999999999999996</v>
      </c>
      <c r="H564" s="153">
        <f t="shared" si="148"/>
        <v>7.5</v>
      </c>
      <c r="I564" s="154">
        <f t="shared" si="149"/>
        <v>0.13840629564487972</v>
      </c>
      <c r="J564" s="155">
        <f t="shared" si="150"/>
        <v>4.056736251660268E-2</v>
      </c>
      <c r="K564" s="155">
        <f t="shared" si="151"/>
        <v>24.650357774448313</v>
      </c>
      <c r="L564" s="155">
        <f t="shared" si="152"/>
        <v>9.7838933128277045E-2</v>
      </c>
      <c r="M564" s="155">
        <f t="shared" si="153"/>
        <v>0.17897365816148239</v>
      </c>
      <c r="N564" s="156">
        <v>0</v>
      </c>
      <c r="O564" s="157">
        <v>1</v>
      </c>
      <c r="P564" s="156">
        <v>0</v>
      </c>
      <c r="Q564" s="157">
        <v>0</v>
      </c>
      <c r="R564" s="157">
        <v>1</v>
      </c>
      <c r="S564" s="157">
        <v>0</v>
      </c>
      <c r="T564" s="157">
        <v>0</v>
      </c>
      <c r="U564" s="156">
        <v>601</v>
      </c>
      <c r="V564" s="157">
        <v>4</v>
      </c>
      <c r="W564" s="157">
        <f t="shared" si="154"/>
        <v>596</v>
      </c>
      <c r="X564" s="157">
        <f t="shared" si="155"/>
        <v>15</v>
      </c>
      <c r="Y564" s="152">
        <v>8.6</v>
      </c>
      <c r="Z564" s="152">
        <v>22.2</v>
      </c>
      <c r="AA564" s="157">
        <v>1</v>
      </c>
      <c r="AB564" s="157">
        <v>0</v>
      </c>
      <c r="AC564" s="157">
        <v>1</v>
      </c>
      <c r="AD564" s="157">
        <v>0</v>
      </c>
      <c r="AE564" s="157">
        <v>0</v>
      </c>
      <c r="AF564" s="157">
        <v>0</v>
      </c>
      <c r="AG564" s="156">
        <v>0</v>
      </c>
      <c r="AH564" s="157">
        <v>1</v>
      </c>
      <c r="AI564" s="158">
        <v>0</v>
      </c>
      <c r="AJ564" s="157">
        <v>0</v>
      </c>
      <c r="AK564" s="158">
        <v>1</v>
      </c>
      <c r="AL564" s="159">
        <v>2007</v>
      </c>
      <c r="AM564" s="160">
        <f t="shared" si="156"/>
        <v>7.604396348796338</v>
      </c>
      <c r="AN564" s="155">
        <v>3.4299999999999997E-2</v>
      </c>
      <c r="AO564" s="155">
        <v>0.37</v>
      </c>
      <c r="AP564" s="155">
        <v>0.47699999999999998</v>
      </c>
      <c r="AQ564" s="161">
        <f t="shared" si="16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6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17</v>
      </c>
      <c r="CW564" s="165"/>
      <c r="DB564" s="165"/>
    </row>
    <row r="565" spans="1:106" x14ac:dyDescent="0.25">
      <c r="A565">
        <v>564</v>
      </c>
      <c r="B565">
        <v>38</v>
      </c>
      <c r="C565" s="25" t="s">
        <v>334</v>
      </c>
      <c r="D565" s="12">
        <v>10.9</v>
      </c>
      <c r="E565" s="14">
        <v>0.2</v>
      </c>
      <c r="F565" s="7">
        <f t="shared" si="164"/>
        <v>54.5</v>
      </c>
      <c r="G565" s="7">
        <f t="shared" si="147"/>
        <v>10.700000000000001</v>
      </c>
      <c r="H565" s="16">
        <f t="shared" si="148"/>
        <v>11.1</v>
      </c>
      <c r="I565" s="11">
        <f t="shared" si="149"/>
        <v>0.47861830766356356</v>
      </c>
      <c r="J565" s="33">
        <f t="shared" si="150"/>
        <v>8.7819872965791499E-3</v>
      </c>
      <c r="K565" s="33">
        <f t="shared" si="151"/>
        <v>113.86944278426938</v>
      </c>
      <c r="L565" s="33">
        <f t="shared" si="152"/>
        <v>0.46983632036698442</v>
      </c>
      <c r="M565" s="33">
        <f t="shared" si="153"/>
        <v>0.4874002949601427</v>
      </c>
      <c r="N565" s="8">
        <v>0</v>
      </c>
      <c r="O565" s="9">
        <v>1</v>
      </c>
      <c r="P565" s="8">
        <v>0</v>
      </c>
      <c r="Q565" s="9">
        <v>0</v>
      </c>
      <c r="R565" s="9">
        <v>0</v>
      </c>
      <c r="S565" s="9">
        <v>1</v>
      </c>
      <c r="T565" s="9">
        <v>0</v>
      </c>
      <c r="U565" s="8">
        <v>10001</v>
      </c>
      <c r="V565" s="9">
        <v>4</v>
      </c>
      <c r="W565" s="9">
        <f t="shared" si="154"/>
        <v>9996</v>
      </c>
      <c r="X565" s="9">
        <f t="shared" si="155"/>
        <v>50</v>
      </c>
      <c r="Y565" s="7">
        <f t="shared" ref="Y565:Y614" si="169">(AN565*0+AO565*6+AP565*11+14*AQ565)</f>
        <v>9.4307999999999996</v>
      </c>
      <c r="Z565" s="7">
        <f t="shared" ref="Z565:Z614" si="170">BN565-Y565-6</f>
        <v>23.669200000000004</v>
      </c>
      <c r="AA565" s="9">
        <v>1</v>
      </c>
      <c r="AB565" s="9">
        <v>0</v>
      </c>
      <c r="AC565" s="9">
        <v>1</v>
      </c>
      <c r="AD565" s="9">
        <v>0</v>
      </c>
      <c r="AE565" s="9">
        <v>0</v>
      </c>
      <c r="AF565" s="9">
        <v>0</v>
      </c>
      <c r="AG565" s="8">
        <v>1</v>
      </c>
      <c r="AH565" s="9">
        <v>0</v>
      </c>
      <c r="AI565" s="30">
        <v>0</v>
      </c>
      <c r="AJ565" s="9">
        <v>0</v>
      </c>
      <c r="AK565" s="30">
        <v>1</v>
      </c>
      <c r="AL565" s="21">
        <v>2001</v>
      </c>
      <c r="AM565" s="23">
        <f t="shared" si="156"/>
        <v>7.6014023345837334</v>
      </c>
      <c r="AN565" s="33">
        <v>0.13719999999999999</v>
      </c>
      <c r="AO565" s="33">
        <f t="shared" ref="AO565:AO614" si="17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6</v>
      </c>
      <c r="DB565" s="34"/>
    </row>
    <row r="566" spans="1:106" x14ac:dyDescent="0.25">
      <c r="A566">
        <v>565</v>
      </c>
      <c r="B566">
        <v>38</v>
      </c>
      <c r="C566" s="25" t="s">
        <v>334</v>
      </c>
      <c r="D566" s="12">
        <v>10.9</v>
      </c>
      <c r="E566" s="14">
        <v>0.2</v>
      </c>
      <c r="F566" s="7">
        <f t="shared" si="164"/>
        <v>54.5</v>
      </c>
      <c r="G566" s="7">
        <f t="shared" si="147"/>
        <v>10.700000000000001</v>
      </c>
      <c r="H566" s="16">
        <f t="shared" si="148"/>
        <v>11.1</v>
      </c>
      <c r="I566" s="11">
        <f t="shared" si="149"/>
        <v>0.4871657385763617</v>
      </c>
      <c r="J566" s="33">
        <f t="shared" si="150"/>
        <v>8.9388208913093892E-3</v>
      </c>
      <c r="K566" s="33">
        <f t="shared" si="151"/>
        <v>111.87157815995981</v>
      </c>
      <c r="L566" s="33">
        <f t="shared" si="152"/>
        <v>0.47822691768505232</v>
      </c>
      <c r="M566" s="33">
        <f t="shared" si="153"/>
        <v>0.49610455946767107</v>
      </c>
      <c r="N566" s="8">
        <v>0</v>
      </c>
      <c r="O566" s="9">
        <v>1</v>
      </c>
      <c r="P566" s="8">
        <v>0</v>
      </c>
      <c r="Q566" s="9">
        <v>0</v>
      </c>
      <c r="R566" s="9">
        <v>0</v>
      </c>
      <c r="S566" s="9">
        <v>1</v>
      </c>
      <c r="T566" s="9">
        <v>0</v>
      </c>
      <c r="U566" s="8">
        <v>9550</v>
      </c>
      <c r="V566" s="9">
        <v>4</v>
      </c>
      <c r="W566" s="9">
        <f t="shared" si="154"/>
        <v>9545</v>
      </c>
      <c r="X566" s="9">
        <f t="shared" si="155"/>
        <v>50</v>
      </c>
      <c r="Y566" s="7">
        <f t="shared" si="169"/>
        <v>9.4307999999999996</v>
      </c>
      <c r="Z566" s="7">
        <f t="shared" si="170"/>
        <v>23.669200000000004</v>
      </c>
      <c r="AA566" s="9">
        <v>1</v>
      </c>
      <c r="AB566" s="9">
        <v>0</v>
      </c>
      <c r="AC566" s="9">
        <v>1</v>
      </c>
      <c r="AD566" s="9">
        <v>0</v>
      </c>
      <c r="AE566" s="9">
        <v>0</v>
      </c>
      <c r="AF566" s="9">
        <v>0</v>
      </c>
      <c r="AG566" s="8">
        <v>1</v>
      </c>
      <c r="AH566" s="9">
        <v>0</v>
      </c>
      <c r="AI566" s="30">
        <v>0</v>
      </c>
      <c r="AJ566" s="9">
        <v>0</v>
      </c>
      <c r="AK566" s="30">
        <v>1</v>
      </c>
      <c r="AL566" s="21">
        <v>2001</v>
      </c>
      <c r="AM566" s="23">
        <f t="shared" si="156"/>
        <v>7.6014023345837334</v>
      </c>
      <c r="AN566" s="33">
        <v>0.13719999999999999</v>
      </c>
      <c r="AO566" s="33">
        <f t="shared" si="17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6</v>
      </c>
      <c r="DB566" s="34"/>
    </row>
    <row r="567" spans="1:106" x14ac:dyDescent="0.25">
      <c r="A567">
        <v>566</v>
      </c>
      <c r="B567">
        <v>38</v>
      </c>
      <c r="C567" s="25" t="s">
        <v>334</v>
      </c>
      <c r="D567" s="12">
        <v>10.3</v>
      </c>
      <c r="E567" s="14">
        <v>0.2</v>
      </c>
      <c r="F567" s="7">
        <f t="shared" si="164"/>
        <v>51.5</v>
      </c>
      <c r="G567" s="7">
        <f t="shared" si="147"/>
        <v>10.100000000000001</v>
      </c>
      <c r="H567" s="16">
        <f t="shared" si="148"/>
        <v>10.5</v>
      </c>
      <c r="I567" s="11">
        <f t="shared" si="149"/>
        <v>0.457922526787234</v>
      </c>
      <c r="J567" s="33">
        <f t="shared" si="150"/>
        <v>8.8916995492666785E-3</v>
      </c>
      <c r="K567" s="33">
        <f t="shared" si="151"/>
        <v>112.46443882401229</v>
      </c>
      <c r="L567" s="33">
        <f t="shared" si="152"/>
        <v>0.44903082723796733</v>
      </c>
      <c r="M567" s="33">
        <f t="shared" si="153"/>
        <v>0.46681422633650066</v>
      </c>
      <c r="N567" s="8">
        <v>0</v>
      </c>
      <c r="O567" s="9">
        <v>1</v>
      </c>
      <c r="P567" s="8">
        <v>0</v>
      </c>
      <c r="Q567" s="9">
        <v>0</v>
      </c>
      <c r="R567" s="9">
        <v>0</v>
      </c>
      <c r="S567" s="9">
        <v>1</v>
      </c>
      <c r="T567" s="9">
        <v>0</v>
      </c>
      <c r="U567" s="8">
        <v>10001</v>
      </c>
      <c r="V567" s="9">
        <v>4</v>
      </c>
      <c r="W567" s="9">
        <f t="shared" si="154"/>
        <v>9996</v>
      </c>
      <c r="X567" s="9">
        <f t="shared" si="155"/>
        <v>50</v>
      </c>
      <c r="Y567" s="7">
        <f t="shared" si="169"/>
        <v>9.4307999999999996</v>
      </c>
      <c r="Z567" s="7">
        <f t="shared" si="170"/>
        <v>23.669200000000004</v>
      </c>
      <c r="AA567" s="9">
        <v>1</v>
      </c>
      <c r="AB567" s="9">
        <v>0</v>
      </c>
      <c r="AC567" s="9">
        <v>1</v>
      </c>
      <c r="AD567" s="9">
        <v>0</v>
      </c>
      <c r="AE567" s="9">
        <v>0</v>
      </c>
      <c r="AF567" s="9">
        <v>0</v>
      </c>
      <c r="AG567" s="8">
        <v>1</v>
      </c>
      <c r="AH567" s="9">
        <v>0</v>
      </c>
      <c r="AI567" s="30">
        <v>0</v>
      </c>
      <c r="AJ567" s="9">
        <v>0</v>
      </c>
      <c r="AK567" s="30">
        <v>1</v>
      </c>
      <c r="AL567" s="21">
        <v>2001</v>
      </c>
      <c r="AM567" s="23">
        <f t="shared" si="156"/>
        <v>7.6014023345837334</v>
      </c>
      <c r="AN567" s="33">
        <v>0.13719999999999999</v>
      </c>
      <c r="AO567" s="33">
        <f t="shared" si="17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6</v>
      </c>
      <c r="DB567" s="34"/>
    </row>
    <row r="568" spans="1:106" x14ac:dyDescent="0.25">
      <c r="A568">
        <v>567</v>
      </c>
      <c r="B568">
        <v>38</v>
      </c>
      <c r="C568" s="25" t="s">
        <v>334</v>
      </c>
      <c r="D568" s="12">
        <v>10.199999999999999</v>
      </c>
      <c r="E568" s="14">
        <v>0.3</v>
      </c>
      <c r="F568" s="7">
        <f t="shared" si="164"/>
        <v>34</v>
      </c>
      <c r="G568" s="7">
        <f t="shared" si="147"/>
        <v>9.8999999999999986</v>
      </c>
      <c r="H568" s="16">
        <f t="shared" si="148"/>
        <v>10.5</v>
      </c>
      <c r="I568" s="11">
        <f t="shared" si="149"/>
        <v>0.32867504798725355</v>
      </c>
      <c r="J568" s="33">
        <f t="shared" si="150"/>
        <v>9.6669131760956928E-3</v>
      </c>
      <c r="K568" s="33">
        <f t="shared" si="151"/>
        <v>103.4456378974</v>
      </c>
      <c r="L568" s="33">
        <f t="shared" si="152"/>
        <v>0.31900813481115786</v>
      </c>
      <c r="M568" s="33">
        <f t="shared" si="153"/>
        <v>0.33834196116334925</v>
      </c>
      <c r="N568" s="8">
        <v>0</v>
      </c>
      <c r="O568" s="9">
        <v>1</v>
      </c>
      <c r="P568" s="8">
        <v>0</v>
      </c>
      <c r="Q568" s="9">
        <v>0</v>
      </c>
      <c r="R568" s="9">
        <v>0</v>
      </c>
      <c r="S568" s="9">
        <v>1</v>
      </c>
      <c r="T568" s="9">
        <v>0</v>
      </c>
      <c r="U568" s="8">
        <v>9550</v>
      </c>
      <c r="V568" s="9">
        <v>4</v>
      </c>
      <c r="W568" s="9">
        <f t="shared" si="154"/>
        <v>9545</v>
      </c>
      <c r="X568" s="9">
        <f t="shared" si="155"/>
        <v>50</v>
      </c>
      <c r="Y568" s="7">
        <f t="shared" si="169"/>
        <v>9.4307999999999996</v>
      </c>
      <c r="Z568" s="7">
        <f t="shared" si="170"/>
        <v>23.669200000000004</v>
      </c>
      <c r="AA568" s="9">
        <v>1</v>
      </c>
      <c r="AB568" s="9">
        <v>0</v>
      </c>
      <c r="AC568" s="9">
        <v>1</v>
      </c>
      <c r="AD568" s="9">
        <v>0</v>
      </c>
      <c r="AE568" s="9">
        <v>0</v>
      </c>
      <c r="AF568" s="9">
        <v>0</v>
      </c>
      <c r="AG568" s="8">
        <v>1</v>
      </c>
      <c r="AH568" s="9">
        <v>0</v>
      </c>
      <c r="AI568" s="30">
        <v>0</v>
      </c>
      <c r="AJ568" s="9">
        <v>0</v>
      </c>
      <c r="AK568" s="30">
        <v>1</v>
      </c>
      <c r="AL568" s="21">
        <v>2001</v>
      </c>
      <c r="AM568" s="23">
        <f t="shared" si="156"/>
        <v>7.6014023345837334</v>
      </c>
      <c r="AN568" s="33">
        <v>0.13719999999999999</v>
      </c>
      <c r="AO568" s="33">
        <f t="shared" si="17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6</v>
      </c>
      <c r="DB568" s="34"/>
    </row>
    <row r="569" spans="1:106" x14ac:dyDescent="0.25">
      <c r="A569">
        <v>568</v>
      </c>
      <c r="B569">
        <v>38</v>
      </c>
      <c r="C569" s="25" t="s">
        <v>334</v>
      </c>
      <c r="D569" s="12">
        <v>6.41</v>
      </c>
      <c r="E569" s="14">
        <v>0.2</v>
      </c>
      <c r="F569" s="7">
        <f t="shared" si="164"/>
        <v>32.049999999999997</v>
      </c>
      <c r="G569" s="7">
        <f t="shared" si="147"/>
        <v>6.21</v>
      </c>
      <c r="H569" s="16">
        <f t="shared" si="148"/>
        <v>6.61</v>
      </c>
      <c r="I569" s="11">
        <f t="shared" si="149"/>
        <v>0.30538767488256086</v>
      </c>
      <c r="J569" s="33">
        <f t="shared" si="150"/>
        <v>9.5284765953997149E-3</v>
      </c>
      <c r="K569" s="33">
        <f t="shared" si="151"/>
        <v>104.94857073824302</v>
      </c>
      <c r="L569" s="33">
        <f t="shared" si="152"/>
        <v>0.29585919828716112</v>
      </c>
      <c r="M569" s="33">
        <f t="shared" si="153"/>
        <v>0.31491615147796059</v>
      </c>
      <c r="N569" s="8">
        <v>0</v>
      </c>
      <c r="O569" s="9">
        <v>1</v>
      </c>
      <c r="P569" s="8">
        <v>0</v>
      </c>
      <c r="Q569" s="9">
        <v>0</v>
      </c>
      <c r="R569" s="9">
        <v>0</v>
      </c>
      <c r="S569" s="9">
        <v>1</v>
      </c>
      <c r="T569" s="9">
        <v>0</v>
      </c>
      <c r="U569" s="8">
        <v>10001</v>
      </c>
      <c r="V569" s="9">
        <v>13</v>
      </c>
      <c r="W569" s="9">
        <f t="shared" si="154"/>
        <v>9987</v>
      </c>
      <c r="X569" s="9">
        <f t="shared" si="155"/>
        <v>50</v>
      </c>
      <c r="Y569" s="7">
        <f t="shared" si="169"/>
        <v>9.4307999999999996</v>
      </c>
      <c r="Z569" s="7">
        <f t="shared" si="170"/>
        <v>23.669200000000004</v>
      </c>
      <c r="AA569" s="9">
        <v>1</v>
      </c>
      <c r="AB569" s="9">
        <v>0</v>
      </c>
      <c r="AC569" s="9">
        <v>1</v>
      </c>
      <c r="AD569" s="9">
        <v>0</v>
      </c>
      <c r="AE569" s="9">
        <v>0</v>
      </c>
      <c r="AF569" s="9">
        <v>0</v>
      </c>
      <c r="AG569" s="8">
        <v>1</v>
      </c>
      <c r="AH569" s="9">
        <v>0</v>
      </c>
      <c r="AI569" s="30">
        <v>0</v>
      </c>
      <c r="AJ569" s="9">
        <v>0</v>
      </c>
      <c r="AK569" s="30">
        <v>1</v>
      </c>
      <c r="AL569" s="21">
        <v>2001</v>
      </c>
      <c r="AM569" s="23">
        <f t="shared" si="156"/>
        <v>7.6014023345837334</v>
      </c>
      <c r="AN569" s="33">
        <v>0.13719999999999999</v>
      </c>
      <c r="AO569" s="33">
        <f t="shared" si="17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6</v>
      </c>
      <c r="DB569" s="34"/>
    </row>
    <row r="570" spans="1:106" x14ac:dyDescent="0.25">
      <c r="A570">
        <v>569</v>
      </c>
      <c r="B570">
        <v>38</v>
      </c>
      <c r="C570" s="25" t="s">
        <v>334</v>
      </c>
      <c r="D570" s="12">
        <v>10.27</v>
      </c>
      <c r="E570" s="14">
        <v>0.2</v>
      </c>
      <c r="F570" s="7">
        <f t="shared" si="164"/>
        <v>51.349999999999994</v>
      </c>
      <c r="G570" s="7">
        <f t="shared" si="147"/>
        <v>10.07</v>
      </c>
      <c r="H570" s="16">
        <f t="shared" si="148"/>
        <v>10.469999999999999</v>
      </c>
      <c r="I570" s="11">
        <f t="shared" si="149"/>
        <v>0.46541974434467898</v>
      </c>
      <c r="J570" s="33">
        <f t="shared" si="150"/>
        <v>9.0636756444922879E-3</v>
      </c>
      <c r="K570" s="33">
        <f t="shared" si="151"/>
        <v>110.3305148179777</v>
      </c>
      <c r="L570" s="33">
        <f t="shared" si="152"/>
        <v>0.45635606870018669</v>
      </c>
      <c r="M570" s="33">
        <f t="shared" si="153"/>
        <v>0.47448341998917126</v>
      </c>
      <c r="N570" s="8">
        <v>0</v>
      </c>
      <c r="O570" s="9">
        <v>1</v>
      </c>
      <c r="P570" s="8">
        <v>0</v>
      </c>
      <c r="Q570" s="9">
        <v>0</v>
      </c>
      <c r="R570" s="9">
        <v>0</v>
      </c>
      <c r="S570" s="9">
        <v>1</v>
      </c>
      <c r="T570" s="9">
        <v>0</v>
      </c>
      <c r="U570" s="8">
        <v>9550</v>
      </c>
      <c r="V570" s="9">
        <v>13</v>
      </c>
      <c r="W570" s="9">
        <f t="shared" si="154"/>
        <v>9536</v>
      </c>
      <c r="X570" s="9">
        <f t="shared" si="155"/>
        <v>50</v>
      </c>
      <c r="Y570" s="7">
        <f t="shared" si="169"/>
        <v>9.4307999999999996</v>
      </c>
      <c r="Z570" s="7">
        <f t="shared" si="170"/>
        <v>23.669200000000004</v>
      </c>
      <c r="AA570" s="9">
        <v>1</v>
      </c>
      <c r="AB570" s="9">
        <v>0</v>
      </c>
      <c r="AC570" s="9">
        <v>1</v>
      </c>
      <c r="AD570" s="9">
        <v>0</v>
      </c>
      <c r="AE570" s="9">
        <v>0</v>
      </c>
      <c r="AF570" s="9">
        <v>0</v>
      </c>
      <c r="AG570" s="8">
        <v>1</v>
      </c>
      <c r="AH570" s="9">
        <v>0</v>
      </c>
      <c r="AI570" s="30">
        <v>0</v>
      </c>
      <c r="AJ570" s="9">
        <v>0</v>
      </c>
      <c r="AK570" s="30">
        <v>1</v>
      </c>
      <c r="AL570" s="21">
        <v>2001</v>
      </c>
      <c r="AM570" s="23">
        <f t="shared" si="156"/>
        <v>7.6014023345837334</v>
      </c>
      <c r="AN570" s="33">
        <v>0.13719999999999999</v>
      </c>
      <c r="AO570" s="33">
        <f t="shared" si="17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6</v>
      </c>
      <c r="DB570" s="34"/>
    </row>
    <row r="571" spans="1:106" x14ac:dyDescent="0.25">
      <c r="A571">
        <v>570</v>
      </c>
      <c r="B571">
        <v>38</v>
      </c>
      <c r="C571" s="25" t="s">
        <v>334</v>
      </c>
      <c r="D571" s="12">
        <v>6.91</v>
      </c>
      <c r="E571" s="14">
        <v>0.3</v>
      </c>
      <c r="F571" s="7">
        <f t="shared" si="164"/>
        <v>23.033333333333335</v>
      </c>
      <c r="G571" s="7">
        <f t="shared" si="147"/>
        <v>6.61</v>
      </c>
      <c r="H571" s="16">
        <f t="shared" si="148"/>
        <v>7.21</v>
      </c>
      <c r="I571" s="11">
        <f t="shared" si="149"/>
        <v>0.22459486425879843</v>
      </c>
      <c r="J571" s="33">
        <f t="shared" si="150"/>
        <v>9.7508624135513068E-3</v>
      </c>
      <c r="K571" s="33">
        <f t="shared" si="151"/>
        <v>102.55503129756454</v>
      </c>
      <c r="L571" s="33">
        <f t="shared" si="152"/>
        <v>0.21484400184524713</v>
      </c>
      <c r="M571" s="33">
        <f t="shared" si="153"/>
        <v>0.23434572667234974</v>
      </c>
      <c r="N571" s="8">
        <v>0</v>
      </c>
      <c r="O571" s="9">
        <v>1</v>
      </c>
      <c r="P571" s="8">
        <v>0</v>
      </c>
      <c r="Q571" s="9">
        <v>0</v>
      </c>
      <c r="R571" s="9">
        <v>0</v>
      </c>
      <c r="S571" s="9">
        <v>1</v>
      </c>
      <c r="T571" s="9">
        <v>0</v>
      </c>
      <c r="U571" s="8">
        <v>10001</v>
      </c>
      <c r="V571" s="9">
        <v>13</v>
      </c>
      <c r="W571" s="9">
        <f t="shared" si="154"/>
        <v>9987</v>
      </c>
      <c r="X571" s="9">
        <f t="shared" si="155"/>
        <v>50</v>
      </c>
      <c r="Y571" s="7">
        <f t="shared" si="169"/>
        <v>9.4307999999999996</v>
      </c>
      <c r="Z571" s="7">
        <f t="shared" si="170"/>
        <v>23.669200000000004</v>
      </c>
      <c r="AA571" s="9">
        <v>1</v>
      </c>
      <c r="AB571" s="9">
        <v>0</v>
      </c>
      <c r="AC571" s="9">
        <v>1</v>
      </c>
      <c r="AD571" s="9">
        <v>0</v>
      </c>
      <c r="AE571" s="9">
        <v>0</v>
      </c>
      <c r="AF571" s="9">
        <v>0</v>
      </c>
      <c r="AG571" s="8">
        <v>1</v>
      </c>
      <c r="AH571" s="9">
        <v>0</v>
      </c>
      <c r="AI571" s="30">
        <v>0</v>
      </c>
      <c r="AJ571" s="9">
        <v>0</v>
      </c>
      <c r="AK571" s="30">
        <v>1</v>
      </c>
      <c r="AL571" s="21">
        <v>2001</v>
      </c>
      <c r="AM571" s="23">
        <f t="shared" si="156"/>
        <v>7.6014023345837334</v>
      </c>
      <c r="AN571" s="33">
        <v>0.13719999999999999</v>
      </c>
      <c r="AO571" s="33">
        <f t="shared" si="17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6</v>
      </c>
      <c r="DB571" s="34"/>
    </row>
    <row r="572" spans="1:106" x14ac:dyDescent="0.25">
      <c r="A572">
        <v>571</v>
      </c>
      <c r="B572">
        <v>38</v>
      </c>
      <c r="C572" s="25" t="s">
        <v>334</v>
      </c>
      <c r="D572" s="12">
        <v>10.32</v>
      </c>
      <c r="E572" s="14">
        <v>0.2</v>
      </c>
      <c r="F572" s="7">
        <f t="shared" si="164"/>
        <v>51.6</v>
      </c>
      <c r="G572" s="7">
        <f t="shared" si="147"/>
        <v>10.120000000000001</v>
      </c>
      <c r="H572" s="16">
        <f t="shared" si="148"/>
        <v>10.52</v>
      </c>
      <c r="I572" s="11">
        <f t="shared" si="149"/>
        <v>0.46719202238124941</v>
      </c>
      <c r="J572" s="33">
        <f t="shared" si="150"/>
        <v>9.0541089608769266E-3</v>
      </c>
      <c r="K572" s="33">
        <f t="shared" si="151"/>
        <v>110.44709140579484</v>
      </c>
      <c r="L572" s="33">
        <f t="shared" si="152"/>
        <v>0.45813791342037247</v>
      </c>
      <c r="M572" s="33">
        <f t="shared" si="153"/>
        <v>0.47624613134212634</v>
      </c>
      <c r="N572" s="8">
        <v>0</v>
      </c>
      <c r="O572" s="9">
        <v>1</v>
      </c>
      <c r="P572" s="8">
        <v>0</v>
      </c>
      <c r="Q572" s="9">
        <v>0</v>
      </c>
      <c r="R572" s="9">
        <v>0</v>
      </c>
      <c r="S572" s="9">
        <v>1</v>
      </c>
      <c r="T572" s="9">
        <v>0</v>
      </c>
      <c r="U572" s="8">
        <v>9550</v>
      </c>
      <c r="V572" s="9">
        <v>13</v>
      </c>
      <c r="W572" s="9">
        <f t="shared" si="154"/>
        <v>9536</v>
      </c>
      <c r="X572" s="9">
        <f t="shared" si="155"/>
        <v>50</v>
      </c>
      <c r="Y572" s="7">
        <f t="shared" si="169"/>
        <v>9.4307999999999996</v>
      </c>
      <c r="Z572" s="7">
        <f t="shared" si="170"/>
        <v>23.669200000000004</v>
      </c>
      <c r="AA572" s="9">
        <v>1</v>
      </c>
      <c r="AB572" s="9">
        <v>0</v>
      </c>
      <c r="AC572" s="9">
        <v>1</v>
      </c>
      <c r="AD572" s="9">
        <v>0</v>
      </c>
      <c r="AE572" s="9">
        <v>0</v>
      </c>
      <c r="AF572" s="9">
        <v>0</v>
      </c>
      <c r="AG572" s="8">
        <v>1</v>
      </c>
      <c r="AH572" s="9">
        <v>0</v>
      </c>
      <c r="AI572" s="30">
        <v>0</v>
      </c>
      <c r="AJ572" s="9">
        <v>0</v>
      </c>
      <c r="AK572" s="30">
        <v>1</v>
      </c>
      <c r="AL572" s="21">
        <v>2001</v>
      </c>
      <c r="AM572" s="23">
        <f t="shared" si="156"/>
        <v>7.6014023345837334</v>
      </c>
      <c r="AN572" s="33">
        <v>0.13719999999999999</v>
      </c>
      <c r="AO572" s="33">
        <f t="shared" si="17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6</v>
      </c>
      <c r="DB572" s="34"/>
    </row>
    <row r="573" spans="1:106" x14ac:dyDescent="0.25">
      <c r="A573">
        <v>572</v>
      </c>
      <c r="B573">
        <v>38</v>
      </c>
      <c r="C573" s="25" t="s">
        <v>334</v>
      </c>
      <c r="D573" s="12">
        <v>5.14</v>
      </c>
      <c r="E573" s="14">
        <v>0.8</v>
      </c>
      <c r="F573" s="7">
        <f t="shared" si="164"/>
        <v>6.4249999999999989</v>
      </c>
      <c r="G573" s="7">
        <f t="shared" si="147"/>
        <v>4.34</v>
      </c>
      <c r="H573" s="16">
        <f t="shared" si="148"/>
        <v>5.9399999999999995</v>
      </c>
      <c r="I573" s="11">
        <f t="shared" si="149"/>
        <v>0.15383847057732292</v>
      </c>
      <c r="J573" s="33">
        <f t="shared" si="150"/>
        <v>2.3943730829155321E-2</v>
      </c>
      <c r="K573" s="33">
        <f t="shared" si="151"/>
        <v>41.76458577551081</v>
      </c>
      <c r="L573" s="33">
        <f t="shared" si="152"/>
        <v>0.12989473974816759</v>
      </c>
      <c r="M573" s="33">
        <f t="shared" si="153"/>
        <v>0.17778220140647824</v>
      </c>
      <c r="N573" s="8">
        <v>0</v>
      </c>
      <c r="O573" s="9">
        <v>1</v>
      </c>
      <c r="P573" s="8">
        <v>0</v>
      </c>
      <c r="Q573" s="9">
        <v>0</v>
      </c>
      <c r="R573" s="9">
        <v>0</v>
      </c>
      <c r="S573" s="9">
        <v>1</v>
      </c>
      <c r="T573" s="9">
        <v>0</v>
      </c>
      <c r="U573" s="8">
        <v>1717</v>
      </c>
      <c r="V573" s="9">
        <v>13</v>
      </c>
      <c r="W573" s="9">
        <f t="shared" si="154"/>
        <v>1703</v>
      </c>
      <c r="X573" s="9">
        <f t="shared" si="155"/>
        <v>50</v>
      </c>
      <c r="Y573" s="7">
        <f t="shared" si="169"/>
        <v>9.4307999999999996</v>
      </c>
      <c r="Z573" s="7">
        <f t="shared" si="170"/>
        <v>23.669200000000004</v>
      </c>
      <c r="AA573" s="9">
        <v>1</v>
      </c>
      <c r="AB573" s="9">
        <v>0</v>
      </c>
      <c r="AC573" s="9">
        <v>1</v>
      </c>
      <c r="AD573" s="9">
        <v>0</v>
      </c>
      <c r="AE573" s="9">
        <v>0</v>
      </c>
      <c r="AF573" s="9">
        <v>0</v>
      </c>
      <c r="AG573" s="8">
        <v>1</v>
      </c>
      <c r="AH573" s="9">
        <v>0</v>
      </c>
      <c r="AI573" s="30">
        <v>0</v>
      </c>
      <c r="AJ573" s="9">
        <v>0</v>
      </c>
      <c r="AK573" s="30">
        <v>1</v>
      </c>
      <c r="AL573" s="21">
        <v>2001</v>
      </c>
      <c r="AM573" s="23">
        <f t="shared" si="156"/>
        <v>7.6014023345837334</v>
      </c>
      <c r="AN573" s="33">
        <v>0.13719999999999999</v>
      </c>
      <c r="AO573" s="33">
        <f t="shared" si="17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6</v>
      </c>
      <c r="DB573" s="34"/>
    </row>
    <row r="574" spans="1:106" x14ac:dyDescent="0.25">
      <c r="A574">
        <v>573</v>
      </c>
      <c r="B574">
        <v>38</v>
      </c>
      <c r="C574" s="25" t="s">
        <v>334</v>
      </c>
      <c r="D574" s="12">
        <v>7.63</v>
      </c>
      <c r="E574" s="14">
        <v>1.5</v>
      </c>
      <c r="F574" s="7">
        <f t="shared" si="164"/>
        <v>5.0866666666666669</v>
      </c>
      <c r="G574" s="7">
        <f t="shared" si="147"/>
        <v>6.13</v>
      </c>
      <c r="H574" s="16">
        <f t="shared" si="148"/>
        <v>9.129999999999999</v>
      </c>
      <c r="I574" s="11">
        <f t="shared" si="149"/>
        <v>0.21215187684075204</v>
      </c>
      <c r="J574" s="33">
        <f t="shared" si="150"/>
        <v>4.1707446298968283E-2</v>
      </c>
      <c r="K574" s="33">
        <f t="shared" si="151"/>
        <v>23.976533898330214</v>
      </c>
      <c r="L574" s="33">
        <f t="shared" si="152"/>
        <v>0.17044443054178376</v>
      </c>
      <c r="M574" s="33">
        <f t="shared" si="153"/>
        <v>0.25385932313972032</v>
      </c>
      <c r="N574" s="8">
        <v>0</v>
      </c>
      <c r="O574" s="9">
        <v>1</v>
      </c>
      <c r="P574" s="8">
        <v>0</v>
      </c>
      <c r="Q574" s="9">
        <v>0</v>
      </c>
      <c r="R574" s="9">
        <v>0</v>
      </c>
      <c r="S574" s="9">
        <v>1</v>
      </c>
      <c r="T574" s="9">
        <v>0</v>
      </c>
      <c r="U574" s="8">
        <v>563</v>
      </c>
      <c r="V574" s="9">
        <v>13</v>
      </c>
      <c r="W574" s="9">
        <f t="shared" si="154"/>
        <v>549</v>
      </c>
      <c r="X574" s="9">
        <f t="shared" si="155"/>
        <v>50</v>
      </c>
      <c r="Y574" s="7">
        <f t="shared" si="169"/>
        <v>9.4307999999999996</v>
      </c>
      <c r="Z574" s="7">
        <f t="shared" si="170"/>
        <v>23.669200000000004</v>
      </c>
      <c r="AA574" s="9">
        <v>1</v>
      </c>
      <c r="AB574" s="9">
        <v>0</v>
      </c>
      <c r="AC574" s="9">
        <v>1</v>
      </c>
      <c r="AD574" s="9">
        <v>0</v>
      </c>
      <c r="AE574" s="9">
        <v>0</v>
      </c>
      <c r="AF574" s="9">
        <v>0</v>
      </c>
      <c r="AG574" s="8">
        <v>1</v>
      </c>
      <c r="AH574" s="9">
        <v>0</v>
      </c>
      <c r="AI574" s="30">
        <v>0</v>
      </c>
      <c r="AJ574" s="9">
        <v>0</v>
      </c>
      <c r="AK574" s="30">
        <v>1</v>
      </c>
      <c r="AL574" s="21">
        <v>2001</v>
      </c>
      <c r="AM574" s="23">
        <f t="shared" si="156"/>
        <v>7.6014023345837334</v>
      </c>
      <c r="AN574" s="33">
        <v>0.13719999999999999</v>
      </c>
      <c r="AO574" s="33">
        <f t="shared" si="17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6</v>
      </c>
      <c r="DB574" s="34"/>
    </row>
    <row r="575" spans="1:106" x14ac:dyDescent="0.25">
      <c r="A575">
        <v>574</v>
      </c>
      <c r="B575">
        <v>38</v>
      </c>
      <c r="C575" s="25" t="s">
        <v>334</v>
      </c>
      <c r="D575" s="12">
        <v>5.52</v>
      </c>
      <c r="E575" s="14">
        <v>2.2000000000000002</v>
      </c>
      <c r="F575" s="7">
        <f t="shared" si="164"/>
        <v>2.5090909090909088</v>
      </c>
      <c r="G575" s="7">
        <f t="shared" si="147"/>
        <v>3.3199999999999994</v>
      </c>
      <c r="H575" s="16">
        <f t="shared" si="148"/>
        <v>7.72</v>
      </c>
      <c r="I575" s="11">
        <f t="shared" si="149"/>
        <v>6.0688697608351397E-2</v>
      </c>
      <c r="J575" s="33">
        <f t="shared" si="150"/>
        <v>2.4187524409125558E-2</v>
      </c>
      <c r="K575" s="33">
        <f t="shared" si="151"/>
        <v>41.34362752819451</v>
      </c>
      <c r="L575" s="33">
        <f t="shared" si="152"/>
        <v>3.6501173199225842E-2</v>
      </c>
      <c r="M575" s="33">
        <f t="shared" si="153"/>
        <v>8.4876222017476952E-2</v>
      </c>
      <c r="N575" s="8">
        <v>0</v>
      </c>
      <c r="O575" s="9">
        <v>1</v>
      </c>
      <c r="P575" s="8">
        <v>0</v>
      </c>
      <c r="Q575" s="9">
        <v>0</v>
      </c>
      <c r="R575" s="9">
        <v>0</v>
      </c>
      <c r="S575" s="9">
        <v>1</v>
      </c>
      <c r="T575" s="9">
        <v>0</v>
      </c>
      <c r="U575" s="8">
        <v>1717</v>
      </c>
      <c r="V575" s="9">
        <v>13</v>
      </c>
      <c r="W575" s="9">
        <f t="shared" si="154"/>
        <v>1703</v>
      </c>
      <c r="X575" s="9">
        <f t="shared" si="155"/>
        <v>50</v>
      </c>
      <c r="Y575" s="7">
        <f t="shared" si="169"/>
        <v>9.4307999999999996</v>
      </c>
      <c r="Z575" s="7">
        <f t="shared" si="170"/>
        <v>23.669200000000004</v>
      </c>
      <c r="AA575" s="9">
        <v>1</v>
      </c>
      <c r="AB575" s="9">
        <v>0</v>
      </c>
      <c r="AC575" s="9">
        <v>1</v>
      </c>
      <c r="AD575" s="9">
        <v>0</v>
      </c>
      <c r="AE575" s="9">
        <v>0</v>
      </c>
      <c r="AF575" s="9">
        <v>0</v>
      </c>
      <c r="AG575" s="8">
        <v>1</v>
      </c>
      <c r="AH575" s="9">
        <v>0</v>
      </c>
      <c r="AI575" s="30">
        <v>0</v>
      </c>
      <c r="AJ575" s="9">
        <v>0</v>
      </c>
      <c r="AK575" s="30">
        <v>1</v>
      </c>
      <c r="AL575" s="21">
        <v>2001</v>
      </c>
      <c r="AM575" s="23">
        <f t="shared" si="156"/>
        <v>7.6014023345837334</v>
      </c>
      <c r="AN575" s="33">
        <v>0.13719999999999999</v>
      </c>
      <c r="AO575" s="33">
        <f t="shared" si="17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6</v>
      </c>
      <c r="DB575" s="34"/>
    </row>
    <row r="576" spans="1:106" x14ac:dyDescent="0.25">
      <c r="A576">
        <v>575</v>
      </c>
      <c r="B576">
        <v>38</v>
      </c>
      <c r="C576" s="25" t="s">
        <v>334</v>
      </c>
      <c r="D576" s="12">
        <v>7.84</v>
      </c>
      <c r="E576" s="14">
        <v>6.6</v>
      </c>
      <c r="F576" s="7">
        <f t="shared" si="164"/>
        <v>1.187878787878788</v>
      </c>
      <c r="G576" s="7">
        <f t="shared" si="147"/>
        <v>1.2400000000000002</v>
      </c>
      <c r="H576" s="16">
        <f t="shared" si="148"/>
        <v>14.44</v>
      </c>
      <c r="I576" s="11">
        <f t="shared" si="149"/>
        <v>5.0632404551922874E-2</v>
      </c>
      <c r="J576" s="33">
        <f t="shared" si="150"/>
        <v>4.2624218117690169E-2</v>
      </c>
      <c r="K576" s="33">
        <f t="shared" si="151"/>
        <v>23.460840905958431</v>
      </c>
      <c r="L576" s="33">
        <f t="shared" si="152"/>
        <v>8.0081864342327058E-3</v>
      </c>
      <c r="M576" s="33">
        <f t="shared" si="153"/>
        <v>9.3256622669613043E-2</v>
      </c>
      <c r="N576" s="8">
        <v>0</v>
      </c>
      <c r="O576" s="9">
        <v>1</v>
      </c>
      <c r="P576" s="8">
        <v>0</v>
      </c>
      <c r="Q576" s="9">
        <v>0</v>
      </c>
      <c r="R576" s="9">
        <v>0</v>
      </c>
      <c r="S576" s="9">
        <v>1</v>
      </c>
      <c r="T576" s="9">
        <v>0</v>
      </c>
      <c r="U576" s="8">
        <v>563</v>
      </c>
      <c r="V576" s="9">
        <v>13</v>
      </c>
      <c r="W576" s="9">
        <f t="shared" si="154"/>
        <v>549</v>
      </c>
      <c r="X576" s="9">
        <f t="shared" si="155"/>
        <v>50</v>
      </c>
      <c r="Y576" s="7">
        <f t="shared" si="169"/>
        <v>9.4307999999999996</v>
      </c>
      <c r="Z576" s="7">
        <f t="shared" si="170"/>
        <v>23.669200000000004</v>
      </c>
      <c r="AA576" s="9">
        <v>1</v>
      </c>
      <c r="AB576" s="9">
        <v>0</v>
      </c>
      <c r="AC576" s="9">
        <v>1</v>
      </c>
      <c r="AD576" s="9">
        <v>0</v>
      </c>
      <c r="AE576" s="9">
        <v>0</v>
      </c>
      <c r="AF576" s="9">
        <v>0</v>
      </c>
      <c r="AG576" s="8">
        <v>1</v>
      </c>
      <c r="AH576" s="9">
        <v>0</v>
      </c>
      <c r="AI576" s="30">
        <v>0</v>
      </c>
      <c r="AJ576" s="9">
        <v>0</v>
      </c>
      <c r="AK576" s="30">
        <v>1</v>
      </c>
      <c r="AL576" s="21">
        <v>2001</v>
      </c>
      <c r="AM576" s="23">
        <f t="shared" si="156"/>
        <v>7.6014023345837334</v>
      </c>
      <c r="AN576" s="33">
        <v>0.13719999999999999</v>
      </c>
      <c r="AO576" s="33">
        <f t="shared" si="17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6</v>
      </c>
      <c r="DB576" s="34"/>
    </row>
    <row r="577" spans="1:106" x14ac:dyDescent="0.25">
      <c r="A577">
        <v>576</v>
      </c>
      <c r="B577">
        <v>38</v>
      </c>
      <c r="C577" s="25" t="s">
        <v>334</v>
      </c>
      <c r="D577" s="12">
        <v>10.7</v>
      </c>
      <c r="E577" s="14">
        <v>0.7</v>
      </c>
      <c r="F577" s="7">
        <f t="shared" si="164"/>
        <v>15.285714285714286</v>
      </c>
      <c r="G577" s="7">
        <f t="shared" si="147"/>
        <v>10</v>
      </c>
      <c r="H577" s="16">
        <f t="shared" si="148"/>
        <v>11.399999999999999</v>
      </c>
      <c r="I577" s="11">
        <f t="shared" si="149"/>
        <v>0.26231557764971181</v>
      </c>
      <c r="J577" s="33">
        <f t="shared" si="150"/>
        <v>1.7160832182691425E-2</v>
      </c>
      <c r="K577" s="33">
        <f t="shared" si="151"/>
        <v>58.272232334315888</v>
      </c>
      <c r="L577" s="33">
        <f t="shared" si="152"/>
        <v>0.24515474546702037</v>
      </c>
      <c r="M577" s="33">
        <f t="shared" si="153"/>
        <v>0.27947640983240324</v>
      </c>
      <c r="N577" s="8">
        <v>0</v>
      </c>
      <c r="O577" s="9">
        <v>1</v>
      </c>
      <c r="P577" s="8">
        <v>0</v>
      </c>
      <c r="Q577" s="9">
        <v>0</v>
      </c>
      <c r="R577" s="9">
        <v>0</v>
      </c>
      <c r="S577" s="9">
        <v>1</v>
      </c>
      <c r="T577" s="9">
        <v>0</v>
      </c>
      <c r="U577" s="8">
        <v>3169</v>
      </c>
      <c r="V577" s="9">
        <v>6</v>
      </c>
      <c r="W577" s="9">
        <f t="shared" si="154"/>
        <v>3162</v>
      </c>
      <c r="X577" s="9">
        <f t="shared" si="155"/>
        <v>50</v>
      </c>
      <c r="Y577" s="7">
        <f t="shared" si="169"/>
        <v>9.4307999999999996</v>
      </c>
      <c r="Z577" s="7">
        <f t="shared" si="170"/>
        <v>23.669200000000004</v>
      </c>
      <c r="AA577" s="9">
        <v>1</v>
      </c>
      <c r="AB577" s="9">
        <v>0</v>
      </c>
      <c r="AC577" s="9">
        <v>1</v>
      </c>
      <c r="AD577" s="9">
        <v>0</v>
      </c>
      <c r="AE577" s="9">
        <v>0</v>
      </c>
      <c r="AF577" s="9">
        <v>0</v>
      </c>
      <c r="AG577" s="8">
        <v>1</v>
      </c>
      <c r="AH577" s="9">
        <v>0</v>
      </c>
      <c r="AI577" s="30">
        <v>0</v>
      </c>
      <c r="AJ577" s="9">
        <v>0</v>
      </c>
      <c r="AK577" s="30">
        <v>1</v>
      </c>
      <c r="AL577" s="21">
        <v>2001</v>
      </c>
      <c r="AM577" s="23">
        <f t="shared" si="156"/>
        <v>7.6014023345837334</v>
      </c>
      <c r="AN577" s="33">
        <v>0.13719999999999999</v>
      </c>
      <c r="AO577" s="33">
        <f t="shared" si="17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6</v>
      </c>
      <c r="DB577" s="34"/>
    </row>
    <row r="578" spans="1:106" x14ac:dyDescent="0.25">
      <c r="A578">
        <v>577</v>
      </c>
      <c r="B578">
        <v>38</v>
      </c>
      <c r="C578" s="25" t="s">
        <v>334</v>
      </c>
      <c r="D578" s="12">
        <v>6.1</v>
      </c>
      <c r="E578" s="14">
        <v>0.6</v>
      </c>
      <c r="F578" s="7">
        <f t="shared" si="164"/>
        <v>10.166666666666666</v>
      </c>
      <c r="G578" s="7">
        <f t="shared" ref="G578:G641" si="172">D578-E578</f>
        <v>5.5</v>
      </c>
      <c r="H578" s="16">
        <f t="shared" ref="H578:H641" si="173">D578+E578</f>
        <v>6.6999999999999993</v>
      </c>
      <c r="I578" s="11">
        <f t="shared" ref="I578:I641" si="174">IFERROR(F578/SQRT(F578^2+W578), "X")</f>
        <v>0.22306045616761169</v>
      </c>
      <c r="J578" s="33">
        <f t="shared" ref="J578:J641" si="175">IFERROR(SQRT((1-I578^2)/W578), "X")</f>
        <v>2.1940372737797871E-2</v>
      </c>
      <c r="K578" s="33">
        <f t="shared" ref="K578:K641" si="176">IFERROR(1/J578, "X")</f>
        <v>45.578077088783715</v>
      </c>
      <c r="L578" s="33">
        <f t="shared" ref="L578:L641" si="177">IFERROR(I578-J578, "X")</f>
        <v>0.20112008342981383</v>
      </c>
      <c r="M578" s="33">
        <f t="shared" ref="M578:M641" si="178">IFERROR(I578+J578, "X")</f>
        <v>0.24500082890540956</v>
      </c>
      <c r="N578" s="8">
        <v>0</v>
      </c>
      <c r="O578" s="9">
        <v>1</v>
      </c>
      <c r="P578" s="8">
        <v>0</v>
      </c>
      <c r="Q578" s="9">
        <v>0</v>
      </c>
      <c r="R578" s="9">
        <v>0</v>
      </c>
      <c r="S578" s="9">
        <v>1</v>
      </c>
      <c r="T578" s="9">
        <v>0</v>
      </c>
      <c r="U578" s="8">
        <v>1981</v>
      </c>
      <c r="V578" s="9">
        <v>6</v>
      </c>
      <c r="W578" s="9">
        <f t="shared" ref="W578:W641" si="179">U578-V578-1</f>
        <v>1974</v>
      </c>
      <c r="X578" s="9">
        <f t="shared" ref="X578:X641" si="180">COUNTIF(B:B,B578)</f>
        <v>50</v>
      </c>
      <c r="Y578" s="7">
        <f t="shared" si="169"/>
        <v>9.4307999999999996</v>
      </c>
      <c r="Z578" s="7">
        <f t="shared" si="170"/>
        <v>23.669200000000004</v>
      </c>
      <c r="AA578" s="9">
        <v>1</v>
      </c>
      <c r="AB578" s="9">
        <v>0</v>
      </c>
      <c r="AC578" s="9">
        <v>1</v>
      </c>
      <c r="AD578" s="9">
        <v>0</v>
      </c>
      <c r="AE578" s="9">
        <v>0</v>
      </c>
      <c r="AF578" s="9">
        <v>0</v>
      </c>
      <c r="AG578" s="8">
        <v>1</v>
      </c>
      <c r="AH578" s="9">
        <v>0</v>
      </c>
      <c r="AI578" s="30">
        <v>0</v>
      </c>
      <c r="AJ578" s="9">
        <v>0</v>
      </c>
      <c r="AK578" s="30">
        <v>1</v>
      </c>
      <c r="AL578" s="21">
        <v>2001</v>
      </c>
      <c r="AM578" s="23">
        <f t="shared" ref="AM578:AM641" si="181">LN(AL578)</f>
        <v>7.6014023345837334</v>
      </c>
      <c r="AN578" s="33">
        <v>0.13719999999999999</v>
      </c>
      <c r="AO578" s="33">
        <f t="shared" si="17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6</v>
      </c>
      <c r="DB578" s="34"/>
    </row>
    <row r="579" spans="1:106" x14ac:dyDescent="0.25">
      <c r="A579">
        <v>578</v>
      </c>
      <c r="B579">
        <v>38</v>
      </c>
      <c r="C579" s="25" t="s">
        <v>334</v>
      </c>
      <c r="D579" s="12">
        <v>10.7</v>
      </c>
      <c r="E579" s="14">
        <v>0.7</v>
      </c>
      <c r="F579" s="7">
        <f t="shared" si="164"/>
        <v>15.285714285714286</v>
      </c>
      <c r="G579" s="7">
        <f t="shared" si="172"/>
        <v>10</v>
      </c>
      <c r="H579" s="16">
        <f t="shared" si="173"/>
        <v>11.399999999999999</v>
      </c>
      <c r="I579" s="11">
        <f t="shared" si="174"/>
        <v>0.26231557764971181</v>
      </c>
      <c r="J579" s="33">
        <f t="shared" si="175"/>
        <v>1.7160832182691425E-2</v>
      </c>
      <c r="K579" s="33">
        <f t="shared" si="176"/>
        <v>58.272232334315888</v>
      </c>
      <c r="L579" s="33">
        <f t="shared" si="177"/>
        <v>0.24515474546702037</v>
      </c>
      <c r="M579" s="33">
        <f t="shared" si="178"/>
        <v>0.27947640983240324</v>
      </c>
      <c r="N579" s="8">
        <v>0</v>
      </c>
      <c r="O579" s="9">
        <v>1</v>
      </c>
      <c r="P579" s="8">
        <v>0</v>
      </c>
      <c r="Q579" s="9">
        <v>0</v>
      </c>
      <c r="R579" s="9">
        <v>0</v>
      </c>
      <c r="S579" s="9">
        <v>1</v>
      </c>
      <c r="T579" s="9">
        <v>0</v>
      </c>
      <c r="U579" s="8">
        <v>3169</v>
      </c>
      <c r="V579" s="9">
        <v>6</v>
      </c>
      <c r="W579" s="9">
        <f t="shared" si="179"/>
        <v>3162</v>
      </c>
      <c r="X579" s="9">
        <f t="shared" si="180"/>
        <v>50</v>
      </c>
      <c r="Y579" s="7">
        <f t="shared" si="169"/>
        <v>9.4307999999999996</v>
      </c>
      <c r="Z579" s="7">
        <f t="shared" si="170"/>
        <v>23.669200000000004</v>
      </c>
      <c r="AA579" s="9">
        <v>1</v>
      </c>
      <c r="AB579" s="9">
        <v>0</v>
      </c>
      <c r="AC579" s="9">
        <v>1</v>
      </c>
      <c r="AD579" s="9">
        <v>0</v>
      </c>
      <c r="AE579" s="9">
        <v>0</v>
      </c>
      <c r="AF579" s="9">
        <v>0</v>
      </c>
      <c r="AG579" s="8">
        <v>1</v>
      </c>
      <c r="AH579" s="9">
        <v>0</v>
      </c>
      <c r="AI579" s="30">
        <v>0</v>
      </c>
      <c r="AJ579" s="9">
        <v>0</v>
      </c>
      <c r="AK579" s="30">
        <v>1</v>
      </c>
      <c r="AL579" s="21">
        <v>2001</v>
      </c>
      <c r="AM579" s="23">
        <f t="shared" si="181"/>
        <v>7.6014023345837334</v>
      </c>
      <c r="AN579" s="33">
        <v>0.13719999999999999</v>
      </c>
      <c r="AO579" s="33">
        <f t="shared" si="17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6</v>
      </c>
      <c r="DB579" s="34"/>
    </row>
    <row r="580" spans="1:106" x14ac:dyDescent="0.25">
      <c r="A580">
        <v>579</v>
      </c>
      <c r="B580">
        <v>38</v>
      </c>
      <c r="C580" s="25" t="s">
        <v>334</v>
      </c>
      <c r="D580" s="12">
        <v>6.1</v>
      </c>
      <c r="E580" s="14">
        <v>0.6</v>
      </c>
      <c r="F580" s="7">
        <f t="shared" si="164"/>
        <v>10.166666666666666</v>
      </c>
      <c r="G580" s="7">
        <f t="shared" si="172"/>
        <v>5.5</v>
      </c>
      <c r="H580" s="16">
        <f t="shared" si="173"/>
        <v>6.6999999999999993</v>
      </c>
      <c r="I580" s="11">
        <f t="shared" si="174"/>
        <v>0.22306045616761169</v>
      </c>
      <c r="J580" s="33">
        <f t="shared" si="175"/>
        <v>2.1940372737797871E-2</v>
      </c>
      <c r="K580" s="33">
        <f t="shared" si="176"/>
        <v>45.578077088783715</v>
      </c>
      <c r="L580" s="33">
        <f t="shared" si="177"/>
        <v>0.20112008342981383</v>
      </c>
      <c r="M580" s="33">
        <f t="shared" si="178"/>
        <v>0.24500082890540956</v>
      </c>
      <c r="N580" s="8">
        <v>0</v>
      </c>
      <c r="O580" s="9">
        <v>1</v>
      </c>
      <c r="P580" s="8">
        <v>0</v>
      </c>
      <c r="Q580" s="9">
        <v>0</v>
      </c>
      <c r="R580" s="9">
        <v>0</v>
      </c>
      <c r="S580" s="9">
        <v>1</v>
      </c>
      <c r="T580" s="9">
        <v>0</v>
      </c>
      <c r="U580" s="8">
        <v>1981</v>
      </c>
      <c r="V580" s="9">
        <v>6</v>
      </c>
      <c r="W580" s="9">
        <f t="shared" si="179"/>
        <v>1974</v>
      </c>
      <c r="X580" s="9">
        <f t="shared" si="180"/>
        <v>50</v>
      </c>
      <c r="Y580" s="7">
        <f t="shared" si="169"/>
        <v>9.4307999999999996</v>
      </c>
      <c r="Z580" s="7">
        <f t="shared" si="170"/>
        <v>23.669200000000004</v>
      </c>
      <c r="AA580" s="9">
        <v>1</v>
      </c>
      <c r="AB580" s="9">
        <v>0</v>
      </c>
      <c r="AC580" s="9">
        <v>1</v>
      </c>
      <c r="AD580" s="9">
        <v>0</v>
      </c>
      <c r="AE580" s="9">
        <v>0</v>
      </c>
      <c r="AF580" s="9">
        <v>0</v>
      </c>
      <c r="AG580" s="8">
        <v>1</v>
      </c>
      <c r="AH580" s="9">
        <v>0</v>
      </c>
      <c r="AI580" s="30">
        <v>0</v>
      </c>
      <c r="AJ580" s="9">
        <v>0</v>
      </c>
      <c r="AK580" s="30">
        <v>1</v>
      </c>
      <c r="AL580" s="21">
        <v>2001</v>
      </c>
      <c r="AM580" s="23">
        <f t="shared" si="181"/>
        <v>7.6014023345837334</v>
      </c>
      <c r="AN580" s="33">
        <v>0.13719999999999999</v>
      </c>
      <c r="AO580" s="33">
        <f t="shared" si="17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6</v>
      </c>
      <c r="DB580" s="34"/>
    </row>
    <row r="581" spans="1:106" x14ac:dyDescent="0.25">
      <c r="A581">
        <v>580</v>
      </c>
      <c r="B581">
        <v>38</v>
      </c>
      <c r="C581" s="25" t="s">
        <v>334</v>
      </c>
      <c r="D581" s="12">
        <v>10.7</v>
      </c>
      <c r="E581" s="14">
        <v>0.7</v>
      </c>
      <c r="F581" s="7">
        <f t="shared" si="164"/>
        <v>15.285714285714286</v>
      </c>
      <c r="G581" s="7">
        <f t="shared" si="172"/>
        <v>10</v>
      </c>
      <c r="H581" s="16">
        <f t="shared" si="173"/>
        <v>11.399999999999999</v>
      </c>
      <c r="I581" s="11">
        <f t="shared" si="174"/>
        <v>0.26231557764971181</v>
      </c>
      <c r="J581" s="33">
        <f t="shared" si="175"/>
        <v>1.7160832182691425E-2</v>
      </c>
      <c r="K581" s="33">
        <f t="shared" si="176"/>
        <v>58.272232334315888</v>
      </c>
      <c r="L581" s="33">
        <f t="shared" si="177"/>
        <v>0.24515474546702037</v>
      </c>
      <c r="M581" s="33">
        <f t="shared" si="178"/>
        <v>0.27947640983240324</v>
      </c>
      <c r="N581" s="8">
        <v>0</v>
      </c>
      <c r="O581" s="9">
        <v>1</v>
      </c>
      <c r="P581" s="8">
        <v>0</v>
      </c>
      <c r="Q581" s="9">
        <v>0</v>
      </c>
      <c r="R581" s="9">
        <v>0</v>
      </c>
      <c r="S581" s="9">
        <v>1</v>
      </c>
      <c r="T581" s="9">
        <v>0</v>
      </c>
      <c r="U581" s="8">
        <v>3169</v>
      </c>
      <c r="V581" s="9">
        <v>6</v>
      </c>
      <c r="W581" s="9">
        <f t="shared" si="179"/>
        <v>3162</v>
      </c>
      <c r="X581" s="9">
        <f t="shared" si="180"/>
        <v>50</v>
      </c>
      <c r="Y581" s="7">
        <f t="shared" si="169"/>
        <v>9.4307999999999996</v>
      </c>
      <c r="Z581" s="7">
        <f t="shared" si="170"/>
        <v>23.669200000000004</v>
      </c>
      <c r="AA581" s="9">
        <v>1</v>
      </c>
      <c r="AB581" s="9">
        <v>0</v>
      </c>
      <c r="AC581" s="9">
        <v>1</v>
      </c>
      <c r="AD581" s="9">
        <v>0</v>
      </c>
      <c r="AE581" s="9">
        <v>0</v>
      </c>
      <c r="AF581" s="9">
        <v>0</v>
      </c>
      <c r="AG581" s="8">
        <v>1</v>
      </c>
      <c r="AH581" s="9">
        <v>0</v>
      </c>
      <c r="AI581" s="30">
        <v>0</v>
      </c>
      <c r="AJ581" s="9">
        <v>0</v>
      </c>
      <c r="AK581" s="30">
        <v>1</v>
      </c>
      <c r="AL581" s="21">
        <v>2001</v>
      </c>
      <c r="AM581" s="23">
        <f t="shared" si="181"/>
        <v>7.6014023345837334</v>
      </c>
      <c r="AN581" s="33">
        <v>0.13719999999999999</v>
      </c>
      <c r="AO581" s="33">
        <f t="shared" si="17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6</v>
      </c>
      <c r="DB581" s="34"/>
    </row>
    <row r="582" spans="1:106" x14ac:dyDescent="0.25">
      <c r="A582">
        <v>581</v>
      </c>
      <c r="B582">
        <v>38</v>
      </c>
      <c r="C582" s="25" t="s">
        <v>334</v>
      </c>
      <c r="D582" s="12">
        <v>6.1</v>
      </c>
      <c r="E582" s="14">
        <v>0.6</v>
      </c>
      <c r="F582" s="7">
        <f t="shared" si="164"/>
        <v>10.166666666666666</v>
      </c>
      <c r="G582" s="7">
        <f t="shared" si="172"/>
        <v>5.5</v>
      </c>
      <c r="H582" s="16">
        <f t="shared" si="173"/>
        <v>6.6999999999999993</v>
      </c>
      <c r="I582" s="11">
        <f t="shared" si="174"/>
        <v>0.22306045616761169</v>
      </c>
      <c r="J582" s="33">
        <f t="shared" si="175"/>
        <v>2.1940372737797871E-2</v>
      </c>
      <c r="K582" s="33">
        <f t="shared" si="176"/>
        <v>45.578077088783715</v>
      </c>
      <c r="L582" s="33">
        <f t="shared" si="177"/>
        <v>0.20112008342981383</v>
      </c>
      <c r="M582" s="33">
        <f t="shared" si="178"/>
        <v>0.24500082890540956</v>
      </c>
      <c r="N582" s="8">
        <v>0</v>
      </c>
      <c r="O582" s="9">
        <v>1</v>
      </c>
      <c r="P582" s="8">
        <v>0</v>
      </c>
      <c r="Q582" s="9">
        <v>0</v>
      </c>
      <c r="R582" s="9">
        <v>0</v>
      </c>
      <c r="S582" s="9">
        <v>1</v>
      </c>
      <c r="T582" s="9">
        <v>0</v>
      </c>
      <c r="U582" s="8">
        <v>1981</v>
      </c>
      <c r="V582" s="9">
        <v>6</v>
      </c>
      <c r="W582" s="9">
        <f t="shared" si="179"/>
        <v>1974</v>
      </c>
      <c r="X582" s="9">
        <f t="shared" si="180"/>
        <v>50</v>
      </c>
      <c r="Y582" s="7">
        <f t="shared" si="169"/>
        <v>9.4307999999999996</v>
      </c>
      <c r="Z582" s="7">
        <f t="shared" si="170"/>
        <v>23.669200000000004</v>
      </c>
      <c r="AA582" s="9">
        <v>1</v>
      </c>
      <c r="AB582" s="9">
        <v>0</v>
      </c>
      <c r="AC582" s="9">
        <v>1</v>
      </c>
      <c r="AD582" s="9">
        <v>0</v>
      </c>
      <c r="AE582" s="9">
        <v>0</v>
      </c>
      <c r="AF582" s="9">
        <v>0</v>
      </c>
      <c r="AG582" s="8">
        <v>1</v>
      </c>
      <c r="AH582" s="9">
        <v>0</v>
      </c>
      <c r="AI582" s="30">
        <v>0</v>
      </c>
      <c r="AJ582" s="9">
        <v>0</v>
      </c>
      <c r="AK582" s="30">
        <v>1</v>
      </c>
      <c r="AL582" s="21">
        <v>2001</v>
      </c>
      <c r="AM582" s="23">
        <f t="shared" si="181"/>
        <v>7.6014023345837334</v>
      </c>
      <c r="AN582" s="33">
        <v>0.13719999999999999</v>
      </c>
      <c r="AO582" s="33">
        <f t="shared" si="17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6</v>
      </c>
      <c r="DB582" s="34"/>
    </row>
    <row r="583" spans="1:106" x14ac:dyDescent="0.25">
      <c r="A583">
        <v>582</v>
      </c>
      <c r="B583">
        <v>38</v>
      </c>
      <c r="C583" s="25" t="s">
        <v>334</v>
      </c>
      <c r="D583" s="12">
        <v>10.6</v>
      </c>
      <c r="E583" s="14">
        <v>1.4</v>
      </c>
      <c r="F583" s="7">
        <f t="shared" si="164"/>
        <v>7.5714285714285721</v>
      </c>
      <c r="G583" s="7">
        <f t="shared" si="172"/>
        <v>9.1999999999999993</v>
      </c>
      <c r="H583" s="16">
        <f t="shared" si="173"/>
        <v>12</v>
      </c>
      <c r="I583" s="11">
        <f t="shared" si="174"/>
        <v>0.13344285198072434</v>
      </c>
      <c r="J583" s="33">
        <f t="shared" si="175"/>
        <v>1.7624527620095667E-2</v>
      </c>
      <c r="K583" s="33">
        <f t="shared" si="176"/>
        <v>56.739109356882267</v>
      </c>
      <c r="L583" s="33">
        <f t="shared" si="177"/>
        <v>0.11581832436062867</v>
      </c>
      <c r="M583" s="33">
        <f t="shared" si="178"/>
        <v>0.15106737960082001</v>
      </c>
      <c r="N583" s="8">
        <v>0</v>
      </c>
      <c r="O583" s="9">
        <v>1</v>
      </c>
      <c r="P583" s="8">
        <v>0</v>
      </c>
      <c r="Q583" s="9">
        <v>0</v>
      </c>
      <c r="R583" s="9">
        <v>0</v>
      </c>
      <c r="S583" s="9">
        <v>1</v>
      </c>
      <c r="T583" s="9">
        <v>0</v>
      </c>
      <c r="U583" s="8">
        <v>3169</v>
      </c>
      <c r="V583" s="9">
        <v>6</v>
      </c>
      <c r="W583" s="9">
        <f t="shared" si="179"/>
        <v>3162</v>
      </c>
      <c r="X583" s="9">
        <f t="shared" si="180"/>
        <v>50</v>
      </c>
      <c r="Y583" s="7">
        <f t="shared" si="169"/>
        <v>9.4307999999999996</v>
      </c>
      <c r="Z583" s="7">
        <f t="shared" si="170"/>
        <v>23.669200000000004</v>
      </c>
      <c r="AA583" s="9">
        <v>1</v>
      </c>
      <c r="AB583" s="9">
        <v>0</v>
      </c>
      <c r="AC583" s="9">
        <v>1</v>
      </c>
      <c r="AD583" s="9">
        <v>0</v>
      </c>
      <c r="AE583" s="9">
        <v>0</v>
      </c>
      <c r="AF583" s="9">
        <v>0</v>
      </c>
      <c r="AG583" s="8">
        <v>1</v>
      </c>
      <c r="AH583" s="9">
        <v>0</v>
      </c>
      <c r="AI583" s="30">
        <v>0</v>
      </c>
      <c r="AJ583" s="9">
        <v>0</v>
      </c>
      <c r="AK583" s="30">
        <v>1</v>
      </c>
      <c r="AL583" s="21">
        <v>2001</v>
      </c>
      <c r="AM583" s="23">
        <f t="shared" si="181"/>
        <v>7.6014023345837334</v>
      </c>
      <c r="AN583" s="33">
        <v>0.13719999999999999</v>
      </c>
      <c r="AO583" s="33">
        <f t="shared" si="17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6</v>
      </c>
      <c r="DB583" s="34"/>
    </row>
    <row r="584" spans="1:106" x14ac:dyDescent="0.25">
      <c r="A584">
        <v>583</v>
      </c>
      <c r="B584">
        <v>38</v>
      </c>
      <c r="C584" s="25" t="s">
        <v>334</v>
      </c>
      <c r="D584" s="12">
        <v>8.9</v>
      </c>
      <c r="E584" s="14">
        <v>0.9</v>
      </c>
      <c r="F584" s="7">
        <f t="shared" si="164"/>
        <v>9.8888888888888893</v>
      </c>
      <c r="G584" s="7">
        <f t="shared" si="172"/>
        <v>8</v>
      </c>
      <c r="H584" s="16">
        <f t="shared" si="173"/>
        <v>9.8000000000000007</v>
      </c>
      <c r="I584" s="11">
        <f t="shared" si="174"/>
        <v>0.21725742008147989</v>
      </c>
      <c r="J584" s="33">
        <f t="shared" si="175"/>
        <v>2.1969851468913698E-2</v>
      </c>
      <c r="K584" s="33">
        <f t="shared" si="176"/>
        <v>45.516921287108055</v>
      </c>
      <c r="L584" s="33">
        <f t="shared" si="177"/>
        <v>0.19528756861256619</v>
      </c>
      <c r="M584" s="33">
        <f t="shared" si="178"/>
        <v>0.23922727155039358</v>
      </c>
      <c r="N584" s="8">
        <v>0</v>
      </c>
      <c r="O584" s="9">
        <v>1</v>
      </c>
      <c r="P584" s="8">
        <v>0</v>
      </c>
      <c r="Q584" s="9">
        <v>0</v>
      </c>
      <c r="R584" s="9">
        <v>0</v>
      </c>
      <c r="S584" s="9">
        <v>1</v>
      </c>
      <c r="T584" s="9">
        <v>0</v>
      </c>
      <c r="U584" s="8">
        <v>1981</v>
      </c>
      <c r="V584" s="9">
        <v>6</v>
      </c>
      <c r="W584" s="9">
        <f t="shared" si="179"/>
        <v>1974</v>
      </c>
      <c r="X584" s="9">
        <f t="shared" si="180"/>
        <v>50</v>
      </c>
      <c r="Y584" s="7">
        <f t="shared" si="169"/>
        <v>9.4307999999999996</v>
      </c>
      <c r="Z584" s="7">
        <f t="shared" si="170"/>
        <v>23.669200000000004</v>
      </c>
      <c r="AA584" s="9">
        <v>1</v>
      </c>
      <c r="AB584" s="9">
        <v>0</v>
      </c>
      <c r="AC584" s="9">
        <v>1</v>
      </c>
      <c r="AD584" s="9">
        <v>0</v>
      </c>
      <c r="AE584" s="9">
        <v>0</v>
      </c>
      <c r="AF584" s="9">
        <v>0</v>
      </c>
      <c r="AG584" s="8">
        <v>1</v>
      </c>
      <c r="AH584" s="9">
        <v>0</v>
      </c>
      <c r="AI584" s="30">
        <v>0</v>
      </c>
      <c r="AJ584" s="9">
        <v>0</v>
      </c>
      <c r="AK584" s="30">
        <v>1</v>
      </c>
      <c r="AL584" s="21">
        <v>2001</v>
      </c>
      <c r="AM584" s="23">
        <f t="shared" si="181"/>
        <v>7.6014023345837334</v>
      </c>
      <c r="AN584" s="33">
        <v>0.13719999999999999</v>
      </c>
      <c r="AO584" s="33">
        <f t="shared" si="17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6</v>
      </c>
      <c r="DB584" s="34"/>
    </row>
    <row r="585" spans="1:106" x14ac:dyDescent="0.25">
      <c r="A585">
        <v>584</v>
      </c>
      <c r="B585">
        <v>38</v>
      </c>
      <c r="C585" s="25" t="s">
        <v>334</v>
      </c>
      <c r="D585" s="12">
        <v>10</v>
      </c>
      <c r="E585" s="14">
        <v>0.8</v>
      </c>
      <c r="F585" s="7">
        <f t="shared" si="164"/>
        <v>12.5</v>
      </c>
      <c r="G585" s="7">
        <f t="shared" si="172"/>
        <v>9.1999999999999993</v>
      </c>
      <c r="H585" s="16">
        <f t="shared" si="173"/>
        <v>10.8</v>
      </c>
      <c r="I585" s="11">
        <f t="shared" si="174"/>
        <v>0.21699786527230083</v>
      </c>
      <c r="J585" s="33">
        <f t="shared" si="175"/>
        <v>1.7359829221784067E-2</v>
      </c>
      <c r="K585" s="33">
        <f t="shared" si="176"/>
        <v>57.604253315184984</v>
      </c>
      <c r="L585" s="33">
        <f t="shared" si="177"/>
        <v>0.19963803605051678</v>
      </c>
      <c r="M585" s="33">
        <f t="shared" si="178"/>
        <v>0.23435769449408489</v>
      </c>
      <c r="N585" s="8">
        <v>0</v>
      </c>
      <c r="O585" s="9">
        <v>1</v>
      </c>
      <c r="P585" s="8">
        <v>0</v>
      </c>
      <c r="Q585" s="9">
        <v>0</v>
      </c>
      <c r="R585" s="9">
        <v>0</v>
      </c>
      <c r="S585" s="9">
        <v>1</v>
      </c>
      <c r="T585" s="9">
        <v>0</v>
      </c>
      <c r="U585" s="8">
        <v>3169</v>
      </c>
      <c r="V585" s="9">
        <v>6</v>
      </c>
      <c r="W585" s="9">
        <f t="shared" si="179"/>
        <v>3162</v>
      </c>
      <c r="X585" s="9">
        <f t="shared" si="180"/>
        <v>50</v>
      </c>
      <c r="Y585" s="7">
        <f t="shared" si="169"/>
        <v>9.4307999999999996</v>
      </c>
      <c r="Z585" s="7">
        <f t="shared" si="170"/>
        <v>23.669200000000004</v>
      </c>
      <c r="AA585" s="9">
        <v>1</v>
      </c>
      <c r="AB585" s="9">
        <v>0</v>
      </c>
      <c r="AC585" s="9">
        <v>1</v>
      </c>
      <c r="AD585" s="9">
        <v>0</v>
      </c>
      <c r="AE585" s="9">
        <v>0</v>
      </c>
      <c r="AF585" s="9">
        <v>0</v>
      </c>
      <c r="AG585" s="8">
        <v>1</v>
      </c>
      <c r="AH585" s="9">
        <v>0</v>
      </c>
      <c r="AI585" s="30">
        <v>0</v>
      </c>
      <c r="AJ585" s="9">
        <v>0</v>
      </c>
      <c r="AK585" s="30">
        <v>1</v>
      </c>
      <c r="AL585" s="21">
        <v>2001</v>
      </c>
      <c r="AM585" s="23">
        <f t="shared" si="181"/>
        <v>7.6014023345837334</v>
      </c>
      <c r="AN585" s="33">
        <v>0.13719999999999999</v>
      </c>
      <c r="AO585" s="33">
        <f t="shared" si="17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6</v>
      </c>
      <c r="DB585" s="34"/>
    </row>
    <row r="586" spans="1:106" x14ac:dyDescent="0.25">
      <c r="A586">
        <v>585</v>
      </c>
      <c r="B586">
        <v>38</v>
      </c>
      <c r="C586" s="25" t="s">
        <v>334</v>
      </c>
      <c r="D586" s="12">
        <v>5.0999999999999996</v>
      </c>
      <c r="E586" s="14">
        <v>0.6</v>
      </c>
      <c r="F586" s="7">
        <f t="shared" si="164"/>
        <v>8.5</v>
      </c>
      <c r="G586" s="7">
        <f t="shared" si="172"/>
        <v>4.5</v>
      </c>
      <c r="H586" s="16">
        <f t="shared" si="173"/>
        <v>5.6999999999999993</v>
      </c>
      <c r="I586" s="11">
        <f t="shared" si="174"/>
        <v>0.18790553781709984</v>
      </c>
      <c r="J586" s="33">
        <f t="shared" si="175"/>
        <v>2.2106533860835276E-2</v>
      </c>
      <c r="K586" s="33">
        <f t="shared" si="176"/>
        <v>45.235494912734183</v>
      </c>
      <c r="L586" s="33">
        <f t="shared" si="177"/>
        <v>0.16579900395626457</v>
      </c>
      <c r="M586" s="33">
        <f t="shared" si="178"/>
        <v>0.21001207167793512</v>
      </c>
      <c r="N586" s="8">
        <v>0</v>
      </c>
      <c r="O586" s="9">
        <v>1</v>
      </c>
      <c r="P586" s="8">
        <v>0</v>
      </c>
      <c r="Q586" s="9">
        <v>0</v>
      </c>
      <c r="R586" s="9">
        <v>0</v>
      </c>
      <c r="S586" s="9">
        <v>1</v>
      </c>
      <c r="T586" s="9">
        <v>0</v>
      </c>
      <c r="U586" s="8">
        <v>1981</v>
      </c>
      <c r="V586" s="9">
        <v>6</v>
      </c>
      <c r="W586" s="9">
        <f t="shared" si="179"/>
        <v>1974</v>
      </c>
      <c r="X586" s="9">
        <f t="shared" si="180"/>
        <v>50</v>
      </c>
      <c r="Y586" s="7">
        <f t="shared" si="169"/>
        <v>9.4307999999999996</v>
      </c>
      <c r="Z586" s="7">
        <f t="shared" si="170"/>
        <v>23.669200000000004</v>
      </c>
      <c r="AA586" s="9">
        <v>1</v>
      </c>
      <c r="AB586" s="9">
        <v>0</v>
      </c>
      <c r="AC586" s="9">
        <v>1</v>
      </c>
      <c r="AD586" s="9">
        <v>0</v>
      </c>
      <c r="AE586" s="9">
        <v>0</v>
      </c>
      <c r="AF586" s="9">
        <v>0</v>
      </c>
      <c r="AG586" s="8">
        <v>1</v>
      </c>
      <c r="AH586" s="9">
        <v>0</v>
      </c>
      <c r="AI586" s="30">
        <v>0</v>
      </c>
      <c r="AJ586" s="9">
        <v>0</v>
      </c>
      <c r="AK586" s="30">
        <v>1</v>
      </c>
      <c r="AL586" s="21">
        <v>2001</v>
      </c>
      <c r="AM586" s="23">
        <f t="shared" si="181"/>
        <v>7.6014023345837334</v>
      </c>
      <c r="AN586" s="33">
        <v>0.13719999999999999</v>
      </c>
      <c r="AO586" s="33">
        <f t="shared" si="17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6</v>
      </c>
      <c r="DB586" s="34"/>
    </row>
    <row r="587" spans="1:106" x14ac:dyDescent="0.25">
      <c r="A587">
        <v>586</v>
      </c>
      <c r="B587">
        <v>38</v>
      </c>
      <c r="C587" s="25" t="s">
        <v>334</v>
      </c>
      <c r="D587" s="12">
        <v>8.1</v>
      </c>
      <c r="E587" s="14">
        <v>0.9</v>
      </c>
      <c r="F587" s="7">
        <f t="shared" si="164"/>
        <v>9</v>
      </c>
      <c r="G587" s="7">
        <f t="shared" si="172"/>
        <v>7.1999999999999993</v>
      </c>
      <c r="H587" s="16">
        <f t="shared" si="173"/>
        <v>9</v>
      </c>
      <c r="I587" s="11">
        <f t="shared" si="174"/>
        <v>0.15804073293140256</v>
      </c>
      <c r="J587" s="33">
        <f t="shared" si="175"/>
        <v>1.7560081436822507E-2</v>
      </c>
      <c r="K587" s="33">
        <f t="shared" si="176"/>
        <v>56.947344099615393</v>
      </c>
      <c r="L587" s="33">
        <f t="shared" si="177"/>
        <v>0.14048065149458006</v>
      </c>
      <c r="M587" s="33">
        <f t="shared" si="178"/>
        <v>0.17560081436822506</v>
      </c>
      <c r="N587" s="8">
        <v>0</v>
      </c>
      <c r="O587" s="9">
        <v>1</v>
      </c>
      <c r="P587" s="8">
        <v>0</v>
      </c>
      <c r="Q587" s="9">
        <v>0</v>
      </c>
      <c r="R587" s="9">
        <v>0</v>
      </c>
      <c r="S587" s="9">
        <v>1</v>
      </c>
      <c r="T587" s="9">
        <v>0</v>
      </c>
      <c r="U587" s="8">
        <v>3169</v>
      </c>
      <c r="V587" s="9">
        <v>6</v>
      </c>
      <c r="W587" s="9">
        <f t="shared" si="179"/>
        <v>3162</v>
      </c>
      <c r="X587" s="9">
        <f t="shared" si="180"/>
        <v>50</v>
      </c>
      <c r="Y587" s="7">
        <f t="shared" si="169"/>
        <v>9.4307999999999996</v>
      </c>
      <c r="Z587" s="7">
        <f t="shared" si="170"/>
        <v>23.669200000000004</v>
      </c>
      <c r="AA587" s="9">
        <v>1</v>
      </c>
      <c r="AB587" s="9">
        <v>0</v>
      </c>
      <c r="AC587" s="9">
        <v>1</v>
      </c>
      <c r="AD587" s="9">
        <v>0</v>
      </c>
      <c r="AE587" s="9">
        <v>0</v>
      </c>
      <c r="AF587" s="9">
        <v>0</v>
      </c>
      <c r="AG587" s="8">
        <v>1</v>
      </c>
      <c r="AH587" s="9">
        <v>0</v>
      </c>
      <c r="AI587" s="30">
        <v>0</v>
      </c>
      <c r="AJ587" s="9">
        <v>0</v>
      </c>
      <c r="AK587" s="30">
        <v>1</v>
      </c>
      <c r="AL587" s="21">
        <v>2001</v>
      </c>
      <c r="AM587" s="23">
        <f t="shared" si="181"/>
        <v>7.6014023345837334</v>
      </c>
      <c r="AN587" s="33">
        <v>0.13719999999999999</v>
      </c>
      <c r="AO587" s="33">
        <f t="shared" si="17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6</v>
      </c>
      <c r="DB587" s="34"/>
    </row>
    <row r="588" spans="1:106" x14ac:dyDescent="0.25">
      <c r="A588">
        <v>587</v>
      </c>
      <c r="B588">
        <v>38</v>
      </c>
      <c r="C588" s="25" t="s">
        <v>334</v>
      </c>
      <c r="D588" s="12">
        <v>3.6</v>
      </c>
      <c r="E588" s="14">
        <v>0.7</v>
      </c>
      <c r="F588" s="7">
        <f t="shared" si="164"/>
        <v>5.1428571428571432</v>
      </c>
      <c r="G588" s="7">
        <f t="shared" si="172"/>
        <v>2.9000000000000004</v>
      </c>
      <c r="H588" s="16">
        <f t="shared" si="173"/>
        <v>4.3</v>
      </c>
      <c r="I588" s="11">
        <f t="shared" si="174"/>
        <v>0.11498487595858155</v>
      </c>
      <c r="J588" s="33">
        <f t="shared" si="175"/>
        <v>2.2358170325279741E-2</v>
      </c>
      <c r="K588" s="33">
        <f t="shared" si="176"/>
        <v>44.726379012746349</v>
      </c>
      <c r="L588" s="33">
        <f t="shared" si="177"/>
        <v>9.2626705633301804E-2</v>
      </c>
      <c r="M588" s="33">
        <f t="shared" si="178"/>
        <v>0.13734304628386129</v>
      </c>
      <c r="N588" s="8">
        <v>0</v>
      </c>
      <c r="O588" s="9">
        <v>1</v>
      </c>
      <c r="P588" s="8">
        <v>0</v>
      </c>
      <c r="Q588" s="9">
        <v>0</v>
      </c>
      <c r="R588" s="9">
        <v>0</v>
      </c>
      <c r="S588" s="9">
        <v>1</v>
      </c>
      <c r="T588" s="9">
        <v>0</v>
      </c>
      <c r="U588" s="8">
        <v>1981</v>
      </c>
      <c r="V588" s="9">
        <v>6</v>
      </c>
      <c r="W588" s="9">
        <f t="shared" si="179"/>
        <v>1974</v>
      </c>
      <c r="X588" s="9">
        <f t="shared" si="180"/>
        <v>50</v>
      </c>
      <c r="Y588" s="7">
        <f t="shared" si="169"/>
        <v>9.4307999999999996</v>
      </c>
      <c r="Z588" s="7">
        <f t="shared" si="170"/>
        <v>23.669200000000004</v>
      </c>
      <c r="AA588" s="9">
        <v>1</v>
      </c>
      <c r="AB588" s="9">
        <v>0</v>
      </c>
      <c r="AC588" s="9">
        <v>1</v>
      </c>
      <c r="AD588" s="9">
        <v>0</v>
      </c>
      <c r="AE588" s="9">
        <v>0</v>
      </c>
      <c r="AF588" s="9">
        <v>0</v>
      </c>
      <c r="AG588" s="8">
        <v>1</v>
      </c>
      <c r="AH588" s="9">
        <v>0</v>
      </c>
      <c r="AI588" s="30">
        <v>0</v>
      </c>
      <c r="AJ588" s="9">
        <v>0</v>
      </c>
      <c r="AK588" s="30">
        <v>1</v>
      </c>
      <c r="AL588" s="21">
        <v>2001</v>
      </c>
      <c r="AM588" s="23">
        <f t="shared" si="181"/>
        <v>7.6014023345837334</v>
      </c>
      <c r="AN588" s="33">
        <v>0.13719999999999999</v>
      </c>
      <c r="AO588" s="33">
        <f t="shared" si="17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6</v>
      </c>
      <c r="DB588" s="34"/>
    </row>
    <row r="589" spans="1:106" x14ac:dyDescent="0.25">
      <c r="A589">
        <v>588</v>
      </c>
      <c r="B589">
        <v>38</v>
      </c>
      <c r="C589" s="25" t="s">
        <v>334</v>
      </c>
      <c r="D589" s="12">
        <v>7.1</v>
      </c>
      <c r="E589" s="14">
        <v>0.9</v>
      </c>
      <c r="F589" s="7">
        <f t="shared" si="164"/>
        <v>7.8888888888888884</v>
      </c>
      <c r="G589" s="7">
        <f t="shared" si="172"/>
        <v>6.1999999999999993</v>
      </c>
      <c r="H589" s="16">
        <f t="shared" si="173"/>
        <v>8</v>
      </c>
      <c r="I589" s="11">
        <f t="shared" si="174"/>
        <v>0.13893207571861219</v>
      </c>
      <c r="J589" s="33">
        <f t="shared" si="175"/>
        <v>1.7611108189683235E-2</v>
      </c>
      <c r="K589" s="33">
        <f t="shared" si="176"/>
        <v>56.782343804225228</v>
      </c>
      <c r="L589" s="33">
        <f t="shared" si="177"/>
        <v>0.12132096752892896</v>
      </c>
      <c r="M589" s="33">
        <f t="shared" si="178"/>
        <v>0.15654318390829541</v>
      </c>
      <c r="N589" s="8">
        <v>0</v>
      </c>
      <c r="O589" s="9">
        <v>1</v>
      </c>
      <c r="P589" s="8">
        <v>0</v>
      </c>
      <c r="Q589" s="9">
        <v>0</v>
      </c>
      <c r="R589" s="9">
        <v>0</v>
      </c>
      <c r="S589" s="9">
        <v>1</v>
      </c>
      <c r="T589" s="9">
        <v>0</v>
      </c>
      <c r="U589" s="8">
        <v>3169</v>
      </c>
      <c r="V589" s="9">
        <v>6</v>
      </c>
      <c r="W589" s="9">
        <f t="shared" si="179"/>
        <v>3162</v>
      </c>
      <c r="X589" s="9">
        <f t="shared" si="180"/>
        <v>50</v>
      </c>
      <c r="Y589" s="7">
        <f t="shared" si="169"/>
        <v>9.4307999999999996</v>
      </c>
      <c r="Z589" s="7">
        <f t="shared" si="170"/>
        <v>23.669200000000004</v>
      </c>
      <c r="AA589" s="9">
        <v>1</v>
      </c>
      <c r="AB589" s="9">
        <v>0</v>
      </c>
      <c r="AC589" s="9">
        <v>1</v>
      </c>
      <c r="AD589" s="9">
        <v>0</v>
      </c>
      <c r="AE589" s="9">
        <v>0</v>
      </c>
      <c r="AF589" s="9">
        <v>0</v>
      </c>
      <c r="AG589" s="8">
        <v>1</v>
      </c>
      <c r="AH589" s="9">
        <v>0</v>
      </c>
      <c r="AI589" s="30">
        <v>0</v>
      </c>
      <c r="AJ589" s="9">
        <v>0</v>
      </c>
      <c r="AK589" s="30">
        <v>1</v>
      </c>
      <c r="AL589" s="21">
        <v>2001</v>
      </c>
      <c r="AM589" s="23">
        <f t="shared" si="181"/>
        <v>7.6014023345837334</v>
      </c>
      <c r="AN589" s="33">
        <v>0.13719999999999999</v>
      </c>
      <c r="AO589" s="33">
        <f t="shared" si="17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6</v>
      </c>
      <c r="DB589" s="34"/>
    </row>
    <row r="590" spans="1:106" x14ac:dyDescent="0.25">
      <c r="A590">
        <v>589</v>
      </c>
      <c r="B590">
        <v>38</v>
      </c>
      <c r="C590" s="25" t="s">
        <v>334</v>
      </c>
      <c r="D590" s="12">
        <v>2.6</v>
      </c>
      <c r="E590" s="14">
        <v>0.7</v>
      </c>
      <c r="F590" s="7">
        <f t="shared" si="164"/>
        <v>3.7142857142857149</v>
      </c>
      <c r="G590" s="7">
        <f t="shared" si="172"/>
        <v>1.9000000000000001</v>
      </c>
      <c r="H590" s="16">
        <f t="shared" si="173"/>
        <v>3.3</v>
      </c>
      <c r="I590" s="11">
        <f t="shared" si="174"/>
        <v>8.3308518375353649E-2</v>
      </c>
      <c r="J590" s="33">
        <f t="shared" si="175"/>
        <v>2.2429216485672133E-2</v>
      </c>
      <c r="K590" s="33">
        <f t="shared" si="176"/>
        <v>44.584704982396673</v>
      </c>
      <c r="L590" s="33">
        <f t="shared" si="177"/>
        <v>6.087930188968152E-2</v>
      </c>
      <c r="M590" s="33">
        <f t="shared" si="178"/>
        <v>0.10573773486102578</v>
      </c>
      <c r="N590" s="8">
        <v>0</v>
      </c>
      <c r="O590" s="9">
        <v>1</v>
      </c>
      <c r="P590" s="8">
        <v>0</v>
      </c>
      <c r="Q590" s="9">
        <v>0</v>
      </c>
      <c r="R590" s="9">
        <v>0</v>
      </c>
      <c r="S590" s="9">
        <v>1</v>
      </c>
      <c r="T590" s="9">
        <v>0</v>
      </c>
      <c r="U590" s="8">
        <v>1981</v>
      </c>
      <c r="V590" s="9">
        <v>6</v>
      </c>
      <c r="W590" s="9">
        <f t="shared" si="179"/>
        <v>1974</v>
      </c>
      <c r="X590" s="9">
        <f t="shared" si="180"/>
        <v>50</v>
      </c>
      <c r="Y590" s="7">
        <f t="shared" si="169"/>
        <v>9.4307999999999996</v>
      </c>
      <c r="Z590" s="7">
        <f t="shared" si="170"/>
        <v>23.669200000000004</v>
      </c>
      <c r="AA590" s="9">
        <v>1</v>
      </c>
      <c r="AB590" s="9">
        <v>0</v>
      </c>
      <c r="AC590" s="9">
        <v>1</v>
      </c>
      <c r="AD590" s="9">
        <v>0</v>
      </c>
      <c r="AE590" s="9">
        <v>0</v>
      </c>
      <c r="AF590" s="9">
        <v>0</v>
      </c>
      <c r="AG590" s="8">
        <v>1</v>
      </c>
      <c r="AH590" s="9">
        <v>0</v>
      </c>
      <c r="AI590" s="30">
        <v>0</v>
      </c>
      <c r="AJ590" s="9">
        <v>0</v>
      </c>
      <c r="AK590" s="30">
        <v>1</v>
      </c>
      <c r="AL590" s="21">
        <v>2001</v>
      </c>
      <c r="AM590" s="23">
        <f t="shared" si="181"/>
        <v>7.6014023345837334</v>
      </c>
      <c r="AN590" s="33">
        <v>0.13719999999999999</v>
      </c>
      <c r="AO590" s="33">
        <f t="shared" si="17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6</v>
      </c>
      <c r="DB590" s="34"/>
    </row>
    <row r="591" spans="1:106" x14ac:dyDescent="0.25">
      <c r="A591">
        <v>590</v>
      </c>
      <c r="B591">
        <v>38</v>
      </c>
      <c r="C591" s="25" t="s">
        <v>334</v>
      </c>
      <c r="D591" s="12">
        <v>7.7</v>
      </c>
      <c r="E591" s="14">
        <v>1.3</v>
      </c>
      <c r="F591" s="7">
        <f t="shared" si="164"/>
        <v>5.9230769230769234</v>
      </c>
      <c r="G591" s="7">
        <f t="shared" si="172"/>
        <v>6.4</v>
      </c>
      <c r="H591" s="16">
        <f t="shared" si="173"/>
        <v>9</v>
      </c>
      <c r="I591" s="11">
        <f t="shared" si="174"/>
        <v>0.10475395483515031</v>
      </c>
      <c r="J591" s="33">
        <f t="shared" si="175"/>
        <v>1.7685732634505895E-2</v>
      </c>
      <c r="K591" s="33">
        <f t="shared" si="176"/>
        <v>56.542752322792765</v>
      </c>
      <c r="L591" s="33">
        <f t="shared" si="177"/>
        <v>8.7068222200644418E-2</v>
      </c>
      <c r="M591" s="33">
        <f t="shared" si="178"/>
        <v>0.12243968746965619</v>
      </c>
      <c r="N591" s="8">
        <v>0</v>
      </c>
      <c r="O591" s="9">
        <v>1</v>
      </c>
      <c r="P591" s="8">
        <v>0</v>
      </c>
      <c r="Q591" s="9">
        <v>0</v>
      </c>
      <c r="R591" s="9">
        <v>0</v>
      </c>
      <c r="S591" s="9">
        <v>1</v>
      </c>
      <c r="T591" s="9">
        <v>0</v>
      </c>
      <c r="U591" s="8">
        <v>3169</v>
      </c>
      <c r="V591" s="9">
        <v>6</v>
      </c>
      <c r="W591" s="9">
        <f t="shared" si="179"/>
        <v>3162</v>
      </c>
      <c r="X591" s="9">
        <f t="shared" si="180"/>
        <v>50</v>
      </c>
      <c r="Y591" s="7">
        <f t="shared" si="169"/>
        <v>9.4307999999999996</v>
      </c>
      <c r="Z591" s="7">
        <f t="shared" si="170"/>
        <v>23.669200000000004</v>
      </c>
      <c r="AA591" s="9">
        <v>1</v>
      </c>
      <c r="AB591" s="9">
        <v>0</v>
      </c>
      <c r="AC591" s="9">
        <v>1</v>
      </c>
      <c r="AD591" s="9">
        <v>0</v>
      </c>
      <c r="AE591" s="9">
        <v>0</v>
      </c>
      <c r="AF591" s="9">
        <v>0</v>
      </c>
      <c r="AG591" s="8">
        <v>1</v>
      </c>
      <c r="AH591" s="9">
        <v>0</v>
      </c>
      <c r="AI591" s="30">
        <v>0</v>
      </c>
      <c r="AJ591" s="9">
        <v>0</v>
      </c>
      <c r="AK591" s="30">
        <v>1</v>
      </c>
      <c r="AL591" s="21">
        <v>2001</v>
      </c>
      <c r="AM591" s="23">
        <f t="shared" si="181"/>
        <v>7.6014023345837334</v>
      </c>
      <c r="AN591" s="33">
        <v>0.13719999999999999</v>
      </c>
      <c r="AO591" s="33">
        <f t="shared" si="17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6</v>
      </c>
      <c r="DB591" s="34"/>
    </row>
    <row r="592" spans="1:106" x14ac:dyDescent="0.25">
      <c r="A592">
        <v>591</v>
      </c>
      <c r="B592">
        <v>38</v>
      </c>
      <c r="C592" s="25" t="s">
        <v>334</v>
      </c>
      <c r="D592" s="12">
        <v>5.7</v>
      </c>
      <c r="E592" s="14">
        <v>0.9</v>
      </c>
      <c r="F592" s="7">
        <f t="shared" si="164"/>
        <v>6.333333333333333</v>
      </c>
      <c r="G592" s="7">
        <f t="shared" si="172"/>
        <v>4.8</v>
      </c>
      <c r="H592" s="16">
        <f t="shared" si="173"/>
        <v>6.6000000000000005</v>
      </c>
      <c r="I592" s="11">
        <f t="shared" si="174"/>
        <v>0.14112067126126332</v>
      </c>
      <c r="J592" s="33">
        <f t="shared" si="175"/>
        <v>2.2282211251778417E-2</v>
      </c>
      <c r="K592" s="33">
        <f t="shared" si="176"/>
        <v>44.878849262331926</v>
      </c>
      <c r="L592" s="33">
        <f t="shared" si="177"/>
        <v>0.11883846000948491</v>
      </c>
      <c r="M592" s="33">
        <f t="shared" si="178"/>
        <v>0.16340288251304175</v>
      </c>
      <c r="N592" s="8">
        <v>0</v>
      </c>
      <c r="O592" s="9">
        <v>1</v>
      </c>
      <c r="P592" s="8">
        <v>0</v>
      </c>
      <c r="Q592" s="9">
        <v>0</v>
      </c>
      <c r="R592" s="9">
        <v>0</v>
      </c>
      <c r="S592" s="9">
        <v>1</v>
      </c>
      <c r="T592" s="9">
        <v>0</v>
      </c>
      <c r="U592" s="8">
        <v>1981</v>
      </c>
      <c r="V592" s="9">
        <v>6</v>
      </c>
      <c r="W592" s="9">
        <f t="shared" si="179"/>
        <v>1974</v>
      </c>
      <c r="X592" s="9">
        <f t="shared" si="180"/>
        <v>50</v>
      </c>
      <c r="Y592" s="7">
        <f t="shared" si="169"/>
        <v>9.4307999999999996</v>
      </c>
      <c r="Z592" s="7">
        <f t="shared" si="170"/>
        <v>23.669200000000004</v>
      </c>
      <c r="AA592" s="9">
        <v>1</v>
      </c>
      <c r="AB592" s="9">
        <v>0</v>
      </c>
      <c r="AC592" s="9">
        <v>1</v>
      </c>
      <c r="AD592" s="9">
        <v>0</v>
      </c>
      <c r="AE592" s="9">
        <v>0</v>
      </c>
      <c r="AF592" s="9">
        <v>0</v>
      </c>
      <c r="AG592" s="8">
        <v>1</v>
      </c>
      <c r="AH592" s="9">
        <v>0</v>
      </c>
      <c r="AI592" s="30">
        <v>0</v>
      </c>
      <c r="AJ592" s="9">
        <v>0</v>
      </c>
      <c r="AK592" s="30">
        <v>1</v>
      </c>
      <c r="AL592" s="21">
        <v>2001</v>
      </c>
      <c r="AM592" s="23">
        <f t="shared" si="181"/>
        <v>7.6014023345837334</v>
      </c>
      <c r="AN592" s="33">
        <v>0.13719999999999999</v>
      </c>
      <c r="AO592" s="33">
        <f t="shared" si="17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6</v>
      </c>
      <c r="DB592" s="34"/>
    </row>
    <row r="593" spans="1:106" x14ac:dyDescent="0.25">
      <c r="A593">
        <v>592</v>
      </c>
      <c r="B593">
        <v>38</v>
      </c>
      <c r="C593" s="25" t="s">
        <v>334</v>
      </c>
      <c r="D593" s="12">
        <v>6.4</v>
      </c>
      <c r="E593" s="14">
        <v>0.2</v>
      </c>
      <c r="F593" s="7">
        <f t="shared" si="164"/>
        <v>32</v>
      </c>
      <c r="G593" s="7">
        <f t="shared" si="172"/>
        <v>6.2</v>
      </c>
      <c r="H593" s="16">
        <f t="shared" si="173"/>
        <v>6.6000000000000005</v>
      </c>
      <c r="I593" s="11">
        <f t="shared" si="174"/>
        <v>0.25757916462010488</v>
      </c>
      <c r="J593" s="33">
        <f t="shared" si="175"/>
        <v>8.0493488943782776E-3</v>
      </c>
      <c r="K593" s="33">
        <f t="shared" si="176"/>
        <v>124.23365083583433</v>
      </c>
      <c r="L593" s="33">
        <f t="shared" si="177"/>
        <v>0.24952981572572661</v>
      </c>
      <c r="M593" s="33">
        <f t="shared" si="178"/>
        <v>0.26562851351448313</v>
      </c>
      <c r="N593" s="8">
        <v>0</v>
      </c>
      <c r="O593" s="9">
        <v>1</v>
      </c>
      <c r="P593" s="8">
        <v>0</v>
      </c>
      <c r="Q593" s="9">
        <v>0</v>
      </c>
      <c r="R593" s="9">
        <v>0</v>
      </c>
      <c r="S593" s="9">
        <v>1</v>
      </c>
      <c r="T593" s="9">
        <v>0</v>
      </c>
      <c r="U593" s="8">
        <v>14424</v>
      </c>
      <c r="V593" s="9">
        <v>13</v>
      </c>
      <c r="W593" s="9">
        <f t="shared" si="179"/>
        <v>14410</v>
      </c>
      <c r="X593" s="9">
        <f t="shared" si="180"/>
        <v>50</v>
      </c>
      <c r="Y593" s="7">
        <f t="shared" si="169"/>
        <v>9.4307999999999996</v>
      </c>
      <c r="Z593" s="7">
        <f t="shared" si="170"/>
        <v>23.669200000000004</v>
      </c>
      <c r="AA593" s="9">
        <v>1</v>
      </c>
      <c r="AB593" s="9">
        <v>0</v>
      </c>
      <c r="AC593" s="9">
        <v>1</v>
      </c>
      <c r="AD593" s="9">
        <v>0</v>
      </c>
      <c r="AE593" s="9">
        <v>0</v>
      </c>
      <c r="AF593" s="9">
        <v>0</v>
      </c>
      <c r="AG593" s="8">
        <v>1</v>
      </c>
      <c r="AH593" s="9">
        <v>0</v>
      </c>
      <c r="AI593" s="30">
        <v>0</v>
      </c>
      <c r="AJ593" s="9">
        <v>0</v>
      </c>
      <c r="AK593" s="30">
        <v>1</v>
      </c>
      <c r="AL593" s="21">
        <v>2001</v>
      </c>
      <c r="AM593" s="23">
        <f t="shared" si="181"/>
        <v>7.6014023345837334</v>
      </c>
      <c r="AN593" s="33">
        <v>0.13719999999999999</v>
      </c>
      <c r="AO593" s="33">
        <f t="shared" si="17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6</v>
      </c>
      <c r="DB593" s="34"/>
    </row>
    <row r="594" spans="1:106" x14ac:dyDescent="0.25">
      <c r="A594">
        <v>593</v>
      </c>
      <c r="B594">
        <v>38</v>
      </c>
      <c r="C594" s="25" t="s">
        <v>334</v>
      </c>
      <c r="D594" s="12">
        <v>20.5</v>
      </c>
      <c r="E594" s="14">
        <v>1.2</v>
      </c>
      <c r="F594" s="7">
        <f t="shared" si="164"/>
        <v>17.083333333333336</v>
      </c>
      <c r="G594" s="7">
        <f t="shared" si="172"/>
        <v>19.3</v>
      </c>
      <c r="H594" s="16">
        <f t="shared" si="173"/>
        <v>21.7</v>
      </c>
      <c r="I594" s="11">
        <f t="shared" si="174"/>
        <v>0.14089213975768597</v>
      </c>
      <c r="J594" s="33">
        <f t="shared" si="175"/>
        <v>8.2473447663035677E-3</v>
      </c>
      <c r="K594" s="33">
        <f t="shared" si="176"/>
        <v>121.25114546996156</v>
      </c>
      <c r="L594" s="33">
        <f t="shared" si="177"/>
        <v>0.1326447949913824</v>
      </c>
      <c r="M594" s="33">
        <f t="shared" si="178"/>
        <v>0.14913948452398954</v>
      </c>
      <c r="N594" s="8">
        <v>0</v>
      </c>
      <c r="O594" s="9">
        <v>1</v>
      </c>
      <c r="P594" s="8">
        <v>0</v>
      </c>
      <c r="Q594" s="9">
        <v>0</v>
      </c>
      <c r="R594" s="9">
        <v>0</v>
      </c>
      <c r="S594" s="9">
        <v>1</v>
      </c>
      <c r="T594" s="9">
        <v>0</v>
      </c>
      <c r="U594" s="8">
        <v>14424</v>
      </c>
      <c r="V594" s="9">
        <v>13</v>
      </c>
      <c r="W594" s="9">
        <f t="shared" si="179"/>
        <v>14410</v>
      </c>
      <c r="X594" s="9">
        <f t="shared" si="180"/>
        <v>50</v>
      </c>
      <c r="Y594" s="7">
        <f t="shared" si="169"/>
        <v>9.4307999999999996</v>
      </c>
      <c r="Z594" s="7">
        <f t="shared" si="170"/>
        <v>23.669200000000004</v>
      </c>
      <c r="AA594" s="9">
        <v>1</v>
      </c>
      <c r="AB594" s="9">
        <v>0</v>
      </c>
      <c r="AC594" s="9">
        <v>1</v>
      </c>
      <c r="AD594" s="9">
        <v>0</v>
      </c>
      <c r="AE594" s="9">
        <v>0</v>
      </c>
      <c r="AF594" s="9">
        <v>0</v>
      </c>
      <c r="AG594" s="8">
        <v>1</v>
      </c>
      <c r="AH594" s="9">
        <v>0</v>
      </c>
      <c r="AI594" s="30">
        <v>0</v>
      </c>
      <c r="AJ594" s="9">
        <v>0</v>
      </c>
      <c r="AK594" s="30">
        <v>1</v>
      </c>
      <c r="AL594" s="21">
        <v>2001</v>
      </c>
      <c r="AM594" s="23">
        <f t="shared" si="181"/>
        <v>7.6014023345837334</v>
      </c>
      <c r="AN594" s="33">
        <v>0.13719999999999999</v>
      </c>
      <c r="AO594" s="33">
        <f t="shared" si="17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6</v>
      </c>
      <c r="DB594" s="34"/>
    </row>
    <row r="595" spans="1:106" x14ac:dyDescent="0.25">
      <c r="A595">
        <v>594</v>
      </c>
      <c r="B595">
        <v>38</v>
      </c>
      <c r="C595" s="25" t="s">
        <v>334</v>
      </c>
      <c r="D595" s="12">
        <v>9.5</v>
      </c>
      <c r="E595" s="14">
        <v>0.7</v>
      </c>
      <c r="F595" s="7">
        <f t="shared" si="164"/>
        <v>13.571428571428573</v>
      </c>
      <c r="G595" s="7">
        <f t="shared" si="172"/>
        <v>8.8000000000000007</v>
      </c>
      <c r="H595" s="16">
        <f t="shared" si="173"/>
        <v>10.199999999999999</v>
      </c>
      <c r="I595" s="11">
        <f t="shared" si="174"/>
        <v>0.10093927473308457</v>
      </c>
      <c r="J595" s="33">
        <f t="shared" si="175"/>
        <v>7.4376307698062307E-3</v>
      </c>
      <c r="K595" s="33">
        <f t="shared" si="176"/>
        <v>134.45141752123473</v>
      </c>
      <c r="L595" s="33">
        <f t="shared" si="177"/>
        <v>9.3501643963278341E-2</v>
      </c>
      <c r="M595" s="33">
        <f t="shared" si="178"/>
        <v>0.10837690550289081</v>
      </c>
      <c r="N595" s="8">
        <v>0</v>
      </c>
      <c r="O595" s="9">
        <v>1</v>
      </c>
      <c r="P595" s="8">
        <v>0</v>
      </c>
      <c r="Q595" s="9">
        <v>0</v>
      </c>
      <c r="R595" s="9">
        <v>0</v>
      </c>
      <c r="S595" s="9">
        <v>1</v>
      </c>
      <c r="T595" s="9">
        <v>0</v>
      </c>
      <c r="U595" s="8">
        <v>17907</v>
      </c>
      <c r="V595" s="9">
        <v>13</v>
      </c>
      <c r="W595" s="9">
        <f t="shared" si="179"/>
        <v>17893</v>
      </c>
      <c r="X595" s="9">
        <f t="shared" si="180"/>
        <v>50</v>
      </c>
      <c r="Y595" s="7">
        <f t="shared" si="169"/>
        <v>9.4307999999999996</v>
      </c>
      <c r="Z595" s="7">
        <f t="shared" si="170"/>
        <v>23.669200000000004</v>
      </c>
      <c r="AA595" s="9">
        <v>1</v>
      </c>
      <c r="AB595" s="9">
        <v>0</v>
      </c>
      <c r="AC595" s="9">
        <v>1</v>
      </c>
      <c r="AD595" s="9">
        <v>0</v>
      </c>
      <c r="AE595" s="9">
        <v>0</v>
      </c>
      <c r="AF595" s="9">
        <v>0</v>
      </c>
      <c r="AG595" s="8">
        <v>1</v>
      </c>
      <c r="AH595" s="9">
        <v>0</v>
      </c>
      <c r="AI595" s="30">
        <v>0</v>
      </c>
      <c r="AJ595" s="9">
        <v>0</v>
      </c>
      <c r="AK595" s="30">
        <v>1</v>
      </c>
      <c r="AL595" s="21">
        <v>2001</v>
      </c>
      <c r="AM595" s="23">
        <f t="shared" si="181"/>
        <v>7.6014023345837334</v>
      </c>
      <c r="AN595" s="33">
        <v>0.13719999999999999</v>
      </c>
      <c r="AO595" s="33">
        <f t="shared" si="17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6</v>
      </c>
      <c r="DB595" s="34"/>
    </row>
    <row r="596" spans="1:106" x14ac:dyDescent="0.25">
      <c r="A596">
        <v>595</v>
      </c>
      <c r="B596">
        <v>38</v>
      </c>
      <c r="C596" s="25" t="s">
        <v>334</v>
      </c>
      <c r="D596" s="12">
        <v>6.4</v>
      </c>
      <c r="E596" s="14">
        <v>0.2</v>
      </c>
      <c r="F596" s="7">
        <f t="shared" si="164"/>
        <v>32</v>
      </c>
      <c r="G596" s="7">
        <f t="shared" si="172"/>
        <v>6.2</v>
      </c>
      <c r="H596" s="16">
        <f t="shared" si="173"/>
        <v>6.6000000000000005</v>
      </c>
      <c r="I596" s="11">
        <f t="shared" si="174"/>
        <v>0.33193163431017081</v>
      </c>
      <c r="J596" s="33">
        <f t="shared" si="175"/>
        <v>1.0372863572192838E-2</v>
      </c>
      <c r="K596" s="33">
        <f t="shared" si="176"/>
        <v>96.405394039960228</v>
      </c>
      <c r="L596" s="33">
        <f t="shared" si="177"/>
        <v>0.32155877073797795</v>
      </c>
      <c r="M596" s="33">
        <f t="shared" si="178"/>
        <v>0.34230449788236367</v>
      </c>
      <c r="N596" s="8">
        <v>0</v>
      </c>
      <c r="O596" s="9">
        <v>1</v>
      </c>
      <c r="P596" s="8">
        <v>0</v>
      </c>
      <c r="Q596" s="9">
        <v>0</v>
      </c>
      <c r="R596" s="9">
        <v>0</v>
      </c>
      <c r="S596" s="9">
        <v>1</v>
      </c>
      <c r="T596" s="9">
        <v>0</v>
      </c>
      <c r="U596" s="8">
        <v>8284</v>
      </c>
      <c r="V596" s="9">
        <v>13</v>
      </c>
      <c r="W596" s="9">
        <f t="shared" si="179"/>
        <v>8270</v>
      </c>
      <c r="X596" s="9">
        <f t="shared" si="180"/>
        <v>50</v>
      </c>
      <c r="Y596" s="7">
        <f t="shared" si="169"/>
        <v>9.4307999999999996</v>
      </c>
      <c r="Z596" s="7">
        <f t="shared" si="170"/>
        <v>23.669200000000004</v>
      </c>
      <c r="AA596" s="9">
        <v>1</v>
      </c>
      <c r="AB596" s="9">
        <v>0</v>
      </c>
      <c r="AC596" s="9">
        <v>1</v>
      </c>
      <c r="AD596" s="9">
        <v>0</v>
      </c>
      <c r="AE596" s="9">
        <v>0</v>
      </c>
      <c r="AF596" s="9">
        <v>0</v>
      </c>
      <c r="AG596" s="8">
        <v>1</v>
      </c>
      <c r="AH596" s="9">
        <v>0</v>
      </c>
      <c r="AI596" s="30">
        <v>0</v>
      </c>
      <c r="AJ596" s="9">
        <v>0</v>
      </c>
      <c r="AK596" s="30">
        <v>1</v>
      </c>
      <c r="AL596" s="21">
        <v>2001</v>
      </c>
      <c r="AM596" s="23">
        <f t="shared" si="181"/>
        <v>7.6014023345837334</v>
      </c>
      <c r="AN596" s="33">
        <v>0.13719999999999999</v>
      </c>
      <c r="AO596" s="33">
        <f t="shared" si="17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6</v>
      </c>
      <c r="DB596" s="34"/>
    </row>
    <row r="597" spans="1:106" x14ac:dyDescent="0.25">
      <c r="A597">
        <v>596</v>
      </c>
      <c r="B597">
        <v>38</v>
      </c>
      <c r="C597" s="25" t="s">
        <v>334</v>
      </c>
      <c r="D597" s="12">
        <v>20.9</v>
      </c>
      <c r="E597" s="14">
        <v>1.4</v>
      </c>
      <c r="F597" s="7">
        <f t="shared" si="164"/>
        <v>14.928571428571429</v>
      </c>
      <c r="G597" s="7">
        <f t="shared" si="172"/>
        <v>19.5</v>
      </c>
      <c r="H597" s="16">
        <f t="shared" si="173"/>
        <v>22.299999999999997</v>
      </c>
      <c r="I597" s="11">
        <f t="shared" si="174"/>
        <v>0.1619911208929482</v>
      </c>
      <c r="J597" s="33">
        <f t="shared" si="175"/>
        <v>1.0851079868427153E-2</v>
      </c>
      <c r="K597" s="33">
        <f t="shared" si="176"/>
        <v>92.156726530937277</v>
      </c>
      <c r="L597" s="33">
        <f t="shared" si="177"/>
        <v>0.15114004102452105</v>
      </c>
      <c r="M597" s="33">
        <f t="shared" si="178"/>
        <v>0.17284220076137535</v>
      </c>
      <c r="N597" s="8">
        <v>0</v>
      </c>
      <c r="O597" s="9">
        <v>1</v>
      </c>
      <c r="P597" s="8">
        <v>0</v>
      </c>
      <c r="Q597" s="9">
        <v>0</v>
      </c>
      <c r="R597" s="9">
        <v>0</v>
      </c>
      <c r="S597" s="9">
        <v>1</v>
      </c>
      <c r="T597" s="9">
        <v>0</v>
      </c>
      <c r="U597" s="8">
        <v>8284</v>
      </c>
      <c r="V597" s="9">
        <v>13</v>
      </c>
      <c r="W597" s="9">
        <f t="shared" si="179"/>
        <v>8270</v>
      </c>
      <c r="X597" s="9">
        <f t="shared" si="180"/>
        <v>50</v>
      </c>
      <c r="Y597" s="7">
        <f t="shared" si="169"/>
        <v>9.4307999999999996</v>
      </c>
      <c r="Z597" s="7">
        <f t="shared" si="170"/>
        <v>23.669200000000004</v>
      </c>
      <c r="AA597" s="9">
        <v>1</v>
      </c>
      <c r="AB597" s="9">
        <v>0</v>
      </c>
      <c r="AC597" s="9">
        <v>1</v>
      </c>
      <c r="AD597" s="9">
        <v>0</v>
      </c>
      <c r="AE597" s="9">
        <v>0</v>
      </c>
      <c r="AF597" s="9">
        <v>0</v>
      </c>
      <c r="AG597" s="8">
        <v>1</v>
      </c>
      <c r="AH597" s="9">
        <v>0</v>
      </c>
      <c r="AI597" s="30">
        <v>0</v>
      </c>
      <c r="AJ597" s="9">
        <v>0</v>
      </c>
      <c r="AK597" s="30">
        <v>1</v>
      </c>
      <c r="AL597" s="21">
        <v>2001</v>
      </c>
      <c r="AM597" s="23">
        <f t="shared" si="181"/>
        <v>7.6014023345837334</v>
      </c>
      <c r="AN597" s="33">
        <v>0.13719999999999999</v>
      </c>
      <c r="AO597" s="33">
        <f t="shared" si="17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6</v>
      </c>
      <c r="DB597" s="34"/>
    </row>
    <row r="598" spans="1:106" x14ac:dyDescent="0.25">
      <c r="A598">
        <v>597</v>
      </c>
      <c r="B598">
        <v>38</v>
      </c>
      <c r="C598" s="25" t="s">
        <v>334</v>
      </c>
      <c r="D598" s="12">
        <v>7.5</v>
      </c>
      <c r="E598" s="14">
        <v>0.5</v>
      </c>
      <c r="F598" s="7">
        <f t="shared" si="164"/>
        <v>15</v>
      </c>
      <c r="G598" s="7">
        <f t="shared" si="172"/>
        <v>7</v>
      </c>
      <c r="H598" s="16">
        <f t="shared" si="173"/>
        <v>8</v>
      </c>
      <c r="I598" s="11">
        <f t="shared" si="174"/>
        <v>0.25800784355766804</v>
      </c>
      <c r="J598" s="33">
        <f t="shared" si="175"/>
        <v>1.7200522903844537E-2</v>
      </c>
      <c r="K598" s="33">
        <f t="shared" si="176"/>
        <v>58.137767414994528</v>
      </c>
      <c r="L598" s="33">
        <f t="shared" si="177"/>
        <v>0.24080732065382349</v>
      </c>
      <c r="M598" s="33">
        <f t="shared" si="178"/>
        <v>0.27520836646151259</v>
      </c>
      <c r="N598" s="8">
        <v>0</v>
      </c>
      <c r="O598" s="9">
        <v>1</v>
      </c>
      <c r="P598" s="8">
        <v>0</v>
      </c>
      <c r="Q598" s="9">
        <v>0</v>
      </c>
      <c r="R598" s="9">
        <v>0</v>
      </c>
      <c r="S598" s="9">
        <v>1</v>
      </c>
      <c r="T598" s="9">
        <v>0</v>
      </c>
      <c r="U598" s="8">
        <v>3169</v>
      </c>
      <c r="V598" s="9">
        <v>13</v>
      </c>
      <c r="W598" s="9">
        <f t="shared" si="179"/>
        <v>3155</v>
      </c>
      <c r="X598" s="9">
        <f t="shared" si="180"/>
        <v>50</v>
      </c>
      <c r="Y598" s="7">
        <f t="shared" si="169"/>
        <v>9.4307999999999996</v>
      </c>
      <c r="Z598" s="7">
        <f t="shared" si="170"/>
        <v>23.669200000000004</v>
      </c>
      <c r="AA598" s="9">
        <v>1</v>
      </c>
      <c r="AB598" s="9">
        <v>0</v>
      </c>
      <c r="AC598" s="9">
        <v>1</v>
      </c>
      <c r="AD598" s="9">
        <v>0</v>
      </c>
      <c r="AE598" s="9">
        <v>0</v>
      </c>
      <c r="AF598" s="9">
        <v>0</v>
      </c>
      <c r="AG598" s="8">
        <v>1</v>
      </c>
      <c r="AH598" s="9">
        <v>0</v>
      </c>
      <c r="AI598" s="30">
        <v>0</v>
      </c>
      <c r="AJ598" s="9">
        <v>0</v>
      </c>
      <c r="AK598" s="30">
        <v>1</v>
      </c>
      <c r="AL598" s="21">
        <v>2001</v>
      </c>
      <c r="AM598" s="23">
        <f t="shared" si="181"/>
        <v>7.6014023345837334</v>
      </c>
      <c r="AN598" s="33">
        <v>0.13719999999999999</v>
      </c>
      <c r="AO598" s="33">
        <f t="shared" si="17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6</v>
      </c>
      <c r="DB598" s="34"/>
    </row>
    <row r="599" spans="1:106" x14ac:dyDescent="0.25">
      <c r="A599">
        <v>598</v>
      </c>
      <c r="B599">
        <v>38</v>
      </c>
      <c r="C599" s="25" t="s">
        <v>334</v>
      </c>
      <c r="D599" s="12">
        <v>20.3</v>
      </c>
      <c r="E599" s="14">
        <v>2.9</v>
      </c>
      <c r="F599" s="7">
        <f t="shared" si="164"/>
        <v>7.0000000000000009</v>
      </c>
      <c r="G599" s="7">
        <f t="shared" si="172"/>
        <v>17.400000000000002</v>
      </c>
      <c r="H599" s="16">
        <f t="shared" si="173"/>
        <v>23.2</v>
      </c>
      <c r="I599" s="11">
        <f t="shared" si="174"/>
        <v>0.12382109909351439</v>
      </c>
      <c r="J599" s="33">
        <f t="shared" si="175"/>
        <v>1.7688728441930625E-2</v>
      </c>
      <c r="K599" s="33">
        <f t="shared" si="176"/>
        <v>56.53317610041028</v>
      </c>
      <c r="L599" s="33">
        <f t="shared" si="177"/>
        <v>0.10613237065158376</v>
      </c>
      <c r="M599" s="33">
        <f t="shared" si="178"/>
        <v>0.14150982753544503</v>
      </c>
      <c r="N599" s="8">
        <v>0</v>
      </c>
      <c r="O599" s="9">
        <v>1</v>
      </c>
      <c r="P599" s="8">
        <v>0</v>
      </c>
      <c r="Q599" s="9">
        <v>0</v>
      </c>
      <c r="R599" s="9">
        <v>0</v>
      </c>
      <c r="S599" s="9">
        <v>1</v>
      </c>
      <c r="T599" s="9">
        <v>0</v>
      </c>
      <c r="U599" s="8">
        <v>3161</v>
      </c>
      <c r="V599" s="9">
        <v>13</v>
      </c>
      <c r="W599" s="9">
        <f t="shared" si="179"/>
        <v>3147</v>
      </c>
      <c r="X599" s="9">
        <f t="shared" si="180"/>
        <v>50</v>
      </c>
      <c r="Y599" s="7">
        <f t="shared" si="169"/>
        <v>9.4307999999999996</v>
      </c>
      <c r="Z599" s="7">
        <f t="shared" si="170"/>
        <v>23.669200000000004</v>
      </c>
      <c r="AA599" s="9">
        <v>1</v>
      </c>
      <c r="AB599" s="9">
        <v>0</v>
      </c>
      <c r="AC599" s="9">
        <v>1</v>
      </c>
      <c r="AD599" s="9">
        <v>0</v>
      </c>
      <c r="AE599" s="9">
        <v>0</v>
      </c>
      <c r="AF599" s="9">
        <v>0</v>
      </c>
      <c r="AG599" s="8">
        <v>1</v>
      </c>
      <c r="AH599" s="9">
        <v>0</v>
      </c>
      <c r="AI599" s="30">
        <v>0</v>
      </c>
      <c r="AJ599" s="9">
        <v>0</v>
      </c>
      <c r="AK599" s="30">
        <v>1</v>
      </c>
      <c r="AL599" s="21">
        <v>2001</v>
      </c>
      <c r="AM599" s="23">
        <f t="shared" si="181"/>
        <v>7.6014023345837334</v>
      </c>
      <c r="AN599" s="33">
        <v>0.13719999999999999</v>
      </c>
      <c r="AO599" s="33">
        <f t="shared" si="17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6</v>
      </c>
      <c r="DB599" s="34"/>
    </row>
    <row r="600" spans="1:106" x14ac:dyDescent="0.25">
      <c r="A600">
        <v>599</v>
      </c>
      <c r="B600">
        <v>38</v>
      </c>
      <c r="C600" s="25" t="s">
        <v>334</v>
      </c>
      <c r="D600" s="12">
        <v>8.4</v>
      </c>
      <c r="E600" s="14">
        <v>3</v>
      </c>
      <c r="F600" s="7">
        <f t="shared" si="164"/>
        <v>2.8000000000000003</v>
      </c>
      <c r="G600" s="7">
        <f t="shared" si="172"/>
        <v>5.4</v>
      </c>
      <c r="H600" s="16">
        <f t="shared" si="173"/>
        <v>11.4</v>
      </c>
      <c r="I600" s="11">
        <f t="shared" si="174"/>
        <v>5.6227166832005605E-2</v>
      </c>
      <c r="J600" s="33">
        <f t="shared" si="175"/>
        <v>2.008113101143057E-2</v>
      </c>
      <c r="K600" s="33">
        <f t="shared" si="176"/>
        <v>49.797991927385986</v>
      </c>
      <c r="L600" s="33">
        <f t="shared" si="177"/>
        <v>3.6146035820575032E-2</v>
      </c>
      <c r="M600" s="33">
        <f t="shared" si="178"/>
        <v>7.6308297843436179E-2</v>
      </c>
      <c r="N600" s="8">
        <v>0</v>
      </c>
      <c r="O600" s="9">
        <v>1</v>
      </c>
      <c r="P600" s="8">
        <v>0</v>
      </c>
      <c r="Q600" s="9">
        <v>0</v>
      </c>
      <c r="R600" s="9">
        <v>0</v>
      </c>
      <c r="S600" s="9">
        <v>1</v>
      </c>
      <c r="T600" s="9">
        <v>0</v>
      </c>
      <c r="U600" s="8">
        <v>2486</v>
      </c>
      <c r="V600" s="9">
        <v>13</v>
      </c>
      <c r="W600" s="9">
        <f t="shared" si="179"/>
        <v>2472</v>
      </c>
      <c r="X600" s="9">
        <f t="shared" si="180"/>
        <v>50</v>
      </c>
      <c r="Y600" s="7">
        <f t="shared" si="169"/>
        <v>9.4307999999999996</v>
      </c>
      <c r="Z600" s="7">
        <f t="shared" si="170"/>
        <v>23.669200000000004</v>
      </c>
      <c r="AA600" s="9">
        <v>1</v>
      </c>
      <c r="AB600" s="9">
        <v>0</v>
      </c>
      <c r="AC600" s="9">
        <v>1</v>
      </c>
      <c r="AD600" s="9">
        <v>0</v>
      </c>
      <c r="AE600" s="9">
        <v>0</v>
      </c>
      <c r="AF600" s="9">
        <v>0</v>
      </c>
      <c r="AG600" s="8">
        <v>1</v>
      </c>
      <c r="AH600" s="9">
        <v>0</v>
      </c>
      <c r="AI600" s="30">
        <v>0</v>
      </c>
      <c r="AJ600" s="9">
        <v>0</v>
      </c>
      <c r="AK600" s="30">
        <v>1</v>
      </c>
      <c r="AL600" s="21">
        <v>2001</v>
      </c>
      <c r="AM600" s="23">
        <f t="shared" si="181"/>
        <v>7.6014023345837334</v>
      </c>
      <c r="AN600" s="33">
        <v>0.13719999999999999</v>
      </c>
      <c r="AO600" s="33">
        <f t="shared" si="17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6</v>
      </c>
      <c r="DB600" s="34"/>
    </row>
    <row r="601" spans="1:106" x14ac:dyDescent="0.25">
      <c r="A601">
        <v>600</v>
      </c>
      <c r="B601">
        <v>38</v>
      </c>
      <c r="C601" s="25" t="s">
        <v>334</v>
      </c>
      <c r="D601" s="12">
        <v>6.1</v>
      </c>
      <c r="E601" s="14">
        <v>0.6</v>
      </c>
      <c r="F601" s="7">
        <f t="shared" si="164"/>
        <v>10.166666666666666</v>
      </c>
      <c r="G601" s="7">
        <f t="shared" si="172"/>
        <v>5.5</v>
      </c>
      <c r="H601" s="16">
        <f t="shared" si="173"/>
        <v>6.6999999999999993</v>
      </c>
      <c r="I601" s="11">
        <f t="shared" si="174"/>
        <v>0.17810617536526374</v>
      </c>
      <c r="J601" s="33">
        <f t="shared" si="175"/>
        <v>1.7518640199862007E-2</v>
      </c>
      <c r="K601" s="33">
        <f t="shared" si="176"/>
        <v>57.082055946778155</v>
      </c>
      <c r="L601" s="33">
        <f t="shared" si="177"/>
        <v>0.16058753516540172</v>
      </c>
      <c r="M601" s="33">
        <f t="shared" si="178"/>
        <v>0.19562481556512576</v>
      </c>
      <c r="N601" s="8">
        <v>0</v>
      </c>
      <c r="O601" s="9">
        <v>1</v>
      </c>
      <c r="P601" s="8">
        <v>0</v>
      </c>
      <c r="Q601" s="9">
        <v>0</v>
      </c>
      <c r="R601" s="9">
        <v>0</v>
      </c>
      <c r="S601" s="9">
        <v>1</v>
      </c>
      <c r="T601" s="9">
        <v>0</v>
      </c>
      <c r="U601" s="8">
        <v>3169</v>
      </c>
      <c r="V601" s="9">
        <v>13</v>
      </c>
      <c r="W601" s="9">
        <f t="shared" si="179"/>
        <v>3155</v>
      </c>
      <c r="X601" s="9">
        <f t="shared" si="180"/>
        <v>50</v>
      </c>
      <c r="Y601" s="7">
        <f t="shared" si="169"/>
        <v>9.4307999999999996</v>
      </c>
      <c r="Z601" s="7">
        <f t="shared" si="170"/>
        <v>23.669200000000004</v>
      </c>
      <c r="AA601" s="9">
        <v>1</v>
      </c>
      <c r="AB601" s="9">
        <v>0</v>
      </c>
      <c r="AC601" s="9">
        <v>1</v>
      </c>
      <c r="AD601" s="9">
        <v>0</v>
      </c>
      <c r="AE601" s="9">
        <v>0</v>
      </c>
      <c r="AF601" s="9">
        <v>0</v>
      </c>
      <c r="AG601" s="8">
        <v>1</v>
      </c>
      <c r="AH601" s="9">
        <v>0</v>
      </c>
      <c r="AI601" s="30">
        <v>0</v>
      </c>
      <c r="AJ601" s="9">
        <v>0</v>
      </c>
      <c r="AK601" s="30">
        <v>1</v>
      </c>
      <c r="AL601" s="21">
        <v>2001</v>
      </c>
      <c r="AM601" s="23">
        <f t="shared" si="181"/>
        <v>7.6014023345837334</v>
      </c>
      <c r="AN601" s="33">
        <v>0.13719999999999999</v>
      </c>
      <c r="AO601" s="33">
        <f t="shared" si="17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6</v>
      </c>
      <c r="DB601" s="34"/>
    </row>
    <row r="602" spans="1:106" x14ac:dyDescent="0.25">
      <c r="A602">
        <v>601</v>
      </c>
      <c r="B602">
        <v>38</v>
      </c>
      <c r="C602" s="25" t="s">
        <v>334</v>
      </c>
      <c r="D602" s="12">
        <v>19.100000000000001</v>
      </c>
      <c r="E602" s="14">
        <v>3.1</v>
      </c>
      <c r="F602" s="7">
        <f t="shared" si="164"/>
        <v>6.161290322580645</v>
      </c>
      <c r="G602" s="7">
        <f t="shared" si="172"/>
        <v>16</v>
      </c>
      <c r="H602" s="16">
        <f t="shared" si="173"/>
        <v>22.200000000000003</v>
      </c>
      <c r="I602" s="11">
        <f t="shared" si="174"/>
        <v>0.12750634932750621</v>
      </c>
      <c r="J602" s="33">
        <f t="shared" si="175"/>
        <v>2.0694747796610954E-2</v>
      </c>
      <c r="K602" s="33">
        <f t="shared" si="176"/>
        <v>48.321439324994508</v>
      </c>
      <c r="L602" s="33">
        <f t="shared" si="177"/>
        <v>0.10681160153089525</v>
      </c>
      <c r="M602" s="33">
        <f t="shared" si="178"/>
        <v>0.14820109712411716</v>
      </c>
      <c r="N602" s="8">
        <v>0</v>
      </c>
      <c r="O602" s="9">
        <v>1</v>
      </c>
      <c r="P602" s="8">
        <v>0</v>
      </c>
      <c r="Q602" s="9">
        <v>0</v>
      </c>
      <c r="R602" s="9">
        <v>0</v>
      </c>
      <c r="S602" s="9">
        <v>1</v>
      </c>
      <c r="T602" s="9">
        <v>0</v>
      </c>
      <c r="U602" s="8">
        <v>2311</v>
      </c>
      <c r="V602" s="9">
        <v>13</v>
      </c>
      <c r="W602" s="9">
        <f t="shared" si="179"/>
        <v>2297</v>
      </c>
      <c r="X602" s="9">
        <f t="shared" si="180"/>
        <v>50</v>
      </c>
      <c r="Y602" s="7">
        <f t="shared" si="169"/>
        <v>9.4307999999999996</v>
      </c>
      <c r="Z602" s="7">
        <f t="shared" si="170"/>
        <v>23.669200000000004</v>
      </c>
      <c r="AA602" s="9">
        <v>1</v>
      </c>
      <c r="AB602" s="9">
        <v>0</v>
      </c>
      <c r="AC602" s="9">
        <v>1</v>
      </c>
      <c r="AD602" s="9">
        <v>0</v>
      </c>
      <c r="AE602" s="9">
        <v>0</v>
      </c>
      <c r="AF602" s="9">
        <v>0</v>
      </c>
      <c r="AG602" s="8">
        <v>1</v>
      </c>
      <c r="AH602" s="9">
        <v>0</v>
      </c>
      <c r="AI602" s="30">
        <v>0</v>
      </c>
      <c r="AJ602" s="9">
        <v>0</v>
      </c>
      <c r="AK602" s="30">
        <v>1</v>
      </c>
      <c r="AL602" s="21">
        <v>2001</v>
      </c>
      <c r="AM602" s="23">
        <f t="shared" si="181"/>
        <v>7.6014023345837334</v>
      </c>
      <c r="AN602" s="33">
        <v>0.13719999999999999</v>
      </c>
      <c r="AO602" s="33">
        <f t="shared" si="17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6</v>
      </c>
      <c r="DB602" s="34"/>
    </row>
    <row r="603" spans="1:106" x14ac:dyDescent="0.25">
      <c r="A603">
        <v>602</v>
      </c>
      <c r="B603">
        <v>38</v>
      </c>
      <c r="C603" s="25" t="s">
        <v>334</v>
      </c>
      <c r="D603" s="12">
        <v>8</v>
      </c>
      <c r="E603" s="14">
        <v>3.3</v>
      </c>
      <c r="F603" s="7">
        <f t="shared" si="164"/>
        <v>2.4242424242424243</v>
      </c>
      <c r="G603" s="7">
        <f t="shared" si="172"/>
        <v>4.7</v>
      </c>
      <c r="H603" s="16">
        <f t="shared" si="173"/>
        <v>11.3</v>
      </c>
      <c r="I603" s="11">
        <f t="shared" si="174"/>
        <v>5.4703978219744508E-2</v>
      </c>
      <c r="J603" s="33">
        <f t="shared" si="175"/>
        <v>2.2565391015644611E-2</v>
      </c>
      <c r="K603" s="33">
        <f t="shared" si="176"/>
        <v>44.31565131340728</v>
      </c>
      <c r="L603" s="33">
        <f t="shared" si="177"/>
        <v>3.21385872040999E-2</v>
      </c>
      <c r="M603" s="33">
        <f t="shared" si="178"/>
        <v>7.7269369235389115E-2</v>
      </c>
      <c r="N603" s="8">
        <v>0</v>
      </c>
      <c r="O603" s="9">
        <v>1</v>
      </c>
      <c r="P603" s="8">
        <v>0</v>
      </c>
      <c r="Q603" s="9">
        <v>0</v>
      </c>
      <c r="R603" s="9">
        <v>0</v>
      </c>
      <c r="S603" s="9">
        <v>1</v>
      </c>
      <c r="T603" s="9">
        <v>0</v>
      </c>
      <c r="U603" s="8">
        <v>1972</v>
      </c>
      <c r="V603" s="9">
        <v>13</v>
      </c>
      <c r="W603" s="9">
        <f t="shared" si="179"/>
        <v>1958</v>
      </c>
      <c r="X603" s="9">
        <f t="shared" si="180"/>
        <v>50</v>
      </c>
      <c r="Y603" s="7">
        <f t="shared" si="169"/>
        <v>9.4307999999999996</v>
      </c>
      <c r="Z603" s="7">
        <f t="shared" si="170"/>
        <v>23.669200000000004</v>
      </c>
      <c r="AA603" s="9">
        <v>1</v>
      </c>
      <c r="AB603" s="9">
        <v>0</v>
      </c>
      <c r="AC603" s="9">
        <v>1</v>
      </c>
      <c r="AD603" s="9">
        <v>0</v>
      </c>
      <c r="AE603" s="9">
        <v>0</v>
      </c>
      <c r="AF603" s="9">
        <v>0</v>
      </c>
      <c r="AG603" s="8">
        <v>1</v>
      </c>
      <c r="AH603" s="9">
        <v>0</v>
      </c>
      <c r="AI603" s="30">
        <v>0</v>
      </c>
      <c r="AJ603" s="9">
        <v>0</v>
      </c>
      <c r="AK603" s="30">
        <v>1</v>
      </c>
      <c r="AL603" s="21">
        <v>2001</v>
      </c>
      <c r="AM603" s="23">
        <f t="shared" si="181"/>
        <v>7.6014023345837334</v>
      </c>
      <c r="AN603" s="33">
        <v>0.13719999999999999</v>
      </c>
      <c r="AO603" s="33">
        <f t="shared" si="17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6</v>
      </c>
      <c r="DB603" s="34"/>
    </row>
    <row r="604" spans="1:106" x14ac:dyDescent="0.25">
      <c r="A604">
        <v>603</v>
      </c>
      <c r="B604">
        <v>38</v>
      </c>
      <c r="C604" s="25" t="s">
        <v>334</v>
      </c>
      <c r="D604" s="12">
        <v>9.1999999999999993</v>
      </c>
      <c r="E604" s="14">
        <v>0.2</v>
      </c>
      <c r="F604" s="7">
        <f t="shared" si="164"/>
        <v>45.999999999999993</v>
      </c>
      <c r="G604" s="7">
        <f t="shared" si="172"/>
        <v>9</v>
      </c>
      <c r="H604" s="16">
        <f t="shared" si="173"/>
        <v>9.3999999999999986</v>
      </c>
      <c r="I604" s="11">
        <f t="shared" si="174"/>
        <v>0.39071541861692216</v>
      </c>
      <c r="J604" s="33">
        <f t="shared" si="175"/>
        <v>8.4938134481939605E-3</v>
      </c>
      <c r="K604" s="33">
        <f t="shared" si="176"/>
        <v>117.7327482054165</v>
      </c>
      <c r="L604" s="33">
        <f t="shared" si="177"/>
        <v>0.38222160516872822</v>
      </c>
      <c r="M604" s="33">
        <f t="shared" si="178"/>
        <v>0.3992092320651161</v>
      </c>
      <c r="N604" s="8">
        <v>0</v>
      </c>
      <c r="O604" s="9">
        <v>1</v>
      </c>
      <c r="P604" s="8">
        <v>0</v>
      </c>
      <c r="Q604" s="9">
        <v>0</v>
      </c>
      <c r="R604" s="9">
        <v>0</v>
      </c>
      <c r="S604" s="9">
        <v>1</v>
      </c>
      <c r="T604" s="9">
        <v>0</v>
      </c>
      <c r="U604" s="8">
        <v>11759</v>
      </c>
      <c r="V604" s="9">
        <v>13</v>
      </c>
      <c r="W604" s="9">
        <f t="shared" si="179"/>
        <v>11745</v>
      </c>
      <c r="X604" s="9">
        <f t="shared" si="180"/>
        <v>50</v>
      </c>
      <c r="Y604" s="7">
        <f t="shared" si="169"/>
        <v>9.4307999999999996</v>
      </c>
      <c r="Z604" s="7">
        <f t="shared" si="170"/>
        <v>23.669200000000004</v>
      </c>
      <c r="AA604" s="9">
        <v>1</v>
      </c>
      <c r="AB604" s="9">
        <v>0</v>
      </c>
      <c r="AC604" s="9">
        <v>1</v>
      </c>
      <c r="AD604" s="9">
        <v>0</v>
      </c>
      <c r="AE604" s="9">
        <v>0</v>
      </c>
      <c r="AF604" s="9">
        <v>0</v>
      </c>
      <c r="AG604" s="8">
        <v>1</v>
      </c>
      <c r="AH604" s="9">
        <v>0</v>
      </c>
      <c r="AI604" s="30">
        <v>0</v>
      </c>
      <c r="AJ604" s="9">
        <v>0</v>
      </c>
      <c r="AK604" s="30">
        <v>1</v>
      </c>
      <c r="AL604" s="21">
        <v>2001</v>
      </c>
      <c r="AM604" s="23">
        <f t="shared" si="181"/>
        <v>7.6014023345837334</v>
      </c>
      <c r="AN604" s="33">
        <v>0.13719999999999999</v>
      </c>
      <c r="AO604" s="33">
        <f t="shared" si="17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6</v>
      </c>
      <c r="DB604" s="34"/>
    </row>
    <row r="605" spans="1:106" x14ac:dyDescent="0.25">
      <c r="A605">
        <v>604</v>
      </c>
      <c r="B605">
        <v>38</v>
      </c>
      <c r="C605" s="25" t="s">
        <v>334</v>
      </c>
      <c r="D605" s="12">
        <v>16.3</v>
      </c>
      <c r="E605" s="14">
        <v>1.1000000000000001</v>
      </c>
      <c r="F605" s="7">
        <f t="shared" si="164"/>
        <v>14.818181818181818</v>
      </c>
      <c r="G605" s="7">
        <f t="shared" si="172"/>
        <v>15.200000000000001</v>
      </c>
      <c r="H605" s="16">
        <f t="shared" si="173"/>
        <v>17.400000000000002</v>
      </c>
      <c r="I605" s="11">
        <f t="shared" si="174"/>
        <v>0.13547096277416754</v>
      </c>
      <c r="J605" s="33">
        <f t="shared" si="175"/>
        <v>9.1422122117536374E-3</v>
      </c>
      <c r="K605" s="33">
        <f t="shared" si="176"/>
        <v>109.38271578451824</v>
      </c>
      <c r="L605" s="33">
        <f t="shared" si="177"/>
        <v>0.12632875056241391</v>
      </c>
      <c r="M605" s="33">
        <f t="shared" si="178"/>
        <v>0.14461317498592116</v>
      </c>
      <c r="N605" s="8">
        <v>0</v>
      </c>
      <c r="O605" s="9">
        <v>1</v>
      </c>
      <c r="P605" s="8">
        <v>0</v>
      </c>
      <c r="Q605" s="9">
        <v>0</v>
      </c>
      <c r="R605" s="9">
        <v>0</v>
      </c>
      <c r="S605" s="9">
        <v>1</v>
      </c>
      <c r="T605" s="9">
        <v>0</v>
      </c>
      <c r="U605" s="8">
        <v>11759</v>
      </c>
      <c r="V605" s="9">
        <v>13</v>
      </c>
      <c r="W605" s="9">
        <f t="shared" si="179"/>
        <v>11745</v>
      </c>
      <c r="X605" s="9">
        <f t="shared" si="180"/>
        <v>50</v>
      </c>
      <c r="Y605" s="7">
        <f t="shared" si="169"/>
        <v>9.4307999999999996</v>
      </c>
      <c r="Z605" s="7">
        <f t="shared" si="170"/>
        <v>23.669200000000004</v>
      </c>
      <c r="AA605" s="9">
        <v>1</v>
      </c>
      <c r="AB605" s="9">
        <v>0</v>
      </c>
      <c r="AC605" s="9">
        <v>1</v>
      </c>
      <c r="AD605" s="9">
        <v>0</v>
      </c>
      <c r="AE605" s="9">
        <v>0</v>
      </c>
      <c r="AF605" s="9">
        <v>0</v>
      </c>
      <c r="AG605" s="8">
        <v>1</v>
      </c>
      <c r="AH605" s="9">
        <v>0</v>
      </c>
      <c r="AI605" s="30">
        <v>0</v>
      </c>
      <c r="AJ605" s="9">
        <v>0</v>
      </c>
      <c r="AK605" s="30">
        <v>1</v>
      </c>
      <c r="AL605" s="21">
        <v>2001</v>
      </c>
      <c r="AM605" s="23">
        <f t="shared" si="181"/>
        <v>7.6014023345837334</v>
      </c>
      <c r="AN605" s="33">
        <v>0.13719999999999999</v>
      </c>
      <c r="AO605" s="33">
        <f t="shared" si="17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6</v>
      </c>
      <c r="DB605" s="34"/>
    </row>
    <row r="606" spans="1:106" x14ac:dyDescent="0.25">
      <c r="A606">
        <v>605</v>
      </c>
      <c r="B606">
        <v>38</v>
      </c>
      <c r="C606" s="25" t="s">
        <v>334</v>
      </c>
      <c r="D606" s="12">
        <v>12.6</v>
      </c>
      <c r="E606" s="14">
        <v>0.8</v>
      </c>
      <c r="F606" s="7">
        <f t="shared" si="164"/>
        <v>15.749999999999998</v>
      </c>
      <c r="G606" s="7">
        <f t="shared" si="172"/>
        <v>11.799999999999999</v>
      </c>
      <c r="H606" s="16">
        <f t="shared" si="173"/>
        <v>13.4</v>
      </c>
      <c r="I606" s="11">
        <f t="shared" si="174"/>
        <v>0.11981062609680501</v>
      </c>
      <c r="J606" s="33">
        <f t="shared" si="175"/>
        <v>7.607023879162224E-3</v>
      </c>
      <c r="K606" s="33">
        <f t="shared" si="176"/>
        <v>131.45745509479482</v>
      </c>
      <c r="L606" s="33">
        <f t="shared" si="177"/>
        <v>0.11220360221764279</v>
      </c>
      <c r="M606" s="33">
        <f t="shared" si="178"/>
        <v>0.12741764997596725</v>
      </c>
      <c r="N606" s="8">
        <v>0</v>
      </c>
      <c r="O606" s="9">
        <v>1</v>
      </c>
      <c r="P606" s="8">
        <v>0</v>
      </c>
      <c r="Q606" s="9">
        <v>0</v>
      </c>
      <c r="R606" s="9">
        <v>0</v>
      </c>
      <c r="S606" s="9">
        <v>1</v>
      </c>
      <c r="T606" s="9">
        <v>0</v>
      </c>
      <c r="U606" s="8">
        <v>17047</v>
      </c>
      <c r="V606" s="9">
        <v>13</v>
      </c>
      <c r="W606" s="9">
        <f t="shared" si="179"/>
        <v>17033</v>
      </c>
      <c r="X606" s="9">
        <f t="shared" si="180"/>
        <v>50</v>
      </c>
      <c r="Y606" s="7">
        <f t="shared" si="169"/>
        <v>9.4307999999999996</v>
      </c>
      <c r="Z606" s="7">
        <f t="shared" si="170"/>
        <v>23.669200000000004</v>
      </c>
      <c r="AA606" s="9">
        <v>1</v>
      </c>
      <c r="AB606" s="9">
        <v>0</v>
      </c>
      <c r="AC606" s="9">
        <v>1</v>
      </c>
      <c r="AD606" s="9">
        <v>0</v>
      </c>
      <c r="AE606" s="9">
        <v>0</v>
      </c>
      <c r="AF606" s="9">
        <v>0</v>
      </c>
      <c r="AG606" s="8">
        <v>1</v>
      </c>
      <c r="AH606" s="9">
        <v>0</v>
      </c>
      <c r="AI606" s="30">
        <v>0</v>
      </c>
      <c r="AJ606" s="9">
        <v>0</v>
      </c>
      <c r="AK606" s="30">
        <v>1</v>
      </c>
      <c r="AL606" s="21">
        <v>2001</v>
      </c>
      <c r="AM606" s="23">
        <f t="shared" si="181"/>
        <v>7.6014023345837334</v>
      </c>
      <c r="AN606" s="33">
        <v>0.13719999999999999</v>
      </c>
      <c r="AO606" s="33">
        <f t="shared" si="17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6</v>
      </c>
      <c r="DB606" s="34"/>
    </row>
    <row r="607" spans="1:106" x14ac:dyDescent="0.25">
      <c r="A607">
        <v>606</v>
      </c>
      <c r="B607">
        <v>38</v>
      </c>
      <c r="C607" s="25" t="s">
        <v>334</v>
      </c>
      <c r="D607" s="12">
        <v>10.3</v>
      </c>
      <c r="E607" s="14">
        <v>0.2</v>
      </c>
      <c r="F607" s="7">
        <f t="shared" si="164"/>
        <v>51.5</v>
      </c>
      <c r="G607" s="7">
        <f t="shared" si="172"/>
        <v>10.100000000000001</v>
      </c>
      <c r="H607" s="16">
        <f t="shared" si="173"/>
        <v>10.5</v>
      </c>
      <c r="I607" s="11">
        <f t="shared" si="174"/>
        <v>0.47764592668287958</v>
      </c>
      <c r="J607" s="33">
        <f t="shared" si="175"/>
        <v>9.2746781880170773E-3</v>
      </c>
      <c r="K607" s="33">
        <f t="shared" si="176"/>
        <v>107.82045260524555</v>
      </c>
      <c r="L607" s="33">
        <f t="shared" si="177"/>
        <v>0.4683712484948625</v>
      </c>
      <c r="M607" s="33">
        <f t="shared" si="178"/>
        <v>0.48692060487089667</v>
      </c>
      <c r="N607" s="8">
        <v>0</v>
      </c>
      <c r="O607" s="9">
        <v>1</v>
      </c>
      <c r="P607" s="8">
        <v>0</v>
      </c>
      <c r="Q607" s="9">
        <v>0</v>
      </c>
      <c r="R607" s="9">
        <v>0</v>
      </c>
      <c r="S607" s="9">
        <v>1</v>
      </c>
      <c r="T607" s="9">
        <v>0</v>
      </c>
      <c r="U607" s="8">
        <v>8987</v>
      </c>
      <c r="V607" s="9">
        <v>13</v>
      </c>
      <c r="W607" s="9">
        <f t="shared" si="179"/>
        <v>8973</v>
      </c>
      <c r="X607" s="9">
        <f t="shared" si="180"/>
        <v>50</v>
      </c>
      <c r="Y607" s="7">
        <f t="shared" si="169"/>
        <v>9.4307999999999996</v>
      </c>
      <c r="Z607" s="7">
        <f t="shared" si="170"/>
        <v>23.669200000000004</v>
      </c>
      <c r="AA607" s="9">
        <v>1</v>
      </c>
      <c r="AB607" s="9">
        <v>0</v>
      </c>
      <c r="AC607" s="9">
        <v>1</v>
      </c>
      <c r="AD607" s="9">
        <v>0</v>
      </c>
      <c r="AE607" s="9">
        <v>0</v>
      </c>
      <c r="AF607" s="9">
        <v>0</v>
      </c>
      <c r="AG607" s="8">
        <v>1</v>
      </c>
      <c r="AH607" s="9">
        <v>0</v>
      </c>
      <c r="AI607" s="30">
        <v>0</v>
      </c>
      <c r="AJ607" s="9">
        <v>0</v>
      </c>
      <c r="AK607" s="30">
        <v>1</v>
      </c>
      <c r="AL607" s="21">
        <v>2001</v>
      </c>
      <c r="AM607" s="23">
        <f t="shared" si="181"/>
        <v>7.6014023345837334</v>
      </c>
      <c r="AN607" s="33">
        <v>0.13719999999999999</v>
      </c>
      <c r="AO607" s="33">
        <f t="shared" si="17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6</v>
      </c>
      <c r="DB607" s="34"/>
    </row>
    <row r="608" spans="1:106" x14ac:dyDescent="0.25">
      <c r="A608">
        <v>607</v>
      </c>
      <c r="B608">
        <v>38</v>
      </c>
      <c r="C608" s="25" t="s">
        <v>334</v>
      </c>
      <c r="D608" s="12">
        <v>16.8</v>
      </c>
      <c r="E608" s="14">
        <v>1.1000000000000001</v>
      </c>
      <c r="F608" s="7">
        <f t="shared" ref="F608:F646" si="182">D608/E608</f>
        <v>15.272727272727272</v>
      </c>
      <c r="G608" s="7">
        <f t="shared" si="172"/>
        <v>15.700000000000001</v>
      </c>
      <c r="H608" s="16">
        <f t="shared" si="173"/>
        <v>17.900000000000002</v>
      </c>
      <c r="I608" s="11">
        <f t="shared" si="174"/>
        <v>0.15917507687208587</v>
      </c>
      <c r="J608" s="33">
        <f t="shared" si="175"/>
        <v>1.0422177652338957E-2</v>
      </c>
      <c r="K608" s="33">
        <f t="shared" si="176"/>
        <v>95.949237612120243</v>
      </c>
      <c r="L608" s="33">
        <f t="shared" si="177"/>
        <v>0.14875289921974691</v>
      </c>
      <c r="M608" s="33">
        <f t="shared" si="178"/>
        <v>0.16959725452442484</v>
      </c>
      <c r="N608" s="8">
        <v>0</v>
      </c>
      <c r="O608" s="9">
        <v>1</v>
      </c>
      <c r="P608" s="8">
        <v>0</v>
      </c>
      <c r="Q608" s="9">
        <v>0</v>
      </c>
      <c r="R608" s="9">
        <v>0</v>
      </c>
      <c r="S608" s="9">
        <v>1</v>
      </c>
      <c r="T608" s="9">
        <v>0</v>
      </c>
      <c r="U608" s="8">
        <v>8987</v>
      </c>
      <c r="V608" s="9">
        <v>13</v>
      </c>
      <c r="W608" s="9">
        <f t="shared" si="179"/>
        <v>8973</v>
      </c>
      <c r="X608" s="9">
        <f t="shared" si="180"/>
        <v>50</v>
      </c>
      <c r="Y608" s="7">
        <f t="shared" si="169"/>
        <v>9.4307999999999996</v>
      </c>
      <c r="Z608" s="7">
        <f t="shared" si="170"/>
        <v>23.669200000000004</v>
      </c>
      <c r="AA608" s="9">
        <v>1</v>
      </c>
      <c r="AB608" s="9">
        <v>0</v>
      </c>
      <c r="AC608" s="9">
        <v>1</v>
      </c>
      <c r="AD608" s="9">
        <v>0</v>
      </c>
      <c r="AE608" s="9">
        <v>0</v>
      </c>
      <c r="AF608" s="9">
        <v>0</v>
      </c>
      <c r="AG608" s="8">
        <v>1</v>
      </c>
      <c r="AH608" s="9">
        <v>0</v>
      </c>
      <c r="AI608" s="30">
        <v>0</v>
      </c>
      <c r="AJ608" s="9">
        <v>0</v>
      </c>
      <c r="AK608" s="30">
        <v>1</v>
      </c>
      <c r="AL608" s="21">
        <v>2001</v>
      </c>
      <c r="AM608" s="23">
        <f t="shared" si="181"/>
        <v>7.6014023345837334</v>
      </c>
      <c r="AN608" s="33">
        <v>0.13719999999999999</v>
      </c>
      <c r="AO608" s="33">
        <f t="shared" si="17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6</v>
      </c>
      <c r="DB608" s="34"/>
    </row>
    <row r="609" spans="1:106" x14ac:dyDescent="0.25">
      <c r="A609">
        <v>608</v>
      </c>
      <c r="B609">
        <v>38</v>
      </c>
      <c r="C609" s="25" t="s">
        <v>334</v>
      </c>
      <c r="D609" s="12">
        <v>12</v>
      </c>
      <c r="E609" s="14">
        <v>0.6</v>
      </c>
      <c r="F609" s="7">
        <f t="shared" si="182"/>
        <v>20</v>
      </c>
      <c r="G609" s="7">
        <f t="shared" si="172"/>
        <v>11.4</v>
      </c>
      <c r="H609" s="16">
        <f t="shared" si="173"/>
        <v>12.6</v>
      </c>
      <c r="I609" s="11">
        <f t="shared" si="174"/>
        <v>0.38454428462686413</v>
      </c>
      <c r="J609" s="33">
        <f t="shared" si="175"/>
        <v>1.9227214231343204E-2</v>
      </c>
      <c r="K609" s="33">
        <f t="shared" si="176"/>
        <v>52.009614495783381</v>
      </c>
      <c r="L609" s="33">
        <f t="shared" si="177"/>
        <v>0.36531707039552092</v>
      </c>
      <c r="M609" s="33">
        <f t="shared" si="178"/>
        <v>0.40377149885820734</v>
      </c>
      <c r="N609" s="8">
        <v>0</v>
      </c>
      <c r="O609" s="9">
        <v>1</v>
      </c>
      <c r="P609" s="8">
        <v>0</v>
      </c>
      <c r="Q609" s="9">
        <v>0</v>
      </c>
      <c r="R609" s="9">
        <v>0</v>
      </c>
      <c r="S609" s="9">
        <v>1</v>
      </c>
      <c r="T609" s="9">
        <v>0</v>
      </c>
      <c r="U609" s="8">
        <v>2319</v>
      </c>
      <c r="V609" s="9">
        <v>13</v>
      </c>
      <c r="W609" s="9">
        <f t="shared" si="179"/>
        <v>2305</v>
      </c>
      <c r="X609" s="9">
        <f t="shared" si="180"/>
        <v>50</v>
      </c>
      <c r="Y609" s="7">
        <f t="shared" si="169"/>
        <v>9.4307999999999996</v>
      </c>
      <c r="Z609" s="7">
        <f t="shared" si="170"/>
        <v>23.669200000000004</v>
      </c>
      <c r="AA609" s="9">
        <v>1</v>
      </c>
      <c r="AB609" s="9">
        <v>0</v>
      </c>
      <c r="AC609" s="9">
        <v>1</v>
      </c>
      <c r="AD609" s="9">
        <v>0</v>
      </c>
      <c r="AE609" s="9">
        <v>0</v>
      </c>
      <c r="AF609" s="9">
        <v>0</v>
      </c>
      <c r="AG609" s="8">
        <v>1</v>
      </c>
      <c r="AH609" s="9">
        <v>0</v>
      </c>
      <c r="AI609" s="30">
        <v>0</v>
      </c>
      <c r="AJ609" s="9">
        <v>0</v>
      </c>
      <c r="AK609" s="30">
        <v>1</v>
      </c>
      <c r="AL609" s="21">
        <v>2001</v>
      </c>
      <c r="AM609" s="23">
        <f t="shared" si="181"/>
        <v>7.6014023345837334</v>
      </c>
      <c r="AN609" s="33">
        <v>0.13719999999999999</v>
      </c>
      <c r="AO609" s="33">
        <f t="shared" si="17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6</v>
      </c>
      <c r="DB609" s="34"/>
    </row>
    <row r="610" spans="1:106" x14ac:dyDescent="0.25">
      <c r="A610">
        <v>609</v>
      </c>
      <c r="B610">
        <v>38</v>
      </c>
      <c r="C610" s="25" t="s">
        <v>334</v>
      </c>
      <c r="D610" s="12">
        <v>24.1</v>
      </c>
      <c r="E610" s="14">
        <v>3</v>
      </c>
      <c r="F610" s="7">
        <f t="shared" si="182"/>
        <v>8.0333333333333332</v>
      </c>
      <c r="G610" s="7">
        <f t="shared" si="172"/>
        <v>21.1</v>
      </c>
      <c r="H610" s="16">
        <f t="shared" si="173"/>
        <v>27.1</v>
      </c>
      <c r="I610" s="11">
        <f t="shared" si="174"/>
        <v>0.15218210253381906</v>
      </c>
      <c r="J610" s="33">
        <f t="shared" si="175"/>
        <v>1.8943830190931835E-2</v>
      </c>
      <c r="K610" s="33">
        <f t="shared" si="176"/>
        <v>52.787635336738134</v>
      </c>
      <c r="L610" s="33">
        <f t="shared" si="177"/>
        <v>0.13323827234288721</v>
      </c>
      <c r="M610" s="33">
        <f t="shared" si="178"/>
        <v>0.17112593272475091</v>
      </c>
      <c r="N610" s="8">
        <v>0</v>
      </c>
      <c r="O610" s="9">
        <v>1</v>
      </c>
      <c r="P610" s="8">
        <v>0</v>
      </c>
      <c r="Q610" s="9">
        <v>0</v>
      </c>
      <c r="R610" s="9">
        <v>0</v>
      </c>
      <c r="S610" s="9">
        <v>1</v>
      </c>
      <c r="T610" s="9">
        <v>0</v>
      </c>
      <c r="U610" s="8">
        <v>2736</v>
      </c>
      <c r="V610" s="9">
        <v>13</v>
      </c>
      <c r="W610" s="9">
        <f t="shared" si="179"/>
        <v>2722</v>
      </c>
      <c r="X610" s="9">
        <f t="shared" si="180"/>
        <v>50</v>
      </c>
      <c r="Y610" s="7">
        <f t="shared" si="169"/>
        <v>9.4307999999999996</v>
      </c>
      <c r="Z610" s="7">
        <f t="shared" si="170"/>
        <v>23.669200000000004</v>
      </c>
      <c r="AA610" s="9">
        <v>1</v>
      </c>
      <c r="AB610" s="9">
        <v>0</v>
      </c>
      <c r="AC610" s="9">
        <v>1</v>
      </c>
      <c r="AD610" s="9">
        <v>0</v>
      </c>
      <c r="AE610" s="9">
        <v>0</v>
      </c>
      <c r="AF610" s="9">
        <v>0</v>
      </c>
      <c r="AG610" s="8">
        <v>1</v>
      </c>
      <c r="AH610" s="9">
        <v>0</v>
      </c>
      <c r="AI610" s="30">
        <v>0</v>
      </c>
      <c r="AJ610" s="9">
        <v>0</v>
      </c>
      <c r="AK610" s="30">
        <v>1</v>
      </c>
      <c r="AL610" s="21">
        <v>2001</v>
      </c>
      <c r="AM610" s="23">
        <f t="shared" si="181"/>
        <v>7.6014023345837334</v>
      </c>
      <c r="AN610" s="33">
        <v>0.13719999999999999</v>
      </c>
      <c r="AO610" s="33">
        <f t="shared" si="17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6</v>
      </c>
      <c r="DB610" s="34"/>
    </row>
    <row r="611" spans="1:106" x14ac:dyDescent="0.25">
      <c r="A611">
        <v>610</v>
      </c>
      <c r="B611">
        <v>38</v>
      </c>
      <c r="C611" s="25" t="s">
        <v>334</v>
      </c>
      <c r="D611" s="12">
        <v>21.9</v>
      </c>
      <c r="E611" s="14">
        <v>2.5</v>
      </c>
      <c r="F611" s="7">
        <f t="shared" si="182"/>
        <v>8.76</v>
      </c>
      <c r="G611" s="7">
        <f t="shared" si="172"/>
        <v>19.399999999999999</v>
      </c>
      <c r="H611" s="16">
        <f t="shared" si="173"/>
        <v>24.4</v>
      </c>
      <c r="I611" s="11">
        <f t="shared" si="174"/>
        <v>0.18622549971585556</v>
      </c>
      <c r="J611" s="33">
        <f t="shared" si="175"/>
        <v>2.1258618689024608E-2</v>
      </c>
      <c r="K611" s="33">
        <f t="shared" si="176"/>
        <v>47.039744897267461</v>
      </c>
      <c r="L611" s="33">
        <f t="shared" si="177"/>
        <v>0.16496688102683094</v>
      </c>
      <c r="M611" s="33">
        <f t="shared" si="178"/>
        <v>0.20748411840488018</v>
      </c>
      <c r="N611" s="8">
        <v>0</v>
      </c>
      <c r="O611" s="9">
        <v>1</v>
      </c>
      <c r="P611" s="8">
        <v>0</v>
      </c>
      <c r="Q611" s="9">
        <v>0</v>
      </c>
      <c r="R611" s="9">
        <v>0</v>
      </c>
      <c r="S611" s="9">
        <v>1</v>
      </c>
      <c r="T611" s="9">
        <v>0</v>
      </c>
      <c r="U611" s="8">
        <v>2150</v>
      </c>
      <c r="V611" s="9">
        <v>13</v>
      </c>
      <c r="W611" s="9">
        <f t="shared" si="179"/>
        <v>2136</v>
      </c>
      <c r="X611" s="9">
        <f t="shared" si="180"/>
        <v>50</v>
      </c>
      <c r="Y611" s="7">
        <f t="shared" si="169"/>
        <v>9.4307999999999996</v>
      </c>
      <c r="Z611" s="7">
        <f t="shared" si="170"/>
        <v>23.669200000000004</v>
      </c>
      <c r="AA611" s="9">
        <v>1</v>
      </c>
      <c r="AB611" s="9">
        <v>0</v>
      </c>
      <c r="AC611" s="9">
        <v>1</v>
      </c>
      <c r="AD611" s="9">
        <v>0</v>
      </c>
      <c r="AE611" s="9">
        <v>0</v>
      </c>
      <c r="AF611" s="9">
        <v>0</v>
      </c>
      <c r="AG611" s="8">
        <v>1</v>
      </c>
      <c r="AH611" s="9">
        <v>0</v>
      </c>
      <c r="AI611" s="30">
        <v>0</v>
      </c>
      <c r="AJ611" s="9">
        <v>0</v>
      </c>
      <c r="AK611" s="30">
        <v>1</v>
      </c>
      <c r="AL611" s="21">
        <v>2001</v>
      </c>
      <c r="AM611" s="23">
        <f t="shared" si="181"/>
        <v>7.6014023345837334</v>
      </c>
      <c r="AN611" s="33">
        <v>0.13719999999999999</v>
      </c>
      <c r="AO611" s="33">
        <f t="shared" si="17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6</v>
      </c>
      <c r="DB611" s="34"/>
    </row>
    <row r="612" spans="1:106" x14ac:dyDescent="0.25">
      <c r="A612">
        <v>611</v>
      </c>
      <c r="B612">
        <v>38</v>
      </c>
      <c r="C612" s="25" t="s">
        <v>334</v>
      </c>
      <c r="D612" s="12">
        <v>10.7</v>
      </c>
      <c r="E612" s="14">
        <v>0.7</v>
      </c>
      <c r="F612" s="7">
        <f t="shared" si="182"/>
        <v>15.285714285714286</v>
      </c>
      <c r="G612" s="7">
        <f t="shared" si="172"/>
        <v>10</v>
      </c>
      <c r="H612" s="16">
        <f t="shared" si="173"/>
        <v>11.399999999999999</v>
      </c>
      <c r="I612" s="11">
        <f t="shared" si="174"/>
        <v>0.32584416439046376</v>
      </c>
      <c r="J612" s="33">
        <f t="shared" si="175"/>
        <v>2.1316907950777998E-2</v>
      </c>
      <c r="K612" s="33">
        <f t="shared" si="176"/>
        <v>46.911118737720273</v>
      </c>
      <c r="L612" s="33">
        <f t="shared" si="177"/>
        <v>0.30452725643968576</v>
      </c>
      <c r="M612" s="33">
        <f t="shared" si="178"/>
        <v>0.34716107234124177</v>
      </c>
      <c r="N612" s="8">
        <v>0</v>
      </c>
      <c r="O612" s="9">
        <v>1</v>
      </c>
      <c r="P612" s="8">
        <v>0</v>
      </c>
      <c r="Q612" s="9">
        <v>0</v>
      </c>
      <c r="R612" s="9">
        <v>0</v>
      </c>
      <c r="S612" s="9">
        <v>1</v>
      </c>
      <c r="T612" s="9">
        <v>0</v>
      </c>
      <c r="U612" s="8">
        <v>1981</v>
      </c>
      <c r="V612" s="9">
        <v>13</v>
      </c>
      <c r="W612" s="9">
        <f t="shared" si="179"/>
        <v>1967</v>
      </c>
      <c r="X612" s="9">
        <f t="shared" si="180"/>
        <v>50</v>
      </c>
      <c r="Y612" s="7">
        <f t="shared" si="169"/>
        <v>9.4307999999999996</v>
      </c>
      <c r="Z612" s="7">
        <f t="shared" si="170"/>
        <v>23.669200000000004</v>
      </c>
      <c r="AA612" s="9">
        <v>1</v>
      </c>
      <c r="AB612" s="9">
        <v>0</v>
      </c>
      <c r="AC612" s="9">
        <v>1</v>
      </c>
      <c r="AD612" s="9">
        <v>0</v>
      </c>
      <c r="AE612" s="9">
        <v>0</v>
      </c>
      <c r="AF612" s="9">
        <v>0</v>
      </c>
      <c r="AG612" s="8">
        <v>1</v>
      </c>
      <c r="AH612" s="9">
        <v>0</v>
      </c>
      <c r="AI612" s="30">
        <v>0</v>
      </c>
      <c r="AJ612" s="9">
        <v>0</v>
      </c>
      <c r="AK612" s="30">
        <v>1</v>
      </c>
      <c r="AL612" s="21">
        <v>2001</v>
      </c>
      <c r="AM612" s="23">
        <f t="shared" si="181"/>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6</v>
      </c>
      <c r="DB612" s="34"/>
    </row>
    <row r="613" spans="1:106" x14ac:dyDescent="0.25">
      <c r="A613">
        <v>612</v>
      </c>
      <c r="B613">
        <v>38</v>
      </c>
      <c r="C613" s="25" t="s">
        <v>334</v>
      </c>
      <c r="D613" s="12">
        <v>21.5</v>
      </c>
      <c r="E613" s="14">
        <v>4.3</v>
      </c>
      <c r="F613" s="7">
        <f t="shared" si="182"/>
        <v>5</v>
      </c>
      <c r="G613" s="7">
        <f t="shared" si="172"/>
        <v>17.2</v>
      </c>
      <c r="H613" s="16">
        <f t="shared" si="173"/>
        <v>25.8</v>
      </c>
      <c r="I613" s="11">
        <f t="shared" si="174"/>
        <v>0.11211213233271874</v>
      </c>
      <c r="J613" s="33">
        <f t="shared" si="175"/>
        <v>2.242242646654375E-2</v>
      </c>
      <c r="K613" s="33">
        <f t="shared" si="176"/>
        <v>44.598206241955516</v>
      </c>
      <c r="L613" s="33">
        <f t="shared" si="177"/>
        <v>8.9689705866175001E-2</v>
      </c>
      <c r="M613" s="33">
        <f t="shared" si="178"/>
        <v>0.13453455879926249</v>
      </c>
      <c r="N613" s="8">
        <v>0</v>
      </c>
      <c r="O613" s="9">
        <v>1</v>
      </c>
      <c r="P613" s="8">
        <v>0</v>
      </c>
      <c r="Q613" s="9">
        <v>0</v>
      </c>
      <c r="R613" s="9">
        <v>0</v>
      </c>
      <c r="S613" s="9">
        <v>1</v>
      </c>
      <c r="T613" s="9">
        <v>0</v>
      </c>
      <c r="U613" s="8">
        <v>1978</v>
      </c>
      <c r="V613" s="9">
        <v>13</v>
      </c>
      <c r="W613" s="9">
        <f t="shared" si="179"/>
        <v>1964</v>
      </c>
      <c r="X613" s="9">
        <f t="shared" si="180"/>
        <v>50</v>
      </c>
      <c r="Y613" s="7">
        <f t="shared" si="169"/>
        <v>9.4307999999999996</v>
      </c>
      <c r="Z613" s="7">
        <f t="shared" si="170"/>
        <v>23.669200000000004</v>
      </c>
      <c r="AA613" s="9">
        <v>1</v>
      </c>
      <c r="AB613" s="9">
        <v>0</v>
      </c>
      <c r="AC613" s="9">
        <v>1</v>
      </c>
      <c r="AD613" s="9">
        <v>0</v>
      </c>
      <c r="AE613" s="9">
        <v>0</v>
      </c>
      <c r="AF613" s="9">
        <v>0</v>
      </c>
      <c r="AG613" s="8">
        <v>1</v>
      </c>
      <c r="AH613" s="9">
        <v>0</v>
      </c>
      <c r="AI613" s="30">
        <v>0</v>
      </c>
      <c r="AJ613" s="9">
        <v>0</v>
      </c>
      <c r="AK613" s="30">
        <v>1</v>
      </c>
      <c r="AL613" s="21">
        <v>2001</v>
      </c>
      <c r="AM613" s="23">
        <f t="shared" si="181"/>
        <v>7.6014023345837334</v>
      </c>
      <c r="AN613" s="33">
        <v>0.13719999999999999</v>
      </c>
      <c r="AO613" s="33">
        <f t="shared" si="17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6</v>
      </c>
      <c r="DB613" s="34"/>
    </row>
    <row r="614" spans="1:106" s="148" customFormat="1" x14ac:dyDescent="0.25">
      <c r="A614" s="148">
        <v>613</v>
      </c>
      <c r="B614" s="148">
        <v>38</v>
      </c>
      <c r="C614" s="149" t="s">
        <v>334</v>
      </c>
      <c r="D614" s="150">
        <v>20.7</v>
      </c>
      <c r="E614" s="151">
        <v>3.2</v>
      </c>
      <c r="F614" s="152">
        <f t="shared" si="182"/>
        <v>6.4687499999999991</v>
      </c>
      <c r="G614" s="152">
        <f t="shared" si="172"/>
        <v>17.5</v>
      </c>
      <c r="H614" s="153">
        <f t="shared" si="173"/>
        <v>23.9</v>
      </c>
      <c r="I614" s="154">
        <f t="shared" si="174"/>
        <v>0.15598245363248828</v>
      </c>
      <c r="J614" s="155">
        <f t="shared" si="175"/>
        <v>2.4113229547051335E-2</v>
      </c>
      <c r="K614" s="155">
        <f t="shared" si="176"/>
        <v>41.471010676887289</v>
      </c>
      <c r="L614" s="155">
        <f t="shared" si="177"/>
        <v>0.13186922408543694</v>
      </c>
      <c r="M614" s="155">
        <f t="shared" si="178"/>
        <v>0.18009568317953961</v>
      </c>
      <c r="N614" s="156">
        <v>0</v>
      </c>
      <c r="O614" s="157">
        <v>1</v>
      </c>
      <c r="P614" s="156">
        <v>0</v>
      </c>
      <c r="Q614" s="157">
        <v>0</v>
      </c>
      <c r="R614" s="157">
        <v>0</v>
      </c>
      <c r="S614" s="157">
        <v>1</v>
      </c>
      <c r="T614" s="157">
        <v>0</v>
      </c>
      <c r="U614" s="156">
        <v>1692</v>
      </c>
      <c r="V614" s="157">
        <v>13</v>
      </c>
      <c r="W614" s="157">
        <f t="shared" si="179"/>
        <v>1678</v>
      </c>
      <c r="X614" s="157">
        <f t="shared" si="180"/>
        <v>50</v>
      </c>
      <c r="Y614" s="152">
        <f t="shared" si="169"/>
        <v>9.4307999999999996</v>
      </c>
      <c r="Z614" s="152">
        <f t="shared" si="170"/>
        <v>23.669200000000004</v>
      </c>
      <c r="AA614" s="157">
        <v>1</v>
      </c>
      <c r="AB614" s="157">
        <v>0</v>
      </c>
      <c r="AC614" s="157">
        <v>1</v>
      </c>
      <c r="AD614" s="157">
        <v>0</v>
      </c>
      <c r="AE614" s="157">
        <v>0</v>
      </c>
      <c r="AF614" s="157">
        <v>0</v>
      </c>
      <c r="AG614" s="156">
        <v>1</v>
      </c>
      <c r="AH614" s="157">
        <v>0</v>
      </c>
      <c r="AI614" s="158">
        <v>0</v>
      </c>
      <c r="AJ614" s="157">
        <v>0</v>
      </c>
      <c r="AK614" s="158">
        <v>1</v>
      </c>
      <c r="AL614" s="159">
        <v>2001</v>
      </c>
      <c r="AM614" s="160">
        <f t="shared" si="181"/>
        <v>7.6014023345837334</v>
      </c>
      <c r="AN614" s="155">
        <v>0.13719999999999999</v>
      </c>
      <c r="AO614" s="155">
        <f t="shared" si="17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6</v>
      </c>
      <c r="CW614" s="165"/>
      <c r="DB614" s="165"/>
    </row>
    <row r="615" spans="1:106" x14ac:dyDescent="0.25">
      <c r="A615">
        <v>614</v>
      </c>
      <c r="B615">
        <v>39</v>
      </c>
      <c r="C615" s="25" t="s">
        <v>336</v>
      </c>
      <c r="D615" s="12">
        <v>5.6</v>
      </c>
      <c r="E615" s="14">
        <v>0.08</v>
      </c>
      <c r="F615" s="7">
        <f t="shared" si="182"/>
        <v>70</v>
      </c>
      <c r="G615" s="7">
        <f t="shared" si="172"/>
        <v>5.52</v>
      </c>
      <c r="H615" s="16">
        <f t="shared" si="173"/>
        <v>5.68</v>
      </c>
      <c r="I615" s="11">
        <f t="shared" si="174"/>
        <v>0.45067594598575533</v>
      </c>
      <c r="J615" s="33">
        <f t="shared" si="175"/>
        <v>6.4382277997965046E-3</v>
      </c>
      <c r="K615" s="33">
        <f t="shared" si="176"/>
        <v>155.32224567009067</v>
      </c>
      <c r="L615" s="33">
        <f t="shared" si="177"/>
        <v>0.44423771818595881</v>
      </c>
      <c r="M615" s="33">
        <f t="shared" si="178"/>
        <v>0.45711417378555186</v>
      </c>
      <c r="N615" s="8">
        <v>0</v>
      </c>
      <c r="O615" s="9">
        <v>1</v>
      </c>
      <c r="P615" s="8">
        <v>0</v>
      </c>
      <c r="Q615" s="9">
        <v>0</v>
      </c>
      <c r="R615" s="9">
        <v>1</v>
      </c>
      <c r="S615" s="9">
        <v>0</v>
      </c>
      <c r="T615" s="9">
        <v>0</v>
      </c>
      <c r="U615" s="8">
        <v>19234</v>
      </c>
      <c r="V615" s="9">
        <v>8</v>
      </c>
      <c r="W615" s="9">
        <f t="shared" si="179"/>
        <v>19225</v>
      </c>
      <c r="X615" s="9">
        <f t="shared" si="180"/>
        <v>10</v>
      </c>
      <c r="Y615" s="7">
        <f>AVERAGE($Y$617:$Y$624)</f>
        <v>9.5600000000000023</v>
      </c>
      <c r="Z615" s="7">
        <v>17.440000000000001</v>
      </c>
      <c r="AA615" s="9">
        <v>1</v>
      </c>
      <c r="AB615" s="9">
        <v>0</v>
      </c>
      <c r="AC615" s="9">
        <v>0</v>
      </c>
      <c r="AD615" s="9">
        <v>0</v>
      </c>
      <c r="AE615" s="9">
        <v>1</v>
      </c>
      <c r="AF615" s="9">
        <v>0</v>
      </c>
      <c r="AG615" s="8">
        <v>0</v>
      </c>
      <c r="AH615" s="9">
        <v>1</v>
      </c>
      <c r="AI615" s="30">
        <v>0</v>
      </c>
      <c r="AJ615" s="9">
        <v>0</v>
      </c>
      <c r="AK615" s="30">
        <v>1</v>
      </c>
      <c r="AL615" s="21">
        <v>2001</v>
      </c>
      <c r="AM615" s="23">
        <f t="shared" si="181"/>
        <v>7.6014023345837334</v>
      </c>
      <c r="AN615" s="33" t="s">
        <v>104</v>
      </c>
      <c r="AO615" s="33" t="s">
        <v>104</v>
      </c>
      <c r="AP615" s="33" t="s">
        <v>104</v>
      </c>
      <c r="AQ615" s="43" t="s">
        <v>104</v>
      </c>
      <c r="AR615" s="42">
        <v>1</v>
      </c>
      <c r="AS615" s="18">
        <v>0</v>
      </c>
      <c r="AT615">
        <v>0.64219999999999999</v>
      </c>
      <c r="AU615" s="40">
        <f t="shared" ref="AU615:AU620" si="18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8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10</v>
      </c>
      <c r="DB615" s="34"/>
    </row>
    <row r="616" spans="1:106" x14ac:dyDescent="0.25">
      <c r="A616">
        <v>615</v>
      </c>
      <c r="B616">
        <v>39</v>
      </c>
      <c r="C616" s="25" t="s">
        <v>336</v>
      </c>
      <c r="D616" s="12">
        <v>6.8</v>
      </c>
      <c r="E616" s="14">
        <v>0.18</v>
      </c>
      <c r="F616" s="7">
        <f t="shared" si="182"/>
        <v>37.777777777777779</v>
      </c>
      <c r="G616" s="7">
        <f t="shared" si="172"/>
        <v>6.62</v>
      </c>
      <c r="H616" s="16">
        <f t="shared" si="173"/>
        <v>6.9799999999999995</v>
      </c>
      <c r="I616" s="11">
        <f t="shared" si="174"/>
        <v>0.26685477272919289</v>
      </c>
      <c r="J616" s="33">
        <f t="shared" si="175"/>
        <v>7.0638028075374589E-3</v>
      </c>
      <c r="K616" s="33">
        <f t="shared" si="176"/>
        <v>141.5668057626051</v>
      </c>
      <c r="L616" s="33">
        <f t="shared" si="177"/>
        <v>0.25979096992165546</v>
      </c>
      <c r="M616" s="33">
        <f t="shared" si="178"/>
        <v>0.27391857553673032</v>
      </c>
      <c r="N616" s="8">
        <v>0</v>
      </c>
      <c r="O616" s="9">
        <v>1</v>
      </c>
      <c r="P616" s="8">
        <v>0</v>
      </c>
      <c r="Q616" s="9">
        <v>0</v>
      </c>
      <c r="R616" s="9">
        <v>1</v>
      </c>
      <c r="S616" s="9">
        <v>0</v>
      </c>
      <c r="T616" s="9">
        <v>0</v>
      </c>
      <c r="U616" s="8">
        <v>18623</v>
      </c>
      <c r="V616" s="9">
        <v>8</v>
      </c>
      <c r="W616" s="9">
        <f t="shared" si="179"/>
        <v>18614</v>
      </c>
      <c r="X616" s="9">
        <f t="shared" si="180"/>
        <v>10</v>
      </c>
      <c r="Y616" s="7">
        <f>AVERAGE($Y$617:$Y$624)</f>
        <v>9.5600000000000023</v>
      </c>
      <c r="Z616" s="7">
        <v>17.440000000000001</v>
      </c>
      <c r="AA616" s="9">
        <v>1</v>
      </c>
      <c r="AB616" s="9">
        <v>0</v>
      </c>
      <c r="AC616" s="9">
        <v>0</v>
      </c>
      <c r="AD616" s="9">
        <v>0</v>
      </c>
      <c r="AE616" s="9">
        <v>1</v>
      </c>
      <c r="AF616" s="9">
        <v>0</v>
      </c>
      <c r="AG616" s="8">
        <v>0</v>
      </c>
      <c r="AH616" s="9">
        <v>1</v>
      </c>
      <c r="AI616" s="30">
        <v>0</v>
      </c>
      <c r="AJ616" s="9">
        <v>0</v>
      </c>
      <c r="AK616" s="30">
        <v>1</v>
      </c>
      <c r="AL616" s="21">
        <v>2001</v>
      </c>
      <c r="AM616" s="23">
        <f t="shared" si="181"/>
        <v>7.6014023345837334</v>
      </c>
      <c r="AN616" s="33" t="s">
        <v>104</v>
      </c>
      <c r="AO616" s="33" t="s">
        <v>104</v>
      </c>
      <c r="AP616" s="33" t="s">
        <v>104</v>
      </c>
      <c r="AQ616" s="43" t="s">
        <v>104</v>
      </c>
      <c r="AR616" s="42">
        <v>1</v>
      </c>
      <c r="AS616" s="18">
        <v>0</v>
      </c>
      <c r="AT616">
        <v>0.64219999999999999</v>
      </c>
      <c r="AU616" s="40">
        <f t="shared" si="18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8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10</v>
      </c>
      <c r="DB616" s="34"/>
    </row>
    <row r="617" spans="1:106" x14ac:dyDescent="0.25">
      <c r="A617">
        <v>616</v>
      </c>
      <c r="B617">
        <v>39</v>
      </c>
      <c r="C617" s="25" t="s">
        <v>336</v>
      </c>
      <c r="D617" s="12">
        <v>4.54</v>
      </c>
      <c r="E617" s="14">
        <v>0.45</v>
      </c>
      <c r="F617" s="7">
        <f t="shared" si="182"/>
        <v>10.088888888888889</v>
      </c>
      <c r="G617" s="7">
        <f t="shared" si="172"/>
        <v>4.09</v>
      </c>
      <c r="H617" s="16">
        <f t="shared" si="173"/>
        <v>4.99</v>
      </c>
      <c r="I617" s="11">
        <f t="shared" si="174"/>
        <v>0.31287540391824742</v>
      </c>
      <c r="J617" s="33">
        <f t="shared" si="175"/>
        <v>3.101187924299809E-2</v>
      </c>
      <c r="K617" s="33">
        <f t="shared" si="176"/>
        <v>32.245707916129639</v>
      </c>
      <c r="L617" s="33">
        <f t="shared" si="177"/>
        <v>0.28186352467524933</v>
      </c>
      <c r="M617" s="33">
        <f t="shared" si="178"/>
        <v>0.3438872831612455</v>
      </c>
      <c r="N617" s="8">
        <v>0</v>
      </c>
      <c r="O617" s="9">
        <v>1</v>
      </c>
      <c r="P617" s="8">
        <v>0</v>
      </c>
      <c r="Q617" s="9">
        <v>0</v>
      </c>
      <c r="R617" s="9">
        <v>1</v>
      </c>
      <c r="S617" s="9">
        <v>0</v>
      </c>
      <c r="T617" s="9">
        <v>0</v>
      </c>
      <c r="U617" s="8">
        <v>947</v>
      </c>
      <c r="V617" s="9">
        <v>8</v>
      </c>
      <c r="W617" s="9">
        <f t="shared" si="179"/>
        <v>938</v>
      </c>
      <c r="X617" s="9">
        <f t="shared" si="180"/>
        <v>10</v>
      </c>
      <c r="Y617" s="7">
        <v>8.49</v>
      </c>
      <c r="Z617" s="7">
        <v>29.26</v>
      </c>
      <c r="AA617" s="9">
        <v>1</v>
      </c>
      <c r="AB617" s="9">
        <v>0</v>
      </c>
      <c r="AC617" s="9">
        <v>0</v>
      </c>
      <c r="AD617" s="9">
        <v>0</v>
      </c>
      <c r="AE617" s="9">
        <v>1</v>
      </c>
      <c r="AF617" s="9">
        <v>0</v>
      </c>
      <c r="AG617" s="8">
        <v>0</v>
      </c>
      <c r="AH617" s="9">
        <v>1</v>
      </c>
      <c r="AI617" s="30">
        <v>0</v>
      </c>
      <c r="AJ617" s="9">
        <v>0</v>
      </c>
      <c r="AK617" s="30">
        <v>1</v>
      </c>
      <c r="AL617" s="21">
        <v>2001</v>
      </c>
      <c r="AM617" s="23">
        <f t="shared" si="181"/>
        <v>7.6014023345837334</v>
      </c>
      <c r="AN617" s="33" t="s">
        <v>104</v>
      </c>
      <c r="AO617" s="33" t="s">
        <v>104</v>
      </c>
      <c r="AP617" s="33" t="s">
        <v>104</v>
      </c>
      <c r="AQ617" s="43" t="s">
        <v>104</v>
      </c>
      <c r="AR617" s="42">
        <v>1</v>
      </c>
      <c r="AS617" s="18">
        <v>0</v>
      </c>
      <c r="AT617">
        <v>0.64219999999999999</v>
      </c>
      <c r="AU617" s="40">
        <f t="shared" si="18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8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10</v>
      </c>
      <c r="DB617" s="34"/>
    </row>
    <row r="618" spans="1:106" x14ac:dyDescent="0.25">
      <c r="A618">
        <v>617</v>
      </c>
      <c r="B618">
        <v>39</v>
      </c>
      <c r="C618" s="25" t="s">
        <v>336</v>
      </c>
      <c r="D618" s="12">
        <v>7.51</v>
      </c>
      <c r="E618" s="14">
        <v>1.1399999999999999</v>
      </c>
      <c r="F618" s="7">
        <f t="shared" si="182"/>
        <v>6.5877192982456148</v>
      </c>
      <c r="G618" s="7">
        <f t="shared" si="172"/>
        <v>6.37</v>
      </c>
      <c r="H618" s="16">
        <f t="shared" si="173"/>
        <v>8.65</v>
      </c>
      <c r="I618" s="11">
        <f t="shared" si="174"/>
        <v>0.21346458722465919</v>
      </c>
      <c r="J618" s="33">
        <f t="shared" si="175"/>
        <v>3.2403412707871032E-2</v>
      </c>
      <c r="K618" s="33">
        <f t="shared" si="176"/>
        <v>30.860946932206698</v>
      </c>
      <c r="L618" s="33">
        <f t="shared" si="177"/>
        <v>0.18106117451678816</v>
      </c>
      <c r="M618" s="33">
        <f t="shared" si="178"/>
        <v>0.24586799993253022</v>
      </c>
      <c r="N618" s="8">
        <v>0</v>
      </c>
      <c r="O618" s="9">
        <v>1</v>
      </c>
      <c r="P618" s="8">
        <v>0</v>
      </c>
      <c r="Q618" s="9">
        <v>0</v>
      </c>
      <c r="R618" s="9">
        <v>1</v>
      </c>
      <c r="S618" s="9">
        <v>0</v>
      </c>
      <c r="T618" s="9">
        <v>0</v>
      </c>
      <c r="U618" s="8">
        <v>918</v>
      </c>
      <c r="V618" s="9">
        <v>8</v>
      </c>
      <c r="W618" s="9">
        <f t="shared" si="179"/>
        <v>909</v>
      </c>
      <c r="X618" s="9">
        <f t="shared" si="180"/>
        <v>10</v>
      </c>
      <c r="Y618" s="7">
        <v>8.49</v>
      </c>
      <c r="Z618" s="7">
        <v>29.26</v>
      </c>
      <c r="AA618" s="9">
        <v>1</v>
      </c>
      <c r="AB618" s="9">
        <v>0</v>
      </c>
      <c r="AC618" s="9">
        <v>0</v>
      </c>
      <c r="AD618" s="9">
        <v>0</v>
      </c>
      <c r="AE618" s="9">
        <v>1</v>
      </c>
      <c r="AF618" s="9">
        <v>0</v>
      </c>
      <c r="AG618" s="8">
        <v>0</v>
      </c>
      <c r="AH618" s="9">
        <v>1</v>
      </c>
      <c r="AI618" s="30">
        <v>0</v>
      </c>
      <c r="AJ618" s="9">
        <v>0</v>
      </c>
      <c r="AK618" s="30">
        <v>1</v>
      </c>
      <c r="AL618" s="21">
        <v>2001</v>
      </c>
      <c r="AM618" s="23">
        <f t="shared" si="181"/>
        <v>7.6014023345837334</v>
      </c>
      <c r="AN618" s="33" t="s">
        <v>104</v>
      </c>
      <c r="AO618" s="33" t="s">
        <v>104</v>
      </c>
      <c r="AP618" s="33" t="s">
        <v>104</v>
      </c>
      <c r="AQ618" s="43" t="s">
        <v>104</v>
      </c>
      <c r="AR618" s="42">
        <v>1</v>
      </c>
      <c r="AS618" s="18">
        <v>0</v>
      </c>
      <c r="AT618">
        <v>0.64219999999999999</v>
      </c>
      <c r="AU618" s="40">
        <f t="shared" si="18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8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10</v>
      </c>
      <c r="DB618" s="34"/>
    </row>
    <row r="619" spans="1:106" x14ac:dyDescent="0.25">
      <c r="A619">
        <v>618</v>
      </c>
      <c r="B619">
        <v>39</v>
      </c>
      <c r="C619" s="25" t="s">
        <v>336</v>
      </c>
      <c r="D619" s="12">
        <v>3.05</v>
      </c>
      <c r="E619" s="14">
        <v>3.6</v>
      </c>
      <c r="F619" s="7">
        <f t="shared" si="182"/>
        <v>0.8472222222222221</v>
      </c>
      <c r="G619" s="7">
        <f t="shared" si="172"/>
        <v>-0.55000000000000027</v>
      </c>
      <c r="H619" s="16">
        <f t="shared" si="173"/>
        <v>6.65</v>
      </c>
      <c r="I619" s="11">
        <f t="shared" si="174"/>
        <v>2.3582057357347679E-2</v>
      </c>
      <c r="J619" s="33">
        <f t="shared" si="175"/>
        <v>2.7834559503754644E-2</v>
      </c>
      <c r="K619" s="33">
        <f t="shared" si="176"/>
        <v>35.926561002882352</v>
      </c>
      <c r="L619" s="33">
        <f t="shared" si="177"/>
        <v>-4.2525021464069647E-3</v>
      </c>
      <c r="M619" s="33">
        <f t="shared" si="178"/>
        <v>5.1416616861102327E-2</v>
      </c>
      <c r="N619" s="8">
        <v>0</v>
      </c>
      <c r="O619" s="9">
        <v>1</v>
      </c>
      <c r="P619" s="8">
        <v>0</v>
      </c>
      <c r="Q619" s="9">
        <v>0</v>
      </c>
      <c r="R619" s="9">
        <v>1</v>
      </c>
      <c r="S619" s="9">
        <v>0</v>
      </c>
      <c r="T619" s="9">
        <v>0</v>
      </c>
      <c r="U619" s="8">
        <v>1299</v>
      </c>
      <c r="V619" s="9">
        <v>8</v>
      </c>
      <c r="W619" s="9">
        <f t="shared" si="179"/>
        <v>1290</v>
      </c>
      <c r="X619" s="9">
        <f t="shared" si="180"/>
        <v>10</v>
      </c>
      <c r="Y619" s="7">
        <v>10.44</v>
      </c>
      <c r="Z619" s="7">
        <v>8.36</v>
      </c>
      <c r="AA619" s="9">
        <v>1</v>
      </c>
      <c r="AB619" s="9">
        <v>0</v>
      </c>
      <c r="AC619" s="9">
        <v>0</v>
      </c>
      <c r="AD619" s="9">
        <v>0</v>
      </c>
      <c r="AE619" s="9">
        <v>1</v>
      </c>
      <c r="AF619" s="9">
        <v>0</v>
      </c>
      <c r="AG619" s="8">
        <v>0</v>
      </c>
      <c r="AH619" s="9">
        <v>1</v>
      </c>
      <c r="AI619" s="30">
        <v>0</v>
      </c>
      <c r="AJ619" s="9">
        <v>0</v>
      </c>
      <c r="AK619" s="30">
        <v>1</v>
      </c>
      <c r="AL619" s="21">
        <v>2001</v>
      </c>
      <c r="AM619" s="23">
        <f t="shared" si="181"/>
        <v>7.6014023345837334</v>
      </c>
      <c r="AN619" s="33" t="s">
        <v>104</v>
      </c>
      <c r="AO619" s="33" t="s">
        <v>104</v>
      </c>
      <c r="AP619" s="33" t="s">
        <v>104</v>
      </c>
      <c r="AQ619" s="43" t="s">
        <v>104</v>
      </c>
      <c r="AR619" s="42">
        <v>1</v>
      </c>
      <c r="AS619" s="18">
        <v>0</v>
      </c>
      <c r="AT619">
        <v>0.64219999999999999</v>
      </c>
      <c r="AU619" s="40">
        <f t="shared" si="18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8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10</v>
      </c>
      <c r="DB619" s="34"/>
    </row>
    <row r="620" spans="1:106" x14ac:dyDescent="0.25">
      <c r="A620">
        <v>619</v>
      </c>
      <c r="B620">
        <v>39</v>
      </c>
      <c r="C620" s="25" t="s">
        <v>336</v>
      </c>
      <c r="D620" s="12">
        <v>5.65</v>
      </c>
      <c r="E620" s="14">
        <v>1.1000000000000001</v>
      </c>
      <c r="F620" s="7">
        <f t="shared" si="182"/>
        <v>5.1363636363636367</v>
      </c>
      <c r="G620" s="7">
        <f t="shared" si="172"/>
        <v>4.5500000000000007</v>
      </c>
      <c r="H620" s="16">
        <f t="shared" si="173"/>
        <v>6.75</v>
      </c>
      <c r="I620" s="11">
        <f t="shared" si="174"/>
        <v>0.1445068320716868</v>
      </c>
      <c r="J620" s="33">
        <f t="shared" si="175"/>
        <v>2.8134073500682387E-2</v>
      </c>
      <c r="K620" s="33">
        <f t="shared" si="176"/>
        <v>35.544088557803235</v>
      </c>
      <c r="L620" s="33">
        <f t="shared" si="177"/>
        <v>0.1163727585710044</v>
      </c>
      <c r="M620" s="33">
        <f t="shared" si="178"/>
        <v>0.17264090557236919</v>
      </c>
      <c r="N620" s="8">
        <v>0</v>
      </c>
      <c r="O620" s="9">
        <v>1</v>
      </c>
      <c r="P620" s="8">
        <v>0</v>
      </c>
      <c r="Q620" s="9">
        <v>0</v>
      </c>
      <c r="R620" s="9">
        <v>1</v>
      </c>
      <c r="S620" s="9">
        <v>0</v>
      </c>
      <c r="T620" s="9">
        <v>0</v>
      </c>
      <c r="U620" s="8">
        <v>1246</v>
      </c>
      <c r="V620" s="9">
        <v>8</v>
      </c>
      <c r="W620" s="9">
        <f t="shared" si="179"/>
        <v>1237</v>
      </c>
      <c r="X620" s="9">
        <f t="shared" si="180"/>
        <v>10</v>
      </c>
      <c r="Y620" s="7">
        <v>10.44</v>
      </c>
      <c r="Z620" s="7">
        <v>8.36</v>
      </c>
      <c r="AA620" s="9">
        <v>1</v>
      </c>
      <c r="AB620" s="9">
        <v>0</v>
      </c>
      <c r="AC620" s="9">
        <v>0</v>
      </c>
      <c r="AD620" s="9">
        <v>0</v>
      </c>
      <c r="AE620" s="9">
        <v>1</v>
      </c>
      <c r="AF620" s="9">
        <v>0</v>
      </c>
      <c r="AG620" s="8">
        <v>0</v>
      </c>
      <c r="AH620" s="9">
        <v>1</v>
      </c>
      <c r="AI620" s="30">
        <v>0</v>
      </c>
      <c r="AJ620" s="9">
        <v>0</v>
      </c>
      <c r="AK620" s="30">
        <v>1</v>
      </c>
      <c r="AL620" s="21">
        <v>2001</v>
      </c>
      <c r="AM620" s="23">
        <f t="shared" si="181"/>
        <v>7.6014023345837334</v>
      </c>
      <c r="AN620" s="33" t="s">
        <v>104</v>
      </c>
      <c r="AO620" s="33" t="s">
        <v>104</v>
      </c>
      <c r="AP620" s="33" t="s">
        <v>104</v>
      </c>
      <c r="AQ620" s="43" t="s">
        <v>104</v>
      </c>
      <c r="AR620" s="42">
        <v>1</v>
      </c>
      <c r="AS620" s="18">
        <v>0</v>
      </c>
      <c r="AT620">
        <v>0.64219999999999999</v>
      </c>
      <c r="AU620" s="40">
        <f t="shared" si="18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8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10</v>
      </c>
      <c r="DB620" s="34"/>
    </row>
    <row r="621" spans="1:106" x14ac:dyDescent="0.25">
      <c r="A621">
        <v>620</v>
      </c>
      <c r="B621">
        <v>39</v>
      </c>
      <c r="C621" s="25" t="s">
        <v>336</v>
      </c>
      <c r="D621" s="12">
        <v>4.4000000000000004</v>
      </c>
      <c r="E621" s="14">
        <v>0.37</v>
      </c>
      <c r="F621" s="7">
        <f t="shared" si="182"/>
        <v>11.891891891891893</v>
      </c>
      <c r="G621" s="7">
        <f t="shared" si="172"/>
        <v>4.03</v>
      </c>
      <c r="H621" s="16">
        <f t="shared" si="173"/>
        <v>4.7700000000000005</v>
      </c>
      <c r="I621" s="11">
        <f t="shared" si="174"/>
        <v>0.30417954748127174</v>
      </c>
      <c r="J621" s="33">
        <f t="shared" si="175"/>
        <v>2.5578734674561485E-2</v>
      </c>
      <c r="K621" s="33">
        <f t="shared" si="176"/>
        <v>39.09497528798866</v>
      </c>
      <c r="L621" s="33">
        <f t="shared" si="177"/>
        <v>0.27860081280671023</v>
      </c>
      <c r="M621" s="33">
        <f t="shared" si="178"/>
        <v>0.32975828215583325</v>
      </c>
      <c r="N621" s="8">
        <v>0</v>
      </c>
      <c r="O621" s="9">
        <v>1</v>
      </c>
      <c r="P621" s="8">
        <v>0</v>
      </c>
      <c r="Q621" s="9">
        <v>0</v>
      </c>
      <c r="R621" s="9">
        <v>1</v>
      </c>
      <c r="S621" s="9">
        <v>0</v>
      </c>
      <c r="T621" s="9">
        <v>0</v>
      </c>
      <c r="U621" s="8">
        <v>1396</v>
      </c>
      <c r="V621" s="9">
        <v>8</v>
      </c>
      <c r="W621" s="9">
        <f t="shared" si="179"/>
        <v>1387</v>
      </c>
      <c r="X621" s="9">
        <f t="shared" si="180"/>
        <v>10</v>
      </c>
      <c r="Y621" s="7">
        <v>9.35</v>
      </c>
      <c r="Z621" s="7">
        <v>19.510000000000002</v>
      </c>
      <c r="AA621" s="9">
        <v>1</v>
      </c>
      <c r="AB621" s="9">
        <v>0</v>
      </c>
      <c r="AC621" s="9">
        <v>0</v>
      </c>
      <c r="AD621" s="9">
        <v>0</v>
      </c>
      <c r="AE621" s="9">
        <v>1</v>
      </c>
      <c r="AF621" s="9">
        <v>0</v>
      </c>
      <c r="AG621" s="8">
        <v>0</v>
      </c>
      <c r="AH621" s="9">
        <v>1</v>
      </c>
      <c r="AI621" s="30">
        <v>0</v>
      </c>
      <c r="AJ621" s="9">
        <v>0</v>
      </c>
      <c r="AK621" s="30">
        <v>1</v>
      </c>
      <c r="AL621" s="21">
        <v>2001</v>
      </c>
      <c r="AM621" s="23">
        <f t="shared" si="18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8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10</v>
      </c>
      <c r="DB621" s="34"/>
    </row>
    <row r="622" spans="1:106" x14ac:dyDescent="0.25">
      <c r="A622">
        <v>621</v>
      </c>
      <c r="B622">
        <v>39</v>
      </c>
      <c r="C622" s="25" t="s">
        <v>336</v>
      </c>
      <c r="D622" s="12">
        <v>8.39</v>
      </c>
      <c r="E622" s="14">
        <v>1.0900000000000001</v>
      </c>
      <c r="F622" s="7">
        <f t="shared" si="182"/>
        <v>7.6972477064220186</v>
      </c>
      <c r="G622" s="7">
        <f t="shared" si="172"/>
        <v>7.3000000000000007</v>
      </c>
      <c r="H622" s="16">
        <f t="shared" si="173"/>
        <v>9.48</v>
      </c>
      <c r="I622" s="11">
        <f t="shared" si="174"/>
        <v>0.20547940779494051</v>
      </c>
      <c r="J622" s="33">
        <f t="shared" si="175"/>
        <v>2.6695179320200848E-2</v>
      </c>
      <c r="K622" s="33">
        <f t="shared" si="176"/>
        <v>37.459946906716496</v>
      </c>
      <c r="L622" s="33">
        <f t="shared" si="177"/>
        <v>0.17878422847473965</v>
      </c>
      <c r="M622" s="33">
        <f t="shared" si="178"/>
        <v>0.23217458711514136</v>
      </c>
      <c r="N622" s="8">
        <v>0</v>
      </c>
      <c r="O622" s="9">
        <v>1</v>
      </c>
      <c r="P622" s="8">
        <v>0</v>
      </c>
      <c r="Q622" s="9">
        <v>0</v>
      </c>
      <c r="R622" s="9">
        <v>1</v>
      </c>
      <c r="S622" s="9">
        <v>0</v>
      </c>
      <c r="T622" s="9">
        <v>0</v>
      </c>
      <c r="U622" s="8">
        <v>1353</v>
      </c>
      <c r="V622" s="9">
        <v>8</v>
      </c>
      <c r="W622" s="9">
        <f t="shared" si="179"/>
        <v>1344</v>
      </c>
      <c r="X622" s="9">
        <f t="shared" si="180"/>
        <v>10</v>
      </c>
      <c r="Y622" s="7">
        <v>9.35</v>
      </c>
      <c r="Z622" s="7">
        <v>19.510000000000002</v>
      </c>
      <c r="AA622" s="9">
        <v>1</v>
      </c>
      <c r="AB622" s="9">
        <v>0</v>
      </c>
      <c r="AC622" s="9">
        <v>0</v>
      </c>
      <c r="AD622" s="9">
        <v>0</v>
      </c>
      <c r="AE622" s="9">
        <v>1</v>
      </c>
      <c r="AF622" s="9">
        <v>0</v>
      </c>
      <c r="AG622" s="8">
        <v>0</v>
      </c>
      <c r="AH622" s="9">
        <v>1</v>
      </c>
      <c r="AI622" s="30">
        <v>0</v>
      </c>
      <c r="AJ622" s="9">
        <v>0</v>
      </c>
      <c r="AK622" s="30">
        <v>1</v>
      </c>
      <c r="AL622" s="21">
        <v>2001</v>
      </c>
      <c r="AM622" s="23">
        <f t="shared" si="18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8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10</v>
      </c>
      <c r="DB622" s="34"/>
    </row>
    <row r="623" spans="1:106" x14ac:dyDescent="0.25">
      <c r="A623">
        <v>622</v>
      </c>
      <c r="B623">
        <v>39</v>
      </c>
      <c r="C623" s="25" t="s">
        <v>336</v>
      </c>
      <c r="D623" s="12">
        <v>2.58</v>
      </c>
      <c r="E623" s="14">
        <v>0.39</v>
      </c>
      <c r="F623" s="7">
        <f t="shared" si="182"/>
        <v>6.615384615384615</v>
      </c>
      <c r="G623" s="7">
        <f t="shared" si="172"/>
        <v>2.19</v>
      </c>
      <c r="H623" s="16">
        <f t="shared" si="173"/>
        <v>2.97</v>
      </c>
      <c r="I623" s="11">
        <f t="shared" si="174"/>
        <v>0.21637359917513771</v>
      </c>
      <c r="J623" s="33">
        <f t="shared" si="175"/>
        <v>3.2707637084613848E-2</v>
      </c>
      <c r="K623" s="33">
        <f t="shared" si="176"/>
        <v>30.573899221549535</v>
      </c>
      <c r="L623" s="33">
        <f t="shared" si="177"/>
        <v>0.18366596209052385</v>
      </c>
      <c r="M623" s="33">
        <f t="shared" si="178"/>
        <v>0.24908123625975157</v>
      </c>
      <c r="N623" s="8">
        <v>0</v>
      </c>
      <c r="O623" s="9">
        <v>1</v>
      </c>
      <c r="P623" s="8">
        <v>0</v>
      </c>
      <c r="Q623" s="9">
        <v>0</v>
      </c>
      <c r="R623" s="9">
        <v>1</v>
      </c>
      <c r="S623" s="9">
        <v>0</v>
      </c>
      <c r="T623" s="9">
        <v>0</v>
      </c>
      <c r="U623" s="8">
        <v>900</v>
      </c>
      <c r="V623" s="9">
        <v>8</v>
      </c>
      <c r="W623" s="9">
        <f t="shared" si="179"/>
        <v>891</v>
      </c>
      <c r="X623" s="9">
        <f t="shared" si="180"/>
        <v>10</v>
      </c>
      <c r="Y623" s="7">
        <v>9.9600000000000009</v>
      </c>
      <c r="Z623" s="7">
        <v>14.21</v>
      </c>
      <c r="AA623" s="9">
        <v>1</v>
      </c>
      <c r="AB623" s="9">
        <v>0</v>
      </c>
      <c r="AC623" s="9">
        <v>0</v>
      </c>
      <c r="AD623" s="9">
        <v>0</v>
      </c>
      <c r="AE623" s="9">
        <v>1</v>
      </c>
      <c r="AF623" s="9">
        <v>0</v>
      </c>
      <c r="AG623" s="8">
        <v>0</v>
      </c>
      <c r="AH623" s="9">
        <v>1</v>
      </c>
      <c r="AI623" s="30">
        <v>0</v>
      </c>
      <c r="AJ623" s="9">
        <v>0</v>
      </c>
      <c r="AK623" s="30">
        <v>1</v>
      </c>
      <c r="AL623" s="21">
        <v>2001</v>
      </c>
      <c r="AM623" s="23">
        <f t="shared" si="18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8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10</v>
      </c>
      <c r="DB623" s="34"/>
    </row>
    <row r="624" spans="1:106" s="148" customFormat="1" x14ac:dyDescent="0.25">
      <c r="A624" s="148">
        <v>623</v>
      </c>
      <c r="B624" s="148">
        <v>39</v>
      </c>
      <c r="C624" s="149" t="s">
        <v>336</v>
      </c>
      <c r="D624" s="150">
        <v>3.13</v>
      </c>
      <c r="E624" s="151">
        <v>1.03</v>
      </c>
      <c r="F624" s="152">
        <f t="shared" si="182"/>
        <v>3.0388349514563107</v>
      </c>
      <c r="G624" s="152">
        <f t="shared" si="172"/>
        <v>2.0999999999999996</v>
      </c>
      <c r="H624" s="153">
        <f t="shared" si="173"/>
        <v>4.16</v>
      </c>
      <c r="I624" s="154">
        <f t="shared" si="174"/>
        <v>0.10366955995013886</v>
      </c>
      <c r="J624" s="155">
        <f t="shared" si="175"/>
        <v>3.4114903114582436E-2</v>
      </c>
      <c r="K624" s="155">
        <f t="shared" si="176"/>
        <v>29.312702329573654</v>
      </c>
      <c r="L624" s="155">
        <f t="shared" si="177"/>
        <v>6.9554656835556422E-2</v>
      </c>
      <c r="M624" s="155">
        <f t="shared" si="178"/>
        <v>0.13778446306472131</v>
      </c>
      <c r="N624" s="156">
        <v>0</v>
      </c>
      <c r="O624" s="157">
        <v>1</v>
      </c>
      <c r="P624" s="156">
        <v>0</v>
      </c>
      <c r="Q624" s="157">
        <v>0</v>
      </c>
      <c r="R624" s="157">
        <v>1</v>
      </c>
      <c r="S624" s="157">
        <v>0</v>
      </c>
      <c r="T624" s="157">
        <v>0</v>
      </c>
      <c r="U624" s="156">
        <v>859</v>
      </c>
      <c r="V624" s="157">
        <v>8</v>
      </c>
      <c r="W624" s="157">
        <f t="shared" si="179"/>
        <v>850</v>
      </c>
      <c r="X624" s="157">
        <f t="shared" si="180"/>
        <v>10</v>
      </c>
      <c r="Y624" s="152">
        <v>9.9600000000000009</v>
      </c>
      <c r="Z624" s="152">
        <v>14.21</v>
      </c>
      <c r="AA624" s="157">
        <v>1</v>
      </c>
      <c r="AB624" s="157">
        <v>0</v>
      </c>
      <c r="AC624" s="157">
        <v>0</v>
      </c>
      <c r="AD624" s="157">
        <v>0</v>
      </c>
      <c r="AE624" s="157">
        <v>1</v>
      </c>
      <c r="AF624" s="157">
        <v>0</v>
      </c>
      <c r="AG624" s="156">
        <v>0</v>
      </c>
      <c r="AH624" s="157">
        <v>1</v>
      </c>
      <c r="AI624" s="158">
        <v>0</v>
      </c>
      <c r="AJ624" s="157">
        <v>0</v>
      </c>
      <c r="AK624" s="158">
        <v>1</v>
      </c>
      <c r="AL624" s="159">
        <v>2001</v>
      </c>
      <c r="AM624" s="160">
        <f t="shared" si="18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79">
        <f t="shared" si="18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10</v>
      </c>
      <c r="CW624" s="165"/>
      <c r="DB624" s="165"/>
    </row>
    <row r="625" spans="1:106" x14ac:dyDescent="0.25">
      <c r="A625">
        <v>624</v>
      </c>
      <c r="B625">
        <v>40</v>
      </c>
      <c r="C625" s="25" t="s">
        <v>339</v>
      </c>
      <c r="D625" s="12">
        <v>8.6</v>
      </c>
      <c r="E625" s="14">
        <v>0.3</v>
      </c>
      <c r="F625" s="7">
        <f t="shared" si="182"/>
        <v>28.666666666666668</v>
      </c>
      <c r="G625" s="7">
        <f t="shared" si="172"/>
        <v>8.2999999999999989</v>
      </c>
      <c r="H625" s="16">
        <f t="shared" si="173"/>
        <v>8.9</v>
      </c>
      <c r="I625" s="11">
        <f t="shared" si="174"/>
        <v>0.30072687606952542</v>
      </c>
      <c r="J625" s="33">
        <f t="shared" si="175"/>
        <v>1.0490472421029956E-2</v>
      </c>
      <c r="K625" s="33">
        <f t="shared" si="176"/>
        <v>95.324591673805656</v>
      </c>
      <c r="L625" s="33">
        <f t="shared" si="177"/>
        <v>0.29023640364849546</v>
      </c>
      <c r="M625" s="33">
        <f t="shared" si="178"/>
        <v>0.31121734849055538</v>
      </c>
      <c r="N625" s="8">
        <v>1</v>
      </c>
      <c r="O625" s="9">
        <v>0</v>
      </c>
      <c r="P625" s="8">
        <v>0</v>
      </c>
      <c r="Q625" s="9">
        <v>0</v>
      </c>
      <c r="R625" s="9">
        <v>1</v>
      </c>
      <c r="S625" s="9">
        <v>0</v>
      </c>
      <c r="T625" s="9">
        <v>0</v>
      </c>
      <c r="U625" s="8">
        <v>8270</v>
      </c>
      <c r="V625" s="9">
        <v>4</v>
      </c>
      <c r="W625" s="9">
        <f t="shared" si="179"/>
        <v>8265</v>
      </c>
      <c r="X625" s="9">
        <f t="shared" si="180"/>
        <v>17</v>
      </c>
      <c r="Y625" s="7">
        <v>11.13</v>
      </c>
      <c r="Z625" s="7">
        <v>20.260000000000002</v>
      </c>
      <c r="AA625" s="9">
        <v>1</v>
      </c>
      <c r="AB625" s="9">
        <v>0</v>
      </c>
      <c r="AC625" s="9">
        <v>1</v>
      </c>
      <c r="AD625" s="9">
        <v>0</v>
      </c>
      <c r="AE625" s="9">
        <v>0</v>
      </c>
      <c r="AF625" s="9">
        <v>0</v>
      </c>
      <c r="AG625" s="8">
        <v>1</v>
      </c>
      <c r="AH625" s="9">
        <v>0</v>
      </c>
      <c r="AI625" s="30">
        <v>0</v>
      </c>
      <c r="AJ625" s="9">
        <v>1</v>
      </c>
      <c r="AK625" s="30">
        <v>0</v>
      </c>
      <c r="AL625" s="21">
        <v>2002</v>
      </c>
      <c r="AM625" s="23">
        <f t="shared" si="181"/>
        <v>7.6019019598751658</v>
      </c>
      <c r="AN625" s="33">
        <f t="shared" ref="AN625:AN641" si="18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8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15</v>
      </c>
      <c r="DB625" s="34"/>
    </row>
    <row r="626" spans="1:106" x14ac:dyDescent="0.25">
      <c r="A626">
        <v>625</v>
      </c>
      <c r="B626">
        <v>40</v>
      </c>
      <c r="C626" s="25" t="s">
        <v>339</v>
      </c>
      <c r="D626" s="12">
        <v>8.3000000000000007</v>
      </c>
      <c r="E626" s="14">
        <v>0.2</v>
      </c>
      <c r="F626" s="7">
        <f t="shared" si="182"/>
        <v>41.5</v>
      </c>
      <c r="G626" s="7">
        <f t="shared" si="172"/>
        <v>8.1000000000000014</v>
      </c>
      <c r="H626" s="16">
        <f t="shared" si="173"/>
        <v>8.5</v>
      </c>
      <c r="I626" s="11">
        <f t="shared" si="174"/>
        <v>0.41530640149835174</v>
      </c>
      <c r="J626" s="33">
        <f t="shared" si="175"/>
        <v>1.0007383168634981E-2</v>
      </c>
      <c r="K626" s="33">
        <f t="shared" si="176"/>
        <v>99.926222784612449</v>
      </c>
      <c r="L626" s="33">
        <f t="shared" si="177"/>
        <v>0.40529901832971676</v>
      </c>
      <c r="M626" s="33">
        <f t="shared" si="178"/>
        <v>0.42531378466698672</v>
      </c>
      <c r="N626" s="8">
        <v>1</v>
      </c>
      <c r="O626" s="9">
        <v>0</v>
      </c>
      <c r="P626" s="8">
        <v>0</v>
      </c>
      <c r="Q626" s="9">
        <v>0</v>
      </c>
      <c r="R626" s="9">
        <v>1</v>
      </c>
      <c r="S626" s="9">
        <v>0</v>
      </c>
      <c r="T626" s="9">
        <v>0</v>
      </c>
      <c r="U626" s="8">
        <v>8270</v>
      </c>
      <c r="V626" s="9">
        <v>6</v>
      </c>
      <c r="W626" s="9">
        <f t="shared" si="179"/>
        <v>8263</v>
      </c>
      <c r="X626" s="9">
        <f t="shared" si="180"/>
        <v>17</v>
      </c>
      <c r="Y626" s="7">
        <v>11.13</v>
      </c>
      <c r="Z626" s="7">
        <v>20.260000000000002</v>
      </c>
      <c r="AA626" s="9">
        <v>1</v>
      </c>
      <c r="AB626" s="9">
        <v>0</v>
      </c>
      <c r="AC626" s="9">
        <v>1</v>
      </c>
      <c r="AD626" s="9">
        <v>0</v>
      </c>
      <c r="AE626" s="9">
        <v>0</v>
      </c>
      <c r="AF626" s="9">
        <v>0</v>
      </c>
      <c r="AG626" s="8">
        <v>1</v>
      </c>
      <c r="AH626" s="9">
        <v>0</v>
      </c>
      <c r="AI626" s="30">
        <v>0</v>
      </c>
      <c r="AJ626" s="9">
        <v>1</v>
      </c>
      <c r="AK626" s="30">
        <v>0</v>
      </c>
      <c r="AL626" s="21">
        <v>2002</v>
      </c>
      <c r="AM626" s="23">
        <f t="shared" si="181"/>
        <v>7.6019019598751658</v>
      </c>
      <c r="AN626" s="33">
        <f t="shared" si="18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8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15</v>
      </c>
      <c r="DB626" s="34"/>
    </row>
    <row r="627" spans="1:106" x14ac:dyDescent="0.25">
      <c r="A627">
        <v>626</v>
      </c>
      <c r="B627">
        <v>40</v>
      </c>
      <c r="C627" s="25" t="s">
        <v>339</v>
      </c>
      <c r="D627" s="12">
        <v>6.6</v>
      </c>
      <c r="E627" s="14">
        <v>0.2</v>
      </c>
      <c r="F627" s="7">
        <f t="shared" si="182"/>
        <v>32.999999999999993</v>
      </c>
      <c r="G627" s="7">
        <f t="shared" si="172"/>
        <v>6.3999999999999995</v>
      </c>
      <c r="H627" s="16">
        <f t="shared" si="173"/>
        <v>6.8</v>
      </c>
      <c r="I627" s="11">
        <f t="shared" si="174"/>
        <v>0.34124138094380424</v>
      </c>
      <c r="J627" s="33">
        <f t="shared" si="175"/>
        <v>1.034064790738801E-2</v>
      </c>
      <c r="K627" s="33">
        <f t="shared" si="176"/>
        <v>96.705739229892643</v>
      </c>
      <c r="L627" s="33">
        <f t="shared" si="177"/>
        <v>0.33090073303641621</v>
      </c>
      <c r="M627" s="33">
        <f t="shared" si="178"/>
        <v>0.35158202885119227</v>
      </c>
      <c r="N627" s="8">
        <v>1</v>
      </c>
      <c r="O627" s="9">
        <v>0</v>
      </c>
      <c r="P627" s="8">
        <v>0</v>
      </c>
      <c r="Q627" s="9">
        <v>0</v>
      </c>
      <c r="R627" s="9">
        <v>1</v>
      </c>
      <c r="S627" s="9">
        <v>0</v>
      </c>
      <c r="T627" s="9">
        <v>0</v>
      </c>
      <c r="U627" s="8">
        <v>8270</v>
      </c>
      <c r="V627" s="9">
        <v>6</v>
      </c>
      <c r="W627" s="9">
        <f t="shared" si="179"/>
        <v>8263</v>
      </c>
      <c r="X627" s="9">
        <f t="shared" si="180"/>
        <v>17</v>
      </c>
      <c r="Y627" s="7">
        <v>11.13</v>
      </c>
      <c r="Z627" s="7">
        <v>20.260000000000002</v>
      </c>
      <c r="AA627" s="9">
        <v>1</v>
      </c>
      <c r="AB627" s="9">
        <v>0</v>
      </c>
      <c r="AC627" s="9">
        <v>1</v>
      </c>
      <c r="AD627" s="9">
        <v>0</v>
      </c>
      <c r="AE627" s="9">
        <v>0</v>
      </c>
      <c r="AF627" s="9">
        <v>0</v>
      </c>
      <c r="AG627" s="8">
        <v>1</v>
      </c>
      <c r="AH627" s="9">
        <v>0</v>
      </c>
      <c r="AI627" s="30">
        <v>0</v>
      </c>
      <c r="AJ627" s="9">
        <v>1</v>
      </c>
      <c r="AK627" s="30">
        <v>0</v>
      </c>
      <c r="AL627" s="21">
        <v>2002</v>
      </c>
      <c r="AM627" s="23">
        <f t="shared" si="181"/>
        <v>7.6019019598751658</v>
      </c>
      <c r="AN627" s="33">
        <f t="shared" si="18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8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15</v>
      </c>
      <c r="DB627" s="34"/>
    </row>
    <row r="628" spans="1:106" x14ac:dyDescent="0.25">
      <c r="A628">
        <v>627</v>
      </c>
      <c r="B628">
        <v>40</v>
      </c>
      <c r="C628" s="25" t="s">
        <v>339</v>
      </c>
      <c r="D628" s="12">
        <v>6.8</v>
      </c>
      <c r="E628" s="14">
        <v>0.3</v>
      </c>
      <c r="F628" s="7">
        <f t="shared" si="182"/>
        <v>22.666666666666668</v>
      </c>
      <c r="G628" s="7">
        <f t="shared" si="172"/>
        <v>6.5</v>
      </c>
      <c r="H628" s="16">
        <f t="shared" si="173"/>
        <v>7.1</v>
      </c>
      <c r="I628" s="11">
        <f t="shared" si="174"/>
        <v>0.24202966751607363</v>
      </c>
      <c r="J628" s="33">
        <f t="shared" si="175"/>
        <v>1.0677779449238542E-2</v>
      </c>
      <c r="K628" s="33">
        <f t="shared" si="176"/>
        <v>93.652430709393641</v>
      </c>
      <c r="L628" s="33">
        <f t="shared" si="177"/>
        <v>0.2313518880668351</v>
      </c>
      <c r="M628" s="33">
        <f t="shared" si="178"/>
        <v>0.25270744696531217</v>
      </c>
      <c r="N628" s="8">
        <v>1</v>
      </c>
      <c r="O628" s="9">
        <v>0</v>
      </c>
      <c r="P628" s="8">
        <v>0</v>
      </c>
      <c r="Q628" s="9">
        <v>0</v>
      </c>
      <c r="R628" s="9">
        <v>1</v>
      </c>
      <c r="S628" s="9">
        <v>0</v>
      </c>
      <c r="T628" s="9">
        <v>0</v>
      </c>
      <c r="U628" s="8">
        <v>8270</v>
      </c>
      <c r="V628" s="9">
        <v>12</v>
      </c>
      <c r="W628" s="9">
        <f t="shared" si="179"/>
        <v>8257</v>
      </c>
      <c r="X628" s="9">
        <f t="shared" si="180"/>
        <v>17</v>
      </c>
      <c r="Y628" s="7">
        <v>11.13</v>
      </c>
      <c r="Z628" s="7">
        <v>20.260000000000002</v>
      </c>
      <c r="AA628" s="9">
        <v>1</v>
      </c>
      <c r="AB628" s="9">
        <v>0</v>
      </c>
      <c r="AC628" s="9">
        <v>1</v>
      </c>
      <c r="AD628" s="9">
        <v>0</v>
      </c>
      <c r="AE628" s="9">
        <v>0</v>
      </c>
      <c r="AF628" s="9">
        <v>0</v>
      </c>
      <c r="AG628" s="8">
        <v>1</v>
      </c>
      <c r="AH628" s="9">
        <v>0</v>
      </c>
      <c r="AI628" s="30">
        <v>0</v>
      </c>
      <c r="AJ628" s="9">
        <v>1</v>
      </c>
      <c r="AK628" s="30">
        <v>0</v>
      </c>
      <c r="AL628" s="21">
        <v>2002</v>
      </c>
      <c r="AM628" s="23">
        <f t="shared" si="181"/>
        <v>7.6019019598751658</v>
      </c>
      <c r="AN628" s="33">
        <f t="shared" si="18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8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15</v>
      </c>
      <c r="DB628" s="34"/>
    </row>
    <row r="629" spans="1:106" x14ac:dyDescent="0.25">
      <c r="A629">
        <v>628</v>
      </c>
      <c r="B629">
        <v>40</v>
      </c>
      <c r="C629" s="25" t="s">
        <v>339</v>
      </c>
      <c r="D629" s="12">
        <v>6.8</v>
      </c>
      <c r="E629" s="14">
        <v>0.3</v>
      </c>
      <c r="F629" s="7">
        <f t="shared" si="182"/>
        <v>22.666666666666668</v>
      </c>
      <c r="G629" s="7">
        <f t="shared" si="172"/>
        <v>6.5</v>
      </c>
      <c r="H629" s="16">
        <f t="shared" si="173"/>
        <v>7.1</v>
      </c>
      <c r="I629" s="11">
        <f t="shared" si="174"/>
        <v>0.24202966751607363</v>
      </c>
      <c r="J629" s="33">
        <f t="shared" si="175"/>
        <v>1.0677779449238542E-2</v>
      </c>
      <c r="K629" s="33">
        <f t="shared" si="176"/>
        <v>93.652430709393641</v>
      </c>
      <c r="L629" s="33">
        <f t="shared" si="177"/>
        <v>0.2313518880668351</v>
      </c>
      <c r="M629" s="33">
        <f t="shared" si="178"/>
        <v>0.25270744696531217</v>
      </c>
      <c r="N629" s="8">
        <v>1</v>
      </c>
      <c r="O629" s="9">
        <v>0</v>
      </c>
      <c r="P629" s="8">
        <v>0</v>
      </c>
      <c r="Q629" s="9">
        <v>0</v>
      </c>
      <c r="R629" s="9">
        <v>1</v>
      </c>
      <c r="S629" s="9">
        <v>0</v>
      </c>
      <c r="T629" s="9">
        <v>0</v>
      </c>
      <c r="U629" s="8">
        <v>8270</v>
      </c>
      <c r="V629" s="9">
        <v>12</v>
      </c>
      <c r="W629" s="9">
        <f t="shared" si="179"/>
        <v>8257</v>
      </c>
      <c r="X629" s="9">
        <f t="shared" si="180"/>
        <v>17</v>
      </c>
      <c r="Y629" s="7">
        <v>11.13</v>
      </c>
      <c r="Z629" s="7">
        <v>20.260000000000002</v>
      </c>
      <c r="AA629" s="9">
        <v>1</v>
      </c>
      <c r="AB629" s="9">
        <v>0</v>
      </c>
      <c r="AC629" s="9">
        <v>1</v>
      </c>
      <c r="AD629" s="9">
        <v>0</v>
      </c>
      <c r="AE629" s="9">
        <v>0</v>
      </c>
      <c r="AF629" s="9">
        <v>0</v>
      </c>
      <c r="AG629" s="8">
        <v>1</v>
      </c>
      <c r="AH629" s="9">
        <v>0</v>
      </c>
      <c r="AI629" s="30">
        <v>0</v>
      </c>
      <c r="AJ629" s="9">
        <v>1</v>
      </c>
      <c r="AK629" s="30">
        <v>0</v>
      </c>
      <c r="AL629" s="21">
        <v>2002</v>
      </c>
      <c r="AM629" s="23">
        <f t="shared" si="181"/>
        <v>7.6019019598751658</v>
      </c>
      <c r="AN629" s="33">
        <f t="shared" si="18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8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15</v>
      </c>
      <c r="DB629" s="34"/>
    </row>
    <row r="630" spans="1:106" x14ac:dyDescent="0.25">
      <c r="A630">
        <v>629</v>
      </c>
      <c r="B630">
        <v>40</v>
      </c>
      <c r="C630" s="25" t="s">
        <v>339</v>
      </c>
      <c r="D630" s="12">
        <v>6</v>
      </c>
      <c r="E630" s="14">
        <v>0.4</v>
      </c>
      <c r="F630" s="7">
        <f t="shared" si="182"/>
        <v>15</v>
      </c>
      <c r="G630" s="7">
        <f t="shared" si="172"/>
        <v>5.6</v>
      </c>
      <c r="H630" s="16">
        <f t="shared" si="173"/>
        <v>6.4</v>
      </c>
      <c r="I630" s="11">
        <f t="shared" si="174"/>
        <v>0.16287038575505658</v>
      </c>
      <c r="J630" s="33">
        <f t="shared" si="175"/>
        <v>1.0858025717003773E-2</v>
      </c>
      <c r="K630" s="33">
        <f t="shared" si="176"/>
        <v>92.097774131626011</v>
      </c>
      <c r="L630" s="33">
        <f t="shared" si="177"/>
        <v>0.1520123600380528</v>
      </c>
      <c r="M630" s="33">
        <f t="shared" si="178"/>
        <v>0.17372841147206036</v>
      </c>
      <c r="N630" s="8">
        <v>1</v>
      </c>
      <c r="O630" s="9">
        <v>0</v>
      </c>
      <c r="P630" s="8">
        <v>0</v>
      </c>
      <c r="Q630" s="9">
        <v>0</v>
      </c>
      <c r="R630" s="9">
        <v>1</v>
      </c>
      <c r="S630" s="9">
        <v>0</v>
      </c>
      <c r="T630" s="9">
        <v>0</v>
      </c>
      <c r="U630" s="8">
        <v>8270</v>
      </c>
      <c r="V630" s="9">
        <v>12</v>
      </c>
      <c r="W630" s="9">
        <f t="shared" si="179"/>
        <v>8257</v>
      </c>
      <c r="X630" s="9">
        <f t="shared" si="180"/>
        <v>17</v>
      </c>
      <c r="Y630" s="7">
        <v>11.13</v>
      </c>
      <c r="Z630" s="7">
        <v>20.260000000000002</v>
      </c>
      <c r="AA630" s="9">
        <v>1</v>
      </c>
      <c r="AB630" s="9">
        <v>0</v>
      </c>
      <c r="AC630" s="9">
        <v>0</v>
      </c>
      <c r="AD630" s="9">
        <v>0</v>
      </c>
      <c r="AE630" s="9">
        <v>0</v>
      </c>
      <c r="AF630" s="9">
        <v>1</v>
      </c>
      <c r="AG630" s="8">
        <v>1</v>
      </c>
      <c r="AH630" s="9">
        <v>0</v>
      </c>
      <c r="AI630" s="30">
        <v>0</v>
      </c>
      <c r="AJ630" s="9">
        <v>1</v>
      </c>
      <c r="AK630" s="30">
        <v>0</v>
      </c>
      <c r="AL630" s="21">
        <v>2002</v>
      </c>
      <c r="AM630" s="23">
        <f t="shared" si="181"/>
        <v>7.6019019598751658</v>
      </c>
      <c r="AN630" s="33">
        <f t="shared" si="18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8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15</v>
      </c>
      <c r="DB630" s="34"/>
    </row>
    <row r="631" spans="1:106" x14ac:dyDescent="0.25">
      <c r="A631">
        <v>630</v>
      </c>
      <c r="B631">
        <v>40</v>
      </c>
      <c r="C631" s="25" t="s">
        <v>339</v>
      </c>
      <c r="D631" s="12">
        <v>6</v>
      </c>
      <c r="E631" s="14">
        <v>0.4</v>
      </c>
      <c r="F631" s="7">
        <f t="shared" si="182"/>
        <v>15</v>
      </c>
      <c r="G631" s="7">
        <f t="shared" si="172"/>
        <v>5.6</v>
      </c>
      <c r="H631" s="16">
        <f t="shared" si="173"/>
        <v>6.4</v>
      </c>
      <c r="I631" s="11">
        <f t="shared" si="174"/>
        <v>0.16287038575505658</v>
      </c>
      <c r="J631" s="33">
        <f t="shared" si="175"/>
        <v>1.0858025717003773E-2</v>
      </c>
      <c r="K631" s="33">
        <f t="shared" si="176"/>
        <v>92.097774131626011</v>
      </c>
      <c r="L631" s="33">
        <f t="shared" si="177"/>
        <v>0.1520123600380528</v>
      </c>
      <c r="M631" s="33">
        <f t="shared" si="178"/>
        <v>0.17372841147206036</v>
      </c>
      <c r="N631" s="8">
        <v>1</v>
      </c>
      <c r="O631" s="9">
        <v>0</v>
      </c>
      <c r="P631" s="8">
        <v>0</v>
      </c>
      <c r="Q631" s="9">
        <v>0</v>
      </c>
      <c r="R631" s="9">
        <v>1</v>
      </c>
      <c r="S631" s="9">
        <v>0</v>
      </c>
      <c r="T631" s="9">
        <v>0</v>
      </c>
      <c r="U631" s="8">
        <v>8270</v>
      </c>
      <c r="V631" s="9">
        <v>12</v>
      </c>
      <c r="W631" s="9">
        <f t="shared" si="179"/>
        <v>8257</v>
      </c>
      <c r="X631" s="9">
        <f t="shared" si="180"/>
        <v>17</v>
      </c>
      <c r="Y631" s="7">
        <v>11.13</v>
      </c>
      <c r="Z631" s="7">
        <v>20.260000000000002</v>
      </c>
      <c r="AA631" s="9">
        <v>1</v>
      </c>
      <c r="AB631" s="9">
        <v>0</v>
      </c>
      <c r="AC631" s="9">
        <v>0</v>
      </c>
      <c r="AD631" s="9">
        <v>0</v>
      </c>
      <c r="AE631" s="9">
        <v>0</v>
      </c>
      <c r="AF631" s="9">
        <v>1</v>
      </c>
      <c r="AG631" s="8">
        <v>1</v>
      </c>
      <c r="AH631" s="9">
        <v>0</v>
      </c>
      <c r="AI631" s="30">
        <v>0</v>
      </c>
      <c r="AJ631" s="9">
        <v>1</v>
      </c>
      <c r="AK631" s="30">
        <v>0</v>
      </c>
      <c r="AL631" s="21">
        <v>2002</v>
      </c>
      <c r="AM631" s="23">
        <f t="shared" si="181"/>
        <v>7.6019019598751658</v>
      </c>
      <c r="AN631" s="33">
        <f t="shared" si="18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8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15</v>
      </c>
      <c r="DB631" s="34"/>
    </row>
    <row r="632" spans="1:106" x14ac:dyDescent="0.25">
      <c r="A632">
        <v>631</v>
      </c>
      <c r="B632">
        <v>40</v>
      </c>
      <c r="C632" s="25" t="s">
        <v>339</v>
      </c>
      <c r="D632" s="12">
        <v>7.2</v>
      </c>
      <c r="E632" s="14">
        <v>0.4</v>
      </c>
      <c r="F632" s="7">
        <f t="shared" si="182"/>
        <v>18</v>
      </c>
      <c r="G632" s="7">
        <f t="shared" si="172"/>
        <v>6.8</v>
      </c>
      <c r="H632" s="16">
        <f t="shared" si="173"/>
        <v>7.6000000000000005</v>
      </c>
      <c r="I632" s="11">
        <f t="shared" si="174"/>
        <v>0.19431375937366141</v>
      </c>
      <c r="J632" s="33">
        <f t="shared" si="175"/>
        <v>1.0795208854092301E-2</v>
      </c>
      <c r="K632" s="33">
        <f t="shared" si="176"/>
        <v>92.633687176966021</v>
      </c>
      <c r="L632" s="33">
        <f t="shared" si="177"/>
        <v>0.18351855051956911</v>
      </c>
      <c r="M632" s="33">
        <f t="shared" si="178"/>
        <v>0.20510896822775371</v>
      </c>
      <c r="N632" s="8">
        <v>1</v>
      </c>
      <c r="O632" s="9">
        <v>0</v>
      </c>
      <c r="P632" s="8">
        <v>0</v>
      </c>
      <c r="Q632" s="9">
        <v>0</v>
      </c>
      <c r="R632" s="9">
        <v>1</v>
      </c>
      <c r="S632" s="9">
        <v>0</v>
      </c>
      <c r="T632" s="9">
        <v>0</v>
      </c>
      <c r="U632" s="8">
        <v>8270</v>
      </c>
      <c r="V632" s="9">
        <v>12</v>
      </c>
      <c r="W632" s="9">
        <f t="shared" si="179"/>
        <v>8257</v>
      </c>
      <c r="X632" s="9">
        <f t="shared" si="180"/>
        <v>17</v>
      </c>
      <c r="Y632" s="7">
        <v>11.13</v>
      </c>
      <c r="Z632" s="7">
        <v>20.260000000000002</v>
      </c>
      <c r="AA632" s="9">
        <v>1</v>
      </c>
      <c r="AB632" s="9">
        <v>0</v>
      </c>
      <c r="AC632" s="9">
        <v>1</v>
      </c>
      <c r="AD632" s="9">
        <v>0</v>
      </c>
      <c r="AE632" s="9">
        <v>0</v>
      </c>
      <c r="AF632" s="9">
        <v>0</v>
      </c>
      <c r="AG632" s="8">
        <v>1</v>
      </c>
      <c r="AH632" s="9">
        <v>0</v>
      </c>
      <c r="AI632" s="30">
        <v>0</v>
      </c>
      <c r="AJ632" s="9">
        <v>1</v>
      </c>
      <c r="AK632" s="30">
        <v>0</v>
      </c>
      <c r="AL632" s="21">
        <v>2002</v>
      </c>
      <c r="AM632" s="23">
        <f t="shared" si="181"/>
        <v>7.6019019598751658</v>
      </c>
      <c r="AN632" s="33">
        <f t="shared" si="18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8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15</v>
      </c>
      <c r="DB632" s="34"/>
    </row>
    <row r="633" spans="1:106" x14ac:dyDescent="0.25">
      <c r="A633">
        <v>632</v>
      </c>
      <c r="B633">
        <v>40</v>
      </c>
      <c r="C633" s="25" t="s">
        <v>339</v>
      </c>
      <c r="D633" s="12">
        <v>7.2</v>
      </c>
      <c r="E633" s="14">
        <v>0.4</v>
      </c>
      <c r="F633" s="7">
        <f t="shared" si="182"/>
        <v>18</v>
      </c>
      <c r="G633" s="7">
        <f t="shared" si="172"/>
        <v>6.8</v>
      </c>
      <c r="H633" s="16">
        <f t="shared" si="173"/>
        <v>7.6000000000000005</v>
      </c>
      <c r="I633" s="11">
        <f t="shared" si="174"/>
        <v>0.19431375937366141</v>
      </c>
      <c r="J633" s="33">
        <f t="shared" si="175"/>
        <v>1.0795208854092301E-2</v>
      </c>
      <c r="K633" s="33">
        <f t="shared" si="176"/>
        <v>92.633687176966021</v>
      </c>
      <c r="L633" s="33">
        <f t="shared" si="177"/>
        <v>0.18351855051956911</v>
      </c>
      <c r="M633" s="33">
        <f t="shared" si="178"/>
        <v>0.20510896822775371</v>
      </c>
      <c r="N633" s="8">
        <v>1</v>
      </c>
      <c r="O633" s="9">
        <v>0</v>
      </c>
      <c r="P633" s="8">
        <v>0</v>
      </c>
      <c r="Q633" s="9">
        <v>0</v>
      </c>
      <c r="R633" s="9">
        <v>1</v>
      </c>
      <c r="S633" s="9">
        <v>0</v>
      </c>
      <c r="T633" s="9">
        <v>0</v>
      </c>
      <c r="U633" s="8">
        <v>8270</v>
      </c>
      <c r="V633" s="9">
        <v>12</v>
      </c>
      <c r="W633" s="9">
        <f t="shared" si="179"/>
        <v>8257</v>
      </c>
      <c r="X633" s="9">
        <f t="shared" si="180"/>
        <v>17</v>
      </c>
      <c r="Y633" s="7">
        <v>11.13</v>
      </c>
      <c r="Z633" s="7">
        <v>20.260000000000002</v>
      </c>
      <c r="AA633" s="9">
        <v>1</v>
      </c>
      <c r="AB633" s="9">
        <v>0</v>
      </c>
      <c r="AC633" s="9">
        <v>1</v>
      </c>
      <c r="AD633" s="9">
        <v>0</v>
      </c>
      <c r="AE633" s="9">
        <v>0</v>
      </c>
      <c r="AF633" s="9">
        <v>0</v>
      </c>
      <c r="AG633" s="8">
        <v>1</v>
      </c>
      <c r="AH633" s="9">
        <v>0</v>
      </c>
      <c r="AI633" s="30">
        <v>0</v>
      </c>
      <c r="AJ633" s="9">
        <v>1</v>
      </c>
      <c r="AK633" s="30">
        <v>0</v>
      </c>
      <c r="AL633" s="21">
        <v>2002</v>
      </c>
      <c r="AM633" s="23">
        <f t="shared" si="181"/>
        <v>7.6019019598751658</v>
      </c>
      <c r="AN633" s="33">
        <f t="shared" si="18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8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15</v>
      </c>
      <c r="DB633" s="34"/>
    </row>
    <row r="634" spans="1:106" x14ac:dyDescent="0.25">
      <c r="A634">
        <v>633</v>
      </c>
      <c r="B634">
        <v>40</v>
      </c>
      <c r="C634" s="25" t="s">
        <v>339</v>
      </c>
      <c r="D634" s="12">
        <v>7.4</v>
      </c>
      <c r="E634" s="14">
        <v>0.5</v>
      </c>
      <c r="F634" s="7">
        <f t="shared" si="182"/>
        <v>14.8</v>
      </c>
      <c r="G634" s="7">
        <f t="shared" si="172"/>
        <v>6.9</v>
      </c>
      <c r="H634" s="16">
        <f t="shared" si="173"/>
        <v>7.9</v>
      </c>
      <c r="I634" s="11">
        <f t="shared" si="174"/>
        <v>0.16075526904413717</v>
      </c>
      <c r="J634" s="33">
        <f t="shared" si="175"/>
        <v>1.0861842502982241E-2</v>
      </c>
      <c r="K634" s="33">
        <f t="shared" si="176"/>
        <v>92.065411528977592</v>
      </c>
      <c r="L634" s="33">
        <f t="shared" si="177"/>
        <v>0.14989342654115492</v>
      </c>
      <c r="M634" s="33">
        <f t="shared" si="178"/>
        <v>0.17161711154711942</v>
      </c>
      <c r="N634" s="8">
        <v>1</v>
      </c>
      <c r="O634" s="9">
        <v>0</v>
      </c>
      <c r="P634" s="8">
        <v>0</v>
      </c>
      <c r="Q634" s="9">
        <v>0</v>
      </c>
      <c r="R634" s="9">
        <v>1</v>
      </c>
      <c r="S634" s="9">
        <v>0</v>
      </c>
      <c r="T634" s="9">
        <v>0</v>
      </c>
      <c r="U634" s="8">
        <v>8270</v>
      </c>
      <c r="V634" s="9">
        <v>12</v>
      </c>
      <c r="W634" s="9">
        <f t="shared" si="179"/>
        <v>8257</v>
      </c>
      <c r="X634" s="9">
        <f t="shared" si="180"/>
        <v>17</v>
      </c>
      <c r="Y634" s="7">
        <v>11.13</v>
      </c>
      <c r="Z634" s="7">
        <v>20.260000000000002</v>
      </c>
      <c r="AA634" s="9">
        <v>1</v>
      </c>
      <c r="AB634" s="9">
        <v>0</v>
      </c>
      <c r="AC634" s="9">
        <v>1</v>
      </c>
      <c r="AD634" s="9">
        <v>0</v>
      </c>
      <c r="AE634" s="9">
        <v>0</v>
      </c>
      <c r="AF634" s="9">
        <v>0</v>
      </c>
      <c r="AG634" s="8">
        <v>1</v>
      </c>
      <c r="AH634" s="9">
        <v>0</v>
      </c>
      <c r="AI634" s="30">
        <v>0</v>
      </c>
      <c r="AJ634" s="9">
        <v>1</v>
      </c>
      <c r="AK634" s="30">
        <v>0</v>
      </c>
      <c r="AL634" s="21">
        <v>2002</v>
      </c>
      <c r="AM634" s="23">
        <f t="shared" si="181"/>
        <v>7.6019019598751658</v>
      </c>
      <c r="AN634" s="33">
        <f t="shared" si="18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8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15</v>
      </c>
      <c r="DB634" s="34"/>
    </row>
    <row r="635" spans="1:106" x14ac:dyDescent="0.25">
      <c r="A635">
        <v>634</v>
      </c>
      <c r="B635">
        <v>40</v>
      </c>
      <c r="C635" s="25" t="s">
        <v>339</v>
      </c>
      <c r="D635" s="12">
        <v>7.3</v>
      </c>
      <c r="E635" s="14">
        <v>0.5</v>
      </c>
      <c r="F635" s="7">
        <f t="shared" si="182"/>
        <v>14.6</v>
      </c>
      <c r="G635" s="7">
        <f t="shared" si="172"/>
        <v>6.8</v>
      </c>
      <c r="H635" s="16">
        <f t="shared" si="173"/>
        <v>7.8</v>
      </c>
      <c r="I635" s="11">
        <f t="shared" si="174"/>
        <v>0.15863793525842246</v>
      </c>
      <c r="J635" s="33">
        <f t="shared" si="175"/>
        <v>1.0865612004001537E-2</v>
      </c>
      <c r="K635" s="33">
        <f t="shared" si="176"/>
        <v>92.033472171813671</v>
      </c>
      <c r="L635" s="33">
        <f t="shared" si="177"/>
        <v>0.14777232325442091</v>
      </c>
      <c r="M635" s="33">
        <f t="shared" si="178"/>
        <v>0.169503547262424</v>
      </c>
      <c r="N635" s="8">
        <v>1</v>
      </c>
      <c r="O635" s="9">
        <v>0</v>
      </c>
      <c r="P635" s="8">
        <v>0</v>
      </c>
      <c r="Q635" s="9">
        <v>0</v>
      </c>
      <c r="R635" s="9">
        <v>1</v>
      </c>
      <c r="S635" s="9">
        <v>0</v>
      </c>
      <c r="T635" s="9">
        <v>0</v>
      </c>
      <c r="U635" s="8">
        <v>8270</v>
      </c>
      <c r="V635" s="9">
        <v>12</v>
      </c>
      <c r="W635" s="9">
        <f t="shared" si="179"/>
        <v>8257</v>
      </c>
      <c r="X635" s="9">
        <f t="shared" si="180"/>
        <v>17</v>
      </c>
      <c r="Y635" s="7">
        <v>11.13</v>
      </c>
      <c r="Z635" s="7">
        <v>20.260000000000002</v>
      </c>
      <c r="AA635" s="9">
        <v>1</v>
      </c>
      <c r="AB635" s="9">
        <v>0</v>
      </c>
      <c r="AC635" s="9">
        <v>1</v>
      </c>
      <c r="AD635" s="9">
        <v>0</v>
      </c>
      <c r="AE635" s="9">
        <v>0</v>
      </c>
      <c r="AF635" s="9">
        <v>0</v>
      </c>
      <c r="AG635" s="8">
        <v>1</v>
      </c>
      <c r="AH635" s="9">
        <v>0</v>
      </c>
      <c r="AI635" s="30">
        <v>0</v>
      </c>
      <c r="AJ635" s="9">
        <v>1</v>
      </c>
      <c r="AK635" s="30">
        <v>0</v>
      </c>
      <c r="AL635" s="21">
        <v>2002</v>
      </c>
      <c r="AM635" s="23">
        <f t="shared" si="181"/>
        <v>7.6019019598751658</v>
      </c>
      <c r="AN635" s="33">
        <f t="shared" si="18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8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15</v>
      </c>
      <c r="DB635" s="34"/>
    </row>
    <row r="636" spans="1:106" x14ac:dyDescent="0.25">
      <c r="A636">
        <v>635</v>
      </c>
      <c r="B636">
        <v>40</v>
      </c>
      <c r="C636" s="25" t="s">
        <v>339</v>
      </c>
      <c r="D636" s="12">
        <v>7.6</v>
      </c>
      <c r="E636" s="14">
        <v>0.8</v>
      </c>
      <c r="F636" s="7">
        <f t="shared" si="182"/>
        <v>9.4999999999999982</v>
      </c>
      <c r="G636" s="7">
        <f t="shared" si="172"/>
        <v>6.8</v>
      </c>
      <c r="H636" s="16">
        <f t="shared" si="173"/>
        <v>8.4</v>
      </c>
      <c r="I636" s="11">
        <f t="shared" si="174"/>
        <v>0.10398049842845901</v>
      </c>
      <c r="J636" s="33">
        <f t="shared" si="175"/>
        <v>1.0945315624048319E-2</v>
      </c>
      <c r="K636" s="33">
        <f t="shared" si="176"/>
        <v>91.363285842837328</v>
      </c>
      <c r="L636" s="33">
        <f t="shared" si="177"/>
        <v>9.3035182804410685E-2</v>
      </c>
      <c r="M636" s="33">
        <f t="shared" si="178"/>
        <v>0.11492581405250733</v>
      </c>
      <c r="N636" s="8">
        <v>1</v>
      </c>
      <c r="O636" s="9">
        <v>0</v>
      </c>
      <c r="P636" s="8">
        <v>0</v>
      </c>
      <c r="Q636" s="9">
        <v>0</v>
      </c>
      <c r="R636" s="9">
        <v>1</v>
      </c>
      <c r="S636" s="9">
        <v>0</v>
      </c>
      <c r="T636" s="9">
        <v>0</v>
      </c>
      <c r="U636" s="8">
        <v>8270</v>
      </c>
      <c r="V636" s="9">
        <v>12</v>
      </c>
      <c r="W636" s="9">
        <f t="shared" si="179"/>
        <v>8257</v>
      </c>
      <c r="X636" s="9">
        <f t="shared" si="180"/>
        <v>17</v>
      </c>
      <c r="Y636" s="7">
        <v>11.13</v>
      </c>
      <c r="Z636" s="7">
        <v>20.260000000000002</v>
      </c>
      <c r="AA636" s="9">
        <v>1</v>
      </c>
      <c r="AB636" s="9">
        <v>0</v>
      </c>
      <c r="AC636" s="9">
        <v>1</v>
      </c>
      <c r="AD636" s="9">
        <v>0</v>
      </c>
      <c r="AE636" s="9">
        <v>0</v>
      </c>
      <c r="AF636" s="9">
        <v>0</v>
      </c>
      <c r="AG636" s="8">
        <v>1</v>
      </c>
      <c r="AH636" s="9">
        <v>0</v>
      </c>
      <c r="AI636" s="30">
        <v>0</v>
      </c>
      <c r="AJ636" s="9">
        <v>1</v>
      </c>
      <c r="AK636" s="30">
        <v>0</v>
      </c>
      <c r="AL636" s="21">
        <v>2002</v>
      </c>
      <c r="AM636" s="23">
        <f t="shared" si="181"/>
        <v>7.6019019598751658</v>
      </c>
      <c r="AN636" s="33">
        <f t="shared" si="18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8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15</v>
      </c>
      <c r="DB636" s="34"/>
    </row>
    <row r="637" spans="1:106" x14ac:dyDescent="0.25">
      <c r="A637">
        <v>636</v>
      </c>
      <c r="B637">
        <v>40</v>
      </c>
      <c r="C637" s="25" t="s">
        <v>339</v>
      </c>
      <c r="D637" s="12">
        <v>7.5</v>
      </c>
      <c r="E637" s="14">
        <v>0.8</v>
      </c>
      <c r="F637" s="7">
        <f t="shared" si="182"/>
        <v>9.375</v>
      </c>
      <c r="G637" s="7">
        <f t="shared" si="172"/>
        <v>6.7</v>
      </c>
      <c r="H637" s="16">
        <f t="shared" si="173"/>
        <v>8.3000000000000007</v>
      </c>
      <c r="I637" s="11">
        <f t="shared" si="174"/>
        <v>0.10262683889087333</v>
      </c>
      <c r="J637" s="33">
        <f t="shared" si="175"/>
        <v>1.0946862815026489E-2</v>
      </c>
      <c r="K637" s="33">
        <f t="shared" si="176"/>
        <v>91.35037287827565</v>
      </c>
      <c r="L637" s="33">
        <f t="shared" si="177"/>
        <v>9.1679976075846839E-2</v>
      </c>
      <c r="M637" s="33">
        <f t="shared" si="178"/>
        <v>0.11357370170589982</v>
      </c>
      <c r="N637" s="8">
        <v>1</v>
      </c>
      <c r="O637" s="9">
        <v>0</v>
      </c>
      <c r="P637" s="8">
        <v>0</v>
      </c>
      <c r="Q637" s="9">
        <v>0</v>
      </c>
      <c r="R637" s="9">
        <v>1</v>
      </c>
      <c r="S637" s="9">
        <v>0</v>
      </c>
      <c r="T637" s="9">
        <v>0</v>
      </c>
      <c r="U637" s="8">
        <v>8270</v>
      </c>
      <c r="V637" s="9">
        <v>12</v>
      </c>
      <c r="W637" s="9">
        <f t="shared" si="179"/>
        <v>8257</v>
      </c>
      <c r="X637" s="9">
        <f t="shared" si="180"/>
        <v>17</v>
      </c>
      <c r="Y637" s="7">
        <v>11.13</v>
      </c>
      <c r="Z637" s="7">
        <v>20.260000000000002</v>
      </c>
      <c r="AA637" s="9">
        <v>1</v>
      </c>
      <c r="AB637" s="9">
        <v>0</v>
      </c>
      <c r="AC637" s="9">
        <v>1</v>
      </c>
      <c r="AD637" s="9">
        <v>0</v>
      </c>
      <c r="AE637" s="9">
        <v>0</v>
      </c>
      <c r="AF637" s="9">
        <v>0</v>
      </c>
      <c r="AG637" s="8">
        <v>1</v>
      </c>
      <c r="AH637" s="9">
        <v>0</v>
      </c>
      <c r="AI637" s="30">
        <v>0</v>
      </c>
      <c r="AJ637" s="9">
        <v>1</v>
      </c>
      <c r="AK637" s="30">
        <v>0</v>
      </c>
      <c r="AL637" s="21">
        <v>2002</v>
      </c>
      <c r="AM637" s="23">
        <f t="shared" si="181"/>
        <v>7.6019019598751658</v>
      </c>
      <c r="AN637" s="33">
        <f t="shared" si="18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8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15</v>
      </c>
      <c r="DB637" s="34"/>
    </row>
    <row r="638" spans="1:106" x14ac:dyDescent="0.25">
      <c r="A638">
        <v>637</v>
      </c>
      <c r="B638">
        <v>40</v>
      </c>
      <c r="C638" s="25" t="s">
        <v>339</v>
      </c>
      <c r="D638" s="12">
        <v>6.5</v>
      </c>
      <c r="E638" s="14">
        <v>0.3</v>
      </c>
      <c r="F638" s="7">
        <f t="shared" si="182"/>
        <v>21.666666666666668</v>
      </c>
      <c r="G638" s="7">
        <f t="shared" si="172"/>
        <v>6.2</v>
      </c>
      <c r="H638" s="16">
        <f t="shared" si="173"/>
        <v>6.8</v>
      </c>
      <c r="I638" s="11">
        <f t="shared" si="174"/>
        <v>0.23193881706518138</v>
      </c>
      <c r="J638" s="33">
        <f t="shared" si="175"/>
        <v>1.0704868479931448E-2</v>
      </c>
      <c r="K638" s="33">
        <f t="shared" si="176"/>
        <v>93.415440075206206</v>
      </c>
      <c r="L638" s="33">
        <f t="shared" si="177"/>
        <v>0.22123394858524992</v>
      </c>
      <c r="M638" s="33">
        <f t="shared" si="178"/>
        <v>0.24264368554511284</v>
      </c>
      <c r="N638" s="8">
        <v>1</v>
      </c>
      <c r="O638" s="9">
        <v>0</v>
      </c>
      <c r="P638" s="8">
        <v>0</v>
      </c>
      <c r="Q638" s="9">
        <v>0</v>
      </c>
      <c r="R638" s="9">
        <v>1</v>
      </c>
      <c r="S638" s="9">
        <v>0</v>
      </c>
      <c r="T638" s="9">
        <v>0</v>
      </c>
      <c r="U638" s="8">
        <v>8270</v>
      </c>
      <c r="V638" s="9">
        <v>12</v>
      </c>
      <c r="W638" s="9">
        <f t="shared" si="179"/>
        <v>8257</v>
      </c>
      <c r="X638" s="9">
        <f t="shared" si="180"/>
        <v>17</v>
      </c>
      <c r="Y638" s="7">
        <v>11.13</v>
      </c>
      <c r="Z638" s="7">
        <v>20.260000000000002</v>
      </c>
      <c r="AA638" s="9">
        <v>1</v>
      </c>
      <c r="AB638" s="9">
        <v>0</v>
      </c>
      <c r="AC638" s="9">
        <v>1</v>
      </c>
      <c r="AD638" s="9">
        <v>0</v>
      </c>
      <c r="AE638" s="9">
        <v>0</v>
      </c>
      <c r="AF638" s="9">
        <v>0</v>
      </c>
      <c r="AG638" s="8">
        <v>1</v>
      </c>
      <c r="AH638" s="9">
        <v>0</v>
      </c>
      <c r="AI638" s="30">
        <v>0</v>
      </c>
      <c r="AJ638" s="9">
        <v>1</v>
      </c>
      <c r="AK638" s="30">
        <v>0</v>
      </c>
      <c r="AL638" s="21">
        <v>2002</v>
      </c>
      <c r="AM638" s="23">
        <f t="shared" si="181"/>
        <v>7.6019019598751658</v>
      </c>
      <c r="AN638" s="33">
        <f t="shared" si="18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8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15</v>
      </c>
      <c r="DB638" s="34"/>
    </row>
    <row r="639" spans="1:106" x14ac:dyDescent="0.25">
      <c r="A639">
        <v>638</v>
      </c>
      <c r="B639">
        <v>40</v>
      </c>
      <c r="C639" s="25" t="s">
        <v>339</v>
      </c>
      <c r="D639" s="12">
        <v>6.5</v>
      </c>
      <c r="E639" s="14">
        <v>0.3</v>
      </c>
      <c r="F639" s="7">
        <f t="shared" si="182"/>
        <v>21.666666666666668</v>
      </c>
      <c r="G639" s="7">
        <f t="shared" si="172"/>
        <v>6.2</v>
      </c>
      <c r="H639" s="16">
        <f t="shared" si="173"/>
        <v>6.8</v>
      </c>
      <c r="I639" s="11">
        <f t="shared" si="174"/>
        <v>0.23193881706518138</v>
      </c>
      <c r="J639" s="33">
        <f t="shared" si="175"/>
        <v>1.0704868479931448E-2</v>
      </c>
      <c r="K639" s="33">
        <f t="shared" si="176"/>
        <v>93.415440075206206</v>
      </c>
      <c r="L639" s="33">
        <f t="shared" si="177"/>
        <v>0.22123394858524992</v>
      </c>
      <c r="M639" s="33">
        <f t="shared" si="178"/>
        <v>0.24264368554511284</v>
      </c>
      <c r="N639" s="8">
        <v>1</v>
      </c>
      <c r="O639" s="9">
        <v>0</v>
      </c>
      <c r="P639" s="8">
        <v>0</v>
      </c>
      <c r="Q639" s="9">
        <v>0</v>
      </c>
      <c r="R639" s="9">
        <v>1</v>
      </c>
      <c r="S639" s="9">
        <v>0</v>
      </c>
      <c r="T639" s="9">
        <v>0</v>
      </c>
      <c r="U639" s="8">
        <v>8270</v>
      </c>
      <c r="V639" s="9">
        <v>12</v>
      </c>
      <c r="W639" s="9">
        <f t="shared" si="179"/>
        <v>8257</v>
      </c>
      <c r="X639" s="9">
        <f t="shared" si="180"/>
        <v>17</v>
      </c>
      <c r="Y639" s="7">
        <v>11.13</v>
      </c>
      <c r="Z639" s="7">
        <v>20.260000000000002</v>
      </c>
      <c r="AA639" s="9">
        <v>1</v>
      </c>
      <c r="AB639" s="9">
        <v>0</v>
      </c>
      <c r="AC639" s="9">
        <v>1</v>
      </c>
      <c r="AD639" s="9">
        <v>0</v>
      </c>
      <c r="AE639" s="9">
        <v>0</v>
      </c>
      <c r="AF639" s="9">
        <v>0</v>
      </c>
      <c r="AG639" s="8">
        <v>1</v>
      </c>
      <c r="AH639" s="9">
        <v>0</v>
      </c>
      <c r="AI639" s="30">
        <v>0</v>
      </c>
      <c r="AJ639" s="9">
        <v>1</v>
      </c>
      <c r="AK639" s="30">
        <v>0</v>
      </c>
      <c r="AL639" s="21">
        <v>2002</v>
      </c>
      <c r="AM639" s="23">
        <f t="shared" si="181"/>
        <v>7.6019019598751658</v>
      </c>
      <c r="AN639" s="33">
        <f t="shared" si="18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8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15</v>
      </c>
      <c r="DB639" s="34"/>
    </row>
    <row r="640" spans="1:106" x14ac:dyDescent="0.25">
      <c r="A640">
        <v>639</v>
      </c>
      <c r="B640">
        <v>40</v>
      </c>
      <c r="C640" s="25" t="s">
        <v>339</v>
      </c>
      <c r="D640" s="12">
        <v>4.3</v>
      </c>
      <c r="E640" s="14">
        <v>0.4</v>
      </c>
      <c r="F640" s="7">
        <f t="shared" si="182"/>
        <v>10.749999999999998</v>
      </c>
      <c r="G640" s="7">
        <f t="shared" si="172"/>
        <v>3.9</v>
      </c>
      <c r="H640" s="16">
        <f t="shared" si="173"/>
        <v>4.7</v>
      </c>
      <c r="I640" s="11">
        <f t="shared" si="174"/>
        <v>0.11748414622991958</v>
      </c>
      <c r="J640" s="33">
        <f t="shared" si="175"/>
        <v>1.092875778882973E-2</v>
      </c>
      <c r="K640" s="33">
        <f t="shared" si="176"/>
        <v>91.501707634338715</v>
      </c>
      <c r="L640" s="33">
        <f t="shared" si="177"/>
        <v>0.10655538844108985</v>
      </c>
      <c r="M640" s="33">
        <f t="shared" si="178"/>
        <v>0.1284129040187493</v>
      </c>
      <c r="N640" s="8">
        <v>1</v>
      </c>
      <c r="O640" s="9">
        <v>0</v>
      </c>
      <c r="P640" s="8">
        <v>0</v>
      </c>
      <c r="Q640" s="9">
        <v>0</v>
      </c>
      <c r="R640" s="9">
        <v>1</v>
      </c>
      <c r="S640" s="9">
        <v>0</v>
      </c>
      <c r="T640" s="9">
        <v>0</v>
      </c>
      <c r="U640" s="8">
        <v>8270</v>
      </c>
      <c r="V640" s="9">
        <v>12</v>
      </c>
      <c r="W640" s="9">
        <f t="shared" si="179"/>
        <v>8257</v>
      </c>
      <c r="X640" s="9">
        <f t="shared" si="180"/>
        <v>17</v>
      </c>
      <c r="Y640" s="7">
        <v>11.13</v>
      </c>
      <c r="Z640" s="7">
        <v>20.260000000000002</v>
      </c>
      <c r="AA640" s="9">
        <v>1</v>
      </c>
      <c r="AB640" s="9">
        <v>0</v>
      </c>
      <c r="AC640" s="9">
        <v>1</v>
      </c>
      <c r="AD640" s="9">
        <v>0</v>
      </c>
      <c r="AE640" s="9">
        <v>0</v>
      </c>
      <c r="AF640" s="9">
        <v>0</v>
      </c>
      <c r="AG640" s="8">
        <v>1</v>
      </c>
      <c r="AH640" s="9">
        <v>0</v>
      </c>
      <c r="AI640" s="30">
        <v>0</v>
      </c>
      <c r="AJ640" s="9">
        <v>1</v>
      </c>
      <c r="AK640" s="30">
        <v>0</v>
      </c>
      <c r="AL640" s="21">
        <v>2002</v>
      </c>
      <c r="AM640" s="23">
        <f t="shared" si="181"/>
        <v>7.6019019598751658</v>
      </c>
      <c r="AN640" s="33">
        <f t="shared" si="18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8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15</v>
      </c>
      <c r="DB640" s="34"/>
    </row>
    <row r="641" spans="1:106" s="148" customFormat="1" x14ac:dyDescent="0.25">
      <c r="A641" s="148">
        <v>640</v>
      </c>
      <c r="B641" s="148">
        <v>40</v>
      </c>
      <c r="C641" s="149" t="s">
        <v>339</v>
      </c>
      <c r="D641" s="150">
        <v>4.2</v>
      </c>
      <c r="E641" s="151">
        <v>0.4</v>
      </c>
      <c r="F641" s="152">
        <f t="shared" si="182"/>
        <v>10.5</v>
      </c>
      <c r="G641" s="152">
        <f t="shared" si="172"/>
        <v>3.8000000000000003</v>
      </c>
      <c r="H641" s="153">
        <f t="shared" si="173"/>
        <v>4.6000000000000005</v>
      </c>
      <c r="I641" s="154">
        <f t="shared" si="174"/>
        <v>0.11478837992273992</v>
      </c>
      <c r="J641" s="155">
        <f t="shared" si="175"/>
        <v>1.0932226659308564E-2</v>
      </c>
      <c r="K641" s="155">
        <f t="shared" si="176"/>
        <v>91.472673515099572</v>
      </c>
      <c r="L641" s="155">
        <f t="shared" si="177"/>
        <v>0.10385615326343135</v>
      </c>
      <c r="M641" s="155">
        <f t="shared" si="178"/>
        <v>0.12572060658204848</v>
      </c>
      <c r="N641" s="156">
        <v>1</v>
      </c>
      <c r="O641" s="157">
        <v>0</v>
      </c>
      <c r="P641" s="156">
        <v>0</v>
      </c>
      <c r="Q641" s="157">
        <v>0</v>
      </c>
      <c r="R641" s="157">
        <v>1</v>
      </c>
      <c r="S641" s="157">
        <v>0</v>
      </c>
      <c r="T641" s="157">
        <v>0</v>
      </c>
      <c r="U641" s="156">
        <v>8270</v>
      </c>
      <c r="V641" s="157">
        <v>12</v>
      </c>
      <c r="W641" s="157">
        <f t="shared" si="179"/>
        <v>8257</v>
      </c>
      <c r="X641" s="157">
        <f t="shared" si="180"/>
        <v>17</v>
      </c>
      <c r="Y641" s="152">
        <v>11.13</v>
      </c>
      <c r="Z641" s="152">
        <v>20.260000000000002</v>
      </c>
      <c r="AA641" s="157">
        <v>1</v>
      </c>
      <c r="AB641" s="157">
        <v>0</v>
      </c>
      <c r="AC641" s="157">
        <v>1</v>
      </c>
      <c r="AD641" s="157">
        <v>0</v>
      </c>
      <c r="AE641" s="157">
        <v>0</v>
      </c>
      <c r="AF641" s="157">
        <v>0</v>
      </c>
      <c r="AG641" s="156">
        <v>1</v>
      </c>
      <c r="AH641" s="157">
        <v>0</v>
      </c>
      <c r="AI641" s="158">
        <v>0</v>
      </c>
      <c r="AJ641" s="157">
        <v>1</v>
      </c>
      <c r="AK641" s="158">
        <v>0</v>
      </c>
      <c r="AL641" s="159">
        <v>2002</v>
      </c>
      <c r="AM641" s="160">
        <f t="shared" si="181"/>
        <v>7.6019019598751658</v>
      </c>
      <c r="AN641" s="155">
        <f t="shared" si="18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8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15</v>
      </c>
      <c r="CW641" s="165"/>
      <c r="DB641" s="165"/>
    </row>
    <row r="642" spans="1:106" x14ac:dyDescent="0.25">
      <c r="A642">
        <v>641</v>
      </c>
      <c r="B642">
        <v>41</v>
      </c>
      <c r="C642" s="25" t="s">
        <v>340</v>
      </c>
      <c r="D642" s="12">
        <v>4.0999999999999996</v>
      </c>
      <c r="E642" s="14">
        <v>0.2</v>
      </c>
      <c r="F642" s="7">
        <f t="shared" si="182"/>
        <v>20.499999999999996</v>
      </c>
      <c r="G642" s="7">
        <f t="shared" ref="G642:G705" si="186">D642-E642</f>
        <v>3.8999999999999995</v>
      </c>
      <c r="H642" s="16">
        <f t="shared" ref="H642:H705" si="187">D642+E642</f>
        <v>4.3</v>
      </c>
      <c r="I642" s="11">
        <f t="shared" ref="I642:I705" si="188">IFERROR(F642/SQRT(F642^2+W642), "X")</f>
        <v>0.21871410847199574</v>
      </c>
      <c r="J642" s="33">
        <f t="shared" ref="J642:J705" si="189">IFERROR(SQRT((1-I642^2)/W642), "X")</f>
        <v>1.0668980901072963E-2</v>
      </c>
      <c r="K642" s="33">
        <f t="shared" ref="K642:K705" si="190">IFERROR(1/J642, "X")</f>
        <v>93.729664461151259</v>
      </c>
      <c r="L642" s="33">
        <f t="shared" ref="L642:L705" si="191">IFERROR(I642-J642, "X")</f>
        <v>0.20804512757092278</v>
      </c>
      <c r="M642" s="33">
        <f t="shared" ref="M642:M705" si="192">IFERROR(I642+J642, "X")</f>
        <v>0.2293830893730687</v>
      </c>
      <c r="N642" s="8">
        <v>1</v>
      </c>
      <c r="O642" s="9">
        <v>0</v>
      </c>
      <c r="P642" s="8">
        <v>0</v>
      </c>
      <c r="Q642" s="9">
        <v>1</v>
      </c>
      <c r="R642" s="9">
        <v>0</v>
      </c>
      <c r="S642" s="9">
        <v>0</v>
      </c>
      <c r="T642" s="9">
        <v>0</v>
      </c>
      <c r="U642" s="8">
        <v>8369</v>
      </c>
      <c r="V642" s="9">
        <v>3</v>
      </c>
      <c r="W642" s="9">
        <f t="shared" ref="W642:W705" si="193">U642-V642-1</f>
        <v>8365</v>
      </c>
      <c r="X642" s="9">
        <f t="shared" ref="X642:X705" si="194">COUNTIF(B:B,B642)</f>
        <v>15</v>
      </c>
      <c r="Y642" s="7">
        <v>9.89</v>
      </c>
      <c r="Z642" s="7">
        <v>16.940000000000001</v>
      </c>
      <c r="AA642" s="9">
        <v>1</v>
      </c>
      <c r="AB642" s="9">
        <v>0</v>
      </c>
      <c r="AC642" s="9">
        <v>1</v>
      </c>
      <c r="AD642" s="9">
        <v>0</v>
      </c>
      <c r="AE642" s="9">
        <v>0</v>
      </c>
      <c r="AF642" s="9">
        <v>0</v>
      </c>
      <c r="AG642" s="8">
        <v>0</v>
      </c>
      <c r="AH642" s="9">
        <v>1</v>
      </c>
      <c r="AI642" s="30">
        <v>0</v>
      </c>
      <c r="AJ642" s="9">
        <v>0</v>
      </c>
      <c r="AK642" s="30">
        <v>1</v>
      </c>
      <c r="AL642" s="21">
        <v>2012</v>
      </c>
      <c r="AM642" s="23">
        <f t="shared" ref="AM642:AM705" si="195">LN(AL642)</f>
        <v>7.60688453121963</v>
      </c>
      <c r="AN642" s="33">
        <v>0.19700000000000001</v>
      </c>
      <c r="AO642" s="33">
        <v>0.12</v>
      </c>
      <c r="AP642" s="33">
        <f t="shared" ref="AP642:AP656" si="196">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22</v>
      </c>
      <c r="DB642" s="34"/>
    </row>
    <row r="643" spans="1:106" x14ac:dyDescent="0.25">
      <c r="A643">
        <v>642</v>
      </c>
      <c r="B643">
        <v>41</v>
      </c>
      <c r="C643" s="25" t="s">
        <v>340</v>
      </c>
      <c r="D643" s="12">
        <v>2.2000000000000002</v>
      </c>
      <c r="E643" s="14">
        <v>0.2</v>
      </c>
      <c r="F643" s="7">
        <f t="shared" si="182"/>
        <v>11</v>
      </c>
      <c r="G643" s="7">
        <f t="shared" si="186"/>
        <v>2</v>
      </c>
      <c r="H643" s="16">
        <f t="shared" si="187"/>
        <v>2.4000000000000004</v>
      </c>
      <c r="I643" s="11">
        <f t="shared" si="188"/>
        <v>0.15786943985836729</v>
      </c>
      <c r="J643" s="33">
        <f t="shared" si="189"/>
        <v>1.4351767259851572E-2</v>
      </c>
      <c r="K643" s="33">
        <f t="shared" si="190"/>
        <v>69.677830046579373</v>
      </c>
      <c r="L643" s="33">
        <f t="shared" si="191"/>
        <v>0.14351767259851572</v>
      </c>
      <c r="M643" s="33">
        <f t="shared" si="192"/>
        <v>0.17222120711821887</v>
      </c>
      <c r="N643" s="8">
        <v>1</v>
      </c>
      <c r="O643" s="9">
        <v>0</v>
      </c>
      <c r="P643" s="8">
        <v>0</v>
      </c>
      <c r="Q643" s="9">
        <v>1</v>
      </c>
      <c r="R643" s="9">
        <v>0</v>
      </c>
      <c r="S643" s="9">
        <v>0</v>
      </c>
      <c r="T643" s="9">
        <v>0</v>
      </c>
      <c r="U643" s="8">
        <v>4738</v>
      </c>
      <c r="V643" s="9">
        <v>3</v>
      </c>
      <c r="W643" s="9">
        <f t="shared" si="193"/>
        <v>4734</v>
      </c>
      <c r="X643" s="9">
        <f t="shared" si="194"/>
        <v>15</v>
      </c>
      <c r="Y643" s="7">
        <v>9.89</v>
      </c>
      <c r="Z643" s="7">
        <v>16.940000000000001</v>
      </c>
      <c r="AA643" s="9">
        <v>1</v>
      </c>
      <c r="AB643" s="9">
        <v>0</v>
      </c>
      <c r="AC643" s="9">
        <v>1</v>
      </c>
      <c r="AD643" s="9">
        <v>0</v>
      </c>
      <c r="AE643" s="9">
        <v>0</v>
      </c>
      <c r="AF643" s="9">
        <v>0</v>
      </c>
      <c r="AG643" s="8">
        <v>0</v>
      </c>
      <c r="AH643" s="9">
        <v>1</v>
      </c>
      <c r="AI643" s="30">
        <v>0</v>
      </c>
      <c r="AJ643" s="9">
        <v>0</v>
      </c>
      <c r="AK643" s="30">
        <v>1</v>
      </c>
      <c r="AL643" s="21">
        <v>2012</v>
      </c>
      <c r="AM643" s="23">
        <f t="shared" si="195"/>
        <v>7.60688453121963</v>
      </c>
      <c r="AN643" s="33">
        <v>0.19700000000000001</v>
      </c>
      <c r="AO643" s="33">
        <v>0.12</v>
      </c>
      <c r="AP643" s="33">
        <f t="shared" si="196"/>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22</v>
      </c>
      <c r="DB643" s="34"/>
    </row>
    <row r="644" spans="1:106" x14ac:dyDescent="0.25">
      <c r="A644">
        <v>643</v>
      </c>
      <c r="B644">
        <v>41</v>
      </c>
      <c r="C644" s="25" t="s">
        <v>340</v>
      </c>
      <c r="D644" s="12">
        <v>5.3</v>
      </c>
      <c r="E644" s="14">
        <v>0.2</v>
      </c>
      <c r="F644" s="7">
        <f t="shared" si="182"/>
        <v>26.499999999999996</v>
      </c>
      <c r="G644" s="7">
        <f t="shared" si="186"/>
        <v>5.0999999999999996</v>
      </c>
      <c r="H644" s="16">
        <f t="shared" si="187"/>
        <v>5.5</v>
      </c>
      <c r="I644" s="11">
        <f t="shared" si="188"/>
        <v>0.40275370209545769</v>
      </c>
      <c r="J644" s="33">
        <f t="shared" si="189"/>
        <v>1.5198252909262555E-2</v>
      </c>
      <c r="K644" s="33">
        <f t="shared" si="190"/>
        <v>65.797036407424912</v>
      </c>
      <c r="L644" s="33">
        <f t="shared" si="191"/>
        <v>0.38755544918619511</v>
      </c>
      <c r="M644" s="33">
        <f t="shared" si="192"/>
        <v>0.41795195500472027</v>
      </c>
      <c r="N644" s="8">
        <v>1</v>
      </c>
      <c r="O644" s="9">
        <v>0</v>
      </c>
      <c r="P644" s="8">
        <v>0</v>
      </c>
      <c r="Q644" s="9">
        <v>1</v>
      </c>
      <c r="R644" s="9">
        <v>0</v>
      </c>
      <c r="S644" s="9">
        <v>0</v>
      </c>
      <c r="T644" s="9">
        <v>0</v>
      </c>
      <c r="U644" s="8">
        <v>3631</v>
      </c>
      <c r="V644" s="9">
        <v>3</v>
      </c>
      <c r="W644" s="9">
        <f t="shared" si="193"/>
        <v>3627</v>
      </c>
      <c r="X644" s="9">
        <f t="shared" si="194"/>
        <v>15</v>
      </c>
      <c r="Y644" s="7">
        <v>9.89</v>
      </c>
      <c r="Z644" s="7">
        <v>16.940000000000001</v>
      </c>
      <c r="AA644" s="9">
        <v>1</v>
      </c>
      <c r="AB644" s="9">
        <v>0</v>
      </c>
      <c r="AC644" s="9">
        <v>1</v>
      </c>
      <c r="AD644" s="9">
        <v>0</v>
      </c>
      <c r="AE644" s="9">
        <v>0</v>
      </c>
      <c r="AF644" s="9">
        <v>0</v>
      </c>
      <c r="AG644" s="8">
        <v>0</v>
      </c>
      <c r="AH644" s="9">
        <v>1</v>
      </c>
      <c r="AI644" s="30">
        <v>0</v>
      </c>
      <c r="AJ644" s="9">
        <v>0</v>
      </c>
      <c r="AK644" s="30">
        <v>1</v>
      </c>
      <c r="AL644" s="21">
        <v>2012</v>
      </c>
      <c r="AM644" s="23">
        <f t="shared" si="195"/>
        <v>7.60688453121963</v>
      </c>
      <c r="AN644" s="33">
        <v>0.19700000000000001</v>
      </c>
      <c r="AO644" s="33">
        <v>0.12</v>
      </c>
      <c r="AP644" s="33">
        <f t="shared" si="196"/>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22</v>
      </c>
      <c r="DB644" s="34"/>
    </row>
    <row r="645" spans="1:106" x14ac:dyDescent="0.25">
      <c r="A645">
        <v>644</v>
      </c>
      <c r="B645">
        <v>41</v>
      </c>
      <c r="C645" s="25" t="s">
        <v>340</v>
      </c>
      <c r="D645" s="12">
        <v>1.8</v>
      </c>
      <c r="E645" s="14">
        <v>0.5</v>
      </c>
      <c r="F645" s="7">
        <f t="shared" si="182"/>
        <v>3.6</v>
      </c>
      <c r="G645" s="7">
        <f t="shared" si="186"/>
        <v>1.3</v>
      </c>
      <c r="H645" s="16">
        <f t="shared" si="187"/>
        <v>2.2999999999999998</v>
      </c>
      <c r="I645" s="11">
        <f t="shared" si="188"/>
        <v>7.4951869287651629E-2</v>
      </c>
      <c r="J645" s="33">
        <f t="shared" si="189"/>
        <v>2.081996369101434E-2</v>
      </c>
      <c r="K645" s="33">
        <f t="shared" si="190"/>
        <v>48.030823436622448</v>
      </c>
      <c r="L645" s="33">
        <f t="shared" si="191"/>
        <v>5.4131905596637289E-2</v>
      </c>
      <c r="M645" s="33">
        <f t="shared" si="192"/>
        <v>9.5771832978665969E-2</v>
      </c>
      <c r="N645" s="8">
        <v>1</v>
      </c>
      <c r="O645" s="9">
        <v>0</v>
      </c>
      <c r="P645" s="8">
        <v>0</v>
      </c>
      <c r="Q645" s="9">
        <v>1</v>
      </c>
      <c r="R645" s="9">
        <v>0</v>
      </c>
      <c r="S645" s="9">
        <v>0</v>
      </c>
      <c r="T645" s="9">
        <v>0</v>
      </c>
      <c r="U645" s="8">
        <v>2298</v>
      </c>
      <c r="V645" s="9">
        <v>3</v>
      </c>
      <c r="W645" s="9">
        <f t="shared" si="193"/>
        <v>2294</v>
      </c>
      <c r="X645" s="9">
        <f t="shared" si="194"/>
        <v>15</v>
      </c>
      <c r="Y645" s="7">
        <v>9.81</v>
      </c>
      <c r="Z645" s="7">
        <v>11.78</v>
      </c>
      <c r="AA645" s="9">
        <v>1</v>
      </c>
      <c r="AB645" s="9">
        <v>0</v>
      </c>
      <c r="AC645" s="9">
        <v>1</v>
      </c>
      <c r="AD645" s="9">
        <v>0</v>
      </c>
      <c r="AE645" s="9">
        <v>0</v>
      </c>
      <c r="AF645" s="9">
        <v>0</v>
      </c>
      <c r="AG645" s="8">
        <v>0</v>
      </c>
      <c r="AH645" s="9">
        <v>1</v>
      </c>
      <c r="AI645" s="30">
        <v>0</v>
      </c>
      <c r="AJ645" s="9">
        <v>0</v>
      </c>
      <c r="AK645" s="30">
        <v>1</v>
      </c>
      <c r="AL645" s="21">
        <v>2012</v>
      </c>
      <c r="AM645" s="23">
        <f t="shared" si="195"/>
        <v>7.60688453121963</v>
      </c>
      <c r="AN645" s="33">
        <v>0.19700000000000001</v>
      </c>
      <c r="AO645" s="33">
        <v>0.12</v>
      </c>
      <c r="AP645" s="33">
        <f t="shared" si="196"/>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22</v>
      </c>
      <c r="DB645" s="34"/>
    </row>
    <row r="646" spans="1:106" x14ac:dyDescent="0.25">
      <c r="A646">
        <v>645</v>
      </c>
      <c r="B646">
        <v>41</v>
      </c>
      <c r="C646" s="25" t="s">
        <v>340</v>
      </c>
      <c r="D646" s="12">
        <v>0.7</v>
      </c>
      <c r="E646" s="14">
        <v>0.7</v>
      </c>
      <c r="F646" s="7">
        <f t="shared" si="182"/>
        <v>1</v>
      </c>
      <c r="G646" s="7">
        <f t="shared" si="186"/>
        <v>0</v>
      </c>
      <c r="H646" s="16">
        <f t="shared" si="187"/>
        <v>1.4</v>
      </c>
      <c r="I646" s="11">
        <f t="shared" si="188"/>
        <v>2.4640709031819093E-2</v>
      </c>
      <c r="J646" s="33">
        <f t="shared" si="189"/>
        <v>2.4640709031819093E-2</v>
      </c>
      <c r="K646" s="33">
        <f t="shared" si="190"/>
        <v>40.583247775406051</v>
      </c>
      <c r="L646" s="33">
        <f t="shared" si="191"/>
        <v>0</v>
      </c>
      <c r="M646" s="33">
        <f t="shared" si="192"/>
        <v>4.9281418063638185E-2</v>
      </c>
      <c r="N646" s="8">
        <v>1</v>
      </c>
      <c r="O646" s="9">
        <v>0</v>
      </c>
      <c r="P646" s="8">
        <v>0</v>
      </c>
      <c r="Q646" s="9">
        <v>1</v>
      </c>
      <c r="R646" s="9">
        <v>0</v>
      </c>
      <c r="S646" s="9">
        <v>0</v>
      </c>
      <c r="T646" s="9">
        <v>0</v>
      </c>
      <c r="U646" s="8">
        <v>1650</v>
      </c>
      <c r="V646" s="9">
        <v>3</v>
      </c>
      <c r="W646" s="9">
        <f t="shared" si="193"/>
        <v>1646</v>
      </c>
      <c r="X646" s="9">
        <f t="shared" si="194"/>
        <v>15</v>
      </c>
      <c r="Y646" s="7">
        <v>9.81</v>
      </c>
      <c r="Z646" s="7">
        <v>11.78</v>
      </c>
      <c r="AA646" s="9">
        <v>1</v>
      </c>
      <c r="AB646" s="9">
        <v>0</v>
      </c>
      <c r="AC646" s="9">
        <v>1</v>
      </c>
      <c r="AD646" s="9">
        <v>0</v>
      </c>
      <c r="AE646" s="9">
        <v>0</v>
      </c>
      <c r="AF646" s="9">
        <v>0</v>
      </c>
      <c r="AG646" s="8">
        <v>0</v>
      </c>
      <c r="AH646" s="9">
        <v>1</v>
      </c>
      <c r="AI646" s="30">
        <v>0</v>
      </c>
      <c r="AJ646" s="9">
        <v>0</v>
      </c>
      <c r="AK646" s="30">
        <v>1</v>
      </c>
      <c r="AL646" s="21">
        <v>2012</v>
      </c>
      <c r="AM646" s="23">
        <f t="shared" si="195"/>
        <v>7.60688453121963</v>
      </c>
      <c r="AN646" s="33">
        <v>0.19700000000000001</v>
      </c>
      <c r="AO646" s="33">
        <v>0.12</v>
      </c>
      <c r="AP646" s="33">
        <f t="shared" si="196"/>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22</v>
      </c>
      <c r="DB646" s="34"/>
    </row>
    <row r="647" spans="1:106" x14ac:dyDescent="0.25">
      <c r="A647">
        <v>646</v>
      </c>
      <c r="B647">
        <v>41</v>
      </c>
      <c r="C647" s="25" t="s">
        <v>340</v>
      </c>
      <c r="D647" s="12">
        <v>0.59366181332705481</v>
      </c>
      <c r="E647" s="14">
        <v>0.45796768456658499</v>
      </c>
      <c r="F647" s="7">
        <v>1.2962962962962969</v>
      </c>
      <c r="G647" s="7">
        <f t="shared" si="186"/>
        <v>0.13569412876046982</v>
      </c>
      <c r="H647" s="16">
        <f t="shared" si="187"/>
        <v>1.0516294978936398</v>
      </c>
      <c r="I647" s="11">
        <f t="shared" si="188"/>
        <v>1.4173581477609E-2</v>
      </c>
      <c r="J647" s="33">
        <f t="shared" si="189"/>
        <v>1.0933905711298366E-2</v>
      </c>
      <c r="K647" s="33">
        <f t="shared" si="190"/>
        <v>91.458626624762914</v>
      </c>
      <c r="L647" s="33">
        <f t="shared" si="191"/>
        <v>3.2396757663106339E-3</v>
      </c>
      <c r="M647" s="33">
        <f t="shared" si="192"/>
        <v>2.5107487188907367E-2</v>
      </c>
      <c r="N647" s="8">
        <v>1</v>
      </c>
      <c r="O647" s="9">
        <v>0</v>
      </c>
      <c r="P647" s="8">
        <v>0</v>
      </c>
      <c r="Q647" s="9">
        <v>1</v>
      </c>
      <c r="R647" s="9">
        <v>0</v>
      </c>
      <c r="S647" s="9">
        <v>0</v>
      </c>
      <c r="T647" s="9">
        <v>0</v>
      </c>
      <c r="U647" s="8">
        <v>8371</v>
      </c>
      <c r="V647" s="9">
        <v>7</v>
      </c>
      <c r="W647" s="9">
        <f t="shared" si="193"/>
        <v>8363</v>
      </c>
      <c r="X647" s="9">
        <f t="shared" si="194"/>
        <v>15</v>
      </c>
      <c r="Y647" s="7">
        <v>9.89</v>
      </c>
      <c r="Z647" s="7">
        <v>16.940000000000001</v>
      </c>
      <c r="AA647" s="9">
        <v>0</v>
      </c>
      <c r="AB647" s="9">
        <v>1</v>
      </c>
      <c r="AC647" s="9">
        <v>1</v>
      </c>
      <c r="AD647" s="9">
        <v>0</v>
      </c>
      <c r="AE647" s="9">
        <v>0</v>
      </c>
      <c r="AF647" s="9">
        <v>0</v>
      </c>
      <c r="AG647" s="8">
        <v>0</v>
      </c>
      <c r="AH647" s="9">
        <v>1</v>
      </c>
      <c r="AI647" s="30">
        <v>0</v>
      </c>
      <c r="AJ647" s="9">
        <v>0</v>
      </c>
      <c r="AK647" s="30">
        <v>1</v>
      </c>
      <c r="AL647" s="21">
        <v>2012</v>
      </c>
      <c r="AM647" s="23">
        <f t="shared" si="195"/>
        <v>7.60688453121963</v>
      </c>
      <c r="AN647" s="33">
        <v>0.19700000000000001</v>
      </c>
      <c r="AO647" s="33">
        <v>0.12</v>
      </c>
      <c r="AP647" s="33">
        <f t="shared" si="196"/>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22</v>
      </c>
      <c r="DB647" s="34"/>
    </row>
    <row r="648" spans="1:106" x14ac:dyDescent="0.25">
      <c r="A648">
        <v>647</v>
      </c>
      <c r="B648">
        <v>41</v>
      </c>
      <c r="C648" s="25" t="s">
        <v>340</v>
      </c>
      <c r="D648" s="12">
        <v>1.2184273858862</v>
      </c>
      <c r="E648" s="14">
        <v>0.50767807745258353</v>
      </c>
      <c r="F648" s="7">
        <v>2.4</v>
      </c>
      <c r="G648" s="7">
        <f t="shared" si="186"/>
        <v>0.7107493084336165</v>
      </c>
      <c r="H648" s="16">
        <f t="shared" si="187"/>
        <v>1.7261054633387836</v>
      </c>
      <c r="I648" s="11">
        <f t="shared" si="188"/>
        <v>2.6234976834956101E-2</v>
      </c>
      <c r="J648" s="33">
        <f t="shared" si="189"/>
        <v>1.0931240347898375E-2</v>
      </c>
      <c r="K648" s="33">
        <f t="shared" si="190"/>
        <v>91.480926973877999</v>
      </c>
      <c r="L648" s="33">
        <f t="shared" si="191"/>
        <v>1.5303736487057726E-2</v>
      </c>
      <c r="M648" s="33">
        <f t="shared" si="192"/>
        <v>3.7166217182854476E-2</v>
      </c>
      <c r="N648" s="8">
        <v>1</v>
      </c>
      <c r="O648" s="9">
        <v>0</v>
      </c>
      <c r="P648" s="8">
        <v>0</v>
      </c>
      <c r="Q648" s="9">
        <v>1</v>
      </c>
      <c r="R648" s="9">
        <v>0</v>
      </c>
      <c r="S648" s="9">
        <v>0</v>
      </c>
      <c r="T648" s="9">
        <v>0</v>
      </c>
      <c r="U648" s="8">
        <v>8371</v>
      </c>
      <c r="V648" s="9">
        <v>7</v>
      </c>
      <c r="W648" s="9">
        <f t="shared" si="193"/>
        <v>8363</v>
      </c>
      <c r="X648" s="9">
        <f t="shared" si="194"/>
        <v>15</v>
      </c>
      <c r="Y648" s="7">
        <v>9.89</v>
      </c>
      <c r="Z648" s="7">
        <v>16.940000000000001</v>
      </c>
      <c r="AA648" s="9">
        <v>0</v>
      </c>
      <c r="AB648" s="9">
        <v>1</v>
      </c>
      <c r="AC648" s="9">
        <v>1</v>
      </c>
      <c r="AD648" s="9">
        <v>0</v>
      </c>
      <c r="AE648" s="9">
        <v>0</v>
      </c>
      <c r="AF648" s="9">
        <v>0</v>
      </c>
      <c r="AG648" s="8">
        <v>0</v>
      </c>
      <c r="AH648" s="9">
        <v>1</v>
      </c>
      <c r="AI648" s="30">
        <v>0</v>
      </c>
      <c r="AJ648" s="9">
        <v>0</v>
      </c>
      <c r="AK648" s="30">
        <v>1</v>
      </c>
      <c r="AL648" s="21">
        <v>2012</v>
      </c>
      <c r="AM648" s="23">
        <f t="shared" si="195"/>
        <v>7.60688453121963</v>
      </c>
      <c r="AN648" s="33">
        <v>0.19700000000000001</v>
      </c>
      <c r="AO648" s="33">
        <v>0.12</v>
      </c>
      <c r="AP648" s="33">
        <f t="shared" si="196"/>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22</v>
      </c>
      <c r="DB648" s="34"/>
    </row>
    <row r="649" spans="1:106" x14ac:dyDescent="0.25">
      <c r="A649">
        <v>648</v>
      </c>
      <c r="B649">
        <v>41</v>
      </c>
      <c r="C649" s="25" t="s">
        <v>340</v>
      </c>
      <c r="D649" s="12">
        <v>4.6168956617874226</v>
      </c>
      <c r="E649" s="14">
        <v>0.44679635436652487</v>
      </c>
      <c r="F649" s="7">
        <v>10.33333333333333</v>
      </c>
      <c r="G649" s="7">
        <f t="shared" si="186"/>
        <v>4.1700993074208981</v>
      </c>
      <c r="H649" s="16">
        <f t="shared" si="187"/>
        <v>5.0636920161539472</v>
      </c>
      <c r="I649" s="11">
        <f t="shared" si="188"/>
        <v>0.1122805241073615</v>
      </c>
      <c r="J649" s="33">
        <f t="shared" si="189"/>
        <v>1.0865857171680147E-2</v>
      </c>
      <c r="K649" s="33">
        <f t="shared" si="190"/>
        <v>92.031395609203813</v>
      </c>
      <c r="L649" s="33">
        <f t="shared" si="191"/>
        <v>0.10141466693568135</v>
      </c>
      <c r="M649" s="33">
        <f t="shared" si="192"/>
        <v>0.12314638127904165</v>
      </c>
      <c r="N649" s="8">
        <v>1</v>
      </c>
      <c r="O649" s="9">
        <v>0</v>
      </c>
      <c r="P649" s="8">
        <v>0</v>
      </c>
      <c r="Q649" s="9">
        <v>1</v>
      </c>
      <c r="R649" s="9">
        <v>0</v>
      </c>
      <c r="S649" s="9">
        <v>0</v>
      </c>
      <c r="T649" s="9">
        <v>0</v>
      </c>
      <c r="U649" s="8">
        <v>8371</v>
      </c>
      <c r="V649" s="9">
        <v>7</v>
      </c>
      <c r="W649" s="9">
        <f t="shared" si="193"/>
        <v>8363</v>
      </c>
      <c r="X649" s="9">
        <f t="shared" si="194"/>
        <v>15</v>
      </c>
      <c r="Y649" s="7">
        <v>9.89</v>
      </c>
      <c r="Z649" s="7">
        <v>16.940000000000001</v>
      </c>
      <c r="AA649" s="9">
        <v>0</v>
      </c>
      <c r="AB649" s="9">
        <v>1</v>
      </c>
      <c r="AC649" s="9">
        <v>1</v>
      </c>
      <c r="AD649" s="9">
        <v>0</v>
      </c>
      <c r="AE649" s="9">
        <v>0</v>
      </c>
      <c r="AF649" s="9">
        <v>0</v>
      </c>
      <c r="AG649" s="8">
        <v>0</v>
      </c>
      <c r="AH649" s="9">
        <v>1</v>
      </c>
      <c r="AI649" s="30">
        <v>0</v>
      </c>
      <c r="AJ649" s="9">
        <v>0</v>
      </c>
      <c r="AK649" s="30">
        <v>1</v>
      </c>
      <c r="AL649" s="21">
        <v>2012</v>
      </c>
      <c r="AM649" s="23">
        <f t="shared" si="195"/>
        <v>7.60688453121963</v>
      </c>
      <c r="AN649" s="33">
        <v>0.19700000000000001</v>
      </c>
      <c r="AO649" s="33">
        <v>0.12</v>
      </c>
      <c r="AP649" s="33">
        <f t="shared" si="196"/>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22</v>
      </c>
      <c r="DB649" s="34"/>
    </row>
    <row r="650" spans="1:106" x14ac:dyDescent="0.25">
      <c r="A650">
        <v>649</v>
      </c>
      <c r="B650">
        <v>41</v>
      </c>
      <c r="C650" s="25" t="s">
        <v>340</v>
      </c>
      <c r="D650" s="12">
        <v>5.1923910316380004</v>
      </c>
      <c r="E650" s="14">
        <v>0.99007456111741521</v>
      </c>
      <c r="F650" s="7">
        <v>5.2444444444444436</v>
      </c>
      <c r="G650" s="7">
        <f t="shared" si="186"/>
        <v>4.2023164705205849</v>
      </c>
      <c r="H650" s="16">
        <f t="shared" si="187"/>
        <v>6.182465592755416</v>
      </c>
      <c r="I650" s="11">
        <f t="shared" si="188"/>
        <v>5.7253950698126874E-2</v>
      </c>
      <c r="J650" s="33">
        <f t="shared" si="189"/>
        <v>1.0917066870405549E-2</v>
      </c>
      <c r="K650" s="33">
        <f t="shared" si="190"/>
        <v>91.599695400862913</v>
      </c>
      <c r="L650" s="33">
        <f t="shared" si="191"/>
        <v>4.6336883827721324E-2</v>
      </c>
      <c r="M650" s="33">
        <f t="shared" si="192"/>
        <v>6.8171017568532416E-2</v>
      </c>
      <c r="N650" s="8">
        <v>1</v>
      </c>
      <c r="O650" s="9">
        <v>0</v>
      </c>
      <c r="P650" s="8">
        <v>0</v>
      </c>
      <c r="Q650" s="9">
        <v>1</v>
      </c>
      <c r="R650" s="9">
        <v>0</v>
      </c>
      <c r="S650" s="9">
        <v>0</v>
      </c>
      <c r="T650" s="9">
        <v>0</v>
      </c>
      <c r="U650" s="8">
        <v>8371</v>
      </c>
      <c r="V650" s="9">
        <v>7</v>
      </c>
      <c r="W650" s="9">
        <f t="shared" si="193"/>
        <v>8363</v>
      </c>
      <c r="X650" s="9">
        <f t="shared" si="194"/>
        <v>15</v>
      </c>
      <c r="Y650" s="7">
        <v>9.89</v>
      </c>
      <c r="Z650" s="7">
        <v>16.940000000000001</v>
      </c>
      <c r="AA650" s="9">
        <v>0</v>
      </c>
      <c r="AB650" s="9">
        <v>1</v>
      </c>
      <c r="AC650" s="9">
        <v>1</v>
      </c>
      <c r="AD650" s="9">
        <v>0</v>
      </c>
      <c r="AE650" s="9">
        <v>0</v>
      </c>
      <c r="AF650" s="9">
        <v>0</v>
      </c>
      <c r="AG650" s="8">
        <v>0</v>
      </c>
      <c r="AH650" s="9">
        <v>1</v>
      </c>
      <c r="AI650" s="30">
        <v>0</v>
      </c>
      <c r="AJ650" s="9">
        <v>0</v>
      </c>
      <c r="AK650" s="30">
        <v>1</v>
      </c>
      <c r="AL650" s="21">
        <v>2012</v>
      </c>
      <c r="AM650" s="23">
        <f t="shared" si="195"/>
        <v>7.60688453121963</v>
      </c>
      <c r="AN650" s="33">
        <v>0.19700000000000001</v>
      </c>
      <c r="AO650" s="33">
        <v>0.12</v>
      </c>
      <c r="AP650" s="33">
        <f t="shared" si="196"/>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22</v>
      </c>
      <c r="DB650" s="34"/>
    </row>
    <row r="651" spans="1:106" x14ac:dyDescent="0.25">
      <c r="A651">
        <v>650</v>
      </c>
      <c r="B651">
        <v>41</v>
      </c>
      <c r="C651" s="25" t="s">
        <v>340</v>
      </c>
      <c r="D651" s="12">
        <v>7.36957776560212</v>
      </c>
      <c r="E651" s="14">
        <v>0.31304401128221399</v>
      </c>
      <c r="F651" s="7">
        <v>23.541666666666661</v>
      </c>
      <c r="G651" s="7">
        <f t="shared" si="186"/>
        <v>7.056533754319906</v>
      </c>
      <c r="H651" s="16">
        <f t="shared" si="187"/>
        <v>7.6826217768843339</v>
      </c>
      <c r="I651" s="11">
        <f t="shared" si="188"/>
        <v>0.24930024610104234</v>
      </c>
      <c r="J651" s="33">
        <f t="shared" si="189"/>
        <v>1.0589744967123924E-2</v>
      </c>
      <c r="K651" s="33">
        <f t="shared" si="190"/>
        <v>94.43098045368609</v>
      </c>
      <c r="L651" s="33">
        <f t="shared" si="191"/>
        <v>0.23871050113391842</v>
      </c>
      <c r="M651" s="33">
        <f t="shared" si="192"/>
        <v>0.25988999106816629</v>
      </c>
      <c r="N651" s="8">
        <v>1</v>
      </c>
      <c r="O651" s="9">
        <v>0</v>
      </c>
      <c r="P651" s="8">
        <v>0</v>
      </c>
      <c r="Q651" s="9">
        <v>1</v>
      </c>
      <c r="R651" s="9">
        <v>0</v>
      </c>
      <c r="S651" s="9">
        <v>0</v>
      </c>
      <c r="T651" s="9">
        <v>0</v>
      </c>
      <c r="U651" s="8">
        <v>8371</v>
      </c>
      <c r="V651" s="9">
        <v>7</v>
      </c>
      <c r="W651" s="9">
        <f t="shared" si="193"/>
        <v>8363</v>
      </c>
      <c r="X651" s="9">
        <f t="shared" si="194"/>
        <v>15</v>
      </c>
      <c r="Y651" s="7">
        <v>9.89</v>
      </c>
      <c r="Z651" s="7">
        <v>16.940000000000001</v>
      </c>
      <c r="AA651" s="9">
        <v>0</v>
      </c>
      <c r="AB651" s="9">
        <v>1</v>
      </c>
      <c r="AC651" s="9">
        <v>1</v>
      </c>
      <c r="AD651" s="9">
        <v>0</v>
      </c>
      <c r="AE651" s="9">
        <v>0</v>
      </c>
      <c r="AF651" s="9">
        <v>0</v>
      </c>
      <c r="AG651" s="8">
        <v>0</v>
      </c>
      <c r="AH651" s="9">
        <v>1</v>
      </c>
      <c r="AI651" s="30">
        <v>0</v>
      </c>
      <c r="AJ651" s="9">
        <v>0</v>
      </c>
      <c r="AK651" s="30">
        <v>1</v>
      </c>
      <c r="AL651" s="21">
        <v>2012</v>
      </c>
      <c r="AM651" s="23">
        <f t="shared" si="195"/>
        <v>7.60688453121963</v>
      </c>
      <c r="AN651" s="33">
        <v>0.19700000000000001</v>
      </c>
      <c r="AO651" s="33">
        <v>0.12</v>
      </c>
      <c r="AP651" s="33">
        <f t="shared" si="196"/>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22</v>
      </c>
      <c r="DB651" s="34"/>
    </row>
    <row r="652" spans="1:106" x14ac:dyDescent="0.25">
      <c r="A652">
        <v>651</v>
      </c>
      <c r="B652">
        <v>41</v>
      </c>
      <c r="C652" s="25" t="s">
        <v>340</v>
      </c>
      <c r="D652" s="12">
        <v>0.92474336925133516</v>
      </c>
      <c r="E652" s="14">
        <v>0.97611800087640943</v>
      </c>
      <c r="F652" s="7">
        <v>0.94736842105263153</v>
      </c>
      <c r="G652" s="7">
        <f t="shared" si="186"/>
        <v>-5.1374631625074274E-2</v>
      </c>
      <c r="H652" s="16">
        <f t="shared" si="187"/>
        <v>1.9008613701277446</v>
      </c>
      <c r="I652" s="11">
        <f t="shared" si="188"/>
        <v>1.9784568514971724E-2</v>
      </c>
      <c r="J652" s="33">
        <f t="shared" si="189"/>
        <v>2.0883711210247929E-2</v>
      </c>
      <c r="K652" s="33">
        <f t="shared" si="190"/>
        <v>47.884209369323493</v>
      </c>
      <c r="L652" s="33">
        <f t="shared" si="191"/>
        <v>-1.0991426952762055E-3</v>
      </c>
      <c r="M652" s="33">
        <f t="shared" si="192"/>
        <v>4.066827972521965E-2</v>
      </c>
      <c r="N652" s="8">
        <v>1</v>
      </c>
      <c r="O652" s="9">
        <v>0</v>
      </c>
      <c r="P652" s="8">
        <v>0</v>
      </c>
      <c r="Q652" s="9">
        <v>1</v>
      </c>
      <c r="R652" s="9">
        <v>0</v>
      </c>
      <c r="S652" s="9">
        <v>0</v>
      </c>
      <c r="T652" s="9">
        <v>0</v>
      </c>
      <c r="U652" s="8">
        <v>2300</v>
      </c>
      <c r="V652" s="9">
        <v>7</v>
      </c>
      <c r="W652" s="9">
        <f t="shared" si="193"/>
        <v>2292</v>
      </c>
      <c r="X652" s="9">
        <f t="shared" si="194"/>
        <v>15</v>
      </c>
      <c r="Y652" s="7">
        <v>9.81</v>
      </c>
      <c r="Z652" s="7">
        <v>11.78</v>
      </c>
      <c r="AA652" s="9">
        <v>0</v>
      </c>
      <c r="AB652" s="9">
        <v>1</v>
      </c>
      <c r="AC652" s="9">
        <v>1</v>
      </c>
      <c r="AD652" s="9">
        <v>0</v>
      </c>
      <c r="AE652" s="9">
        <v>0</v>
      </c>
      <c r="AF652" s="9">
        <v>0</v>
      </c>
      <c r="AG652" s="8">
        <v>0</v>
      </c>
      <c r="AH652" s="9">
        <v>1</v>
      </c>
      <c r="AI652" s="30">
        <v>0</v>
      </c>
      <c r="AJ652" s="9">
        <v>0</v>
      </c>
      <c r="AK652" s="30">
        <v>1</v>
      </c>
      <c r="AL652" s="21">
        <v>2012</v>
      </c>
      <c r="AM652" s="23">
        <f t="shared" si="195"/>
        <v>7.60688453121963</v>
      </c>
      <c r="AN652" s="33">
        <v>0.19700000000000001</v>
      </c>
      <c r="AO652" s="33">
        <v>0.12</v>
      </c>
      <c r="AP652" s="33">
        <f t="shared" si="196"/>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22</v>
      </c>
      <c r="DB652" s="34"/>
    </row>
    <row r="653" spans="1:106" x14ac:dyDescent="0.25">
      <c r="A653">
        <v>652</v>
      </c>
      <c r="B653">
        <v>41</v>
      </c>
      <c r="C653" s="25" t="s">
        <v>340</v>
      </c>
      <c r="D653" s="12">
        <v>-0.84037586596127367</v>
      </c>
      <c r="E653" s="14">
        <v>-1.9995149914251</v>
      </c>
      <c r="F653" s="7">
        <v>0.42028985507246369</v>
      </c>
      <c r="G653" s="7">
        <f t="shared" si="186"/>
        <v>1.1591391254638264</v>
      </c>
      <c r="H653" s="16">
        <f t="shared" si="187"/>
        <v>-2.8398908573863739</v>
      </c>
      <c r="I653" s="11">
        <f t="shared" si="188"/>
        <v>8.7785920158698506E-3</v>
      </c>
      <c r="J653" s="33">
        <f t="shared" si="189"/>
        <v>2.0886994796379989E-2</v>
      </c>
      <c r="K653" s="33">
        <f t="shared" si="190"/>
        <v>47.876681626469029</v>
      </c>
      <c r="L653" s="33">
        <f t="shared" si="191"/>
        <v>-1.2108402780510138E-2</v>
      </c>
      <c r="M653" s="33">
        <f t="shared" si="192"/>
        <v>2.9665586812249838E-2</v>
      </c>
      <c r="N653" s="8">
        <v>1</v>
      </c>
      <c r="O653" s="9">
        <v>0</v>
      </c>
      <c r="P653" s="8">
        <v>0</v>
      </c>
      <c r="Q653" s="9">
        <v>1</v>
      </c>
      <c r="R653" s="9">
        <v>0</v>
      </c>
      <c r="S653" s="9">
        <v>0</v>
      </c>
      <c r="T653" s="9">
        <v>0</v>
      </c>
      <c r="U653" s="8">
        <v>2300</v>
      </c>
      <c r="V653" s="9">
        <v>7</v>
      </c>
      <c r="W653" s="9">
        <f t="shared" si="193"/>
        <v>2292</v>
      </c>
      <c r="X653" s="9">
        <f t="shared" si="194"/>
        <v>15</v>
      </c>
      <c r="Y653" s="7">
        <v>9.81</v>
      </c>
      <c r="Z653" s="7">
        <v>11.78</v>
      </c>
      <c r="AA653" s="9">
        <v>0</v>
      </c>
      <c r="AB653" s="9">
        <v>1</v>
      </c>
      <c r="AC653" s="9">
        <v>1</v>
      </c>
      <c r="AD653" s="9">
        <v>0</v>
      </c>
      <c r="AE653" s="9">
        <v>0</v>
      </c>
      <c r="AF653" s="9">
        <v>0</v>
      </c>
      <c r="AG653" s="8">
        <v>0</v>
      </c>
      <c r="AH653" s="9">
        <v>1</v>
      </c>
      <c r="AI653" s="30">
        <v>0</v>
      </c>
      <c r="AJ653" s="9">
        <v>0</v>
      </c>
      <c r="AK653" s="30">
        <v>1</v>
      </c>
      <c r="AL653" s="21">
        <v>2012</v>
      </c>
      <c r="AM653" s="23">
        <f t="shared" si="195"/>
        <v>7.60688453121963</v>
      </c>
      <c r="AN653" s="33">
        <v>0.19700000000000001</v>
      </c>
      <c r="AO653" s="33">
        <v>0.12</v>
      </c>
      <c r="AP653" s="33">
        <f t="shared" si="196"/>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22</v>
      </c>
      <c r="DB653" s="34"/>
    </row>
    <row r="654" spans="1:106" x14ac:dyDescent="0.25">
      <c r="A654">
        <v>653</v>
      </c>
      <c r="B654">
        <v>41</v>
      </c>
      <c r="C654" s="25" t="s">
        <v>340</v>
      </c>
      <c r="D654" s="12">
        <v>2.376412617299128</v>
      </c>
      <c r="E654" s="14">
        <v>1.281398960308354</v>
      </c>
      <c r="F654" s="7">
        <v>1.8545454545454541</v>
      </c>
      <c r="G654" s="7">
        <f t="shared" si="186"/>
        <v>1.095013656990774</v>
      </c>
      <c r="H654" s="16">
        <f t="shared" si="187"/>
        <v>3.657811577607482</v>
      </c>
      <c r="I654" s="11">
        <f t="shared" si="188"/>
        <v>3.8708342234612926E-2</v>
      </c>
      <c r="J654" s="33">
        <f t="shared" si="189"/>
        <v>2.0872145322585408E-2</v>
      </c>
      <c r="K654" s="33">
        <f t="shared" si="190"/>
        <v>47.910743459509952</v>
      </c>
      <c r="L654" s="33">
        <f t="shared" si="191"/>
        <v>1.7836196912027518E-2</v>
      </c>
      <c r="M654" s="33">
        <f t="shared" si="192"/>
        <v>5.9580487557198331E-2</v>
      </c>
      <c r="N654" s="8">
        <v>1</v>
      </c>
      <c r="O654" s="9">
        <v>0</v>
      </c>
      <c r="P654" s="8">
        <v>0</v>
      </c>
      <c r="Q654" s="9">
        <v>1</v>
      </c>
      <c r="R654" s="9">
        <v>0</v>
      </c>
      <c r="S654" s="9">
        <v>0</v>
      </c>
      <c r="T654" s="9">
        <v>0</v>
      </c>
      <c r="U654" s="8">
        <v>2300</v>
      </c>
      <c r="V654" s="9">
        <v>7</v>
      </c>
      <c r="W654" s="9">
        <f t="shared" si="193"/>
        <v>2292</v>
      </c>
      <c r="X654" s="9">
        <f t="shared" si="194"/>
        <v>15</v>
      </c>
      <c r="Y654" s="7">
        <v>9.81</v>
      </c>
      <c r="Z654" s="7">
        <v>11.78</v>
      </c>
      <c r="AA654" s="9">
        <v>0</v>
      </c>
      <c r="AB654" s="9">
        <v>1</v>
      </c>
      <c r="AC654" s="9">
        <v>1</v>
      </c>
      <c r="AD654" s="9">
        <v>0</v>
      </c>
      <c r="AE654" s="9">
        <v>0</v>
      </c>
      <c r="AF654" s="9">
        <v>0</v>
      </c>
      <c r="AG654" s="8">
        <v>0</v>
      </c>
      <c r="AH654" s="9">
        <v>1</v>
      </c>
      <c r="AI654" s="30">
        <v>0</v>
      </c>
      <c r="AJ654" s="9">
        <v>0</v>
      </c>
      <c r="AK654" s="30">
        <v>1</v>
      </c>
      <c r="AL654" s="21">
        <v>2012</v>
      </c>
      <c r="AM654" s="23">
        <f t="shared" si="195"/>
        <v>7.60688453121963</v>
      </c>
      <c r="AN654" s="33">
        <v>0.19700000000000001</v>
      </c>
      <c r="AO654" s="33">
        <v>0.12</v>
      </c>
      <c r="AP654" s="33">
        <f t="shared" si="196"/>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22</v>
      </c>
      <c r="DB654" s="34"/>
    </row>
    <row r="655" spans="1:106" x14ac:dyDescent="0.25">
      <c r="A655">
        <v>654</v>
      </c>
      <c r="B655">
        <v>41</v>
      </c>
      <c r="C655" s="25" t="s">
        <v>340</v>
      </c>
      <c r="D655" s="12">
        <v>2.312765468399514</v>
      </c>
      <c r="E655" s="14">
        <v>2.6134249792914499</v>
      </c>
      <c r="F655" s="7">
        <v>0.88495575221238942</v>
      </c>
      <c r="G655" s="7">
        <f t="shared" si="186"/>
        <v>-0.30065951089193588</v>
      </c>
      <c r="H655" s="16">
        <f t="shared" si="187"/>
        <v>4.9261904476909635</v>
      </c>
      <c r="I655" s="11">
        <f t="shared" si="188"/>
        <v>1.848162126220294E-2</v>
      </c>
      <c r="J655" s="33">
        <f t="shared" si="189"/>
        <v>2.0884232026289321E-2</v>
      </c>
      <c r="K655" s="33">
        <f t="shared" si="190"/>
        <v>47.883015221301321</v>
      </c>
      <c r="L655" s="33">
        <f t="shared" si="191"/>
        <v>-2.4026107640863804E-3</v>
      </c>
      <c r="M655" s="33">
        <f t="shared" si="192"/>
        <v>3.9365853288492264E-2</v>
      </c>
      <c r="N655" s="8">
        <v>1</v>
      </c>
      <c r="O655" s="9">
        <v>0</v>
      </c>
      <c r="P655" s="8">
        <v>0</v>
      </c>
      <c r="Q655" s="9">
        <v>1</v>
      </c>
      <c r="R655" s="9">
        <v>0</v>
      </c>
      <c r="S655" s="9">
        <v>0</v>
      </c>
      <c r="T655" s="9">
        <v>0</v>
      </c>
      <c r="U655" s="8">
        <v>2300</v>
      </c>
      <c r="V655" s="9">
        <v>7</v>
      </c>
      <c r="W655" s="9">
        <f t="shared" si="193"/>
        <v>2292</v>
      </c>
      <c r="X655" s="9">
        <f t="shared" si="194"/>
        <v>15</v>
      </c>
      <c r="Y655" s="7">
        <v>9.81</v>
      </c>
      <c r="Z655" s="7">
        <v>11.78</v>
      </c>
      <c r="AA655" s="9">
        <v>0</v>
      </c>
      <c r="AB655" s="9">
        <v>1</v>
      </c>
      <c r="AC655" s="9">
        <v>1</v>
      </c>
      <c r="AD655" s="9">
        <v>0</v>
      </c>
      <c r="AE655" s="9">
        <v>0</v>
      </c>
      <c r="AF655" s="9">
        <v>0</v>
      </c>
      <c r="AG655" s="8">
        <v>0</v>
      </c>
      <c r="AH655" s="9">
        <v>1</v>
      </c>
      <c r="AI655" s="30">
        <v>0</v>
      </c>
      <c r="AJ655" s="9">
        <v>0</v>
      </c>
      <c r="AK655" s="30">
        <v>1</v>
      </c>
      <c r="AL655" s="21">
        <v>2012</v>
      </c>
      <c r="AM655" s="23">
        <f t="shared" si="195"/>
        <v>7.60688453121963</v>
      </c>
      <c r="AN655" s="33">
        <v>0.19700000000000001</v>
      </c>
      <c r="AO655" s="33">
        <v>0.12</v>
      </c>
      <c r="AP655" s="33">
        <f t="shared" si="196"/>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22</v>
      </c>
      <c r="DB655" s="34"/>
    </row>
    <row r="656" spans="1:106" s="148" customFormat="1" x14ac:dyDescent="0.25">
      <c r="A656" s="148">
        <v>655</v>
      </c>
      <c r="B656" s="148">
        <v>41</v>
      </c>
      <c r="C656" s="149" t="s">
        <v>340</v>
      </c>
      <c r="D656" s="150">
        <v>3.9364104664247002</v>
      </c>
      <c r="E656" s="151">
        <v>1.090990166724449</v>
      </c>
      <c r="F656" s="152">
        <v>3.6081081081081079</v>
      </c>
      <c r="G656" s="152">
        <f t="shared" si="186"/>
        <v>2.8454202997002511</v>
      </c>
      <c r="H656" s="153">
        <f t="shared" si="187"/>
        <v>5.0274006331491492</v>
      </c>
      <c r="I656" s="154">
        <f t="shared" si="188"/>
        <v>7.5152310851901452E-2</v>
      </c>
      <c r="J656" s="155">
        <f t="shared" si="189"/>
        <v>2.0828730348467071E-2</v>
      </c>
      <c r="K656" s="155">
        <f t="shared" si="190"/>
        <v>48.010607620814334</v>
      </c>
      <c r="L656" s="155">
        <f t="shared" si="191"/>
        <v>5.4323580503434381E-2</v>
      </c>
      <c r="M656" s="155">
        <f t="shared" si="192"/>
        <v>9.5981041200368516E-2</v>
      </c>
      <c r="N656" s="156">
        <v>1</v>
      </c>
      <c r="O656" s="157">
        <v>0</v>
      </c>
      <c r="P656" s="156">
        <v>0</v>
      </c>
      <c r="Q656" s="157">
        <v>1</v>
      </c>
      <c r="R656" s="157">
        <v>0</v>
      </c>
      <c r="S656" s="157">
        <v>0</v>
      </c>
      <c r="T656" s="157">
        <v>0</v>
      </c>
      <c r="U656" s="156">
        <v>2300</v>
      </c>
      <c r="V656" s="157">
        <v>7</v>
      </c>
      <c r="W656" s="157">
        <f t="shared" si="193"/>
        <v>2292</v>
      </c>
      <c r="X656" s="157">
        <f t="shared" si="194"/>
        <v>15</v>
      </c>
      <c r="Y656" s="152">
        <v>9.81</v>
      </c>
      <c r="Z656" s="152">
        <v>11.78</v>
      </c>
      <c r="AA656" s="157">
        <v>0</v>
      </c>
      <c r="AB656" s="157">
        <v>1</v>
      </c>
      <c r="AC656" s="157">
        <v>1</v>
      </c>
      <c r="AD656" s="157">
        <v>0</v>
      </c>
      <c r="AE656" s="157">
        <v>0</v>
      </c>
      <c r="AF656" s="157">
        <v>0</v>
      </c>
      <c r="AG656" s="156">
        <v>0</v>
      </c>
      <c r="AH656" s="157">
        <v>1</v>
      </c>
      <c r="AI656" s="158">
        <v>0</v>
      </c>
      <c r="AJ656" s="157">
        <v>0</v>
      </c>
      <c r="AK656" s="158">
        <v>1</v>
      </c>
      <c r="AL656" s="159">
        <v>2012</v>
      </c>
      <c r="AM656" s="160">
        <f t="shared" si="195"/>
        <v>7.60688453121963</v>
      </c>
      <c r="AN656" s="155">
        <v>0.19700000000000001</v>
      </c>
      <c r="AO656" s="155">
        <v>0.12</v>
      </c>
      <c r="AP656" s="155">
        <f t="shared" si="196"/>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22</v>
      </c>
      <c r="CW656" s="165"/>
      <c r="DB656" s="165"/>
    </row>
    <row r="657" spans="1:106" x14ac:dyDescent="0.25">
      <c r="A657">
        <v>656</v>
      </c>
      <c r="B657">
        <v>42</v>
      </c>
      <c r="C657" s="25" t="s">
        <v>465</v>
      </c>
      <c r="D657" s="12">
        <v>7.7892686652247729</v>
      </c>
      <c r="E657" s="14">
        <v>0.74183511097378785</v>
      </c>
      <c r="F657" s="7">
        <v>10.5</v>
      </c>
      <c r="G657" s="7">
        <f t="shared" si="186"/>
        <v>7.0474335542509854</v>
      </c>
      <c r="H657" s="16">
        <f t="shared" si="187"/>
        <v>8.5311037761985613</v>
      </c>
      <c r="I657" s="11">
        <f t="shared" si="188"/>
        <v>0.18043874177926347</v>
      </c>
      <c r="J657" s="33">
        <f t="shared" si="189"/>
        <v>1.7184642074215568E-2</v>
      </c>
      <c r="K657" s="33">
        <f t="shared" si="190"/>
        <v>58.191494223812469</v>
      </c>
      <c r="L657" s="33">
        <f t="shared" si="191"/>
        <v>0.16325409970504789</v>
      </c>
      <c r="M657" s="33">
        <f t="shared" si="192"/>
        <v>0.19762338385347905</v>
      </c>
      <c r="N657" s="8">
        <v>1</v>
      </c>
      <c r="O657" s="9">
        <v>0</v>
      </c>
      <c r="P657" s="8">
        <v>0</v>
      </c>
      <c r="Q657" s="9">
        <v>0</v>
      </c>
      <c r="R657" s="9">
        <v>1</v>
      </c>
      <c r="S657" s="9">
        <v>0</v>
      </c>
      <c r="T657" s="9">
        <v>0</v>
      </c>
      <c r="U657" s="8">
        <v>3302</v>
      </c>
      <c r="V657" s="9">
        <v>25</v>
      </c>
      <c r="W657" s="9">
        <f t="shared" si="193"/>
        <v>3276</v>
      </c>
      <c r="X657" s="9">
        <f t="shared" si="194"/>
        <v>24</v>
      </c>
      <c r="Y657" s="7">
        <v>15</v>
      </c>
      <c r="Z657" s="7">
        <f t="shared" ref="Z657:Z698" si="197">BN657-Y657-6</f>
        <v>29</v>
      </c>
      <c r="AA657" s="9">
        <v>0</v>
      </c>
      <c r="AB657" s="9">
        <v>1</v>
      </c>
      <c r="AC657" s="9">
        <v>1</v>
      </c>
      <c r="AD657" s="9">
        <v>0</v>
      </c>
      <c r="AE657" s="9">
        <v>0</v>
      </c>
      <c r="AF657" s="9">
        <v>0</v>
      </c>
      <c r="AG657" s="8">
        <v>0</v>
      </c>
      <c r="AH657" s="9">
        <v>1</v>
      </c>
      <c r="AI657" s="30">
        <v>0</v>
      </c>
      <c r="AJ657" s="9">
        <v>0</v>
      </c>
      <c r="AK657" s="30">
        <v>1</v>
      </c>
      <c r="AL657" s="21">
        <v>1999</v>
      </c>
      <c r="AM657" s="23">
        <f t="shared" si="195"/>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12</v>
      </c>
      <c r="DB657" s="34"/>
    </row>
    <row r="658" spans="1:106" x14ac:dyDescent="0.25">
      <c r="A658">
        <v>657</v>
      </c>
      <c r="B658">
        <v>42</v>
      </c>
      <c r="C658" s="25" t="s">
        <v>465</v>
      </c>
      <c r="D658" s="12">
        <v>14.444313818677999</v>
      </c>
      <c r="E658" s="14">
        <v>0.80246187881544462</v>
      </c>
      <c r="F658" s="7">
        <v>18</v>
      </c>
      <c r="G658" s="7">
        <f t="shared" si="186"/>
        <v>13.641851939862555</v>
      </c>
      <c r="H658" s="16">
        <f t="shared" si="187"/>
        <v>15.246775697493444</v>
      </c>
      <c r="I658" s="11">
        <f t="shared" si="188"/>
        <v>0.37598039382992116</v>
      </c>
      <c r="J658" s="33">
        <f t="shared" si="189"/>
        <v>2.0887799657217841E-2</v>
      </c>
      <c r="K658" s="33">
        <f t="shared" si="190"/>
        <v>47.874836814343297</v>
      </c>
      <c r="L658" s="33">
        <f t="shared" si="191"/>
        <v>0.35509259417270334</v>
      </c>
      <c r="M658" s="33">
        <f t="shared" si="192"/>
        <v>0.39686819348713898</v>
      </c>
      <c r="N658" s="8">
        <v>1</v>
      </c>
      <c r="O658" s="9">
        <v>0</v>
      </c>
      <c r="P658" s="8">
        <v>0</v>
      </c>
      <c r="Q658" s="9">
        <v>0</v>
      </c>
      <c r="R658" s="9">
        <v>1</v>
      </c>
      <c r="S658" s="9">
        <v>0</v>
      </c>
      <c r="T658" s="9">
        <v>0</v>
      </c>
      <c r="U658" s="8">
        <v>1994</v>
      </c>
      <c r="V658" s="9">
        <v>25</v>
      </c>
      <c r="W658" s="9">
        <f t="shared" si="193"/>
        <v>1968</v>
      </c>
      <c r="X658" s="9">
        <f t="shared" si="194"/>
        <v>24</v>
      </c>
      <c r="Y658" s="7">
        <v>15</v>
      </c>
      <c r="Z658" s="7">
        <f t="shared" si="197"/>
        <v>29</v>
      </c>
      <c r="AA658" s="9">
        <v>0</v>
      </c>
      <c r="AB658" s="9">
        <v>1</v>
      </c>
      <c r="AC658" s="9">
        <v>1</v>
      </c>
      <c r="AD658" s="9">
        <v>0</v>
      </c>
      <c r="AE658" s="9">
        <v>0</v>
      </c>
      <c r="AF658" s="9">
        <v>0</v>
      </c>
      <c r="AG658" s="8">
        <v>0</v>
      </c>
      <c r="AH658" s="9">
        <v>1</v>
      </c>
      <c r="AI658" s="30">
        <v>0</v>
      </c>
      <c r="AJ658" s="9">
        <v>0</v>
      </c>
      <c r="AK658" s="30">
        <v>1</v>
      </c>
      <c r="AL658" s="21">
        <v>1999</v>
      </c>
      <c r="AM658" s="23">
        <f t="shared" si="195"/>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12</v>
      </c>
      <c r="DB658" s="34"/>
    </row>
    <row r="659" spans="1:106" x14ac:dyDescent="0.25">
      <c r="A659">
        <v>658</v>
      </c>
      <c r="B659">
        <v>42</v>
      </c>
      <c r="C659" s="25" t="s">
        <v>465</v>
      </c>
      <c r="D659" s="12">
        <v>10.33214835777491</v>
      </c>
      <c r="E659" s="14">
        <v>0.76534432279814146</v>
      </c>
      <c r="F659" s="7">
        <v>13.5</v>
      </c>
      <c r="G659" s="7">
        <f t="shared" si="186"/>
        <v>9.5668040349767693</v>
      </c>
      <c r="H659" s="16">
        <f t="shared" si="187"/>
        <v>11.097492680573051</v>
      </c>
      <c r="I659" s="11">
        <f t="shared" si="188"/>
        <v>0.22979763706829784</v>
      </c>
      <c r="J659" s="33">
        <f t="shared" si="189"/>
        <v>1.7022047190244284E-2</v>
      </c>
      <c r="K659" s="33">
        <f t="shared" si="190"/>
        <v>58.747340365330579</v>
      </c>
      <c r="L659" s="33">
        <f t="shared" si="191"/>
        <v>0.21277558987805356</v>
      </c>
      <c r="M659" s="33">
        <f t="shared" si="192"/>
        <v>0.24681968425854212</v>
      </c>
      <c r="N659" s="8">
        <v>1</v>
      </c>
      <c r="O659" s="9">
        <v>0</v>
      </c>
      <c r="P659" s="8">
        <v>0</v>
      </c>
      <c r="Q659" s="9">
        <v>0</v>
      </c>
      <c r="R659" s="9">
        <v>1</v>
      </c>
      <c r="S659" s="9">
        <v>0</v>
      </c>
      <c r="T659" s="9">
        <v>0</v>
      </c>
      <c r="U659" s="8">
        <v>3295</v>
      </c>
      <c r="V659" s="9">
        <v>25</v>
      </c>
      <c r="W659" s="9">
        <f t="shared" si="193"/>
        <v>3269</v>
      </c>
      <c r="X659" s="9">
        <f t="shared" si="194"/>
        <v>24</v>
      </c>
      <c r="Y659" s="7">
        <v>15</v>
      </c>
      <c r="Z659" s="7">
        <f t="shared" si="197"/>
        <v>29</v>
      </c>
      <c r="AA659" s="9">
        <v>0</v>
      </c>
      <c r="AB659" s="9">
        <v>1</v>
      </c>
      <c r="AC659" s="9">
        <v>1</v>
      </c>
      <c r="AD659" s="9">
        <v>0</v>
      </c>
      <c r="AE659" s="9">
        <v>0</v>
      </c>
      <c r="AF659" s="9">
        <v>0</v>
      </c>
      <c r="AG659" s="8">
        <v>0</v>
      </c>
      <c r="AH659" s="9">
        <v>1</v>
      </c>
      <c r="AI659" s="30">
        <v>0</v>
      </c>
      <c r="AJ659" s="9">
        <v>0</v>
      </c>
      <c r="AK659" s="30">
        <v>1</v>
      </c>
      <c r="AL659" s="21">
        <v>1999</v>
      </c>
      <c r="AM659" s="23">
        <f t="shared" si="195"/>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12</v>
      </c>
      <c r="DB659" s="34"/>
    </row>
    <row r="660" spans="1:106" x14ac:dyDescent="0.25">
      <c r="A660">
        <v>659</v>
      </c>
      <c r="B660">
        <v>42</v>
      </c>
      <c r="C660" s="25" t="s">
        <v>465</v>
      </c>
      <c r="D660" s="12">
        <v>14.444313818677999</v>
      </c>
      <c r="E660" s="14">
        <v>1.203692818223167</v>
      </c>
      <c r="F660" s="7">
        <v>12</v>
      </c>
      <c r="G660" s="7">
        <f t="shared" si="186"/>
        <v>13.240621000454832</v>
      </c>
      <c r="H660" s="16">
        <f t="shared" si="187"/>
        <v>15.648006636901167</v>
      </c>
      <c r="I660" s="11">
        <f t="shared" si="188"/>
        <v>0.24150198296582928</v>
      </c>
      <c r="J660" s="33">
        <f t="shared" si="189"/>
        <v>2.0125165247152441E-2</v>
      </c>
      <c r="K660" s="33">
        <f t="shared" si="190"/>
        <v>49.689032995219378</v>
      </c>
      <c r="L660" s="33">
        <f t="shared" si="191"/>
        <v>0.22137681771867684</v>
      </c>
      <c r="M660" s="33">
        <f t="shared" si="192"/>
        <v>0.26162714821298172</v>
      </c>
      <c r="N660" s="8">
        <v>1</v>
      </c>
      <c r="O660" s="9">
        <v>0</v>
      </c>
      <c r="P660" s="8">
        <v>0</v>
      </c>
      <c r="Q660" s="9">
        <v>0</v>
      </c>
      <c r="R660" s="9">
        <v>1</v>
      </c>
      <c r="S660" s="9">
        <v>0</v>
      </c>
      <c r="T660" s="9">
        <v>0</v>
      </c>
      <c r="U660" s="8">
        <v>2351</v>
      </c>
      <c r="V660" s="9">
        <v>25</v>
      </c>
      <c r="W660" s="9">
        <f t="shared" si="193"/>
        <v>2325</v>
      </c>
      <c r="X660" s="9">
        <f t="shared" si="194"/>
        <v>24</v>
      </c>
      <c r="Y660" s="7">
        <v>15</v>
      </c>
      <c r="Z660" s="7">
        <f t="shared" si="197"/>
        <v>29</v>
      </c>
      <c r="AA660" s="9">
        <v>0</v>
      </c>
      <c r="AB660" s="9">
        <v>1</v>
      </c>
      <c r="AC660" s="9">
        <v>1</v>
      </c>
      <c r="AD660" s="9">
        <v>0</v>
      </c>
      <c r="AE660" s="9">
        <v>0</v>
      </c>
      <c r="AF660" s="9">
        <v>0</v>
      </c>
      <c r="AG660" s="8">
        <v>0</v>
      </c>
      <c r="AH660" s="9">
        <v>1</v>
      </c>
      <c r="AI660" s="30">
        <v>0</v>
      </c>
      <c r="AJ660" s="9">
        <v>0</v>
      </c>
      <c r="AK660" s="30">
        <v>1</v>
      </c>
      <c r="AL660" s="21">
        <v>1999</v>
      </c>
      <c r="AM660" s="23">
        <f t="shared" si="195"/>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12</v>
      </c>
      <c r="DB660" s="34"/>
    </row>
    <row r="661" spans="1:106" x14ac:dyDescent="0.25">
      <c r="A661">
        <v>660</v>
      </c>
      <c r="B661">
        <v>42</v>
      </c>
      <c r="C661" s="25" t="s">
        <v>465</v>
      </c>
      <c r="D661" s="12">
        <v>10.770993744581229</v>
      </c>
      <c r="E661" s="14">
        <v>1.538713392083032</v>
      </c>
      <c r="F661" s="7">
        <v>7.0000000000000009</v>
      </c>
      <c r="G661" s="7">
        <f t="shared" si="186"/>
        <v>9.2322803524981971</v>
      </c>
      <c r="H661" s="16">
        <f t="shared" si="187"/>
        <v>12.309707136664262</v>
      </c>
      <c r="I661" s="11">
        <f t="shared" si="188"/>
        <v>0.20198844988866643</v>
      </c>
      <c r="J661" s="33">
        <f t="shared" si="189"/>
        <v>2.8855492841238062E-2</v>
      </c>
      <c r="K661" s="33">
        <f t="shared" si="190"/>
        <v>34.655446902326915</v>
      </c>
      <c r="L661" s="33">
        <f t="shared" si="191"/>
        <v>0.17313295704742837</v>
      </c>
      <c r="M661" s="33">
        <f t="shared" si="192"/>
        <v>0.23084394272990449</v>
      </c>
      <c r="N661" s="8">
        <v>1</v>
      </c>
      <c r="O661" s="9">
        <v>0</v>
      </c>
      <c r="P661" s="8">
        <v>0</v>
      </c>
      <c r="Q661" s="9">
        <v>0</v>
      </c>
      <c r="R661" s="9">
        <v>1</v>
      </c>
      <c r="S661" s="9">
        <v>0</v>
      </c>
      <c r="T661" s="9">
        <v>0</v>
      </c>
      <c r="U661" s="8">
        <v>1178</v>
      </c>
      <c r="V661" s="9">
        <v>25</v>
      </c>
      <c r="W661" s="9">
        <f t="shared" si="193"/>
        <v>1152</v>
      </c>
      <c r="X661" s="9">
        <f t="shared" si="194"/>
        <v>24</v>
      </c>
      <c r="Y661" s="7">
        <v>15</v>
      </c>
      <c r="Z661" s="7">
        <f t="shared" si="197"/>
        <v>20.5</v>
      </c>
      <c r="AA661" s="9">
        <v>0</v>
      </c>
      <c r="AB661" s="9">
        <v>1</v>
      </c>
      <c r="AC661" s="9">
        <v>1</v>
      </c>
      <c r="AD661" s="9">
        <v>0</v>
      </c>
      <c r="AE661" s="9">
        <v>0</v>
      </c>
      <c r="AF661" s="9">
        <v>0</v>
      </c>
      <c r="AG661" s="8">
        <v>0</v>
      </c>
      <c r="AH661" s="9">
        <v>1</v>
      </c>
      <c r="AI661" s="30">
        <v>0</v>
      </c>
      <c r="AJ661" s="9">
        <v>0</v>
      </c>
      <c r="AK661" s="30">
        <v>1</v>
      </c>
      <c r="AL661" s="21">
        <v>1999</v>
      </c>
      <c r="AM661" s="23">
        <f t="shared" si="195"/>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12</v>
      </c>
      <c r="DB661" s="34"/>
    </row>
    <row r="662" spans="1:106" x14ac:dyDescent="0.25">
      <c r="A662">
        <v>661</v>
      </c>
      <c r="B662">
        <v>42</v>
      </c>
      <c r="C662" s="25" t="s">
        <v>465</v>
      </c>
      <c r="D662" s="12">
        <v>14.444313818677999</v>
      </c>
      <c r="E662" s="14">
        <v>1.203692818223167</v>
      </c>
      <c r="F662" s="7">
        <v>12</v>
      </c>
      <c r="G662" s="7">
        <f t="shared" si="186"/>
        <v>13.240621000454832</v>
      </c>
      <c r="H662" s="16">
        <f t="shared" si="187"/>
        <v>15.648006636901167</v>
      </c>
      <c r="I662" s="11">
        <f t="shared" si="188"/>
        <v>0.38293538776356167</v>
      </c>
      <c r="J662" s="33">
        <f t="shared" si="189"/>
        <v>3.1911282313630135E-2</v>
      </c>
      <c r="K662" s="33">
        <f t="shared" si="190"/>
        <v>31.336879231984799</v>
      </c>
      <c r="L662" s="33">
        <f t="shared" si="191"/>
        <v>0.35102410544993157</v>
      </c>
      <c r="M662" s="33">
        <f t="shared" si="192"/>
        <v>0.41484667007719178</v>
      </c>
      <c r="N662" s="8">
        <v>1</v>
      </c>
      <c r="O662" s="9">
        <v>0</v>
      </c>
      <c r="P662" s="8">
        <v>0</v>
      </c>
      <c r="Q662" s="9">
        <v>0</v>
      </c>
      <c r="R662" s="9">
        <v>1</v>
      </c>
      <c r="S662" s="9">
        <v>0</v>
      </c>
      <c r="T662" s="9">
        <v>0</v>
      </c>
      <c r="U662" s="8">
        <v>864</v>
      </c>
      <c r="V662" s="9">
        <v>25</v>
      </c>
      <c r="W662" s="9">
        <f t="shared" si="193"/>
        <v>838</v>
      </c>
      <c r="X662" s="9">
        <f t="shared" si="194"/>
        <v>24</v>
      </c>
      <c r="Y662" s="7">
        <v>15</v>
      </c>
      <c r="Z662" s="7">
        <f t="shared" si="197"/>
        <v>20.5</v>
      </c>
      <c r="AA662" s="9">
        <v>0</v>
      </c>
      <c r="AB662" s="9">
        <v>1</v>
      </c>
      <c r="AC662" s="9">
        <v>1</v>
      </c>
      <c r="AD662" s="9">
        <v>0</v>
      </c>
      <c r="AE662" s="9">
        <v>0</v>
      </c>
      <c r="AF662" s="9">
        <v>0</v>
      </c>
      <c r="AG662" s="8">
        <v>0</v>
      </c>
      <c r="AH662" s="9">
        <v>1</v>
      </c>
      <c r="AI662" s="30">
        <v>0</v>
      </c>
      <c r="AJ662" s="9">
        <v>0</v>
      </c>
      <c r="AK662" s="30">
        <v>1</v>
      </c>
      <c r="AL662" s="21">
        <v>1999</v>
      </c>
      <c r="AM662" s="23">
        <f t="shared" si="195"/>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12</v>
      </c>
      <c r="DB662" s="34"/>
    </row>
    <row r="663" spans="1:106" x14ac:dyDescent="0.25">
      <c r="A663">
        <v>662</v>
      </c>
      <c r="B663">
        <v>42</v>
      </c>
      <c r="C663" s="25" t="s">
        <v>465</v>
      </c>
      <c r="D663" s="12">
        <v>10.33214835777491</v>
      </c>
      <c r="E663" s="14">
        <v>1.5306886455962829</v>
      </c>
      <c r="F663" s="7">
        <v>6.75</v>
      </c>
      <c r="G663" s="7">
        <f t="shared" si="186"/>
        <v>8.8014597121786267</v>
      </c>
      <c r="H663" s="16">
        <f t="shared" si="187"/>
        <v>11.862837003371194</v>
      </c>
      <c r="I663" s="11">
        <f t="shared" si="188"/>
        <v>0.20021984068192275</v>
      </c>
      <c r="J663" s="33">
        <f t="shared" si="189"/>
        <v>2.9662198619544111E-2</v>
      </c>
      <c r="K663" s="33">
        <f t="shared" si="190"/>
        <v>33.712942618525602</v>
      </c>
      <c r="L663" s="33">
        <f t="shared" si="191"/>
        <v>0.17055764206237864</v>
      </c>
      <c r="M663" s="33">
        <f t="shared" si="192"/>
        <v>0.22988203930146686</v>
      </c>
      <c r="N663" s="8">
        <v>1</v>
      </c>
      <c r="O663" s="9">
        <v>0</v>
      </c>
      <c r="P663" s="8">
        <v>0</v>
      </c>
      <c r="Q663" s="9">
        <v>0</v>
      </c>
      <c r="R663" s="9">
        <v>1</v>
      </c>
      <c r="S663" s="9">
        <v>0</v>
      </c>
      <c r="T663" s="9">
        <v>0</v>
      </c>
      <c r="U663" s="8">
        <v>1117</v>
      </c>
      <c r="V663" s="9">
        <v>25</v>
      </c>
      <c r="W663" s="9">
        <f t="shared" si="193"/>
        <v>1091</v>
      </c>
      <c r="X663" s="9">
        <f t="shared" si="194"/>
        <v>24</v>
      </c>
      <c r="Y663" s="7">
        <v>15</v>
      </c>
      <c r="Z663" s="7">
        <f t="shared" si="197"/>
        <v>20.5</v>
      </c>
      <c r="AA663" s="9">
        <v>0</v>
      </c>
      <c r="AB663" s="9">
        <v>1</v>
      </c>
      <c r="AC663" s="9">
        <v>1</v>
      </c>
      <c r="AD663" s="9">
        <v>0</v>
      </c>
      <c r="AE663" s="9">
        <v>0</v>
      </c>
      <c r="AF663" s="9">
        <v>0</v>
      </c>
      <c r="AG663" s="8">
        <v>0</v>
      </c>
      <c r="AH663" s="9">
        <v>1</v>
      </c>
      <c r="AI663" s="30">
        <v>0</v>
      </c>
      <c r="AJ663" s="9">
        <v>0</v>
      </c>
      <c r="AK663" s="30">
        <v>1</v>
      </c>
      <c r="AL663" s="21">
        <v>1999</v>
      </c>
      <c r="AM663" s="23">
        <f t="shared" si="195"/>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12</v>
      </c>
      <c r="DB663" s="34"/>
    </row>
    <row r="664" spans="1:106" x14ac:dyDescent="0.25">
      <c r="A664">
        <v>663</v>
      </c>
      <c r="B664">
        <v>42</v>
      </c>
      <c r="C664" s="25" t="s">
        <v>465</v>
      </c>
      <c r="D664" s="12">
        <v>13.49825301878646</v>
      </c>
      <c r="E664" s="14">
        <v>1.19102232518704</v>
      </c>
      <c r="F664" s="7">
        <v>11.33333333333333</v>
      </c>
      <c r="G664" s="7">
        <f t="shared" si="186"/>
        <v>12.30723069359942</v>
      </c>
      <c r="H664" s="16">
        <f t="shared" si="187"/>
        <v>14.689275343973501</v>
      </c>
      <c r="I664" s="11">
        <f t="shared" si="188"/>
        <v>0.3619479884295474</v>
      </c>
      <c r="J664" s="33">
        <f t="shared" si="189"/>
        <v>3.1936587214371835E-2</v>
      </c>
      <c r="K664" s="33">
        <f t="shared" si="190"/>
        <v>31.312049508846343</v>
      </c>
      <c r="L664" s="33">
        <f t="shared" si="191"/>
        <v>0.33001140121517558</v>
      </c>
      <c r="M664" s="33">
        <f t="shared" si="192"/>
        <v>0.39388457564391921</v>
      </c>
      <c r="N664" s="8">
        <v>1</v>
      </c>
      <c r="O664" s="9">
        <v>0</v>
      </c>
      <c r="P664" s="8">
        <v>0</v>
      </c>
      <c r="Q664" s="9">
        <v>0</v>
      </c>
      <c r="R664" s="9">
        <v>1</v>
      </c>
      <c r="S664" s="9">
        <v>0</v>
      </c>
      <c r="T664" s="9">
        <v>0</v>
      </c>
      <c r="U664" s="8">
        <v>878</v>
      </c>
      <c r="V664" s="9">
        <v>25</v>
      </c>
      <c r="W664" s="9">
        <f t="shared" si="193"/>
        <v>852</v>
      </c>
      <c r="X664" s="9">
        <f t="shared" si="194"/>
        <v>24</v>
      </c>
      <c r="Y664" s="7">
        <v>15</v>
      </c>
      <c r="Z664" s="7">
        <f t="shared" si="197"/>
        <v>20.5</v>
      </c>
      <c r="AA664" s="9">
        <v>0</v>
      </c>
      <c r="AB664" s="9">
        <v>1</v>
      </c>
      <c r="AC664" s="9">
        <v>1</v>
      </c>
      <c r="AD664" s="9">
        <v>0</v>
      </c>
      <c r="AE664" s="9">
        <v>0</v>
      </c>
      <c r="AF664" s="9">
        <v>0</v>
      </c>
      <c r="AG664" s="8">
        <v>0</v>
      </c>
      <c r="AH664" s="9">
        <v>1</v>
      </c>
      <c r="AI664" s="30">
        <v>0</v>
      </c>
      <c r="AJ664" s="9">
        <v>0</v>
      </c>
      <c r="AK664" s="30">
        <v>1</v>
      </c>
      <c r="AL664" s="21">
        <v>1999</v>
      </c>
      <c r="AM664" s="23">
        <f t="shared" si="195"/>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12</v>
      </c>
      <c r="DB664" s="34"/>
    </row>
    <row r="665" spans="1:106" x14ac:dyDescent="0.25">
      <c r="A665">
        <v>664</v>
      </c>
      <c r="B665">
        <v>42</v>
      </c>
      <c r="C665" s="25" t="s">
        <v>465</v>
      </c>
      <c r="D665" s="12">
        <v>9.0416383440468255</v>
      </c>
      <c r="E665" s="14">
        <v>1.130204793005853</v>
      </c>
      <c r="F665" s="7">
        <v>8</v>
      </c>
      <c r="G665" s="7">
        <f t="shared" si="186"/>
        <v>7.9114335510409726</v>
      </c>
      <c r="H665" s="16">
        <f t="shared" si="187"/>
        <v>10.171843137052679</v>
      </c>
      <c r="I665" s="11">
        <f t="shared" si="188"/>
        <v>0.2290393337255473</v>
      </c>
      <c r="J665" s="33">
        <f t="shared" si="189"/>
        <v>2.8629916715693413E-2</v>
      </c>
      <c r="K665" s="33">
        <f t="shared" si="190"/>
        <v>34.928498393145958</v>
      </c>
      <c r="L665" s="33">
        <f t="shared" si="191"/>
        <v>0.20040941700985387</v>
      </c>
      <c r="M665" s="33">
        <f t="shared" si="192"/>
        <v>0.25766925044124073</v>
      </c>
      <c r="N665" s="8">
        <v>1</v>
      </c>
      <c r="O665" s="9">
        <v>0</v>
      </c>
      <c r="P665" s="8">
        <v>0</v>
      </c>
      <c r="Q665" s="9">
        <v>0</v>
      </c>
      <c r="R665" s="9">
        <v>1</v>
      </c>
      <c r="S665" s="9">
        <v>0</v>
      </c>
      <c r="T665" s="9">
        <v>0</v>
      </c>
      <c r="U665" s="8">
        <v>1182</v>
      </c>
      <c r="V665" s="9">
        <v>25</v>
      </c>
      <c r="W665" s="9">
        <f t="shared" si="193"/>
        <v>1156</v>
      </c>
      <c r="X665" s="9">
        <f t="shared" si="194"/>
        <v>24</v>
      </c>
      <c r="Y665" s="7">
        <v>15</v>
      </c>
      <c r="Z665" s="7">
        <f t="shared" si="197"/>
        <v>16</v>
      </c>
      <c r="AA665" s="9">
        <v>0</v>
      </c>
      <c r="AB665" s="9">
        <v>1</v>
      </c>
      <c r="AC665" s="9">
        <v>1</v>
      </c>
      <c r="AD665" s="9">
        <v>0</v>
      </c>
      <c r="AE665" s="9">
        <v>0</v>
      </c>
      <c r="AF665" s="9">
        <v>0</v>
      </c>
      <c r="AG665" s="8">
        <v>0</v>
      </c>
      <c r="AH665" s="9">
        <v>1</v>
      </c>
      <c r="AI665" s="30">
        <v>0</v>
      </c>
      <c r="AJ665" s="9">
        <v>0</v>
      </c>
      <c r="AK665" s="30">
        <v>1</v>
      </c>
      <c r="AL665" s="21">
        <v>1999</v>
      </c>
      <c r="AM665" s="23">
        <f t="shared" si="195"/>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12</v>
      </c>
      <c r="DB665" s="34"/>
    </row>
    <row r="666" spans="1:106" x14ac:dyDescent="0.25">
      <c r="A666">
        <v>665</v>
      </c>
      <c r="B666">
        <v>42</v>
      </c>
      <c r="C666" s="25" t="s">
        <v>465</v>
      </c>
      <c r="D666" s="12">
        <v>14.444313818677999</v>
      </c>
      <c r="E666" s="14">
        <v>1.203692818223167</v>
      </c>
      <c r="F666" s="7">
        <v>12</v>
      </c>
      <c r="G666" s="7">
        <f t="shared" si="186"/>
        <v>13.240621000454832</v>
      </c>
      <c r="H666" s="16">
        <f t="shared" si="187"/>
        <v>15.648006636901167</v>
      </c>
      <c r="I666" s="11">
        <f t="shared" si="188"/>
        <v>0.37121293493384755</v>
      </c>
      <c r="J666" s="33">
        <f t="shared" si="189"/>
        <v>3.09344112444873E-2</v>
      </c>
      <c r="K666" s="33">
        <f t="shared" si="190"/>
        <v>32.326459750489228</v>
      </c>
      <c r="L666" s="33">
        <f t="shared" si="191"/>
        <v>0.34027852368936023</v>
      </c>
      <c r="M666" s="33">
        <f t="shared" si="192"/>
        <v>0.40214734617833486</v>
      </c>
      <c r="N666" s="8">
        <v>1</v>
      </c>
      <c r="O666" s="9">
        <v>0</v>
      </c>
      <c r="P666" s="8">
        <v>0</v>
      </c>
      <c r="Q666" s="9">
        <v>0</v>
      </c>
      <c r="R666" s="9">
        <v>1</v>
      </c>
      <c r="S666" s="9">
        <v>0</v>
      </c>
      <c r="T666" s="9">
        <v>0</v>
      </c>
      <c r="U666" s="8">
        <v>927</v>
      </c>
      <c r="V666" s="9">
        <v>25</v>
      </c>
      <c r="W666" s="9">
        <f t="shared" si="193"/>
        <v>901</v>
      </c>
      <c r="X666" s="9">
        <f t="shared" si="194"/>
        <v>24</v>
      </c>
      <c r="Y666" s="7">
        <v>15</v>
      </c>
      <c r="Z666" s="7">
        <f t="shared" si="197"/>
        <v>16</v>
      </c>
      <c r="AA666" s="9">
        <v>0</v>
      </c>
      <c r="AB666" s="9">
        <v>1</v>
      </c>
      <c r="AC666" s="9">
        <v>1</v>
      </c>
      <c r="AD666" s="9">
        <v>0</v>
      </c>
      <c r="AE666" s="9">
        <v>0</v>
      </c>
      <c r="AF666" s="9">
        <v>0</v>
      </c>
      <c r="AG666" s="8">
        <v>0</v>
      </c>
      <c r="AH666" s="9">
        <v>1</v>
      </c>
      <c r="AI666" s="30">
        <v>0</v>
      </c>
      <c r="AJ666" s="9">
        <v>0</v>
      </c>
      <c r="AK666" s="30">
        <v>1</v>
      </c>
      <c r="AL666" s="21">
        <v>1999</v>
      </c>
      <c r="AM666" s="23">
        <f t="shared" si="195"/>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12</v>
      </c>
      <c r="DB666" s="34"/>
    </row>
    <row r="667" spans="1:106" x14ac:dyDescent="0.25">
      <c r="A667">
        <v>666</v>
      </c>
      <c r="B667">
        <v>42</v>
      </c>
      <c r="C667" s="25" t="s">
        <v>465</v>
      </c>
      <c r="D667" s="12">
        <v>9.4675138895913786</v>
      </c>
      <c r="E667" s="14">
        <v>1.1361016667509649</v>
      </c>
      <c r="F667" s="7">
        <v>8.3333333333333339</v>
      </c>
      <c r="G667" s="7">
        <f t="shared" si="186"/>
        <v>8.3314122228404131</v>
      </c>
      <c r="H667" s="16">
        <f t="shared" si="187"/>
        <v>10.603615556342344</v>
      </c>
      <c r="I667" s="11">
        <f t="shared" si="188"/>
        <v>0.24316581196735815</v>
      </c>
      <c r="J667" s="33">
        <f t="shared" si="189"/>
        <v>2.9179897436082972E-2</v>
      </c>
      <c r="K667" s="33">
        <f t="shared" si="190"/>
        <v>34.270168433266335</v>
      </c>
      <c r="L667" s="33">
        <f t="shared" si="191"/>
        <v>0.21398591453127519</v>
      </c>
      <c r="M667" s="33">
        <f t="shared" si="192"/>
        <v>0.27234570940344111</v>
      </c>
      <c r="N667" s="8">
        <v>1</v>
      </c>
      <c r="O667" s="9">
        <v>0</v>
      </c>
      <c r="P667" s="8">
        <v>0</v>
      </c>
      <c r="Q667" s="9">
        <v>0</v>
      </c>
      <c r="R667" s="9">
        <v>1</v>
      </c>
      <c r="S667" s="9">
        <v>0</v>
      </c>
      <c r="T667" s="9">
        <v>0</v>
      </c>
      <c r="U667" s="8">
        <v>1131</v>
      </c>
      <c r="V667" s="9">
        <v>25</v>
      </c>
      <c r="W667" s="9">
        <f t="shared" si="193"/>
        <v>1105</v>
      </c>
      <c r="X667" s="9">
        <f t="shared" si="194"/>
        <v>24</v>
      </c>
      <c r="Y667" s="7">
        <v>15</v>
      </c>
      <c r="Z667" s="7">
        <f t="shared" si="197"/>
        <v>16</v>
      </c>
      <c r="AA667" s="9">
        <v>0</v>
      </c>
      <c r="AB667" s="9">
        <v>1</v>
      </c>
      <c r="AC667" s="9">
        <v>1</v>
      </c>
      <c r="AD667" s="9">
        <v>0</v>
      </c>
      <c r="AE667" s="9">
        <v>0</v>
      </c>
      <c r="AF667" s="9">
        <v>0</v>
      </c>
      <c r="AG667" s="8">
        <v>0</v>
      </c>
      <c r="AH667" s="9">
        <v>1</v>
      </c>
      <c r="AI667" s="30">
        <v>0</v>
      </c>
      <c r="AJ667" s="9">
        <v>0</v>
      </c>
      <c r="AK667" s="30">
        <v>1</v>
      </c>
      <c r="AL667" s="21">
        <v>1999</v>
      </c>
      <c r="AM667" s="23">
        <f t="shared" si="195"/>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12</v>
      </c>
      <c r="DB667" s="34"/>
    </row>
    <row r="668" spans="1:106" x14ac:dyDescent="0.25">
      <c r="A668">
        <v>667</v>
      </c>
      <c r="B668">
        <v>42</v>
      </c>
      <c r="C668" s="25" t="s">
        <v>465</v>
      </c>
      <c r="D668" s="12">
        <v>17.39871852062112</v>
      </c>
      <c r="E668" s="14">
        <v>1.242765608615795</v>
      </c>
      <c r="F668" s="7">
        <v>14</v>
      </c>
      <c r="G668" s="7">
        <f t="shared" si="186"/>
        <v>16.155952912005326</v>
      </c>
      <c r="H668" s="16">
        <f t="shared" si="187"/>
        <v>18.641484129236915</v>
      </c>
      <c r="I668" s="11">
        <f t="shared" si="188"/>
        <v>0.40016336533252062</v>
      </c>
      <c r="J668" s="33">
        <f t="shared" si="189"/>
        <v>2.8583097523751475E-2</v>
      </c>
      <c r="K668" s="33">
        <f t="shared" si="190"/>
        <v>34.985711369071801</v>
      </c>
      <c r="L668" s="33">
        <f t="shared" si="191"/>
        <v>0.37158026780876913</v>
      </c>
      <c r="M668" s="33">
        <f t="shared" si="192"/>
        <v>0.4287464628562721</v>
      </c>
      <c r="N668" s="8">
        <v>1</v>
      </c>
      <c r="O668" s="9">
        <v>0</v>
      </c>
      <c r="P668" s="8">
        <v>0</v>
      </c>
      <c r="Q668" s="9">
        <v>0</v>
      </c>
      <c r="R668" s="9">
        <v>1</v>
      </c>
      <c r="S668" s="9">
        <v>0</v>
      </c>
      <c r="T668" s="9">
        <v>0</v>
      </c>
      <c r="U668" s="8">
        <v>1054</v>
      </c>
      <c r="V668" s="9">
        <v>25</v>
      </c>
      <c r="W668" s="9">
        <f t="shared" si="193"/>
        <v>1028</v>
      </c>
      <c r="X668" s="9">
        <f t="shared" si="194"/>
        <v>24</v>
      </c>
      <c r="Y668" s="7">
        <v>15</v>
      </c>
      <c r="Z668" s="7">
        <f t="shared" si="197"/>
        <v>16</v>
      </c>
      <c r="AA668" s="9">
        <v>0</v>
      </c>
      <c r="AB668" s="9">
        <v>1</v>
      </c>
      <c r="AC668" s="9">
        <v>1</v>
      </c>
      <c r="AD668" s="9">
        <v>0</v>
      </c>
      <c r="AE668" s="9">
        <v>0</v>
      </c>
      <c r="AF668" s="9">
        <v>0</v>
      </c>
      <c r="AG668" s="8">
        <v>0</v>
      </c>
      <c r="AH668" s="9">
        <v>1</v>
      </c>
      <c r="AI668" s="30">
        <v>0</v>
      </c>
      <c r="AJ668" s="9">
        <v>0</v>
      </c>
      <c r="AK668" s="30">
        <v>1</v>
      </c>
      <c r="AL668" s="21">
        <v>1999</v>
      </c>
      <c r="AM668" s="23">
        <f t="shared" si="195"/>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12</v>
      </c>
      <c r="DB668" s="34"/>
    </row>
    <row r="669" spans="1:106" x14ac:dyDescent="0.25">
      <c r="A669">
        <v>668</v>
      </c>
      <c r="B669">
        <v>42</v>
      </c>
      <c r="C669" s="25" t="s">
        <v>465</v>
      </c>
      <c r="D669" s="12">
        <v>8.6200003309825952</v>
      </c>
      <c r="E669" s="14">
        <v>1.1243478692585991</v>
      </c>
      <c r="F669" s="7">
        <v>7.666666666666667</v>
      </c>
      <c r="G669" s="7">
        <f t="shared" si="186"/>
        <v>7.4956524617239957</v>
      </c>
      <c r="H669" s="16">
        <f t="shared" si="187"/>
        <v>9.7443482002411947</v>
      </c>
      <c r="I669" s="11">
        <f t="shared" si="188"/>
        <v>0.21273510241648885</v>
      </c>
      <c r="J669" s="33">
        <f t="shared" si="189"/>
        <v>2.7748056836933325E-2</v>
      </c>
      <c r="K669" s="33">
        <f t="shared" si="190"/>
        <v>36.038559596323736</v>
      </c>
      <c r="L669" s="33">
        <f t="shared" si="191"/>
        <v>0.18498704557955553</v>
      </c>
      <c r="M669" s="33">
        <f t="shared" si="192"/>
        <v>0.24048315925342217</v>
      </c>
      <c r="N669" s="8">
        <v>1</v>
      </c>
      <c r="O669" s="9">
        <v>0</v>
      </c>
      <c r="P669" s="8">
        <v>0</v>
      </c>
      <c r="Q669" s="9">
        <v>0</v>
      </c>
      <c r="R669" s="9">
        <v>1</v>
      </c>
      <c r="S669" s="9">
        <v>0</v>
      </c>
      <c r="T669" s="9">
        <v>0</v>
      </c>
      <c r="U669" s="8">
        <v>1266</v>
      </c>
      <c r="V669" s="9">
        <v>25</v>
      </c>
      <c r="W669" s="9">
        <f t="shared" si="193"/>
        <v>1240</v>
      </c>
      <c r="X669" s="9">
        <f t="shared" si="194"/>
        <v>24</v>
      </c>
      <c r="Y669" s="7">
        <v>15</v>
      </c>
      <c r="Z669" s="7">
        <f t="shared" si="197"/>
        <v>12</v>
      </c>
      <c r="AA669" s="9">
        <v>0</v>
      </c>
      <c r="AB669" s="9">
        <v>1</v>
      </c>
      <c r="AC669" s="9">
        <v>1</v>
      </c>
      <c r="AD669" s="9">
        <v>0</v>
      </c>
      <c r="AE669" s="9">
        <v>0</v>
      </c>
      <c r="AF669" s="9">
        <v>0</v>
      </c>
      <c r="AG669" s="8">
        <v>0</v>
      </c>
      <c r="AH669" s="9">
        <v>1</v>
      </c>
      <c r="AI669" s="30">
        <v>0</v>
      </c>
      <c r="AJ669" s="9">
        <v>0</v>
      </c>
      <c r="AK669" s="30">
        <v>1</v>
      </c>
      <c r="AL669" s="21">
        <v>1999</v>
      </c>
      <c r="AM669" s="23">
        <f t="shared" si="195"/>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12</v>
      </c>
      <c r="DB669" s="34"/>
    </row>
    <row r="670" spans="1:106" x14ac:dyDescent="0.25">
      <c r="A670">
        <v>669</v>
      </c>
      <c r="B670">
        <v>42</v>
      </c>
      <c r="C670" s="25" t="s">
        <v>465</v>
      </c>
      <c r="D670" s="12">
        <v>16.89392617042845</v>
      </c>
      <c r="E670" s="14">
        <v>1.236140939299643</v>
      </c>
      <c r="F670" s="7">
        <v>13.66666666666667</v>
      </c>
      <c r="G670" s="7">
        <f t="shared" si="186"/>
        <v>15.657785231128807</v>
      </c>
      <c r="H670" s="16">
        <f t="shared" si="187"/>
        <v>18.130067109728092</v>
      </c>
      <c r="I670" s="11">
        <f t="shared" si="188"/>
        <v>0.39035228877848893</v>
      </c>
      <c r="J670" s="33">
        <f t="shared" si="189"/>
        <v>2.8562362593547969E-2</v>
      </c>
      <c r="K670" s="33">
        <f t="shared" si="190"/>
        <v>35.01110934800235</v>
      </c>
      <c r="L670" s="33">
        <f t="shared" si="191"/>
        <v>0.36178992618494099</v>
      </c>
      <c r="M670" s="33">
        <f t="shared" si="192"/>
        <v>0.41891465137203687</v>
      </c>
      <c r="N670" s="8">
        <v>1</v>
      </c>
      <c r="O670" s="9">
        <v>0</v>
      </c>
      <c r="P670" s="8">
        <v>0</v>
      </c>
      <c r="Q670" s="9">
        <v>0</v>
      </c>
      <c r="R670" s="9">
        <v>1</v>
      </c>
      <c r="S670" s="9">
        <v>0</v>
      </c>
      <c r="T670" s="9">
        <v>0</v>
      </c>
      <c r="U670" s="8">
        <v>1065</v>
      </c>
      <c r="V670" s="9">
        <v>25</v>
      </c>
      <c r="W670" s="9">
        <f t="shared" si="193"/>
        <v>1039</v>
      </c>
      <c r="X670" s="9">
        <f t="shared" si="194"/>
        <v>24</v>
      </c>
      <c r="Y670" s="7">
        <v>15</v>
      </c>
      <c r="Z670" s="7">
        <f t="shared" si="197"/>
        <v>12</v>
      </c>
      <c r="AA670" s="9">
        <v>0</v>
      </c>
      <c r="AB670" s="9">
        <v>1</v>
      </c>
      <c r="AC670" s="9">
        <v>1</v>
      </c>
      <c r="AD670" s="9">
        <v>0</v>
      </c>
      <c r="AE670" s="9">
        <v>0</v>
      </c>
      <c r="AF670" s="9">
        <v>0</v>
      </c>
      <c r="AG670" s="8">
        <v>0</v>
      </c>
      <c r="AH670" s="9">
        <v>1</v>
      </c>
      <c r="AI670" s="30">
        <v>0</v>
      </c>
      <c r="AJ670" s="9">
        <v>0</v>
      </c>
      <c r="AK670" s="30">
        <v>1</v>
      </c>
      <c r="AL670" s="21">
        <v>1999</v>
      </c>
      <c r="AM670" s="23">
        <f t="shared" si="195"/>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12</v>
      </c>
      <c r="DB670" s="34"/>
    </row>
    <row r="671" spans="1:106" x14ac:dyDescent="0.25">
      <c r="A671">
        <v>670</v>
      </c>
      <c r="B671">
        <v>42</v>
      </c>
      <c r="C671" s="25" t="s">
        <v>465</v>
      </c>
      <c r="D671" s="12">
        <v>7.7892686652247729</v>
      </c>
      <c r="E671" s="14">
        <v>1.1127526664606819</v>
      </c>
      <c r="F671" s="7">
        <v>7</v>
      </c>
      <c r="G671" s="7">
        <f t="shared" si="186"/>
        <v>6.6765159987640912</v>
      </c>
      <c r="H671" s="16">
        <f t="shared" si="187"/>
        <v>8.9020213316854555</v>
      </c>
      <c r="I671" s="11">
        <f t="shared" si="188"/>
        <v>0.2069593385961789</v>
      </c>
      <c r="J671" s="33">
        <f t="shared" si="189"/>
        <v>2.9565619799454129E-2</v>
      </c>
      <c r="K671" s="33">
        <f t="shared" si="190"/>
        <v>33.823069050575526</v>
      </c>
      <c r="L671" s="33">
        <f t="shared" si="191"/>
        <v>0.17739371879672478</v>
      </c>
      <c r="M671" s="33">
        <f t="shared" si="192"/>
        <v>0.23652495839563303</v>
      </c>
      <c r="N671" s="8">
        <v>1</v>
      </c>
      <c r="O671" s="9">
        <v>0</v>
      </c>
      <c r="P671" s="8">
        <v>0</v>
      </c>
      <c r="Q671" s="9">
        <v>0</v>
      </c>
      <c r="R671" s="9">
        <v>1</v>
      </c>
      <c r="S671" s="9">
        <v>0</v>
      </c>
      <c r="T671" s="9">
        <v>0</v>
      </c>
      <c r="U671" s="8">
        <v>1121</v>
      </c>
      <c r="V671" s="9">
        <v>25</v>
      </c>
      <c r="W671" s="9">
        <f t="shared" si="193"/>
        <v>1095</v>
      </c>
      <c r="X671" s="9">
        <f t="shared" si="194"/>
        <v>24</v>
      </c>
      <c r="Y671" s="7">
        <v>15</v>
      </c>
      <c r="Z671" s="7">
        <f t="shared" si="197"/>
        <v>12</v>
      </c>
      <c r="AA671" s="9">
        <v>0</v>
      </c>
      <c r="AB671" s="9">
        <v>1</v>
      </c>
      <c r="AC671" s="9">
        <v>1</v>
      </c>
      <c r="AD671" s="9">
        <v>0</v>
      </c>
      <c r="AE671" s="9">
        <v>0</v>
      </c>
      <c r="AF671" s="9">
        <v>0</v>
      </c>
      <c r="AG671" s="8">
        <v>0</v>
      </c>
      <c r="AH671" s="9">
        <v>1</v>
      </c>
      <c r="AI671" s="30">
        <v>0</v>
      </c>
      <c r="AJ671" s="9">
        <v>0</v>
      </c>
      <c r="AK671" s="30">
        <v>1</v>
      </c>
      <c r="AL671" s="21">
        <v>1999</v>
      </c>
      <c r="AM671" s="23">
        <f t="shared" si="195"/>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12</v>
      </c>
      <c r="DB671" s="34"/>
    </row>
    <row r="672" spans="1:106" x14ac:dyDescent="0.25">
      <c r="A672">
        <v>671</v>
      </c>
      <c r="B672">
        <v>42</v>
      </c>
      <c r="C672" s="25" t="s">
        <v>465</v>
      </c>
      <c r="D672" s="12">
        <v>14.924487155444149</v>
      </c>
      <c r="E672" s="14">
        <v>1.2100935531441199</v>
      </c>
      <c r="F672" s="7">
        <v>12.33333333333333</v>
      </c>
      <c r="G672" s="7">
        <f t="shared" si="186"/>
        <v>13.71439360230003</v>
      </c>
      <c r="H672" s="16">
        <f t="shared" si="187"/>
        <v>16.13458070858827</v>
      </c>
      <c r="I672" s="11">
        <f t="shared" si="188"/>
        <v>0.36383079663301104</v>
      </c>
      <c r="J672" s="33">
        <f t="shared" si="189"/>
        <v>2.9499794321595496E-2</v>
      </c>
      <c r="K672" s="33">
        <f t="shared" si="190"/>
        <v>33.898541430437845</v>
      </c>
      <c r="L672" s="33">
        <f t="shared" si="191"/>
        <v>0.33433100231141555</v>
      </c>
      <c r="M672" s="33">
        <f t="shared" si="192"/>
        <v>0.39333059095460654</v>
      </c>
      <c r="N672" s="8">
        <v>1</v>
      </c>
      <c r="O672" s="9">
        <v>0</v>
      </c>
      <c r="P672" s="8">
        <v>0</v>
      </c>
      <c r="Q672" s="9">
        <v>0</v>
      </c>
      <c r="R672" s="9">
        <v>1</v>
      </c>
      <c r="S672" s="9">
        <v>0</v>
      </c>
      <c r="T672" s="9">
        <v>0</v>
      </c>
      <c r="U672" s="8">
        <v>1023</v>
      </c>
      <c r="V672" s="9">
        <v>25</v>
      </c>
      <c r="W672" s="9">
        <f t="shared" si="193"/>
        <v>997</v>
      </c>
      <c r="X672" s="9">
        <f t="shared" si="194"/>
        <v>24</v>
      </c>
      <c r="Y672" s="7">
        <v>15</v>
      </c>
      <c r="Z672" s="7">
        <f t="shared" si="197"/>
        <v>12</v>
      </c>
      <c r="AA672" s="9">
        <v>0</v>
      </c>
      <c r="AB672" s="9">
        <v>1</v>
      </c>
      <c r="AC672" s="9">
        <v>1</v>
      </c>
      <c r="AD672" s="9">
        <v>0</v>
      </c>
      <c r="AE672" s="9">
        <v>0</v>
      </c>
      <c r="AF672" s="9">
        <v>0</v>
      </c>
      <c r="AG672" s="8">
        <v>0</v>
      </c>
      <c r="AH672" s="9">
        <v>1</v>
      </c>
      <c r="AI672" s="30">
        <v>0</v>
      </c>
      <c r="AJ672" s="9">
        <v>0</v>
      </c>
      <c r="AK672" s="30">
        <v>1</v>
      </c>
      <c r="AL672" s="21">
        <v>1999</v>
      </c>
      <c r="AM672" s="23">
        <f t="shared" si="195"/>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12</v>
      </c>
      <c r="DB672" s="34"/>
    </row>
    <row r="673" spans="1:106" x14ac:dyDescent="0.25">
      <c r="A673">
        <v>672</v>
      </c>
      <c r="B673">
        <v>42</v>
      </c>
      <c r="C673" s="25" t="s">
        <v>465</v>
      </c>
      <c r="D673" s="12">
        <v>9.4675138895913786</v>
      </c>
      <c r="E673" s="14">
        <v>1.1361016667509649</v>
      </c>
      <c r="F673" s="7">
        <v>8.3333333333333339</v>
      </c>
      <c r="G673" s="7">
        <f t="shared" si="186"/>
        <v>8.3314122228404131</v>
      </c>
      <c r="H673" s="16">
        <f t="shared" si="187"/>
        <v>10.603615556342344</v>
      </c>
      <c r="I673" s="11">
        <f t="shared" si="188"/>
        <v>0.23379806622491348</v>
      </c>
      <c r="J673" s="33">
        <f t="shared" si="189"/>
        <v>2.8055767946989611E-2</v>
      </c>
      <c r="K673" s="33">
        <f t="shared" si="190"/>
        <v>35.643294522875472</v>
      </c>
      <c r="L673" s="33">
        <f t="shared" si="191"/>
        <v>0.20574229827792387</v>
      </c>
      <c r="M673" s="33">
        <f t="shared" si="192"/>
        <v>0.26185383417190311</v>
      </c>
      <c r="N673" s="8">
        <v>1</v>
      </c>
      <c r="O673" s="9">
        <v>0</v>
      </c>
      <c r="P673" s="8">
        <v>0</v>
      </c>
      <c r="Q673" s="9">
        <v>0</v>
      </c>
      <c r="R673" s="9">
        <v>1</v>
      </c>
      <c r="S673" s="9">
        <v>0</v>
      </c>
      <c r="T673" s="9">
        <v>0</v>
      </c>
      <c r="U673" s="8">
        <v>1227</v>
      </c>
      <c r="V673" s="9">
        <v>25</v>
      </c>
      <c r="W673" s="9">
        <f t="shared" si="193"/>
        <v>1201</v>
      </c>
      <c r="X673" s="9">
        <f t="shared" si="194"/>
        <v>24</v>
      </c>
      <c r="Y673" s="7">
        <v>15</v>
      </c>
      <c r="Z673" s="7">
        <f t="shared" si="197"/>
        <v>8</v>
      </c>
      <c r="AA673" s="9">
        <v>0</v>
      </c>
      <c r="AB673" s="9">
        <v>1</v>
      </c>
      <c r="AC673" s="9">
        <v>1</v>
      </c>
      <c r="AD673" s="9">
        <v>0</v>
      </c>
      <c r="AE673" s="9">
        <v>0</v>
      </c>
      <c r="AF673" s="9">
        <v>0</v>
      </c>
      <c r="AG673" s="8">
        <v>0</v>
      </c>
      <c r="AH673" s="9">
        <v>1</v>
      </c>
      <c r="AI673" s="30">
        <v>0</v>
      </c>
      <c r="AJ673" s="9">
        <v>0</v>
      </c>
      <c r="AK673" s="30">
        <v>1</v>
      </c>
      <c r="AL673" s="21">
        <v>1999</v>
      </c>
      <c r="AM673" s="23">
        <f t="shared" si="195"/>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12</v>
      </c>
      <c r="DB673" s="34"/>
    </row>
    <row r="674" spans="1:106" x14ac:dyDescent="0.25">
      <c r="A674">
        <v>673</v>
      </c>
      <c r="B674">
        <v>42</v>
      </c>
      <c r="C674" s="25" t="s">
        <v>465</v>
      </c>
      <c r="D674" s="12">
        <v>12.57092547786524</v>
      </c>
      <c r="E674" s="14">
        <v>1.1785242635498661</v>
      </c>
      <c r="F674" s="7">
        <v>10.66666666666667</v>
      </c>
      <c r="G674" s="7">
        <f t="shared" si="186"/>
        <v>11.392401214315374</v>
      </c>
      <c r="H674" s="16">
        <f t="shared" si="187"/>
        <v>13.749449741415106</v>
      </c>
      <c r="I674" s="11">
        <f t="shared" si="188"/>
        <v>0.31002279841319574</v>
      </c>
      <c r="J674" s="33">
        <f t="shared" si="189"/>
        <v>2.9064637351237089E-2</v>
      </c>
      <c r="K674" s="33">
        <f t="shared" si="190"/>
        <v>34.406071815564445</v>
      </c>
      <c r="L674" s="33">
        <f t="shared" si="191"/>
        <v>0.28095816106195864</v>
      </c>
      <c r="M674" s="33">
        <f t="shared" si="192"/>
        <v>0.33908743576443284</v>
      </c>
      <c r="N674" s="8">
        <v>1</v>
      </c>
      <c r="O674" s="9">
        <v>0</v>
      </c>
      <c r="P674" s="8">
        <v>0</v>
      </c>
      <c r="Q674" s="9">
        <v>0</v>
      </c>
      <c r="R674" s="9">
        <v>1</v>
      </c>
      <c r="S674" s="9">
        <v>0</v>
      </c>
      <c r="T674" s="9">
        <v>0</v>
      </c>
      <c r="U674" s="8">
        <v>1096</v>
      </c>
      <c r="V674" s="9">
        <v>25</v>
      </c>
      <c r="W674" s="9">
        <f t="shared" si="193"/>
        <v>1070</v>
      </c>
      <c r="X674" s="9">
        <f t="shared" si="194"/>
        <v>24</v>
      </c>
      <c r="Y674" s="7">
        <v>15</v>
      </c>
      <c r="Z674" s="7">
        <f t="shared" si="197"/>
        <v>8</v>
      </c>
      <c r="AA674" s="9">
        <v>0</v>
      </c>
      <c r="AB674" s="9">
        <v>1</v>
      </c>
      <c r="AC674" s="9">
        <v>1</v>
      </c>
      <c r="AD674" s="9">
        <v>0</v>
      </c>
      <c r="AE674" s="9">
        <v>0</v>
      </c>
      <c r="AF674" s="9">
        <v>0</v>
      </c>
      <c r="AG674" s="8">
        <v>0</v>
      </c>
      <c r="AH674" s="9">
        <v>1</v>
      </c>
      <c r="AI674" s="30">
        <v>0</v>
      </c>
      <c r="AJ674" s="9">
        <v>0</v>
      </c>
      <c r="AK674" s="30">
        <v>1</v>
      </c>
      <c r="AL674" s="21">
        <v>1999</v>
      </c>
      <c r="AM674" s="23">
        <f t="shared" si="195"/>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12</v>
      </c>
      <c r="DB674" s="34"/>
    </row>
    <row r="675" spans="1:106" x14ac:dyDescent="0.25">
      <c r="A675">
        <v>674</v>
      </c>
      <c r="B675">
        <v>42</v>
      </c>
      <c r="C675" s="25" t="s">
        <v>465</v>
      </c>
      <c r="D675" s="12">
        <v>7.7892686652247729</v>
      </c>
      <c r="E675" s="14">
        <v>1.1127526664606819</v>
      </c>
      <c r="F675" s="7">
        <v>7</v>
      </c>
      <c r="G675" s="7">
        <f t="shared" si="186"/>
        <v>6.6765159987640912</v>
      </c>
      <c r="H675" s="16">
        <f t="shared" si="187"/>
        <v>8.9020213316854555</v>
      </c>
      <c r="I675" s="11">
        <f t="shared" si="188"/>
        <v>0.2001634654952085</v>
      </c>
      <c r="J675" s="33">
        <f t="shared" si="189"/>
        <v>2.8594780785029781E-2</v>
      </c>
      <c r="K675" s="33">
        <f t="shared" si="190"/>
        <v>34.971416900091427</v>
      </c>
      <c r="L675" s="33">
        <f t="shared" si="191"/>
        <v>0.17156868471017872</v>
      </c>
      <c r="M675" s="33">
        <f t="shared" si="192"/>
        <v>0.22875824628023828</v>
      </c>
      <c r="N675" s="8">
        <v>1</v>
      </c>
      <c r="O675" s="9">
        <v>0</v>
      </c>
      <c r="P675" s="8">
        <v>0</v>
      </c>
      <c r="Q675" s="9">
        <v>0</v>
      </c>
      <c r="R675" s="9">
        <v>1</v>
      </c>
      <c r="S675" s="9">
        <v>0</v>
      </c>
      <c r="T675" s="9">
        <v>0</v>
      </c>
      <c r="U675" s="8">
        <v>1200</v>
      </c>
      <c r="V675" s="9">
        <v>25</v>
      </c>
      <c r="W675" s="9">
        <f t="shared" si="193"/>
        <v>1174</v>
      </c>
      <c r="X675" s="9">
        <f t="shared" si="194"/>
        <v>24</v>
      </c>
      <c r="Y675" s="7">
        <v>15</v>
      </c>
      <c r="Z675" s="7">
        <f t="shared" si="197"/>
        <v>8</v>
      </c>
      <c r="AA675" s="9">
        <v>0</v>
      </c>
      <c r="AB675" s="9">
        <v>1</v>
      </c>
      <c r="AC675" s="9">
        <v>1</v>
      </c>
      <c r="AD675" s="9">
        <v>0</v>
      </c>
      <c r="AE675" s="9">
        <v>0</v>
      </c>
      <c r="AF675" s="9">
        <v>0</v>
      </c>
      <c r="AG675" s="8">
        <v>0</v>
      </c>
      <c r="AH675" s="9">
        <v>1</v>
      </c>
      <c r="AI675" s="30">
        <v>0</v>
      </c>
      <c r="AJ675" s="9">
        <v>0</v>
      </c>
      <c r="AK675" s="30">
        <v>1</v>
      </c>
      <c r="AL675" s="21">
        <v>1999</v>
      </c>
      <c r="AM675" s="23">
        <f t="shared" si="195"/>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12</v>
      </c>
      <c r="DB675" s="34"/>
    </row>
    <row r="676" spans="1:106" x14ac:dyDescent="0.25">
      <c r="A676">
        <v>675</v>
      </c>
      <c r="B676">
        <v>42</v>
      </c>
      <c r="C676" s="25" t="s">
        <v>465</v>
      </c>
      <c r="D676" s="12">
        <v>13.03227094879268</v>
      </c>
      <c r="E676" s="14">
        <v>1.184751904435698</v>
      </c>
      <c r="F676" s="7">
        <v>11</v>
      </c>
      <c r="G676" s="7">
        <f t="shared" si="186"/>
        <v>11.847519044356982</v>
      </c>
      <c r="H676" s="16">
        <f t="shared" si="187"/>
        <v>14.217022853228379</v>
      </c>
      <c r="I676" s="11">
        <f t="shared" si="188"/>
        <v>0.30117212300636642</v>
      </c>
      <c r="J676" s="33">
        <f t="shared" si="189"/>
        <v>2.7379283909669677E-2</v>
      </c>
      <c r="K676" s="33">
        <f t="shared" si="190"/>
        <v>36.523964735499348</v>
      </c>
      <c r="L676" s="33">
        <f t="shared" si="191"/>
        <v>0.27379283909669672</v>
      </c>
      <c r="M676" s="33">
        <f t="shared" si="192"/>
        <v>0.32855140691603613</v>
      </c>
      <c r="N676" s="8">
        <v>1</v>
      </c>
      <c r="O676" s="9">
        <v>0</v>
      </c>
      <c r="P676" s="8">
        <v>0</v>
      </c>
      <c r="Q676" s="9">
        <v>0</v>
      </c>
      <c r="R676" s="9">
        <v>1</v>
      </c>
      <c r="S676" s="9">
        <v>0</v>
      </c>
      <c r="T676" s="9">
        <v>0</v>
      </c>
      <c r="U676" s="8">
        <v>1239</v>
      </c>
      <c r="V676" s="9">
        <v>25</v>
      </c>
      <c r="W676" s="9">
        <f t="shared" si="193"/>
        <v>1213</v>
      </c>
      <c r="X676" s="9">
        <f t="shared" si="194"/>
        <v>24</v>
      </c>
      <c r="Y676" s="7">
        <v>15</v>
      </c>
      <c r="Z676" s="7">
        <f t="shared" si="197"/>
        <v>8</v>
      </c>
      <c r="AA676" s="9">
        <v>0</v>
      </c>
      <c r="AB676" s="9">
        <v>1</v>
      </c>
      <c r="AC676" s="9">
        <v>1</v>
      </c>
      <c r="AD676" s="9">
        <v>0</v>
      </c>
      <c r="AE676" s="9">
        <v>0</v>
      </c>
      <c r="AF676" s="9">
        <v>0</v>
      </c>
      <c r="AG676" s="8">
        <v>0</v>
      </c>
      <c r="AH676" s="9">
        <v>1</v>
      </c>
      <c r="AI676" s="30">
        <v>0</v>
      </c>
      <c r="AJ676" s="9">
        <v>0</v>
      </c>
      <c r="AK676" s="30">
        <v>1</v>
      </c>
      <c r="AL676" s="21">
        <v>1999</v>
      </c>
      <c r="AM676" s="23">
        <f t="shared" si="195"/>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12</v>
      </c>
      <c r="DB676" s="34"/>
    </row>
    <row r="677" spans="1:106" x14ac:dyDescent="0.25">
      <c r="A677">
        <v>676</v>
      </c>
      <c r="B677">
        <v>42</v>
      </c>
      <c r="C677" s="25" t="s">
        <v>465</v>
      </c>
      <c r="D677" s="12">
        <v>7.7892686652247729</v>
      </c>
      <c r="E677" s="14">
        <v>1.4836702219475759</v>
      </c>
      <c r="F677" s="7">
        <v>5.25</v>
      </c>
      <c r="G677" s="7">
        <f t="shared" si="186"/>
        <v>6.305598443277197</v>
      </c>
      <c r="H677" s="16">
        <f t="shared" si="187"/>
        <v>9.2729388871723479</v>
      </c>
      <c r="I677" s="11">
        <f t="shared" si="188"/>
        <v>0.19175883294520565</v>
      </c>
      <c r="J677" s="33">
        <f t="shared" si="189"/>
        <v>3.6525491989562987E-2</v>
      </c>
      <c r="K677" s="33">
        <f t="shared" si="190"/>
        <v>27.378139089426803</v>
      </c>
      <c r="L677" s="33">
        <f t="shared" si="191"/>
        <v>0.15523334095564267</v>
      </c>
      <c r="M677" s="33">
        <f t="shared" si="192"/>
        <v>0.22828432493476863</v>
      </c>
      <c r="N677" s="8">
        <v>1</v>
      </c>
      <c r="O677" s="9">
        <v>0</v>
      </c>
      <c r="P677" s="8">
        <v>0</v>
      </c>
      <c r="Q677" s="9">
        <v>0</v>
      </c>
      <c r="R677" s="9">
        <v>1</v>
      </c>
      <c r="S677" s="9">
        <v>0</v>
      </c>
      <c r="T677" s="9">
        <v>0</v>
      </c>
      <c r="U677" s="8">
        <v>748</v>
      </c>
      <c r="V677" s="9">
        <v>25</v>
      </c>
      <c r="W677" s="9">
        <f t="shared" si="193"/>
        <v>722</v>
      </c>
      <c r="X677" s="9">
        <f t="shared" si="194"/>
        <v>24</v>
      </c>
      <c r="Y677" s="7">
        <v>15</v>
      </c>
      <c r="Z677" s="7">
        <f t="shared" si="197"/>
        <v>6</v>
      </c>
      <c r="AA677" s="9">
        <v>0</v>
      </c>
      <c r="AB677" s="9">
        <v>1</v>
      </c>
      <c r="AC677" s="9">
        <v>1</v>
      </c>
      <c r="AD677" s="9">
        <v>0</v>
      </c>
      <c r="AE677" s="9">
        <v>0</v>
      </c>
      <c r="AF677" s="9">
        <v>0</v>
      </c>
      <c r="AG677" s="8">
        <v>0</v>
      </c>
      <c r="AH677" s="9">
        <v>1</v>
      </c>
      <c r="AI677" s="30">
        <v>0</v>
      </c>
      <c r="AJ677" s="9">
        <v>0</v>
      </c>
      <c r="AK677" s="30">
        <v>1</v>
      </c>
      <c r="AL677" s="21">
        <v>1999</v>
      </c>
      <c r="AM677" s="23">
        <f t="shared" si="195"/>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12</v>
      </c>
      <c r="DB677" s="34"/>
    </row>
    <row r="678" spans="1:106" x14ac:dyDescent="0.25">
      <c r="A678">
        <v>677</v>
      </c>
      <c r="B678">
        <v>42</v>
      </c>
      <c r="C678" s="25" t="s">
        <v>465</v>
      </c>
      <c r="D678" s="12">
        <v>9.4675138895913786</v>
      </c>
      <c r="E678" s="14">
        <v>1.1361016667509649</v>
      </c>
      <c r="F678" s="7">
        <v>8.3333333333333339</v>
      </c>
      <c r="G678" s="7">
        <f t="shared" si="186"/>
        <v>8.3314122228404131</v>
      </c>
      <c r="H678" s="16">
        <f t="shared" si="187"/>
        <v>10.603615556342344</v>
      </c>
      <c r="I678" s="11">
        <f t="shared" si="188"/>
        <v>0.2883101727057103</v>
      </c>
      <c r="J678" s="33">
        <f t="shared" si="189"/>
        <v>3.4597220724685233E-2</v>
      </c>
      <c r="K678" s="33">
        <f t="shared" si="190"/>
        <v>28.904055847656476</v>
      </c>
      <c r="L678" s="33">
        <f t="shared" si="191"/>
        <v>0.25371295198102506</v>
      </c>
      <c r="M678" s="33">
        <f t="shared" si="192"/>
        <v>0.32290739343039554</v>
      </c>
      <c r="N678" s="8">
        <v>1</v>
      </c>
      <c r="O678" s="9">
        <v>0</v>
      </c>
      <c r="P678" s="8">
        <v>0</v>
      </c>
      <c r="Q678" s="9">
        <v>0</v>
      </c>
      <c r="R678" s="9">
        <v>1</v>
      </c>
      <c r="S678" s="9">
        <v>0</v>
      </c>
      <c r="T678" s="9">
        <v>0</v>
      </c>
      <c r="U678" s="8">
        <v>792</v>
      </c>
      <c r="V678" s="9">
        <v>25</v>
      </c>
      <c r="W678" s="9">
        <f t="shared" si="193"/>
        <v>766</v>
      </c>
      <c r="X678" s="9">
        <f t="shared" si="194"/>
        <v>24</v>
      </c>
      <c r="Y678" s="7">
        <v>15</v>
      </c>
      <c r="Z678" s="7">
        <f t="shared" si="197"/>
        <v>6</v>
      </c>
      <c r="AA678" s="9">
        <v>0</v>
      </c>
      <c r="AB678" s="9">
        <v>1</v>
      </c>
      <c r="AC678" s="9">
        <v>1</v>
      </c>
      <c r="AD678" s="9">
        <v>0</v>
      </c>
      <c r="AE678" s="9">
        <v>0</v>
      </c>
      <c r="AF678" s="9">
        <v>0</v>
      </c>
      <c r="AG678" s="8">
        <v>0</v>
      </c>
      <c r="AH678" s="9">
        <v>1</v>
      </c>
      <c r="AI678" s="30">
        <v>0</v>
      </c>
      <c r="AJ678" s="9">
        <v>0</v>
      </c>
      <c r="AK678" s="30">
        <v>1</v>
      </c>
      <c r="AL678" s="21">
        <v>1999</v>
      </c>
      <c r="AM678" s="23">
        <f t="shared" si="195"/>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12</v>
      </c>
      <c r="DB678" s="34"/>
    </row>
    <row r="679" spans="1:106" x14ac:dyDescent="0.25">
      <c r="A679">
        <v>678</v>
      </c>
      <c r="B679">
        <v>42</v>
      </c>
      <c r="C679" s="25" t="s">
        <v>465</v>
      </c>
      <c r="D679" s="12">
        <v>5.3944747576094354</v>
      </c>
      <c r="E679" s="14">
        <v>1.4385266020291829</v>
      </c>
      <c r="F679" s="7">
        <v>3.75</v>
      </c>
      <c r="G679" s="7">
        <f t="shared" si="186"/>
        <v>3.9559481555802525</v>
      </c>
      <c r="H679" s="16">
        <f t="shared" si="187"/>
        <v>6.8330013596386188</v>
      </c>
      <c r="I679" s="11">
        <f t="shared" si="188"/>
        <v>0.15321285325897388</v>
      </c>
      <c r="J679" s="33">
        <f t="shared" si="189"/>
        <v>4.0856760869059705E-2</v>
      </c>
      <c r="K679" s="33">
        <f t="shared" si="190"/>
        <v>24.475753308121082</v>
      </c>
      <c r="L679" s="33">
        <f t="shared" si="191"/>
        <v>0.11235609238991418</v>
      </c>
      <c r="M679" s="33">
        <f t="shared" si="192"/>
        <v>0.19406961412803359</v>
      </c>
      <c r="N679" s="8">
        <v>1</v>
      </c>
      <c r="O679" s="9">
        <v>0</v>
      </c>
      <c r="P679" s="8">
        <v>0</v>
      </c>
      <c r="Q679" s="9">
        <v>0</v>
      </c>
      <c r="R679" s="9">
        <v>1</v>
      </c>
      <c r="S679" s="9">
        <v>0</v>
      </c>
      <c r="T679" s="9">
        <v>0</v>
      </c>
      <c r="U679" s="8">
        <v>611</v>
      </c>
      <c r="V679" s="9">
        <v>25</v>
      </c>
      <c r="W679" s="9">
        <f t="shared" si="193"/>
        <v>585</v>
      </c>
      <c r="X679" s="9">
        <f t="shared" si="194"/>
        <v>24</v>
      </c>
      <c r="Y679" s="7">
        <v>15</v>
      </c>
      <c r="Z679" s="7">
        <f t="shared" si="197"/>
        <v>6</v>
      </c>
      <c r="AA679" s="9">
        <v>0</v>
      </c>
      <c r="AB679" s="9">
        <v>1</v>
      </c>
      <c r="AC679" s="9">
        <v>1</v>
      </c>
      <c r="AD679" s="9">
        <v>0</v>
      </c>
      <c r="AE679" s="9">
        <v>0</v>
      </c>
      <c r="AF679" s="9">
        <v>0</v>
      </c>
      <c r="AG679" s="8">
        <v>0</v>
      </c>
      <c r="AH679" s="9">
        <v>1</v>
      </c>
      <c r="AI679" s="30">
        <v>0</v>
      </c>
      <c r="AJ679" s="9">
        <v>0</v>
      </c>
      <c r="AK679" s="30">
        <v>1</v>
      </c>
      <c r="AL679" s="21">
        <v>1999</v>
      </c>
      <c r="AM679" s="23">
        <f t="shared" si="195"/>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12</v>
      </c>
      <c r="DB679" s="34"/>
    </row>
    <row r="680" spans="1:106" s="148" customFormat="1" x14ac:dyDescent="0.25">
      <c r="A680" s="148">
        <v>679</v>
      </c>
      <c r="B680" s="148">
        <v>42</v>
      </c>
      <c r="C680" s="149" t="s">
        <v>465</v>
      </c>
      <c r="D680" s="150">
        <v>7.7892686652247729</v>
      </c>
      <c r="E680" s="151">
        <v>1.1127526664606819</v>
      </c>
      <c r="F680" s="152">
        <v>7</v>
      </c>
      <c r="G680" s="152">
        <f t="shared" si="186"/>
        <v>6.6765159987640912</v>
      </c>
      <c r="H680" s="153">
        <f t="shared" si="187"/>
        <v>8.9020213316854555</v>
      </c>
      <c r="I680" s="154">
        <f t="shared" si="188"/>
        <v>0.25611660664261082</v>
      </c>
      <c r="J680" s="155">
        <f t="shared" si="189"/>
        <v>3.6588086663230115E-2</v>
      </c>
      <c r="K680" s="155">
        <f t="shared" si="190"/>
        <v>27.331300737432898</v>
      </c>
      <c r="L680" s="155">
        <f t="shared" si="191"/>
        <v>0.21952851997938072</v>
      </c>
      <c r="M680" s="155">
        <f t="shared" si="192"/>
        <v>0.29270469330584092</v>
      </c>
      <c r="N680" s="156">
        <v>1</v>
      </c>
      <c r="O680" s="157">
        <v>0</v>
      </c>
      <c r="P680" s="156">
        <v>0</v>
      </c>
      <c r="Q680" s="157">
        <v>0</v>
      </c>
      <c r="R680" s="157">
        <v>1</v>
      </c>
      <c r="S680" s="157">
        <v>0</v>
      </c>
      <c r="T680" s="157">
        <v>0</v>
      </c>
      <c r="U680" s="156">
        <v>724</v>
      </c>
      <c r="V680" s="157">
        <v>25</v>
      </c>
      <c r="W680" s="157">
        <f t="shared" si="193"/>
        <v>698</v>
      </c>
      <c r="X680" s="157">
        <f t="shared" si="194"/>
        <v>24</v>
      </c>
      <c r="Y680" s="152">
        <v>15</v>
      </c>
      <c r="Z680" s="152">
        <f t="shared" si="197"/>
        <v>6</v>
      </c>
      <c r="AA680" s="157">
        <v>0</v>
      </c>
      <c r="AB680" s="157">
        <v>1</v>
      </c>
      <c r="AC680" s="157">
        <v>1</v>
      </c>
      <c r="AD680" s="157">
        <v>0</v>
      </c>
      <c r="AE680" s="157">
        <v>0</v>
      </c>
      <c r="AF680" s="157">
        <v>0</v>
      </c>
      <c r="AG680" s="156">
        <v>0</v>
      </c>
      <c r="AH680" s="157">
        <v>1</v>
      </c>
      <c r="AI680" s="158">
        <v>0</v>
      </c>
      <c r="AJ680" s="157">
        <v>0</v>
      </c>
      <c r="AK680" s="158">
        <v>1</v>
      </c>
      <c r="AL680" s="159">
        <v>1999</v>
      </c>
      <c r="AM680" s="160">
        <f t="shared" si="195"/>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12</v>
      </c>
      <c r="CW680" s="165"/>
      <c r="DB680" s="165"/>
    </row>
    <row r="681" spans="1:106" x14ac:dyDescent="0.25">
      <c r="A681">
        <v>680</v>
      </c>
      <c r="B681">
        <v>43</v>
      </c>
      <c r="C681" s="25" t="s">
        <v>473</v>
      </c>
      <c r="D681" s="12">
        <v>5.9866792656179593</v>
      </c>
      <c r="E681" s="14">
        <v>2.242201972141558</v>
      </c>
      <c r="F681" s="7">
        <v>2.67</v>
      </c>
      <c r="G681" s="7">
        <f t="shared" si="186"/>
        <v>3.7444772934764012</v>
      </c>
      <c r="H681" s="16">
        <f t="shared" si="187"/>
        <v>8.2288812377595164</v>
      </c>
      <c r="I681" s="11">
        <f t="shared" si="188"/>
        <v>7.5006838968708398E-2</v>
      </c>
      <c r="J681" s="33">
        <f t="shared" si="189"/>
        <v>2.809244905195071E-2</v>
      </c>
      <c r="K681" s="33">
        <f t="shared" si="190"/>
        <v>35.596754065504342</v>
      </c>
      <c r="L681" s="33">
        <f t="shared" si="191"/>
        <v>4.6914389916757684E-2</v>
      </c>
      <c r="M681" s="33">
        <f t="shared" si="192"/>
        <v>0.10309928802065911</v>
      </c>
      <c r="N681" s="8">
        <v>1</v>
      </c>
      <c r="O681" s="9">
        <v>0</v>
      </c>
      <c r="P681" s="8">
        <v>0</v>
      </c>
      <c r="Q681" s="9">
        <v>1</v>
      </c>
      <c r="R681" s="9">
        <v>0</v>
      </c>
      <c r="S681" s="9">
        <v>0</v>
      </c>
      <c r="T681" s="9">
        <v>0</v>
      </c>
      <c r="U681" s="8">
        <v>1284</v>
      </c>
      <c r="V681" s="9">
        <v>23</v>
      </c>
      <c r="W681" s="9">
        <f t="shared" si="193"/>
        <v>1260</v>
      </c>
      <c r="X681" s="9">
        <f t="shared" si="194"/>
        <v>18</v>
      </c>
      <c r="Y681" s="7">
        <f t="shared" ref="Y681:Y698" si="198">(AN681*0+AO681*7+AP681*11+AQ681*14)</f>
        <v>9.52</v>
      </c>
      <c r="Z681" s="7">
        <f t="shared" si="197"/>
        <v>21.48</v>
      </c>
      <c r="AA681" s="9">
        <v>0</v>
      </c>
      <c r="AB681" s="9">
        <v>1</v>
      </c>
      <c r="AC681" s="9">
        <v>0</v>
      </c>
      <c r="AD681" s="9">
        <v>0</v>
      </c>
      <c r="AE681" s="9">
        <v>0</v>
      </c>
      <c r="AF681" s="9">
        <v>1</v>
      </c>
      <c r="AG681" s="8">
        <v>0</v>
      </c>
      <c r="AH681" s="9">
        <v>0</v>
      </c>
      <c r="AI681" s="30">
        <v>1</v>
      </c>
      <c r="AJ681" s="9">
        <v>1</v>
      </c>
      <c r="AK681" s="30">
        <v>0</v>
      </c>
      <c r="AL681" s="21">
        <v>1994</v>
      </c>
      <c r="AM681" s="23">
        <f t="shared" si="195"/>
        <v>7.5978979505217836</v>
      </c>
      <c r="AN681" s="33">
        <v>0.06</v>
      </c>
      <c r="AO681" s="33">
        <v>0.31</v>
      </c>
      <c r="AP681" s="33">
        <v>0.49</v>
      </c>
      <c r="AQ681" s="43">
        <v>0.14000000000000001</v>
      </c>
      <c r="AR681" s="42" t="s">
        <v>104</v>
      </c>
      <c r="AS681" s="18" t="s">
        <v>104</v>
      </c>
      <c r="AT681">
        <v>1</v>
      </c>
      <c r="AU681" s="40">
        <v>0</v>
      </c>
      <c r="AV681" s="39">
        <f t="shared" ref="AV681:AV698" si="199">1-AW681</f>
        <v>0.43293036751000002</v>
      </c>
      <c r="AW681" s="40">
        <v>0.56706963248999998</v>
      </c>
      <c r="AX681">
        <v>0</v>
      </c>
      <c r="AY681" s="18">
        <v>1</v>
      </c>
      <c r="AZ681">
        <v>0.5</v>
      </c>
      <c r="BA681" s="18">
        <v>0.5</v>
      </c>
      <c r="BB681" s="18" t="s">
        <v>474</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7</v>
      </c>
      <c r="DB681" s="34"/>
    </row>
    <row r="682" spans="1:106" x14ac:dyDescent="0.25">
      <c r="A682">
        <v>681</v>
      </c>
      <c r="B682">
        <v>43</v>
      </c>
      <c r="C682" s="25" t="s">
        <v>473</v>
      </c>
      <c r="D682" s="12">
        <v>7.59106330355801</v>
      </c>
      <c r="E682" s="14">
        <v>1.308804017854829</v>
      </c>
      <c r="F682" s="7">
        <v>5.8</v>
      </c>
      <c r="G682" s="7">
        <f t="shared" si="186"/>
        <v>6.2822592857031809</v>
      </c>
      <c r="H682" s="16">
        <f t="shared" si="187"/>
        <v>8.8998673214128381</v>
      </c>
      <c r="I682" s="11">
        <f t="shared" si="188"/>
        <v>0.16125800242919325</v>
      </c>
      <c r="J682" s="33">
        <f t="shared" si="189"/>
        <v>2.7803103867102285E-2</v>
      </c>
      <c r="K682" s="33">
        <f t="shared" si="190"/>
        <v>35.9672072866382</v>
      </c>
      <c r="L682" s="33">
        <f t="shared" si="191"/>
        <v>0.13345489856209097</v>
      </c>
      <c r="M682" s="33">
        <f t="shared" si="192"/>
        <v>0.18906110629629552</v>
      </c>
      <c r="N682" s="8">
        <v>1</v>
      </c>
      <c r="O682" s="9">
        <v>0</v>
      </c>
      <c r="P682" s="8">
        <v>0</v>
      </c>
      <c r="Q682" s="9">
        <v>1</v>
      </c>
      <c r="R682" s="9">
        <v>0</v>
      </c>
      <c r="S682" s="9">
        <v>0</v>
      </c>
      <c r="T682" s="9">
        <v>0</v>
      </c>
      <c r="U682" s="8">
        <v>1284</v>
      </c>
      <c r="V682" s="9">
        <v>23</v>
      </c>
      <c r="W682" s="9">
        <f t="shared" si="193"/>
        <v>1260</v>
      </c>
      <c r="X682" s="9">
        <f t="shared" si="194"/>
        <v>18</v>
      </c>
      <c r="Y682" s="7">
        <f t="shared" si="198"/>
        <v>9.52</v>
      </c>
      <c r="Z682" s="7">
        <f t="shared" si="197"/>
        <v>21.48</v>
      </c>
      <c r="AA682" s="9">
        <v>0</v>
      </c>
      <c r="AB682" s="9">
        <v>1</v>
      </c>
      <c r="AC682" s="9">
        <v>0</v>
      </c>
      <c r="AD682" s="9">
        <v>0</v>
      </c>
      <c r="AE682" s="9">
        <v>0</v>
      </c>
      <c r="AF682" s="9">
        <v>1</v>
      </c>
      <c r="AG682" s="8">
        <v>0</v>
      </c>
      <c r="AH682" s="9">
        <v>0</v>
      </c>
      <c r="AI682" s="30">
        <v>1</v>
      </c>
      <c r="AJ682" s="9">
        <v>1</v>
      </c>
      <c r="AK682" s="30">
        <v>0</v>
      </c>
      <c r="AL682" s="21">
        <v>1994</v>
      </c>
      <c r="AM682" s="23">
        <f t="shared" si="195"/>
        <v>7.5978979505217836</v>
      </c>
      <c r="AN682" s="33">
        <v>0.06</v>
      </c>
      <c r="AO682" s="33">
        <v>0.31</v>
      </c>
      <c r="AP682" s="33">
        <v>0.49</v>
      </c>
      <c r="AQ682" s="43">
        <v>0.14000000000000001</v>
      </c>
      <c r="AR682" s="42" t="s">
        <v>104</v>
      </c>
      <c r="AS682" s="18" t="s">
        <v>104</v>
      </c>
      <c r="AT682">
        <v>1</v>
      </c>
      <c r="AU682" s="40">
        <v>0</v>
      </c>
      <c r="AV682" s="39">
        <f t="shared" si="199"/>
        <v>0.43293036751000002</v>
      </c>
      <c r="AW682" s="40">
        <v>0.56706963248999998</v>
      </c>
      <c r="AX682">
        <v>0</v>
      </c>
      <c r="AY682" s="18">
        <v>1</v>
      </c>
      <c r="AZ682">
        <v>0.5</v>
      </c>
      <c r="BA682" s="18">
        <v>0.5</v>
      </c>
      <c r="BB682" s="18" t="s">
        <v>474</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7</v>
      </c>
      <c r="DB682" s="34"/>
    </row>
    <row r="683" spans="1:106" x14ac:dyDescent="0.25">
      <c r="A683">
        <v>682</v>
      </c>
      <c r="B683">
        <v>43</v>
      </c>
      <c r="C683" s="25" t="s">
        <v>473</v>
      </c>
      <c r="D683" s="12">
        <v>19.348319192733701</v>
      </c>
      <c r="E683" s="14">
        <v>1.8784775915275429</v>
      </c>
      <c r="F683" s="7">
        <v>10.3</v>
      </c>
      <c r="G683" s="7">
        <f t="shared" si="186"/>
        <v>17.469841601206159</v>
      </c>
      <c r="H683" s="16">
        <f t="shared" si="187"/>
        <v>21.226796784261243</v>
      </c>
      <c r="I683" s="11">
        <f t="shared" si="188"/>
        <v>0.27867471688386808</v>
      </c>
      <c r="J683" s="33">
        <f t="shared" si="189"/>
        <v>2.7055797755715344E-2</v>
      </c>
      <c r="K683" s="33">
        <f t="shared" si="190"/>
        <v>36.960654756105171</v>
      </c>
      <c r="L683" s="33">
        <f t="shared" si="191"/>
        <v>0.25161891912815271</v>
      </c>
      <c r="M683" s="33">
        <f t="shared" si="192"/>
        <v>0.30573051463958345</v>
      </c>
      <c r="N683" s="8">
        <v>1</v>
      </c>
      <c r="O683" s="9">
        <v>0</v>
      </c>
      <c r="P683" s="8">
        <v>0</v>
      </c>
      <c r="Q683" s="9">
        <v>1</v>
      </c>
      <c r="R683" s="9">
        <v>0</v>
      </c>
      <c r="S683" s="9">
        <v>0</v>
      </c>
      <c r="T683" s="9">
        <v>0</v>
      </c>
      <c r="U683" s="8">
        <v>1284</v>
      </c>
      <c r="V683" s="9">
        <v>23</v>
      </c>
      <c r="W683" s="9">
        <f t="shared" si="193"/>
        <v>1260</v>
      </c>
      <c r="X683" s="9">
        <f t="shared" si="194"/>
        <v>18</v>
      </c>
      <c r="Y683" s="7">
        <f t="shared" si="198"/>
        <v>9.52</v>
      </c>
      <c r="Z683" s="7">
        <f t="shared" si="197"/>
        <v>21.48</v>
      </c>
      <c r="AA683" s="9">
        <v>0</v>
      </c>
      <c r="AB683" s="9">
        <v>1</v>
      </c>
      <c r="AC683" s="9">
        <v>0</v>
      </c>
      <c r="AD683" s="9">
        <v>0</v>
      </c>
      <c r="AE683" s="9">
        <v>0</v>
      </c>
      <c r="AF683" s="9">
        <v>1</v>
      </c>
      <c r="AG683" s="8">
        <v>0</v>
      </c>
      <c r="AH683" s="9">
        <v>0</v>
      </c>
      <c r="AI683" s="30">
        <v>1</v>
      </c>
      <c r="AJ683" s="9">
        <v>1</v>
      </c>
      <c r="AK683" s="30">
        <v>0</v>
      </c>
      <c r="AL683" s="21">
        <v>1994</v>
      </c>
      <c r="AM683" s="23">
        <f t="shared" si="195"/>
        <v>7.5978979505217836</v>
      </c>
      <c r="AN683" s="33">
        <v>0.06</v>
      </c>
      <c r="AO683" s="33">
        <v>0.31</v>
      </c>
      <c r="AP683" s="33">
        <v>0.49</v>
      </c>
      <c r="AQ683" s="43">
        <v>0.14000000000000001</v>
      </c>
      <c r="AR683" s="42" t="s">
        <v>104</v>
      </c>
      <c r="AS683" s="18" t="s">
        <v>104</v>
      </c>
      <c r="AT683">
        <v>1</v>
      </c>
      <c r="AU683" s="40">
        <v>0</v>
      </c>
      <c r="AV683" s="39">
        <f t="shared" si="199"/>
        <v>0.43293036751000002</v>
      </c>
      <c r="AW683" s="40">
        <v>0.56706963248999998</v>
      </c>
      <c r="AX683">
        <v>0</v>
      </c>
      <c r="AY683" s="18">
        <v>1</v>
      </c>
      <c r="AZ683">
        <v>0.5</v>
      </c>
      <c r="BA683" s="18">
        <v>0.5</v>
      </c>
      <c r="BB683" s="18" t="s">
        <v>474</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7</v>
      </c>
      <c r="DB683" s="34"/>
    </row>
    <row r="684" spans="1:106" x14ac:dyDescent="0.25">
      <c r="A684">
        <v>683</v>
      </c>
      <c r="B684">
        <v>43</v>
      </c>
      <c r="C684" s="25" t="s">
        <v>473</v>
      </c>
      <c r="D684" s="12">
        <v>6.3962087809046357</v>
      </c>
      <c r="E684" s="14">
        <v>1.4944413039496811</v>
      </c>
      <c r="F684" s="7">
        <v>4.28</v>
      </c>
      <c r="G684" s="7">
        <f t="shared" si="186"/>
        <v>4.9017674769549551</v>
      </c>
      <c r="H684" s="16">
        <f t="shared" si="187"/>
        <v>7.8906500848543164</v>
      </c>
      <c r="I684" s="11">
        <f t="shared" si="188"/>
        <v>9.4986458094127105E-2</v>
      </c>
      <c r="J684" s="33">
        <f t="shared" si="189"/>
        <v>2.2193097685543717E-2</v>
      </c>
      <c r="K684" s="33">
        <f t="shared" si="190"/>
        <v>45.059054583956815</v>
      </c>
      <c r="L684" s="33">
        <f t="shared" si="191"/>
        <v>7.2793360408583391E-2</v>
      </c>
      <c r="M684" s="33">
        <f t="shared" si="192"/>
        <v>0.11717955577967082</v>
      </c>
      <c r="N684" s="8">
        <v>1</v>
      </c>
      <c r="O684" s="9">
        <v>0</v>
      </c>
      <c r="P684" s="8">
        <v>0</v>
      </c>
      <c r="Q684" s="9">
        <v>1</v>
      </c>
      <c r="R684" s="9">
        <v>0</v>
      </c>
      <c r="S684" s="9">
        <v>0</v>
      </c>
      <c r="T684" s="9">
        <v>0</v>
      </c>
      <c r="U684" s="8">
        <v>2036</v>
      </c>
      <c r="V684" s="9">
        <v>23</v>
      </c>
      <c r="W684" s="9">
        <f t="shared" si="193"/>
        <v>2012</v>
      </c>
      <c r="X684" s="9">
        <f t="shared" si="194"/>
        <v>18</v>
      </c>
      <c r="Y684" s="7">
        <f t="shared" si="198"/>
        <v>7.5400000000000009</v>
      </c>
      <c r="Z684" s="7">
        <f t="shared" si="197"/>
        <v>20.46</v>
      </c>
      <c r="AA684" s="9">
        <v>0</v>
      </c>
      <c r="AB684" s="9">
        <v>1</v>
      </c>
      <c r="AC684" s="9">
        <v>0</v>
      </c>
      <c r="AD684" s="9">
        <v>0</v>
      </c>
      <c r="AE684" s="9">
        <v>0</v>
      </c>
      <c r="AF684" s="9">
        <v>1</v>
      </c>
      <c r="AG684" s="8">
        <v>0</v>
      </c>
      <c r="AH684" s="9">
        <v>0</v>
      </c>
      <c r="AI684" s="30">
        <v>1</v>
      </c>
      <c r="AJ684" s="9">
        <v>1</v>
      </c>
      <c r="AK684" s="30">
        <v>0</v>
      </c>
      <c r="AL684" s="21">
        <v>1994</v>
      </c>
      <c r="AM684" s="23">
        <f t="shared" si="195"/>
        <v>7.5978979505217836</v>
      </c>
      <c r="AN684" s="33">
        <v>0.14000000000000001</v>
      </c>
      <c r="AO684" s="33">
        <v>0.51</v>
      </c>
      <c r="AP684" s="33">
        <v>0.31</v>
      </c>
      <c r="AQ684" s="43">
        <v>0.04</v>
      </c>
      <c r="AR684" s="42" t="s">
        <v>104</v>
      </c>
      <c r="AS684" s="18" t="s">
        <v>104</v>
      </c>
      <c r="AT684">
        <v>1</v>
      </c>
      <c r="AU684" s="40">
        <v>0</v>
      </c>
      <c r="AV684" s="39">
        <f t="shared" si="199"/>
        <v>0.43293036751000002</v>
      </c>
      <c r="AW684" s="40">
        <v>0.56706963248999998</v>
      </c>
      <c r="AX684">
        <v>0</v>
      </c>
      <c r="AY684" s="18">
        <v>1</v>
      </c>
      <c r="AZ684">
        <v>0.5</v>
      </c>
      <c r="BA684" s="18">
        <v>0.5</v>
      </c>
      <c r="BB684" s="18" t="s">
        <v>474</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7</v>
      </c>
      <c r="DB684" s="34"/>
    </row>
    <row r="685" spans="1:106" x14ac:dyDescent="0.25">
      <c r="A685">
        <v>684</v>
      </c>
      <c r="B685">
        <v>43</v>
      </c>
      <c r="C685" s="25" t="s">
        <v>473</v>
      </c>
      <c r="D685" s="12">
        <v>8.3851471580434378</v>
      </c>
      <c r="E685" s="14">
        <v>1.016381473702235</v>
      </c>
      <c r="F685" s="7">
        <v>8.25</v>
      </c>
      <c r="G685" s="7">
        <f t="shared" si="186"/>
        <v>7.368765684341203</v>
      </c>
      <c r="H685" s="16">
        <f t="shared" si="187"/>
        <v>9.4015286317456734</v>
      </c>
      <c r="I685" s="11">
        <f t="shared" si="188"/>
        <v>0.18089049879667868</v>
      </c>
      <c r="J685" s="33">
        <f t="shared" si="189"/>
        <v>2.1926121066264081E-2</v>
      </c>
      <c r="K685" s="33">
        <f t="shared" si="190"/>
        <v>45.607702200395934</v>
      </c>
      <c r="L685" s="33">
        <f t="shared" si="191"/>
        <v>0.15896437773041461</v>
      </c>
      <c r="M685" s="33">
        <f t="shared" si="192"/>
        <v>0.20281661986294275</v>
      </c>
      <c r="N685" s="8">
        <v>1</v>
      </c>
      <c r="O685" s="9">
        <v>0</v>
      </c>
      <c r="P685" s="8">
        <v>0</v>
      </c>
      <c r="Q685" s="9">
        <v>1</v>
      </c>
      <c r="R685" s="9">
        <v>0</v>
      </c>
      <c r="S685" s="9">
        <v>0</v>
      </c>
      <c r="T685" s="9">
        <v>0</v>
      </c>
      <c r="U685" s="8">
        <v>2036</v>
      </c>
      <c r="V685" s="9">
        <v>23</v>
      </c>
      <c r="W685" s="9">
        <f t="shared" si="193"/>
        <v>2012</v>
      </c>
      <c r="X685" s="9">
        <f t="shared" si="194"/>
        <v>18</v>
      </c>
      <c r="Y685" s="7">
        <f t="shared" si="198"/>
        <v>7.5400000000000009</v>
      </c>
      <c r="Z685" s="7">
        <f t="shared" si="197"/>
        <v>20.46</v>
      </c>
      <c r="AA685" s="9">
        <v>0</v>
      </c>
      <c r="AB685" s="9">
        <v>1</v>
      </c>
      <c r="AC685" s="9">
        <v>0</v>
      </c>
      <c r="AD685" s="9">
        <v>0</v>
      </c>
      <c r="AE685" s="9">
        <v>0</v>
      </c>
      <c r="AF685" s="9">
        <v>1</v>
      </c>
      <c r="AG685" s="8">
        <v>0</v>
      </c>
      <c r="AH685" s="9">
        <v>0</v>
      </c>
      <c r="AI685" s="30">
        <v>1</v>
      </c>
      <c r="AJ685" s="9">
        <v>1</v>
      </c>
      <c r="AK685" s="30">
        <v>0</v>
      </c>
      <c r="AL685" s="21">
        <v>1994</v>
      </c>
      <c r="AM685" s="23">
        <f t="shared" si="195"/>
        <v>7.5978979505217836</v>
      </c>
      <c r="AN685" s="33">
        <v>0.14000000000000001</v>
      </c>
      <c r="AO685" s="33">
        <v>0.51</v>
      </c>
      <c r="AP685" s="33">
        <v>0.31</v>
      </c>
      <c r="AQ685" s="43">
        <v>0.04</v>
      </c>
      <c r="AR685" s="42" t="s">
        <v>104</v>
      </c>
      <c r="AS685" s="18" t="s">
        <v>104</v>
      </c>
      <c r="AT685">
        <v>1</v>
      </c>
      <c r="AU685" s="40">
        <v>0</v>
      </c>
      <c r="AV685" s="39">
        <f t="shared" si="199"/>
        <v>0.43293036751000002</v>
      </c>
      <c r="AW685" s="40">
        <v>0.56706963248999998</v>
      </c>
      <c r="AX685">
        <v>0</v>
      </c>
      <c r="AY685" s="18">
        <v>1</v>
      </c>
      <c r="AZ685">
        <v>0.5</v>
      </c>
      <c r="BA685" s="18">
        <v>0.5</v>
      </c>
      <c r="BB685" s="18" t="s">
        <v>474</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7</v>
      </c>
      <c r="DB685" s="34"/>
    </row>
    <row r="686" spans="1:106" x14ac:dyDescent="0.25">
      <c r="A686">
        <v>685</v>
      </c>
      <c r="B686">
        <v>43</v>
      </c>
      <c r="C686" s="25" t="s">
        <v>473</v>
      </c>
      <c r="D686" s="12">
        <v>25.358968148154968</v>
      </c>
      <c r="E686" s="14">
        <v>4.3274689672619404</v>
      </c>
      <c r="F686" s="7">
        <v>5.86</v>
      </c>
      <c r="G686" s="7">
        <f t="shared" si="186"/>
        <v>21.031499180893029</v>
      </c>
      <c r="H686" s="16">
        <f t="shared" si="187"/>
        <v>29.686437115416908</v>
      </c>
      <c r="I686" s="11">
        <f t="shared" si="188"/>
        <v>0.12954145231280972</v>
      </c>
      <c r="J686" s="33">
        <f t="shared" si="189"/>
        <v>2.2106049882732036E-2</v>
      </c>
      <c r="K686" s="33">
        <f t="shared" si="190"/>
        <v>45.236485274609919</v>
      </c>
      <c r="L686" s="33">
        <f t="shared" si="191"/>
        <v>0.10743540243007768</v>
      </c>
      <c r="M686" s="33">
        <f t="shared" si="192"/>
        <v>0.15164750219554177</v>
      </c>
      <c r="N686" s="8">
        <v>1</v>
      </c>
      <c r="O686" s="9">
        <v>0</v>
      </c>
      <c r="P686" s="8">
        <v>0</v>
      </c>
      <c r="Q686" s="9">
        <v>1</v>
      </c>
      <c r="R686" s="9">
        <v>0</v>
      </c>
      <c r="S686" s="9">
        <v>0</v>
      </c>
      <c r="T686" s="9">
        <v>0</v>
      </c>
      <c r="U686" s="8">
        <v>2036</v>
      </c>
      <c r="V686" s="9">
        <v>23</v>
      </c>
      <c r="W686" s="9">
        <f t="shared" si="193"/>
        <v>2012</v>
      </c>
      <c r="X686" s="9">
        <f t="shared" si="194"/>
        <v>18</v>
      </c>
      <c r="Y686" s="7">
        <f t="shared" si="198"/>
        <v>7.5400000000000009</v>
      </c>
      <c r="Z686" s="7">
        <f t="shared" si="197"/>
        <v>20.46</v>
      </c>
      <c r="AA686" s="9">
        <v>0</v>
      </c>
      <c r="AB686" s="9">
        <v>1</v>
      </c>
      <c r="AC686" s="9">
        <v>0</v>
      </c>
      <c r="AD686" s="9">
        <v>0</v>
      </c>
      <c r="AE686" s="9">
        <v>0</v>
      </c>
      <c r="AF686" s="9">
        <v>1</v>
      </c>
      <c r="AG686" s="8">
        <v>0</v>
      </c>
      <c r="AH686" s="9">
        <v>0</v>
      </c>
      <c r="AI686" s="30">
        <v>1</v>
      </c>
      <c r="AJ686" s="9">
        <v>1</v>
      </c>
      <c r="AK686" s="30">
        <v>0</v>
      </c>
      <c r="AL686" s="21">
        <v>1994</v>
      </c>
      <c r="AM686" s="23">
        <f t="shared" si="195"/>
        <v>7.5978979505217836</v>
      </c>
      <c r="AN686" s="33">
        <v>0.14000000000000001</v>
      </c>
      <c r="AO686" s="33">
        <v>0.51</v>
      </c>
      <c r="AP686" s="33">
        <v>0.31</v>
      </c>
      <c r="AQ686" s="43">
        <v>0.04</v>
      </c>
      <c r="AR686" s="42" t="s">
        <v>104</v>
      </c>
      <c r="AS686" s="18" t="s">
        <v>104</v>
      </c>
      <c r="AT686">
        <v>1</v>
      </c>
      <c r="AU686" s="40">
        <v>0</v>
      </c>
      <c r="AV686" s="39">
        <f t="shared" si="199"/>
        <v>0.43293036751000002</v>
      </c>
      <c r="AW686" s="40">
        <v>0.56706963248999998</v>
      </c>
      <c r="AX686">
        <v>0</v>
      </c>
      <c r="AY686" s="18">
        <v>1</v>
      </c>
      <c r="AZ686">
        <v>0.5</v>
      </c>
      <c r="BA686" s="18">
        <v>0.5</v>
      </c>
      <c r="BB686" s="18" t="s">
        <v>474</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7</v>
      </c>
      <c r="DB686" s="34"/>
    </row>
    <row r="687" spans="1:106" x14ac:dyDescent="0.25">
      <c r="A687">
        <v>686</v>
      </c>
      <c r="B687">
        <v>43</v>
      </c>
      <c r="C687" s="25" t="s">
        <v>473</v>
      </c>
      <c r="D687" s="12">
        <v>7.4565936516947664</v>
      </c>
      <c r="E687" s="14">
        <v>3.24199723986729</v>
      </c>
      <c r="F687" s="7">
        <v>2.2999999999999998</v>
      </c>
      <c r="G687" s="7">
        <f t="shared" si="186"/>
        <v>4.2145964118274764</v>
      </c>
      <c r="H687" s="16">
        <f t="shared" si="187"/>
        <v>10.698590891562056</v>
      </c>
      <c r="I687" s="11">
        <f t="shared" si="188"/>
        <v>7.1724912951015601E-2</v>
      </c>
      <c r="J687" s="33">
        <f t="shared" si="189"/>
        <v>3.1184744761311136E-2</v>
      </c>
      <c r="K687" s="33">
        <f t="shared" si="190"/>
        <v>32.06696119060863</v>
      </c>
      <c r="L687" s="33">
        <f t="shared" si="191"/>
        <v>4.0540168189704462E-2</v>
      </c>
      <c r="M687" s="33">
        <f t="shared" si="192"/>
        <v>0.10290965771232674</v>
      </c>
      <c r="N687" s="8">
        <v>1</v>
      </c>
      <c r="O687" s="9">
        <v>0</v>
      </c>
      <c r="P687" s="8">
        <v>0</v>
      </c>
      <c r="Q687" s="9">
        <v>1</v>
      </c>
      <c r="R687" s="9">
        <v>0</v>
      </c>
      <c r="S687" s="9">
        <v>0</v>
      </c>
      <c r="T687" s="9">
        <v>0</v>
      </c>
      <c r="U687" s="8">
        <v>1047</v>
      </c>
      <c r="V687" s="9">
        <v>23</v>
      </c>
      <c r="W687" s="9">
        <f t="shared" si="193"/>
        <v>1023</v>
      </c>
      <c r="X687" s="9">
        <f t="shared" si="194"/>
        <v>18</v>
      </c>
      <c r="Y687" s="7">
        <f t="shared" si="198"/>
        <v>7.35</v>
      </c>
      <c r="Z687" s="7">
        <f t="shared" si="197"/>
        <v>21.65</v>
      </c>
      <c r="AA687" s="9">
        <v>0</v>
      </c>
      <c r="AB687" s="9">
        <v>1</v>
      </c>
      <c r="AC687" s="9">
        <v>0</v>
      </c>
      <c r="AD687" s="9">
        <v>0</v>
      </c>
      <c r="AE687" s="9">
        <v>0</v>
      </c>
      <c r="AF687" s="9">
        <v>1</v>
      </c>
      <c r="AG687" s="8">
        <v>0</v>
      </c>
      <c r="AH687" s="9">
        <v>0</v>
      </c>
      <c r="AI687" s="30">
        <v>1</v>
      </c>
      <c r="AJ687" s="9">
        <v>1</v>
      </c>
      <c r="AK687" s="30">
        <v>0</v>
      </c>
      <c r="AL687" s="21">
        <v>1994</v>
      </c>
      <c r="AM687" s="23">
        <f t="shared" si="195"/>
        <v>7.5978979505217836</v>
      </c>
      <c r="AN687" s="33">
        <v>0.15</v>
      </c>
      <c r="AO687" s="33">
        <v>0.53</v>
      </c>
      <c r="AP687" s="33">
        <v>0.28000000000000003</v>
      </c>
      <c r="AQ687" s="43">
        <v>0.04</v>
      </c>
      <c r="AR687" s="42" t="s">
        <v>104</v>
      </c>
      <c r="AS687" s="18" t="s">
        <v>104</v>
      </c>
      <c r="AT687">
        <v>1</v>
      </c>
      <c r="AU687" s="40">
        <v>0</v>
      </c>
      <c r="AV687" s="39">
        <f t="shared" si="199"/>
        <v>0.43293036751000002</v>
      </c>
      <c r="AW687" s="40">
        <v>0.56706963248999998</v>
      </c>
      <c r="AX687">
        <v>0</v>
      </c>
      <c r="AY687" s="18">
        <v>1</v>
      </c>
      <c r="AZ687">
        <v>0.5</v>
      </c>
      <c r="BA687" s="18">
        <v>0.5</v>
      </c>
      <c r="BB687" s="18" t="s">
        <v>474</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7</v>
      </c>
      <c r="DB687" s="34"/>
    </row>
    <row r="688" spans="1:106" x14ac:dyDescent="0.25">
      <c r="A688">
        <v>687</v>
      </c>
      <c r="B688">
        <v>43</v>
      </c>
      <c r="C688" s="25" t="s">
        <v>473</v>
      </c>
      <c r="D688" s="12">
        <v>4.2246635456321124</v>
      </c>
      <c r="E688" s="14">
        <v>1.362794692139391</v>
      </c>
      <c r="F688" s="7">
        <v>3.1</v>
      </c>
      <c r="G688" s="7">
        <f t="shared" si="186"/>
        <v>2.8618688534927212</v>
      </c>
      <c r="H688" s="16">
        <f t="shared" si="187"/>
        <v>5.5874582377715036</v>
      </c>
      <c r="I688" s="11">
        <f t="shared" si="188"/>
        <v>9.6470278118144417E-2</v>
      </c>
      <c r="J688" s="33">
        <f t="shared" si="189"/>
        <v>3.1119444554240136E-2</v>
      </c>
      <c r="K688" s="33">
        <f t="shared" si="190"/>
        <v>32.134249641153907</v>
      </c>
      <c r="L688" s="33">
        <f t="shared" si="191"/>
        <v>6.5350833563904281E-2</v>
      </c>
      <c r="M688" s="33">
        <f t="shared" si="192"/>
        <v>0.12758972267238455</v>
      </c>
      <c r="N688" s="8">
        <v>1</v>
      </c>
      <c r="O688" s="9">
        <v>0</v>
      </c>
      <c r="P688" s="8">
        <v>0</v>
      </c>
      <c r="Q688" s="9">
        <v>1</v>
      </c>
      <c r="R688" s="9">
        <v>0</v>
      </c>
      <c r="S688" s="9">
        <v>0</v>
      </c>
      <c r="T688" s="9">
        <v>0</v>
      </c>
      <c r="U688" s="8">
        <v>1047</v>
      </c>
      <c r="V688" s="9">
        <v>23</v>
      </c>
      <c r="W688" s="9">
        <f t="shared" si="193"/>
        <v>1023</v>
      </c>
      <c r="X688" s="9">
        <f t="shared" si="194"/>
        <v>18</v>
      </c>
      <c r="Y688" s="7">
        <f t="shared" si="198"/>
        <v>7.35</v>
      </c>
      <c r="Z688" s="7">
        <f t="shared" si="197"/>
        <v>21.65</v>
      </c>
      <c r="AA688" s="9">
        <v>0</v>
      </c>
      <c r="AB688" s="9">
        <v>1</v>
      </c>
      <c r="AC688" s="9">
        <v>0</v>
      </c>
      <c r="AD688" s="9">
        <v>0</v>
      </c>
      <c r="AE688" s="9">
        <v>0</v>
      </c>
      <c r="AF688" s="9">
        <v>1</v>
      </c>
      <c r="AG688" s="8">
        <v>0</v>
      </c>
      <c r="AH688" s="9">
        <v>0</v>
      </c>
      <c r="AI688" s="30">
        <v>1</v>
      </c>
      <c r="AJ688" s="9">
        <v>1</v>
      </c>
      <c r="AK688" s="30">
        <v>0</v>
      </c>
      <c r="AL688" s="21">
        <v>1994</v>
      </c>
      <c r="AM688" s="23">
        <f t="shared" si="195"/>
        <v>7.5978979505217836</v>
      </c>
      <c r="AN688" s="33">
        <v>0.15</v>
      </c>
      <c r="AO688" s="33">
        <v>0.53</v>
      </c>
      <c r="AP688" s="33">
        <v>0.28000000000000003</v>
      </c>
      <c r="AQ688" s="43">
        <v>0.04</v>
      </c>
      <c r="AR688" s="42" t="s">
        <v>104</v>
      </c>
      <c r="AS688" s="18" t="s">
        <v>104</v>
      </c>
      <c r="AT688">
        <v>1</v>
      </c>
      <c r="AU688" s="40">
        <v>0</v>
      </c>
      <c r="AV688" s="39">
        <f t="shared" si="199"/>
        <v>0.43293036751000002</v>
      </c>
      <c r="AW688" s="40">
        <v>0.56706963248999998</v>
      </c>
      <c r="AX688">
        <v>0</v>
      </c>
      <c r="AY688" s="18">
        <v>1</v>
      </c>
      <c r="AZ688">
        <v>0.5</v>
      </c>
      <c r="BA688" s="18">
        <v>0.5</v>
      </c>
      <c r="BB688" s="18" t="s">
        <v>474</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7</v>
      </c>
      <c r="DB688" s="34"/>
    </row>
    <row r="689" spans="1:106" x14ac:dyDescent="0.25">
      <c r="A689">
        <v>688</v>
      </c>
      <c r="B689">
        <v>43</v>
      </c>
      <c r="C689" s="25" t="s">
        <v>473</v>
      </c>
      <c r="D689" s="12">
        <v>38.730010917983428</v>
      </c>
      <c r="E689" s="14">
        <v>9.2434393599005791</v>
      </c>
      <c r="F689" s="7">
        <v>4.1900000000000004</v>
      </c>
      <c r="G689" s="7">
        <f t="shared" si="186"/>
        <v>29.486571558082851</v>
      </c>
      <c r="H689" s="16">
        <f t="shared" si="187"/>
        <v>47.973450277884005</v>
      </c>
      <c r="I689" s="11">
        <f t="shared" si="188"/>
        <v>0.12989166183805778</v>
      </c>
      <c r="J689" s="33">
        <f t="shared" si="189"/>
        <v>3.1000396620061522E-2</v>
      </c>
      <c r="K689" s="33">
        <f t="shared" si="190"/>
        <v>32.257651805424402</v>
      </c>
      <c r="L689" s="33">
        <f t="shared" si="191"/>
        <v>9.8891265217996266E-2</v>
      </c>
      <c r="M689" s="33">
        <f t="shared" si="192"/>
        <v>0.1608920584581193</v>
      </c>
      <c r="N689" s="8">
        <v>1</v>
      </c>
      <c r="O689" s="9">
        <v>0</v>
      </c>
      <c r="P689" s="8">
        <v>0</v>
      </c>
      <c r="Q689" s="9">
        <v>1</v>
      </c>
      <c r="R689" s="9">
        <v>0</v>
      </c>
      <c r="S689" s="9">
        <v>0</v>
      </c>
      <c r="T689" s="9">
        <v>0</v>
      </c>
      <c r="U689" s="8">
        <v>1047</v>
      </c>
      <c r="V689" s="9">
        <v>23</v>
      </c>
      <c r="W689" s="9">
        <f t="shared" si="193"/>
        <v>1023</v>
      </c>
      <c r="X689" s="9">
        <f t="shared" si="194"/>
        <v>18</v>
      </c>
      <c r="Y689" s="7">
        <f t="shared" si="198"/>
        <v>7.35</v>
      </c>
      <c r="Z689" s="7">
        <f t="shared" si="197"/>
        <v>21.65</v>
      </c>
      <c r="AA689" s="9">
        <v>0</v>
      </c>
      <c r="AB689" s="9">
        <v>1</v>
      </c>
      <c r="AC689" s="9">
        <v>0</v>
      </c>
      <c r="AD689" s="9">
        <v>0</v>
      </c>
      <c r="AE689" s="9">
        <v>0</v>
      </c>
      <c r="AF689" s="9">
        <v>1</v>
      </c>
      <c r="AG689" s="8">
        <v>0</v>
      </c>
      <c r="AH689" s="9">
        <v>0</v>
      </c>
      <c r="AI689" s="30">
        <v>1</v>
      </c>
      <c r="AJ689" s="9">
        <v>1</v>
      </c>
      <c r="AK689" s="30">
        <v>0</v>
      </c>
      <c r="AL689" s="21">
        <v>1994</v>
      </c>
      <c r="AM689" s="23">
        <f t="shared" si="195"/>
        <v>7.5978979505217836</v>
      </c>
      <c r="AN689" s="33">
        <v>0.15</v>
      </c>
      <c r="AO689" s="33">
        <v>0.53</v>
      </c>
      <c r="AP689" s="33">
        <v>0.28000000000000003</v>
      </c>
      <c r="AQ689" s="43">
        <v>0.04</v>
      </c>
      <c r="AR689" s="42" t="s">
        <v>104</v>
      </c>
      <c r="AS689" s="18" t="s">
        <v>104</v>
      </c>
      <c r="AT689">
        <v>1</v>
      </c>
      <c r="AU689" s="40">
        <v>0</v>
      </c>
      <c r="AV689" s="39">
        <f t="shared" si="199"/>
        <v>0.43293036751000002</v>
      </c>
      <c r="AW689" s="40">
        <v>0.56706963248999998</v>
      </c>
      <c r="AX689">
        <v>0</v>
      </c>
      <c r="AY689" s="18">
        <v>1</v>
      </c>
      <c r="AZ689">
        <v>0.5</v>
      </c>
      <c r="BA689" s="18">
        <v>0.5</v>
      </c>
      <c r="BB689" s="18" t="s">
        <v>474</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7</v>
      </c>
      <c r="DB689" s="34"/>
    </row>
    <row r="690" spans="1:106" x14ac:dyDescent="0.25">
      <c r="A690">
        <v>689</v>
      </c>
      <c r="B690">
        <v>43</v>
      </c>
      <c r="C690" s="25" t="s">
        <v>473</v>
      </c>
      <c r="D690" s="12">
        <v>12.00616283973768</v>
      </c>
      <c r="E690" s="14">
        <v>6.1255932855804476</v>
      </c>
      <c r="F690" s="7">
        <v>1.96</v>
      </c>
      <c r="G690" s="7">
        <f t="shared" si="186"/>
        <v>5.8805695541572325</v>
      </c>
      <c r="H690" s="16">
        <f t="shared" si="187"/>
        <v>18.131756125318127</v>
      </c>
      <c r="I690" s="11">
        <f t="shared" si="188"/>
        <v>8.8288144975126492E-2</v>
      </c>
      <c r="J690" s="33">
        <f t="shared" si="189"/>
        <v>4.5044971926084955E-2</v>
      </c>
      <c r="K690" s="33">
        <f t="shared" si="190"/>
        <v>22.200036036006786</v>
      </c>
      <c r="L690" s="33">
        <f t="shared" si="191"/>
        <v>4.3243173049041538E-2</v>
      </c>
      <c r="M690" s="33">
        <f t="shared" si="192"/>
        <v>0.13333311690121144</v>
      </c>
      <c r="N690" s="8">
        <v>1</v>
      </c>
      <c r="O690" s="9">
        <v>0</v>
      </c>
      <c r="P690" s="8">
        <v>0</v>
      </c>
      <c r="Q690" s="9">
        <v>1</v>
      </c>
      <c r="R690" s="9">
        <v>0</v>
      </c>
      <c r="S690" s="9">
        <v>0</v>
      </c>
      <c r="T690" s="9">
        <v>0</v>
      </c>
      <c r="U690" s="8">
        <v>513</v>
      </c>
      <c r="V690" s="9">
        <v>23</v>
      </c>
      <c r="W690" s="9">
        <f t="shared" si="193"/>
        <v>489</v>
      </c>
      <c r="X690" s="9">
        <f t="shared" si="194"/>
        <v>18</v>
      </c>
      <c r="Y690" s="7">
        <f t="shared" si="198"/>
        <v>9.8699999999999992</v>
      </c>
      <c r="Z690" s="7">
        <f t="shared" si="197"/>
        <v>16.130000000000003</v>
      </c>
      <c r="AA690" s="9">
        <v>0</v>
      </c>
      <c r="AB690" s="9">
        <v>1</v>
      </c>
      <c r="AC690" s="9">
        <v>0</v>
      </c>
      <c r="AD690" s="9">
        <v>0</v>
      </c>
      <c r="AE690" s="9">
        <v>0</v>
      </c>
      <c r="AF690" s="9">
        <v>1</v>
      </c>
      <c r="AG690" s="8">
        <v>0</v>
      </c>
      <c r="AH690" s="9">
        <v>0</v>
      </c>
      <c r="AI690" s="30">
        <v>1</v>
      </c>
      <c r="AJ690" s="9">
        <v>1</v>
      </c>
      <c r="AK690" s="30">
        <v>0</v>
      </c>
      <c r="AL690" s="21">
        <v>1994</v>
      </c>
      <c r="AM690" s="23">
        <f t="shared" si="195"/>
        <v>7.5978979505217836</v>
      </c>
      <c r="AN690" s="33">
        <v>7.0000000000000007E-2</v>
      </c>
      <c r="AO690" s="33">
        <v>0.24</v>
      </c>
      <c r="AP690" s="33">
        <v>0.49</v>
      </c>
      <c r="AQ690" s="43">
        <v>0.2</v>
      </c>
      <c r="AR690" s="42" t="s">
        <v>104</v>
      </c>
      <c r="AS690" s="18" t="s">
        <v>104</v>
      </c>
      <c r="AT690">
        <v>0</v>
      </c>
      <c r="AU690" s="40">
        <v>1</v>
      </c>
      <c r="AV690" s="39">
        <f t="shared" si="199"/>
        <v>0.35160068847000003</v>
      </c>
      <c r="AW690" s="40">
        <v>0.64839931152999997</v>
      </c>
      <c r="AX690">
        <v>0</v>
      </c>
      <c r="AY690" s="18">
        <v>1</v>
      </c>
      <c r="AZ690">
        <v>0.5</v>
      </c>
      <c r="BA690" s="18">
        <v>0.5</v>
      </c>
      <c r="BB690" s="18" t="s">
        <v>474</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7</v>
      </c>
      <c r="DB690" s="34"/>
    </row>
    <row r="691" spans="1:106" x14ac:dyDescent="0.25">
      <c r="A691">
        <v>690</v>
      </c>
      <c r="B691">
        <v>43</v>
      </c>
      <c r="C691" s="25" t="s">
        <v>473</v>
      </c>
      <c r="D691" s="12">
        <v>8.9694548350037309</v>
      </c>
      <c r="E691" s="14">
        <v>2.404679580429955</v>
      </c>
      <c r="F691" s="7">
        <v>3.73</v>
      </c>
      <c r="G691" s="7">
        <f t="shared" si="186"/>
        <v>6.5647752545737763</v>
      </c>
      <c r="H691" s="16">
        <f t="shared" si="187"/>
        <v>11.374134415433685</v>
      </c>
      <c r="I691" s="11">
        <f t="shared" si="188"/>
        <v>0.16632688114206176</v>
      </c>
      <c r="J691" s="33">
        <f t="shared" si="189"/>
        <v>4.4591657142643903E-2</v>
      </c>
      <c r="K691" s="33">
        <f t="shared" si="190"/>
        <v>22.425719609412763</v>
      </c>
      <c r="L691" s="33">
        <f t="shared" si="191"/>
        <v>0.12173522399941786</v>
      </c>
      <c r="M691" s="33">
        <f t="shared" si="192"/>
        <v>0.21091853828470566</v>
      </c>
      <c r="N691" s="8">
        <v>1</v>
      </c>
      <c r="O691" s="9">
        <v>0</v>
      </c>
      <c r="P691" s="8">
        <v>0</v>
      </c>
      <c r="Q691" s="9">
        <v>1</v>
      </c>
      <c r="R691" s="9">
        <v>0</v>
      </c>
      <c r="S691" s="9">
        <v>0</v>
      </c>
      <c r="T691" s="9">
        <v>0</v>
      </c>
      <c r="U691" s="8">
        <v>513</v>
      </c>
      <c r="V691" s="9">
        <v>23</v>
      </c>
      <c r="W691" s="9">
        <f t="shared" si="193"/>
        <v>489</v>
      </c>
      <c r="X691" s="9">
        <f t="shared" si="194"/>
        <v>18</v>
      </c>
      <c r="Y691" s="7">
        <f t="shared" si="198"/>
        <v>9.8699999999999992</v>
      </c>
      <c r="Z691" s="7">
        <f t="shared" si="197"/>
        <v>16.130000000000003</v>
      </c>
      <c r="AA691" s="9">
        <v>0</v>
      </c>
      <c r="AB691" s="9">
        <v>1</v>
      </c>
      <c r="AC691" s="9">
        <v>0</v>
      </c>
      <c r="AD691" s="9">
        <v>0</v>
      </c>
      <c r="AE691" s="9">
        <v>0</v>
      </c>
      <c r="AF691" s="9">
        <v>1</v>
      </c>
      <c r="AG691" s="8">
        <v>0</v>
      </c>
      <c r="AH691" s="9">
        <v>0</v>
      </c>
      <c r="AI691" s="30">
        <v>1</v>
      </c>
      <c r="AJ691" s="9">
        <v>1</v>
      </c>
      <c r="AK691" s="30">
        <v>0</v>
      </c>
      <c r="AL691" s="21">
        <v>1994</v>
      </c>
      <c r="AM691" s="23">
        <f t="shared" si="195"/>
        <v>7.5978979505217836</v>
      </c>
      <c r="AN691" s="33">
        <v>7.0000000000000007E-2</v>
      </c>
      <c r="AO691" s="33">
        <v>0.24</v>
      </c>
      <c r="AP691" s="33">
        <v>0.49</v>
      </c>
      <c r="AQ691" s="43">
        <v>0.2</v>
      </c>
      <c r="AR691" s="42" t="s">
        <v>104</v>
      </c>
      <c r="AS691" s="18" t="s">
        <v>104</v>
      </c>
      <c r="AT691">
        <v>0</v>
      </c>
      <c r="AU691" s="40">
        <v>1</v>
      </c>
      <c r="AV691" s="39">
        <f t="shared" si="199"/>
        <v>0.35160068847000003</v>
      </c>
      <c r="AW691" s="40">
        <v>0.64839931152999997</v>
      </c>
      <c r="AX691">
        <v>0</v>
      </c>
      <c r="AY691" s="18">
        <v>1</v>
      </c>
      <c r="AZ691">
        <v>0.5</v>
      </c>
      <c r="BA691" s="18">
        <v>0.5</v>
      </c>
      <c r="BB691" s="18" t="s">
        <v>474</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7</v>
      </c>
      <c r="DB691" s="34"/>
    </row>
    <row r="692" spans="1:106" x14ac:dyDescent="0.25">
      <c r="A692">
        <v>691</v>
      </c>
      <c r="B692">
        <v>43</v>
      </c>
      <c r="C692" s="25" t="s">
        <v>473</v>
      </c>
      <c r="D692" s="12">
        <v>22.31612006930872</v>
      </c>
      <c r="E692" s="14">
        <v>3.5935781109997942</v>
      </c>
      <c r="F692" s="7">
        <v>6.21</v>
      </c>
      <c r="G692" s="7">
        <f t="shared" si="186"/>
        <v>18.722541958308927</v>
      </c>
      <c r="H692" s="16">
        <f t="shared" si="187"/>
        <v>25.909698180308514</v>
      </c>
      <c r="I692" s="11">
        <f t="shared" si="188"/>
        <v>0.27036718718833697</v>
      </c>
      <c r="J692" s="33">
        <f t="shared" si="189"/>
        <v>4.3537389241278097E-2</v>
      </c>
      <c r="K692" s="33">
        <f t="shared" si="190"/>
        <v>22.96876357142456</v>
      </c>
      <c r="L692" s="33">
        <f t="shared" si="191"/>
        <v>0.22682979794705888</v>
      </c>
      <c r="M692" s="33">
        <f t="shared" si="192"/>
        <v>0.31390457642961506</v>
      </c>
      <c r="N692" s="8">
        <v>1</v>
      </c>
      <c r="O692" s="9">
        <v>0</v>
      </c>
      <c r="P692" s="8">
        <v>0</v>
      </c>
      <c r="Q692" s="9">
        <v>1</v>
      </c>
      <c r="R692" s="9">
        <v>0</v>
      </c>
      <c r="S692" s="9">
        <v>0</v>
      </c>
      <c r="T692" s="9">
        <v>0</v>
      </c>
      <c r="U692" s="8">
        <v>513</v>
      </c>
      <c r="V692" s="9">
        <v>23</v>
      </c>
      <c r="W692" s="9">
        <f t="shared" si="193"/>
        <v>489</v>
      </c>
      <c r="X692" s="9">
        <f t="shared" si="194"/>
        <v>18</v>
      </c>
      <c r="Y692" s="7">
        <f t="shared" si="198"/>
        <v>9.8699999999999992</v>
      </c>
      <c r="Z692" s="7">
        <f t="shared" si="197"/>
        <v>16.130000000000003</v>
      </c>
      <c r="AA692" s="9">
        <v>0</v>
      </c>
      <c r="AB692" s="9">
        <v>1</v>
      </c>
      <c r="AC692" s="9">
        <v>0</v>
      </c>
      <c r="AD692" s="9">
        <v>0</v>
      </c>
      <c r="AE692" s="9">
        <v>0</v>
      </c>
      <c r="AF692" s="9">
        <v>1</v>
      </c>
      <c r="AG692" s="8">
        <v>0</v>
      </c>
      <c r="AH692" s="9">
        <v>0</v>
      </c>
      <c r="AI692" s="30">
        <v>1</v>
      </c>
      <c r="AJ692" s="9">
        <v>1</v>
      </c>
      <c r="AK692" s="30">
        <v>0</v>
      </c>
      <c r="AL692" s="21">
        <v>1994</v>
      </c>
      <c r="AM692" s="23">
        <f t="shared" si="195"/>
        <v>7.5978979505217836</v>
      </c>
      <c r="AN692" s="33">
        <v>7.0000000000000007E-2</v>
      </c>
      <c r="AO692" s="33">
        <v>0.24</v>
      </c>
      <c r="AP692" s="33">
        <v>0.49</v>
      </c>
      <c r="AQ692" s="43">
        <v>0.2</v>
      </c>
      <c r="AR692" s="42" t="s">
        <v>104</v>
      </c>
      <c r="AS692" s="18" t="s">
        <v>104</v>
      </c>
      <c r="AT692">
        <v>0</v>
      </c>
      <c r="AU692" s="40">
        <v>1</v>
      </c>
      <c r="AV692" s="39">
        <f t="shared" si="199"/>
        <v>0.35160068847000003</v>
      </c>
      <c r="AW692" s="40">
        <v>0.64839931152999997</v>
      </c>
      <c r="AX692">
        <v>0</v>
      </c>
      <c r="AY692" s="18">
        <v>1</v>
      </c>
      <c r="AZ692">
        <v>0.5</v>
      </c>
      <c r="BA692" s="18">
        <v>0.5</v>
      </c>
      <c r="BB692" s="18" t="s">
        <v>474</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7</v>
      </c>
      <c r="DB692" s="34"/>
    </row>
    <row r="693" spans="1:106" x14ac:dyDescent="0.25">
      <c r="A693">
        <v>692</v>
      </c>
      <c r="B693">
        <v>43</v>
      </c>
      <c r="C693" s="25" t="s">
        <v>473</v>
      </c>
      <c r="D693" s="12">
        <v>6.1904202080048591</v>
      </c>
      <c r="E693" s="14">
        <v>2.32722564210709</v>
      </c>
      <c r="F693" s="7">
        <v>2.66</v>
      </c>
      <c r="G693" s="7">
        <f t="shared" si="186"/>
        <v>3.8631945658977691</v>
      </c>
      <c r="H693" s="16">
        <f t="shared" si="187"/>
        <v>8.5176458501119487</v>
      </c>
      <c r="I693" s="11">
        <f t="shared" si="188"/>
        <v>0.10456928169386118</v>
      </c>
      <c r="J693" s="33">
        <f t="shared" si="189"/>
        <v>3.9311760035286157E-2</v>
      </c>
      <c r="K693" s="33">
        <f t="shared" si="190"/>
        <v>25.43768071188881</v>
      </c>
      <c r="L693" s="33">
        <f t="shared" si="191"/>
        <v>6.5257521658575013E-2</v>
      </c>
      <c r="M693" s="33">
        <f t="shared" si="192"/>
        <v>0.14388104172914734</v>
      </c>
      <c r="N693" s="8">
        <v>1</v>
      </c>
      <c r="O693" s="9">
        <v>0</v>
      </c>
      <c r="P693" s="8">
        <v>0</v>
      </c>
      <c r="Q693" s="9">
        <v>1</v>
      </c>
      <c r="R693" s="9">
        <v>0</v>
      </c>
      <c r="S693" s="9">
        <v>0</v>
      </c>
      <c r="T693" s="9">
        <v>0</v>
      </c>
      <c r="U693" s="8">
        <v>664</v>
      </c>
      <c r="V693" s="9">
        <v>23</v>
      </c>
      <c r="W693" s="9">
        <f t="shared" si="193"/>
        <v>640</v>
      </c>
      <c r="X693" s="9">
        <f t="shared" si="194"/>
        <v>18</v>
      </c>
      <c r="Y693" s="7">
        <f t="shared" si="198"/>
        <v>6.78</v>
      </c>
      <c r="Z693" s="7">
        <f t="shared" si="197"/>
        <v>16.22</v>
      </c>
      <c r="AA693" s="9">
        <v>0</v>
      </c>
      <c r="AB693" s="9">
        <v>1</v>
      </c>
      <c r="AC693" s="9">
        <v>0</v>
      </c>
      <c r="AD693" s="9">
        <v>0</v>
      </c>
      <c r="AE693" s="9">
        <v>0</v>
      </c>
      <c r="AF693" s="9">
        <v>1</v>
      </c>
      <c r="AG693" s="8">
        <v>0</v>
      </c>
      <c r="AH693" s="9">
        <v>0</v>
      </c>
      <c r="AI693" s="30">
        <v>1</v>
      </c>
      <c r="AJ693" s="9">
        <v>1</v>
      </c>
      <c r="AK693" s="30">
        <v>0</v>
      </c>
      <c r="AL693" s="21">
        <v>1994</v>
      </c>
      <c r="AM693" s="23">
        <f t="shared" si="195"/>
        <v>7.5978979505217836</v>
      </c>
      <c r="AN693" s="33">
        <v>0.23</v>
      </c>
      <c r="AO693" s="33">
        <v>0.46</v>
      </c>
      <c r="AP693" s="33">
        <v>0.26</v>
      </c>
      <c r="AQ693" s="43">
        <v>0.05</v>
      </c>
      <c r="AR693" s="42" t="s">
        <v>104</v>
      </c>
      <c r="AS693" s="18" t="s">
        <v>104</v>
      </c>
      <c r="AT693">
        <v>0</v>
      </c>
      <c r="AU693" s="40">
        <v>1</v>
      </c>
      <c r="AV693" s="39">
        <f t="shared" si="199"/>
        <v>0.35160068847000003</v>
      </c>
      <c r="AW693" s="40">
        <v>0.64839931152999997</v>
      </c>
      <c r="AX693">
        <v>0</v>
      </c>
      <c r="AY693" s="18">
        <v>1</v>
      </c>
      <c r="AZ693">
        <v>0.5</v>
      </c>
      <c r="BA693" s="18">
        <v>0.5</v>
      </c>
      <c r="BB693" s="18" t="s">
        <v>474</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7</v>
      </c>
      <c r="DB693" s="34"/>
    </row>
    <row r="694" spans="1:106" x14ac:dyDescent="0.25">
      <c r="A694">
        <v>693</v>
      </c>
      <c r="B694">
        <v>43</v>
      </c>
      <c r="C694" s="25" t="s">
        <v>473</v>
      </c>
      <c r="D694" s="12">
        <v>10.29743904822287</v>
      </c>
      <c r="E694" s="14">
        <v>1.652879461994039</v>
      </c>
      <c r="F694" s="7">
        <v>6.23</v>
      </c>
      <c r="G694" s="7">
        <f t="shared" si="186"/>
        <v>8.64455958622883</v>
      </c>
      <c r="H694" s="16">
        <f t="shared" si="187"/>
        <v>11.95031851021691</v>
      </c>
      <c r="I694" s="11">
        <f t="shared" si="188"/>
        <v>0.23911840391605699</v>
      </c>
      <c r="J694" s="33">
        <f t="shared" si="189"/>
        <v>3.8381766278660835E-2</v>
      </c>
      <c r="K694" s="33">
        <f t="shared" si="190"/>
        <v>26.054038074739967</v>
      </c>
      <c r="L694" s="33">
        <f t="shared" si="191"/>
        <v>0.20073663763739616</v>
      </c>
      <c r="M694" s="33">
        <f t="shared" si="192"/>
        <v>0.27750017019471784</v>
      </c>
      <c r="N694" s="8">
        <v>1</v>
      </c>
      <c r="O694" s="9">
        <v>0</v>
      </c>
      <c r="P694" s="8">
        <v>0</v>
      </c>
      <c r="Q694" s="9">
        <v>1</v>
      </c>
      <c r="R694" s="9">
        <v>0</v>
      </c>
      <c r="S694" s="9">
        <v>0</v>
      </c>
      <c r="T694" s="9">
        <v>0</v>
      </c>
      <c r="U694" s="8">
        <v>664</v>
      </c>
      <c r="V694" s="9">
        <v>23</v>
      </c>
      <c r="W694" s="9">
        <f t="shared" si="193"/>
        <v>640</v>
      </c>
      <c r="X694" s="9">
        <f t="shared" si="194"/>
        <v>18</v>
      </c>
      <c r="Y694" s="7">
        <f t="shared" si="198"/>
        <v>6.78</v>
      </c>
      <c r="Z694" s="7">
        <f t="shared" si="197"/>
        <v>16.22</v>
      </c>
      <c r="AA694" s="9">
        <v>0</v>
      </c>
      <c r="AB694" s="9">
        <v>1</v>
      </c>
      <c r="AC694" s="9">
        <v>0</v>
      </c>
      <c r="AD694" s="9">
        <v>0</v>
      </c>
      <c r="AE694" s="9">
        <v>0</v>
      </c>
      <c r="AF694" s="9">
        <v>1</v>
      </c>
      <c r="AG694" s="8">
        <v>0</v>
      </c>
      <c r="AH694" s="9">
        <v>0</v>
      </c>
      <c r="AI694" s="30">
        <v>1</v>
      </c>
      <c r="AJ694" s="9">
        <v>1</v>
      </c>
      <c r="AK694" s="30">
        <v>0</v>
      </c>
      <c r="AL694" s="21">
        <v>1994</v>
      </c>
      <c r="AM694" s="23">
        <f t="shared" si="195"/>
        <v>7.5978979505217836</v>
      </c>
      <c r="AN694" s="33">
        <v>0.23</v>
      </c>
      <c r="AO694" s="33">
        <v>0.46</v>
      </c>
      <c r="AP694" s="33">
        <v>0.26</v>
      </c>
      <c r="AQ694" s="43">
        <v>0.05</v>
      </c>
      <c r="AR694" s="42" t="s">
        <v>104</v>
      </c>
      <c r="AS694" s="18" t="s">
        <v>104</v>
      </c>
      <c r="AT694">
        <v>0</v>
      </c>
      <c r="AU694" s="40">
        <v>1</v>
      </c>
      <c r="AV694" s="39">
        <f t="shared" si="199"/>
        <v>0.35160068847000003</v>
      </c>
      <c r="AW694" s="40">
        <v>0.64839931152999997</v>
      </c>
      <c r="AX694">
        <v>0</v>
      </c>
      <c r="AY694" s="18">
        <v>1</v>
      </c>
      <c r="AZ694">
        <v>0.5</v>
      </c>
      <c r="BA694" s="18">
        <v>0.5</v>
      </c>
      <c r="BB694" s="18" t="s">
        <v>474</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7</v>
      </c>
      <c r="DB694" s="34"/>
    </row>
    <row r="695" spans="1:106" x14ac:dyDescent="0.25">
      <c r="A695">
        <v>694</v>
      </c>
      <c r="B695">
        <v>43</v>
      </c>
      <c r="C695" s="25" t="s">
        <v>473</v>
      </c>
      <c r="D695" s="12">
        <v>34.809974988792533</v>
      </c>
      <c r="E695" s="14">
        <v>5.7920091495495054</v>
      </c>
      <c r="F695" s="7">
        <v>6.01</v>
      </c>
      <c r="G695" s="7">
        <f t="shared" si="186"/>
        <v>29.017965839243026</v>
      </c>
      <c r="H695" s="16">
        <f t="shared" si="187"/>
        <v>40.60198413834204</v>
      </c>
      <c r="I695" s="11">
        <f t="shared" si="188"/>
        <v>0.23113331517875543</v>
      </c>
      <c r="J695" s="33">
        <f t="shared" si="189"/>
        <v>3.8458122325916042E-2</v>
      </c>
      <c r="K695" s="33">
        <f t="shared" si="190"/>
        <v>26.002309512810591</v>
      </c>
      <c r="L695" s="33">
        <f t="shared" si="191"/>
        <v>0.19267519285283941</v>
      </c>
      <c r="M695" s="33">
        <f t="shared" si="192"/>
        <v>0.26959143750467146</v>
      </c>
      <c r="N695" s="8">
        <v>1</v>
      </c>
      <c r="O695" s="9">
        <v>0</v>
      </c>
      <c r="P695" s="8">
        <v>0</v>
      </c>
      <c r="Q695" s="9">
        <v>1</v>
      </c>
      <c r="R695" s="9">
        <v>0</v>
      </c>
      <c r="S695" s="9">
        <v>0</v>
      </c>
      <c r="T695" s="9">
        <v>0</v>
      </c>
      <c r="U695" s="8">
        <v>664</v>
      </c>
      <c r="V695" s="9">
        <v>23</v>
      </c>
      <c r="W695" s="9">
        <f t="shared" si="193"/>
        <v>640</v>
      </c>
      <c r="X695" s="9">
        <f t="shared" si="194"/>
        <v>18</v>
      </c>
      <c r="Y695" s="7">
        <f t="shared" si="198"/>
        <v>6.78</v>
      </c>
      <c r="Z695" s="7">
        <f t="shared" si="197"/>
        <v>16.22</v>
      </c>
      <c r="AA695" s="9">
        <v>0</v>
      </c>
      <c r="AB695" s="9">
        <v>1</v>
      </c>
      <c r="AC695" s="9">
        <v>0</v>
      </c>
      <c r="AD695" s="9">
        <v>0</v>
      </c>
      <c r="AE695" s="9">
        <v>0</v>
      </c>
      <c r="AF695" s="9">
        <v>1</v>
      </c>
      <c r="AG695" s="8">
        <v>0</v>
      </c>
      <c r="AH695" s="9">
        <v>0</v>
      </c>
      <c r="AI695" s="30">
        <v>1</v>
      </c>
      <c r="AJ695" s="9">
        <v>1</v>
      </c>
      <c r="AK695" s="30">
        <v>0</v>
      </c>
      <c r="AL695" s="21">
        <v>1994</v>
      </c>
      <c r="AM695" s="23">
        <f t="shared" si="195"/>
        <v>7.5978979505217836</v>
      </c>
      <c r="AN695" s="33">
        <v>0.23</v>
      </c>
      <c r="AO695" s="33">
        <v>0.46</v>
      </c>
      <c r="AP695" s="33">
        <v>0.26</v>
      </c>
      <c r="AQ695" s="43">
        <v>0.05</v>
      </c>
      <c r="AR695" s="42" t="s">
        <v>104</v>
      </c>
      <c r="AS695" s="18" t="s">
        <v>104</v>
      </c>
      <c r="AT695">
        <v>0</v>
      </c>
      <c r="AU695" s="40">
        <v>1</v>
      </c>
      <c r="AV695" s="39">
        <f t="shared" si="199"/>
        <v>0.35160068847000003</v>
      </c>
      <c r="AW695" s="40">
        <v>0.64839931152999997</v>
      </c>
      <c r="AX695">
        <v>0</v>
      </c>
      <c r="AY695" s="18">
        <v>1</v>
      </c>
      <c r="AZ695">
        <v>0.5</v>
      </c>
      <c r="BA695" s="18">
        <v>0.5</v>
      </c>
      <c r="BB695" s="18" t="s">
        <v>474</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7</v>
      </c>
      <c r="DB695" s="34"/>
    </row>
    <row r="696" spans="1:106" x14ac:dyDescent="0.25">
      <c r="A696">
        <v>695</v>
      </c>
      <c r="B696">
        <v>43</v>
      </c>
      <c r="C696" s="25" t="s">
        <v>473</v>
      </c>
      <c r="D696" s="12">
        <v>13.91253903186354</v>
      </c>
      <c r="E696" s="14">
        <v>3.09167534041412</v>
      </c>
      <c r="F696" s="7">
        <v>4.5</v>
      </c>
      <c r="G696" s="7">
        <f t="shared" si="186"/>
        <v>10.82086369144942</v>
      </c>
      <c r="H696" s="16">
        <f t="shared" si="187"/>
        <v>17.004214372277659</v>
      </c>
      <c r="I696" s="11">
        <f t="shared" si="188"/>
        <v>0.15245480549590701</v>
      </c>
      <c r="J696" s="33">
        <f t="shared" si="189"/>
        <v>3.3878845665757114E-2</v>
      </c>
      <c r="K696" s="33">
        <f t="shared" si="190"/>
        <v>29.51694428629088</v>
      </c>
      <c r="L696" s="33">
        <f t="shared" si="191"/>
        <v>0.1185759598301499</v>
      </c>
      <c r="M696" s="33">
        <f t="shared" si="192"/>
        <v>0.18633365116166412</v>
      </c>
      <c r="N696" s="8">
        <v>1</v>
      </c>
      <c r="O696" s="9">
        <v>0</v>
      </c>
      <c r="P696" s="8">
        <v>0</v>
      </c>
      <c r="Q696" s="9">
        <v>1</v>
      </c>
      <c r="R696" s="9">
        <v>0</v>
      </c>
      <c r="S696" s="9">
        <v>0</v>
      </c>
      <c r="T696" s="9">
        <v>0</v>
      </c>
      <c r="U696" s="8">
        <v>875</v>
      </c>
      <c r="V696" s="9">
        <v>23</v>
      </c>
      <c r="W696" s="9">
        <f t="shared" si="193"/>
        <v>851</v>
      </c>
      <c r="X696" s="9">
        <f t="shared" si="194"/>
        <v>18</v>
      </c>
      <c r="Y696" s="7">
        <f t="shared" si="198"/>
        <v>3.1</v>
      </c>
      <c r="Z696" s="7">
        <f t="shared" si="197"/>
        <v>23.9</v>
      </c>
      <c r="AA696" s="9">
        <v>0</v>
      </c>
      <c r="AB696" s="9">
        <v>1</v>
      </c>
      <c r="AC696" s="9">
        <v>0</v>
      </c>
      <c r="AD696" s="9">
        <v>0</v>
      </c>
      <c r="AE696" s="9">
        <v>0</v>
      </c>
      <c r="AF696" s="9">
        <v>1</v>
      </c>
      <c r="AG696" s="8">
        <v>0</v>
      </c>
      <c r="AH696" s="9">
        <v>0</v>
      </c>
      <c r="AI696" s="30">
        <v>1</v>
      </c>
      <c r="AJ696" s="9">
        <v>1</v>
      </c>
      <c r="AK696" s="30">
        <v>0</v>
      </c>
      <c r="AL696" s="21">
        <v>1994</v>
      </c>
      <c r="AM696" s="23">
        <f t="shared" si="195"/>
        <v>7.5978979505217836</v>
      </c>
      <c r="AN696" s="33">
        <v>0.62</v>
      </c>
      <c r="AO696" s="33">
        <v>0.27</v>
      </c>
      <c r="AP696" s="33">
        <v>0.11</v>
      </c>
      <c r="AQ696" s="43">
        <v>0</v>
      </c>
      <c r="AR696" s="42" t="s">
        <v>104</v>
      </c>
      <c r="AS696" s="18" t="s">
        <v>104</v>
      </c>
      <c r="AT696">
        <v>0</v>
      </c>
      <c r="AU696" s="40">
        <v>1</v>
      </c>
      <c r="AV696" s="39">
        <f t="shared" si="199"/>
        <v>0.35160068847000003</v>
      </c>
      <c r="AW696" s="40">
        <v>0.64839931152999997</v>
      </c>
      <c r="AX696">
        <v>0</v>
      </c>
      <c r="AY696" s="18">
        <v>1</v>
      </c>
      <c r="AZ696">
        <v>0.5</v>
      </c>
      <c r="BA696" s="18">
        <v>0.5</v>
      </c>
      <c r="BB696" s="18" t="s">
        <v>474</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7</v>
      </c>
      <c r="DB696" s="34"/>
    </row>
    <row r="697" spans="1:106" x14ac:dyDescent="0.25">
      <c r="A697">
        <v>696</v>
      </c>
      <c r="B697">
        <v>43</v>
      </c>
      <c r="C697" s="25" t="s">
        <v>473</v>
      </c>
      <c r="D697" s="12">
        <v>3.5558076341622109</v>
      </c>
      <c r="E697" s="14">
        <v>0.78321754056436377</v>
      </c>
      <c r="F697" s="7">
        <v>4.54</v>
      </c>
      <c r="G697" s="7">
        <f t="shared" si="186"/>
        <v>2.7725900935978469</v>
      </c>
      <c r="H697" s="16">
        <f t="shared" si="187"/>
        <v>4.3390251747265749</v>
      </c>
      <c r="I697" s="11">
        <f t="shared" si="188"/>
        <v>0.15377805092955182</v>
      </c>
      <c r="J697" s="33">
        <f t="shared" si="189"/>
        <v>3.3871817385363844E-2</v>
      </c>
      <c r="K697" s="33">
        <f t="shared" si="190"/>
        <v>29.523068946164791</v>
      </c>
      <c r="L697" s="33">
        <f t="shared" si="191"/>
        <v>0.11990623354418797</v>
      </c>
      <c r="M697" s="33">
        <f t="shared" si="192"/>
        <v>0.18764986831491567</v>
      </c>
      <c r="N697" s="8">
        <v>1</v>
      </c>
      <c r="O697" s="9">
        <v>0</v>
      </c>
      <c r="P697" s="8">
        <v>0</v>
      </c>
      <c r="Q697" s="9">
        <v>1</v>
      </c>
      <c r="R697" s="9">
        <v>0</v>
      </c>
      <c r="S697" s="9">
        <v>0</v>
      </c>
      <c r="T697" s="9">
        <v>0</v>
      </c>
      <c r="U697" s="8">
        <v>875</v>
      </c>
      <c r="V697" s="9">
        <v>23</v>
      </c>
      <c r="W697" s="9">
        <f t="shared" si="193"/>
        <v>851</v>
      </c>
      <c r="X697" s="9">
        <f t="shared" si="194"/>
        <v>18</v>
      </c>
      <c r="Y697" s="7">
        <f t="shared" si="198"/>
        <v>3.1</v>
      </c>
      <c r="Z697" s="7">
        <f t="shared" si="197"/>
        <v>23.9</v>
      </c>
      <c r="AA697" s="9">
        <v>0</v>
      </c>
      <c r="AB697" s="9">
        <v>1</v>
      </c>
      <c r="AC697" s="9">
        <v>0</v>
      </c>
      <c r="AD697" s="9">
        <v>0</v>
      </c>
      <c r="AE697" s="9">
        <v>0</v>
      </c>
      <c r="AF697" s="9">
        <v>1</v>
      </c>
      <c r="AG697" s="8">
        <v>0</v>
      </c>
      <c r="AH697" s="9">
        <v>0</v>
      </c>
      <c r="AI697" s="30">
        <v>1</v>
      </c>
      <c r="AJ697" s="9">
        <v>1</v>
      </c>
      <c r="AK697" s="30">
        <v>0</v>
      </c>
      <c r="AL697" s="21">
        <v>1994</v>
      </c>
      <c r="AM697" s="23">
        <f t="shared" si="195"/>
        <v>7.5978979505217836</v>
      </c>
      <c r="AN697" s="33">
        <v>0.62</v>
      </c>
      <c r="AO697" s="33">
        <v>0.27</v>
      </c>
      <c r="AP697" s="33">
        <v>0.11</v>
      </c>
      <c r="AQ697" s="43">
        <v>0</v>
      </c>
      <c r="AR697" s="42" t="s">
        <v>104</v>
      </c>
      <c r="AS697" s="18" t="s">
        <v>104</v>
      </c>
      <c r="AT697">
        <v>0</v>
      </c>
      <c r="AU697" s="40">
        <v>1</v>
      </c>
      <c r="AV697" s="39">
        <f t="shared" si="199"/>
        <v>0.35160068847000003</v>
      </c>
      <c r="AW697" s="40">
        <v>0.64839931152999997</v>
      </c>
      <c r="AX697">
        <v>0</v>
      </c>
      <c r="AY697" s="18">
        <v>1</v>
      </c>
      <c r="AZ697">
        <v>0.5</v>
      </c>
      <c r="BA697" s="18">
        <v>0.5</v>
      </c>
      <c r="BB697" s="18" t="s">
        <v>474</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7</v>
      </c>
      <c r="DB697" s="34"/>
    </row>
    <row r="698" spans="1:106" s="148" customFormat="1" x14ac:dyDescent="0.25">
      <c r="A698" s="148">
        <v>697</v>
      </c>
      <c r="B698" s="148">
        <v>43</v>
      </c>
      <c r="C698" s="149" t="s">
        <v>473</v>
      </c>
      <c r="D698" s="150">
        <v>30.647655617245871</v>
      </c>
      <c r="E698" s="151">
        <v>4.8112489195048456</v>
      </c>
      <c r="F698" s="152">
        <v>6.37</v>
      </c>
      <c r="G698" s="152">
        <f t="shared" si="186"/>
        <v>25.836406697741026</v>
      </c>
      <c r="H698" s="153">
        <f t="shared" si="187"/>
        <v>35.458904536750715</v>
      </c>
      <c r="I698" s="154">
        <f t="shared" si="188"/>
        <v>0.21333397643449015</v>
      </c>
      <c r="J698" s="155">
        <f t="shared" si="189"/>
        <v>3.3490420162400336E-2</v>
      </c>
      <c r="K698" s="155">
        <f t="shared" si="190"/>
        <v>29.859284988090387</v>
      </c>
      <c r="L698" s="155">
        <f t="shared" si="191"/>
        <v>0.17984355627208981</v>
      </c>
      <c r="M698" s="155">
        <f t="shared" si="192"/>
        <v>0.24682439659689048</v>
      </c>
      <c r="N698" s="156">
        <v>1</v>
      </c>
      <c r="O698" s="157">
        <v>0</v>
      </c>
      <c r="P698" s="156">
        <v>0</v>
      </c>
      <c r="Q698" s="157">
        <v>1</v>
      </c>
      <c r="R698" s="157">
        <v>0</v>
      </c>
      <c r="S698" s="157">
        <v>0</v>
      </c>
      <c r="T698" s="157">
        <v>0</v>
      </c>
      <c r="U698" s="156">
        <v>875</v>
      </c>
      <c r="V698" s="157">
        <v>23</v>
      </c>
      <c r="W698" s="157">
        <f t="shared" si="193"/>
        <v>851</v>
      </c>
      <c r="X698" s="157">
        <f t="shared" si="194"/>
        <v>18</v>
      </c>
      <c r="Y698" s="152">
        <f t="shared" si="198"/>
        <v>3.1</v>
      </c>
      <c r="Z698" s="152">
        <f t="shared" si="197"/>
        <v>23.9</v>
      </c>
      <c r="AA698" s="157">
        <v>0</v>
      </c>
      <c r="AB698" s="157">
        <v>1</v>
      </c>
      <c r="AC698" s="157">
        <v>0</v>
      </c>
      <c r="AD698" s="157">
        <v>0</v>
      </c>
      <c r="AE698" s="157">
        <v>0</v>
      </c>
      <c r="AF698" s="157">
        <v>1</v>
      </c>
      <c r="AG698" s="156">
        <v>0</v>
      </c>
      <c r="AH698" s="157">
        <v>0</v>
      </c>
      <c r="AI698" s="158">
        <v>1</v>
      </c>
      <c r="AJ698" s="157">
        <v>1</v>
      </c>
      <c r="AK698" s="158">
        <v>0</v>
      </c>
      <c r="AL698" s="159">
        <v>1994</v>
      </c>
      <c r="AM698" s="160">
        <f t="shared" si="195"/>
        <v>7.5978979505217836</v>
      </c>
      <c r="AN698" s="155">
        <v>0.62</v>
      </c>
      <c r="AO698" s="155">
        <v>0.27</v>
      </c>
      <c r="AP698" s="155">
        <v>0.11</v>
      </c>
      <c r="AQ698" s="161">
        <v>0</v>
      </c>
      <c r="AR698" s="162" t="s">
        <v>104</v>
      </c>
      <c r="AS698" s="163" t="s">
        <v>104</v>
      </c>
      <c r="AT698" s="148">
        <v>0</v>
      </c>
      <c r="AU698" s="164">
        <v>1</v>
      </c>
      <c r="AV698" s="180">
        <f t="shared" si="199"/>
        <v>0.35160068847000003</v>
      </c>
      <c r="AW698" s="164">
        <v>0.64839931152999997</v>
      </c>
      <c r="AX698">
        <v>0</v>
      </c>
      <c r="AY698" s="163">
        <v>1</v>
      </c>
      <c r="AZ698" s="148">
        <v>0.5</v>
      </c>
      <c r="BA698" s="163">
        <v>0.5</v>
      </c>
      <c r="BB698" s="163" t="s">
        <v>474</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7</v>
      </c>
      <c r="CW698" s="165"/>
      <c r="DB698" s="165"/>
    </row>
    <row r="699" spans="1:106" x14ac:dyDescent="0.25">
      <c r="A699">
        <v>698</v>
      </c>
      <c r="B699">
        <v>44</v>
      </c>
      <c r="C699" s="25" t="s">
        <v>483</v>
      </c>
      <c r="D699" s="12">
        <v>7.9</v>
      </c>
      <c r="E699" s="14">
        <v>0.63200000000000001</v>
      </c>
      <c r="F699" s="7">
        <v>12.5</v>
      </c>
      <c r="G699" s="7">
        <f t="shared" si="186"/>
        <v>7.2680000000000007</v>
      </c>
      <c r="H699" s="16">
        <f t="shared" si="187"/>
        <v>8.532</v>
      </c>
      <c r="I699" s="11">
        <f t="shared" si="188"/>
        <v>5.0824237087487905E-3</v>
      </c>
      <c r="J699" s="33">
        <f t="shared" si="189"/>
        <v>4.0659389669990326E-4</v>
      </c>
      <c r="K699" s="33">
        <f t="shared" si="190"/>
        <v>2459.4564948378329</v>
      </c>
      <c r="L699" s="33">
        <f t="shared" si="191"/>
        <v>4.6758298120488876E-3</v>
      </c>
      <c r="M699" s="33">
        <f t="shared" si="192"/>
        <v>5.4890176054486935E-3</v>
      </c>
      <c r="N699" s="8">
        <v>0</v>
      </c>
      <c r="O699" s="9">
        <v>1</v>
      </c>
      <c r="P699" s="8">
        <v>0</v>
      </c>
      <c r="Q699" s="9">
        <v>0</v>
      </c>
      <c r="R699" s="9">
        <v>0</v>
      </c>
      <c r="S699" s="9">
        <v>1</v>
      </c>
      <c r="T699" s="9">
        <v>0</v>
      </c>
      <c r="U699" s="8">
        <v>6048776</v>
      </c>
      <c r="V699" s="9">
        <v>5</v>
      </c>
      <c r="W699" s="9">
        <f t="shared" si="193"/>
        <v>6048770</v>
      </c>
      <c r="X699" s="9">
        <f t="shared" si="194"/>
        <v>6</v>
      </c>
      <c r="Y699" s="7">
        <v>12.36</v>
      </c>
      <c r="Z699" s="7">
        <v>20.5</v>
      </c>
      <c r="AA699" s="9">
        <v>1</v>
      </c>
      <c r="AB699" s="9">
        <v>0</v>
      </c>
      <c r="AC699" s="9">
        <v>0</v>
      </c>
      <c r="AD699" s="9">
        <v>0</v>
      </c>
      <c r="AE699" s="9">
        <v>0</v>
      </c>
      <c r="AF699" s="9">
        <v>1</v>
      </c>
      <c r="AG699" s="8">
        <v>0</v>
      </c>
      <c r="AH699" s="9">
        <v>0</v>
      </c>
      <c r="AI699" s="30">
        <v>1</v>
      </c>
      <c r="AJ699" s="9">
        <v>0</v>
      </c>
      <c r="AK699" s="30">
        <v>1</v>
      </c>
      <c r="AL699" s="21">
        <v>1991</v>
      </c>
      <c r="AM699" s="23">
        <f t="shared" si="195"/>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484</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26</v>
      </c>
      <c r="DB699" s="34"/>
    </row>
    <row r="700" spans="1:106" x14ac:dyDescent="0.25">
      <c r="A700">
        <v>699</v>
      </c>
      <c r="B700">
        <v>44</v>
      </c>
      <c r="C700" s="25" t="s">
        <v>483</v>
      </c>
      <c r="D700" s="12">
        <v>7.5</v>
      </c>
      <c r="E700" s="14">
        <v>0.67164179104477617</v>
      </c>
      <c r="F700" s="7">
        <v>11.16666666666667</v>
      </c>
      <c r="G700" s="7">
        <f t="shared" si="186"/>
        <v>6.8283582089552235</v>
      </c>
      <c r="H700" s="16">
        <f t="shared" si="187"/>
        <v>8.1716417910447756</v>
      </c>
      <c r="I700" s="11">
        <f t="shared" si="188"/>
        <v>4.5403103559286647E-3</v>
      </c>
      <c r="J700" s="33">
        <f t="shared" si="189"/>
        <v>4.0659495724734295E-4</v>
      </c>
      <c r="K700" s="33">
        <f t="shared" si="190"/>
        <v>2459.4500796813186</v>
      </c>
      <c r="L700" s="33">
        <f t="shared" si="191"/>
        <v>4.1337153986813219E-3</v>
      </c>
      <c r="M700" s="33">
        <f t="shared" si="192"/>
        <v>4.9469053131760074E-3</v>
      </c>
      <c r="N700" s="8">
        <v>0</v>
      </c>
      <c r="O700" s="9">
        <v>1</v>
      </c>
      <c r="P700" s="8">
        <v>0</v>
      </c>
      <c r="Q700" s="9">
        <v>0</v>
      </c>
      <c r="R700" s="9">
        <v>0</v>
      </c>
      <c r="S700" s="9">
        <v>1</v>
      </c>
      <c r="T700" s="9">
        <v>0</v>
      </c>
      <c r="U700" s="8">
        <v>6048776</v>
      </c>
      <c r="V700" s="9">
        <v>5</v>
      </c>
      <c r="W700" s="9">
        <f t="shared" si="193"/>
        <v>6048770</v>
      </c>
      <c r="X700" s="9">
        <f t="shared" si="194"/>
        <v>6</v>
      </c>
      <c r="Y700" s="7">
        <v>12.36</v>
      </c>
      <c r="Z700" s="7">
        <v>20.5</v>
      </c>
      <c r="AA700" s="9">
        <v>1</v>
      </c>
      <c r="AB700" s="9">
        <v>0</v>
      </c>
      <c r="AC700" s="9">
        <v>0</v>
      </c>
      <c r="AD700" s="9">
        <v>0</v>
      </c>
      <c r="AE700" s="9">
        <v>0</v>
      </c>
      <c r="AF700" s="9">
        <v>1</v>
      </c>
      <c r="AG700" s="8">
        <v>0</v>
      </c>
      <c r="AH700" s="9">
        <v>0</v>
      </c>
      <c r="AI700" s="30">
        <v>1</v>
      </c>
      <c r="AJ700" s="9">
        <v>0</v>
      </c>
      <c r="AK700" s="30">
        <v>1</v>
      </c>
      <c r="AL700" s="21">
        <v>1991</v>
      </c>
      <c r="AM700" s="23">
        <f t="shared" si="195"/>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484</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26</v>
      </c>
      <c r="DB700" s="34"/>
    </row>
    <row r="701" spans="1:106" x14ac:dyDescent="0.25">
      <c r="A701">
        <v>700</v>
      </c>
      <c r="B701">
        <v>44</v>
      </c>
      <c r="C701" s="25" t="s">
        <v>483</v>
      </c>
      <c r="D701" s="12">
        <v>7.6</v>
      </c>
      <c r="E701" s="14">
        <v>0.40335195530726259</v>
      </c>
      <c r="F701" s="7">
        <v>18.84210526315789</v>
      </c>
      <c r="G701" s="7">
        <f t="shared" si="186"/>
        <v>7.1966480446927372</v>
      </c>
      <c r="H701" s="16">
        <f t="shared" si="187"/>
        <v>8.003351955307263</v>
      </c>
      <c r="I701" s="11">
        <f t="shared" si="188"/>
        <v>6.3886858768177415E-3</v>
      </c>
      <c r="J701" s="33">
        <f t="shared" si="189"/>
        <v>3.3906433424451708E-4</v>
      </c>
      <c r="K701" s="33">
        <f t="shared" si="190"/>
        <v>2949.2928008135691</v>
      </c>
      <c r="L701" s="33">
        <f t="shared" si="191"/>
        <v>6.049621542573224E-3</v>
      </c>
      <c r="M701" s="33">
        <f t="shared" si="192"/>
        <v>6.727750211062259E-3</v>
      </c>
      <c r="N701" s="8">
        <v>0</v>
      </c>
      <c r="O701" s="9">
        <v>1</v>
      </c>
      <c r="P701" s="8">
        <v>0</v>
      </c>
      <c r="Q701" s="9">
        <v>0</v>
      </c>
      <c r="R701" s="9">
        <v>0</v>
      </c>
      <c r="S701" s="9">
        <v>1</v>
      </c>
      <c r="T701" s="9">
        <v>0</v>
      </c>
      <c r="U701" s="8">
        <v>8697979</v>
      </c>
      <c r="V701" s="9">
        <v>5</v>
      </c>
      <c r="W701" s="9">
        <f t="shared" si="193"/>
        <v>8697973</v>
      </c>
      <c r="X701" s="9">
        <f t="shared" si="194"/>
        <v>6</v>
      </c>
      <c r="Y701" s="7">
        <v>12.27</v>
      </c>
      <c r="Z701" s="7">
        <v>20.5</v>
      </c>
      <c r="AA701" s="9">
        <v>1</v>
      </c>
      <c r="AB701" s="9">
        <v>0</v>
      </c>
      <c r="AC701" s="9">
        <v>0</v>
      </c>
      <c r="AD701" s="9">
        <v>0</v>
      </c>
      <c r="AE701" s="9">
        <v>0</v>
      </c>
      <c r="AF701" s="9">
        <v>1</v>
      </c>
      <c r="AG701" s="8">
        <v>0</v>
      </c>
      <c r="AH701" s="9">
        <v>0</v>
      </c>
      <c r="AI701" s="30">
        <v>1</v>
      </c>
      <c r="AJ701" s="9">
        <v>0</v>
      </c>
      <c r="AK701" s="30">
        <v>1</v>
      </c>
      <c r="AL701" s="21">
        <v>1991</v>
      </c>
      <c r="AM701" s="23">
        <f t="shared" si="195"/>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484</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26</v>
      </c>
      <c r="DB701" s="34"/>
    </row>
    <row r="702" spans="1:106" x14ac:dyDescent="0.25">
      <c r="A702">
        <v>701</v>
      </c>
      <c r="B702">
        <v>44</v>
      </c>
      <c r="C702" s="25" t="s">
        <v>483</v>
      </c>
      <c r="D702" s="12">
        <v>7.5</v>
      </c>
      <c r="E702" s="14">
        <v>0.55555555555555558</v>
      </c>
      <c r="F702" s="7">
        <v>13.5</v>
      </c>
      <c r="G702" s="7">
        <f t="shared" si="186"/>
        <v>6.9444444444444446</v>
      </c>
      <c r="H702" s="16">
        <f t="shared" si="187"/>
        <v>8.0555555555555554</v>
      </c>
      <c r="I702" s="11">
        <f t="shared" si="188"/>
        <v>4.5774139731244411E-3</v>
      </c>
      <c r="J702" s="33">
        <f t="shared" si="189"/>
        <v>3.3906770171292152E-4</v>
      </c>
      <c r="K702" s="33">
        <f t="shared" si="190"/>
        <v>2949.2635097596826</v>
      </c>
      <c r="L702" s="33">
        <f t="shared" si="191"/>
        <v>4.2383462714115196E-3</v>
      </c>
      <c r="M702" s="33">
        <f t="shared" si="192"/>
        <v>4.9164816748373625E-3</v>
      </c>
      <c r="N702" s="8">
        <v>0</v>
      </c>
      <c r="O702" s="9">
        <v>1</v>
      </c>
      <c r="P702" s="8">
        <v>0</v>
      </c>
      <c r="Q702" s="9">
        <v>0</v>
      </c>
      <c r="R702" s="9">
        <v>0</v>
      </c>
      <c r="S702" s="9">
        <v>1</v>
      </c>
      <c r="T702" s="9">
        <v>0</v>
      </c>
      <c r="U702" s="8">
        <v>8697979</v>
      </c>
      <c r="V702" s="9">
        <v>5</v>
      </c>
      <c r="W702" s="9">
        <f t="shared" si="193"/>
        <v>8697973</v>
      </c>
      <c r="X702" s="9">
        <f t="shared" si="194"/>
        <v>6</v>
      </c>
      <c r="Y702" s="7">
        <v>12.36</v>
      </c>
      <c r="Z702" s="7">
        <v>20.5</v>
      </c>
      <c r="AA702" s="9">
        <v>1</v>
      </c>
      <c r="AB702" s="9">
        <v>0</v>
      </c>
      <c r="AC702" s="9">
        <v>0</v>
      </c>
      <c r="AD702" s="9">
        <v>0</v>
      </c>
      <c r="AE702" s="9">
        <v>0</v>
      </c>
      <c r="AF702" s="9">
        <v>1</v>
      </c>
      <c r="AG702" s="8">
        <v>0</v>
      </c>
      <c r="AH702" s="9">
        <v>0</v>
      </c>
      <c r="AI702" s="30">
        <v>1</v>
      </c>
      <c r="AJ702" s="9">
        <v>0</v>
      </c>
      <c r="AK702" s="30">
        <v>1</v>
      </c>
      <c r="AL702" s="21">
        <v>1991</v>
      </c>
      <c r="AM702" s="23">
        <f t="shared" si="195"/>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484</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26</v>
      </c>
      <c r="DB702" s="34"/>
    </row>
    <row r="703" spans="1:106" x14ac:dyDescent="0.25">
      <c r="A703">
        <v>702</v>
      </c>
      <c r="B703">
        <v>44</v>
      </c>
      <c r="C703" s="25" t="s">
        <v>483</v>
      </c>
      <c r="D703" s="12">
        <v>7.1999999999999993</v>
      </c>
      <c r="E703" s="14">
        <v>0.75223880597014925</v>
      </c>
      <c r="F703" s="7">
        <v>9.5714285714285712</v>
      </c>
      <c r="G703" s="7">
        <f t="shared" si="186"/>
        <v>6.4477611940298498</v>
      </c>
      <c r="H703" s="16">
        <f t="shared" si="187"/>
        <v>7.9522388059701488</v>
      </c>
      <c r="I703" s="11">
        <f t="shared" si="188"/>
        <v>2.4924546754224301E-3</v>
      </c>
      <c r="J703" s="33">
        <f t="shared" si="189"/>
        <v>2.6040571235756731E-4</v>
      </c>
      <c r="K703" s="33">
        <f t="shared" si="190"/>
        <v>3840.1615346551375</v>
      </c>
      <c r="L703" s="33">
        <f t="shared" si="191"/>
        <v>2.2320489630648626E-3</v>
      </c>
      <c r="M703" s="33">
        <f t="shared" si="192"/>
        <v>2.7528603877799976E-3</v>
      </c>
      <c r="N703" s="8">
        <v>0</v>
      </c>
      <c r="O703" s="9">
        <v>1</v>
      </c>
      <c r="P703" s="8">
        <v>0</v>
      </c>
      <c r="Q703" s="9">
        <v>0</v>
      </c>
      <c r="R703" s="9">
        <v>0</v>
      </c>
      <c r="S703" s="9">
        <v>1</v>
      </c>
      <c r="T703" s="9">
        <v>0</v>
      </c>
      <c r="U703" s="8">
        <v>14746755</v>
      </c>
      <c r="V703" s="9">
        <v>5</v>
      </c>
      <c r="W703" s="9">
        <f t="shared" si="193"/>
        <v>14746749</v>
      </c>
      <c r="X703" s="9">
        <f t="shared" si="194"/>
        <v>6</v>
      </c>
      <c r="Y703" s="7">
        <v>12.36</v>
      </c>
      <c r="Z703" s="7">
        <v>20.5</v>
      </c>
      <c r="AA703" s="9">
        <v>1</v>
      </c>
      <c r="AB703" s="9">
        <v>0</v>
      </c>
      <c r="AC703" s="9">
        <v>0</v>
      </c>
      <c r="AD703" s="9">
        <v>0</v>
      </c>
      <c r="AE703" s="9">
        <v>0</v>
      </c>
      <c r="AF703" s="9">
        <v>1</v>
      </c>
      <c r="AG703" s="8">
        <v>0</v>
      </c>
      <c r="AH703" s="9">
        <v>0</v>
      </c>
      <c r="AI703" s="30">
        <v>1</v>
      </c>
      <c r="AJ703" s="9">
        <v>0</v>
      </c>
      <c r="AK703" s="30">
        <v>1</v>
      </c>
      <c r="AL703" s="21">
        <v>1991</v>
      </c>
      <c r="AM703" s="23">
        <f t="shared" si="195"/>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484</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26</v>
      </c>
      <c r="DB703" s="34"/>
    </row>
    <row r="704" spans="1:106" s="148" customFormat="1" x14ac:dyDescent="0.25">
      <c r="A704" s="148">
        <v>703</v>
      </c>
      <c r="B704" s="148">
        <v>44</v>
      </c>
      <c r="C704" s="149" t="s">
        <v>483</v>
      </c>
      <c r="D704" s="150">
        <v>6.7</v>
      </c>
      <c r="E704" s="151">
        <v>0.75645161290322582</v>
      </c>
      <c r="F704" s="152">
        <v>8.8571428571428577</v>
      </c>
      <c r="G704" s="152">
        <f t="shared" si="186"/>
        <v>5.943548387096774</v>
      </c>
      <c r="H704" s="153">
        <f t="shared" si="187"/>
        <v>7.4564516129032263</v>
      </c>
      <c r="I704" s="154">
        <f t="shared" si="188"/>
        <v>2.3064516245550216E-3</v>
      </c>
      <c r="J704" s="155">
        <f t="shared" si="189"/>
        <v>2.6040582857879277E-4</v>
      </c>
      <c r="K704" s="155">
        <f t="shared" si="190"/>
        <v>3840.159820760015</v>
      </c>
      <c r="L704" s="155">
        <f t="shared" si="191"/>
        <v>2.0460457959762287E-3</v>
      </c>
      <c r="M704" s="155">
        <f t="shared" si="192"/>
        <v>2.5668574531338144E-3</v>
      </c>
      <c r="N704" s="156">
        <v>0</v>
      </c>
      <c r="O704" s="157">
        <v>1</v>
      </c>
      <c r="P704" s="156">
        <v>0</v>
      </c>
      <c r="Q704" s="157">
        <v>0</v>
      </c>
      <c r="R704" s="157">
        <v>0</v>
      </c>
      <c r="S704" s="157">
        <v>1</v>
      </c>
      <c r="T704" s="157">
        <v>0</v>
      </c>
      <c r="U704" s="156">
        <v>14746755</v>
      </c>
      <c r="V704" s="157">
        <v>5</v>
      </c>
      <c r="W704" s="157">
        <f t="shared" si="193"/>
        <v>14746749</v>
      </c>
      <c r="X704" s="157">
        <f t="shared" si="194"/>
        <v>6</v>
      </c>
      <c r="Y704" s="152">
        <v>12.27</v>
      </c>
      <c r="Z704" s="152">
        <v>20.5</v>
      </c>
      <c r="AA704" s="157">
        <v>1</v>
      </c>
      <c r="AB704" s="157">
        <v>0</v>
      </c>
      <c r="AC704" s="157">
        <v>0</v>
      </c>
      <c r="AD704" s="157">
        <v>0</v>
      </c>
      <c r="AE704" s="157">
        <v>0</v>
      </c>
      <c r="AF704" s="157">
        <v>1</v>
      </c>
      <c r="AG704" s="156">
        <v>0</v>
      </c>
      <c r="AH704" s="157">
        <v>0</v>
      </c>
      <c r="AI704" s="158">
        <v>1</v>
      </c>
      <c r="AJ704" s="157">
        <v>0</v>
      </c>
      <c r="AK704" s="158">
        <v>1</v>
      </c>
      <c r="AL704" s="159">
        <v>1991</v>
      </c>
      <c r="AM704" s="160">
        <f t="shared" si="195"/>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484</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26</v>
      </c>
      <c r="CW704" s="165"/>
      <c r="DB704" s="165"/>
    </row>
    <row r="705" spans="1:106" x14ac:dyDescent="0.25">
      <c r="A705">
        <v>704</v>
      </c>
      <c r="B705">
        <v>45</v>
      </c>
      <c r="C705" s="25" t="s">
        <v>489</v>
      </c>
      <c r="D705" s="12">
        <v>6.4</v>
      </c>
      <c r="E705" s="14">
        <v>0.1</v>
      </c>
      <c r="F705" s="7">
        <v>9.8571428571428594</v>
      </c>
      <c r="G705" s="7">
        <f t="shared" si="186"/>
        <v>6.3000000000000007</v>
      </c>
      <c r="H705" s="16">
        <f t="shared" si="187"/>
        <v>6.5</v>
      </c>
      <c r="I705" s="11">
        <f t="shared" si="188"/>
        <v>9.0603625683672084E-2</v>
      </c>
      <c r="J705" s="33">
        <f t="shared" si="189"/>
        <v>9.1916721708073107E-3</v>
      </c>
      <c r="K705" s="33">
        <f t="shared" si="190"/>
        <v>108.79413249484608</v>
      </c>
      <c r="L705" s="33">
        <f t="shared" si="191"/>
        <v>8.1411953512864774E-2</v>
      </c>
      <c r="M705" s="33">
        <f t="shared" si="192"/>
        <v>9.9795297854479395E-2</v>
      </c>
      <c r="N705" s="8">
        <v>0</v>
      </c>
      <c r="O705" s="9">
        <v>1</v>
      </c>
      <c r="P705" s="8">
        <v>0</v>
      </c>
      <c r="Q705" s="9">
        <v>0</v>
      </c>
      <c r="R705" s="9">
        <v>1</v>
      </c>
      <c r="S705" s="9">
        <v>0</v>
      </c>
      <c r="T705" s="9">
        <v>0</v>
      </c>
      <c r="U705" s="8">
        <v>11742</v>
      </c>
      <c r="V705" s="9">
        <v>2</v>
      </c>
      <c r="W705" s="9">
        <f t="shared" si="193"/>
        <v>11739</v>
      </c>
      <c r="X705" s="9">
        <f t="shared" si="194"/>
        <v>30</v>
      </c>
      <c r="Y705" s="7">
        <v>7.95</v>
      </c>
      <c r="Z705" s="7">
        <v>18.16</v>
      </c>
      <c r="AA705" s="9">
        <v>1</v>
      </c>
      <c r="AB705" s="9">
        <v>0</v>
      </c>
      <c r="AC705" s="9">
        <v>1</v>
      </c>
      <c r="AD705" s="9">
        <v>0</v>
      </c>
      <c r="AE705" s="9">
        <v>0</v>
      </c>
      <c r="AF705" s="9">
        <v>0</v>
      </c>
      <c r="AG705" s="8">
        <v>0</v>
      </c>
      <c r="AH705" s="9">
        <v>0</v>
      </c>
      <c r="AI705" s="30">
        <v>1</v>
      </c>
      <c r="AJ705" s="9">
        <v>0</v>
      </c>
      <c r="AK705" s="30">
        <v>1</v>
      </c>
      <c r="AL705" s="21">
        <v>2007</v>
      </c>
      <c r="AM705" s="23">
        <f t="shared" si="195"/>
        <v>7.604396348796338</v>
      </c>
      <c r="AN705" s="33" t="s">
        <v>104</v>
      </c>
      <c r="AO705" s="33" t="s">
        <v>104</v>
      </c>
      <c r="AP705" s="33" t="s">
        <v>104</v>
      </c>
      <c r="AQ705" s="43" t="s">
        <v>104</v>
      </c>
      <c r="AR705" s="42">
        <v>0.60299999999999998</v>
      </c>
      <c r="AS705" s="18">
        <v>0.39700000000000002</v>
      </c>
      <c r="AT705" s="39">
        <f t="shared" ref="AT705:AT734" si="200">1-AU705</f>
        <v>0.78400000000000003</v>
      </c>
      <c r="AU705" s="40">
        <v>0.216</v>
      </c>
      <c r="AV705" s="39">
        <f t="shared" ref="AV705:AV734" si="201">1-AW705</f>
        <v>0.76300000000000001</v>
      </c>
      <c r="AW705" s="40">
        <v>0.23699999999999999</v>
      </c>
      <c r="AX705">
        <v>0</v>
      </c>
      <c r="AY705" s="18">
        <v>1</v>
      </c>
      <c r="AZ705">
        <f t="shared" ref="AZ705:AZ734" si="20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0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17</v>
      </c>
      <c r="DB705" s="34"/>
    </row>
    <row r="706" spans="1:106" x14ac:dyDescent="0.25">
      <c r="A706">
        <v>705</v>
      </c>
      <c r="B706">
        <v>45</v>
      </c>
      <c r="C706" s="25" t="s">
        <v>489</v>
      </c>
      <c r="D706" s="12">
        <v>5.9</v>
      </c>
      <c r="E706" s="14">
        <v>0.1</v>
      </c>
      <c r="F706" s="7">
        <v>10.8571428571429</v>
      </c>
      <c r="G706" s="7">
        <f t="shared" ref="G706:G769" si="204">D706-E706</f>
        <v>5.8000000000000007</v>
      </c>
      <c r="H706" s="16">
        <f t="shared" ref="H706:H769" si="205">D706+E706</f>
        <v>6</v>
      </c>
      <c r="I706" s="11">
        <f t="shared" ref="I706:I769" si="206">IFERROR(F706/SQRT(F706^2+W706), "X")</f>
        <v>5.2448816408867345E-2</v>
      </c>
      <c r="J706" s="33">
        <f t="shared" ref="J706:J769" si="207">IFERROR(SQRT((1-I706^2)/W706), "X")</f>
        <v>4.8308120376588147E-3</v>
      </c>
      <c r="K706" s="33">
        <f t="shared" ref="K706:K769" si="208">IFERROR(1/J706, "X")</f>
        <v>207.0045350977133</v>
      </c>
      <c r="L706" s="33">
        <f t="shared" ref="L706:L769" si="209">IFERROR(I706-J706, "X")</f>
        <v>4.7618004371208528E-2</v>
      </c>
      <c r="M706" s="33">
        <f t="shared" ref="M706:M769" si="210">IFERROR(I706+J706, "X")</f>
        <v>5.7279628446526162E-2</v>
      </c>
      <c r="N706" s="8">
        <v>0</v>
      </c>
      <c r="O706" s="9">
        <v>1</v>
      </c>
      <c r="P706" s="8">
        <v>0</v>
      </c>
      <c r="Q706" s="9">
        <v>0</v>
      </c>
      <c r="R706" s="9">
        <v>1</v>
      </c>
      <c r="S706" s="9">
        <v>0</v>
      </c>
      <c r="T706" s="9">
        <v>0</v>
      </c>
      <c r="U706" s="8">
        <v>42737</v>
      </c>
      <c r="V706" s="9">
        <v>3</v>
      </c>
      <c r="W706" s="9">
        <f t="shared" ref="W706:W769" si="211">U706-V706-1</f>
        <v>42733</v>
      </c>
      <c r="X706" s="9">
        <f t="shared" ref="X706:X769" si="212">COUNTIF(B:B,B706)</f>
        <v>30</v>
      </c>
      <c r="Y706" s="7">
        <v>7.95</v>
      </c>
      <c r="Z706" s="7">
        <v>18.16</v>
      </c>
      <c r="AA706" s="9">
        <v>1</v>
      </c>
      <c r="AB706" s="9">
        <v>0</v>
      </c>
      <c r="AC706" s="9">
        <v>1</v>
      </c>
      <c r="AD706" s="9">
        <v>0</v>
      </c>
      <c r="AE706" s="9">
        <v>0</v>
      </c>
      <c r="AF706" s="9">
        <v>0</v>
      </c>
      <c r="AG706" s="8">
        <v>0</v>
      </c>
      <c r="AH706" s="9">
        <v>0</v>
      </c>
      <c r="AI706" s="30">
        <v>1</v>
      </c>
      <c r="AJ706" s="9">
        <v>0</v>
      </c>
      <c r="AK706" s="30">
        <v>1</v>
      </c>
      <c r="AL706" s="21">
        <v>2007</v>
      </c>
      <c r="AM706" s="23">
        <f t="shared" ref="AM706:AM769" si="213">LN(AL706)</f>
        <v>7.604396348796338</v>
      </c>
      <c r="AN706" s="33" t="s">
        <v>104</v>
      </c>
      <c r="AO706" s="33" t="s">
        <v>104</v>
      </c>
      <c r="AP706" s="33" t="s">
        <v>104</v>
      </c>
      <c r="AQ706" s="43" t="s">
        <v>104</v>
      </c>
      <c r="AR706" s="42">
        <v>0.60299999999999998</v>
      </c>
      <c r="AS706" s="18">
        <v>0.39700000000000002</v>
      </c>
      <c r="AT706" s="39">
        <f t="shared" si="200"/>
        <v>0.78400000000000003</v>
      </c>
      <c r="AU706" s="40">
        <v>0.216</v>
      </c>
      <c r="AV706" s="39">
        <f t="shared" si="201"/>
        <v>0.76300000000000001</v>
      </c>
      <c r="AW706" s="40">
        <v>0.23699999999999999</v>
      </c>
      <c r="AX706">
        <v>0</v>
      </c>
      <c r="AY706" s="18">
        <v>1</v>
      </c>
      <c r="AZ706">
        <f t="shared" si="20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0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17</v>
      </c>
      <c r="DB706" s="34"/>
    </row>
    <row r="707" spans="1:106" x14ac:dyDescent="0.25">
      <c r="A707">
        <v>706</v>
      </c>
      <c r="B707">
        <v>45</v>
      </c>
      <c r="C707" s="25" t="s">
        <v>489</v>
      </c>
      <c r="D707" s="12">
        <v>6.4</v>
      </c>
      <c r="E707" s="14">
        <v>0.1</v>
      </c>
      <c r="F707" s="7">
        <v>11.8571428571429</v>
      </c>
      <c r="G707" s="7">
        <f t="shared" si="204"/>
        <v>6.3000000000000007</v>
      </c>
      <c r="H707" s="16">
        <f t="shared" si="205"/>
        <v>6.5</v>
      </c>
      <c r="I707" s="11">
        <f t="shared" si="206"/>
        <v>6.9709808167266851E-2</v>
      </c>
      <c r="J707" s="33">
        <f t="shared" si="207"/>
        <v>5.8791404478417617E-3</v>
      </c>
      <c r="K707" s="33">
        <f t="shared" si="208"/>
        <v>170.09289178779545</v>
      </c>
      <c r="L707" s="33">
        <f t="shared" si="209"/>
        <v>6.3830667719425083E-2</v>
      </c>
      <c r="M707" s="33">
        <f t="shared" si="210"/>
        <v>7.558894861510862E-2</v>
      </c>
      <c r="N707" s="8">
        <v>0</v>
      </c>
      <c r="O707" s="9">
        <v>1</v>
      </c>
      <c r="P707" s="8">
        <v>0</v>
      </c>
      <c r="Q707" s="9">
        <v>0</v>
      </c>
      <c r="R707" s="9">
        <v>1</v>
      </c>
      <c r="S707" s="9">
        <v>0</v>
      </c>
      <c r="T707" s="9">
        <v>0</v>
      </c>
      <c r="U707" s="8">
        <v>28796</v>
      </c>
      <c r="V707" s="9">
        <v>4</v>
      </c>
      <c r="W707" s="9">
        <f t="shared" si="211"/>
        <v>28791</v>
      </c>
      <c r="X707" s="9">
        <f t="shared" si="212"/>
        <v>30</v>
      </c>
      <c r="Y707" s="7">
        <v>8.1310000000000002</v>
      </c>
      <c r="Z707" s="7">
        <v>18.23</v>
      </c>
      <c r="AA707" s="9">
        <v>1</v>
      </c>
      <c r="AB707" s="9">
        <v>0</v>
      </c>
      <c r="AC707" s="9">
        <v>1</v>
      </c>
      <c r="AD707" s="9">
        <v>0</v>
      </c>
      <c r="AE707" s="9">
        <v>0</v>
      </c>
      <c r="AF707" s="9">
        <v>0</v>
      </c>
      <c r="AG707" s="8">
        <v>0</v>
      </c>
      <c r="AH707" s="9">
        <v>0</v>
      </c>
      <c r="AI707" s="30">
        <v>1</v>
      </c>
      <c r="AJ707" s="9">
        <v>0</v>
      </c>
      <c r="AK707" s="30">
        <v>1</v>
      </c>
      <c r="AL707" s="21">
        <v>2007</v>
      </c>
      <c r="AM707" s="23">
        <f t="shared" si="213"/>
        <v>7.604396348796338</v>
      </c>
      <c r="AN707" s="33" t="s">
        <v>104</v>
      </c>
      <c r="AO707" s="33" t="s">
        <v>104</v>
      </c>
      <c r="AP707" s="33" t="s">
        <v>104</v>
      </c>
      <c r="AQ707" s="43" t="s">
        <v>104</v>
      </c>
      <c r="AR707" s="42">
        <v>0.60299999999999998</v>
      </c>
      <c r="AS707" s="18">
        <v>0.39700000000000002</v>
      </c>
      <c r="AT707" s="39">
        <f t="shared" si="200"/>
        <v>0.78200000000000003</v>
      </c>
      <c r="AU707" s="40">
        <v>0.218</v>
      </c>
      <c r="AV707" s="39">
        <f t="shared" si="201"/>
        <v>0.77600000000000002</v>
      </c>
      <c r="AW707" s="40">
        <v>0.224</v>
      </c>
      <c r="AX707">
        <v>0</v>
      </c>
      <c r="AY707" s="18">
        <v>1</v>
      </c>
      <c r="AZ707">
        <f t="shared" si="20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0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17</v>
      </c>
      <c r="DB707" s="34"/>
    </row>
    <row r="708" spans="1:106" x14ac:dyDescent="0.25">
      <c r="A708">
        <v>707</v>
      </c>
      <c r="B708">
        <v>45</v>
      </c>
      <c r="C708" s="25" t="s">
        <v>489</v>
      </c>
      <c r="D708" s="12">
        <v>5.7</v>
      </c>
      <c r="E708" s="14">
        <v>0.1</v>
      </c>
      <c r="F708" s="7">
        <v>12.8571428571429</v>
      </c>
      <c r="G708" s="7">
        <f t="shared" si="204"/>
        <v>5.6000000000000005</v>
      </c>
      <c r="H708" s="16">
        <f t="shared" si="205"/>
        <v>5.8</v>
      </c>
      <c r="I708" s="11">
        <f t="shared" si="206"/>
        <v>6.162665043343088E-2</v>
      </c>
      <c r="J708" s="33">
        <f t="shared" si="207"/>
        <v>4.7931839226001641E-3</v>
      </c>
      <c r="K708" s="33">
        <f t="shared" si="208"/>
        <v>208.6295907162955</v>
      </c>
      <c r="L708" s="33">
        <f t="shared" si="209"/>
        <v>5.6833466510830717E-2</v>
      </c>
      <c r="M708" s="33">
        <f t="shared" si="210"/>
        <v>6.6419834356031049E-2</v>
      </c>
      <c r="N708" s="8">
        <v>0</v>
      </c>
      <c r="O708" s="9">
        <v>1</v>
      </c>
      <c r="P708" s="8">
        <v>0</v>
      </c>
      <c r="Q708" s="9">
        <v>0</v>
      </c>
      <c r="R708" s="9">
        <v>1</v>
      </c>
      <c r="S708" s="9">
        <v>0</v>
      </c>
      <c r="T708" s="9">
        <v>0</v>
      </c>
      <c r="U708" s="8">
        <v>43367</v>
      </c>
      <c r="V708" s="9">
        <v>5</v>
      </c>
      <c r="W708" s="9">
        <f t="shared" si="211"/>
        <v>43361</v>
      </c>
      <c r="X708" s="9">
        <f t="shared" si="212"/>
        <v>30</v>
      </c>
      <c r="Y708" s="7">
        <v>8.1310000000000002</v>
      </c>
      <c r="Z708" s="7">
        <v>18.23</v>
      </c>
      <c r="AA708" s="9">
        <v>1</v>
      </c>
      <c r="AB708" s="9">
        <v>0</v>
      </c>
      <c r="AC708" s="9">
        <v>1</v>
      </c>
      <c r="AD708" s="9">
        <v>0</v>
      </c>
      <c r="AE708" s="9">
        <v>0</v>
      </c>
      <c r="AF708" s="9">
        <v>0</v>
      </c>
      <c r="AG708" s="8">
        <v>0</v>
      </c>
      <c r="AH708" s="9">
        <v>0</v>
      </c>
      <c r="AI708" s="30">
        <v>1</v>
      </c>
      <c r="AJ708" s="9">
        <v>0</v>
      </c>
      <c r="AK708" s="30">
        <v>1</v>
      </c>
      <c r="AL708" s="21">
        <v>2007</v>
      </c>
      <c r="AM708" s="23">
        <f t="shared" si="213"/>
        <v>7.604396348796338</v>
      </c>
      <c r="AN708" s="33" t="s">
        <v>104</v>
      </c>
      <c r="AO708" s="33" t="s">
        <v>104</v>
      </c>
      <c r="AP708" s="33" t="s">
        <v>104</v>
      </c>
      <c r="AQ708" s="43" t="s">
        <v>104</v>
      </c>
      <c r="AR708" s="42">
        <v>0.60299999999999998</v>
      </c>
      <c r="AS708" s="18">
        <v>0.39700000000000002</v>
      </c>
      <c r="AT708" s="39">
        <f t="shared" si="200"/>
        <v>0.78200000000000003</v>
      </c>
      <c r="AU708" s="40">
        <v>0.218</v>
      </c>
      <c r="AV708" s="39">
        <f t="shared" si="201"/>
        <v>0.77600000000000002</v>
      </c>
      <c r="AW708" s="40">
        <v>0.224</v>
      </c>
      <c r="AX708">
        <v>0</v>
      </c>
      <c r="AY708" s="18">
        <v>1</v>
      </c>
      <c r="AZ708">
        <f t="shared" si="20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0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17</v>
      </c>
      <c r="DB708" s="34"/>
    </row>
    <row r="709" spans="1:106" x14ac:dyDescent="0.25">
      <c r="A709">
        <v>708</v>
      </c>
      <c r="B709">
        <v>45</v>
      </c>
      <c r="C709" s="25" t="s">
        <v>489</v>
      </c>
      <c r="D709" s="12">
        <v>6.7</v>
      </c>
      <c r="E709" s="14">
        <v>0.1</v>
      </c>
      <c r="F709" s="7">
        <v>13.8571428571429</v>
      </c>
      <c r="G709" s="7">
        <f t="shared" si="204"/>
        <v>6.6000000000000005</v>
      </c>
      <c r="H709" s="16">
        <f t="shared" si="205"/>
        <v>6.8</v>
      </c>
      <c r="I709" s="11">
        <f t="shared" si="206"/>
        <v>8.1205475525368942E-2</v>
      </c>
      <c r="J709" s="33">
        <f t="shared" si="207"/>
        <v>5.8601889554389776E-3</v>
      </c>
      <c r="K709" s="33">
        <f t="shared" si="208"/>
        <v>170.64296178912059</v>
      </c>
      <c r="L709" s="33">
        <f t="shared" si="209"/>
        <v>7.5345286569929962E-2</v>
      </c>
      <c r="M709" s="33">
        <f t="shared" si="210"/>
        <v>8.7065664480807922E-2</v>
      </c>
      <c r="N709" s="8">
        <v>0</v>
      </c>
      <c r="O709" s="9">
        <v>1</v>
      </c>
      <c r="P709" s="8">
        <v>0</v>
      </c>
      <c r="Q709" s="9">
        <v>0</v>
      </c>
      <c r="R709" s="9">
        <v>1</v>
      </c>
      <c r="S709" s="9">
        <v>0</v>
      </c>
      <c r="T709" s="9">
        <v>0</v>
      </c>
      <c r="U709" s="8">
        <v>28934</v>
      </c>
      <c r="V709" s="9">
        <v>6</v>
      </c>
      <c r="W709" s="9">
        <f t="shared" si="211"/>
        <v>28927</v>
      </c>
      <c r="X709" s="9">
        <f t="shared" si="212"/>
        <v>30</v>
      </c>
      <c r="Y709" s="7">
        <v>8.3089999999999993</v>
      </c>
      <c r="Z709" s="7">
        <v>18.27</v>
      </c>
      <c r="AA709" s="9">
        <v>1</v>
      </c>
      <c r="AB709" s="9">
        <v>0</v>
      </c>
      <c r="AC709" s="9">
        <v>1</v>
      </c>
      <c r="AD709" s="9">
        <v>0</v>
      </c>
      <c r="AE709" s="9">
        <v>0</v>
      </c>
      <c r="AF709" s="9">
        <v>0</v>
      </c>
      <c r="AG709" s="8">
        <v>0</v>
      </c>
      <c r="AH709" s="9">
        <v>0</v>
      </c>
      <c r="AI709" s="30">
        <v>1</v>
      </c>
      <c r="AJ709" s="9">
        <v>0</v>
      </c>
      <c r="AK709" s="30">
        <v>1</v>
      </c>
      <c r="AL709" s="21">
        <v>2007</v>
      </c>
      <c r="AM709" s="23">
        <f t="shared" si="213"/>
        <v>7.604396348796338</v>
      </c>
      <c r="AN709" s="33" t="s">
        <v>104</v>
      </c>
      <c r="AO709" s="33" t="s">
        <v>104</v>
      </c>
      <c r="AP709" s="33" t="s">
        <v>104</v>
      </c>
      <c r="AQ709" s="43" t="s">
        <v>104</v>
      </c>
      <c r="AR709" s="42">
        <v>0.60299999999999998</v>
      </c>
      <c r="AS709" s="18">
        <v>0.39700000000000002</v>
      </c>
      <c r="AT709" s="39">
        <f t="shared" si="200"/>
        <v>0.77900000000000003</v>
      </c>
      <c r="AU709" s="40">
        <v>0.221</v>
      </c>
      <c r="AV709" s="39">
        <f t="shared" si="201"/>
        <v>0.78800000000000003</v>
      </c>
      <c r="AW709" s="40">
        <v>0.21199999999999999</v>
      </c>
      <c r="AX709">
        <v>0</v>
      </c>
      <c r="AY709" s="18">
        <v>1</v>
      </c>
      <c r="AZ709">
        <f t="shared" si="20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0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17</v>
      </c>
      <c r="DB709" s="34"/>
    </row>
    <row r="710" spans="1:106" x14ac:dyDescent="0.25">
      <c r="A710">
        <v>709</v>
      </c>
      <c r="B710">
        <v>45</v>
      </c>
      <c r="C710" s="25" t="s">
        <v>489</v>
      </c>
      <c r="D710" s="12">
        <v>5.8</v>
      </c>
      <c r="E710" s="14">
        <v>0.1</v>
      </c>
      <c r="F710" s="7">
        <v>14.8571428571429</v>
      </c>
      <c r="G710" s="7">
        <f t="shared" si="204"/>
        <v>5.7</v>
      </c>
      <c r="H710" s="16">
        <f t="shared" si="205"/>
        <v>5.8999999999999995</v>
      </c>
      <c r="I710" s="11">
        <f t="shared" si="206"/>
        <v>6.998226275353496E-2</v>
      </c>
      <c r="J710" s="33">
        <f t="shared" si="207"/>
        <v>4.7103446084109934E-3</v>
      </c>
      <c r="K710" s="33">
        <f t="shared" si="208"/>
        <v>212.29869216242844</v>
      </c>
      <c r="L710" s="33">
        <f t="shared" si="209"/>
        <v>6.5271918145123967E-2</v>
      </c>
      <c r="M710" s="33">
        <f t="shared" si="210"/>
        <v>7.4692607361945954E-2</v>
      </c>
      <c r="N710" s="8">
        <v>0</v>
      </c>
      <c r="O710" s="9">
        <v>1</v>
      </c>
      <c r="P710" s="8">
        <v>0</v>
      </c>
      <c r="Q710" s="9">
        <v>0</v>
      </c>
      <c r="R710" s="9">
        <v>1</v>
      </c>
      <c r="S710" s="9">
        <v>0</v>
      </c>
      <c r="T710" s="9">
        <v>0</v>
      </c>
      <c r="U710" s="8">
        <v>44858</v>
      </c>
      <c r="V710" s="9">
        <v>7</v>
      </c>
      <c r="W710" s="9">
        <f t="shared" si="211"/>
        <v>44850</v>
      </c>
      <c r="X710" s="9">
        <f t="shared" si="212"/>
        <v>30</v>
      </c>
      <c r="Y710" s="7">
        <v>8.3089999999999993</v>
      </c>
      <c r="Z710" s="7">
        <v>18.27</v>
      </c>
      <c r="AA710" s="9">
        <v>1</v>
      </c>
      <c r="AB710" s="9">
        <v>0</v>
      </c>
      <c r="AC710" s="9">
        <v>1</v>
      </c>
      <c r="AD710" s="9">
        <v>0</v>
      </c>
      <c r="AE710" s="9">
        <v>0</v>
      </c>
      <c r="AF710" s="9">
        <v>0</v>
      </c>
      <c r="AG710" s="8">
        <v>0</v>
      </c>
      <c r="AH710" s="9">
        <v>0</v>
      </c>
      <c r="AI710" s="30">
        <v>1</v>
      </c>
      <c r="AJ710" s="9">
        <v>0</v>
      </c>
      <c r="AK710" s="30">
        <v>1</v>
      </c>
      <c r="AL710" s="21">
        <v>2007</v>
      </c>
      <c r="AM710" s="23">
        <f t="shared" si="213"/>
        <v>7.604396348796338</v>
      </c>
      <c r="AN710" s="33" t="s">
        <v>104</v>
      </c>
      <c r="AO710" s="33" t="s">
        <v>104</v>
      </c>
      <c r="AP710" s="33" t="s">
        <v>104</v>
      </c>
      <c r="AQ710" s="43" t="s">
        <v>104</v>
      </c>
      <c r="AR710" s="42">
        <v>0.60299999999999998</v>
      </c>
      <c r="AS710" s="18">
        <v>0.39700000000000002</v>
      </c>
      <c r="AT710" s="39">
        <f t="shared" si="200"/>
        <v>0.77900000000000003</v>
      </c>
      <c r="AU710" s="40">
        <v>0.221</v>
      </c>
      <c r="AV710" s="39">
        <f t="shared" si="201"/>
        <v>0.78800000000000003</v>
      </c>
      <c r="AW710" s="40">
        <v>0.21199999999999999</v>
      </c>
      <c r="AX710">
        <v>0</v>
      </c>
      <c r="AY710" s="18">
        <v>1</v>
      </c>
      <c r="AZ710">
        <f t="shared" si="20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0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17</v>
      </c>
      <c r="DB710" s="34"/>
    </row>
    <row r="711" spans="1:106" x14ac:dyDescent="0.25">
      <c r="A711">
        <v>710</v>
      </c>
      <c r="B711">
        <v>45</v>
      </c>
      <c r="C711" s="25" t="s">
        <v>489</v>
      </c>
      <c r="D711" s="12">
        <v>6.2</v>
      </c>
      <c r="E711" s="14">
        <v>0.1</v>
      </c>
      <c r="F711" s="7">
        <v>15.8571428571429</v>
      </c>
      <c r="G711" s="7">
        <f t="shared" si="204"/>
        <v>6.1000000000000005</v>
      </c>
      <c r="H711" s="16">
        <f t="shared" si="205"/>
        <v>6.3</v>
      </c>
      <c r="I711" s="11">
        <f t="shared" si="206"/>
        <v>9.0907414049634136E-2</v>
      </c>
      <c r="J711" s="33">
        <f t="shared" si="207"/>
        <v>5.7328999851120471E-3</v>
      </c>
      <c r="K711" s="33">
        <f t="shared" si="208"/>
        <v>174.4317889021145</v>
      </c>
      <c r="L711" s="33">
        <f t="shared" si="209"/>
        <v>8.5174514064522089E-2</v>
      </c>
      <c r="M711" s="33">
        <f t="shared" si="210"/>
        <v>9.6640314034746183E-2</v>
      </c>
      <c r="N711" s="8">
        <v>0</v>
      </c>
      <c r="O711" s="9">
        <v>1</v>
      </c>
      <c r="P711" s="8">
        <v>0</v>
      </c>
      <c r="Q711" s="9">
        <v>0</v>
      </c>
      <c r="R711" s="9">
        <v>1</v>
      </c>
      <c r="S711" s="9">
        <v>0</v>
      </c>
      <c r="T711" s="9">
        <v>0</v>
      </c>
      <c r="U711" s="8">
        <v>30184</v>
      </c>
      <c r="V711" s="9">
        <v>8</v>
      </c>
      <c r="W711" s="9">
        <f t="shared" si="211"/>
        <v>30175</v>
      </c>
      <c r="X711" s="9">
        <f t="shared" si="212"/>
        <v>30</v>
      </c>
      <c r="Y711" s="7">
        <v>8.4130000000000003</v>
      </c>
      <c r="Z711" s="7">
        <v>18.39</v>
      </c>
      <c r="AA711" s="9">
        <v>1</v>
      </c>
      <c r="AB711" s="9">
        <v>0</v>
      </c>
      <c r="AC711" s="9">
        <v>1</v>
      </c>
      <c r="AD711" s="9">
        <v>0</v>
      </c>
      <c r="AE711" s="9">
        <v>0</v>
      </c>
      <c r="AF711" s="9">
        <v>0</v>
      </c>
      <c r="AG711" s="8">
        <v>0</v>
      </c>
      <c r="AH711" s="9">
        <v>0</v>
      </c>
      <c r="AI711" s="30">
        <v>1</v>
      </c>
      <c r="AJ711" s="9">
        <v>0</v>
      </c>
      <c r="AK711" s="30">
        <v>1</v>
      </c>
      <c r="AL711" s="21">
        <v>2007</v>
      </c>
      <c r="AM711" s="23">
        <f t="shared" si="213"/>
        <v>7.604396348796338</v>
      </c>
      <c r="AN711" s="33" t="s">
        <v>104</v>
      </c>
      <c r="AO711" s="33" t="s">
        <v>104</v>
      </c>
      <c r="AP711" s="33" t="s">
        <v>104</v>
      </c>
      <c r="AQ711" s="43" t="s">
        <v>104</v>
      </c>
      <c r="AR711" s="42">
        <v>0.60299999999999998</v>
      </c>
      <c r="AS711" s="18">
        <v>0.39700000000000002</v>
      </c>
      <c r="AT711" s="39">
        <f t="shared" si="200"/>
        <v>0.77900000000000003</v>
      </c>
      <c r="AU711" s="40">
        <v>0.221</v>
      </c>
      <c r="AV711" s="39">
        <f t="shared" si="201"/>
        <v>0.78700000000000003</v>
      </c>
      <c r="AW711" s="40">
        <v>0.21299999999999999</v>
      </c>
      <c r="AX711">
        <v>0</v>
      </c>
      <c r="AY711" s="18">
        <v>1</v>
      </c>
      <c r="AZ711">
        <f t="shared" si="20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0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17</v>
      </c>
      <c r="DB711" s="34"/>
    </row>
    <row r="712" spans="1:106" x14ac:dyDescent="0.25">
      <c r="A712">
        <v>711</v>
      </c>
      <c r="B712">
        <v>45</v>
      </c>
      <c r="C712" s="25" t="s">
        <v>489</v>
      </c>
      <c r="D712" s="12">
        <v>5.3</v>
      </c>
      <c r="E712" s="14">
        <v>0.1</v>
      </c>
      <c r="F712" s="7">
        <v>16.8571428571429</v>
      </c>
      <c r="G712" s="7">
        <f t="shared" si="204"/>
        <v>5.2</v>
      </c>
      <c r="H712" s="16">
        <f t="shared" si="205"/>
        <v>5.3999999999999995</v>
      </c>
      <c r="I712" s="11">
        <f t="shared" si="206"/>
        <v>7.9462540652765284E-2</v>
      </c>
      <c r="J712" s="33">
        <f t="shared" si="207"/>
        <v>4.7138795302487761E-3</v>
      </c>
      <c r="K712" s="33">
        <f t="shared" si="208"/>
        <v>212.13949011277018</v>
      </c>
      <c r="L712" s="33">
        <f t="shared" si="209"/>
        <v>7.4748661122516505E-2</v>
      </c>
      <c r="M712" s="33">
        <f t="shared" si="210"/>
        <v>8.4176420183014064E-2</v>
      </c>
      <c r="N712" s="8">
        <v>0</v>
      </c>
      <c r="O712" s="9">
        <v>1</v>
      </c>
      <c r="P712" s="8">
        <v>0</v>
      </c>
      <c r="Q712" s="9">
        <v>0</v>
      </c>
      <c r="R712" s="9">
        <v>1</v>
      </c>
      <c r="S712" s="9">
        <v>0</v>
      </c>
      <c r="T712" s="9">
        <v>0</v>
      </c>
      <c r="U712" s="8">
        <v>44729</v>
      </c>
      <c r="V712" s="9">
        <v>9</v>
      </c>
      <c r="W712" s="9">
        <f t="shared" si="211"/>
        <v>44719</v>
      </c>
      <c r="X712" s="9">
        <f t="shared" si="212"/>
        <v>30</v>
      </c>
      <c r="Y712" s="7">
        <v>8.4130000000000003</v>
      </c>
      <c r="Z712" s="7">
        <v>18.39</v>
      </c>
      <c r="AA712" s="9">
        <v>1</v>
      </c>
      <c r="AB712" s="9">
        <v>0</v>
      </c>
      <c r="AC712" s="9">
        <v>1</v>
      </c>
      <c r="AD712" s="9">
        <v>0</v>
      </c>
      <c r="AE712" s="9">
        <v>0</v>
      </c>
      <c r="AF712" s="9">
        <v>0</v>
      </c>
      <c r="AG712" s="8">
        <v>0</v>
      </c>
      <c r="AH712" s="9">
        <v>0</v>
      </c>
      <c r="AI712" s="30">
        <v>1</v>
      </c>
      <c r="AJ712" s="9">
        <v>0</v>
      </c>
      <c r="AK712" s="30">
        <v>1</v>
      </c>
      <c r="AL712" s="21">
        <v>2007</v>
      </c>
      <c r="AM712" s="23">
        <f t="shared" si="213"/>
        <v>7.604396348796338</v>
      </c>
      <c r="AN712" s="33" t="s">
        <v>104</v>
      </c>
      <c r="AO712" s="33" t="s">
        <v>104</v>
      </c>
      <c r="AP712" s="33" t="s">
        <v>104</v>
      </c>
      <c r="AQ712" s="43" t="s">
        <v>104</v>
      </c>
      <c r="AR712" s="42">
        <v>0.60299999999999998</v>
      </c>
      <c r="AS712" s="18">
        <v>0.39700000000000002</v>
      </c>
      <c r="AT712" s="39">
        <f t="shared" si="200"/>
        <v>0.77900000000000003</v>
      </c>
      <c r="AU712" s="40">
        <v>0.221</v>
      </c>
      <c r="AV712" s="39">
        <f t="shared" si="201"/>
        <v>0.78700000000000003</v>
      </c>
      <c r="AW712" s="40">
        <v>0.21299999999999999</v>
      </c>
      <c r="AX712">
        <v>0</v>
      </c>
      <c r="AY712" s="18">
        <v>1</v>
      </c>
      <c r="AZ712">
        <f t="shared" si="20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0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17</v>
      </c>
      <c r="DB712" s="34"/>
    </row>
    <row r="713" spans="1:106" x14ac:dyDescent="0.25">
      <c r="A713">
        <v>712</v>
      </c>
      <c r="B713">
        <v>45</v>
      </c>
      <c r="C713" s="25" t="s">
        <v>489</v>
      </c>
      <c r="D713" s="12">
        <v>5.7</v>
      </c>
      <c r="E713" s="14">
        <v>0.2</v>
      </c>
      <c r="F713" s="7">
        <v>17.8571428571429</v>
      </c>
      <c r="G713" s="7">
        <f t="shared" si="204"/>
        <v>5.5</v>
      </c>
      <c r="H713" s="16">
        <f t="shared" si="205"/>
        <v>5.9</v>
      </c>
      <c r="I713" s="11">
        <f t="shared" si="206"/>
        <v>0.10159251351266772</v>
      </c>
      <c r="J713" s="33">
        <f t="shared" si="207"/>
        <v>5.6891807567093786E-3</v>
      </c>
      <c r="K713" s="33">
        <f t="shared" si="208"/>
        <v>175.77223202491459</v>
      </c>
      <c r="L713" s="33">
        <f t="shared" si="209"/>
        <v>9.5903332755958345E-2</v>
      </c>
      <c r="M713" s="33">
        <f t="shared" si="210"/>
        <v>0.1072816942693771</v>
      </c>
      <c r="N713" s="8">
        <v>0</v>
      </c>
      <c r="O713" s="9">
        <v>1</v>
      </c>
      <c r="P713" s="8">
        <v>0</v>
      </c>
      <c r="Q713" s="9">
        <v>0</v>
      </c>
      <c r="R713" s="9">
        <v>1</v>
      </c>
      <c r="S713" s="9">
        <v>0</v>
      </c>
      <c r="T713" s="9">
        <v>0</v>
      </c>
      <c r="U713" s="8">
        <v>30588</v>
      </c>
      <c r="V713" s="9">
        <v>10</v>
      </c>
      <c r="W713" s="9">
        <f t="shared" si="211"/>
        <v>30577</v>
      </c>
      <c r="X713" s="9">
        <f t="shared" si="212"/>
        <v>30</v>
      </c>
      <c r="Y713" s="7">
        <v>7.95</v>
      </c>
      <c r="Z713" s="7">
        <v>18.16</v>
      </c>
      <c r="AA713" s="9">
        <v>1</v>
      </c>
      <c r="AB713" s="9">
        <v>0</v>
      </c>
      <c r="AC713" s="9">
        <v>1</v>
      </c>
      <c r="AD713" s="9">
        <v>0</v>
      </c>
      <c r="AE713" s="9">
        <v>0</v>
      </c>
      <c r="AF713" s="9">
        <v>0</v>
      </c>
      <c r="AG713" s="8">
        <v>0</v>
      </c>
      <c r="AH713" s="9">
        <v>0</v>
      </c>
      <c r="AI713" s="30">
        <v>1</v>
      </c>
      <c r="AJ713" s="9">
        <v>0</v>
      </c>
      <c r="AK713" s="30">
        <v>1</v>
      </c>
      <c r="AL713" s="21">
        <v>2007</v>
      </c>
      <c r="AM713" s="23">
        <f t="shared" si="213"/>
        <v>7.604396348796338</v>
      </c>
      <c r="AN713" s="33" t="s">
        <v>104</v>
      </c>
      <c r="AO713" s="33" t="s">
        <v>104</v>
      </c>
      <c r="AP713" s="33" t="s">
        <v>104</v>
      </c>
      <c r="AQ713" s="43" t="s">
        <v>104</v>
      </c>
      <c r="AR713" s="42">
        <v>0.60299999999999998</v>
      </c>
      <c r="AS713" s="18">
        <v>0.39700000000000002</v>
      </c>
      <c r="AT713" s="39">
        <f t="shared" si="200"/>
        <v>0.78400000000000003</v>
      </c>
      <c r="AU713" s="40">
        <v>0.216</v>
      </c>
      <c r="AV713" s="39">
        <f t="shared" si="201"/>
        <v>0.76300000000000001</v>
      </c>
      <c r="AW713" s="40">
        <v>0.23699999999999999</v>
      </c>
      <c r="AX713">
        <v>0</v>
      </c>
      <c r="AY713" s="18">
        <v>1</v>
      </c>
      <c r="AZ713">
        <f t="shared" si="20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0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17</v>
      </c>
      <c r="DB713" s="34"/>
    </row>
    <row r="714" spans="1:106" x14ac:dyDescent="0.25">
      <c r="A714">
        <v>713</v>
      </c>
      <c r="B714">
        <v>45</v>
      </c>
      <c r="C714" s="25" t="s">
        <v>489</v>
      </c>
      <c r="D714" s="12">
        <v>4.7</v>
      </c>
      <c r="E714" s="14">
        <v>0.2</v>
      </c>
      <c r="F714" s="7">
        <v>18.8571428571429</v>
      </c>
      <c r="G714" s="7">
        <f t="shared" si="204"/>
        <v>4.5</v>
      </c>
      <c r="H714" s="16">
        <f t="shared" si="205"/>
        <v>4.9000000000000004</v>
      </c>
      <c r="I714" s="11">
        <f t="shared" si="206"/>
        <v>0.17153072758098822</v>
      </c>
      <c r="J714" s="33">
        <f t="shared" si="207"/>
        <v>9.0963264626281425E-3</v>
      </c>
      <c r="K714" s="33">
        <f t="shared" si="208"/>
        <v>109.93448884101248</v>
      </c>
      <c r="L714" s="33">
        <f t="shared" si="209"/>
        <v>0.16243440111836008</v>
      </c>
      <c r="M714" s="33">
        <f t="shared" si="210"/>
        <v>0.18062705404361637</v>
      </c>
      <c r="N714" s="8">
        <v>0</v>
      </c>
      <c r="O714" s="9">
        <v>1</v>
      </c>
      <c r="P714" s="8">
        <v>0</v>
      </c>
      <c r="Q714" s="9">
        <v>0</v>
      </c>
      <c r="R714" s="9">
        <v>1</v>
      </c>
      <c r="S714" s="9">
        <v>0</v>
      </c>
      <c r="T714" s="9">
        <v>0</v>
      </c>
      <c r="U714" s="8">
        <v>11742</v>
      </c>
      <c r="V714" s="9">
        <v>11</v>
      </c>
      <c r="W714" s="9">
        <f t="shared" si="211"/>
        <v>11730</v>
      </c>
      <c r="X714" s="9">
        <f t="shared" si="212"/>
        <v>30</v>
      </c>
      <c r="Y714" s="7">
        <v>7.95</v>
      </c>
      <c r="Z714" s="7">
        <v>18.16</v>
      </c>
      <c r="AA714" s="9">
        <v>1</v>
      </c>
      <c r="AB714" s="9">
        <v>0</v>
      </c>
      <c r="AC714" s="9">
        <v>1</v>
      </c>
      <c r="AD714" s="9">
        <v>0</v>
      </c>
      <c r="AE714" s="9">
        <v>0</v>
      </c>
      <c r="AF714" s="9">
        <v>0</v>
      </c>
      <c r="AG714" s="8">
        <v>0</v>
      </c>
      <c r="AH714" s="9">
        <v>0</v>
      </c>
      <c r="AI714" s="30">
        <v>1</v>
      </c>
      <c r="AJ714" s="9">
        <v>0</v>
      </c>
      <c r="AK714" s="30">
        <v>1</v>
      </c>
      <c r="AL714" s="21">
        <v>2007</v>
      </c>
      <c r="AM714" s="23">
        <f t="shared" si="213"/>
        <v>7.604396348796338</v>
      </c>
      <c r="AN714" s="33" t="s">
        <v>104</v>
      </c>
      <c r="AO714" s="33" t="s">
        <v>104</v>
      </c>
      <c r="AP714" s="33" t="s">
        <v>104</v>
      </c>
      <c r="AQ714" s="43" t="s">
        <v>104</v>
      </c>
      <c r="AR714" s="42">
        <v>0.60299999999999998</v>
      </c>
      <c r="AS714" s="18">
        <v>0.39700000000000002</v>
      </c>
      <c r="AT714" s="39">
        <f t="shared" si="200"/>
        <v>0.78400000000000003</v>
      </c>
      <c r="AU714" s="40">
        <v>0.216</v>
      </c>
      <c r="AV714" s="39">
        <f t="shared" si="201"/>
        <v>0.76300000000000001</v>
      </c>
      <c r="AW714" s="40">
        <v>0.23699999999999999</v>
      </c>
      <c r="AX714">
        <v>0</v>
      </c>
      <c r="AY714" s="18">
        <v>1</v>
      </c>
      <c r="AZ714">
        <f t="shared" si="20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0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17</v>
      </c>
      <c r="DB714" s="34"/>
    </row>
    <row r="715" spans="1:106" x14ac:dyDescent="0.25">
      <c r="A715">
        <v>714</v>
      </c>
      <c r="B715">
        <v>45</v>
      </c>
      <c r="C715" s="25" t="s">
        <v>489</v>
      </c>
      <c r="D715" s="12">
        <v>6.1</v>
      </c>
      <c r="E715" s="14">
        <v>0.2</v>
      </c>
      <c r="F715" s="7">
        <v>19.8571428571429</v>
      </c>
      <c r="G715" s="7">
        <f t="shared" si="204"/>
        <v>5.8999999999999995</v>
      </c>
      <c r="H715" s="16">
        <f t="shared" si="205"/>
        <v>6.3</v>
      </c>
      <c r="I715" s="11">
        <f t="shared" si="206"/>
        <v>0.22852540124391141</v>
      </c>
      <c r="J715" s="33">
        <f t="shared" si="207"/>
        <v>1.1508473443937959E-2</v>
      </c>
      <c r="K715" s="33">
        <f t="shared" si="208"/>
        <v>86.892497503806283</v>
      </c>
      <c r="L715" s="33">
        <f t="shared" si="209"/>
        <v>0.21701692779997345</v>
      </c>
      <c r="M715" s="33">
        <f t="shared" si="210"/>
        <v>0.24003387468784937</v>
      </c>
      <c r="N715" s="8">
        <v>0</v>
      </c>
      <c r="O715" s="9">
        <v>1</v>
      </c>
      <c r="P715" s="8">
        <v>0</v>
      </c>
      <c r="Q715" s="9">
        <v>0</v>
      </c>
      <c r="R715" s="9">
        <v>1</v>
      </c>
      <c r="S715" s="9">
        <v>0</v>
      </c>
      <c r="T715" s="9">
        <v>0</v>
      </c>
      <c r="U715" s="8">
        <v>7169</v>
      </c>
      <c r="V715" s="9">
        <v>12</v>
      </c>
      <c r="W715" s="9">
        <f t="shared" si="211"/>
        <v>7156</v>
      </c>
      <c r="X715" s="9">
        <f t="shared" si="212"/>
        <v>30</v>
      </c>
      <c r="Y715" s="7">
        <v>8.1310000000000002</v>
      </c>
      <c r="Z715" s="7">
        <v>18.23</v>
      </c>
      <c r="AA715" s="9">
        <v>1</v>
      </c>
      <c r="AB715" s="9">
        <v>0</v>
      </c>
      <c r="AC715" s="9">
        <v>1</v>
      </c>
      <c r="AD715" s="9">
        <v>0</v>
      </c>
      <c r="AE715" s="9">
        <v>0</v>
      </c>
      <c r="AF715" s="9">
        <v>0</v>
      </c>
      <c r="AG715" s="8">
        <v>0</v>
      </c>
      <c r="AH715" s="9">
        <v>0</v>
      </c>
      <c r="AI715" s="30">
        <v>1</v>
      </c>
      <c r="AJ715" s="9">
        <v>0</v>
      </c>
      <c r="AK715" s="30">
        <v>1</v>
      </c>
      <c r="AL715" s="21">
        <v>2007</v>
      </c>
      <c r="AM715" s="23">
        <f t="shared" si="213"/>
        <v>7.604396348796338</v>
      </c>
      <c r="AN715" s="33" t="s">
        <v>104</v>
      </c>
      <c r="AO715" s="33" t="s">
        <v>104</v>
      </c>
      <c r="AP715" s="33" t="s">
        <v>104</v>
      </c>
      <c r="AQ715" s="43" t="s">
        <v>104</v>
      </c>
      <c r="AR715" s="42">
        <v>0.60299999999999998</v>
      </c>
      <c r="AS715" s="18">
        <v>0.39700000000000002</v>
      </c>
      <c r="AT715" s="39">
        <f t="shared" si="200"/>
        <v>0.78200000000000003</v>
      </c>
      <c r="AU715" s="40">
        <v>0.218</v>
      </c>
      <c r="AV715" s="39">
        <f t="shared" si="201"/>
        <v>0.77600000000000002</v>
      </c>
      <c r="AW715" s="40">
        <v>0.224</v>
      </c>
      <c r="AX715">
        <v>0</v>
      </c>
      <c r="AY715" s="18">
        <v>1</v>
      </c>
      <c r="AZ715">
        <f t="shared" si="20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0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17</v>
      </c>
      <c r="DB715" s="34"/>
    </row>
    <row r="716" spans="1:106" x14ac:dyDescent="0.25">
      <c r="A716">
        <v>715</v>
      </c>
      <c r="B716">
        <v>45</v>
      </c>
      <c r="C716" s="25" t="s">
        <v>489</v>
      </c>
      <c r="D716" s="12">
        <v>5.0999999999999996</v>
      </c>
      <c r="E716" s="14">
        <v>0.2</v>
      </c>
      <c r="F716" s="7">
        <v>20.8571428571429</v>
      </c>
      <c r="G716" s="7">
        <f t="shared" si="204"/>
        <v>4.8999999999999995</v>
      </c>
      <c r="H716" s="16">
        <f t="shared" si="205"/>
        <v>5.3</v>
      </c>
      <c r="I716" s="11">
        <f t="shared" si="206"/>
        <v>0.1870236989817278</v>
      </c>
      <c r="J716" s="33">
        <f t="shared" si="207"/>
        <v>8.9668896772061094E-3</v>
      </c>
      <c r="K716" s="33">
        <f t="shared" si="208"/>
        <v>111.5213899131609</v>
      </c>
      <c r="L716" s="33">
        <f t="shared" si="209"/>
        <v>0.1780568093045217</v>
      </c>
      <c r="M716" s="33">
        <f t="shared" si="210"/>
        <v>0.1959905886589339</v>
      </c>
      <c r="N716" s="8">
        <v>0</v>
      </c>
      <c r="O716" s="9">
        <v>1</v>
      </c>
      <c r="P716" s="8">
        <v>0</v>
      </c>
      <c r="Q716" s="9">
        <v>0</v>
      </c>
      <c r="R716" s="9">
        <v>1</v>
      </c>
      <c r="S716" s="9">
        <v>0</v>
      </c>
      <c r="T716" s="9">
        <v>0</v>
      </c>
      <c r="U716" s="8">
        <v>12016</v>
      </c>
      <c r="V716" s="9">
        <v>13</v>
      </c>
      <c r="W716" s="9">
        <f t="shared" si="211"/>
        <v>12002</v>
      </c>
      <c r="X716" s="9">
        <f t="shared" si="212"/>
        <v>30</v>
      </c>
      <c r="Y716" s="7">
        <v>8.1310000000000002</v>
      </c>
      <c r="Z716" s="7">
        <v>18.23</v>
      </c>
      <c r="AA716" s="9">
        <v>1</v>
      </c>
      <c r="AB716" s="9">
        <v>0</v>
      </c>
      <c r="AC716" s="9">
        <v>1</v>
      </c>
      <c r="AD716" s="9">
        <v>0</v>
      </c>
      <c r="AE716" s="9">
        <v>0</v>
      </c>
      <c r="AF716" s="9">
        <v>0</v>
      </c>
      <c r="AG716" s="8">
        <v>0</v>
      </c>
      <c r="AH716" s="9">
        <v>0</v>
      </c>
      <c r="AI716" s="30">
        <v>1</v>
      </c>
      <c r="AJ716" s="9">
        <v>0</v>
      </c>
      <c r="AK716" s="30">
        <v>1</v>
      </c>
      <c r="AL716" s="21">
        <v>2007</v>
      </c>
      <c r="AM716" s="23">
        <f t="shared" si="213"/>
        <v>7.604396348796338</v>
      </c>
      <c r="AN716" s="33" t="s">
        <v>104</v>
      </c>
      <c r="AO716" s="33" t="s">
        <v>104</v>
      </c>
      <c r="AP716" s="33" t="s">
        <v>104</v>
      </c>
      <c r="AQ716" s="43" t="s">
        <v>104</v>
      </c>
      <c r="AR716" s="42">
        <v>0.60299999999999998</v>
      </c>
      <c r="AS716" s="18">
        <v>0.39700000000000002</v>
      </c>
      <c r="AT716" s="39">
        <f t="shared" si="200"/>
        <v>0.78200000000000003</v>
      </c>
      <c r="AU716" s="40">
        <v>0.218</v>
      </c>
      <c r="AV716" s="39">
        <f t="shared" si="201"/>
        <v>0.77600000000000002</v>
      </c>
      <c r="AW716" s="40">
        <v>0.224</v>
      </c>
      <c r="AX716">
        <v>0</v>
      </c>
      <c r="AY716" s="18">
        <v>1</v>
      </c>
      <c r="AZ716">
        <f t="shared" si="20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0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17</v>
      </c>
      <c r="DB716" s="34"/>
    </row>
    <row r="717" spans="1:106" x14ac:dyDescent="0.25">
      <c r="A717">
        <v>716</v>
      </c>
      <c r="B717">
        <v>45</v>
      </c>
      <c r="C717" s="25" t="s">
        <v>489</v>
      </c>
      <c r="D717" s="12">
        <v>6.7</v>
      </c>
      <c r="E717" s="14">
        <v>0.2</v>
      </c>
      <c r="F717" s="7">
        <v>21.8571428571429</v>
      </c>
      <c r="G717" s="7">
        <f t="shared" si="204"/>
        <v>6.5</v>
      </c>
      <c r="H717" s="16">
        <f t="shared" si="205"/>
        <v>6.9</v>
      </c>
      <c r="I717" s="11">
        <f t="shared" si="206"/>
        <v>0.24917046667358211</v>
      </c>
      <c r="J717" s="33">
        <f t="shared" si="207"/>
        <v>1.1399955991601773E-2</v>
      </c>
      <c r="K717" s="33">
        <f t="shared" si="208"/>
        <v>87.719636877255439</v>
      </c>
      <c r="L717" s="33">
        <f t="shared" si="209"/>
        <v>0.23777051068198035</v>
      </c>
      <c r="M717" s="33">
        <f t="shared" si="210"/>
        <v>0.26057042266518388</v>
      </c>
      <c r="N717" s="8">
        <v>0</v>
      </c>
      <c r="O717" s="9">
        <v>1</v>
      </c>
      <c r="P717" s="8">
        <v>0</v>
      </c>
      <c r="Q717" s="9">
        <v>0</v>
      </c>
      <c r="R717" s="9">
        <v>1</v>
      </c>
      <c r="S717" s="9">
        <v>0</v>
      </c>
      <c r="T717" s="9">
        <v>0</v>
      </c>
      <c r="U717" s="8">
        <v>7232</v>
      </c>
      <c r="V717" s="9">
        <v>14</v>
      </c>
      <c r="W717" s="9">
        <f t="shared" si="211"/>
        <v>7217</v>
      </c>
      <c r="X717" s="9">
        <f t="shared" si="212"/>
        <v>30</v>
      </c>
      <c r="Y717" s="7">
        <v>8.3089999999999993</v>
      </c>
      <c r="Z717" s="7">
        <v>18.27</v>
      </c>
      <c r="AA717" s="9">
        <v>1</v>
      </c>
      <c r="AB717" s="9">
        <v>0</v>
      </c>
      <c r="AC717" s="9">
        <v>1</v>
      </c>
      <c r="AD717" s="9">
        <v>0</v>
      </c>
      <c r="AE717" s="9">
        <v>0</v>
      </c>
      <c r="AF717" s="9">
        <v>0</v>
      </c>
      <c r="AG717" s="8">
        <v>0</v>
      </c>
      <c r="AH717" s="9">
        <v>0</v>
      </c>
      <c r="AI717" s="30">
        <v>1</v>
      </c>
      <c r="AJ717" s="9">
        <v>0</v>
      </c>
      <c r="AK717" s="30">
        <v>1</v>
      </c>
      <c r="AL717" s="21">
        <v>2007</v>
      </c>
      <c r="AM717" s="23">
        <f t="shared" si="213"/>
        <v>7.604396348796338</v>
      </c>
      <c r="AN717" s="33" t="s">
        <v>104</v>
      </c>
      <c r="AO717" s="33" t="s">
        <v>104</v>
      </c>
      <c r="AP717" s="33" t="s">
        <v>104</v>
      </c>
      <c r="AQ717" s="43" t="s">
        <v>104</v>
      </c>
      <c r="AR717" s="42">
        <v>0.60299999999999998</v>
      </c>
      <c r="AS717" s="18">
        <v>0.39700000000000002</v>
      </c>
      <c r="AT717" s="39">
        <f t="shared" si="200"/>
        <v>0.77900000000000003</v>
      </c>
      <c r="AU717" s="40">
        <v>0.221</v>
      </c>
      <c r="AV717" s="39">
        <f t="shared" si="201"/>
        <v>0.78800000000000003</v>
      </c>
      <c r="AW717" s="40">
        <v>0.21199999999999999</v>
      </c>
      <c r="AX717">
        <v>0</v>
      </c>
      <c r="AY717" s="18">
        <v>1</v>
      </c>
      <c r="AZ717">
        <f t="shared" si="20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0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17</v>
      </c>
      <c r="DB717" s="34"/>
    </row>
    <row r="718" spans="1:106" x14ac:dyDescent="0.25">
      <c r="A718">
        <v>717</v>
      </c>
      <c r="B718">
        <v>45</v>
      </c>
      <c r="C718" s="25" t="s">
        <v>489</v>
      </c>
      <c r="D718" s="12">
        <v>5.9</v>
      </c>
      <c r="E718" s="14">
        <v>0.2</v>
      </c>
      <c r="F718" s="7">
        <v>22.8571428571429</v>
      </c>
      <c r="G718" s="7">
        <f t="shared" si="204"/>
        <v>5.7</v>
      </c>
      <c r="H718" s="16">
        <f t="shared" si="205"/>
        <v>6.1000000000000005</v>
      </c>
      <c r="I718" s="11">
        <f t="shared" si="206"/>
        <v>0.19895758177591516</v>
      </c>
      <c r="J718" s="33">
        <f t="shared" si="207"/>
        <v>8.7043942026962719E-3</v>
      </c>
      <c r="K718" s="33">
        <f t="shared" si="208"/>
        <v>114.88450278254173</v>
      </c>
      <c r="L718" s="33">
        <f t="shared" si="209"/>
        <v>0.19025318757321888</v>
      </c>
      <c r="M718" s="33">
        <f t="shared" si="210"/>
        <v>0.20766197597861144</v>
      </c>
      <c r="N718" s="8">
        <v>0</v>
      </c>
      <c r="O718" s="9">
        <v>1</v>
      </c>
      <c r="P718" s="8">
        <v>0</v>
      </c>
      <c r="Q718" s="9">
        <v>0</v>
      </c>
      <c r="R718" s="9">
        <v>1</v>
      </c>
      <c r="S718" s="9">
        <v>0</v>
      </c>
      <c r="T718" s="9">
        <v>0</v>
      </c>
      <c r="U718" s="8">
        <v>12692</v>
      </c>
      <c r="V718" s="9">
        <v>15</v>
      </c>
      <c r="W718" s="9">
        <f t="shared" si="211"/>
        <v>12676</v>
      </c>
      <c r="X718" s="9">
        <f t="shared" si="212"/>
        <v>30</v>
      </c>
      <c r="Y718" s="7">
        <v>8.3089999999999993</v>
      </c>
      <c r="Z718" s="7">
        <v>18.27</v>
      </c>
      <c r="AA718" s="9">
        <v>1</v>
      </c>
      <c r="AB718" s="9">
        <v>0</v>
      </c>
      <c r="AC718" s="9">
        <v>1</v>
      </c>
      <c r="AD718" s="9">
        <v>0</v>
      </c>
      <c r="AE718" s="9">
        <v>0</v>
      </c>
      <c r="AF718" s="9">
        <v>0</v>
      </c>
      <c r="AG718" s="8">
        <v>0</v>
      </c>
      <c r="AH718" s="9">
        <v>0</v>
      </c>
      <c r="AI718" s="30">
        <v>1</v>
      </c>
      <c r="AJ718" s="9">
        <v>0</v>
      </c>
      <c r="AK718" s="30">
        <v>1</v>
      </c>
      <c r="AL718" s="21">
        <v>2007</v>
      </c>
      <c r="AM718" s="23">
        <f t="shared" si="213"/>
        <v>7.604396348796338</v>
      </c>
      <c r="AN718" s="33" t="s">
        <v>104</v>
      </c>
      <c r="AO718" s="33" t="s">
        <v>104</v>
      </c>
      <c r="AP718" s="33" t="s">
        <v>104</v>
      </c>
      <c r="AQ718" s="43" t="s">
        <v>104</v>
      </c>
      <c r="AR718" s="42">
        <v>0.60299999999999998</v>
      </c>
      <c r="AS718" s="18">
        <v>0.39700000000000002</v>
      </c>
      <c r="AT718" s="39">
        <f t="shared" si="200"/>
        <v>0.77900000000000003</v>
      </c>
      <c r="AU718" s="40">
        <v>0.221</v>
      </c>
      <c r="AV718" s="39">
        <f t="shared" si="201"/>
        <v>0.78800000000000003</v>
      </c>
      <c r="AW718" s="40">
        <v>0.21199999999999999</v>
      </c>
      <c r="AX718">
        <v>0</v>
      </c>
      <c r="AY718" s="18">
        <v>1</v>
      </c>
      <c r="AZ718">
        <f t="shared" si="20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0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17</v>
      </c>
      <c r="DB718" s="34"/>
    </row>
    <row r="719" spans="1:106" x14ac:dyDescent="0.25">
      <c r="A719">
        <v>718</v>
      </c>
      <c r="B719">
        <v>45</v>
      </c>
      <c r="C719" s="25" t="s">
        <v>489</v>
      </c>
      <c r="D719" s="12">
        <v>6.2</v>
      </c>
      <c r="E719" s="14">
        <v>0.2</v>
      </c>
      <c r="F719" s="7">
        <v>23.8571428571429</v>
      </c>
      <c r="G719" s="7">
        <f t="shared" si="204"/>
        <v>6</v>
      </c>
      <c r="H719" s="16">
        <f t="shared" si="205"/>
        <v>6.4</v>
      </c>
      <c r="I719" s="11">
        <f t="shared" si="206"/>
        <v>0.26411655224629221</v>
      </c>
      <c r="J719" s="33">
        <f t="shared" si="207"/>
        <v>1.1070753686970311E-2</v>
      </c>
      <c r="K719" s="33">
        <f t="shared" si="208"/>
        <v>90.328086801980504</v>
      </c>
      <c r="L719" s="33">
        <f t="shared" si="209"/>
        <v>0.25304579855932191</v>
      </c>
      <c r="M719" s="33">
        <f t="shared" si="210"/>
        <v>0.27518730593326252</v>
      </c>
      <c r="N719" s="8">
        <v>0</v>
      </c>
      <c r="O719" s="9">
        <v>1</v>
      </c>
      <c r="P719" s="8">
        <v>0</v>
      </c>
      <c r="Q719" s="9">
        <v>0</v>
      </c>
      <c r="R719" s="9">
        <v>1</v>
      </c>
      <c r="S719" s="9">
        <v>0</v>
      </c>
      <c r="T719" s="9">
        <v>0</v>
      </c>
      <c r="U719" s="8">
        <v>7607</v>
      </c>
      <c r="V719" s="9">
        <v>16</v>
      </c>
      <c r="W719" s="9">
        <f t="shared" si="211"/>
        <v>7590</v>
      </c>
      <c r="X719" s="9">
        <f t="shared" si="212"/>
        <v>30</v>
      </c>
      <c r="Y719" s="7">
        <v>8.4130000000000003</v>
      </c>
      <c r="Z719" s="7">
        <v>18.39</v>
      </c>
      <c r="AA719" s="9">
        <v>1</v>
      </c>
      <c r="AB719" s="9">
        <v>0</v>
      </c>
      <c r="AC719" s="9">
        <v>1</v>
      </c>
      <c r="AD719" s="9">
        <v>0</v>
      </c>
      <c r="AE719" s="9">
        <v>0</v>
      </c>
      <c r="AF719" s="9">
        <v>0</v>
      </c>
      <c r="AG719" s="8">
        <v>0</v>
      </c>
      <c r="AH719" s="9">
        <v>0</v>
      </c>
      <c r="AI719" s="30">
        <v>1</v>
      </c>
      <c r="AJ719" s="9">
        <v>0</v>
      </c>
      <c r="AK719" s="30">
        <v>1</v>
      </c>
      <c r="AL719" s="21">
        <v>2007</v>
      </c>
      <c r="AM719" s="23">
        <f t="shared" si="213"/>
        <v>7.604396348796338</v>
      </c>
      <c r="AN719" s="33" t="s">
        <v>104</v>
      </c>
      <c r="AO719" s="33" t="s">
        <v>104</v>
      </c>
      <c r="AP719" s="33" t="s">
        <v>104</v>
      </c>
      <c r="AQ719" s="43" t="s">
        <v>104</v>
      </c>
      <c r="AR719" s="42">
        <v>0.60299999999999998</v>
      </c>
      <c r="AS719" s="18">
        <v>0.39700000000000002</v>
      </c>
      <c r="AT719" s="39">
        <f t="shared" si="200"/>
        <v>0.77900000000000003</v>
      </c>
      <c r="AU719" s="40">
        <v>0.221</v>
      </c>
      <c r="AV719" s="39">
        <f t="shared" si="201"/>
        <v>0.78700000000000003</v>
      </c>
      <c r="AW719" s="40">
        <v>0.21299999999999999</v>
      </c>
      <c r="AX719">
        <v>0</v>
      </c>
      <c r="AY719" s="18">
        <v>1</v>
      </c>
      <c r="AZ719">
        <f t="shared" si="20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0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17</v>
      </c>
      <c r="DB719" s="34"/>
    </row>
    <row r="720" spans="1:106" x14ac:dyDescent="0.25">
      <c r="A720">
        <v>719</v>
      </c>
      <c r="B720">
        <v>45</v>
      </c>
      <c r="C720" s="25" t="s">
        <v>489</v>
      </c>
      <c r="D720" s="12">
        <v>5</v>
      </c>
      <c r="E720" s="14">
        <v>0.2</v>
      </c>
      <c r="F720" s="7">
        <v>24.8571428571429</v>
      </c>
      <c r="G720" s="7">
        <f t="shared" si="204"/>
        <v>4.8</v>
      </c>
      <c r="H720" s="16">
        <f t="shared" si="205"/>
        <v>5.2</v>
      </c>
      <c r="I720" s="11">
        <f t="shared" si="206"/>
        <v>0.21617458945617005</v>
      </c>
      <c r="J720" s="33">
        <f t="shared" si="207"/>
        <v>8.6966788861677462E-3</v>
      </c>
      <c r="K720" s="33">
        <f t="shared" si="208"/>
        <v>114.9864233334545</v>
      </c>
      <c r="L720" s="33">
        <f t="shared" si="209"/>
        <v>0.20747791057000231</v>
      </c>
      <c r="M720" s="33">
        <f t="shared" si="210"/>
        <v>0.22487126834233778</v>
      </c>
      <c r="N720" s="8">
        <v>0</v>
      </c>
      <c r="O720" s="9">
        <v>1</v>
      </c>
      <c r="P720" s="8">
        <v>0</v>
      </c>
      <c r="Q720" s="9">
        <v>0</v>
      </c>
      <c r="R720" s="9">
        <v>1</v>
      </c>
      <c r="S720" s="9">
        <v>0</v>
      </c>
      <c r="T720" s="9">
        <v>0</v>
      </c>
      <c r="U720" s="8">
        <v>12622</v>
      </c>
      <c r="V720" s="9">
        <v>17</v>
      </c>
      <c r="W720" s="9">
        <f t="shared" si="211"/>
        <v>12604</v>
      </c>
      <c r="X720" s="9">
        <f t="shared" si="212"/>
        <v>30</v>
      </c>
      <c r="Y720" s="7">
        <v>8.4130000000000003</v>
      </c>
      <c r="Z720" s="7">
        <v>18.39</v>
      </c>
      <c r="AA720" s="9">
        <v>1</v>
      </c>
      <c r="AB720" s="9">
        <v>0</v>
      </c>
      <c r="AC720" s="9">
        <v>1</v>
      </c>
      <c r="AD720" s="9">
        <v>0</v>
      </c>
      <c r="AE720" s="9">
        <v>0</v>
      </c>
      <c r="AF720" s="9">
        <v>0</v>
      </c>
      <c r="AG720" s="8">
        <v>0</v>
      </c>
      <c r="AH720" s="9">
        <v>0</v>
      </c>
      <c r="AI720" s="30">
        <v>1</v>
      </c>
      <c r="AJ720" s="9">
        <v>0</v>
      </c>
      <c r="AK720" s="30">
        <v>1</v>
      </c>
      <c r="AL720" s="21">
        <v>2007</v>
      </c>
      <c r="AM720" s="23">
        <f t="shared" si="213"/>
        <v>7.604396348796338</v>
      </c>
      <c r="AN720" s="33" t="s">
        <v>104</v>
      </c>
      <c r="AO720" s="33" t="s">
        <v>104</v>
      </c>
      <c r="AP720" s="33" t="s">
        <v>104</v>
      </c>
      <c r="AQ720" s="43" t="s">
        <v>104</v>
      </c>
      <c r="AR720" s="42">
        <v>0.60299999999999998</v>
      </c>
      <c r="AS720" s="18">
        <v>0.39700000000000002</v>
      </c>
      <c r="AT720" s="39">
        <f t="shared" si="200"/>
        <v>0.77900000000000003</v>
      </c>
      <c r="AU720" s="40">
        <v>0.221</v>
      </c>
      <c r="AV720" s="39">
        <f t="shared" si="201"/>
        <v>0.78700000000000003</v>
      </c>
      <c r="AW720" s="40">
        <v>0.21299999999999999</v>
      </c>
      <c r="AX720">
        <v>0</v>
      </c>
      <c r="AY720" s="18">
        <v>1</v>
      </c>
      <c r="AZ720">
        <f t="shared" si="20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0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17</v>
      </c>
      <c r="DB720" s="34"/>
    </row>
    <row r="721" spans="1:106" x14ac:dyDescent="0.25">
      <c r="A721">
        <v>720</v>
      </c>
      <c r="B721">
        <v>45</v>
      </c>
      <c r="C721" s="25" t="s">
        <v>489</v>
      </c>
      <c r="D721" s="12">
        <v>7.74</v>
      </c>
      <c r="E721" s="14">
        <v>0.03</v>
      </c>
      <c r="F721" s="7">
        <v>25.8571428571429</v>
      </c>
      <c r="G721" s="7">
        <f t="shared" si="204"/>
        <v>7.71</v>
      </c>
      <c r="H721" s="16">
        <f t="shared" si="205"/>
        <v>7.7700000000000005</v>
      </c>
      <c r="I721" s="11">
        <f t="shared" si="206"/>
        <v>4.1483160549381434E-2</v>
      </c>
      <c r="J721" s="33">
        <f t="shared" si="207"/>
        <v>1.6043211262191687E-3</v>
      </c>
      <c r="K721" s="33">
        <f t="shared" si="208"/>
        <v>623.3166064182268</v>
      </c>
      <c r="L721" s="33">
        <f t="shared" si="209"/>
        <v>3.9878839423162268E-2</v>
      </c>
      <c r="M721" s="33">
        <f t="shared" si="210"/>
        <v>4.30874816756006E-2</v>
      </c>
      <c r="N721" s="8">
        <v>0</v>
      </c>
      <c r="O721" s="9">
        <v>1</v>
      </c>
      <c r="P721" s="8">
        <v>0</v>
      </c>
      <c r="Q721" s="9">
        <v>0</v>
      </c>
      <c r="R721" s="9">
        <v>1</v>
      </c>
      <c r="S721" s="9">
        <v>0</v>
      </c>
      <c r="T721" s="9">
        <v>0</v>
      </c>
      <c r="U721" s="8">
        <v>387866</v>
      </c>
      <c r="V721" s="9">
        <v>10</v>
      </c>
      <c r="W721" s="9">
        <f t="shared" si="211"/>
        <v>387855</v>
      </c>
      <c r="X721" s="9">
        <f t="shared" si="212"/>
        <v>30</v>
      </c>
      <c r="Y721" s="7">
        <v>8.41</v>
      </c>
      <c r="Z721" s="7">
        <v>18.39</v>
      </c>
      <c r="AA721" s="9">
        <v>1</v>
      </c>
      <c r="AB721" s="9">
        <v>0</v>
      </c>
      <c r="AC721" s="9">
        <v>1</v>
      </c>
      <c r="AD721" s="9">
        <v>0</v>
      </c>
      <c r="AE721" s="9">
        <v>0</v>
      </c>
      <c r="AF721" s="9">
        <v>0</v>
      </c>
      <c r="AG721" s="8">
        <v>0</v>
      </c>
      <c r="AH721" s="9">
        <v>0</v>
      </c>
      <c r="AI721" s="30">
        <v>1</v>
      </c>
      <c r="AJ721" s="9">
        <v>0</v>
      </c>
      <c r="AK721" s="30">
        <v>1</v>
      </c>
      <c r="AL721" s="21">
        <v>2007</v>
      </c>
      <c r="AM721" s="23">
        <f t="shared" si="213"/>
        <v>7.604396348796338</v>
      </c>
      <c r="AN721" s="33" t="s">
        <v>104</v>
      </c>
      <c r="AO721" s="33" t="s">
        <v>104</v>
      </c>
      <c r="AP721" s="33" t="s">
        <v>104</v>
      </c>
      <c r="AQ721" s="43" t="s">
        <v>104</v>
      </c>
      <c r="AR721" s="42">
        <v>0.60299999999999998</v>
      </c>
      <c r="AS721" s="18">
        <v>0.39700000000000002</v>
      </c>
      <c r="AT721" s="39">
        <f t="shared" si="200"/>
        <v>0.77900000000000003</v>
      </c>
      <c r="AU721" s="40">
        <v>0.221</v>
      </c>
      <c r="AV721" s="39">
        <f t="shared" si="201"/>
        <v>0.78700000000000003</v>
      </c>
      <c r="AW721" s="40">
        <v>0.21299999999999999</v>
      </c>
      <c r="AX721">
        <v>0</v>
      </c>
      <c r="AY721" s="18">
        <v>1</v>
      </c>
      <c r="AZ721">
        <f t="shared" si="20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0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17</v>
      </c>
      <c r="DB721" s="34"/>
    </row>
    <row r="722" spans="1:106" x14ac:dyDescent="0.25">
      <c r="A722">
        <v>721</v>
      </c>
      <c r="B722">
        <v>45</v>
      </c>
      <c r="C722" s="25" t="s">
        <v>489</v>
      </c>
      <c r="D722" s="12">
        <v>6.24</v>
      </c>
      <c r="E722" s="14">
        <v>0.03</v>
      </c>
      <c r="F722" s="7">
        <v>26.8571428571429</v>
      </c>
      <c r="G722" s="7">
        <f t="shared" si="204"/>
        <v>6.21</v>
      </c>
      <c r="H722" s="16">
        <f t="shared" si="205"/>
        <v>6.2700000000000005</v>
      </c>
      <c r="I722" s="11">
        <f t="shared" si="206"/>
        <v>4.3084780708946675E-2</v>
      </c>
      <c r="J722" s="33">
        <f t="shared" si="207"/>
        <v>1.604220558311842E-3</v>
      </c>
      <c r="K722" s="33">
        <f t="shared" si="208"/>
        <v>623.355681872275</v>
      </c>
      <c r="L722" s="33">
        <f t="shared" si="209"/>
        <v>4.1480560150634831E-2</v>
      </c>
      <c r="M722" s="33">
        <f t="shared" si="210"/>
        <v>4.468900126725852E-2</v>
      </c>
      <c r="N722" s="8">
        <v>0</v>
      </c>
      <c r="O722" s="9">
        <v>1</v>
      </c>
      <c r="P722" s="8">
        <v>0</v>
      </c>
      <c r="Q722" s="9">
        <v>0</v>
      </c>
      <c r="R722" s="9">
        <v>1</v>
      </c>
      <c r="S722" s="9">
        <v>0</v>
      </c>
      <c r="T722" s="9">
        <v>0</v>
      </c>
      <c r="U722" s="8">
        <v>387866</v>
      </c>
      <c r="V722" s="9">
        <v>14</v>
      </c>
      <c r="W722" s="9">
        <f t="shared" si="211"/>
        <v>387851</v>
      </c>
      <c r="X722" s="9">
        <f t="shared" si="212"/>
        <v>30</v>
      </c>
      <c r="Y722" s="7">
        <v>8.41</v>
      </c>
      <c r="Z722" s="7">
        <v>18.39</v>
      </c>
      <c r="AA722" s="9">
        <v>1</v>
      </c>
      <c r="AB722" s="9">
        <v>0</v>
      </c>
      <c r="AC722" s="9">
        <v>1</v>
      </c>
      <c r="AD722" s="9">
        <v>0</v>
      </c>
      <c r="AE722" s="9">
        <v>0</v>
      </c>
      <c r="AF722" s="9">
        <v>0</v>
      </c>
      <c r="AG722" s="8">
        <v>0</v>
      </c>
      <c r="AH722" s="9">
        <v>0</v>
      </c>
      <c r="AI722" s="30">
        <v>1</v>
      </c>
      <c r="AJ722" s="9">
        <v>0</v>
      </c>
      <c r="AK722" s="30">
        <v>1</v>
      </c>
      <c r="AL722" s="21">
        <v>2007</v>
      </c>
      <c r="AM722" s="23">
        <f t="shared" si="213"/>
        <v>7.604396348796338</v>
      </c>
      <c r="AN722" s="33" t="s">
        <v>104</v>
      </c>
      <c r="AO722" s="33" t="s">
        <v>104</v>
      </c>
      <c r="AP722" s="33" t="s">
        <v>104</v>
      </c>
      <c r="AQ722" s="43" t="s">
        <v>104</v>
      </c>
      <c r="AR722" s="42">
        <v>0.60299999999999998</v>
      </c>
      <c r="AS722" s="18">
        <v>0.39700000000000002</v>
      </c>
      <c r="AT722" s="39">
        <f t="shared" si="200"/>
        <v>0.77900000000000003</v>
      </c>
      <c r="AU722" s="40">
        <v>0.221</v>
      </c>
      <c r="AV722" s="39">
        <f t="shared" si="201"/>
        <v>0.78700000000000003</v>
      </c>
      <c r="AW722" s="40">
        <v>0.21299999999999999</v>
      </c>
      <c r="AX722">
        <v>0</v>
      </c>
      <c r="AY722" s="18">
        <v>1</v>
      </c>
      <c r="AZ722">
        <f t="shared" si="20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0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17</v>
      </c>
      <c r="DB722" s="34"/>
    </row>
    <row r="723" spans="1:106" x14ac:dyDescent="0.25">
      <c r="A723">
        <v>722</v>
      </c>
      <c r="B723">
        <v>45</v>
      </c>
      <c r="C723" s="25" t="s">
        <v>489</v>
      </c>
      <c r="D723" s="12">
        <v>6.15</v>
      </c>
      <c r="E723" s="14">
        <v>0.03</v>
      </c>
      <c r="F723" s="7">
        <v>27.8571428571429</v>
      </c>
      <c r="G723" s="7">
        <f t="shared" si="204"/>
        <v>6.12</v>
      </c>
      <c r="H723" s="16">
        <f t="shared" si="205"/>
        <v>6.1800000000000006</v>
      </c>
      <c r="I723" s="11">
        <f t="shared" si="206"/>
        <v>4.8876541744417183E-2</v>
      </c>
      <c r="J723" s="33">
        <f t="shared" si="207"/>
        <v>1.7545425241585627E-3</v>
      </c>
      <c r="K723" s="33">
        <f t="shared" si="208"/>
        <v>569.94913843970608</v>
      </c>
      <c r="L723" s="33">
        <f t="shared" si="209"/>
        <v>4.7121999220258622E-2</v>
      </c>
      <c r="M723" s="33">
        <f t="shared" si="210"/>
        <v>5.0631084268575745E-2</v>
      </c>
      <c r="N723" s="8">
        <v>0</v>
      </c>
      <c r="O723" s="9">
        <v>1</v>
      </c>
      <c r="P723" s="8">
        <v>0</v>
      </c>
      <c r="Q723" s="9">
        <v>0</v>
      </c>
      <c r="R723" s="9">
        <v>1</v>
      </c>
      <c r="S723" s="9">
        <v>0</v>
      </c>
      <c r="T723" s="9">
        <v>0</v>
      </c>
      <c r="U723" s="8">
        <v>324084</v>
      </c>
      <c r="V723" s="9">
        <v>17</v>
      </c>
      <c r="W723" s="9">
        <f t="shared" si="211"/>
        <v>324066</v>
      </c>
      <c r="X723" s="9">
        <f t="shared" si="212"/>
        <v>30</v>
      </c>
      <c r="Y723" s="7">
        <v>8.41</v>
      </c>
      <c r="Z723" s="7">
        <v>18.39</v>
      </c>
      <c r="AA723" s="9">
        <v>1</v>
      </c>
      <c r="AB723" s="9">
        <v>0</v>
      </c>
      <c r="AC723" s="9">
        <v>1</v>
      </c>
      <c r="AD723" s="9">
        <v>0</v>
      </c>
      <c r="AE723" s="9">
        <v>0</v>
      </c>
      <c r="AF723" s="9">
        <v>0</v>
      </c>
      <c r="AG723" s="8">
        <v>0</v>
      </c>
      <c r="AH723" s="9">
        <v>0</v>
      </c>
      <c r="AI723" s="30">
        <v>1</v>
      </c>
      <c r="AJ723" s="9">
        <v>0</v>
      </c>
      <c r="AK723" s="30">
        <v>1</v>
      </c>
      <c r="AL723" s="21">
        <v>2007</v>
      </c>
      <c r="AM723" s="23">
        <f t="shared" si="213"/>
        <v>7.604396348796338</v>
      </c>
      <c r="AN723" s="33" t="s">
        <v>104</v>
      </c>
      <c r="AO723" s="33" t="s">
        <v>104</v>
      </c>
      <c r="AP723" s="33" t="s">
        <v>104</v>
      </c>
      <c r="AQ723" s="43" t="s">
        <v>104</v>
      </c>
      <c r="AR723" s="42">
        <v>0.60299999999999998</v>
      </c>
      <c r="AS723" s="18">
        <v>0.39700000000000002</v>
      </c>
      <c r="AT723" s="39">
        <f t="shared" si="200"/>
        <v>0.77900000000000003</v>
      </c>
      <c r="AU723" s="40">
        <v>0.221</v>
      </c>
      <c r="AV723" s="39">
        <f t="shared" si="201"/>
        <v>0.78700000000000003</v>
      </c>
      <c r="AW723" s="40">
        <v>0.21299999999999999</v>
      </c>
      <c r="AX723">
        <v>0</v>
      </c>
      <c r="AY723" s="18">
        <v>1</v>
      </c>
      <c r="AZ723">
        <f t="shared" si="20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0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17</v>
      </c>
      <c r="DB723" s="34"/>
    </row>
    <row r="724" spans="1:106" x14ac:dyDescent="0.25">
      <c r="A724">
        <v>723</v>
      </c>
      <c r="B724">
        <v>45</v>
      </c>
      <c r="C724" s="25" t="s">
        <v>489</v>
      </c>
      <c r="D724" s="12">
        <v>6.05</v>
      </c>
      <c r="E724" s="14">
        <v>0.04</v>
      </c>
      <c r="F724" s="7">
        <v>28.8571428571429</v>
      </c>
      <c r="G724" s="7">
        <f t="shared" si="204"/>
        <v>6.01</v>
      </c>
      <c r="H724" s="16">
        <f t="shared" si="205"/>
        <v>6.09</v>
      </c>
      <c r="I724" s="11">
        <f t="shared" si="206"/>
        <v>5.7129223619062877E-2</v>
      </c>
      <c r="J724" s="33">
        <f t="shared" si="207"/>
        <v>1.9797255709576213E-3</v>
      </c>
      <c r="K724" s="33">
        <f t="shared" si="208"/>
        <v>505.12051501980943</v>
      </c>
      <c r="L724" s="33">
        <f t="shared" si="209"/>
        <v>5.5149498048105254E-2</v>
      </c>
      <c r="M724" s="33">
        <f t="shared" si="210"/>
        <v>5.91089491900205E-2</v>
      </c>
      <c r="N724" s="8">
        <v>0</v>
      </c>
      <c r="O724" s="9">
        <v>1</v>
      </c>
      <c r="P724" s="8">
        <v>0</v>
      </c>
      <c r="Q724" s="9">
        <v>0</v>
      </c>
      <c r="R724" s="9">
        <v>1</v>
      </c>
      <c r="S724" s="9">
        <v>0</v>
      </c>
      <c r="T724" s="9">
        <v>0</v>
      </c>
      <c r="U724" s="8">
        <v>254332</v>
      </c>
      <c r="V724" s="9">
        <v>17</v>
      </c>
      <c r="W724" s="9">
        <f t="shared" si="211"/>
        <v>254314</v>
      </c>
      <c r="X724" s="9">
        <f t="shared" si="212"/>
        <v>30</v>
      </c>
      <c r="Y724" s="7">
        <v>8.41</v>
      </c>
      <c r="Z724" s="7">
        <v>18.39</v>
      </c>
      <c r="AA724" s="9">
        <v>1</v>
      </c>
      <c r="AB724" s="9">
        <v>0</v>
      </c>
      <c r="AC724" s="9">
        <v>1</v>
      </c>
      <c r="AD724" s="9">
        <v>0</v>
      </c>
      <c r="AE724" s="9">
        <v>0</v>
      </c>
      <c r="AF724" s="9">
        <v>0</v>
      </c>
      <c r="AG724" s="8">
        <v>0</v>
      </c>
      <c r="AH724" s="9">
        <v>0</v>
      </c>
      <c r="AI724" s="30">
        <v>1</v>
      </c>
      <c r="AJ724" s="9">
        <v>0</v>
      </c>
      <c r="AK724" s="30">
        <v>1</v>
      </c>
      <c r="AL724" s="21">
        <v>2007</v>
      </c>
      <c r="AM724" s="23">
        <f t="shared" si="213"/>
        <v>7.604396348796338</v>
      </c>
      <c r="AN724" s="33" t="s">
        <v>104</v>
      </c>
      <c r="AO724" s="33" t="s">
        <v>104</v>
      </c>
      <c r="AP724" s="33" t="s">
        <v>104</v>
      </c>
      <c r="AQ724" s="43" t="s">
        <v>104</v>
      </c>
      <c r="AR724" s="42">
        <v>0.60299999999999998</v>
      </c>
      <c r="AS724" s="18">
        <v>0.39700000000000002</v>
      </c>
      <c r="AT724" s="39">
        <f t="shared" si="200"/>
        <v>0.77900000000000003</v>
      </c>
      <c r="AU724" s="40">
        <v>0.221</v>
      </c>
      <c r="AV724" s="39">
        <f t="shared" si="201"/>
        <v>0.78700000000000003</v>
      </c>
      <c r="AW724" s="40">
        <v>0.21299999999999999</v>
      </c>
      <c r="AX724">
        <v>0</v>
      </c>
      <c r="AY724" s="18">
        <v>1</v>
      </c>
      <c r="AZ724">
        <f t="shared" si="20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0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17</v>
      </c>
      <c r="DB724" s="34"/>
    </row>
    <row r="725" spans="1:106" x14ac:dyDescent="0.25">
      <c r="A725">
        <v>724</v>
      </c>
      <c r="B725">
        <v>45</v>
      </c>
      <c r="C725" s="25" t="s">
        <v>489</v>
      </c>
      <c r="D725" s="12">
        <v>5.93</v>
      </c>
      <c r="E725" s="14">
        <v>7.0000000000000007E-2</v>
      </c>
      <c r="F725" s="7">
        <v>29.8571428571429</v>
      </c>
      <c r="G725" s="7">
        <f t="shared" si="204"/>
        <v>5.8599999999999994</v>
      </c>
      <c r="H725" s="16">
        <f t="shared" si="205"/>
        <v>6</v>
      </c>
      <c r="I725" s="11">
        <f t="shared" si="206"/>
        <v>0.11234859231156773</v>
      </c>
      <c r="J725" s="33">
        <f t="shared" si="207"/>
        <v>3.7628715128276216E-3</v>
      </c>
      <c r="K725" s="33">
        <f t="shared" si="208"/>
        <v>265.75449004596675</v>
      </c>
      <c r="L725" s="33">
        <f t="shared" si="209"/>
        <v>0.1085857207987401</v>
      </c>
      <c r="M725" s="33">
        <f t="shared" si="210"/>
        <v>0.11611146382439536</v>
      </c>
      <c r="N725" s="8">
        <v>0</v>
      </c>
      <c r="O725" s="9">
        <v>1</v>
      </c>
      <c r="P725" s="8">
        <v>0</v>
      </c>
      <c r="Q725" s="9">
        <v>0</v>
      </c>
      <c r="R725" s="9">
        <v>1</v>
      </c>
      <c r="S725" s="9">
        <v>0</v>
      </c>
      <c r="T725" s="9">
        <v>0</v>
      </c>
      <c r="U725" s="8">
        <v>69752</v>
      </c>
      <c r="V725" s="9">
        <v>17</v>
      </c>
      <c r="W725" s="9">
        <f t="shared" si="211"/>
        <v>69734</v>
      </c>
      <c r="X725" s="9">
        <f t="shared" si="212"/>
        <v>30</v>
      </c>
      <c r="Y725" s="7">
        <v>8.41</v>
      </c>
      <c r="Z725" s="7">
        <v>18.39</v>
      </c>
      <c r="AA725" s="9">
        <v>1</v>
      </c>
      <c r="AB725" s="9">
        <v>0</v>
      </c>
      <c r="AC725" s="9">
        <v>1</v>
      </c>
      <c r="AD725" s="9">
        <v>0</v>
      </c>
      <c r="AE725" s="9">
        <v>0</v>
      </c>
      <c r="AF725" s="9">
        <v>0</v>
      </c>
      <c r="AG725" s="8">
        <v>0</v>
      </c>
      <c r="AH725" s="9">
        <v>0</v>
      </c>
      <c r="AI725" s="30">
        <v>1</v>
      </c>
      <c r="AJ725" s="9">
        <v>0</v>
      </c>
      <c r="AK725" s="30">
        <v>1</v>
      </c>
      <c r="AL725" s="21">
        <v>2007</v>
      </c>
      <c r="AM725" s="23">
        <f t="shared" si="213"/>
        <v>7.604396348796338</v>
      </c>
      <c r="AN725" s="33" t="s">
        <v>104</v>
      </c>
      <c r="AO725" s="33" t="s">
        <v>104</v>
      </c>
      <c r="AP725" s="33" t="s">
        <v>104</v>
      </c>
      <c r="AQ725" s="43" t="s">
        <v>104</v>
      </c>
      <c r="AR725" s="42">
        <v>0.60299999999999998</v>
      </c>
      <c r="AS725" s="18">
        <v>0.39700000000000002</v>
      </c>
      <c r="AT725" s="39">
        <f t="shared" si="200"/>
        <v>0.77900000000000003</v>
      </c>
      <c r="AU725" s="40">
        <v>0.221</v>
      </c>
      <c r="AV725" s="39">
        <f t="shared" si="201"/>
        <v>0.78700000000000003</v>
      </c>
      <c r="AW725" s="40">
        <v>0.21299999999999999</v>
      </c>
      <c r="AX725">
        <v>0</v>
      </c>
      <c r="AY725" s="18">
        <v>1</v>
      </c>
      <c r="AZ725">
        <f t="shared" si="20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0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17</v>
      </c>
      <c r="DB725" s="34"/>
    </row>
    <row r="726" spans="1:106" x14ac:dyDescent="0.25">
      <c r="A726">
        <v>725</v>
      </c>
      <c r="B726">
        <v>45</v>
      </c>
      <c r="C726" s="25" t="s">
        <v>489</v>
      </c>
      <c r="D726" s="12">
        <v>3.66</v>
      </c>
      <c r="E726" s="14">
        <v>0.04</v>
      </c>
      <c r="F726" s="7">
        <v>30.8571428571429</v>
      </c>
      <c r="G726" s="7">
        <f t="shared" si="204"/>
        <v>3.62</v>
      </c>
      <c r="H726" s="16">
        <f t="shared" si="205"/>
        <v>3.7</v>
      </c>
      <c r="I726" s="11">
        <f t="shared" si="206"/>
        <v>5.7097529664404303E-2</v>
      </c>
      <c r="J726" s="33">
        <f t="shared" si="207"/>
        <v>1.8503829057908777E-3</v>
      </c>
      <c r="K726" s="33">
        <f t="shared" si="208"/>
        <v>540.42868471733266</v>
      </c>
      <c r="L726" s="33">
        <f t="shared" si="209"/>
        <v>5.5247146758613426E-2</v>
      </c>
      <c r="M726" s="33">
        <f t="shared" si="210"/>
        <v>5.8947912570195181E-2</v>
      </c>
      <c r="N726" s="8">
        <v>0</v>
      </c>
      <c r="O726" s="9">
        <v>1</v>
      </c>
      <c r="P726" s="8">
        <v>0</v>
      </c>
      <c r="Q726" s="9">
        <v>0</v>
      </c>
      <c r="R726" s="9">
        <v>1</v>
      </c>
      <c r="S726" s="9">
        <v>0</v>
      </c>
      <c r="T726" s="9">
        <v>0</v>
      </c>
      <c r="U726" s="8">
        <v>291130</v>
      </c>
      <c r="V726" s="9">
        <v>18</v>
      </c>
      <c r="W726" s="9">
        <f t="shared" si="211"/>
        <v>291111</v>
      </c>
      <c r="X726" s="9">
        <f t="shared" si="212"/>
        <v>30</v>
      </c>
      <c r="Y726" s="7">
        <v>8.41</v>
      </c>
      <c r="Z726" s="7">
        <v>18.39</v>
      </c>
      <c r="AA726" s="9">
        <v>1</v>
      </c>
      <c r="AB726" s="9">
        <v>0</v>
      </c>
      <c r="AC726" s="9">
        <v>1</v>
      </c>
      <c r="AD726" s="9">
        <v>0</v>
      </c>
      <c r="AE726" s="9">
        <v>0</v>
      </c>
      <c r="AF726" s="9">
        <v>0</v>
      </c>
      <c r="AG726" s="8">
        <v>0</v>
      </c>
      <c r="AH726" s="9">
        <v>0</v>
      </c>
      <c r="AI726" s="30">
        <v>1</v>
      </c>
      <c r="AJ726" s="9">
        <v>0</v>
      </c>
      <c r="AK726" s="30">
        <v>1</v>
      </c>
      <c r="AL726" s="21">
        <v>2007</v>
      </c>
      <c r="AM726" s="23">
        <f t="shared" si="213"/>
        <v>7.604396348796338</v>
      </c>
      <c r="AN726" s="33" t="s">
        <v>104</v>
      </c>
      <c r="AO726" s="33" t="s">
        <v>104</v>
      </c>
      <c r="AP726" s="33" t="s">
        <v>104</v>
      </c>
      <c r="AQ726" s="43" t="s">
        <v>104</v>
      </c>
      <c r="AR726" s="42">
        <v>0.60299999999999998</v>
      </c>
      <c r="AS726" s="18">
        <v>0.39700000000000002</v>
      </c>
      <c r="AT726" s="39">
        <f t="shared" si="200"/>
        <v>0.77900000000000003</v>
      </c>
      <c r="AU726" s="40">
        <v>0.221</v>
      </c>
      <c r="AV726" s="39">
        <f t="shared" si="201"/>
        <v>0.78700000000000003</v>
      </c>
      <c r="AW726" s="40">
        <v>0.21299999999999999</v>
      </c>
      <c r="AX726">
        <v>0</v>
      </c>
      <c r="AY726" s="18">
        <v>1</v>
      </c>
      <c r="AZ726">
        <f t="shared" si="20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0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17</v>
      </c>
      <c r="DB726" s="34"/>
    </row>
    <row r="727" spans="1:106" x14ac:dyDescent="0.25">
      <c r="A727">
        <v>726</v>
      </c>
      <c r="B727">
        <v>45</v>
      </c>
      <c r="C727" s="25" t="s">
        <v>489</v>
      </c>
      <c r="D727" s="12">
        <v>5.84</v>
      </c>
      <c r="E727" s="14">
        <v>0.04</v>
      </c>
      <c r="F727" s="7">
        <v>31.8571428571429</v>
      </c>
      <c r="G727" s="7">
        <f t="shared" si="204"/>
        <v>5.8</v>
      </c>
      <c r="H727" s="16">
        <f t="shared" si="205"/>
        <v>5.88</v>
      </c>
      <c r="I727" s="11">
        <f t="shared" si="206"/>
        <v>5.587417340674182E-2</v>
      </c>
      <c r="J727" s="33">
        <f t="shared" si="207"/>
        <v>1.753897819942566E-3</v>
      </c>
      <c r="K727" s="33">
        <f t="shared" si="208"/>
        <v>570.158642441751</v>
      </c>
      <c r="L727" s="33">
        <f t="shared" si="209"/>
        <v>5.4120275586799257E-2</v>
      </c>
      <c r="M727" s="33">
        <f t="shared" si="210"/>
        <v>5.7628071226684383E-2</v>
      </c>
      <c r="N727" s="8">
        <v>0</v>
      </c>
      <c r="O727" s="9">
        <v>1</v>
      </c>
      <c r="P727" s="8">
        <v>0</v>
      </c>
      <c r="Q727" s="9">
        <v>0</v>
      </c>
      <c r="R727" s="9">
        <v>1</v>
      </c>
      <c r="S727" s="9">
        <v>0</v>
      </c>
      <c r="T727" s="9">
        <v>0</v>
      </c>
      <c r="U727" s="8">
        <v>324084</v>
      </c>
      <c r="V727" s="9">
        <v>17</v>
      </c>
      <c r="W727" s="9">
        <f t="shared" si="211"/>
        <v>324066</v>
      </c>
      <c r="X727" s="9">
        <f t="shared" si="212"/>
        <v>30</v>
      </c>
      <c r="Y727" s="7">
        <v>8.41</v>
      </c>
      <c r="Z727" s="7">
        <v>18.39</v>
      </c>
      <c r="AA727" s="9">
        <v>1</v>
      </c>
      <c r="AB727" s="9">
        <v>0</v>
      </c>
      <c r="AC727" s="9">
        <v>1</v>
      </c>
      <c r="AD727" s="9">
        <v>0</v>
      </c>
      <c r="AE727" s="9">
        <v>0</v>
      </c>
      <c r="AF727" s="9">
        <v>0</v>
      </c>
      <c r="AG727" s="8">
        <v>0</v>
      </c>
      <c r="AH727" s="9">
        <v>0</v>
      </c>
      <c r="AI727" s="30">
        <v>1</v>
      </c>
      <c r="AJ727" s="9">
        <v>0</v>
      </c>
      <c r="AK727" s="30">
        <v>1</v>
      </c>
      <c r="AL727" s="21">
        <v>2007</v>
      </c>
      <c r="AM727" s="23">
        <f t="shared" si="213"/>
        <v>7.604396348796338</v>
      </c>
      <c r="AN727" s="33" t="s">
        <v>104</v>
      </c>
      <c r="AO727" s="33" t="s">
        <v>104</v>
      </c>
      <c r="AP727" s="33" t="s">
        <v>104</v>
      </c>
      <c r="AQ727" s="43" t="s">
        <v>104</v>
      </c>
      <c r="AR727" s="42">
        <v>0.60299999999999998</v>
      </c>
      <c r="AS727" s="18">
        <v>0.39700000000000002</v>
      </c>
      <c r="AT727" s="39">
        <f t="shared" si="200"/>
        <v>0.77900000000000003</v>
      </c>
      <c r="AU727" s="40">
        <v>0.221</v>
      </c>
      <c r="AV727" s="39">
        <f t="shared" si="201"/>
        <v>0.78700000000000003</v>
      </c>
      <c r="AW727" s="40">
        <v>0.21299999999999999</v>
      </c>
      <c r="AX727">
        <v>0</v>
      </c>
      <c r="AY727" s="18">
        <v>1</v>
      </c>
      <c r="AZ727">
        <f t="shared" si="20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0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17</v>
      </c>
      <c r="DB727" s="34"/>
    </row>
    <row r="728" spans="1:106" x14ac:dyDescent="0.25">
      <c r="A728">
        <v>727</v>
      </c>
      <c r="B728">
        <v>45</v>
      </c>
      <c r="C728" s="25" t="s">
        <v>489</v>
      </c>
      <c r="D728" s="12">
        <v>7.79</v>
      </c>
      <c r="E728" s="14">
        <v>0.03</v>
      </c>
      <c r="F728" s="7">
        <v>32.857142857142897</v>
      </c>
      <c r="G728" s="7">
        <f t="shared" si="204"/>
        <v>7.76</v>
      </c>
      <c r="H728" s="16">
        <f t="shared" si="205"/>
        <v>7.82</v>
      </c>
      <c r="I728" s="11">
        <f t="shared" si="206"/>
        <v>5.2685549073099733E-2</v>
      </c>
      <c r="J728" s="33">
        <f t="shared" si="207"/>
        <v>1.603473232659555E-3</v>
      </c>
      <c r="K728" s="33">
        <f t="shared" si="208"/>
        <v>623.64620726557348</v>
      </c>
      <c r="L728" s="33">
        <f t="shared" si="209"/>
        <v>5.108207584044018E-2</v>
      </c>
      <c r="M728" s="33">
        <f t="shared" si="210"/>
        <v>5.4289022305759285E-2</v>
      </c>
      <c r="N728" s="8">
        <v>0</v>
      </c>
      <c r="O728" s="9">
        <v>1</v>
      </c>
      <c r="P728" s="8">
        <v>0</v>
      </c>
      <c r="Q728" s="9">
        <v>0</v>
      </c>
      <c r="R728" s="9">
        <v>1</v>
      </c>
      <c r="S728" s="9">
        <v>0</v>
      </c>
      <c r="T728" s="9">
        <v>0</v>
      </c>
      <c r="U728" s="8">
        <v>387866</v>
      </c>
      <c r="V728" s="9">
        <v>10</v>
      </c>
      <c r="W728" s="9">
        <f t="shared" si="211"/>
        <v>387855</v>
      </c>
      <c r="X728" s="9">
        <f t="shared" si="212"/>
        <v>30</v>
      </c>
      <c r="Y728" s="7">
        <v>8.41</v>
      </c>
      <c r="Z728" s="7">
        <v>18.39</v>
      </c>
      <c r="AA728" s="9">
        <v>1</v>
      </c>
      <c r="AB728" s="9">
        <v>0</v>
      </c>
      <c r="AC728" s="9">
        <v>1</v>
      </c>
      <c r="AD728" s="9">
        <v>0</v>
      </c>
      <c r="AE728" s="9">
        <v>0</v>
      </c>
      <c r="AF728" s="9">
        <v>0</v>
      </c>
      <c r="AG728" s="8">
        <v>0</v>
      </c>
      <c r="AH728" s="9">
        <v>0</v>
      </c>
      <c r="AI728" s="30">
        <v>1</v>
      </c>
      <c r="AJ728" s="9">
        <v>0</v>
      </c>
      <c r="AK728" s="30">
        <v>1</v>
      </c>
      <c r="AL728" s="21">
        <v>2007</v>
      </c>
      <c r="AM728" s="23">
        <f t="shared" si="213"/>
        <v>7.604396348796338</v>
      </c>
      <c r="AN728" s="33" t="s">
        <v>104</v>
      </c>
      <c r="AO728" s="33" t="s">
        <v>104</v>
      </c>
      <c r="AP728" s="33" t="s">
        <v>104</v>
      </c>
      <c r="AQ728" s="43" t="s">
        <v>104</v>
      </c>
      <c r="AR728" s="42">
        <v>0.60299999999999998</v>
      </c>
      <c r="AS728" s="18">
        <v>0.39700000000000002</v>
      </c>
      <c r="AT728" s="39">
        <f t="shared" si="200"/>
        <v>0.77900000000000003</v>
      </c>
      <c r="AU728" s="40">
        <v>0.221</v>
      </c>
      <c r="AV728" s="39">
        <f t="shared" si="201"/>
        <v>0.78700000000000003</v>
      </c>
      <c r="AW728" s="40">
        <v>0.21299999999999999</v>
      </c>
      <c r="AX728">
        <v>0</v>
      </c>
      <c r="AY728" s="18">
        <v>1</v>
      </c>
      <c r="AZ728">
        <f t="shared" si="20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0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17</v>
      </c>
      <c r="DB728" s="34"/>
    </row>
    <row r="729" spans="1:106" x14ac:dyDescent="0.25">
      <c r="A729">
        <v>728</v>
      </c>
      <c r="B729">
        <v>45</v>
      </c>
      <c r="C729" s="25" t="s">
        <v>489</v>
      </c>
      <c r="D729" s="12">
        <v>6.23</v>
      </c>
      <c r="E729" s="14">
        <v>0.03</v>
      </c>
      <c r="F729" s="7">
        <v>33.857142857142897</v>
      </c>
      <c r="G729" s="7">
        <f t="shared" si="204"/>
        <v>6.2</v>
      </c>
      <c r="H729" s="16">
        <f t="shared" si="205"/>
        <v>6.2600000000000007</v>
      </c>
      <c r="I729" s="11">
        <f t="shared" si="206"/>
        <v>5.4284645881501149E-2</v>
      </c>
      <c r="J729" s="33">
        <f t="shared" si="207"/>
        <v>1.6033439711835762E-3</v>
      </c>
      <c r="K729" s="33">
        <f t="shared" si="208"/>
        <v>623.69648557808068</v>
      </c>
      <c r="L729" s="33">
        <f t="shared" si="209"/>
        <v>5.2681301910317571E-2</v>
      </c>
      <c r="M729" s="33">
        <f t="shared" si="210"/>
        <v>5.5887989852684727E-2</v>
      </c>
      <c r="N729" s="8">
        <v>0</v>
      </c>
      <c r="O729" s="9">
        <v>1</v>
      </c>
      <c r="P729" s="8">
        <v>0</v>
      </c>
      <c r="Q729" s="9">
        <v>0</v>
      </c>
      <c r="R729" s="9">
        <v>1</v>
      </c>
      <c r="S729" s="9">
        <v>0</v>
      </c>
      <c r="T729" s="9">
        <v>0</v>
      </c>
      <c r="U729" s="8">
        <v>387866</v>
      </c>
      <c r="V729" s="9">
        <v>14</v>
      </c>
      <c r="W729" s="9">
        <f t="shared" si="211"/>
        <v>387851</v>
      </c>
      <c r="X729" s="9">
        <f t="shared" si="212"/>
        <v>30</v>
      </c>
      <c r="Y729" s="7">
        <v>8.41</v>
      </c>
      <c r="Z729" s="7">
        <v>18.39</v>
      </c>
      <c r="AA729" s="9">
        <v>1</v>
      </c>
      <c r="AB729" s="9">
        <v>0</v>
      </c>
      <c r="AC729" s="9">
        <v>1</v>
      </c>
      <c r="AD729" s="9">
        <v>0</v>
      </c>
      <c r="AE729" s="9">
        <v>0</v>
      </c>
      <c r="AF729" s="9">
        <v>0</v>
      </c>
      <c r="AG729" s="8">
        <v>0</v>
      </c>
      <c r="AH729" s="9">
        <v>0</v>
      </c>
      <c r="AI729" s="30">
        <v>1</v>
      </c>
      <c r="AJ729" s="9">
        <v>0</v>
      </c>
      <c r="AK729" s="30">
        <v>1</v>
      </c>
      <c r="AL729" s="21">
        <v>2007</v>
      </c>
      <c r="AM729" s="23">
        <f t="shared" si="213"/>
        <v>7.604396348796338</v>
      </c>
      <c r="AN729" s="33" t="s">
        <v>104</v>
      </c>
      <c r="AO729" s="33" t="s">
        <v>104</v>
      </c>
      <c r="AP729" s="33" t="s">
        <v>104</v>
      </c>
      <c r="AQ729" s="43" t="s">
        <v>104</v>
      </c>
      <c r="AR729" s="42">
        <v>0.60299999999999998</v>
      </c>
      <c r="AS729" s="18">
        <v>0.39700000000000002</v>
      </c>
      <c r="AT729" s="39">
        <f t="shared" si="200"/>
        <v>0.77900000000000003</v>
      </c>
      <c r="AU729" s="40">
        <v>0.221</v>
      </c>
      <c r="AV729" s="39">
        <f t="shared" si="201"/>
        <v>0.78700000000000003</v>
      </c>
      <c r="AW729" s="40">
        <v>0.21299999999999999</v>
      </c>
      <c r="AX729">
        <v>0</v>
      </c>
      <c r="AY729" s="18">
        <v>1</v>
      </c>
      <c r="AZ729">
        <f t="shared" si="20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0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17</v>
      </c>
      <c r="DB729" s="34"/>
    </row>
    <row r="730" spans="1:106" x14ac:dyDescent="0.25">
      <c r="A730">
        <v>729</v>
      </c>
      <c r="B730">
        <v>45</v>
      </c>
      <c r="C730" s="25" t="s">
        <v>489</v>
      </c>
      <c r="D730" s="12">
        <v>6.15</v>
      </c>
      <c r="E730" s="14">
        <v>0.03</v>
      </c>
      <c r="F730" s="7">
        <v>34.857142857142897</v>
      </c>
      <c r="G730" s="7">
        <f t="shared" si="204"/>
        <v>6.12</v>
      </c>
      <c r="H730" s="16">
        <f t="shared" si="205"/>
        <v>6.1800000000000006</v>
      </c>
      <c r="I730" s="11">
        <f t="shared" si="206"/>
        <v>6.1117055763178253E-2</v>
      </c>
      <c r="J730" s="33">
        <f t="shared" si="207"/>
        <v>1.7533581571403578E-3</v>
      </c>
      <c r="K730" s="33">
        <f t="shared" si="208"/>
        <v>570.33413049559226</v>
      </c>
      <c r="L730" s="33">
        <f t="shared" si="209"/>
        <v>5.9363697606037893E-2</v>
      </c>
      <c r="M730" s="33">
        <f t="shared" si="210"/>
        <v>6.2870413920318613E-2</v>
      </c>
      <c r="N730" s="8">
        <v>0</v>
      </c>
      <c r="O730" s="9">
        <v>1</v>
      </c>
      <c r="P730" s="8">
        <v>0</v>
      </c>
      <c r="Q730" s="9">
        <v>0</v>
      </c>
      <c r="R730" s="9">
        <v>1</v>
      </c>
      <c r="S730" s="9">
        <v>0</v>
      </c>
      <c r="T730" s="9">
        <v>0</v>
      </c>
      <c r="U730" s="8">
        <v>324084</v>
      </c>
      <c r="V730" s="9">
        <v>17</v>
      </c>
      <c r="W730" s="9">
        <f t="shared" si="211"/>
        <v>324066</v>
      </c>
      <c r="X730" s="9">
        <f t="shared" si="212"/>
        <v>30</v>
      </c>
      <c r="Y730" s="7">
        <v>8.41</v>
      </c>
      <c r="Z730" s="7">
        <v>18.39</v>
      </c>
      <c r="AA730" s="9">
        <v>1</v>
      </c>
      <c r="AB730" s="9">
        <v>0</v>
      </c>
      <c r="AC730" s="9">
        <v>1</v>
      </c>
      <c r="AD730" s="9">
        <v>0</v>
      </c>
      <c r="AE730" s="9">
        <v>0</v>
      </c>
      <c r="AF730" s="9">
        <v>0</v>
      </c>
      <c r="AG730" s="8">
        <v>0</v>
      </c>
      <c r="AH730" s="9">
        <v>0</v>
      </c>
      <c r="AI730" s="30">
        <v>1</v>
      </c>
      <c r="AJ730" s="9">
        <v>0</v>
      </c>
      <c r="AK730" s="30">
        <v>1</v>
      </c>
      <c r="AL730" s="21">
        <v>2007</v>
      </c>
      <c r="AM730" s="23">
        <f t="shared" si="213"/>
        <v>7.604396348796338</v>
      </c>
      <c r="AN730" s="33" t="s">
        <v>104</v>
      </c>
      <c r="AO730" s="33" t="s">
        <v>104</v>
      </c>
      <c r="AP730" s="33" t="s">
        <v>104</v>
      </c>
      <c r="AQ730" s="43" t="s">
        <v>104</v>
      </c>
      <c r="AR730" s="42">
        <v>0.60299999999999998</v>
      </c>
      <c r="AS730" s="18">
        <v>0.39700000000000002</v>
      </c>
      <c r="AT730" s="39">
        <f t="shared" si="200"/>
        <v>0.77900000000000003</v>
      </c>
      <c r="AU730" s="40">
        <v>0.221</v>
      </c>
      <c r="AV730" s="39">
        <f t="shared" si="201"/>
        <v>0.78700000000000003</v>
      </c>
      <c r="AW730" s="40">
        <v>0.21299999999999999</v>
      </c>
      <c r="AX730">
        <v>0</v>
      </c>
      <c r="AY730" s="18">
        <v>1</v>
      </c>
      <c r="AZ730">
        <f t="shared" si="20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0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17</v>
      </c>
      <c r="DB730" s="34"/>
    </row>
    <row r="731" spans="1:106" x14ac:dyDescent="0.25">
      <c r="A731">
        <v>730</v>
      </c>
      <c r="B731">
        <v>45</v>
      </c>
      <c r="C731" s="25" t="s">
        <v>489</v>
      </c>
      <c r="D731" s="12">
        <v>6.05</v>
      </c>
      <c r="E731" s="14">
        <v>0.04</v>
      </c>
      <c r="F731" s="7">
        <v>35.857142857142897</v>
      </c>
      <c r="G731" s="7">
        <f t="shared" si="204"/>
        <v>6.01</v>
      </c>
      <c r="H731" s="16">
        <f t="shared" si="205"/>
        <v>6.09</v>
      </c>
      <c r="I731" s="11">
        <f t="shared" si="206"/>
        <v>7.0924369238987289E-2</v>
      </c>
      <c r="J731" s="33">
        <f t="shared" si="207"/>
        <v>1.9779704568641853E-3</v>
      </c>
      <c r="K731" s="33">
        <f t="shared" si="208"/>
        <v>505.56872400681345</v>
      </c>
      <c r="L731" s="33">
        <f t="shared" si="209"/>
        <v>6.8946398782123108E-2</v>
      </c>
      <c r="M731" s="33">
        <f t="shared" si="210"/>
        <v>7.290233969585147E-2</v>
      </c>
      <c r="N731" s="8">
        <v>0</v>
      </c>
      <c r="O731" s="9">
        <v>1</v>
      </c>
      <c r="P731" s="8">
        <v>0</v>
      </c>
      <c r="Q731" s="9">
        <v>0</v>
      </c>
      <c r="R731" s="9">
        <v>1</v>
      </c>
      <c r="S731" s="9">
        <v>0</v>
      </c>
      <c r="T731" s="9">
        <v>0</v>
      </c>
      <c r="U731" s="8">
        <v>254332</v>
      </c>
      <c r="V731" s="9">
        <v>17</v>
      </c>
      <c r="W731" s="9">
        <f t="shared" si="211"/>
        <v>254314</v>
      </c>
      <c r="X731" s="9">
        <f t="shared" si="212"/>
        <v>30</v>
      </c>
      <c r="Y731" s="7">
        <v>8.41</v>
      </c>
      <c r="Z731" s="7">
        <v>18.39</v>
      </c>
      <c r="AA731" s="9">
        <v>1</v>
      </c>
      <c r="AB731" s="9">
        <v>0</v>
      </c>
      <c r="AC731" s="9">
        <v>1</v>
      </c>
      <c r="AD731" s="9">
        <v>0</v>
      </c>
      <c r="AE731" s="9">
        <v>0</v>
      </c>
      <c r="AF731" s="9">
        <v>0</v>
      </c>
      <c r="AG731" s="8">
        <v>0</v>
      </c>
      <c r="AH731" s="9">
        <v>0</v>
      </c>
      <c r="AI731" s="30">
        <v>1</v>
      </c>
      <c r="AJ731" s="9">
        <v>0</v>
      </c>
      <c r="AK731" s="30">
        <v>1</v>
      </c>
      <c r="AL731" s="21">
        <v>2007</v>
      </c>
      <c r="AM731" s="23">
        <f t="shared" si="213"/>
        <v>7.604396348796338</v>
      </c>
      <c r="AN731" s="33" t="s">
        <v>104</v>
      </c>
      <c r="AO731" s="33" t="s">
        <v>104</v>
      </c>
      <c r="AP731" s="33" t="s">
        <v>104</v>
      </c>
      <c r="AQ731" s="43" t="s">
        <v>104</v>
      </c>
      <c r="AR731" s="42">
        <v>0.60299999999999998</v>
      </c>
      <c r="AS731" s="18">
        <v>0.39700000000000002</v>
      </c>
      <c r="AT731" s="39">
        <f t="shared" si="200"/>
        <v>0.77900000000000003</v>
      </c>
      <c r="AU731" s="40">
        <v>0.221</v>
      </c>
      <c r="AV731" s="39">
        <f t="shared" si="201"/>
        <v>0.78700000000000003</v>
      </c>
      <c r="AW731" s="40">
        <v>0.21299999999999999</v>
      </c>
      <c r="AX731">
        <v>0</v>
      </c>
      <c r="AY731" s="18">
        <v>1</v>
      </c>
      <c r="AZ731">
        <f t="shared" si="20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0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17</v>
      </c>
      <c r="DB731" s="34"/>
    </row>
    <row r="732" spans="1:106" x14ac:dyDescent="0.25">
      <c r="A732">
        <v>731</v>
      </c>
      <c r="B732">
        <v>45</v>
      </c>
      <c r="C732" s="25" t="s">
        <v>489</v>
      </c>
      <c r="D732" s="12">
        <v>5.91</v>
      </c>
      <c r="E732" s="14">
        <v>7.0000000000000007E-2</v>
      </c>
      <c r="F732" s="7">
        <v>36.857142857142897</v>
      </c>
      <c r="G732" s="7">
        <f t="shared" si="204"/>
        <v>5.84</v>
      </c>
      <c r="H732" s="16">
        <f t="shared" si="205"/>
        <v>5.98</v>
      </c>
      <c r="I732" s="11">
        <f t="shared" si="206"/>
        <v>0.13823242550242379</v>
      </c>
      <c r="J732" s="33">
        <f t="shared" si="207"/>
        <v>3.75049216479444E-3</v>
      </c>
      <c r="K732" s="33">
        <f t="shared" si="208"/>
        <v>266.63167287400768</v>
      </c>
      <c r="L732" s="33">
        <f t="shared" si="209"/>
        <v>0.13448193333762934</v>
      </c>
      <c r="M732" s="33">
        <f t="shared" si="210"/>
        <v>0.14198291766721824</v>
      </c>
      <c r="N732" s="8">
        <v>0</v>
      </c>
      <c r="O732" s="9">
        <v>1</v>
      </c>
      <c r="P732" s="8">
        <v>0</v>
      </c>
      <c r="Q732" s="9">
        <v>0</v>
      </c>
      <c r="R732" s="9">
        <v>1</v>
      </c>
      <c r="S732" s="9">
        <v>0</v>
      </c>
      <c r="T732" s="9">
        <v>0</v>
      </c>
      <c r="U732" s="8">
        <v>69752</v>
      </c>
      <c r="V732" s="9">
        <v>17</v>
      </c>
      <c r="W732" s="9">
        <f t="shared" si="211"/>
        <v>69734</v>
      </c>
      <c r="X732" s="9">
        <f t="shared" si="212"/>
        <v>30</v>
      </c>
      <c r="Y732" s="7">
        <v>8.41</v>
      </c>
      <c r="Z732" s="7">
        <v>18.39</v>
      </c>
      <c r="AA732" s="9">
        <v>1</v>
      </c>
      <c r="AB732" s="9">
        <v>0</v>
      </c>
      <c r="AC732" s="9">
        <v>1</v>
      </c>
      <c r="AD732" s="9">
        <v>0</v>
      </c>
      <c r="AE732" s="9">
        <v>0</v>
      </c>
      <c r="AF732" s="9">
        <v>0</v>
      </c>
      <c r="AG732" s="8">
        <v>0</v>
      </c>
      <c r="AH732" s="9">
        <v>0</v>
      </c>
      <c r="AI732" s="30">
        <v>1</v>
      </c>
      <c r="AJ732" s="9">
        <v>0</v>
      </c>
      <c r="AK732" s="30">
        <v>1</v>
      </c>
      <c r="AL732" s="21">
        <v>2007</v>
      </c>
      <c r="AM732" s="23">
        <f t="shared" si="213"/>
        <v>7.604396348796338</v>
      </c>
      <c r="AN732" s="33" t="s">
        <v>104</v>
      </c>
      <c r="AO732" s="33" t="s">
        <v>104</v>
      </c>
      <c r="AP732" s="33" t="s">
        <v>104</v>
      </c>
      <c r="AQ732" s="43" t="s">
        <v>104</v>
      </c>
      <c r="AR732" s="42">
        <v>0.60299999999999998</v>
      </c>
      <c r="AS732" s="18">
        <v>0.39700000000000002</v>
      </c>
      <c r="AT732" s="39">
        <f t="shared" si="200"/>
        <v>0.77900000000000003</v>
      </c>
      <c r="AU732" s="40">
        <v>0.221</v>
      </c>
      <c r="AV732" s="39">
        <f t="shared" si="201"/>
        <v>0.78700000000000003</v>
      </c>
      <c r="AW732" s="40">
        <v>0.21299999999999999</v>
      </c>
      <c r="AX732">
        <v>0</v>
      </c>
      <c r="AY732" s="18">
        <v>1</v>
      </c>
      <c r="AZ732">
        <f t="shared" si="20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0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17</v>
      </c>
      <c r="DB732" s="34"/>
    </row>
    <row r="733" spans="1:106" x14ac:dyDescent="0.25">
      <c r="A733">
        <v>732</v>
      </c>
      <c r="B733">
        <v>45</v>
      </c>
      <c r="C733" s="25" t="s">
        <v>489</v>
      </c>
      <c r="D733" s="12">
        <v>3.66</v>
      </c>
      <c r="E733" s="14">
        <v>0.04</v>
      </c>
      <c r="F733" s="7">
        <v>37.857142857142897</v>
      </c>
      <c r="G733" s="7">
        <f t="shared" si="204"/>
        <v>3.62</v>
      </c>
      <c r="H733" s="16">
        <f t="shared" si="205"/>
        <v>3.7</v>
      </c>
      <c r="I733" s="11">
        <f t="shared" si="206"/>
        <v>6.9992598169546796E-2</v>
      </c>
      <c r="J733" s="33">
        <f t="shared" si="207"/>
        <v>1.8488610837238757E-3</v>
      </c>
      <c r="K733" s="33">
        <f t="shared" si="208"/>
        <v>540.87351873178818</v>
      </c>
      <c r="L733" s="33">
        <f t="shared" si="209"/>
        <v>6.8143737085822914E-2</v>
      </c>
      <c r="M733" s="33">
        <f t="shared" si="210"/>
        <v>7.1841459253270679E-2</v>
      </c>
      <c r="N733" s="8">
        <v>0</v>
      </c>
      <c r="O733" s="9">
        <v>1</v>
      </c>
      <c r="P733" s="8">
        <v>0</v>
      </c>
      <c r="Q733" s="9">
        <v>0</v>
      </c>
      <c r="R733" s="9">
        <v>1</v>
      </c>
      <c r="S733" s="9">
        <v>0</v>
      </c>
      <c r="T733" s="9">
        <v>0</v>
      </c>
      <c r="U733" s="8">
        <v>291130</v>
      </c>
      <c r="V733" s="9">
        <v>18</v>
      </c>
      <c r="W733" s="9">
        <f t="shared" si="211"/>
        <v>291111</v>
      </c>
      <c r="X733" s="9">
        <f t="shared" si="212"/>
        <v>30</v>
      </c>
      <c r="Y733" s="7">
        <v>8.41</v>
      </c>
      <c r="Z733" s="7">
        <v>18.39</v>
      </c>
      <c r="AA733" s="9">
        <v>1</v>
      </c>
      <c r="AB733" s="9">
        <v>0</v>
      </c>
      <c r="AC733" s="9">
        <v>1</v>
      </c>
      <c r="AD733" s="9">
        <v>0</v>
      </c>
      <c r="AE733" s="9">
        <v>0</v>
      </c>
      <c r="AF733" s="9">
        <v>0</v>
      </c>
      <c r="AG733" s="8">
        <v>0</v>
      </c>
      <c r="AH733" s="9">
        <v>0</v>
      </c>
      <c r="AI733" s="30">
        <v>1</v>
      </c>
      <c r="AJ733" s="9">
        <v>0</v>
      </c>
      <c r="AK733" s="30">
        <v>1</v>
      </c>
      <c r="AL733" s="21">
        <v>2007</v>
      </c>
      <c r="AM733" s="23">
        <f t="shared" si="213"/>
        <v>7.604396348796338</v>
      </c>
      <c r="AN733" s="33" t="s">
        <v>104</v>
      </c>
      <c r="AO733" s="33" t="s">
        <v>104</v>
      </c>
      <c r="AP733" s="33" t="s">
        <v>104</v>
      </c>
      <c r="AQ733" s="43" t="s">
        <v>104</v>
      </c>
      <c r="AR733" s="42">
        <v>0.60299999999999998</v>
      </c>
      <c r="AS733" s="18">
        <v>0.39700000000000002</v>
      </c>
      <c r="AT733" s="39">
        <f t="shared" si="200"/>
        <v>0.77900000000000003</v>
      </c>
      <c r="AU733" s="40">
        <v>0.221</v>
      </c>
      <c r="AV733" s="39">
        <f t="shared" si="201"/>
        <v>0.78700000000000003</v>
      </c>
      <c r="AW733" s="40">
        <v>0.21299999999999999</v>
      </c>
      <c r="AX733">
        <v>0</v>
      </c>
      <c r="AY733" s="18">
        <v>1</v>
      </c>
      <c r="AZ733">
        <f t="shared" si="20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0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17</v>
      </c>
      <c r="DB733" s="34"/>
    </row>
    <row r="734" spans="1:106" s="148" customFormat="1" x14ac:dyDescent="0.25">
      <c r="A734" s="148">
        <v>733</v>
      </c>
      <c r="B734" s="148">
        <v>45</v>
      </c>
      <c r="C734" s="149" t="s">
        <v>489</v>
      </c>
      <c r="D734" s="150">
        <v>5.84</v>
      </c>
      <c r="E734" s="151">
        <v>0.04</v>
      </c>
      <c r="F734" s="152">
        <v>38.857142857142897</v>
      </c>
      <c r="G734" s="152">
        <f t="shared" si="204"/>
        <v>5.8</v>
      </c>
      <c r="H734" s="153">
        <f t="shared" si="205"/>
        <v>5.88</v>
      </c>
      <c r="I734" s="154">
        <f t="shared" si="206"/>
        <v>6.8099630283182694E-2</v>
      </c>
      <c r="J734" s="155">
        <f t="shared" si="207"/>
        <v>1.7525640146407295E-3</v>
      </c>
      <c r="K734" s="155">
        <f t="shared" si="208"/>
        <v>570.59256703099493</v>
      </c>
      <c r="L734" s="155">
        <f t="shared" si="209"/>
        <v>6.6347066268541963E-2</v>
      </c>
      <c r="M734" s="155">
        <f t="shared" si="210"/>
        <v>6.9852194297823425E-2</v>
      </c>
      <c r="N734" s="156">
        <v>0</v>
      </c>
      <c r="O734" s="157">
        <v>1</v>
      </c>
      <c r="P734" s="156">
        <v>0</v>
      </c>
      <c r="Q734" s="157">
        <v>0</v>
      </c>
      <c r="R734" s="157">
        <v>1</v>
      </c>
      <c r="S734" s="157">
        <v>0</v>
      </c>
      <c r="T734" s="157">
        <v>0</v>
      </c>
      <c r="U734" s="156">
        <v>324084</v>
      </c>
      <c r="V734" s="157">
        <v>17</v>
      </c>
      <c r="W734" s="157">
        <f t="shared" si="211"/>
        <v>324066</v>
      </c>
      <c r="X734" s="157">
        <f t="shared" si="212"/>
        <v>30</v>
      </c>
      <c r="Y734" s="152">
        <v>8.41</v>
      </c>
      <c r="Z734" s="152">
        <v>18.39</v>
      </c>
      <c r="AA734" s="157">
        <v>1</v>
      </c>
      <c r="AB734" s="157">
        <v>0</v>
      </c>
      <c r="AC734" s="157">
        <v>1</v>
      </c>
      <c r="AD734" s="157">
        <v>0</v>
      </c>
      <c r="AE734" s="157">
        <v>0</v>
      </c>
      <c r="AF734" s="157">
        <v>0</v>
      </c>
      <c r="AG734" s="156">
        <v>0</v>
      </c>
      <c r="AH734" s="157">
        <v>0</v>
      </c>
      <c r="AI734" s="158">
        <v>1</v>
      </c>
      <c r="AJ734" s="157">
        <v>0</v>
      </c>
      <c r="AK734" s="158">
        <v>1</v>
      </c>
      <c r="AL734" s="159">
        <v>2007</v>
      </c>
      <c r="AM734" s="160">
        <f t="shared" si="213"/>
        <v>7.604396348796338</v>
      </c>
      <c r="AN734" s="155" t="s">
        <v>104</v>
      </c>
      <c r="AO734" s="155" t="s">
        <v>104</v>
      </c>
      <c r="AP734" s="155" t="s">
        <v>104</v>
      </c>
      <c r="AQ734" s="161" t="s">
        <v>104</v>
      </c>
      <c r="AR734" s="162">
        <v>0.60299999999999998</v>
      </c>
      <c r="AS734" s="163">
        <v>0.39700000000000002</v>
      </c>
      <c r="AT734" s="180">
        <f t="shared" si="200"/>
        <v>0.77900000000000003</v>
      </c>
      <c r="AU734" s="164">
        <v>0.221</v>
      </c>
      <c r="AV734" s="180">
        <f t="shared" si="201"/>
        <v>0.78700000000000003</v>
      </c>
      <c r="AW734" s="164">
        <v>0.21299999999999999</v>
      </c>
      <c r="AX734">
        <v>0</v>
      </c>
      <c r="AY734" s="163">
        <v>1</v>
      </c>
      <c r="AZ734" s="148">
        <f t="shared" si="20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79">
        <f t="shared" si="20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17</v>
      </c>
      <c r="CW734" s="165"/>
      <c r="DB734" s="165"/>
    </row>
    <row r="735" spans="1:106" x14ac:dyDescent="0.25">
      <c r="A735">
        <v>734</v>
      </c>
      <c r="B735">
        <v>46</v>
      </c>
      <c r="C735" s="25" t="s">
        <v>490</v>
      </c>
      <c r="D735" s="12">
        <v>8.5</v>
      </c>
      <c r="E735" s="14">
        <v>1.6</v>
      </c>
      <c r="F735" s="7">
        <f t="shared" ref="F735:F786" si="214">D735/E735</f>
        <v>5.3125</v>
      </c>
      <c r="G735" s="7">
        <f t="shared" si="204"/>
        <v>6.9</v>
      </c>
      <c r="H735" s="16">
        <f t="shared" si="205"/>
        <v>10.1</v>
      </c>
      <c r="I735" s="11">
        <f t="shared" si="206"/>
        <v>0.3708397595494462</v>
      </c>
      <c r="J735" s="33">
        <f t="shared" si="207"/>
        <v>6.9805131209307508E-2</v>
      </c>
      <c r="K735" s="33">
        <f t="shared" si="208"/>
        <v>14.325594446653865</v>
      </c>
      <c r="L735" s="33">
        <f t="shared" si="209"/>
        <v>0.30103462834013872</v>
      </c>
      <c r="M735" s="33">
        <f t="shared" si="210"/>
        <v>0.44064489075875368</v>
      </c>
      <c r="N735" s="8">
        <v>1</v>
      </c>
      <c r="O735" s="9">
        <v>0</v>
      </c>
      <c r="P735" s="8">
        <v>1</v>
      </c>
      <c r="Q735" s="9">
        <v>0</v>
      </c>
      <c r="R735" s="9">
        <v>0</v>
      </c>
      <c r="S735" s="9">
        <v>0</v>
      </c>
      <c r="T735" s="9">
        <v>0</v>
      </c>
      <c r="U735" s="8">
        <v>180</v>
      </c>
      <c r="V735" s="9">
        <v>2</v>
      </c>
      <c r="W735" s="9">
        <f t="shared" si="211"/>
        <v>177</v>
      </c>
      <c r="X735" s="9">
        <f t="shared" si="212"/>
        <v>14</v>
      </c>
      <c r="Y735" s="7">
        <v>7.8</v>
      </c>
      <c r="Z735" s="7">
        <f t="shared" ref="Z735:Z748" si="215">BN735-Y735-7</f>
        <v>19.059999999999999</v>
      </c>
      <c r="AA735" s="9">
        <v>1</v>
      </c>
      <c r="AB735" s="9">
        <v>0</v>
      </c>
      <c r="AC735" s="9">
        <v>1</v>
      </c>
      <c r="AD735" s="9">
        <v>0</v>
      </c>
      <c r="AE735" s="9">
        <v>0</v>
      </c>
      <c r="AF735" s="9">
        <v>0</v>
      </c>
      <c r="AG735" s="8">
        <v>0</v>
      </c>
      <c r="AH735" s="9">
        <v>0</v>
      </c>
      <c r="AI735" s="30">
        <v>1</v>
      </c>
      <c r="AJ735" s="9">
        <v>1</v>
      </c>
      <c r="AK735" s="30">
        <v>0</v>
      </c>
      <c r="AL735" s="21">
        <v>1960</v>
      </c>
      <c r="AM735" s="23">
        <f t="shared" si="213"/>
        <v>7.5806997522245627</v>
      </c>
      <c r="AN735" s="33">
        <v>0.33</v>
      </c>
      <c r="AO735" s="33">
        <v>0.36</v>
      </c>
      <c r="AP735" s="33">
        <v>0.26</v>
      </c>
      <c r="AQ735" s="43">
        <v>0.05</v>
      </c>
      <c r="AR735" s="42">
        <f t="shared" ref="AR735:AR748" si="216">1-AS735</f>
        <v>0.66999999999999993</v>
      </c>
      <c r="AS735" s="18">
        <v>0.33</v>
      </c>
      <c r="AT735">
        <v>1</v>
      </c>
      <c r="AU735" s="40">
        <v>0</v>
      </c>
      <c r="AV735" t="s">
        <v>104</v>
      </c>
      <c r="AW735" s="40" t="s">
        <v>104</v>
      </c>
      <c r="AX735">
        <v>1</v>
      </c>
      <c r="AY735" s="18">
        <v>0</v>
      </c>
      <c r="AZ735">
        <v>0</v>
      </c>
      <c r="BA735" s="18">
        <v>1</v>
      </c>
      <c r="BB735" s="18" t="s">
        <v>491</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20</v>
      </c>
      <c r="DB735" s="34"/>
    </row>
    <row r="736" spans="1:106" x14ac:dyDescent="0.25">
      <c r="A736">
        <v>735</v>
      </c>
      <c r="B736">
        <v>46</v>
      </c>
      <c r="C736" s="25" t="s">
        <v>490</v>
      </c>
      <c r="D736" s="12">
        <v>8.1</v>
      </c>
      <c r="E736" s="14">
        <v>1.7</v>
      </c>
      <c r="F736" s="7">
        <f t="shared" si="214"/>
        <v>4.7647058823529411</v>
      </c>
      <c r="G736" s="7">
        <f t="shared" si="204"/>
        <v>6.3999999999999995</v>
      </c>
      <c r="H736" s="16">
        <f t="shared" si="205"/>
        <v>9.7999999999999989</v>
      </c>
      <c r="I736" s="11">
        <f t="shared" si="206"/>
        <v>0.34323574598937379</v>
      </c>
      <c r="J736" s="33">
        <f t="shared" si="207"/>
        <v>7.2037131874313015E-2</v>
      </c>
      <c r="K736" s="33">
        <f t="shared" si="208"/>
        <v>13.881729796582585</v>
      </c>
      <c r="L736" s="33">
        <f t="shared" si="209"/>
        <v>0.27119861411506074</v>
      </c>
      <c r="M736" s="33">
        <f t="shared" si="210"/>
        <v>0.41527287786368683</v>
      </c>
      <c r="N736" s="8">
        <v>1</v>
      </c>
      <c r="O736" s="9">
        <v>0</v>
      </c>
      <c r="P736" s="8">
        <v>1</v>
      </c>
      <c r="Q736" s="9">
        <v>0</v>
      </c>
      <c r="R736" s="9">
        <v>0</v>
      </c>
      <c r="S736" s="9">
        <v>0</v>
      </c>
      <c r="T736" s="9">
        <v>0</v>
      </c>
      <c r="U736" s="8">
        <v>180</v>
      </c>
      <c r="V736" s="9">
        <v>9</v>
      </c>
      <c r="W736" s="9">
        <f t="shared" si="211"/>
        <v>170</v>
      </c>
      <c r="X736" s="9">
        <f t="shared" si="212"/>
        <v>14</v>
      </c>
      <c r="Y736" s="7">
        <v>7.8</v>
      </c>
      <c r="Z736" s="7">
        <f t="shared" si="215"/>
        <v>19.059999999999999</v>
      </c>
      <c r="AA736" s="9">
        <v>1</v>
      </c>
      <c r="AB736" s="9">
        <v>0</v>
      </c>
      <c r="AC736" s="9">
        <v>1</v>
      </c>
      <c r="AD736" s="9">
        <v>0</v>
      </c>
      <c r="AE736" s="9">
        <v>0</v>
      </c>
      <c r="AF736" s="9">
        <v>0</v>
      </c>
      <c r="AG736" s="8">
        <v>0</v>
      </c>
      <c r="AH736" s="9">
        <v>0</v>
      </c>
      <c r="AI736" s="30">
        <v>1</v>
      </c>
      <c r="AJ736" s="9">
        <v>1</v>
      </c>
      <c r="AK736" s="30">
        <v>0</v>
      </c>
      <c r="AL736" s="21">
        <v>1960</v>
      </c>
      <c r="AM736" s="23">
        <f t="shared" si="213"/>
        <v>7.5806997522245627</v>
      </c>
      <c r="AN736" s="33">
        <v>0.33</v>
      </c>
      <c r="AO736" s="33">
        <v>0.36</v>
      </c>
      <c r="AP736" s="33">
        <v>0.26</v>
      </c>
      <c r="AQ736" s="43">
        <v>0.05</v>
      </c>
      <c r="AR736" s="42">
        <f t="shared" si="216"/>
        <v>0.66999999999999993</v>
      </c>
      <c r="AS736" s="18">
        <v>0.33</v>
      </c>
      <c r="AT736">
        <v>1</v>
      </c>
      <c r="AU736" s="40">
        <v>0</v>
      </c>
      <c r="AV736" t="s">
        <v>104</v>
      </c>
      <c r="AW736" s="40" t="s">
        <v>104</v>
      </c>
      <c r="AX736">
        <v>1</v>
      </c>
      <c r="AY736" s="18">
        <v>0</v>
      </c>
      <c r="AZ736">
        <v>0</v>
      </c>
      <c r="BA736" s="18">
        <v>1</v>
      </c>
      <c r="BB736" s="18" t="s">
        <v>491</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20</v>
      </c>
      <c r="DB736" s="34"/>
    </row>
    <row r="737" spans="1:106" x14ac:dyDescent="0.25">
      <c r="A737">
        <v>736</v>
      </c>
      <c r="B737">
        <v>46</v>
      </c>
      <c r="C737" s="25" t="s">
        <v>490</v>
      </c>
      <c r="D737" s="12">
        <v>7.3</v>
      </c>
      <c r="E737" s="14">
        <v>1.6</v>
      </c>
      <c r="F737" s="7">
        <f t="shared" si="214"/>
        <v>4.5625</v>
      </c>
      <c r="G737" s="7">
        <f t="shared" si="204"/>
        <v>5.6999999999999993</v>
      </c>
      <c r="H737" s="16">
        <f t="shared" si="205"/>
        <v>8.9</v>
      </c>
      <c r="I737" s="11">
        <f t="shared" si="206"/>
        <v>0.33115857421468636</v>
      </c>
      <c r="J737" s="33">
        <f t="shared" si="207"/>
        <v>7.2582701197739477E-2</v>
      </c>
      <c r="K737" s="33">
        <f t="shared" si="208"/>
        <v>13.777387497272478</v>
      </c>
      <c r="L737" s="33">
        <f t="shared" si="209"/>
        <v>0.2585758730169469</v>
      </c>
      <c r="M737" s="33">
        <f t="shared" si="210"/>
        <v>0.40374127541242583</v>
      </c>
      <c r="N737" s="8">
        <v>1</v>
      </c>
      <c r="O737" s="9">
        <v>0</v>
      </c>
      <c r="P737" s="8">
        <v>1</v>
      </c>
      <c r="Q737" s="9">
        <v>0</v>
      </c>
      <c r="R737" s="9">
        <v>0</v>
      </c>
      <c r="S737" s="9">
        <v>0</v>
      </c>
      <c r="T737" s="9">
        <v>0</v>
      </c>
      <c r="U737" s="8">
        <v>180</v>
      </c>
      <c r="V737" s="9">
        <v>10</v>
      </c>
      <c r="W737" s="9">
        <f t="shared" si="211"/>
        <v>169</v>
      </c>
      <c r="X737" s="9">
        <f t="shared" si="212"/>
        <v>14</v>
      </c>
      <c r="Y737" s="7">
        <v>7.8</v>
      </c>
      <c r="Z737" s="7">
        <f t="shared" si="215"/>
        <v>19.059999999999999</v>
      </c>
      <c r="AA737" s="9">
        <v>1</v>
      </c>
      <c r="AB737" s="9">
        <v>0</v>
      </c>
      <c r="AC737" s="9">
        <v>1</v>
      </c>
      <c r="AD737" s="9">
        <v>0</v>
      </c>
      <c r="AE737" s="9">
        <v>0</v>
      </c>
      <c r="AF737" s="9">
        <v>0</v>
      </c>
      <c r="AG737" s="8">
        <v>0</v>
      </c>
      <c r="AH737" s="9">
        <v>0</v>
      </c>
      <c r="AI737" s="30">
        <v>1</v>
      </c>
      <c r="AJ737" s="9">
        <v>1</v>
      </c>
      <c r="AK737" s="30">
        <v>0</v>
      </c>
      <c r="AL737" s="21">
        <v>1960</v>
      </c>
      <c r="AM737" s="23">
        <f t="shared" si="213"/>
        <v>7.5806997522245627</v>
      </c>
      <c r="AN737" s="33">
        <v>0.33</v>
      </c>
      <c r="AO737" s="33">
        <v>0.36</v>
      </c>
      <c r="AP737" s="33">
        <v>0.26</v>
      </c>
      <c r="AQ737" s="43">
        <v>0.05</v>
      </c>
      <c r="AR737" s="42">
        <f t="shared" si="216"/>
        <v>0.66999999999999993</v>
      </c>
      <c r="AS737" s="18">
        <v>0.33</v>
      </c>
      <c r="AT737">
        <v>1</v>
      </c>
      <c r="AU737" s="40">
        <v>0</v>
      </c>
      <c r="AV737" t="s">
        <v>104</v>
      </c>
      <c r="AW737" s="40" t="s">
        <v>104</v>
      </c>
      <c r="AX737">
        <v>1</v>
      </c>
      <c r="AY737" s="18">
        <v>0</v>
      </c>
      <c r="AZ737">
        <v>0</v>
      </c>
      <c r="BA737" s="18">
        <v>1</v>
      </c>
      <c r="BB737" s="18" t="s">
        <v>491</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20</v>
      </c>
      <c r="DB737" s="34"/>
    </row>
    <row r="738" spans="1:106" x14ac:dyDescent="0.25">
      <c r="A738">
        <v>737</v>
      </c>
      <c r="B738">
        <v>46</v>
      </c>
      <c r="C738" s="25" t="s">
        <v>490</v>
      </c>
      <c r="D738" s="12">
        <v>7.4</v>
      </c>
      <c r="E738" s="14">
        <v>2</v>
      </c>
      <c r="F738" s="7">
        <f t="shared" si="214"/>
        <v>3.7</v>
      </c>
      <c r="G738" s="7">
        <f t="shared" si="204"/>
        <v>5.4</v>
      </c>
      <c r="H738" s="16">
        <f t="shared" si="205"/>
        <v>9.4</v>
      </c>
      <c r="I738" s="11">
        <f t="shared" si="206"/>
        <v>0.27374382805481862</v>
      </c>
      <c r="J738" s="33">
        <f t="shared" si="207"/>
        <v>7.3984818393194207E-2</v>
      </c>
      <c r="K738" s="33">
        <f t="shared" si="208"/>
        <v>13.516286472252652</v>
      </c>
      <c r="L738" s="33">
        <f t="shared" si="209"/>
        <v>0.19975900966162441</v>
      </c>
      <c r="M738" s="33">
        <f t="shared" si="210"/>
        <v>0.34772864644801282</v>
      </c>
      <c r="N738" s="8">
        <v>1</v>
      </c>
      <c r="O738" s="9">
        <v>0</v>
      </c>
      <c r="P738" s="8">
        <v>1</v>
      </c>
      <c r="Q738" s="9">
        <v>0</v>
      </c>
      <c r="R738" s="9">
        <v>0</v>
      </c>
      <c r="S738" s="9">
        <v>0</v>
      </c>
      <c r="T738" s="9">
        <v>0</v>
      </c>
      <c r="U738" s="8">
        <v>180</v>
      </c>
      <c r="V738" s="9">
        <v>10</v>
      </c>
      <c r="W738" s="9">
        <f t="shared" si="211"/>
        <v>169</v>
      </c>
      <c r="X738" s="9">
        <f t="shared" si="212"/>
        <v>14</v>
      </c>
      <c r="Y738" s="7">
        <v>7.8</v>
      </c>
      <c r="Z738" s="7">
        <f t="shared" si="215"/>
        <v>19.059999999999999</v>
      </c>
      <c r="AA738" s="9">
        <v>1</v>
      </c>
      <c r="AB738" s="9">
        <v>0</v>
      </c>
      <c r="AC738" s="9">
        <v>1</v>
      </c>
      <c r="AD738" s="9">
        <v>0</v>
      </c>
      <c r="AE738" s="9">
        <v>0</v>
      </c>
      <c r="AF738" s="9">
        <v>0</v>
      </c>
      <c r="AG738" s="8">
        <v>0</v>
      </c>
      <c r="AH738" s="9">
        <v>0</v>
      </c>
      <c r="AI738" s="30">
        <v>1</v>
      </c>
      <c r="AJ738" s="9">
        <v>1</v>
      </c>
      <c r="AK738" s="30">
        <v>0</v>
      </c>
      <c r="AL738" s="21">
        <v>1960</v>
      </c>
      <c r="AM738" s="23">
        <f t="shared" si="213"/>
        <v>7.5806997522245627</v>
      </c>
      <c r="AN738" s="33">
        <v>0.33</v>
      </c>
      <c r="AO738" s="33">
        <v>0.36</v>
      </c>
      <c r="AP738" s="33">
        <v>0.26</v>
      </c>
      <c r="AQ738" s="43">
        <v>0.05</v>
      </c>
      <c r="AR738" s="42">
        <f t="shared" si="216"/>
        <v>0.66999999999999993</v>
      </c>
      <c r="AS738" s="18">
        <v>0.33</v>
      </c>
      <c r="AT738">
        <v>1</v>
      </c>
      <c r="AU738" s="40">
        <v>0</v>
      </c>
      <c r="AV738" t="s">
        <v>104</v>
      </c>
      <c r="AW738" s="40" t="s">
        <v>104</v>
      </c>
      <c r="AX738">
        <v>1</v>
      </c>
      <c r="AY738" s="18">
        <v>0</v>
      </c>
      <c r="AZ738">
        <v>0</v>
      </c>
      <c r="BA738" s="18">
        <v>1</v>
      </c>
      <c r="BB738" s="18" t="s">
        <v>491</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20</v>
      </c>
      <c r="DB738" s="34"/>
    </row>
    <row r="739" spans="1:106" x14ac:dyDescent="0.25">
      <c r="A739">
        <v>738</v>
      </c>
      <c r="B739">
        <v>46</v>
      </c>
      <c r="C739" s="25" t="s">
        <v>490</v>
      </c>
      <c r="D739" s="12">
        <v>10.199999999999999</v>
      </c>
      <c r="E739" s="14">
        <v>0.8</v>
      </c>
      <c r="F739" s="7">
        <f t="shared" si="214"/>
        <v>12.749999999999998</v>
      </c>
      <c r="G739" s="7">
        <f t="shared" si="204"/>
        <v>9.3999999999999986</v>
      </c>
      <c r="H739" s="16">
        <f t="shared" si="205"/>
        <v>11</v>
      </c>
      <c r="I739" s="11">
        <f t="shared" si="206"/>
        <v>0.32484076433121012</v>
      </c>
      <c r="J739" s="33">
        <f t="shared" si="207"/>
        <v>2.5477707006369425E-2</v>
      </c>
      <c r="K739" s="33">
        <f t="shared" si="208"/>
        <v>39.25</v>
      </c>
      <c r="L739" s="33">
        <f t="shared" si="209"/>
        <v>0.2993630573248407</v>
      </c>
      <c r="M739" s="33">
        <f t="shared" si="210"/>
        <v>0.35031847133757954</v>
      </c>
      <c r="N739" s="8">
        <v>1</v>
      </c>
      <c r="O739" s="9">
        <v>0</v>
      </c>
      <c r="P739" s="8">
        <v>1</v>
      </c>
      <c r="Q739" s="9">
        <v>0</v>
      </c>
      <c r="R739" s="9">
        <v>0</v>
      </c>
      <c r="S739" s="9">
        <v>0</v>
      </c>
      <c r="T739" s="9">
        <v>0</v>
      </c>
      <c r="U739" s="8">
        <v>1381</v>
      </c>
      <c r="V739" s="9">
        <v>2</v>
      </c>
      <c r="W739" s="9">
        <f t="shared" si="211"/>
        <v>1378</v>
      </c>
      <c r="X739" s="9">
        <f t="shared" si="212"/>
        <v>14</v>
      </c>
      <c r="Y739" s="7">
        <v>8.75</v>
      </c>
      <c r="Z739" s="7">
        <f t="shared" si="215"/>
        <v>18.43</v>
      </c>
      <c r="AA739" s="9">
        <v>1</v>
      </c>
      <c r="AB739" s="9">
        <v>0</v>
      </c>
      <c r="AC739" s="9">
        <v>1</v>
      </c>
      <c r="AD739" s="9">
        <v>0</v>
      </c>
      <c r="AE739" s="9">
        <v>0</v>
      </c>
      <c r="AF739" s="9">
        <v>0</v>
      </c>
      <c r="AG739" s="8">
        <v>0</v>
      </c>
      <c r="AH739" s="9">
        <v>0</v>
      </c>
      <c r="AI739" s="30">
        <v>1</v>
      </c>
      <c r="AJ739" s="9">
        <v>1</v>
      </c>
      <c r="AK739" s="30">
        <v>0</v>
      </c>
      <c r="AL739" s="21">
        <v>1960</v>
      </c>
      <c r="AM739" s="23">
        <f t="shared" si="213"/>
        <v>7.5806997522245627</v>
      </c>
      <c r="AN739" s="33">
        <v>0.33</v>
      </c>
      <c r="AO739" s="33">
        <v>0.36</v>
      </c>
      <c r="AP739" s="33">
        <v>0.26</v>
      </c>
      <c r="AQ739" s="43">
        <v>0.05</v>
      </c>
      <c r="AR739" s="42">
        <f t="shared" si="216"/>
        <v>0.97</v>
      </c>
      <c r="AS739" s="18">
        <v>0.03</v>
      </c>
      <c r="AT739">
        <v>1</v>
      </c>
      <c r="AU739" s="40">
        <v>0</v>
      </c>
      <c r="AV739" t="s">
        <v>104</v>
      </c>
      <c r="AW739" s="40" t="s">
        <v>104</v>
      </c>
      <c r="AX739">
        <v>1</v>
      </c>
      <c r="AY739" s="18">
        <v>0</v>
      </c>
      <c r="AZ739">
        <v>0</v>
      </c>
      <c r="BA739" s="18">
        <v>1</v>
      </c>
      <c r="BB739" s="18" t="s">
        <v>491</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20</v>
      </c>
      <c r="DB739" s="34"/>
    </row>
    <row r="740" spans="1:106" x14ac:dyDescent="0.25">
      <c r="A740">
        <v>739</v>
      </c>
      <c r="B740">
        <v>46</v>
      </c>
      <c r="C740" s="25" t="s">
        <v>490</v>
      </c>
      <c r="D740" s="12">
        <v>9.3000000000000007</v>
      </c>
      <c r="E740" s="14">
        <v>0.8</v>
      </c>
      <c r="F740" s="7">
        <f t="shared" si="214"/>
        <v>11.625</v>
      </c>
      <c r="G740" s="7">
        <f t="shared" si="204"/>
        <v>8.5</v>
      </c>
      <c r="H740" s="16">
        <f t="shared" si="205"/>
        <v>10.100000000000001</v>
      </c>
      <c r="I740" s="11">
        <f t="shared" si="206"/>
        <v>0.29954370702335192</v>
      </c>
      <c r="J740" s="33">
        <f t="shared" si="207"/>
        <v>2.5767200604159306E-2</v>
      </c>
      <c r="K740" s="33">
        <f t="shared" si="208"/>
        <v>38.80902762244888</v>
      </c>
      <c r="L740" s="33">
        <f t="shared" si="209"/>
        <v>0.2737765064191926</v>
      </c>
      <c r="M740" s="33">
        <f t="shared" si="210"/>
        <v>0.32531090762751125</v>
      </c>
      <c r="N740" s="8">
        <v>1</v>
      </c>
      <c r="O740" s="9">
        <v>0</v>
      </c>
      <c r="P740" s="8">
        <v>1</v>
      </c>
      <c r="Q740" s="9">
        <v>0</v>
      </c>
      <c r="R740" s="9">
        <v>0</v>
      </c>
      <c r="S740" s="9">
        <v>0</v>
      </c>
      <c r="T740" s="9">
        <v>0</v>
      </c>
      <c r="U740" s="8">
        <v>1381</v>
      </c>
      <c r="V740" s="9">
        <v>9</v>
      </c>
      <c r="W740" s="9">
        <f t="shared" si="211"/>
        <v>1371</v>
      </c>
      <c r="X740" s="9">
        <f t="shared" si="212"/>
        <v>14</v>
      </c>
      <c r="Y740" s="7">
        <v>8.75</v>
      </c>
      <c r="Z740" s="7">
        <f t="shared" si="215"/>
        <v>18.43</v>
      </c>
      <c r="AA740" s="9">
        <v>1</v>
      </c>
      <c r="AB740" s="9">
        <v>0</v>
      </c>
      <c r="AC740" s="9">
        <v>1</v>
      </c>
      <c r="AD740" s="9">
        <v>0</v>
      </c>
      <c r="AE740" s="9">
        <v>0</v>
      </c>
      <c r="AF740" s="9">
        <v>0</v>
      </c>
      <c r="AG740" s="8">
        <v>0</v>
      </c>
      <c r="AH740" s="9">
        <v>0</v>
      </c>
      <c r="AI740" s="30">
        <v>1</v>
      </c>
      <c r="AJ740" s="9">
        <v>1</v>
      </c>
      <c r="AK740" s="30">
        <v>0</v>
      </c>
      <c r="AL740" s="21">
        <v>1960</v>
      </c>
      <c r="AM740" s="23">
        <f t="shared" si="213"/>
        <v>7.5806997522245627</v>
      </c>
      <c r="AN740" s="33">
        <v>0.33</v>
      </c>
      <c r="AO740" s="33">
        <v>0.36</v>
      </c>
      <c r="AP740" s="33">
        <v>0.26</v>
      </c>
      <c r="AQ740" s="43">
        <v>0.05</v>
      </c>
      <c r="AR740" s="42">
        <f t="shared" si="216"/>
        <v>0.97</v>
      </c>
      <c r="AS740" s="18">
        <v>0.03</v>
      </c>
      <c r="AT740">
        <v>1</v>
      </c>
      <c r="AU740" s="40">
        <v>0</v>
      </c>
      <c r="AV740" t="s">
        <v>104</v>
      </c>
      <c r="AW740" s="40" t="s">
        <v>104</v>
      </c>
      <c r="AX740">
        <v>1</v>
      </c>
      <c r="AY740" s="18">
        <v>0</v>
      </c>
      <c r="AZ740">
        <v>0</v>
      </c>
      <c r="BA740" s="18">
        <v>1</v>
      </c>
      <c r="BB740" s="18" t="s">
        <v>491</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20</v>
      </c>
      <c r="DB740" s="34"/>
    </row>
    <row r="741" spans="1:106" x14ac:dyDescent="0.25">
      <c r="A741">
        <v>740</v>
      </c>
      <c r="B741">
        <v>46</v>
      </c>
      <c r="C741" s="25" t="s">
        <v>490</v>
      </c>
      <c r="D741" s="12">
        <v>9.1</v>
      </c>
      <c r="E741" s="14">
        <v>0.9</v>
      </c>
      <c r="F741" s="7">
        <f t="shared" si="214"/>
        <v>10.111111111111111</v>
      </c>
      <c r="G741" s="7">
        <f t="shared" si="204"/>
        <v>8.1999999999999993</v>
      </c>
      <c r="H741" s="16">
        <f t="shared" si="205"/>
        <v>10</v>
      </c>
      <c r="I741" s="11">
        <f t="shared" si="206"/>
        <v>0.26351805571440351</v>
      </c>
      <c r="J741" s="33">
        <f t="shared" si="207"/>
        <v>2.6062225290435514E-2</v>
      </c>
      <c r="K741" s="33">
        <f t="shared" si="208"/>
        <v>38.369708989008956</v>
      </c>
      <c r="L741" s="33">
        <f t="shared" si="209"/>
        <v>0.23745583042396801</v>
      </c>
      <c r="M741" s="33">
        <f t="shared" si="210"/>
        <v>0.28958028100483901</v>
      </c>
      <c r="N741" s="8">
        <v>1</v>
      </c>
      <c r="O741" s="9">
        <v>0</v>
      </c>
      <c r="P741" s="8">
        <v>1</v>
      </c>
      <c r="Q741" s="9">
        <v>0</v>
      </c>
      <c r="R741" s="9">
        <v>0</v>
      </c>
      <c r="S741" s="9">
        <v>0</v>
      </c>
      <c r="T741" s="9">
        <v>0</v>
      </c>
      <c r="U741" s="8">
        <v>1381</v>
      </c>
      <c r="V741" s="9">
        <v>10</v>
      </c>
      <c r="W741" s="9">
        <f t="shared" si="211"/>
        <v>1370</v>
      </c>
      <c r="X741" s="9">
        <f t="shared" si="212"/>
        <v>14</v>
      </c>
      <c r="Y741" s="7">
        <v>8.75</v>
      </c>
      <c r="Z741" s="7">
        <f t="shared" si="215"/>
        <v>18.43</v>
      </c>
      <c r="AA741" s="9">
        <v>1</v>
      </c>
      <c r="AB741" s="9">
        <v>0</v>
      </c>
      <c r="AC741" s="9">
        <v>1</v>
      </c>
      <c r="AD741" s="9">
        <v>0</v>
      </c>
      <c r="AE741" s="9">
        <v>0</v>
      </c>
      <c r="AF741" s="9">
        <v>0</v>
      </c>
      <c r="AG741" s="8">
        <v>0</v>
      </c>
      <c r="AH741" s="9">
        <v>0</v>
      </c>
      <c r="AI741" s="30">
        <v>1</v>
      </c>
      <c r="AJ741" s="9">
        <v>1</v>
      </c>
      <c r="AK741" s="30">
        <v>0</v>
      </c>
      <c r="AL741" s="21">
        <v>1960</v>
      </c>
      <c r="AM741" s="23">
        <f t="shared" si="213"/>
        <v>7.5806997522245627</v>
      </c>
      <c r="AN741" s="33">
        <v>0.33</v>
      </c>
      <c r="AO741" s="33">
        <v>0.36</v>
      </c>
      <c r="AP741" s="33">
        <v>0.26</v>
      </c>
      <c r="AQ741" s="43">
        <v>0.05</v>
      </c>
      <c r="AR741" s="42">
        <f t="shared" si="216"/>
        <v>0.97</v>
      </c>
      <c r="AS741" s="18">
        <v>0.03</v>
      </c>
      <c r="AT741">
        <v>1</v>
      </c>
      <c r="AU741" s="40">
        <v>0</v>
      </c>
      <c r="AV741" t="s">
        <v>104</v>
      </c>
      <c r="AW741" s="40" t="s">
        <v>104</v>
      </c>
      <c r="AX741">
        <v>1</v>
      </c>
      <c r="AY741" s="18">
        <v>0</v>
      </c>
      <c r="AZ741">
        <v>0</v>
      </c>
      <c r="BA741" s="18">
        <v>1</v>
      </c>
      <c r="BB741" s="18" t="s">
        <v>491</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20</v>
      </c>
      <c r="DB741" s="34"/>
    </row>
    <row r="742" spans="1:106" x14ac:dyDescent="0.25">
      <c r="A742">
        <v>741</v>
      </c>
      <c r="B742">
        <v>46</v>
      </c>
      <c r="C742" s="25" t="s">
        <v>490</v>
      </c>
      <c r="D742" s="12">
        <v>9</v>
      </c>
      <c r="E742" s="14">
        <v>0.8</v>
      </c>
      <c r="F742" s="7">
        <f t="shared" si="214"/>
        <v>11.25</v>
      </c>
      <c r="G742" s="7">
        <f t="shared" si="204"/>
        <v>8.1999999999999993</v>
      </c>
      <c r="H742" s="16">
        <f t="shared" si="205"/>
        <v>9.8000000000000007</v>
      </c>
      <c r="I742" s="11">
        <f t="shared" si="206"/>
        <v>0.29080715862584822</v>
      </c>
      <c r="J742" s="33">
        <f t="shared" si="207"/>
        <v>2.5849525211186511E-2</v>
      </c>
      <c r="K742" s="33">
        <f t="shared" si="208"/>
        <v>38.685430073866307</v>
      </c>
      <c r="L742" s="33">
        <f t="shared" si="209"/>
        <v>0.26495763341466172</v>
      </c>
      <c r="M742" s="33">
        <f t="shared" si="210"/>
        <v>0.31665668383703471</v>
      </c>
      <c r="N742" s="8">
        <v>1</v>
      </c>
      <c r="O742" s="9">
        <v>0</v>
      </c>
      <c r="P742" s="8">
        <v>1</v>
      </c>
      <c r="Q742" s="9">
        <v>0</v>
      </c>
      <c r="R742" s="9">
        <v>0</v>
      </c>
      <c r="S742" s="9">
        <v>0</v>
      </c>
      <c r="T742" s="9">
        <v>0</v>
      </c>
      <c r="U742" s="8">
        <v>1381</v>
      </c>
      <c r="V742" s="9">
        <v>10</v>
      </c>
      <c r="W742" s="9">
        <f t="shared" si="211"/>
        <v>1370</v>
      </c>
      <c r="X742" s="9">
        <f t="shared" si="212"/>
        <v>14</v>
      </c>
      <c r="Y742" s="7">
        <v>8.75</v>
      </c>
      <c r="Z742" s="7">
        <f t="shared" si="215"/>
        <v>18.43</v>
      </c>
      <c r="AA742" s="9">
        <v>1</v>
      </c>
      <c r="AB742" s="9">
        <v>0</v>
      </c>
      <c r="AC742" s="9">
        <v>1</v>
      </c>
      <c r="AD742" s="9">
        <v>0</v>
      </c>
      <c r="AE742" s="9">
        <v>0</v>
      </c>
      <c r="AF742" s="9">
        <v>0</v>
      </c>
      <c r="AG742" s="8">
        <v>0</v>
      </c>
      <c r="AH742" s="9">
        <v>0</v>
      </c>
      <c r="AI742" s="30">
        <v>1</v>
      </c>
      <c r="AJ742" s="9">
        <v>1</v>
      </c>
      <c r="AK742" s="30">
        <v>0</v>
      </c>
      <c r="AL742" s="21">
        <v>1960</v>
      </c>
      <c r="AM742" s="23">
        <f t="shared" si="213"/>
        <v>7.5806997522245627</v>
      </c>
      <c r="AN742" s="33">
        <v>0.33</v>
      </c>
      <c r="AO742" s="33">
        <v>0.36</v>
      </c>
      <c r="AP742" s="33">
        <v>0.26</v>
      </c>
      <c r="AQ742" s="43">
        <v>0.05</v>
      </c>
      <c r="AR742" s="42">
        <f t="shared" si="216"/>
        <v>0.97</v>
      </c>
      <c r="AS742" s="18">
        <v>0.03</v>
      </c>
      <c r="AT742">
        <v>1</v>
      </c>
      <c r="AU742" s="40">
        <v>0</v>
      </c>
      <c r="AV742" t="s">
        <v>104</v>
      </c>
      <c r="AW742" s="40" t="s">
        <v>104</v>
      </c>
      <c r="AX742">
        <v>1</v>
      </c>
      <c r="AY742" s="18">
        <v>0</v>
      </c>
      <c r="AZ742">
        <v>0</v>
      </c>
      <c r="BA742" s="18">
        <v>1</v>
      </c>
      <c r="BB742" s="18" t="s">
        <v>491</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20</v>
      </c>
      <c r="DB742" s="34"/>
    </row>
    <row r="743" spans="1:106" x14ac:dyDescent="0.25">
      <c r="A743">
        <v>742</v>
      </c>
      <c r="B743">
        <v>46</v>
      </c>
      <c r="C743" s="25" t="s">
        <v>490</v>
      </c>
      <c r="D743" s="12">
        <v>6.4</v>
      </c>
      <c r="E743" s="14">
        <v>1.5</v>
      </c>
      <c r="F743" s="7">
        <f t="shared" si="214"/>
        <v>4.2666666666666666</v>
      </c>
      <c r="G743" s="7">
        <f t="shared" si="204"/>
        <v>4.9000000000000004</v>
      </c>
      <c r="H743" s="16">
        <f t="shared" si="205"/>
        <v>7.9</v>
      </c>
      <c r="I743" s="11">
        <f t="shared" si="206"/>
        <v>0.2388109576210887</v>
      </c>
      <c r="J743" s="33">
        <f t="shared" si="207"/>
        <v>5.5971318192442665E-2</v>
      </c>
      <c r="K743" s="33">
        <f t="shared" si="208"/>
        <v>17.866293528441886</v>
      </c>
      <c r="L743" s="33">
        <f t="shared" si="209"/>
        <v>0.18283963942864603</v>
      </c>
      <c r="M743" s="33">
        <f t="shared" si="210"/>
        <v>0.29478227581353134</v>
      </c>
      <c r="N743" s="8">
        <v>1</v>
      </c>
      <c r="O743" s="9">
        <v>0</v>
      </c>
      <c r="P743" s="8">
        <v>1</v>
      </c>
      <c r="Q743" s="9">
        <v>0</v>
      </c>
      <c r="R743" s="9">
        <v>0</v>
      </c>
      <c r="S743" s="9">
        <v>0</v>
      </c>
      <c r="T743" s="9">
        <v>0</v>
      </c>
      <c r="U743" s="8">
        <v>304</v>
      </c>
      <c r="V743" s="9">
        <v>2</v>
      </c>
      <c r="W743" s="9">
        <f t="shared" si="211"/>
        <v>301</v>
      </c>
      <c r="X743" s="9">
        <f t="shared" si="212"/>
        <v>14</v>
      </c>
      <c r="Y743" s="7">
        <v>7.8</v>
      </c>
      <c r="Z743" s="7">
        <f t="shared" si="215"/>
        <v>19.059999999999999</v>
      </c>
      <c r="AA743" s="9">
        <v>1</v>
      </c>
      <c r="AB743" s="9">
        <v>0</v>
      </c>
      <c r="AC743" s="9">
        <v>1</v>
      </c>
      <c r="AD743" s="9">
        <v>0</v>
      </c>
      <c r="AE743" s="9">
        <v>0</v>
      </c>
      <c r="AF743" s="9">
        <v>0</v>
      </c>
      <c r="AG743" s="8">
        <v>0</v>
      </c>
      <c r="AH743" s="9">
        <v>0</v>
      </c>
      <c r="AI743" s="30">
        <v>1</v>
      </c>
      <c r="AJ743" s="9">
        <v>1</v>
      </c>
      <c r="AK743" s="30">
        <v>0</v>
      </c>
      <c r="AL743" s="21">
        <v>1960</v>
      </c>
      <c r="AM743" s="23">
        <f t="shared" si="213"/>
        <v>7.5806997522245627</v>
      </c>
      <c r="AN743" s="33">
        <v>0.33</v>
      </c>
      <c r="AO743" s="33">
        <v>0.36</v>
      </c>
      <c r="AP743" s="33">
        <v>0.26</v>
      </c>
      <c r="AQ743" s="43">
        <v>0.05</v>
      </c>
      <c r="AR743" s="42">
        <f t="shared" si="216"/>
        <v>0.66999999999999993</v>
      </c>
      <c r="AS743" s="18">
        <v>0.33</v>
      </c>
      <c r="AT743">
        <v>1</v>
      </c>
      <c r="AU743" s="40">
        <v>0</v>
      </c>
      <c r="AV743" t="s">
        <v>104</v>
      </c>
      <c r="AW743" s="40" t="s">
        <v>104</v>
      </c>
      <c r="AX743">
        <v>1</v>
      </c>
      <c r="AY743" s="18">
        <v>0</v>
      </c>
      <c r="AZ743">
        <v>0</v>
      </c>
      <c r="BA743" s="18">
        <v>1</v>
      </c>
      <c r="BB743" s="18" t="s">
        <v>491</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20</v>
      </c>
      <c r="DB743" s="34"/>
    </row>
    <row r="744" spans="1:106" x14ac:dyDescent="0.25">
      <c r="A744">
        <v>743</v>
      </c>
      <c r="B744">
        <v>46</v>
      </c>
      <c r="C744" s="25" t="s">
        <v>490</v>
      </c>
      <c r="D744" s="12">
        <v>5.9</v>
      </c>
      <c r="E744" s="14">
        <v>1.6</v>
      </c>
      <c r="F744" s="7">
        <f t="shared" si="214"/>
        <v>3.6875</v>
      </c>
      <c r="G744" s="7">
        <f t="shared" si="204"/>
        <v>4.3000000000000007</v>
      </c>
      <c r="H744" s="16">
        <f t="shared" si="205"/>
        <v>7.5</v>
      </c>
      <c r="I744" s="11">
        <f t="shared" si="206"/>
        <v>0.21059478558883832</v>
      </c>
      <c r="J744" s="33">
        <f t="shared" si="207"/>
        <v>5.7110450329176492E-2</v>
      </c>
      <c r="K744" s="33">
        <f t="shared" si="208"/>
        <v>17.509930218307552</v>
      </c>
      <c r="L744" s="33">
        <f t="shared" si="209"/>
        <v>0.15348433525966182</v>
      </c>
      <c r="M744" s="33">
        <f t="shared" si="210"/>
        <v>0.26770523591801482</v>
      </c>
      <c r="N744" s="8">
        <v>1</v>
      </c>
      <c r="O744" s="9">
        <v>0</v>
      </c>
      <c r="P744" s="8">
        <v>1</v>
      </c>
      <c r="Q744" s="9">
        <v>0</v>
      </c>
      <c r="R744" s="9">
        <v>0</v>
      </c>
      <c r="S744" s="9">
        <v>0</v>
      </c>
      <c r="T744" s="9">
        <v>0</v>
      </c>
      <c r="U744" s="8">
        <v>304</v>
      </c>
      <c r="V744" s="9">
        <v>10</v>
      </c>
      <c r="W744" s="9">
        <f t="shared" si="211"/>
        <v>293</v>
      </c>
      <c r="X744" s="9">
        <f t="shared" si="212"/>
        <v>14</v>
      </c>
      <c r="Y744" s="7">
        <v>7.8</v>
      </c>
      <c r="Z744" s="7">
        <f t="shared" si="215"/>
        <v>19.059999999999999</v>
      </c>
      <c r="AA744" s="9">
        <v>1</v>
      </c>
      <c r="AB744" s="9">
        <v>0</v>
      </c>
      <c r="AC744" s="9">
        <v>1</v>
      </c>
      <c r="AD744" s="9">
        <v>0</v>
      </c>
      <c r="AE744" s="9">
        <v>0</v>
      </c>
      <c r="AF744" s="9">
        <v>0</v>
      </c>
      <c r="AG744" s="8">
        <v>0</v>
      </c>
      <c r="AH744" s="9">
        <v>0</v>
      </c>
      <c r="AI744" s="30">
        <v>1</v>
      </c>
      <c r="AJ744" s="9">
        <v>1</v>
      </c>
      <c r="AK744" s="30">
        <v>0</v>
      </c>
      <c r="AL744" s="21">
        <v>1960</v>
      </c>
      <c r="AM744" s="23">
        <f t="shared" si="213"/>
        <v>7.5806997522245627</v>
      </c>
      <c r="AN744" s="33">
        <v>0.33</v>
      </c>
      <c r="AO744" s="33">
        <v>0.36</v>
      </c>
      <c r="AP744" s="33">
        <v>0.26</v>
      </c>
      <c r="AQ744" s="43">
        <v>0.05</v>
      </c>
      <c r="AR744" s="42">
        <f t="shared" si="216"/>
        <v>0.66999999999999993</v>
      </c>
      <c r="AS744" s="18">
        <v>0.33</v>
      </c>
      <c r="AT744">
        <v>1</v>
      </c>
      <c r="AU744" s="40">
        <v>0</v>
      </c>
      <c r="AV744" t="s">
        <v>104</v>
      </c>
      <c r="AW744" s="40" t="s">
        <v>104</v>
      </c>
      <c r="AX744">
        <v>1</v>
      </c>
      <c r="AY744" s="18">
        <v>0</v>
      </c>
      <c r="AZ744">
        <v>0</v>
      </c>
      <c r="BA744" s="18">
        <v>1</v>
      </c>
      <c r="BB744" s="18" t="s">
        <v>491</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20</v>
      </c>
      <c r="DB744" s="34"/>
    </row>
    <row r="745" spans="1:106" x14ac:dyDescent="0.25">
      <c r="A745">
        <v>744</v>
      </c>
      <c r="B745">
        <v>46</v>
      </c>
      <c r="C745" s="25" t="s">
        <v>490</v>
      </c>
      <c r="D745" s="12">
        <v>3.4</v>
      </c>
      <c r="E745" s="14">
        <v>1.5</v>
      </c>
      <c r="F745" s="7">
        <f t="shared" si="214"/>
        <v>2.2666666666666666</v>
      </c>
      <c r="G745" s="7">
        <f t="shared" si="204"/>
        <v>1.9</v>
      </c>
      <c r="H745" s="16">
        <f t="shared" si="205"/>
        <v>4.9000000000000004</v>
      </c>
      <c r="I745" s="11">
        <f t="shared" si="206"/>
        <v>0.13127413127413129</v>
      </c>
      <c r="J745" s="33">
        <f t="shared" si="207"/>
        <v>5.7915057915057917E-2</v>
      </c>
      <c r="K745" s="33">
        <f t="shared" si="208"/>
        <v>17.266666666666666</v>
      </c>
      <c r="L745" s="33">
        <f t="shared" si="209"/>
        <v>7.3359073359073379E-2</v>
      </c>
      <c r="M745" s="33">
        <f t="shared" si="210"/>
        <v>0.1891891891891892</v>
      </c>
      <c r="N745" s="8">
        <v>1</v>
      </c>
      <c r="O745" s="9">
        <v>0</v>
      </c>
      <c r="P745" s="8">
        <v>1</v>
      </c>
      <c r="Q745" s="9">
        <v>0</v>
      </c>
      <c r="R745" s="9">
        <v>0</v>
      </c>
      <c r="S745" s="9">
        <v>0</v>
      </c>
      <c r="T745" s="9">
        <v>0</v>
      </c>
      <c r="U745" s="8">
        <v>304</v>
      </c>
      <c r="V745" s="9">
        <v>10</v>
      </c>
      <c r="W745" s="9">
        <f t="shared" si="211"/>
        <v>293</v>
      </c>
      <c r="X745" s="9">
        <f t="shared" si="212"/>
        <v>14</v>
      </c>
      <c r="Y745" s="7">
        <v>7.8</v>
      </c>
      <c r="Z745" s="7">
        <f t="shared" si="215"/>
        <v>19.059999999999999</v>
      </c>
      <c r="AA745" s="9">
        <v>1</v>
      </c>
      <c r="AB745" s="9">
        <v>0</v>
      </c>
      <c r="AC745" s="9">
        <v>1</v>
      </c>
      <c r="AD745" s="9">
        <v>0</v>
      </c>
      <c r="AE745" s="9">
        <v>0</v>
      </c>
      <c r="AF745" s="9">
        <v>0</v>
      </c>
      <c r="AG745" s="8">
        <v>0</v>
      </c>
      <c r="AH745" s="9">
        <v>0</v>
      </c>
      <c r="AI745" s="30">
        <v>1</v>
      </c>
      <c r="AJ745" s="9">
        <v>1</v>
      </c>
      <c r="AK745" s="30">
        <v>0</v>
      </c>
      <c r="AL745" s="21">
        <v>1960</v>
      </c>
      <c r="AM745" s="23">
        <f t="shared" si="213"/>
        <v>7.5806997522245627</v>
      </c>
      <c r="AN745" s="33">
        <v>0.33</v>
      </c>
      <c r="AO745" s="33">
        <v>0.36</v>
      </c>
      <c r="AP745" s="33">
        <v>0.26</v>
      </c>
      <c r="AQ745" s="43">
        <v>0.05</v>
      </c>
      <c r="AR745" s="42">
        <f t="shared" si="216"/>
        <v>0.66999999999999993</v>
      </c>
      <c r="AS745" s="18">
        <v>0.33</v>
      </c>
      <c r="AT745">
        <v>1</v>
      </c>
      <c r="AU745" s="40">
        <v>0</v>
      </c>
      <c r="AV745" t="s">
        <v>104</v>
      </c>
      <c r="AW745" s="40" t="s">
        <v>104</v>
      </c>
      <c r="AX745">
        <v>1</v>
      </c>
      <c r="AY745" s="18">
        <v>0</v>
      </c>
      <c r="AZ745">
        <v>0</v>
      </c>
      <c r="BA745" s="18">
        <v>1</v>
      </c>
      <c r="BB745" s="18" t="s">
        <v>491</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20</v>
      </c>
      <c r="DB745" s="34"/>
    </row>
    <row r="746" spans="1:106" x14ac:dyDescent="0.25">
      <c r="A746">
        <v>745</v>
      </c>
      <c r="B746">
        <v>46</v>
      </c>
      <c r="C746" s="25" t="s">
        <v>490</v>
      </c>
      <c r="D746" s="12">
        <v>5.7</v>
      </c>
      <c r="E746" s="14">
        <v>0.9</v>
      </c>
      <c r="F746" s="7">
        <f t="shared" si="214"/>
        <v>6.333333333333333</v>
      </c>
      <c r="G746" s="7">
        <f t="shared" si="204"/>
        <v>4.8</v>
      </c>
      <c r="H746" s="16">
        <f t="shared" si="205"/>
        <v>6.6000000000000005</v>
      </c>
      <c r="I746" s="11">
        <f t="shared" si="206"/>
        <v>0.14776263744368376</v>
      </c>
      <c r="J746" s="33">
        <f t="shared" si="207"/>
        <v>2.3330942754265858E-2</v>
      </c>
      <c r="K746" s="33">
        <f t="shared" si="208"/>
        <v>42.861534166559075</v>
      </c>
      <c r="L746" s="33">
        <f t="shared" si="209"/>
        <v>0.12443169468941789</v>
      </c>
      <c r="M746" s="33">
        <f t="shared" si="210"/>
        <v>0.17109358019794962</v>
      </c>
      <c r="N746" s="8">
        <v>1</v>
      </c>
      <c r="O746" s="9">
        <v>0</v>
      </c>
      <c r="P746" s="8">
        <v>1</v>
      </c>
      <c r="Q746" s="9">
        <v>0</v>
      </c>
      <c r="R746" s="9">
        <v>0</v>
      </c>
      <c r="S746" s="9">
        <v>0</v>
      </c>
      <c r="T746" s="9">
        <v>0</v>
      </c>
      <c r="U746" s="8">
        <v>1800</v>
      </c>
      <c r="V746" s="9">
        <v>2</v>
      </c>
      <c r="W746" s="9">
        <f t="shared" si="211"/>
        <v>1797</v>
      </c>
      <c r="X746" s="9">
        <f t="shared" si="212"/>
        <v>14</v>
      </c>
      <c r="Y746" s="7">
        <v>8.75</v>
      </c>
      <c r="Z746" s="7">
        <f t="shared" si="215"/>
        <v>18.43</v>
      </c>
      <c r="AA746" s="9">
        <v>1</v>
      </c>
      <c r="AB746" s="9">
        <v>0</v>
      </c>
      <c r="AC746" s="9">
        <v>1</v>
      </c>
      <c r="AD746" s="9">
        <v>0</v>
      </c>
      <c r="AE746" s="9">
        <v>0</v>
      </c>
      <c r="AF746" s="9">
        <v>0</v>
      </c>
      <c r="AG746" s="8">
        <v>0</v>
      </c>
      <c r="AH746" s="9">
        <v>0</v>
      </c>
      <c r="AI746" s="30">
        <v>1</v>
      </c>
      <c r="AJ746" s="9">
        <v>1</v>
      </c>
      <c r="AK746" s="30">
        <v>0</v>
      </c>
      <c r="AL746" s="21">
        <v>1960</v>
      </c>
      <c r="AM746" s="23">
        <f t="shared" si="213"/>
        <v>7.5806997522245627</v>
      </c>
      <c r="AN746" s="33">
        <v>0.33</v>
      </c>
      <c r="AO746" s="33">
        <v>0.36</v>
      </c>
      <c r="AP746" s="33">
        <v>0.26</v>
      </c>
      <c r="AQ746" s="43">
        <v>0.05</v>
      </c>
      <c r="AR746" s="42">
        <f t="shared" si="216"/>
        <v>0.97</v>
      </c>
      <c r="AS746" s="18">
        <v>0.03</v>
      </c>
      <c r="AT746">
        <v>1</v>
      </c>
      <c r="AU746" s="40">
        <v>0</v>
      </c>
      <c r="AV746" t="s">
        <v>104</v>
      </c>
      <c r="AW746" s="40" t="s">
        <v>104</v>
      </c>
      <c r="AX746">
        <v>1</v>
      </c>
      <c r="AY746" s="18">
        <v>0</v>
      </c>
      <c r="AZ746">
        <v>0</v>
      </c>
      <c r="BA746" s="18">
        <v>1</v>
      </c>
      <c r="BB746" s="18" t="s">
        <v>491</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20</v>
      </c>
      <c r="DB746" s="34"/>
    </row>
    <row r="747" spans="1:106" x14ac:dyDescent="0.25">
      <c r="A747">
        <v>746</v>
      </c>
      <c r="B747">
        <v>46</v>
      </c>
      <c r="C747" s="25" t="s">
        <v>490</v>
      </c>
      <c r="D747" s="12">
        <v>5.7</v>
      </c>
      <c r="E747" s="14">
        <v>0.7</v>
      </c>
      <c r="F747" s="7">
        <f t="shared" si="214"/>
        <v>8.1428571428571441</v>
      </c>
      <c r="G747" s="7">
        <f t="shared" si="204"/>
        <v>5</v>
      </c>
      <c r="H747" s="16">
        <f t="shared" si="205"/>
        <v>6.4</v>
      </c>
      <c r="I747" s="11">
        <f t="shared" si="206"/>
        <v>0.18904666781928181</v>
      </c>
      <c r="J747" s="33">
        <f t="shared" si="207"/>
        <v>2.3216257451490741E-2</v>
      </c>
      <c r="K747" s="33">
        <f t="shared" si="208"/>
        <v>43.073264590102525</v>
      </c>
      <c r="L747" s="33">
        <f t="shared" si="209"/>
        <v>0.16583041036779106</v>
      </c>
      <c r="M747" s="33">
        <f t="shared" si="210"/>
        <v>0.21226292527077256</v>
      </c>
      <c r="N747" s="8">
        <v>1</v>
      </c>
      <c r="O747" s="9">
        <v>0</v>
      </c>
      <c r="P747" s="8">
        <v>1</v>
      </c>
      <c r="Q747" s="9">
        <v>0</v>
      </c>
      <c r="R747" s="9">
        <v>0</v>
      </c>
      <c r="S747" s="9">
        <v>0</v>
      </c>
      <c r="T747" s="9">
        <v>0</v>
      </c>
      <c r="U747" s="8">
        <v>1800</v>
      </c>
      <c r="V747" s="9">
        <v>10</v>
      </c>
      <c r="W747" s="9">
        <f t="shared" si="211"/>
        <v>1789</v>
      </c>
      <c r="X747" s="9">
        <f t="shared" si="212"/>
        <v>14</v>
      </c>
      <c r="Y747" s="7">
        <v>8.75</v>
      </c>
      <c r="Z747" s="7">
        <f t="shared" si="215"/>
        <v>18.43</v>
      </c>
      <c r="AA747" s="9">
        <v>1</v>
      </c>
      <c r="AB747" s="9">
        <v>0</v>
      </c>
      <c r="AC747" s="9">
        <v>1</v>
      </c>
      <c r="AD747" s="9">
        <v>0</v>
      </c>
      <c r="AE747" s="9">
        <v>0</v>
      </c>
      <c r="AF747" s="9">
        <v>0</v>
      </c>
      <c r="AG747" s="8">
        <v>0</v>
      </c>
      <c r="AH747" s="9">
        <v>0</v>
      </c>
      <c r="AI747" s="30">
        <v>1</v>
      </c>
      <c r="AJ747" s="9">
        <v>1</v>
      </c>
      <c r="AK747" s="30">
        <v>0</v>
      </c>
      <c r="AL747" s="21">
        <v>1960</v>
      </c>
      <c r="AM747" s="23">
        <f t="shared" si="213"/>
        <v>7.5806997522245627</v>
      </c>
      <c r="AN747" s="33">
        <v>0.33</v>
      </c>
      <c r="AO747" s="33">
        <v>0.36</v>
      </c>
      <c r="AP747" s="33">
        <v>0.26</v>
      </c>
      <c r="AQ747" s="43">
        <v>0.05</v>
      </c>
      <c r="AR747" s="42">
        <f t="shared" si="216"/>
        <v>0.97</v>
      </c>
      <c r="AS747" s="18">
        <v>0.03</v>
      </c>
      <c r="AT747">
        <v>1</v>
      </c>
      <c r="AU747" s="40">
        <v>0</v>
      </c>
      <c r="AV747" t="s">
        <v>104</v>
      </c>
      <c r="AW747" s="40" t="s">
        <v>104</v>
      </c>
      <c r="AX747">
        <v>1</v>
      </c>
      <c r="AY747" s="18">
        <v>0</v>
      </c>
      <c r="AZ747">
        <v>0</v>
      </c>
      <c r="BA747" s="18">
        <v>1</v>
      </c>
      <c r="BB747" s="18" t="s">
        <v>491</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20</v>
      </c>
      <c r="DB747" s="34"/>
    </row>
    <row r="748" spans="1:106" s="148" customFormat="1" x14ac:dyDescent="0.25">
      <c r="A748" s="148">
        <v>747</v>
      </c>
      <c r="B748" s="148">
        <v>46</v>
      </c>
      <c r="C748" s="149" t="s">
        <v>490</v>
      </c>
      <c r="D748" s="150">
        <v>4.3</v>
      </c>
      <c r="E748" s="151">
        <v>0.8</v>
      </c>
      <c r="F748" s="152">
        <f t="shared" si="214"/>
        <v>5.3749999999999991</v>
      </c>
      <c r="G748" s="152">
        <f t="shared" si="204"/>
        <v>3.5</v>
      </c>
      <c r="H748" s="153">
        <f t="shared" si="205"/>
        <v>5.0999999999999996</v>
      </c>
      <c r="I748" s="154">
        <f t="shared" si="206"/>
        <v>0.12606501899983297</v>
      </c>
      <c r="J748" s="155">
        <f t="shared" si="207"/>
        <v>2.3453957023224743E-2</v>
      </c>
      <c r="K748" s="155">
        <f t="shared" si="208"/>
        <v>42.636728591673162</v>
      </c>
      <c r="L748" s="155">
        <f t="shared" si="209"/>
        <v>0.10261106197660823</v>
      </c>
      <c r="M748" s="155">
        <f t="shared" si="210"/>
        <v>0.14951897602305772</v>
      </c>
      <c r="N748" s="156">
        <v>1</v>
      </c>
      <c r="O748" s="157">
        <v>0</v>
      </c>
      <c r="P748" s="156">
        <v>1</v>
      </c>
      <c r="Q748" s="157">
        <v>0</v>
      </c>
      <c r="R748" s="157">
        <v>0</v>
      </c>
      <c r="S748" s="157">
        <v>0</v>
      </c>
      <c r="T748" s="157">
        <v>0</v>
      </c>
      <c r="U748" s="156">
        <v>1800</v>
      </c>
      <c r="V748" s="157">
        <v>10</v>
      </c>
      <c r="W748" s="157">
        <f t="shared" si="211"/>
        <v>1789</v>
      </c>
      <c r="X748" s="157">
        <f t="shared" si="212"/>
        <v>14</v>
      </c>
      <c r="Y748" s="152">
        <v>8.75</v>
      </c>
      <c r="Z748" s="152">
        <f t="shared" si="215"/>
        <v>18.43</v>
      </c>
      <c r="AA748" s="157">
        <v>1</v>
      </c>
      <c r="AB748" s="157">
        <v>0</v>
      </c>
      <c r="AC748" s="157">
        <v>1</v>
      </c>
      <c r="AD748" s="157">
        <v>0</v>
      </c>
      <c r="AE748" s="157">
        <v>0</v>
      </c>
      <c r="AF748" s="157">
        <v>0</v>
      </c>
      <c r="AG748" s="156">
        <v>0</v>
      </c>
      <c r="AH748" s="157">
        <v>0</v>
      </c>
      <c r="AI748" s="158">
        <v>1</v>
      </c>
      <c r="AJ748" s="157">
        <v>1</v>
      </c>
      <c r="AK748" s="158">
        <v>0</v>
      </c>
      <c r="AL748" s="159">
        <v>1960</v>
      </c>
      <c r="AM748" s="160">
        <f t="shared" si="213"/>
        <v>7.5806997522245627</v>
      </c>
      <c r="AN748" s="33">
        <v>0.33</v>
      </c>
      <c r="AO748" s="33">
        <v>0.36</v>
      </c>
      <c r="AP748" s="33">
        <v>0.26</v>
      </c>
      <c r="AQ748" s="43">
        <v>0.05</v>
      </c>
      <c r="AR748" s="162">
        <f t="shared" si="216"/>
        <v>0.97</v>
      </c>
      <c r="AS748" s="163">
        <v>0.03</v>
      </c>
      <c r="AT748" s="148">
        <v>1</v>
      </c>
      <c r="AU748" s="164">
        <v>0</v>
      </c>
      <c r="AV748" s="148" t="s">
        <v>104</v>
      </c>
      <c r="AW748" s="164" t="s">
        <v>104</v>
      </c>
      <c r="AX748">
        <v>1</v>
      </c>
      <c r="AY748" s="163">
        <v>0</v>
      </c>
      <c r="AZ748" s="148">
        <v>0</v>
      </c>
      <c r="BA748" s="163">
        <v>1</v>
      </c>
      <c r="BB748" s="163" t="s">
        <v>491</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20</v>
      </c>
      <c r="CW748" s="165"/>
      <c r="DB748" s="165"/>
    </row>
    <row r="749" spans="1:106" x14ac:dyDescent="0.25">
      <c r="A749">
        <v>748</v>
      </c>
      <c r="B749">
        <v>47</v>
      </c>
      <c r="C749" s="25" t="s">
        <v>492</v>
      </c>
      <c r="D749" s="12">
        <v>18.399999999999999</v>
      </c>
      <c r="E749" s="14">
        <v>0.4</v>
      </c>
      <c r="F749" s="7">
        <f t="shared" si="214"/>
        <v>45.999999999999993</v>
      </c>
      <c r="G749" s="7">
        <f t="shared" si="204"/>
        <v>18</v>
      </c>
      <c r="H749" s="16">
        <f t="shared" si="205"/>
        <v>18.799999999999997</v>
      </c>
      <c r="I749" s="11">
        <f t="shared" si="206"/>
        <v>0.56442779993810444</v>
      </c>
      <c r="J749" s="33">
        <f t="shared" si="207"/>
        <v>1.2270169563871839E-2</v>
      </c>
      <c r="K749" s="33">
        <f t="shared" si="208"/>
        <v>81.498466243236749</v>
      </c>
      <c r="L749" s="33">
        <f t="shared" si="209"/>
        <v>0.5521576303742326</v>
      </c>
      <c r="M749" s="33">
        <f t="shared" si="210"/>
        <v>0.57669796950197627</v>
      </c>
      <c r="N749" s="8">
        <v>0</v>
      </c>
      <c r="O749" s="9">
        <v>1</v>
      </c>
      <c r="P749" s="8">
        <v>0</v>
      </c>
      <c r="Q749" s="9">
        <v>0</v>
      </c>
      <c r="R749" s="9">
        <v>1</v>
      </c>
      <c r="S749" s="9">
        <v>0</v>
      </c>
      <c r="T749" s="9">
        <v>0</v>
      </c>
      <c r="U749" s="8">
        <v>4530</v>
      </c>
      <c r="V749" s="9">
        <v>3</v>
      </c>
      <c r="W749" s="9">
        <f t="shared" si="211"/>
        <v>4526</v>
      </c>
      <c r="X749" s="9">
        <f t="shared" si="212"/>
        <v>9</v>
      </c>
      <c r="Y749" s="7">
        <f t="shared" ref="Y749:Y757" si="217">(0*AN749+9*AO749+15*AP749+18*AQ749)</f>
        <v>10.29</v>
      </c>
      <c r="Z749" s="7">
        <f t="shared" ref="Z749:Z757" si="218">BN749-Y749-6</f>
        <v>23.21</v>
      </c>
      <c r="AA749" s="9">
        <v>1</v>
      </c>
      <c r="AB749" s="9">
        <v>0</v>
      </c>
      <c r="AC749" s="9">
        <v>0</v>
      </c>
      <c r="AD749" s="9">
        <v>0</v>
      </c>
      <c r="AE749" s="9">
        <v>1</v>
      </c>
      <c r="AF749" s="9">
        <v>0</v>
      </c>
      <c r="AG749" s="8">
        <v>0</v>
      </c>
      <c r="AH749" s="9">
        <v>0</v>
      </c>
      <c r="AI749" s="30">
        <v>1</v>
      </c>
      <c r="AJ749" s="9">
        <v>0</v>
      </c>
      <c r="AK749" s="30">
        <v>1</v>
      </c>
      <c r="AL749" s="21">
        <v>2001</v>
      </c>
      <c r="AM749" s="23">
        <f t="shared" si="213"/>
        <v>7.6014023345837334</v>
      </c>
      <c r="AN749" s="33">
        <v>0</v>
      </c>
      <c r="AO749" s="33">
        <v>0.79</v>
      </c>
      <c r="AP749" s="33">
        <v>0.2</v>
      </c>
      <c r="AQ749" s="43">
        <v>0.01</v>
      </c>
      <c r="AR749" s="42" t="s">
        <v>104</v>
      </c>
      <c r="AS749" s="18" t="s">
        <v>104</v>
      </c>
      <c r="AT749" s="39">
        <f t="shared" ref="AT749:AT757" si="219">1-AU749</f>
        <v>0.61</v>
      </c>
      <c r="AU749" s="40">
        <v>0.39</v>
      </c>
      <c r="AV749" s="39">
        <f t="shared" ref="AV749:AV757" si="220">1-AW749</f>
        <v>0.78800000000000003</v>
      </c>
      <c r="AW749" s="40">
        <v>0.21199999999999999</v>
      </c>
      <c r="AX749">
        <v>0</v>
      </c>
      <c r="AY749" s="18">
        <v>1</v>
      </c>
      <c r="AZ749">
        <v>0.36820000000000003</v>
      </c>
      <c r="BA749" s="18">
        <f t="shared" ref="BA749:BA757" si="221">1-AZ749</f>
        <v>0.63179999999999992</v>
      </c>
      <c r="BB749" s="18" t="s">
        <v>493</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0.14599999999999999</v>
      </c>
      <c r="CS749">
        <v>1</v>
      </c>
      <c r="CT749">
        <v>1</v>
      </c>
      <c r="CU749">
        <v>0</v>
      </c>
      <c r="CV749">
        <v>24</v>
      </c>
      <c r="DB749" s="34"/>
    </row>
    <row r="750" spans="1:106" x14ac:dyDescent="0.25">
      <c r="A750">
        <v>749</v>
      </c>
      <c r="B750">
        <v>47</v>
      </c>
      <c r="C750" s="25" t="s">
        <v>492</v>
      </c>
      <c r="D750" s="12">
        <v>16</v>
      </c>
      <c r="E750" s="14">
        <v>0.4</v>
      </c>
      <c r="F750" s="7">
        <f t="shared" si="214"/>
        <v>40</v>
      </c>
      <c r="G750" s="7">
        <f t="shared" si="204"/>
        <v>15.6</v>
      </c>
      <c r="H750" s="16">
        <f t="shared" si="205"/>
        <v>16.399999999999999</v>
      </c>
      <c r="I750" s="11">
        <f t="shared" si="206"/>
        <v>0.36366641995444088</v>
      </c>
      <c r="J750" s="33">
        <f t="shared" si="207"/>
        <v>9.0916604988610216E-3</v>
      </c>
      <c r="K750" s="33">
        <f t="shared" si="208"/>
        <v>109.99090871522064</v>
      </c>
      <c r="L750" s="33">
        <f t="shared" si="209"/>
        <v>0.35457475945557987</v>
      </c>
      <c r="M750" s="33">
        <f t="shared" si="210"/>
        <v>0.37275808045330189</v>
      </c>
      <c r="N750" s="8">
        <v>0</v>
      </c>
      <c r="O750" s="9">
        <v>1</v>
      </c>
      <c r="P750" s="8">
        <v>0</v>
      </c>
      <c r="Q750" s="9">
        <v>0</v>
      </c>
      <c r="R750" s="9">
        <v>1</v>
      </c>
      <c r="S750" s="9">
        <v>0</v>
      </c>
      <c r="T750" s="9">
        <v>0</v>
      </c>
      <c r="U750" s="8">
        <v>10502</v>
      </c>
      <c r="V750" s="9">
        <v>3</v>
      </c>
      <c r="W750" s="9">
        <f t="shared" si="211"/>
        <v>10498</v>
      </c>
      <c r="X750" s="9">
        <f t="shared" si="212"/>
        <v>9</v>
      </c>
      <c r="Y750" s="7">
        <f t="shared" si="217"/>
        <v>10.079999999999998</v>
      </c>
      <c r="Z750" s="7">
        <f t="shared" si="218"/>
        <v>23.42</v>
      </c>
      <c r="AA750" s="9">
        <v>1</v>
      </c>
      <c r="AB750" s="9">
        <v>0</v>
      </c>
      <c r="AC750" s="9">
        <v>0</v>
      </c>
      <c r="AD750" s="9">
        <v>0</v>
      </c>
      <c r="AE750" s="9">
        <v>1</v>
      </c>
      <c r="AF750" s="9">
        <v>0</v>
      </c>
      <c r="AG750" s="8">
        <v>0</v>
      </c>
      <c r="AH750" s="9">
        <v>0</v>
      </c>
      <c r="AI750" s="30">
        <v>1</v>
      </c>
      <c r="AJ750" s="9">
        <v>0</v>
      </c>
      <c r="AK750" s="30">
        <v>1</v>
      </c>
      <c r="AL750" s="21">
        <v>2006</v>
      </c>
      <c r="AM750" s="23">
        <f t="shared" si="213"/>
        <v>7.6038979685218813</v>
      </c>
      <c r="AN750" s="33">
        <v>0</v>
      </c>
      <c r="AO750" s="33">
        <v>0.83</v>
      </c>
      <c r="AP750" s="33">
        <v>0.15</v>
      </c>
      <c r="AQ750" s="43">
        <v>0.02</v>
      </c>
      <c r="AR750" s="42" t="s">
        <v>104</v>
      </c>
      <c r="AS750" s="18" t="s">
        <v>104</v>
      </c>
      <c r="AT750" s="39">
        <f t="shared" si="219"/>
        <v>0.62</v>
      </c>
      <c r="AU750" s="40">
        <v>0.38</v>
      </c>
      <c r="AV750" s="39">
        <f t="shared" si="220"/>
        <v>0.80259999999999998</v>
      </c>
      <c r="AW750" s="40">
        <v>0.19739999999999999</v>
      </c>
      <c r="AX750">
        <v>0</v>
      </c>
      <c r="AY750" s="18">
        <v>1</v>
      </c>
      <c r="AZ750">
        <v>0.39300000000000002</v>
      </c>
      <c r="BA750" s="18">
        <f t="shared" si="221"/>
        <v>0.60699999999999998</v>
      </c>
      <c r="BB750" s="18" t="s">
        <v>493</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0.14599999999999999</v>
      </c>
      <c r="CS750">
        <v>1</v>
      </c>
      <c r="CT750">
        <v>1</v>
      </c>
      <c r="CU750">
        <v>0</v>
      </c>
      <c r="CV750">
        <v>24</v>
      </c>
      <c r="DB750" s="34"/>
    </row>
    <row r="751" spans="1:106" x14ac:dyDescent="0.25">
      <c r="A751">
        <v>750</v>
      </c>
      <c r="B751">
        <v>47</v>
      </c>
      <c r="C751" s="25" t="s">
        <v>492</v>
      </c>
      <c r="D751" s="12">
        <v>16.399999999999999</v>
      </c>
      <c r="E751" s="14">
        <v>0.4</v>
      </c>
      <c r="F751" s="7">
        <f t="shared" si="214"/>
        <v>40.999999999999993</v>
      </c>
      <c r="G751" s="7">
        <f t="shared" si="204"/>
        <v>15.999999999999998</v>
      </c>
      <c r="H751" s="16">
        <f t="shared" si="205"/>
        <v>16.799999999999997</v>
      </c>
      <c r="I751" s="11">
        <f t="shared" si="206"/>
        <v>0.32424493852851566</v>
      </c>
      <c r="J751" s="33">
        <f t="shared" si="207"/>
        <v>7.9084131348418473E-3</v>
      </c>
      <c r="K751" s="33">
        <f t="shared" si="208"/>
        <v>126.44761761298628</v>
      </c>
      <c r="L751" s="33">
        <f t="shared" si="209"/>
        <v>0.3163365253936738</v>
      </c>
      <c r="M751" s="33">
        <f t="shared" si="210"/>
        <v>0.33215335166335752</v>
      </c>
      <c r="N751" s="8">
        <v>0</v>
      </c>
      <c r="O751" s="9">
        <v>1</v>
      </c>
      <c r="P751" s="8">
        <v>0</v>
      </c>
      <c r="Q751" s="9">
        <v>0</v>
      </c>
      <c r="R751" s="9">
        <v>1</v>
      </c>
      <c r="S751" s="9">
        <v>0</v>
      </c>
      <c r="T751" s="9">
        <v>0</v>
      </c>
      <c r="U751" s="8">
        <v>14312</v>
      </c>
      <c r="V751" s="9">
        <v>3</v>
      </c>
      <c r="W751" s="9">
        <f t="shared" si="211"/>
        <v>14308</v>
      </c>
      <c r="X751" s="9">
        <f t="shared" si="212"/>
        <v>9</v>
      </c>
      <c r="Y751" s="7">
        <f t="shared" si="217"/>
        <v>11.01</v>
      </c>
      <c r="Z751" s="7">
        <f t="shared" si="218"/>
        <v>22.490000000000002</v>
      </c>
      <c r="AA751" s="9">
        <v>1</v>
      </c>
      <c r="AB751" s="9">
        <v>0</v>
      </c>
      <c r="AC751" s="9">
        <v>0</v>
      </c>
      <c r="AD751" s="9">
        <v>0</v>
      </c>
      <c r="AE751" s="9">
        <v>1</v>
      </c>
      <c r="AF751" s="9">
        <v>0</v>
      </c>
      <c r="AG751" s="8">
        <v>0</v>
      </c>
      <c r="AH751" s="9">
        <v>0</v>
      </c>
      <c r="AI751" s="30">
        <v>1</v>
      </c>
      <c r="AJ751" s="9">
        <v>0</v>
      </c>
      <c r="AK751" s="30">
        <v>1</v>
      </c>
      <c r="AL751" s="21">
        <v>2014</v>
      </c>
      <c r="AM751" s="23">
        <f t="shared" si="213"/>
        <v>7.6078780732785072</v>
      </c>
      <c r="AN751" s="33">
        <v>0</v>
      </c>
      <c r="AO751" s="33">
        <v>0.7</v>
      </c>
      <c r="AP751" s="33">
        <v>0.23</v>
      </c>
      <c r="AQ751" s="43">
        <v>7.0000000000000007E-2</v>
      </c>
      <c r="AR751" s="42" t="s">
        <v>104</v>
      </c>
      <c r="AS751" s="18" t="s">
        <v>104</v>
      </c>
      <c r="AT751" s="39">
        <f t="shared" si="219"/>
        <v>0.59000000000000008</v>
      </c>
      <c r="AU751" s="40">
        <v>0.41</v>
      </c>
      <c r="AV751" s="39">
        <f t="shared" si="220"/>
        <v>0.79889999999999994</v>
      </c>
      <c r="AW751" s="40">
        <v>0.2011</v>
      </c>
      <c r="AX751">
        <v>0</v>
      </c>
      <c r="AY751" s="18">
        <v>1</v>
      </c>
      <c r="AZ751">
        <v>0.1943</v>
      </c>
      <c r="BA751" s="18">
        <f t="shared" si="221"/>
        <v>0.80569999999999997</v>
      </c>
      <c r="BB751" s="18" t="s">
        <v>493</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0.14599999999999999</v>
      </c>
      <c r="CS751">
        <v>1</v>
      </c>
      <c r="CT751">
        <v>1</v>
      </c>
      <c r="CU751">
        <v>0</v>
      </c>
      <c r="CV751">
        <v>24</v>
      </c>
      <c r="DB751" s="34"/>
    </row>
    <row r="752" spans="1:106" x14ac:dyDescent="0.25">
      <c r="A752">
        <v>751</v>
      </c>
      <c r="B752">
        <v>47</v>
      </c>
      <c r="C752" s="25" t="s">
        <v>492</v>
      </c>
      <c r="D752" s="12">
        <v>9.6</v>
      </c>
      <c r="E752" s="14">
        <v>0.4</v>
      </c>
      <c r="F752" s="7">
        <f t="shared" si="214"/>
        <v>23.999999999999996</v>
      </c>
      <c r="G752" s="7">
        <f t="shared" si="204"/>
        <v>9.1999999999999993</v>
      </c>
      <c r="H752" s="16">
        <f t="shared" si="205"/>
        <v>10</v>
      </c>
      <c r="I752" s="11">
        <f t="shared" si="206"/>
        <v>0.26153475390982339</v>
      </c>
      <c r="J752" s="33">
        <f t="shared" si="207"/>
        <v>1.0897281412909309E-2</v>
      </c>
      <c r="K752" s="33">
        <f t="shared" si="208"/>
        <v>91.766006778109286</v>
      </c>
      <c r="L752" s="33">
        <f t="shared" si="209"/>
        <v>0.25063747249691409</v>
      </c>
      <c r="M752" s="33">
        <f t="shared" si="210"/>
        <v>0.27243203532273269</v>
      </c>
      <c r="N752" s="8">
        <v>0</v>
      </c>
      <c r="O752" s="9">
        <v>1</v>
      </c>
      <c r="P752" s="8">
        <v>0</v>
      </c>
      <c r="Q752" s="9">
        <v>0</v>
      </c>
      <c r="R752" s="9">
        <v>1</v>
      </c>
      <c r="S752" s="9">
        <v>0</v>
      </c>
      <c r="T752" s="9">
        <v>0</v>
      </c>
      <c r="U752" s="8">
        <v>7860</v>
      </c>
      <c r="V752" s="9">
        <v>14</v>
      </c>
      <c r="W752" s="9">
        <f t="shared" si="211"/>
        <v>7845</v>
      </c>
      <c r="X752" s="9">
        <f t="shared" si="212"/>
        <v>9</v>
      </c>
      <c r="Y752" s="7">
        <f t="shared" si="217"/>
        <v>10.29</v>
      </c>
      <c r="Z752" s="7">
        <f t="shared" si="218"/>
        <v>23.21</v>
      </c>
      <c r="AA752" s="9">
        <v>1</v>
      </c>
      <c r="AB752" s="9">
        <v>0</v>
      </c>
      <c r="AC752" s="9">
        <v>0</v>
      </c>
      <c r="AD752" s="9">
        <v>0</v>
      </c>
      <c r="AE752" s="9">
        <v>1</v>
      </c>
      <c r="AF752" s="9">
        <v>0</v>
      </c>
      <c r="AG752" s="8">
        <v>0</v>
      </c>
      <c r="AH752" s="9">
        <v>0</v>
      </c>
      <c r="AI752" s="30">
        <v>1</v>
      </c>
      <c r="AJ752" s="9">
        <v>0</v>
      </c>
      <c r="AK752" s="30">
        <v>1</v>
      </c>
      <c r="AL752" s="21">
        <v>2001</v>
      </c>
      <c r="AM752" s="23">
        <f t="shared" si="213"/>
        <v>7.6014023345837334</v>
      </c>
      <c r="AN752" s="33">
        <v>0</v>
      </c>
      <c r="AO752" s="33">
        <v>0.79</v>
      </c>
      <c r="AP752" s="33">
        <v>0.2</v>
      </c>
      <c r="AQ752" s="43">
        <v>0.01</v>
      </c>
      <c r="AR752" s="42" t="s">
        <v>104</v>
      </c>
      <c r="AS752" s="18" t="s">
        <v>104</v>
      </c>
      <c r="AT752" s="39">
        <f t="shared" si="219"/>
        <v>0.61</v>
      </c>
      <c r="AU752" s="40">
        <v>0.39</v>
      </c>
      <c r="AV752" s="39">
        <f t="shared" si="220"/>
        <v>0.78800000000000003</v>
      </c>
      <c r="AW752" s="40">
        <v>0.21199999999999999</v>
      </c>
      <c r="AX752">
        <v>0</v>
      </c>
      <c r="AY752" s="18">
        <v>1</v>
      </c>
      <c r="AZ752">
        <v>0.36820000000000003</v>
      </c>
      <c r="BA752" s="18">
        <f t="shared" si="221"/>
        <v>0.63179999999999992</v>
      </c>
      <c r="BB752" s="18" t="s">
        <v>493</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0.14599999999999999</v>
      </c>
      <c r="CS752">
        <v>1</v>
      </c>
      <c r="CT752">
        <v>1</v>
      </c>
      <c r="CU752">
        <v>0</v>
      </c>
      <c r="CV752">
        <v>24</v>
      </c>
      <c r="DB752" s="34"/>
    </row>
    <row r="753" spans="1:106" x14ac:dyDescent="0.25">
      <c r="A753">
        <v>752</v>
      </c>
      <c r="B753">
        <v>47</v>
      </c>
      <c r="C753" s="25" t="s">
        <v>492</v>
      </c>
      <c r="D753" s="12">
        <v>8.9</v>
      </c>
      <c r="E753" s="14">
        <v>0.4</v>
      </c>
      <c r="F753" s="7">
        <f t="shared" si="214"/>
        <v>22.25</v>
      </c>
      <c r="G753" s="7">
        <f t="shared" si="204"/>
        <v>8.5</v>
      </c>
      <c r="H753" s="16">
        <f t="shared" si="205"/>
        <v>9.3000000000000007</v>
      </c>
      <c r="I753" s="11">
        <f t="shared" si="206"/>
        <v>0.21231860878491449</v>
      </c>
      <c r="J753" s="33">
        <f t="shared" si="207"/>
        <v>9.5424093835916619E-3</v>
      </c>
      <c r="K753" s="33">
        <f t="shared" si="208"/>
        <v>104.79533625119011</v>
      </c>
      <c r="L753" s="33">
        <f t="shared" si="209"/>
        <v>0.20277619940132283</v>
      </c>
      <c r="M753" s="33">
        <f t="shared" si="210"/>
        <v>0.22186101816850615</v>
      </c>
      <c r="N753" s="8">
        <v>0</v>
      </c>
      <c r="O753" s="9">
        <v>1</v>
      </c>
      <c r="P753" s="8">
        <v>0</v>
      </c>
      <c r="Q753" s="9">
        <v>0</v>
      </c>
      <c r="R753" s="9">
        <v>1</v>
      </c>
      <c r="S753" s="9">
        <v>0</v>
      </c>
      <c r="T753" s="9">
        <v>0</v>
      </c>
      <c r="U753" s="8">
        <v>10502</v>
      </c>
      <c r="V753" s="9">
        <v>14</v>
      </c>
      <c r="W753" s="9">
        <f t="shared" si="211"/>
        <v>10487</v>
      </c>
      <c r="X753" s="9">
        <f t="shared" si="212"/>
        <v>9</v>
      </c>
      <c r="Y753" s="7">
        <f t="shared" si="217"/>
        <v>10.079999999999998</v>
      </c>
      <c r="Z753" s="7">
        <f t="shared" si="218"/>
        <v>23.42</v>
      </c>
      <c r="AA753" s="9">
        <v>1</v>
      </c>
      <c r="AB753" s="9">
        <v>0</v>
      </c>
      <c r="AC753" s="9">
        <v>0</v>
      </c>
      <c r="AD753" s="9">
        <v>0</v>
      </c>
      <c r="AE753" s="9">
        <v>1</v>
      </c>
      <c r="AF753" s="9">
        <v>0</v>
      </c>
      <c r="AG753" s="8">
        <v>0</v>
      </c>
      <c r="AH753" s="9">
        <v>0</v>
      </c>
      <c r="AI753" s="30">
        <v>1</v>
      </c>
      <c r="AJ753" s="9">
        <v>0</v>
      </c>
      <c r="AK753" s="30">
        <v>1</v>
      </c>
      <c r="AL753" s="21">
        <v>2006</v>
      </c>
      <c r="AM753" s="23">
        <f t="shared" si="213"/>
        <v>7.6038979685218813</v>
      </c>
      <c r="AN753" s="33">
        <v>0</v>
      </c>
      <c r="AO753" s="33">
        <v>0.83</v>
      </c>
      <c r="AP753" s="33">
        <v>0.15</v>
      </c>
      <c r="AQ753" s="43">
        <v>0.02</v>
      </c>
      <c r="AR753" s="42" t="s">
        <v>104</v>
      </c>
      <c r="AS753" s="18" t="s">
        <v>104</v>
      </c>
      <c r="AT753" s="39">
        <f t="shared" si="219"/>
        <v>0.62</v>
      </c>
      <c r="AU753" s="40">
        <v>0.38</v>
      </c>
      <c r="AV753" s="39">
        <f t="shared" si="220"/>
        <v>0.80259999999999998</v>
      </c>
      <c r="AW753" s="40">
        <v>0.19739999999999999</v>
      </c>
      <c r="AX753">
        <v>0</v>
      </c>
      <c r="AY753" s="18">
        <v>1</v>
      </c>
      <c r="AZ753">
        <v>0.39300000000000002</v>
      </c>
      <c r="BA753" s="18">
        <f t="shared" si="221"/>
        <v>0.60699999999999998</v>
      </c>
      <c r="BB753" s="18" t="s">
        <v>493</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0.14599999999999999</v>
      </c>
      <c r="CS753">
        <v>1</v>
      </c>
      <c r="CT753">
        <v>1</v>
      </c>
      <c r="CU753">
        <v>0</v>
      </c>
      <c r="CV753">
        <v>24</v>
      </c>
      <c r="DB753" s="34"/>
    </row>
    <row r="754" spans="1:106" x14ac:dyDescent="0.25">
      <c r="A754">
        <v>753</v>
      </c>
      <c r="B754">
        <v>47</v>
      </c>
      <c r="C754" s="25" t="s">
        <v>492</v>
      </c>
      <c r="D754" s="12">
        <v>10.8</v>
      </c>
      <c r="E754" s="14">
        <v>0.3</v>
      </c>
      <c r="F754" s="7">
        <f t="shared" si="214"/>
        <v>36.000000000000007</v>
      </c>
      <c r="G754" s="7">
        <f t="shared" si="204"/>
        <v>10.5</v>
      </c>
      <c r="H754" s="16">
        <f t="shared" si="205"/>
        <v>11.100000000000001</v>
      </c>
      <c r="I754" s="11">
        <f t="shared" si="206"/>
        <v>0.28829536575931408</v>
      </c>
      <c r="J754" s="33">
        <f t="shared" si="207"/>
        <v>8.0082046044253896E-3</v>
      </c>
      <c r="K754" s="33">
        <f t="shared" si="208"/>
        <v>124.87193439680513</v>
      </c>
      <c r="L754" s="33">
        <f t="shared" si="209"/>
        <v>0.28028716115488872</v>
      </c>
      <c r="M754" s="33">
        <f t="shared" si="210"/>
        <v>0.29630357036373944</v>
      </c>
      <c r="N754" s="8">
        <v>0</v>
      </c>
      <c r="O754" s="9">
        <v>1</v>
      </c>
      <c r="P754" s="8">
        <v>0</v>
      </c>
      <c r="Q754" s="9">
        <v>0</v>
      </c>
      <c r="R754" s="9">
        <v>1</v>
      </c>
      <c r="S754" s="9">
        <v>0</v>
      </c>
      <c r="T754" s="9">
        <v>0</v>
      </c>
      <c r="U754" s="8">
        <v>14312</v>
      </c>
      <c r="V754" s="9">
        <v>14</v>
      </c>
      <c r="W754" s="9">
        <f t="shared" si="211"/>
        <v>14297</v>
      </c>
      <c r="X754" s="9">
        <f t="shared" si="212"/>
        <v>9</v>
      </c>
      <c r="Y754" s="7">
        <f t="shared" si="217"/>
        <v>11.01</v>
      </c>
      <c r="Z754" s="7">
        <f t="shared" si="218"/>
        <v>22.490000000000002</v>
      </c>
      <c r="AA754" s="9">
        <v>1</v>
      </c>
      <c r="AB754" s="9">
        <v>0</v>
      </c>
      <c r="AC754" s="9">
        <v>0</v>
      </c>
      <c r="AD754" s="9">
        <v>0</v>
      </c>
      <c r="AE754" s="9">
        <v>1</v>
      </c>
      <c r="AF754" s="9">
        <v>0</v>
      </c>
      <c r="AG754" s="8">
        <v>0</v>
      </c>
      <c r="AH754" s="9">
        <v>0</v>
      </c>
      <c r="AI754" s="30">
        <v>1</v>
      </c>
      <c r="AJ754" s="9">
        <v>0</v>
      </c>
      <c r="AK754" s="30">
        <v>1</v>
      </c>
      <c r="AL754" s="21">
        <v>2014</v>
      </c>
      <c r="AM754" s="23">
        <f t="shared" si="213"/>
        <v>7.6078780732785072</v>
      </c>
      <c r="AN754" s="33">
        <v>0</v>
      </c>
      <c r="AO754" s="33">
        <v>0.7</v>
      </c>
      <c r="AP754" s="33">
        <v>0.23</v>
      </c>
      <c r="AQ754" s="43">
        <v>7.0000000000000007E-2</v>
      </c>
      <c r="AR754" s="42" t="s">
        <v>104</v>
      </c>
      <c r="AS754" s="18" t="s">
        <v>104</v>
      </c>
      <c r="AT754" s="39">
        <f t="shared" si="219"/>
        <v>0.59000000000000008</v>
      </c>
      <c r="AU754" s="40">
        <v>0.41</v>
      </c>
      <c r="AV754" s="39">
        <f t="shared" si="220"/>
        <v>0.79889999999999994</v>
      </c>
      <c r="AW754" s="40">
        <v>0.2011</v>
      </c>
      <c r="AX754">
        <v>0</v>
      </c>
      <c r="AY754" s="18">
        <v>1</v>
      </c>
      <c r="AZ754">
        <v>0.1943</v>
      </c>
      <c r="BA754" s="18">
        <f t="shared" si="221"/>
        <v>0.80569999999999997</v>
      </c>
      <c r="BB754" s="18" t="s">
        <v>493</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0.14599999999999999</v>
      </c>
      <c r="CS754">
        <v>1</v>
      </c>
      <c r="CT754">
        <v>1</v>
      </c>
      <c r="CU754">
        <v>0</v>
      </c>
      <c r="CV754">
        <v>24</v>
      </c>
      <c r="DB754" s="34"/>
    </row>
    <row r="755" spans="1:106" x14ac:dyDescent="0.25">
      <c r="A755">
        <v>754</v>
      </c>
      <c r="B755">
        <v>47</v>
      </c>
      <c r="C755" s="25" t="s">
        <v>492</v>
      </c>
      <c r="D755" s="12">
        <v>10.8</v>
      </c>
      <c r="E755" s="14">
        <v>0.7</v>
      </c>
      <c r="F755" s="7">
        <f t="shared" si="214"/>
        <v>15.428571428571431</v>
      </c>
      <c r="G755" s="7">
        <f t="shared" si="204"/>
        <v>10.100000000000001</v>
      </c>
      <c r="H755" s="16">
        <f t="shared" si="205"/>
        <v>11.5</v>
      </c>
      <c r="I755" s="11">
        <f t="shared" si="206"/>
        <v>0.17160831599091331</v>
      </c>
      <c r="J755" s="33">
        <f t="shared" si="207"/>
        <v>1.1122761221633269E-2</v>
      </c>
      <c r="K755" s="33">
        <f t="shared" si="208"/>
        <v>89.905732944715666</v>
      </c>
      <c r="L755" s="33">
        <f t="shared" si="209"/>
        <v>0.16048555476928003</v>
      </c>
      <c r="M755" s="33">
        <f t="shared" si="210"/>
        <v>0.18273107721254658</v>
      </c>
      <c r="N755" s="8">
        <v>0</v>
      </c>
      <c r="O755" s="9">
        <v>1</v>
      </c>
      <c r="P755" s="8">
        <v>0</v>
      </c>
      <c r="Q755" s="9">
        <v>0</v>
      </c>
      <c r="R755" s="9">
        <v>1</v>
      </c>
      <c r="S755" s="9">
        <v>0</v>
      </c>
      <c r="T755" s="9">
        <v>0</v>
      </c>
      <c r="U755" s="8">
        <v>7860</v>
      </c>
      <c r="V755" s="9">
        <v>14</v>
      </c>
      <c r="W755" s="9">
        <f t="shared" si="211"/>
        <v>7845</v>
      </c>
      <c r="X755" s="9">
        <f t="shared" si="212"/>
        <v>9</v>
      </c>
      <c r="Y755" s="7">
        <f t="shared" si="217"/>
        <v>10.29</v>
      </c>
      <c r="Z755" s="7">
        <f t="shared" si="218"/>
        <v>23.21</v>
      </c>
      <c r="AA755" s="9">
        <v>1</v>
      </c>
      <c r="AB755" s="9">
        <v>0</v>
      </c>
      <c r="AC755" s="9">
        <v>0</v>
      </c>
      <c r="AD755" s="9">
        <v>0</v>
      </c>
      <c r="AE755" s="9">
        <v>1</v>
      </c>
      <c r="AF755" s="9">
        <v>0</v>
      </c>
      <c r="AG755" s="8">
        <v>0</v>
      </c>
      <c r="AH755" s="9">
        <v>0</v>
      </c>
      <c r="AI755" s="30">
        <v>1</v>
      </c>
      <c r="AJ755" s="9">
        <v>0</v>
      </c>
      <c r="AK755" s="30">
        <v>1</v>
      </c>
      <c r="AL755" s="21">
        <v>2001</v>
      </c>
      <c r="AM755" s="23">
        <f t="shared" si="213"/>
        <v>7.6014023345837334</v>
      </c>
      <c r="AN755" s="33">
        <v>0</v>
      </c>
      <c r="AO755" s="33">
        <v>0.79</v>
      </c>
      <c r="AP755" s="33">
        <v>0.2</v>
      </c>
      <c r="AQ755" s="43">
        <v>0.01</v>
      </c>
      <c r="AR755" s="42" t="s">
        <v>104</v>
      </c>
      <c r="AS755" s="18" t="s">
        <v>104</v>
      </c>
      <c r="AT755" s="39">
        <f t="shared" si="219"/>
        <v>0.61</v>
      </c>
      <c r="AU755" s="40">
        <v>0.39</v>
      </c>
      <c r="AV755" s="39">
        <f t="shared" si="220"/>
        <v>0.78800000000000003</v>
      </c>
      <c r="AW755" s="40">
        <v>0.21199999999999999</v>
      </c>
      <c r="AX755">
        <v>0</v>
      </c>
      <c r="AY755" s="18">
        <v>1</v>
      </c>
      <c r="AZ755">
        <v>0.36820000000000003</v>
      </c>
      <c r="BA755" s="18">
        <f t="shared" si="221"/>
        <v>0.63179999999999992</v>
      </c>
      <c r="BB755" s="18" t="s">
        <v>493</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0.14599999999999999</v>
      </c>
      <c r="CS755">
        <v>1</v>
      </c>
      <c r="CT755">
        <v>1</v>
      </c>
      <c r="CU755">
        <v>0</v>
      </c>
      <c r="CV755">
        <v>24</v>
      </c>
      <c r="DB755" s="34"/>
    </row>
    <row r="756" spans="1:106" x14ac:dyDescent="0.25">
      <c r="A756">
        <v>755</v>
      </c>
      <c r="B756">
        <v>47</v>
      </c>
      <c r="C756" s="25" t="s">
        <v>492</v>
      </c>
      <c r="D756" s="12">
        <v>12.3</v>
      </c>
      <c r="E756" s="14">
        <v>1</v>
      </c>
      <c r="F756" s="7">
        <f t="shared" si="214"/>
        <v>12.3</v>
      </c>
      <c r="G756" s="7">
        <f t="shared" si="204"/>
        <v>11.3</v>
      </c>
      <c r="H756" s="16">
        <f t="shared" si="205"/>
        <v>13.3</v>
      </c>
      <c r="I756" s="11">
        <f t="shared" si="206"/>
        <v>0.11925296861604824</v>
      </c>
      <c r="J756" s="33">
        <f t="shared" si="207"/>
        <v>9.6953633021177425E-3</v>
      </c>
      <c r="K756" s="33">
        <f t="shared" si="208"/>
        <v>103.14208646328618</v>
      </c>
      <c r="L756" s="33">
        <f t="shared" si="209"/>
        <v>0.1095576053139305</v>
      </c>
      <c r="M756" s="33">
        <f t="shared" si="210"/>
        <v>0.12894833191816599</v>
      </c>
      <c r="N756" s="8">
        <v>0</v>
      </c>
      <c r="O756" s="9">
        <v>1</v>
      </c>
      <c r="P756" s="8">
        <v>0</v>
      </c>
      <c r="Q756" s="9">
        <v>0</v>
      </c>
      <c r="R756" s="9">
        <v>1</v>
      </c>
      <c r="S756" s="9">
        <v>0</v>
      </c>
      <c r="T756" s="9">
        <v>0</v>
      </c>
      <c r="U756" s="8">
        <v>10502</v>
      </c>
      <c r="V756" s="9">
        <v>14</v>
      </c>
      <c r="W756" s="9">
        <f t="shared" si="211"/>
        <v>10487</v>
      </c>
      <c r="X756" s="9">
        <f t="shared" si="212"/>
        <v>9</v>
      </c>
      <c r="Y756" s="7">
        <f t="shared" si="217"/>
        <v>10.079999999999998</v>
      </c>
      <c r="Z756" s="7">
        <f t="shared" si="218"/>
        <v>23.42</v>
      </c>
      <c r="AA756" s="9">
        <v>1</v>
      </c>
      <c r="AB756" s="9">
        <v>0</v>
      </c>
      <c r="AC756" s="9">
        <v>0</v>
      </c>
      <c r="AD756" s="9">
        <v>0</v>
      </c>
      <c r="AE756" s="9">
        <v>1</v>
      </c>
      <c r="AF756" s="9">
        <v>0</v>
      </c>
      <c r="AG756" s="8">
        <v>0</v>
      </c>
      <c r="AH756" s="9">
        <v>0</v>
      </c>
      <c r="AI756" s="30">
        <v>1</v>
      </c>
      <c r="AJ756" s="9">
        <v>0</v>
      </c>
      <c r="AK756" s="30">
        <v>1</v>
      </c>
      <c r="AL756" s="21">
        <v>2006</v>
      </c>
      <c r="AM756" s="23">
        <f t="shared" si="213"/>
        <v>7.6038979685218813</v>
      </c>
      <c r="AN756" s="33">
        <v>0</v>
      </c>
      <c r="AO756" s="33">
        <v>0.83</v>
      </c>
      <c r="AP756" s="33">
        <v>0.15</v>
      </c>
      <c r="AQ756" s="43">
        <v>0.02</v>
      </c>
      <c r="AR756" s="42" t="s">
        <v>104</v>
      </c>
      <c r="AS756" s="18" t="s">
        <v>104</v>
      </c>
      <c r="AT756" s="39">
        <f t="shared" si="219"/>
        <v>0.62</v>
      </c>
      <c r="AU756" s="40">
        <v>0.38</v>
      </c>
      <c r="AV756" s="39">
        <f t="shared" si="220"/>
        <v>0.80259999999999998</v>
      </c>
      <c r="AW756" s="40">
        <v>0.19739999999999999</v>
      </c>
      <c r="AX756">
        <v>0</v>
      </c>
      <c r="AY756" s="18">
        <v>1</v>
      </c>
      <c r="AZ756">
        <v>0.39300000000000002</v>
      </c>
      <c r="BA756" s="18">
        <f t="shared" si="221"/>
        <v>0.60699999999999998</v>
      </c>
      <c r="BB756" s="18" t="s">
        <v>493</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0.14599999999999999</v>
      </c>
      <c r="CS756">
        <v>1</v>
      </c>
      <c r="CT756">
        <v>1</v>
      </c>
      <c r="CU756">
        <v>0</v>
      </c>
      <c r="CV756">
        <v>24</v>
      </c>
      <c r="DB756" s="34"/>
    </row>
    <row r="757" spans="1:106" s="148" customFormat="1" x14ac:dyDescent="0.25">
      <c r="A757" s="148">
        <v>756</v>
      </c>
      <c r="B757" s="148">
        <v>47</v>
      </c>
      <c r="C757" s="149" t="s">
        <v>492</v>
      </c>
      <c r="D757" s="150">
        <v>17.399999999999999</v>
      </c>
      <c r="E757" s="151">
        <v>1</v>
      </c>
      <c r="F757" s="152">
        <f t="shared" si="214"/>
        <v>17.399999999999999</v>
      </c>
      <c r="G757" s="152">
        <f t="shared" si="204"/>
        <v>16.399999999999999</v>
      </c>
      <c r="H757" s="153">
        <f t="shared" si="205"/>
        <v>18.399999999999999</v>
      </c>
      <c r="I757" s="154">
        <f t="shared" si="206"/>
        <v>0.14400460822119579</v>
      </c>
      <c r="J757" s="155">
        <f t="shared" si="207"/>
        <v>8.2761269092641258E-3</v>
      </c>
      <c r="K757" s="155">
        <f t="shared" si="208"/>
        <v>120.82946660479803</v>
      </c>
      <c r="L757" s="155">
        <f t="shared" si="209"/>
        <v>0.13572848131193166</v>
      </c>
      <c r="M757" s="155">
        <f t="shared" si="210"/>
        <v>0.15228073513045992</v>
      </c>
      <c r="N757" s="156">
        <v>0</v>
      </c>
      <c r="O757" s="157">
        <v>1</v>
      </c>
      <c r="P757" s="156">
        <v>0</v>
      </c>
      <c r="Q757" s="157">
        <v>0</v>
      </c>
      <c r="R757" s="157">
        <v>1</v>
      </c>
      <c r="S757" s="157">
        <v>0</v>
      </c>
      <c r="T757" s="157">
        <v>0</v>
      </c>
      <c r="U757" s="156">
        <v>14312</v>
      </c>
      <c r="V757" s="157">
        <v>14</v>
      </c>
      <c r="W757" s="157">
        <f t="shared" si="211"/>
        <v>14297</v>
      </c>
      <c r="X757" s="157">
        <f t="shared" si="212"/>
        <v>9</v>
      </c>
      <c r="Y757" s="152">
        <f t="shared" si="217"/>
        <v>11.01</v>
      </c>
      <c r="Z757" s="152">
        <f t="shared" si="218"/>
        <v>22.490000000000002</v>
      </c>
      <c r="AA757" s="157">
        <v>1</v>
      </c>
      <c r="AB757" s="157">
        <v>0</v>
      </c>
      <c r="AC757" s="157">
        <v>0</v>
      </c>
      <c r="AD757" s="157">
        <v>0</v>
      </c>
      <c r="AE757" s="157">
        <v>1</v>
      </c>
      <c r="AF757" s="157">
        <v>0</v>
      </c>
      <c r="AG757" s="156">
        <v>0</v>
      </c>
      <c r="AH757" s="157">
        <v>0</v>
      </c>
      <c r="AI757" s="158">
        <v>1</v>
      </c>
      <c r="AJ757" s="157">
        <v>0</v>
      </c>
      <c r="AK757" s="158">
        <v>1</v>
      </c>
      <c r="AL757" s="159">
        <v>2014</v>
      </c>
      <c r="AM757" s="160">
        <f t="shared" si="213"/>
        <v>7.6078780732785072</v>
      </c>
      <c r="AN757" s="155">
        <v>0</v>
      </c>
      <c r="AO757" s="155">
        <v>0.7</v>
      </c>
      <c r="AP757" s="155">
        <v>0.23</v>
      </c>
      <c r="AQ757" s="161">
        <v>7.0000000000000007E-2</v>
      </c>
      <c r="AR757" s="162" t="s">
        <v>104</v>
      </c>
      <c r="AS757" s="163" t="s">
        <v>104</v>
      </c>
      <c r="AT757" s="180">
        <f t="shared" si="219"/>
        <v>0.59000000000000008</v>
      </c>
      <c r="AU757" s="164">
        <v>0.41</v>
      </c>
      <c r="AV757" s="180">
        <f t="shared" si="220"/>
        <v>0.79889999999999994</v>
      </c>
      <c r="AW757" s="164">
        <v>0.2011</v>
      </c>
      <c r="AX757">
        <v>0</v>
      </c>
      <c r="AY757" s="163">
        <v>1</v>
      </c>
      <c r="AZ757" s="148">
        <v>0.1943</v>
      </c>
      <c r="BA757" s="163">
        <f t="shared" si="221"/>
        <v>0.80569999999999997</v>
      </c>
      <c r="BB757" s="163" t="s">
        <v>493</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0.14599999999999999</v>
      </c>
      <c r="CS757">
        <v>1</v>
      </c>
      <c r="CT757">
        <v>1</v>
      </c>
      <c r="CU757">
        <v>0</v>
      </c>
      <c r="CV757">
        <v>24</v>
      </c>
      <c r="CW757" s="165"/>
      <c r="DB757" s="165"/>
    </row>
    <row r="758" spans="1:106" x14ac:dyDescent="0.25">
      <c r="A758">
        <v>757</v>
      </c>
      <c r="B758">
        <v>48</v>
      </c>
      <c r="C758" s="25" t="s">
        <v>494</v>
      </c>
      <c r="D758" s="12">
        <v>11.7</v>
      </c>
      <c r="E758" s="14">
        <v>0.3</v>
      </c>
      <c r="F758" s="7">
        <f t="shared" si="214"/>
        <v>39</v>
      </c>
      <c r="G758" s="7">
        <f t="shared" si="204"/>
        <v>11.399999999999999</v>
      </c>
      <c r="H758" s="16">
        <f t="shared" si="205"/>
        <v>12</v>
      </c>
      <c r="I758" s="11">
        <f t="shared" si="206"/>
        <v>0.38390587509210189</v>
      </c>
      <c r="J758" s="33">
        <f t="shared" si="207"/>
        <v>9.8437403869769714E-3</v>
      </c>
      <c r="K758" s="33">
        <f t="shared" si="208"/>
        <v>101.58740079360236</v>
      </c>
      <c r="L758" s="33">
        <f t="shared" si="209"/>
        <v>0.37406213470512489</v>
      </c>
      <c r="M758" s="33">
        <f t="shared" si="210"/>
        <v>0.39374961547907888</v>
      </c>
      <c r="N758" s="8">
        <v>0</v>
      </c>
      <c r="O758" s="9">
        <v>1</v>
      </c>
      <c r="P758" s="8">
        <v>0</v>
      </c>
      <c r="Q758" s="9">
        <v>1</v>
      </c>
      <c r="R758" s="9">
        <v>0</v>
      </c>
      <c r="S758" s="9">
        <v>0</v>
      </c>
      <c r="T758" s="9">
        <v>0</v>
      </c>
      <c r="U758" s="8">
        <v>8807</v>
      </c>
      <c r="V758" s="9">
        <v>7</v>
      </c>
      <c r="W758" s="9">
        <f t="shared" si="211"/>
        <v>8799</v>
      </c>
      <c r="X758" s="9">
        <f t="shared" si="212"/>
        <v>10</v>
      </c>
      <c r="Y758" s="7">
        <v>9.6470000000000002</v>
      </c>
      <c r="Z758" s="7">
        <v>17.068999999999999</v>
      </c>
      <c r="AA758" s="9">
        <v>1</v>
      </c>
      <c r="AB758" s="9">
        <v>0</v>
      </c>
      <c r="AC758" s="9">
        <v>0</v>
      </c>
      <c r="AD758" s="9">
        <v>0</v>
      </c>
      <c r="AE758" s="9">
        <v>1</v>
      </c>
      <c r="AF758" s="9">
        <v>0</v>
      </c>
      <c r="AG758" s="8">
        <v>0</v>
      </c>
      <c r="AH758" s="9">
        <v>0</v>
      </c>
      <c r="AI758" s="30">
        <v>1</v>
      </c>
      <c r="AJ758" s="9">
        <v>0</v>
      </c>
      <c r="AK758" s="30">
        <v>1</v>
      </c>
      <c r="AL758" s="21">
        <v>2000</v>
      </c>
      <c r="AM758" s="23">
        <f t="shared" si="213"/>
        <v>7.6009024595420822</v>
      </c>
      <c r="AN758" s="33">
        <v>2.9000000000000001E-2</v>
      </c>
      <c r="AO758" s="33">
        <v>0.28000000000000003</v>
      </c>
      <c r="AP758" s="33">
        <f t="shared" ref="AP758:AP767" si="222">1-SUM(AN758,AO758,AQ758)</f>
        <v>0.498</v>
      </c>
      <c r="AQ758" s="43">
        <v>0.193</v>
      </c>
      <c r="AR758" s="42">
        <v>1</v>
      </c>
      <c r="AS758" s="18">
        <v>0</v>
      </c>
      <c r="AT758">
        <v>0.6391</v>
      </c>
      <c r="AU758" s="40">
        <f>1-AT758</f>
        <v>0.3609</v>
      </c>
      <c r="AV758" t="s">
        <v>104</v>
      </c>
      <c r="AW758" s="40" t="s">
        <v>104</v>
      </c>
      <c r="AX758">
        <v>0</v>
      </c>
      <c r="AY758" s="18">
        <v>1</v>
      </c>
      <c r="AZ758">
        <f t="shared" ref="AZ758:AZ771" si="22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2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19</v>
      </c>
      <c r="DB758" s="34"/>
    </row>
    <row r="759" spans="1:106" x14ac:dyDescent="0.25">
      <c r="A759">
        <v>758</v>
      </c>
      <c r="B759">
        <v>48</v>
      </c>
      <c r="C759" s="25" t="s">
        <v>494</v>
      </c>
      <c r="D759" s="12">
        <v>10.9</v>
      </c>
      <c r="E759" s="14">
        <v>0.3</v>
      </c>
      <c r="F759" s="7">
        <f t="shared" si="214"/>
        <v>36.333333333333336</v>
      </c>
      <c r="G759" s="7">
        <f t="shared" si="204"/>
        <v>10.6</v>
      </c>
      <c r="H759" s="16">
        <f t="shared" si="205"/>
        <v>11.200000000000001</v>
      </c>
      <c r="I759" s="11">
        <f t="shared" si="206"/>
        <v>0.43610467768547451</v>
      </c>
      <c r="J759" s="33">
        <f t="shared" si="207"/>
        <v>1.2002881037214894E-2</v>
      </c>
      <c r="K759" s="33">
        <f t="shared" si="208"/>
        <v>83.313330932757154</v>
      </c>
      <c r="L759" s="33">
        <f t="shared" si="209"/>
        <v>0.42410179664825959</v>
      </c>
      <c r="M759" s="33">
        <f t="shared" si="210"/>
        <v>0.44810755872268943</v>
      </c>
      <c r="N759" s="8">
        <v>0</v>
      </c>
      <c r="O759" s="9">
        <v>1</v>
      </c>
      <c r="P759" s="8">
        <v>0</v>
      </c>
      <c r="Q759" s="9">
        <v>1</v>
      </c>
      <c r="R759" s="9">
        <v>0</v>
      </c>
      <c r="S759" s="9">
        <v>0</v>
      </c>
      <c r="T759" s="9">
        <v>0</v>
      </c>
      <c r="U759" s="8">
        <v>5629</v>
      </c>
      <c r="V759" s="9">
        <v>7</v>
      </c>
      <c r="W759" s="9">
        <f t="shared" si="211"/>
        <v>5621</v>
      </c>
      <c r="X759" s="9">
        <f t="shared" si="212"/>
        <v>10</v>
      </c>
      <c r="Y759" s="7">
        <v>9.7219999999999995</v>
      </c>
      <c r="Z759" s="7">
        <v>17.300999999999998</v>
      </c>
      <c r="AA759" s="9">
        <v>1</v>
      </c>
      <c r="AB759" s="9">
        <v>0</v>
      </c>
      <c r="AC759" s="9">
        <v>0</v>
      </c>
      <c r="AD759" s="9">
        <v>0</v>
      </c>
      <c r="AE759" s="9">
        <v>1</v>
      </c>
      <c r="AF759" s="9">
        <v>0</v>
      </c>
      <c r="AG759" s="8">
        <v>0</v>
      </c>
      <c r="AH759" s="9">
        <v>0</v>
      </c>
      <c r="AI759" s="30">
        <v>1</v>
      </c>
      <c r="AJ759" s="9">
        <v>0</v>
      </c>
      <c r="AK759" s="30">
        <v>1</v>
      </c>
      <c r="AL759" s="21">
        <v>2000</v>
      </c>
      <c r="AM759" s="23">
        <f t="shared" si="213"/>
        <v>7.6009024595420822</v>
      </c>
      <c r="AN759" s="33">
        <v>1.4999999999999999E-2</v>
      </c>
      <c r="AO759" s="33">
        <v>0.27400000000000002</v>
      </c>
      <c r="AP759" s="33">
        <f t="shared" si="222"/>
        <v>0.54899999999999993</v>
      </c>
      <c r="AQ759" s="43">
        <v>0.16200000000000001</v>
      </c>
      <c r="AR759" s="42">
        <v>1</v>
      </c>
      <c r="AS759" s="18">
        <v>0</v>
      </c>
      <c r="AT759">
        <v>1</v>
      </c>
      <c r="AU759" s="40">
        <v>0</v>
      </c>
      <c r="AV759" t="s">
        <v>104</v>
      </c>
      <c r="AW759" s="40" t="s">
        <v>104</v>
      </c>
      <c r="AX759">
        <v>0</v>
      </c>
      <c r="AY759" s="18">
        <v>1</v>
      </c>
      <c r="AZ759">
        <f t="shared" si="22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2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19</v>
      </c>
      <c r="DB759" s="34"/>
    </row>
    <row r="760" spans="1:106" x14ac:dyDescent="0.25">
      <c r="A760">
        <v>759</v>
      </c>
      <c r="B760">
        <v>48</v>
      </c>
      <c r="C760" s="25" t="s">
        <v>494</v>
      </c>
      <c r="D760" s="12">
        <v>11.8</v>
      </c>
      <c r="E760" s="14">
        <v>0.4</v>
      </c>
      <c r="F760" s="7">
        <f t="shared" si="214"/>
        <v>29.5</v>
      </c>
      <c r="G760" s="7">
        <f t="shared" si="204"/>
        <v>11.4</v>
      </c>
      <c r="H760" s="16">
        <f t="shared" si="205"/>
        <v>12.200000000000001</v>
      </c>
      <c r="I760" s="11">
        <f t="shared" si="206"/>
        <v>0.46410676243477589</v>
      </c>
      <c r="J760" s="33">
        <f t="shared" si="207"/>
        <v>1.5732432624907658E-2</v>
      </c>
      <c r="K760" s="33">
        <f t="shared" si="208"/>
        <v>63.562960912783161</v>
      </c>
      <c r="L760" s="33">
        <f t="shared" si="209"/>
        <v>0.44837432980986824</v>
      </c>
      <c r="M760" s="33">
        <f t="shared" si="210"/>
        <v>0.47983919505968353</v>
      </c>
      <c r="N760" s="8">
        <v>0</v>
      </c>
      <c r="O760" s="9">
        <v>1</v>
      </c>
      <c r="P760" s="8">
        <v>0</v>
      </c>
      <c r="Q760" s="9">
        <v>1</v>
      </c>
      <c r="R760" s="9">
        <v>0</v>
      </c>
      <c r="S760" s="9">
        <v>0</v>
      </c>
      <c r="T760" s="9">
        <v>0</v>
      </c>
      <c r="U760" s="8">
        <v>3178</v>
      </c>
      <c r="V760" s="9">
        <v>7</v>
      </c>
      <c r="W760" s="9">
        <f t="shared" si="211"/>
        <v>3170</v>
      </c>
      <c r="X760" s="9">
        <f t="shared" si="212"/>
        <v>10</v>
      </c>
      <c r="Y760" s="7">
        <v>9.5139999999999993</v>
      </c>
      <c r="Z760" s="7">
        <v>16.657</v>
      </c>
      <c r="AA760" s="9">
        <v>1</v>
      </c>
      <c r="AB760" s="9">
        <v>0</v>
      </c>
      <c r="AC760" s="9">
        <v>0</v>
      </c>
      <c r="AD760" s="9">
        <v>0</v>
      </c>
      <c r="AE760" s="9">
        <v>1</v>
      </c>
      <c r="AF760" s="9">
        <v>0</v>
      </c>
      <c r="AG760" s="8">
        <v>0</v>
      </c>
      <c r="AH760" s="9">
        <v>0</v>
      </c>
      <c r="AI760" s="30">
        <v>1</v>
      </c>
      <c r="AJ760" s="9">
        <v>0</v>
      </c>
      <c r="AK760" s="30">
        <v>1</v>
      </c>
      <c r="AL760" s="21">
        <v>2000</v>
      </c>
      <c r="AM760" s="23">
        <f t="shared" si="213"/>
        <v>7.6009024595420822</v>
      </c>
      <c r="AN760" s="33">
        <v>5.1999999999999998E-2</v>
      </c>
      <c r="AO760" s="33">
        <v>0.29099999999999998</v>
      </c>
      <c r="AP760" s="33">
        <f t="shared" si="222"/>
        <v>0.40800000000000003</v>
      </c>
      <c r="AQ760" s="43">
        <v>0.249</v>
      </c>
      <c r="AR760" s="42">
        <v>1</v>
      </c>
      <c r="AS760" s="18">
        <v>0</v>
      </c>
      <c r="AT760">
        <v>0</v>
      </c>
      <c r="AU760" s="40">
        <v>1</v>
      </c>
      <c r="AV760" t="s">
        <v>104</v>
      </c>
      <c r="AW760" s="40" t="s">
        <v>104</v>
      </c>
      <c r="AX760">
        <v>0</v>
      </c>
      <c r="AY760" s="18">
        <v>1</v>
      </c>
      <c r="AZ760">
        <f t="shared" si="22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2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19</v>
      </c>
      <c r="DB760" s="34"/>
    </row>
    <row r="761" spans="1:106" x14ac:dyDescent="0.25">
      <c r="A761">
        <v>760</v>
      </c>
      <c r="B761">
        <v>48</v>
      </c>
      <c r="C761" s="25" t="s">
        <v>494</v>
      </c>
      <c r="D761" s="12">
        <v>4.5</v>
      </c>
      <c r="E761" s="14">
        <v>0.5</v>
      </c>
      <c r="F761" s="7">
        <f t="shared" si="214"/>
        <v>9</v>
      </c>
      <c r="G761" s="7">
        <f t="shared" si="204"/>
        <v>4</v>
      </c>
      <c r="H761" s="16">
        <f t="shared" si="205"/>
        <v>5</v>
      </c>
      <c r="I761" s="11">
        <f t="shared" si="206"/>
        <v>0.12928579327743625</v>
      </c>
      <c r="J761" s="33">
        <f t="shared" si="207"/>
        <v>1.4365088141937361E-2</v>
      </c>
      <c r="K761" s="33">
        <f t="shared" si="208"/>
        <v>69.613217135828449</v>
      </c>
      <c r="L761" s="33">
        <f t="shared" si="209"/>
        <v>0.11492070513549889</v>
      </c>
      <c r="M761" s="33">
        <f t="shared" si="210"/>
        <v>0.1436508814193736</v>
      </c>
      <c r="N761" s="8">
        <v>0</v>
      </c>
      <c r="O761" s="9">
        <v>1</v>
      </c>
      <c r="P761" s="8">
        <v>0</v>
      </c>
      <c r="Q761" s="9">
        <v>1</v>
      </c>
      <c r="R761" s="9">
        <v>0</v>
      </c>
      <c r="S761" s="9">
        <v>0</v>
      </c>
      <c r="T761" s="9">
        <v>0</v>
      </c>
      <c r="U761" s="8">
        <v>4777</v>
      </c>
      <c r="V761" s="9">
        <v>11</v>
      </c>
      <c r="W761" s="9">
        <f t="shared" si="211"/>
        <v>4765</v>
      </c>
      <c r="X761" s="9">
        <f t="shared" si="212"/>
        <v>10</v>
      </c>
      <c r="Y761" s="7">
        <v>9.5139999999999993</v>
      </c>
      <c r="Z761" s="7">
        <v>16.657</v>
      </c>
      <c r="AA761" s="9">
        <v>1</v>
      </c>
      <c r="AB761" s="9">
        <v>0</v>
      </c>
      <c r="AC761" s="9">
        <v>0</v>
      </c>
      <c r="AD761" s="9">
        <v>0</v>
      </c>
      <c r="AE761" s="9">
        <v>1</v>
      </c>
      <c r="AF761" s="9">
        <v>0</v>
      </c>
      <c r="AG761" s="8">
        <v>0</v>
      </c>
      <c r="AH761" s="9">
        <v>0</v>
      </c>
      <c r="AI761" s="30">
        <v>1</v>
      </c>
      <c r="AJ761" s="9">
        <v>0</v>
      </c>
      <c r="AK761" s="30">
        <v>1</v>
      </c>
      <c r="AL761" s="21">
        <v>2000</v>
      </c>
      <c r="AM761" s="23">
        <f t="shared" si="213"/>
        <v>7.6009024595420822</v>
      </c>
      <c r="AN761" s="33">
        <v>5.1999999999999998E-2</v>
      </c>
      <c r="AO761" s="33">
        <v>0.29099999999999998</v>
      </c>
      <c r="AP761" s="33">
        <f t="shared" si="222"/>
        <v>0.40800000000000003</v>
      </c>
      <c r="AQ761" s="43">
        <v>0.249</v>
      </c>
      <c r="AR761" s="42">
        <v>1</v>
      </c>
      <c r="AS761" s="18">
        <v>0</v>
      </c>
      <c r="AT761">
        <v>0</v>
      </c>
      <c r="AU761" s="40">
        <v>1</v>
      </c>
      <c r="AV761" t="s">
        <v>104</v>
      </c>
      <c r="AW761" s="40" t="s">
        <v>104</v>
      </c>
      <c r="AX761">
        <v>0</v>
      </c>
      <c r="AY761" s="18">
        <v>1</v>
      </c>
      <c r="AZ761">
        <f t="shared" si="22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2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19</v>
      </c>
      <c r="DB761" s="34"/>
    </row>
    <row r="762" spans="1:106" x14ac:dyDescent="0.25">
      <c r="A762">
        <v>761</v>
      </c>
      <c r="B762">
        <v>48</v>
      </c>
      <c r="C762" s="25" t="s">
        <v>494</v>
      </c>
      <c r="D762" s="12">
        <v>11</v>
      </c>
      <c r="E762" s="14">
        <v>0.5</v>
      </c>
      <c r="F762" s="7">
        <f t="shared" si="214"/>
        <v>22</v>
      </c>
      <c r="G762" s="7">
        <f t="shared" si="204"/>
        <v>10.5</v>
      </c>
      <c r="H762" s="16">
        <f t="shared" si="205"/>
        <v>11.5</v>
      </c>
      <c r="I762" s="11">
        <f t="shared" si="206"/>
        <v>0.30354213217309406</v>
      </c>
      <c r="J762" s="33">
        <f t="shared" si="207"/>
        <v>1.3797369644231547E-2</v>
      </c>
      <c r="K762" s="33">
        <f t="shared" si="208"/>
        <v>72.477582741148311</v>
      </c>
      <c r="L762" s="33">
        <f t="shared" si="209"/>
        <v>0.2897447625288625</v>
      </c>
      <c r="M762" s="33">
        <f t="shared" si="210"/>
        <v>0.31733950181732562</v>
      </c>
      <c r="N762" s="8">
        <v>0</v>
      </c>
      <c r="O762" s="9">
        <v>1</v>
      </c>
      <c r="P762" s="8">
        <v>0</v>
      </c>
      <c r="Q762" s="9">
        <v>1</v>
      </c>
      <c r="R762" s="9">
        <v>0</v>
      </c>
      <c r="S762" s="9">
        <v>0</v>
      </c>
      <c r="T762" s="9">
        <v>0</v>
      </c>
      <c r="U762" s="8">
        <v>4777</v>
      </c>
      <c r="V762" s="9">
        <v>7</v>
      </c>
      <c r="W762" s="9">
        <f t="shared" si="211"/>
        <v>4769</v>
      </c>
      <c r="X762" s="9">
        <f t="shared" si="212"/>
        <v>10</v>
      </c>
      <c r="Y762" s="7">
        <v>9.5139999999999993</v>
      </c>
      <c r="Z762" s="7">
        <v>16.657</v>
      </c>
      <c r="AA762" s="9">
        <v>1</v>
      </c>
      <c r="AB762" s="9">
        <v>0</v>
      </c>
      <c r="AC762" s="9">
        <v>0</v>
      </c>
      <c r="AD762" s="9">
        <v>0</v>
      </c>
      <c r="AE762" s="9">
        <v>1</v>
      </c>
      <c r="AF762" s="9">
        <v>0</v>
      </c>
      <c r="AG762" s="8">
        <v>0</v>
      </c>
      <c r="AH762" s="9">
        <v>0</v>
      </c>
      <c r="AI762" s="30">
        <v>1</v>
      </c>
      <c r="AJ762" s="9">
        <v>0</v>
      </c>
      <c r="AK762" s="30">
        <v>1</v>
      </c>
      <c r="AL762" s="21">
        <v>2000</v>
      </c>
      <c r="AM762" s="23">
        <f t="shared" si="213"/>
        <v>7.6009024595420822</v>
      </c>
      <c r="AN762" s="33">
        <v>5.1999999999999998E-2</v>
      </c>
      <c r="AO762" s="33">
        <v>0.29099999999999998</v>
      </c>
      <c r="AP762" s="33">
        <f t="shared" si="222"/>
        <v>0.40800000000000003</v>
      </c>
      <c r="AQ762" s="43">
        <v>0.249</v>
      </c>
      <c r="AR762" s="42">
        <v>1</v>
      </c>
      <c r="AS762" s="18">
        <v>0</v>
      </c>
      <c r="AT762">
        <v>0</v>
      </c>
      <c r="AU762" s="40">
        <v>1</v>
      </c>
      <c r="AV762" t="s">
        <v>104</v>
      </c>
      <c r="AW762" s="40" t="s">
        <v>104</v>
      </c>
      <c r="AX762">
        <v>0</v>
      </c>
      <c r="AY762" s="18">
        <v>1</v>
      </c>
      <c r="AZ762">
        <f t="shared" si="22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2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19</v>
      </c>
      <c r="DB762" s="34"/>
    </row>
    <row r="763" spans="1:106" x14ac:dyDescent="0.25">
      <c r="A763">
        <v>762</v>
      </c>
      <c r="B763">
        <v>48</v>
      </c>
      <c r="C763" s="25" t="s">
        <v>494</v>
      </c>
      <c r="D763" s="12">
        <v>17.3</v>
      </c>
      <c r="E763" s="14">
        <v>0.8</v>
      </c>
      <c r="F763" s="7">
        <f t="shared" si="214"/>
        <v>21.625</v>
      </c>
      <c r="G763" s="7">
        <f t="shared" si="204"/>
        <v>16.5</v>
      </c>
      <c r="H763" s="16">
        <f t="shared" si="205"/>
        <v>18.100000000000001</v>
      </c>
      <c r="I763" s="11">
        <f t="shared" si="206"/>
        <v>0.29280132979162882</v>
      </c>
      <c r="J763" s="33">
        <f t="shared" si="207"/>
        <v>1.3539945886318095E-2</v>
      </c>
      <c r="K763" s="33">
        <f t="shared" si="208"/>
        <v>73.855538891812301</v>
      </c>
      <c r="L763" s="33">
        <f t="shared" si="209"/>
        <v>0.27926138390531074</v>
      </c>
      <c r="M763" s="33">
        <f t="shared" si="210"/>
        <v>0.30634127567794689</v>
      </c>
      <c r="N763" s="8">
        <v>0</v>
      </c>
      <c r="O763" s="9">
        <v>1</v>
      </c>
      <c r="P763" s="8">
        <v>0</v>
      </c>
      <c r="Q763" s="9">
        <v>1</v>
      </c>
      <c r="R763" s="9">
        <v>0</v>
      </c>
      <c r="S763" s="9">
        <v>0</v>
      </c>
      <c r="T763" s="9">
        <v>0</v>
      </c>
      <c r="U763" s="8">
        <v>4994</v>
      </c>
      <c r="V763" s="9">
        <v>6</v>
      </c>
      <c r="W763" s="9">
        <f t="shared" si="211"/>
        <v>4987</v>
      </c>
      <c r="X763" s="9">
        <f t="shared" si="212"/>
        <v>10</v>
      </c>
      <c r="Y763" s="7">
        <v>9.6470000000000002</v>
      </c>
      <c r="Z763" s="7">
        <v>17.068999999999999</v>
      </c>
      <c r="AA763" s="9">
        <v>1</v>
      </c>
      <c r="AB763" s="9">
        <v>0</v>
      </c>
      <c r="AC763" s="9">
        <v>0</v>
      </c>
      <c r="AD763" s="9">
        <v>0</v>
      </c>
      <c r="AE763" s="9">
        <v>1</v>
      </c>
      <c r="AF763" s="9">
        <v>0</v>
      </c>
      <c r="AG763" s="8">
        <v>0</v>
      </c>
      <c r="AH763" s="9">
        <v>0</v>
      </c>
      <c r="AI763" s="30">
        <v>1</v>
      </c>
      <c r="AJ763" s="9">
        <v>0</v>
      </c>
      <c r="AK763" s="30">
        <v>1</v>
      </c>
      <c r="AL763" s="21">
        <v>2000</v>
      </c>
      <c r="AM763" s="23">
        <f t="shared" si="213"/>
        <v>7.6009024595420822</v>
      </c>
      <c r="AN763" s="33">
        <v>2.9000000000000001E-2</v>
      </c>
      <c r="AO763" s="33">
        <v>0.28000000000000003</v>
      </c>
      <c r="AP763" s="33">
        <f t="shared" si="222"/>
        <v>0.498</v>
      </c>
      <c r="AQ763" s="43">
        <v>0.193</v>
      </c>
      <c r="AR763" s="42">
        <v>1</v>
      </c>
      <c r="AS763" s="18">
        <v>0</v>
      </c>
      <c r="AT763">
        <v>0.65210000000000001</v>
      </c>
      <c r="AU763" s="40">
        <f>1-AT763</f>
        <v>0.34789999999999999</v>
      </c>
      <c r="AV763" t="s">
        <v>104</v>
      </c>
      <c r="AW763" s="40" t="s">
        <v>104</v>
      </c>
      <c r="AX763">
        <v>0</v>
      </c>
      <c r="AY763" s="18">
        <v>1</v>
      </c>
      <c r="AZ763">
        <f t="shared" si="22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2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19</v>
      </c>
      <c r="DB763" s="34"/>
    </row>
    <row r="764" spans="1:106" x14ac:dyDescent="0.25">
      <c r="A764">
        <v>763</v>
      </c>
      <c r="B764">
        <v>48</v>
      </c>
      <c r="C764" s="25" t="s">
        <v>494</v>
      </c>
      <c r="D764" s="12">
        <v>16.3</v>
      </c>
      <c r="E764" s="14">
        <v>1</v>
      </c>
      <c r="F764" s="7">
        <f t="shared" si="214"/>
        <v>16.3</v>
      </c>
      <c r="G764" s="7">
        <f t="shared" si="204"/>
        <v>15.3</v>
      </c>
      <c r="H764" s="16">
        <f t="shared" si="205"/>
        <v>17.3</v>
      </c>
      <c r="I764" s="11">
        <f t="shared" si="206"/>
        <v>0.27490479659359807</v>
      </c>
      <c r="J764" s="33">
        <f t="shared" si="207"/>
        <v>1.6865324944392517E-2</v>
      </c>
      <c r="K764" s="33">
        <f t="shared" si="208"/>
        <v>59.293254253751329</v>
      </c>
      <c r="L764" s="33">
        <f t="shared" si="209"/>
        <v>0.25803947164920554</v>
      </c>
      <c r="M764" s="33">
        <f t="shared" si="210"/>
        <v>0.29177012153799059</v>
      </c>
      <c r="N764" s="8">
        <v>0</v>
      </c>
      <c r="O764" s="9">
        <v>1</v>
      </c>
      <c r="P764" s="8">
        <v>0</v>
      </c>
      <c r="Q764" s="9">
        <v>1</v>
      </c>
      <c r="R764" s="9">
        <v>0</v>
      </c>
      <c r="S764" s="9">
        <v>0</v>
      </c>
      <c r="T764" s="9">
        <v>0</v>
      </c>
      <c r="U764" s="8">
        <v>3257</v>
      </c>
      <c r="V764" s="9">
        <v>6</v>
      </c>
      <c r="W764" s="9">
        <f t="shared" si="211"/>
        <v>3250</v>
      </c>
      <c r="X764" s="9">
        <f t="shared" si="212"/>
        <v>10</v>
      </c>
      <c r="Y764" s="7">
        <v>9.7219999999999995</v>
      </c>
      <c r="Z764" s="7">
        <v>17.300999999999998</v>
      </c>
      <c r="AA764" s="9">
        <v>1</v>
      </c>
      <c r="AB764" s="9">
        <v>0</v>
      </c>
      <c r="AC764" s="9">
        <v>0</v>
      </c>
      <c r="AD764" s="9">
        <v>0</v>
      </c>
      <c r="AE764" s="9">
        <v>1</v>
      </c>
      <c r="AF764" s="9">
        <v>0</v>
      </c>
      <c r="AG764" s="8">
        <v>0</v>
      </c>
      <c r="AH764" s="9">
        <v>0</v>
      </c>
      <c r="AI764" s="30">
        <v>1</v>
      </c>
      <c r="AJ764" s="9">
        <v>0</v>
      </c>
      <c r="AK764" s="30">
        <v>1</v>
      </c>
      <c r="AL764" s="21">
        <v>2000</v>
      </c>
      <c r="AM764" s="23">
        <f t="shared" si="213"/>
        <v>7.6009024595420822</v>
      </c>
      <c r="AN764" s="33">
        <v>1.4999999999999999E-2</v>
      </c>
      <c r="AO764" s="33">
        <v>0.27400000000000002</v>
      </c>
      <c r="AP764" s="33">
        <f t="shared" si="222"/>
        <v>0.54899999999999993</v>
      </c>
      <c r="AQ764" s="43">
        <v>0.16200000000000001</v>
      </c>
      <c r="AR764" s="42">
        <v>1</v>
      </c>
      <c r="AS764" s="18">
        <v>0</v>
      </c>
      <c r="AT764">
        <v>1</v>
      </c>
      <c r="AU764" s="40">
        <v>0</v>
      </c>
      <c r="AV764" t="s">
        <v>104</v>
      </c>
      <c r="AW764" s="40" t="s">
        <v>104</v>
      </c>
      <c r="AX764">
        <v>0</v>
      </c>
      <c r="AY764" s="18">
        <v>1</v>
      </c>
      <c r="AZ764">
        <f t="shared" si="22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2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19</v>
      </c>
      <c r="DB764" s="34"/>
    </row>
    <row r="765" spans="1:106" x14ac:dyDescent="0.25">
      <c r="A765">
        <v>764</v>
      </c>
      <c r="B765">
        <v>48</v>
      </c>
      <c r="C765" s="25" t="s">
        <v>494</v>
      </c>
      <c r="D765" s="12">
        <v>18.7</v>
      </c>
      <c r="E765" s="14">
        <v>1.2</v>
      </c>
      <c r="F765" s="7">
        <f t="shared" si="214"/>
        <v>15.583333333333334</v>
      </c>
      <c r="G765" s="7">
        <f t="shared" si="204"/>
        <v>17.5</v>
      </c>
      <c r="H765" s="16">
        <f t="shared" si="205"/>
        <v>19.899999999999999</v>
      </c>
      <c r="I765" s="11">
        <f t="shared" si="206"/>
        <v>0.35084427767354598</v>
      </c>
      <c r="J765" s="33">
        <f t="shared" si="207"/>
        <v>2.2514071294559099E-2</v>
      </c>
      <c r="K765" s="33">
        <f t="shared" si="208"/>
        <v>44.416666666666664</v>
      </c>
      <c r="L765" s="33">
        <f t="shared" si="209"/>
        <v>0.32833020637898686</v>
      </c>
      <c r="M765" s="33">
        <f t="shared" si="210"/>
        <v>0.3733583489681051</v>
      </c>
      <c r="N765" s="8">
        <v>0</v>
      </c>
      <c r="O765" s="9">
        <v>1</v>
      </c>
      <c r="P765" s="8">
        <v>0</v>
      </c>
      <c r="Q765" s="9">
        <v>1</v>
      </c>
      <c r="R765" s="9">
        <v>0</v>
      </c>
      <c r="S765" s="9">
        <v>0</v>
      </c>
      <c r="T765" s="9">
        <v>0</v>
      </c>
      <c r="U765" s="8">
        <v>1737</v>
      </c>
      <c r="V765" s="9">
        <v>6</v>
      </c>
      <c r="W765" s="9">
        <f t="shared" si="211"/>
        <v>1730</v>
      </c>
      <c r="X765" s="9">
        <f t="shared" si="212"/>
        <v>10</v>
      </c>
      <c r="Y765" s="7">
        <v>9.5139999999999993</v>
      </c>
      <c r="Z765" s="7">
        <v>16.657</v>
      </c>
      <c r="AA765" s="9">
        <v>1</v>
      </c>
      <c r="AB765" s="9">
        <v>0</v>
      </c>
      <c r="AC765" s="9">
        <v>0</v>
      </c>
      <c r="AD765" s="9">
        <v>0</v>
      </c>
      <c r="AE765" s="9">
        <v>1</v>
      </c>
      <c r="AF765" s="9">
        <v>0</v>
      </c>
      <c r="AG765" s="8">
        <v>0</v>
      </c>
      <c r="AH765" s="9">
        <v>0</v>
      </c>
      <c r="AI765" s="30">
        <v>1</v>
      </c>
      <c r="AJ765" s="9">
        <v>0</v>
      </c>
      <c r="AK765" s="30">
        <v>1</v>
      </c>
      <c r="AL765" s="21">
        <v>2000</v>
      </c>
      <c r="AM765" s="23">
        <f t="shared" si="213"/>
        <v>7.6009024595420822</v>
      </c>
      <c r="AN765" s="33">
        <v>5.1999999999999998E-2</v>
      </c>
      <c r="AO765" s="33">
        <v>0.29099999999999998</v>
      </c>
      <c r="AP765" s="33">
        <f t="shared" si="222"/>
        <v>0.40800000000000003</v>
      </c>
      <c r="AQ765" s="43">
        <v>0.249</v>
      </c>
      <c r="AR765" s="42">
        <v>1</v>
      </c>
      <c r="AS765" s="18">
        <v>0</v>
      </c>
      <c r="AT765">
        <v>0</v>
      </c>
      <c r="AU765" s="40">
        <v>1</v>
      </c>
      <c r="AV765" t="s">
        <v>104</v>
      </c>
      <c r="AW765" s="40" t="s">
        <v>104</v>
      </c>
      <c r="AX765">
        <v>0</v>
      </c>
      <c r="AY765" s="18">
        <v>1</v>
      </c>
      <c r="AZ765">
        <f t="shared" si="22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2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19</v>
      </c>
      <c r="DB765" s="34"/>
    </row>
    <row r="766" spans="1:106" x14ac:dyDescent="0.25">
      <c r="A766">
        <v>765</v>
      </c>
      <c r="B766">
        <v>48</v>
      </c>
      <c r="C766" s="25" t="s">
        <v>494</v>
      </c>
      <c r="D766" s="12">
        <v>10.8</v>
      </c>
      <c r="E766" s="14">
        <v>1.1000000000000001</v>
      </c>
      <c r="F766" s="7">
        <f t="shared" si="214"/>
        <v>9.8181818181818183</v>
      </c>
      <c r="G766" s="7">
        <f t="shared" si="204"/>
        <v>9.7000000000000011</v>
      </c>
      <c r="H766" s="16">
        <f t="shared" si="205"/>
        <v>11.9</v>
      </c>
      <c r="I766" s="11">
        <f t="shared" si="206"/>
        <v>0.36180549224905884</v>
      </c>
      <c r="J766" s="33">
        <f t="shared" si="207"/>
        <v>3.6850559395737476E-2</v>
      </c>
      <c r="K766" s="33">
        <f t="shared" si="208"/>
        <v>27.136630118990013</v>
      </c>
      <c r="L766" s="33">
        <f t="shared" si="209"/>
        <v>0.32495493285332133</v>
      </c>
      <c r="M766" s="33">
        <f t="shared" si="210"/>
        <v>0.39865605164479634</v>
      </c>
      <c r="N766" s="8">
        <v>0</v>
      </c>
      <c r="O766" s="9">
        <v>1</v>
      </c>
      <c r="P766" s="8">
        <v>0</v>
      </c>
      <c r="Q766" s="9">
        <v>1</v>
      </c>
      <c r="R766" s="9">
        <v>0</v>
      </c>
      <c r="S766" s="9">
        <v>0</v>
      </c>
      <c r="T766" s="9">
        <v>0</v>
      </c>
      <c r="U766" s="8">
        <v>648</v>
      </c>
      <c r="V766" s="9">
        <v>7</v>
      </c>
      <c r="W766" s="9">
        <f t="shared" si="211"/>
        <v>640</v>
      </c>
      <c r="X766" s="9">
        <f t="shared" si="212"/>
        <v>10</v>
      </c>
      <c r="Y766" s="7">
        <v>9.6470000000000002</v>
      </c>
      <c r="Z766" s="7">
        <v>17.068999999999999</v>
      </c>
      <c r="AA766" s="9">
        <v>1</v>
      </c>
      <c r="AB766" s="9">
        <v>0</v>
      </c>
      <c r="AC766" s="9">
        <v>0</v>
      </c>
      <c r="AD766" s="9">
        <v>0</v>
      </c>
      <c r="AE766" s="9">
        <v>1</v>
      </c>
      <c r="AF766" s="9">
        <v>0</v>
      </c>
      <c r="AG766" s="8">
        <v>0</v>
      </c>
      <c r="AH766" s="9">
        <v>0</v>
      </c>
      <c r="AI766" s="30">
        <v>1</v>
      </c>
      <c r="AJ766" s="9">
        <v>0</v>
      </c>
      <c r="AK766" s="30">
        <v>1</v>
      </c>
      <c r="AL766" s="21">
        <v>2000</v>
      </c>
      <c r="AM766" s="23">
        <f t="shared" si="213"/>
        <v>7.6009024595420822</v>
      </c>
      <c r="AN766" s="33">
        <v>2.9000000000000001E-2</v>
      </c>
      <c r="AO766" s="33">
        <v>0.28000000000000003</v>
      </c>
      <c r="AP766" s="33">
        <f t="shared" si="222"/>
        <v>0.498</v>
      </c>
      <c r="AQ766" s="43">
        <v>0.193</v>
      </c>
      <c r="AR766" s="42">
        <v>1</v>
      </c>
      <c r="AS766" s="18">
        <v>0</v>
      </c>
      <c r="AT766">
        <v>0.6391</v>
      </c>
      <c r="AU766" s="40">
        <f>1-AT766</f>
        <v>0.3609</v>
      </c>
      <c r="AV766" t="s">
        <v>104</v>
      </c>
      <c r="AW766" s="40" t="s">
        <v>104</v>
      </c>
      <c r="AX766">
        <v>0</v>
      </c>
      <c r="AY766" s="18">
        <v>1</v>
      </c>
      <c r="AZ766">
        <f t="shared" si="22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2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19</v>
      </c>
      <c r="DB766" s="34"/>
    </row>
    <row r="767" spans="1:106" s="148" customFormat="1" x14ac:dyDescent="0.25">
      <c r="A767" s="148">
        <v>766</v>
      </c>
      <c r="B767" s="148">
        <v>48</v>
      </c>
      <c r="C767" s="149" t="s">
        <v>494</v>
      </c>
      <c r="D767" s="150">
        <v>5</v>
      </c>
      <c r="E767" s="151">
        <v>2.4</v>
      </c>
      <c r="F767" s="152">
        <f t="shared" si="214"/>
        <v>2.0833333333333335</v>
      </c>
      <c r="G767" s="152">
        <f t="shared" si="204"/>
        <v>2.6</v>
      </c>
      <c r="H767" s="153">
        <f t="shared" si="205"/>
        <v>7.4</v>
      </c>
      <c r="I767" s="154">
        <f t="shared" si="206"/>
        <v>8.1946074150553536E-2</v>
      </c>
      <c r="J767" s="155">
        <f t="shared" si="207"/>
        <v>3.9334115592265698E-2</v>
      </c>
      <c r="K767" s="155">
        <f t="shared" si="208"/>
        <v>25.423223198048234</v>
      </c>
      <c r="L767" s="155">
        <f t="shared" si="209"/>
        <v>4.2611958558287838E-2</v>
      </c>
      <c r="M767" s="155">
        <f t="shared" si="210"/>
        <v>0.12128018974281923</v>
      </c>
      <c r="N767" s="156">
        <v>0</v>
      </c>
      <c r="O767" s="157">
        <v>1</v>
      </c>
      <c r="P767" s="156">
        <v>0</v>
      </c>
      <c r="Q767" s="157">
        <v>1</v>
      </c>
      <c r="R767" s="157">
        <v>0</v>
      </c>
      <c r="S767" s="157">
        <v>0</v>
      </c>
      <c r="T767" s="157">
        <v>0</v>
      </c>
      <c r="U767" s="156">
        <v>648</v>
      </c>
      <c r="V767" s="157">
        <v>5</v>
      </c>
      <c r="W767" s="157">
        <f t="shared" si="211"/>
        <v>642</v>
      </c>
      <c r="X767" s="157">
        <f t="shared" si="212"/>
        <v>10</v>
      </c>
      <c r="Y767" s="152">
        <v>9.6470000000000002</v>
      </c>
      <c r="Z767" s="152">
        <v>17.068999999999999</v>
      </c>
      <c r="AA767" s="157">
        <v>1</v>
      </c>
      <c r="AB767" s="157">
        <v>0</v>
      </c>
      <c r="AC767" s="157">
        <v>0</v>
      </c>
      <c r="AD767" s="157">
        <v>0</v>
      </c>
      <c r="AE767" s="157">
        <v>1</v>
      </c>
      <c r="AF767" s="157">
        <v>0</v>
      </c>
      <c r="AG767" s="156">
        <v>0</v>
      </c>
      <c r="AH767" s="157">
        <v>0</v>
      </c>
      <c r="AI767" s="158">
        <v>1</v>
      </c>
      <c r="AJ767" s="157">
        <v>0</v>
      </c>
      <c r="AK767" s="158">
        <v>1</v>
      </c>
      <c r="AL767" s="159">
        <v>2000</v>
      </c>
      <c r="AM767" s="160">
        <f t="shared" si="213"/>
        <v>7.6009024595420822</v>
      </c>
      <c r="AN767" s="155">
        <v>2.9000000000000001E-2</v>
      </c>
      <c r="AO767" s="155">
        <v>0.28000000000000003</v>
      </c>
      <c r="AP767" s="155">
        <f t="shared" si="222"/>
        <v>0.498</v>
      </c>
      <c r="AQ767" s="161">
        <v>0.193</v>
      </c>
      <c r="AR767" s="162">
        <v>1</v>
      </c>
      <c r="AS767" s="163">
        <v>0</v>
      </c>
      <c r="AT767" s="148">
        <v>0.6391</v>
      </c>
      <c r="AU767" s="164">
        <f>1-AT767</f>
        <v>0.3609</v>
      </c>
      <c r="AV767" s="148" t="s">
        <v>104</v>
      </c>
      <c r="AW767" s="164" t="s">
        <v>104</v>
      </c>
      <c r="AX767">
        <v>0</v>
      </c>
      <c r="AY767" s="163">
        <v>1</v>
      </c>
      <c r="AZ767" s="148">
        <f t="shared" si="223"/>
        <v>0.34599999999999997</v>
      </c>
      <c r="BA767" s="163">
        <v>0.65400000000000003</v>
      </c>
      <c r="BB767" s="163" t="s">
        <v>13</v>
      </c>
      <c r="BC767">
        <v>0</v>
      </c>
      <c r="BD767">
        <v>1</v>
      </c>
      <c r="BE767">
        <v>0</v>
      </c>
      <c r="BF767">
        <v>0</v>
      </c>
      <c r="BG767">
        <v>0</v>
      </c>
      <c r="BH767" s="163">
        <v>0</v>
      </c>
      <c r="BI767">
        <v>0</v>
      </c>
      <c r="BJ767">
        <v>1</v>
      </c>
      <c r="BK767" s="163">
        <v>0</v>
      </c>
      <c r="BL767">
        <v>29</v>
      </c>
      <c r="BM767">
        <v>37</v>
      </c>
      <c r="BN767" s="179">
        <f t="shared" si="22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19</v>
      </c>
      <c r="CW767" s="165"/>
      <c r="DB767" s="165"/>
    </row>
    <row r="768" spans="1:106" x14ac:dyDescent="0.25">
      <c r="A768">
        <v>767</v>
      </c>
      <c r="B768">
        <v>49</v>
      </c>
      <c r="C768" s="25" t="s">
        <v>495</v>
      </c>
      <c r="D768" s="12">
        <v>1.5</v>
      </c>
      <c r="E768" s="14">
        <v>0.2</v>
      </c>
      <c r="F768" s="7">
        <f t="shared" si="214"/>
        <v>7.5</v>
      </c>
      <c r="G768" s="7">
        <f t="shared" si="204"/>
        <v>1.3</v>
      </c>
      <c r="H768" s="16">
        <f t="shared" si="205"/>
        <v>1.7</v>
      </c>
      <c r="I768" s="11">
        <f t="shared" si="206"/>
        <v>3.4257559150632909E-2</v>
      </c>
      <c r="J768" s="33">
        <f t="shared" si="207"/>
        <v>4.5676745534177212E-3</v>
      </c>
      <c r="K768" s="33">
        <f t="shared" si="208"/>
        <v>218.9297832639497</v>
      </c>
      <c r="L768" s="33">
        <f t="shared" si="209"/>
        <v>2.9689884597215187E-2</v>
      </c>
      <c r="M768" s="33">
        <f t="shared" si="210"/>
        <v>3.8825233704050631E-2</v>
      </c>
      <c r="N768" s="8">
        <v>0</v>
      </c>
      <c r="O768" s="9">
        <v>1</v>
      </c>
      <c r="P768" s="8">
        <v>0</v>
      </c>
      <c r="Q768" s="9">
        <v>0</v>
      </c>
      <c r="R768" s="9">
        <v>0</v>
      </c>
      <c r="S768" s="9">
        <v>1</v>
      </c>
      <c r="T768" s="9">
        <v>0</v>
      </c>
      <c r="U768" s="8">
        <v>47881</v>
      </c>
      <c r="V768" s="9">
        <v>6</v>
      </c>
      <c r="W768" s="9">
        <f t="shared" si="211"/>
        <v>47874</v>
      </c>
      <c r="X768" s="9">
        <f t="shared" si="212"/>
        <v>4</v>
      </c>
      <c r="Y768" s="7">
        <f>(6*AO768+11*AP768)</f>
        <v>9.8500000000000014</v>
      </c>
      <c r="Z768" s="7">
        <f t="shared" ref="Z768:Z777" si="225">BN768-Y768-6</f>
        <v>1.1499999999999986</v>
      </c>
      <c r="AA768" s="9">
        <v>1</v>
      </c>
      <c r="AB768" s="9">
        <v>0</v>
      </c>
      <c r="AC768" s="9">
        <v>1</v>
      </c>
      <c r="AD768" s="9">
        <v>0</v>
      </c>
      <c r="AE768" s="9">
        <v>0</v>
      </c>
      <c r="AF768" s="9">
        <v>0</v>
      </c>
      <c r="AG768" s="8">
        <v>0</v>
      </c>
      <c r="AH768" s="9">
        <v>0</v>
      </c>
      <c r="AI768" s="30">
        <v>1</v>
      </c>
      <c r="AJ768" s="9">
        <v>1</v>
      </c>
      <c r="AK768" s="30">
        <v>0</v>
      </c>
      <c r="AL768" s="21">
        <v>1987</v>
      </c>
      <c r="AM768" s="23">
        <f t="shared" si="213"/>
        <v>7.5943812425518171</v>
      </c>
      <c r="AN768" s="33">
        <v>0</v>
      </c>
      <c r="AO768" s="33">
        <v>0.23</v>
      </c>
      <c r="AP768" s="33">
        <v>0.77</v>
      </c>
      <c r="AQ768" s="43">
        <v>0</v>
      </c>
      <c r="AR768" s="42">
        <v>1</v>
      </c>
      <c r="AS768" s="18">
        <v>0</v>
      </c>
      <c r="AT768" s="33">
        <v>1</v>
      </c>
      <c r="AU768" s="40">
        <v>0</v>
      </c>
      <c r="AV768">
        <v>1</v>
      </c>
      <c r="AW768" s="40">
        <v>0</v>
      </c>
      <c r="AX768">
        <v>1</v>
      </c>
      <c r="AY768" s="18">
        <v>0</v>
      </c>
      <c r="AZ768">
        <f t="shared" si="223"/>
        <v>0.86519999999999997</v>
      </c>
      <c r="BA768" s="18">
        <v>0.1348</v>
      </c>
      <c r="BB768" s="18" t="s">
        <v>496</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12</v>
      </c>
      <c r="DB768" s="34"/>
    </row>
    <row r="769" spans="1:106" x14ac:dyDescent="0.25">
      <c r="A769">
        <v>768</v>
      </c>
      <c r="B769">
        <v>49</v>
      </c>
      <c r="C769" s="25" t="s">
        <v>495</v>
      </c>
      <c r="D769" s="12">
        <v>2.7</v>
      </c>
      <c r="E769" s="14">
        <v>0.2</v>
      </c>
      <c r="F769" s="7">
        <f t="shared" si="214"/>
        <v>13.5</v>
      </c>
      <c r="G769" s="7">
        <f t="shared" si="204"/>
        <v>2.5</v>
      </c>
      <c r="H769" s="16">
        <f t="shared" si="205"/>
        <v>2.9000000000000004</v>
      </c>
      <c r="I769" s="11">
        <f t="shared" si="206"/>
        <v>6.1583355408391327E-2</v>
      </c>
      <c r="J769" s="33">
        <f t="shared" si="207"/>
        <v>4.5617300302512095E-3</v>
      </c>
      <c r="K769" s="33">
        <f t="shared" si="208"/>
        <v>219.21507703622942</v>
      </c>
      <c r="L769" s="33">
        <f t="shared" si="209"/>
        <v>5.7021625378140116E-2</v>
      </c>
      <c r="M769" s="33">
        <f t="shared" si="210"/>
        <v>6.6145085438642531E-2</v>
      </c>
      <c r="N769" s="8">
        <v>0</v>
      </c>
      <c r="O769" s="9">
        <v>1</v>
      </c>
      <c r="P769" s="8">
        <v>0</v>
      </c>
      <c r="Q769" s="9">
        <v>0</v>
      </c>
      <c r="R769" s="9">
        <v>0</v>
      </c>
      <c r="S769" s="9">
        <v>1</v>
      </c>
      <c r="T769" s="9">
        <v>0</v>
      </c>
      <c r="U769" s="8">
        <v>47881</v>
      </c>
      <c r="V769" s="9">
        <v>7</v>
      </c>
      <c r="W769" s="9">
        <f t="shared" si="211"/>
        <v>47873</v>
      </c>
      <c r="X769" s="9">
        <f t="shared" si="212"/>
        <v>4</v>
      </c>
      <c r="Y769" s="7">
        <f>(6*AO769+11*AP769)</f>
        <v>9.8500000000000014</v>
      </c>
      <c r="Z769" s="7">
        <f t="shared" si="225"/>
        <v>1.1499999999999986</v>
      </c>
      <c r="AA769" s="9">
        <v>1</v>
      </c>
      <c r="AB769" s="9">
        <v>0</v>
      </c>
      <c r="AC769" s="9">
        <v>1</v>
      </c>
      <c r="AD769" s="9">
        <v>0</v>
      </c>
      <c r="AE769" s="9">
        <v>0</v>
      </c>
      <c r="AF769" s="9">
        <v>0</v>
      </c>
      <c r="AG769" s="8">
        <v>0</v>
      </c>
      <c r="AH769" s="9">
        <v>0</v>
      </c>
      <c r="AI769" s="30">
        <v>1</v>
      </c>
      <c r="AJ769" s="9">
        <v>1</v>
      </c>
      <c r="AK769" s="30">
        <v>0</v>
      </c>
      <c r="AL769" s="21">
        <v>1987</v>
      </c>
      <c r="AM769" s="23">
        <f t="shared" si="213"/>
        <v>7.5943812425518171</v>
      </c>
      <c r="AN769" s="33">
        <v>0</v>
      </c>
      <c r="AO769" s="33">
        <v>0.23</v>
      </c>
      <c r="AP769" s="33">
        <v>0.77</v>
      </c>
      <c r="AQ769" s="43">
        <v>0</v>
      </c>
      <c r="AR769" s="42">
        <v>1</v>
      </c>
      <c r="AS769" s="18">
        <v>0</v>
      </c>
      <c r="AT769" s="33">
        <v>1</v>
      </c>
      <c r="AU769" s="40">
        <v>0</v>
      </c>
      <c r="AV769">
        <v>1</v>
      </c>
      <c r="AW769" s="40">
        <v>0</v>
      </c>
      <c r="AX769">
        <v>1</v>
      </c>
      <c r="AY769" s="18">
        <v>0</v>
      </c>
      <c r="AZ769">
        <f t="shared" si="223"/>
        <v>0.86519999999999997</v>
      </c>
      <c r="BA769" s="18">
        <v>0.1348</v>
      </c>
      <c r="BB769" s="18" t="s">
        <v>496</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12</v>
      </c>
      <c r="DB769" s="34"/>
    </row>
    <row r="770" spans="1:106" x14ac:dyDescent="0.25">
      <c r="A770">
        <v>769</v>
      </c>
      <c r="B770">
        <v>49</v>
      </c>
      <c r="C770" s="25" t="s">
        <v>495</v>
      </c>
      <c r="D770" s="12">
        <v>2.6</v>
      </c>
      <c r="E770" s="14">
        <v>1.6</v>
      </c>
      <c r="F770" s="7">
        <f t="shared" si="214"/>
        <v>1.625</v>
      </c>
      <c r="G770" s="7">
        <f t="shared" ref="G770:G833" si="226">D770-E770</f>
        <v>1</v>
      </c>
      <c r="H770" s="16">
        <f t="shared" ref="H770:H833" si="227">D770+E770</f>
        <v>4.2</v>
      </c>
      <c r="I770" s="11">
        <f t="shared" ref="I770:I833" si="228">IFERROR(F770/SQRT(F770^2+W770), "X")</f>
        <v>7.4267031656713844E-3</v>
      </c>
      <c r="J770" s="33">
        <f t="shared" ref="J770:J833" si="229">IFERROR(SQRT((1-I770^2)/W770), "X")</f>
        <v>4.5702788711823898E-3</v>
      </c>
      <c r="K770" s="33">
        <f t="shared" ref="K770:K833" si="230">IFERROR(1/J770, "X")</f>
        <v>218.8050287927588</v>
      </c>
      <c r="L770" s="33">
        <f t="shared" ref="L770:L833" si="231">IFERROR(I770-J770, "X")</f>
        <v>2.8564242944889946E-3</v>
      </c>
      <c r="M770" s="33">
        <f t="shared" ref="M770:M833" si="232">IFERROR(I770+J770, "X")</f>
        <v>1.1996982036853773E-2</v>
      </c>
      <c r="N770" s="8">
        <v>0</v>
      </c>
      <c r="O770" s="9">
        <v>1</v>
      </c>
      <c r="P770" s="8">
        <v>0</v>
      </c>
      <c r="Q770" s="9">
        <v>0</v>
      </c>
      <c r="R770" s="9">
        <v>0</v>
      </c>
      <c r="S770" s="9">
        <v>1</v>
      </c>
      <c r="T770" s="9">
        <v>0</v>
      </c>
      <c r="U770" s="8">
        <v>47881</v>
      </c>
      <c r="V770" s="9">
        <v>7</v>
      </c>
      <c r="W770" s="9">
        <f t="shared" ref="W770:W833" si="233">U770-V770-1</f>
        <v>47873</v>
      </c>
      <c r="X770" s="9">
        <f t="shared" ref="X770:X833" si="234">COUNTIF(B:B,B770)</f>
        <v>4</v>
      </c>
      <c r="Y770" s="7">
        <f>(6*AO770+11*AP770)</f>
        <v>9.8500000000000014</v>
      </c>
      <c r="Z770" s="7">
        <f t="shared" si="225"/>
        <v>1.1499999999999986</v>
      </c>
      <c r="AA770" s="9">
        <v>1</v>
      </c>
      <c r="AB770" s="9">
        <v>0</v>
      </c>
      <c r="AC770" s="9">
        <v>1</v>
      </c>
      <c r="AD770" s="9">
        <v>0</v>
      </c>
      <c r="AE770" s="9">
        <v>0</v>
      </c>
      <c r="AF770" s="9">
        <v>0</v>
      </c>
      <c r="AG770" s="8">
        <v>0</v>
      </c>
      <c r="AH770" s="9">
        <v>0</v>
      </c>
      <c r="AI770" s="30">
        <v>1</v>
      </c>
      <c r="AJ770" s="9">
        <v>1</v>
      </c>
      <c r="AK770" s="30">
        <v>0</v>
      </c>
      <c r="AL770" s="21">
        <v>1987</v>
      </c>
      <c r="AM770" s="23">
        <f t="shared" ref="AM770:AM833" si="235">LN(AL770)</f>
        <v>7.5943812425518171</v>
      </c>
      <c r="AN770" s="33">
        <v>0</v>
      </c>
      <c r="AO770" s="33">
        <v>0.23</v>
      </c>
      <c r="AP770" s="33">
        <v>0.77</v>
      </c>
      <c r="AQ770" s="43">
        <v>0</v>
      </c>
      <c r="AR770" s="42">
        <v>1</v>
      </c>
      <c r="AS770" s="18">
        <v>0</v>
      </c>
      <c r="AT770" s="33">
        <v>1</v>
      </c>
      <c r="AU770" s="40">
        <v>0</v>
      </c>
      <c r="AV770">
        <v>1</v>
      </c>
      <c r="AW770" s="40">
        <v>0</v>
      </c>
      <c r="AX770">
        <v>1</v>
      </c>
      <c r="AY770" s="18">
        <v>0</v>
      </c>
      <c r="AZ770">
        <f t="shared" si="223"/>
        <v>0.86519999999999997</v>
      </c>
      <c r="BA770" s="18">
        <v>0.1348</v>
      </c>
      <c r="BB770" s="18" t="s">
        <v>496</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12</v>
      </c>
      <c r="DB770" s="34"/>
    </row>
    <row r="771" spans="1:106" s="148" customFormat="1" x14ac:dyDescent="0.25">
      <c r="A771" s="148">
        <v>770</v>
      </c>
      <c r="B771" s="148">
        <v>49</v>
      </c>
      <c r="C771" s="149" t="s">
        <v>495</v>
      </c>
      <c r="D771" s="150">
        <v>4.0999999999999996</v>
      </c>
      <c r="E771" s="151">
        <v>1.8</v>
      </c>
      <c r="F771" s="152">
        <f t="shared" si="214"/>
        <v>2.2777777777777777</v>
      </c>
      <c r="G771" s="152">
        <f t="shared" si="226"/>
        <v>2.2999999999999998</v>
      </c>
      <c r="H771" s="153">
        <f t="shared" si="227"/>
        <v>5.8999999999999995</v>
      </c>
      <c r="I771" s="154">
        <f t="shared" si="228"/>
        <v>1.0409802681932152E-2</v>
      </c>
      <c r="J771" s="155">
        <f t="shared" si="229"/>
        <v>4.5701572749946035E-3</v>
      </c>
      <c r="K771" s="155">
        <f t="shared" si="230"/>
        <v>218.81085044303663</v>
      </c>
      <c r="L771" s="155">
        <f t="shared" si="231"/>
        <v>5.8396454069375488E-3</v>
      </c>
      <c r="M771" s="155">
        <f t="shared" si="232"/>
        <v>1.4979959956926756E-2</v>
      </c>
      <c r="N771" s="156">
        <v>0</v>
      </c>
      <c r="O771" s="157">
        <v>1</v>
      </c>
      <c r="P771" s="156">
        <v>0</v>
      </c>
      <c r="Q771" s="157">
        <v>0</v>
      </c>
      <c r="R771" s="157">
        <v>0</v>
      </c>
      <c r="S771" s="157">
        <v>1</v>
      </c>
      <c r="T771" s="157">
        <v>0</v>
      </c>
      <c r="U771" s="156">
        <v>47881</v>
      </c>
      <c r="V771" s="157">
        <v>7</v>
      </c>
      <c r="W771" s="157">
        <f t="shared" si="233"/>
        <v>47873</v>
      </c>
      <c r="X771" s="157">
        <f t="shared" si="234"/>
        <v>4</v>
      </c>
      <c r="Y771" s="152">
        <f>(6*AO771+11*AP771)</f>
        <v>9.8500000000000014</v>
      </c>
      <c r="Z771" s="152">
        <f t="shared" si="225"/>
        <v>1.1499999999999986</v>
      </c>
      <c r="AA771" s="157">
        <v>1</v>
      </c>
      <c r="AB771" s="157">
        <v>0</v>
      </c>
      <c r="AC771" s="157">
        <v>1</v>
      </c>
      <c r="AD771" s="157">
        <v>0</v>
      </c>
      <c r="AE771" s="157">
        <v>0</v>
      </c>
      <c r="AF771" s="157">
        <v>0</v>
      </c>
      <c r="AG771" s="156">
        <v>0</v>
      </c>
      <c r="AH771" s="157">
        <v>0</v>
      </c>
      <c r="AI771" s="158">
        <v>1</v>
      </c>
      <c r="AJ771" s="157">
        <v>1</v>
      </c>
      <c r="AK771" s="158">
        <v>0</v>
      </c>
      <c r="AL771" s="159">
        <v>1987</v>
      </c>
      <c r="AM771" s="160">
        <f t="shared" si="235"/>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23"/>
        <v>0.86519999999999997</v>
      </c>
      <c r="BA771" s="163">
        <v>0.1348</v>
      </c>
      <c r="BB771" s="163" t="s">
        <v>496</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12</v>
      </c>
      <c r="CW771" s="165"/>
      <c r="DB771" s="165"/>
    </row>
    <row r="772" spans="1:106" x14ac:dyDescent="0.25">
      <c r="A772">
        <v>771</v>
      </c>
      <c r="B772">
        <v>50</v>
      </c>
      <c r="C772" s="25" t="s">
        <v>497</v>
      </c>
      <c r="D772" s="12">
        <v>8.6</v>
      </c>
      <c r="E772" s="14">
        <v>0.5</v>
      </c>
      <c r="F772" s="7">
        <f t="shared" si="214"/>
        <v>17.2</v>
      </c>
      <c r="G772" s="7">
        <f t="shared" si="226"/>
        <v>8.1</v>
      </c>
      <c r="H772" s="16">
        <f t="shared" si="227"/>
        <v>9.1</v>
      </c>
      <c r="I772" s="11">
        <f t="shared" si="228"/>
        <v>9.4587141279251663E-2</v>
      </c>
      <c r="J772" s="33">
        <f t="shared" si="229"/>
        <v>5.499252399956492E-3</v>
      </c>
      <c r="K772" s="33">
        <f t="shared" si="230"/>
        <v>181.8428992289773</v>
      </c>
      <c r="L772" s="33">
        <f t="shared" si="231"/>
        <v>8.9087888879295168E-2</v>
      </c>
      <c r="M772" s="33">
        <f t="shared" si="232"/>
        <v>0.10008639367920816</v>
      </c>
      <c r="N772" s="8">
        <v>0</v>
      </c>
      <c r="O772" s="9">
        <v>1</v>
      </c>
      <c r="P772" s="8">
        <v>0</v>
      </c>
      <c r="Q772" s="9">
        <v>0</v>
      </c>
      <c r="R772" s="9">
        <v>0</v>
      </c>
      <c r="S772" s="9">
        <v>1</v>
      </c>
      <c r="T772" s="9">
        <v>0</v>
      </c>
      <c r="U772" s="8">
        <v>32775</v>
      </c>
      <c r="V772" s="9">
        <v>3</v>
      </c>
      <c r="W772" s="9">
        <f t="shared" si="233"/>
        <v>32771</v>
      </c>
      <c r="X772" s="9">
        <f t="shared" si="234"/>
        <v>6</v>
      </c>
      <c r="Y772" s="7">
        <v>12.6</v>
      </c>
      <c r="Z772" s="7">
        <f t="shared" si="225"/>
        <v>25.9</v>
      </c>
      <c r="AA772" s="9">
        <v>1</v>
      </c>
      <c r="AB772" s="9">
        <v>0</v>
      </c>
      <c r="AC772" s="9">
        <v>1</v>
      </c>
      <c r="AD772" s="9">
        <v>0</v>
      </c>
      <c r="AE772" s="9">
        <v>0</v>
      </c>
      <c r="AF772" s="9">
        <v>0</v>
      </c>
      <c r="AG772" s="8">
        <v>0</v>
      </c>
      <c r="AH772" s="9">
        <v>1</v>
      </c>
      <c r="AI772" s="30">
        <v>0</v>
      </c>
      <c r="AJ772" s="9">
        <v>0</v>
      </c>
      <c r="AK772" s="30">
        <v>1</v>
      </c>
      <c r="AL772" s="21">
        <v>2008</v>
      </c>
      <c r="AM772" s="23">
        <f t="shared" si="235"/>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0.14599999999999999</v>
      </c>
      <c r="CS772">
        <v>7</v>
      </c>
      <c r="CT772">
        <v>0</v>
      </c>
      <c r="CU772">
        <v>1</v>
      </c>
      <c r="CV772">
        <v>21</v>
      </c>
      <c r="DB772" s="34"/>
    </row>
    <row r="773" spans="1:106" x14ac:dyDescent="0.25">
      <c r="A773">
        <v>772</v>
      </c>
      <c r="B773">
        <v>50</v>
      </c>
      <c r="C773" s="25" t="s">
        <v>497</v>
      </c>
      <c r="D773" s="12">
        <v>9</v>
      </c>
      <c r="E773" s="14">
        <v>0.7</v>
      </c>
      <c r="F773" s="7">
        <f t="shared" si="214"/>
        <v>12.857142857142858</v>
      </c>
      <c r="G773" s="7">
        <f t="shared" si="226"/>
        <v>8.3000000000000007</v>
      </c>
      <c r="H773" s="16">
        <f t="shared" si="227"/>
        <v>9.6999999999999993</v>
      </c>
      <c r="I773" s="11">
        <f t="shared" si="228"/>
        <v>7.0813475985194219E-2</v>
      </c>
      <c r="J773" s="33">
        <f t="shared" si="229"/>
        <v>5.5077147988484383E-3</v>
      </c>
      <c r="K773" s="33">
        <f t="shared" si="230"/>
        <v>181.5635043791813</v>
      </c>
      <c r="L773" s="33">
        <f t="shared" si="231"/>
        <v>6.5305761186345776E-2</v>
      </c>
      <c r="M773" s="33">
        <f t="shared" si="232"/>
        <v>7.6321190784042661E-2</v>
      </c>
      <c r="N773" s="8">
        <v>0</v>
      </c>
      <c r="O773" s="9">
        <v>1</v>
      </c>
      <c r="P773" s="8">
        <v>0</v>
      </c>
      <c r="Q773" s="9">
        <v>0</v>
      </c>
      <c r="R773" s="9">
        <v>0</v>
      </c>
      <c r="S773" s="9">
        <v>1</v>
      </c>
      <c r="T773" s="9">
        <v>0</v>
      </c>
      <c r="U773" s="8">
        <v>32804</v>
      </c>
      <c r="V773" s="9">
        <v>3</v>
      </c>
      <c r="W773" s="9">
        <f t="shared" si="233"/>
        <v>32800</v>
      </c>
      <c r="X773" s="9">
        <f t="shared" si="234"/>
        <v>6</v>
      </c>
      <c r="Y773" s="7">
        <v>12.6</v>
      </c>
      <c r="Z773" s="7">
        <f t="shared" si="225"/>
        <v>25.9</v>
      </c>
      <c r="AA773" s="9">
        <v>1</v>
      </c>
      <c r="AB773" s="9">
        <v>0</v>
      </c>
      <c r="AC773" s="9">
        <v>0</v>
      </c>
      <c r="AD773" s="9">
        <v>1</v>
      </c>
      <c r="AE773" s="9">
        <v>0</v>
      </c>
      <c r="AF773" s="9">
        <v>0</v>
      </c>
      <c r="AG773" s="8">
        <v>0</v>
      </c>
      <c r="AH773" s="9">
        <v>1</v>
      </c>
      <c r="AI773" s="30">
        <v>0</v>
      </c>
      <c r="AJ773" s="9">
        <v>0</v>
      </c>
      <c r="AK773" s="30">
        <v>1</v>
      </c>
      <c r="AL773" s="21">
        <v>2008</v>
      </c>
      <c r="AM773" s="23">
        <f t="shared" si="235"/>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0.14599999999999999</v>
      </c>
      <c r="CS773">
        <v>7</v>
      </c>
      <c r="CT773">
        <v>0</v>
      </c>
      <c r="CU773">
        <v>1</v>
      </c>
      <c r="CV773">
        <v>21</v>
      </c>
      <c r="DB773" s="34"/>
    </row>
    <row r="774" spans="1:106" x14ac:dyDescent="0.25">
      <c r="A774">
        <v>773</v>
      </c>
      <c r="B774">
        <v>50</v>
      </c>
      <c r="C774" s="25" t="s">
        <v>497</v>
      </c>
      <c r="D774" s="12">
        <v>10.3</v>
      </c>
      <c r="E774" s="14">
        <v>0.7</v>
      </c>
      <c r="F774" s="7">
        <f t="shared" si="214"/>
        <v>14.714285714285717</v>
      </c>
      <c r="G774" s="7">
        <f t="shared" si="226"/>
        <v>9.6000000000000014</v>
      </c>
      <c r="H774" s="16">
        <f t="shared" si="227"/>
        <v>11</v>
      </c>
      <c r="I774" s="11">
        <f t="shared" si="228"/>
        <v>8.0004977370878347E-2</v>
      </c>
      <c r="J774" s="33">
        <f t="shared" si="229"/>
        <v>5.4372314718072658E-3</v>
      </c>
      <c r="K774" s="33">
        <f t="shared" si="230"/>
        <v>183.91712863157045</v>
      </c>
      <c r="L774" s="33">
        <f t="shared" si="231"/>
        <v>7.4567745899071086E-2</v>
      </c>
      <c r="M774" s="33">
        <f t="shared" si="232"/>
        <v>8.5442208842685607E-2</v>
      </c>
      <c r="N774" s="8">
        <v>0</v>
      </c>
      <c r="O774" s="9">
        <v>1</v>
      </c>
      <c r="P774" s="8">
        <v>0</v>
      </c>
      <c r="Q774" s="9">
        <v>0</v>
      </c>
      <c r="R774" s="9">
        <v>0</v>
      </c>
      <c r="S774" s="9">
        <v>1</v>
      </c>
      <c r="T774" s="9">
        <v>0</v>
      </c>
      <c r="U774" s="8">
        <v>33613</v>
      </c>
      <c r="V774" s="9">
        <v>3</v>
      </c>
      <c r="W774" s="9">
        <f t="shared" si="233"/>
        <v>33609</v>
      </c>
      <c r="X774" s="9">
        <f t="shared" si="234"/>
        <v>6</v>
      </c>
      <c r="Y774" s="7">
        <v>12.6</v>
      </c>
      <c r="Z774" s="7">
        <f t="shared" si="225"/>
        <v>25.9</v>
      </c>
      <c r="AA774" s="9">
        <v>1</v>
      </c>
      <c r="AB774" s="9">
        <v>0</v>
      </c>
      <c r="AC774" s="9">
        <v>0</v>
      </c>
      <c r="AD774" s="9">
        <v>0</v>
      </c>
      <c r="AE774" s="9">
        <v>0</v>
      </c>
      <c r="AF774" s="9">
        <v>1</v>
      </c>
      <c r="AG774" s="8">
        <v>0</v>
      </c>
      <c r="AH774" s="9">
        <v>1</v>
      </c>
      <c r="AI774" s="30">
        <v>0</v>
      </c>
      <c r="AJ774" s="9">
        <v>0</v>
      </c>
      <c r="AK774" s="30">
        <v>1</v>
      </c>
      <c r="AL774" s="21">
        <v>2008</v>
      </c>
      <c r="AM774" s="23">
        <f t="shared" si="235"/>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0.14599999999999999</v>
      </c>
      <c r="CS774">
        <v>7</v>
      </c>
      <c r="CT774">
        <v>0</v>
      </c>
      <c r="CU774">
        <v>1</v>
      </c>
      <c r="CV774">
        <v>21</v>
      </c>
      <c r="DB774" s="34"/>
    </row>
    <row r="775" spans="1:106" x14ac:dyDescent="0.25">
      <c r="A775">
        <v>774</v>
      </c>
      <c r="B775">
        <v>50</v>
      </c>
      <c r="C775" s="25" t="s">
        <v>497</v>
      </c>
      <c r="D775" s="12">
        <v>7.6</v>
      </c>
      <c r="E775" s="14">
        <v>0.3</v>
      </c>
      <c r="F775" s="7">
        <f t="shared" si="214"/>
        <v>25.333333333333332</v>
      </c>
      <c r="G775" s="7">
        <f t="shared" si="226"/>
        <v>7.3</v>
      </c>
      <c r="H775" s="16">
        <f t="shared" si="227"/>
        <v>7.8999999999999995</v>
      </c>
      <c r="I775" s="11">
        <f t="shared" si="228"/>
        <v>0.13855815394052531</v>
      </c>
      <c r="J775" s="33">
        <f t="shared" si="229"/>
        <v>5.4694008134417889E-3</v>
      </c>
      <c r="K775" s="33">
        <f t="shared" si="230"/>
        <v>182.83538437014258</v>
      </c>
      <c r="L775" s="33">
        <f t="shared" si="231"/>
        <v>0.13308875312708351</v>
      </c>
      <c r="M775" s="33">
        <f t="shared" si="232"/>
        <v>0.14402755475396711</v>
      </c>
      <c r="N775" s="8">
        <v>0</v>
      </c>
      <c r="O775" s="9">
        <v>1</v>
      </c>
      <c r="P775" s="8">
        <v>0</v>
      </c>
      <c r="Q775" s="9">
        <v>0</v>
      </c>
      <c r="R775" s="9">
        <v>0</v>
      </c>
      <c r="S775" s="9">
        <v>1</v>
      </c>
      <c r="T775" s="9">
        <v>0</v>
      </c>
      <c r="U775" s="8">
        <v>32791</v>
      </c>
      <c r="V775" s="9">
        <v>3</v>
      </c>
      <c r="W775" s="9">
        <f t="shared" si="233"/>
        <v>32787</v>
      </c>
      <c r="X775" s="9">
        <f t="shared" si="234"/>
        <v>6</v>
      </c>
      <c r="Y775" s="7">
        <v>12.8</v>
      </c>
      <c r="Z775" s="7">
        <f t="shared" si="225"/>
        <v>25.7</v>
      </c>
      <c r="AA775" s="9">
        <v>1</v>
      </c>
      <c r="AB775" s="9">
        <v>0</v>
      </c>
      <c r="AC775" s="9">
        <v>1</v>
      </c>
      <c r="AD775" s="9">
        <v>0</v>
      </c>
      <c r="AE775" s="9">
        <v>0</v>
      </c>
      <c r="AF775" s="9">
        <v>0</v>
      </c>
      <c r="AG775" s="8">
        <v>0</v>
      </c>
      <c r="AH775" s="9">
        <v>1</v>
      </c>
      <c r="AI775" s="30">
        <v>0</v>
      </c>
      <c r="AJ775" s="9">
        <v>0</v>
      </c>
      <c r="AK775" s="30">
        <v>1</v>
      </c>
      <c r="AL775" s="21">
        <v>2008</v>
      </c>
      <c r="AM775" s="23">
        <f t="shared" si="235"/>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0.14599999999999999</v>
      </c>
      <c r="CS775">
        <v>7</v>
      </c>
      <c r="CT775">
        <v>0</v>
      </c>
      <c r="CU775">
        <v>1</v>
      </c>
      <c r="CV775">
        <v>21</v>
      </c>
      <c r="DB775" s="34"/>
    </row>
    <row r="776" spans="1:106" x14ac:dyDescent="0.25">
      <c r="A776">
        <v>775</v>
      </c>
      <c r="B776">
        <v>50</v>
      </c>
      <c r="C776" s="25" t="s">
        <v>497</v>
      </c>
      <c r="D776" s="12">
        <v>11.2</v>
      </c>
      <c r="E776" s="14">
        <v>0.5</v>
      </c>
      <c r="F776" s="7">
        <f t="shared" si="214"/>
        <v>22.4</v>
      </c>
      <c r="G776" s="7">
        <f t="shared" si="226"/>
        <v>10.7</v>
      </c>
      <c r="H776" s="16">
        <f t="shared" si="227"/>
        <v>11.7</v>
      </c>
      <c r="I776" s="11">
        <f t="shared" si="228"/>
        <v>0.12271852327728827</v>
      </c>
      <c r="J776" s="33">
        <f t="shared" si="229"/>
        <v>5.4785055034503698E-3</v>
      </c>
      <c r="K776" s="33">
        <f t="shared" si="230"/>
        <v>182.53153152263857</v>
      </c>
      <c r="L776" s="33">
        <f t="shared" si="231"/>
        <v>0.1172400177738379</v>
      </c>
      <c r="M776" s="33">
        <f t="shared" si="232"/>
        <v>0.12819702878073863</v>
      </c>
      <c r="N776" s="8">
        <v>0</v>
      </c>
      <c r="O776" s="9">
        <v>1</v>
      </c>
      <c r="P776" s="8">
        <v>0</v>
      </c>
      <c r="Q776" s="9">
        <v>0</v>
      </c>
      <c r="R776" s="9">
        <v>0</v>
      </c>
      <c r="S776" s="9">
        <v>1</v>
      </c>
      <c r="T776" s="9">
        <v>0</v>
      </c>
      <c r="U776" s="8">
        <v>32820</v>
      </c>
      <c r="V776" s="9">
        <v>3</v>
      </c>
      <c r="W776" s="9">
        <f t="shared" si="233"/>
        <v>32816</v>
      </c>
      <c r="X776" s="9">
        <f t="shared" si="234"/>
        <v>6</v>
      </c>
      <c r="Y776" s="7">
        <v>12.8</v>
      </c>
      <c r="Z776" s="7">
        <f t="shared" si="225"/>
        <v>25.7</v>
      </c>
      <c r="AA776" s="9">
        <v>1</v>
      </c>
      <c r="AB776" s="9">
        <v>0</v>
      </c>
      <c r="AC776" s="9">
        <v>0</v>
      </c>
      <c r="AD776" s="9">
        <v>1</v>
      </c>
      <c r="AE776" s="9">
        <v>0</v>
      </c>
      <c r="AF776" s="9">
        <v>0</v>
      </c>
      <c r="AG776" s="8">
        <v>0</v>
      </c>
      <c r="AH776" s="9">
        <v>1</v>
      </c>
      <c r="AI776" s="30">
        <v>0</v>
      </c>
      <c r="AJ776" s="9">
        <v>0</v>
      </c>
      <c r="AK776" s="30">
        <v>1</v>
      </c>
      <c r="AL776" s="21">
        <v>2008</v>
      </c>
      <c r="AM776" s="23">
        <f t="shared" si="235"/>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0.14599999999999999</v>
      </c>
      <c r="CS776">
        <v>7</v>
      </c>
      <c r="CT776">
        <v>0</v>
      </c>
      <c r="CU776">
        <v>1</v>
      </c>
      <c r="CV776">
        <v>21</v>
      </c>
      <c r="DB776" s="34"/>
    </row>
    <row r="777" spans="1:106" s="148" customFormat="1" x14ac:dyDescent="0.25">
      <c r="A777" s="148">
        <v>776</v>
      </c>
      <c r="B777" s="148">
        <v>50</v>
      </c>
      <c r="C777" s="149" t="s">
        <v>497</v>
      </c>
      <c r="D777" s="150">
        <v>11.4</v>
      </c>
      <c r="E777" s="151">
        <v>0.5</v>
      </c>
      <c r="F777" s="152">
        <f t="shared" si="214"/>
        <v>22.8</v>
      </c>
      <c r="G777" s="152">
        <f t="shared" si="226"/>
        <v>10.9</v>
      </c>
      <c r="H777" s="153">
        <f t="shared" si="227"/>
        <v>11.9</v>
      </c>
      <c r="I777" s="154">
        <f t="shared" si="228"/>
        <v>0.12474327691742701</v>
      </c>
      <c r="J777" s="155">
        <f t="shared" si="229"/>
        <v>5.4711963560275002E-3</v>
      </c>
      <c r="K777" s="155">
        <f t="shared" si="230"/>
        <v>182.77538127439374</v>
      </c>
      <c r="L777" s="155">
        <f t="shared" si="231"/>
        <v>0.11927208056139951</v>
      </c>
      <c r="M777" s="155">
        <f t="shared" si="232"/>
        <v>0.13021447327345451</v>
      </c>
      <c r="N777" s="156">
        <v>0</v>
      </c>
      <c r="O777" s="157">
        <v>1</v>
      </c>
      <c r="P777" s="156">
        <v>0</v>
      </c>
      <c r="Q777" s="157">
        <v>0</v>
      </c>
      <c r="R777" s="157">
        <v>0</v>
      </c>
      <c r="S777" s="157">
        <v>1</v>
      </c>
      <c r="T777" s="157">
        <v>0</v>
      </c>
      <c r="U777" s="156">
        <v>32891</v>
      </c>
      <c r="V777" s="157">
        <v>3</v>
      </c>
      <c r="W777" s="157">
        <f t="shared" si="233"/>
        <v>32887</v>
      </c>
      <c r="X777" s="157">
        <f t="shared" si="234"/>
        <v>6</v>
      </c>
      <c r="Y777" s="152">
        <v>12.8</v>
      </c>
      <c r="Z777" s="152">
        <f t="shared" si="225"/>
        <v>25.7</v>
      </c>
      <c r="AA777" s="157">
        <v>1</v>
      </c>
      <c r="AB777" s="157">
        <v>0</v>
      </c>
      <c r="AC777" s="157">
        <v>0</v>
      </c>
      <c r="AD777" s="157">
        <v>0</v>
      </c>
      <c r="AE777" s="157">
        <v>0</v>
      </c>
      <c r="AF777" s="157">
        <v>1</v>
      </c>
      <c r="AG777" s="156">
        <v>0</v>
      </c>
      <c r="AH777" s="157">
        <v>1</v>
      </c>
      <c r="AI777" s="158">
        <v>0</v>
      </c>
      <c r="AJ777" s="157">
        <v>0</v>
      </c>
      <c r="AK777" s="158">
        <v>1</v>
      </c>
      <c r="AL777" s="159">
        <v>2008</v>
      </c>
      <c r="AM777" s="160">
        <f t="shared" si="235"/>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0.14599999999999999</v>
      </c>
      <c r="CS777">
        <v>7</v>
      </c>
      <c r="CT777">
        <v>0</v>
      </c>
      <c r="CU777">
        <v>1</v>
      </c>
      <c r="CV777">
        <v>21</v>
      </c>
      <c r="CW777" s="165"/>
      <c r="DB777" s="165"/>
    </row>
    <row r="778" spans="1:106" s="130" customFormat="1" x14ac:dyDescent="0.25">
      <c r="A778" s="130">
        <v>777</v>
      </c>
      <c r="B778" s="130">
        <v>51</v>
      </c>
      <c r="C778" s="131" t="s">
        <v>499</v>
      </c>
      <c r="D778" s="132">
        <v>6.9290000000000003</v>
      </c>
      <c r="E778" s="133">
        <v>0.35099999999999998</v>
      </c>
      <c r="F778" s="134">
        <f t="shared" si="214"/>
        <v>19.740740740740744</v>
      </c>
      <c r="G778" s="134">
        <f t="shared" si="226"/>
        <v>6.5780000000000003</v>
      </c>
      <c r="H778" s="135">
        <f t="shared" si="227"/>
        <v>7.28</v>
      </c>
      <c r="I778" s="136">
        <f t="shared" si="228"/>
        <v>0.27982908448508376</v>
      </c>
      <c r="J778" s="137">
        <f t="shared" si="229"/>
        <v>1.4175206906373847E-2</v>
      </c>
      <c r="K778" s="137">
        <f t="shared" si="230"/>
        <v>70.545707488075706</v>
      </c>
      <c r="L778" s="137">
        <f t="shared" si="231"/>
        <v>0.2656538775787099</v>
      </c>
      <c r="M778" s="137">
        <f t="shared" si="232"/>
        <v>0.29400429139145762</v>
      </c>
      <c r="N778" s="138">
        <v>1</v>
      </c>
      <c r="O778" s="139">
        <v>0</v>
      </c>
      <c r="P778" s="138">
        <v>0</v>
      </c>
      <c r="Q778" s="139">
        <v>0</v>
      </c>
      <c r="R778" s="139">
        <v>1</v>
      </c>
      <c r="S778" s="139">
        <v>0</v>
      </c>
      <c r="T778" s="139">
        <v>0</v>
      </c>
      <c r="U778" s="138">
        <v>4596</v>
      </c>
      <c r="V778" s="139">
        <v>8</v>
      </c>
      <c r="W778" s="139">
        <f t="shared" si="233"/>
        <v>4587</v>
      </c>
      <c r="X778" s="139">
        <f t="shared" si="234"/>
        <v>1</v>
      </c>
      <c r="Y778" s="134">
        <v>10.683</v>
      </c>
      <c r="Z778" s="134">
        <v>7.8520000000000003</v>
      </c>
      <c r="AA778" s="139">
        <v>1</v>
      </c>
      <c r="AB778" s="139">
        <v>0</v>
      </c>
      <c r="AC778" s="139">
        <v>0</v>
      </c>
      <c r="AD778" s="139">
        <v>0</v>
      </c>
      <c r="AE778" s="139">
        <v>1</v>
      </c>
      <c r="AF778" s="139">
        <v>0</v>
      </c>
      <c r="AG778" s="138">
        <v>0</v>
      </c>
      <c r="AH778" s="139">
        <v>1</v>
      </c>
      <c r="AI778" s="140">
        <v>0</v>
      </c>
      <c r="AJ778" s="139">
        <v>1</v>
      </c>
      <c r="AK778" s="140">
        <v>0</v>
      </c>
      <c r="AL778" s="141">
        <v>2008</v>
      </c>
      <c r="AM778" s="142">
        <f t="shared" si="235"/>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17</v>
      </c>
      <c r="CW778" s="147"/>
      <c r="DB778" s="147"/>
    </row>
    <row r="779" spans="1:106" x14ac:dyDescent="0.25">
      <c r="A779">
        <v>778</v>
      </c>
      <c r="B779">
        <v>52</v>
      </c>
      <c r="C779" s="25" t="s">
        <v>500</v>
      </c>
      <c r="D779" s="12">
        <v>6.55</v>
      </c>
      <c r="E779" s="14">
        <v>0.03</v>
      </c>
      <c r="F779" s="7">
        <f t="shared" si="214"/>
        <v>218.33333333333334</v>
      </c>
      <c r="G779" s="7">
        <f t="shared" si="226"/>
        <v>6.52</v>
      </c>
      <c r="H779" s="16">
        <f t="shared" si="227"/>
        <v>6.58</v>
      </c>
      <c r="I779" s="11">
        <f t="shared" si="228"/>
        <v>0.38170020583238862</v>
      </c>
      <c r="J779" s="33">
        <f t="shared" si="229"/>
        <v>1.7482452175529249E-3</v>
      </c>
      <c r="K779" s="33">
        <f t="shared" si="230"/>
        <v>572.00213674814574</v>
      </c>
      <c r="L779" s="33">
        <f t="shared" si="231"/>
        <v>0.37995196061483572</v>
      </c>
      <c r="M779" s="33">
        <f t="shared" si="232"/>
        <v>0.38344845104994152</v>
      </c>
      <c r="N779" s="8">
        <v>1</v>
      </c>
      <c r="O779" s="9">
        <v>0</v>
      </c>
      <c r="P779" s="8">
        <v>0</v>
      </c>
      <c r="Q779" s="9">
        <v>0</v>
      </c>
      <c r="R779" s="9">
        <v>0</v>
      </c>
      <c r="S779" s="9">
        <v>1</v>
      </c>
      <c r="T779" s="9">
        <v>0</v>
      </c>
      <c r="U779" s="8">
        <v>279522</v>
      </c>
      <c r="V779" s="9">
        <v>4</v>
      </c>
      <c r="W779" s="9">
        <f t="shared" si="233"/>
        <v>279517</v>
      </c>
      <c r="X779" s="9">
        <f t="shared" si="234"/>
        <v>8</v>
      </c>
      <c r="Y779" s="7">
        <v>13.04</v>
      </c>
      <c r="Z779" s="7">
        <f t="shared" ref="Z779:Z786" si="236">BN779-Y779-6</f>
        <v>22.4</v>
      </c>
      <c r="AA779" s="9">
        <v>1</v>
      </c>
      <c r="AB779" s="9">
        <v>0</v>
      </c>
      <c r="AC779" s="9">
        <v>0</v>
      </c>
      <c r="AD779" s="9">
        <v>1</v>
      </c>
      <c r="AE779" s="9">
        <v>0</v>
      </c>
      <c r="AF779" s="9">
        <v>0</v>
      </c>
      <c r="AG779" s="8">
        <v>0</v>
      </c>
      <c r="AH779" s="9">
        <v>0</v>
      </c>
      <c r="AI779" s="30">
        <v>1</v>
      </c>
      <c r="AJ779" s="9">
        <v>1</v>
      </c>
      <c r="AK779" s="30">
        <v>0</v>
      </c>
      <c r="AL779" s="21">
        <v>1980</v>
      </c>
      <c r="AM779" s="23">
        <f t="shared" si="235"/>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14</v>
      </c>
      <c r="DB779" s="34"/>
    </row>
    <row r="780" spans="1:106" x14ac:dyDescent="0.25">
      <c r="A780">
        <v>779</v>
      </c>
      <c r="B780">
        <v>52</v>
      </c>
      <c r="C780" s="25" t="s">
        <v>500</v>
      </c>
      <c r="D780" s="12">
        <v>9.6</v>
      </c>
      <c r="E780" s="14">
        <v>4.4000000000000004</v>
      </c>
      <c r="F780" s="7">
        <f t="shared" si="214"/>
        <v>2.1818181818181817</v>
      </c>
      <c r="G780" s="7">
        <f t="shared" si="226"/>
        <v>5.1999999999999993</v>
      </c>
      <c r="H780" s="16">
        <f t="shared" si="227"/>
        <v>14</v>
      </c>
      <c r="I780" s="11">
        <f t="shared" si="228"/>
        <v>4.1267745656530536E-3</v>
      </c>
      <c r="J780" s="33">
        <f t="shared" si="229"/>
        <v>1.891438342590983E-3</v>
      </c>
      <c r="K780" s="33">
        <f t="shared" si="230"/>
        <v>528.69817507778339</v>
      </c>
      <c r="L780" s="33">
        <f t="shared" si="231"/>
        <v>2.2353362230620706E-3</v>
      </c>
      <c r="M780" s="33">
        <f t="shared" si="232"/>
        <v>6.0182129082440366E-3</v>
      </c>
      <c r="N780" s="8">
        <v>1</v>
      </c>
      <c r="O780" s="9">
        <v>0</v>
      </c>
      <c r="P780" s="8">
        <v>0</v>
      </c>
      <c r="Q780" s="9">
        <v>0</v>
      </c>
      <c r="R780" s="9">
        <v>0</v>
      </c>
      <c r="S780" s="9">
        <v>1</v>
      </c>
      <c r="T780" s="9">
        <v>0</v>
      </c>
      <c r="U780" s="8">
        <v>279522</v>
      </c>
      <c r="V780" s="9">
        <v>4</v>
      </c>
      <c r="W780" s="9">
        <f t="shared" si="233"/>
        <v>279517</v>
      </c>
      <c r="X780" s="9">
        <f t="shared" si="234"/>
        <v>8</v>
      </c>
      <c r="Y780" s="7">
        <v>13.04</v>
      </c>
      <c r="Z780" s="7">
        <f t="shared" si="236"/>
        <v>22.4</v>
      </c>
      <c r="AA780" s="9">
        <v>1</v>
      </c>
      <c r="AB780" s="9">
        <v>0</v>
      </c>
      <c r="AC780" s="9">
        <v>0</v>
      </c>
      <c r="AD780" s="9">
        <v>1</v>
      </c>
      <c r="AE780" s="9">
        <v>0</v>
      </c>
      <c r="AF780" s="9">
        <v>0</v>
      </c>
      <c r="AG780" s="8">
        <v>0</v>
      </c>
      <c r="AH780" s="9">
        <v>0</v>
      </c>
      <c r="AI780" s="30">
        <v>1</v>
      </c>
      <c r="AJ780" s="9">
        <v>1</v>
      </c>
      <c r="AK780" s="30">
        <v>0</v>
      </c>
      <c r="AL780" s="21">
        <v>1980</v>
      </c>
      <c r="AM780" s="23">
        <f t="shared" si="235"/>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14</v>
      </c>
      <c r="DB780" s="34"/>
    </row>
    <row r="781" spans="1:106" x14ac:dyDescent="0.25">
      <c r="A781">
        <v>780</v>
      </c>
      <c r="B781">
        <v>52</v>
      </c>
      <c r="C781" s="25" t="s">
        <v>500</v>
      </c>
      <c r="D781" s="12">
        <v>9.8000000000000007</v>
      </c>
      <c r="E781" s="14">
        <v>2</v>
      </c>
      <c r="F781" s="7">
        <f t="shared" si="214"/>
        <v>4.9000000000000004</v>
      </c>
      <c r="G781" s="7">
        <f t="shared" si="226"/>
        <v>7.8000000000000007</v>
      </c>
      <c r="H781" s="16">
        <f t="shared" si="227"/>
        <v>11.8</v>
      </c>
      <c r="I781" s="11">
        <f t="shared" si="228"/>
        <v>9.2677287664315669E-3</v>
      </c>
      <c r="J781" s="33">
        <f t="shared" si="229"/>
        <v>1.8913732176390956E-3</v>
      </c>
      <c r="K781" s="33">
        <f t="shared" si="230"/>
        <v>528.7163795457825</v>
      </c>
      <c r="L781" s="33">
        <f t="shared" si="231"/>
        <v>7.3763555487924709E-3</v>
      </c>
      <c r="M781" s="33">
        <f t="shared" si="232"/>
        <v>1.1159101984070663E-2</v>
      </c>
      <c r="N781" s="8">
        <v>1</v>
      </c>
      <c r="O781" s="9">
        <v>0</v>
      </c>
      <c r="P781" s="8">
        <v>0</v>
      </c>
      <c r="Q781" s="9">
        <v>0</v>
      </c>
      <c r="R781" s="9">
        <v>0</v>
      </c>
      <c r="S781" s="9">
        <v>1</v>
      </c>
      <c r="T781" s="9">
        <v>0</v>
      </c>
      <c r="U781" s="8">
        <v>279522</v>
      </c>
      <c r="V781" s="9">
        <v>4</v>
      </c>
      <c r="W781" s="9">
        <f t="shared" si="233"/>
        <v>279517</v>
      </c>
      <c r="X781" s="9">
        <f t="shared" si="234"/>
        <v>8</v>
      </c>
      <c r="Y781" s="7">
        <v>13.04</v>
      </c>
      <c r="Z781" s="7">
        <f t="shared" si="236"/>
        <v>22.4</v>
      </c>
      <c r="AA781" s="9">
        <v>1</v>
      </c>
      <c r="AB781" s="9">
        <v>0</v>
      </c>
      <c r="AC781" s="9">
        <v>0</v>
      </c>
      <c r="AD781" s="9">
        <v>1</v>
      </c>
      <c r="AE781" s="9">
        <v>0</v>
      </c>
      <c r="AF781" s="9">
        <v>0</v>
      </c>
      <c r="AG781" s="8">
        <v>0</v>
      </c>
      <c r="AH781" s="9">
        <v>0</v>
      </c>
      <c r="AI781" s="30">
        <v>1</v>
      </c>
      <c r="AJ781" s="9">
        <v>1</v>
      </c>
      <c r="AK781" s="30">
        <v>0</v>
      </c>
      <c r="AL781" s="21">
        <v>1980</v>
      </c>
      <c r="AM781" s="23">
        <f t="shared" si="235"/>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14</v>
      </c>
      <c r="DB781" s="34"/>
    </row>
    <row r="782" spans="1:106" x14ac:dyDescent="0.25">
      <c r="A782">
        <v>781</v>
      </c>
      <c r="B782">
        <v>52</v>
      </c>
      <c r="C782" s="25" t="s">
        <v>500</v>
      </c>
      <c r="D782" s="12">
        <v>9.8000000000000007</v>
      </c>
      <c r="E782" s="14">
        <v>1.8</v>
      </c>
      <c r="F782" s="7">
        <f t="shared" si="214"/>
        <v>5.4444444444444446</v>
      </c>
      <c r="G782" s="7">
        <f t="shared" si="226"/>
        <v>8</v>
      </c>
      <c r="H782" s="16">
        <f t="shared" si="227"/>
        <v>11.600000000000001</v>
      </c>
      <c r="I782" s="11">
        <f t="shared" si="228"/>
        <v>1.0297372675932382E-2</v>
      </c>
      <c r="J782" s="33">
        <f t="shared" si="229"/>
        <v>1.8913541649671723E-3</v>
      </c>
      <c r="K782" s="33">
        <f t="shared" si="230"/>
        <v>528.72170560258701</v>
      </c>
      <c r="L782" s="33">
        <f t="shared" si="231"/>
        <v>8.4060185109652089E-3</v>
      </c>
      <c r="M782" s="33">
        <f t="shared" si="232"/>
        <v>1.2188726840899555E-2</v>
      </c>
      <c r="N782" s="8">
        <v>1</v>
      </c>
      <c r="O782" s="9">
        <v>0</v>
      </c>
      <c r="P782" s="8">
        <v>0</v>
      </c>
      <c r="Q782" s="9">
        <v>0</v>
      </c>
      <c r="R782" s="9">
        <v>0</v>
      </c>
      <c r="S782" s="9">
        <v>1</v>
      </c>
      <c r="T782" s="9">
        <v>0</v>
      </c>
      <c r="U782" s="8">
        <v>279522</v>
      </c>
      <c r="V782" s="9">
        <v>4</v>
      </c>
      <c r="W782" s="9">
        <f t="shared" si="233"/>
        <v>279517</v>
      </c>
      <c r="X782" s="9">
        <f t="shared" si="234"/>
        <v>8</v>
      </c>
      <c r="Y782" s="7">
        <v>13.04</v>
      </c>
      <c r="Z782" s="7">
        <f t="shared" si="236"/>
        <v>22.4</v>
      </c>
      <c r="AA782" s="9">
        <v>1</v>
      </c>
      <c r="AB782" s="9">
        <v>0</v>
      </c>
      <c r="AC782" s="9">
        <v>0</v>
      </c>
      <c r="AD782" s="9">
        <v>1</v>
      </c>
      <c r="AE782" s="9">
        <v>0</v>
      </c>
      <c r="AF782" s="9">
        <v>0</v>
      </c>
      <c r="AG782" s="8">
        <v>0</v>
      </c>
      <c r="AH782" s="9">
        <v>0</v>
      </c>
      <c r="AI782" s="30">
        <v>1</v>
      </c>
      <c r="AJ782" s="9">
        <v>1</v>
      </c>
      <c r="AK782" s="30">
        <v>0</v>
      </c>
      <c r="AL782" s="21">
        <v>1980</v>
      </c>
      <c r="AM782" s="23">
        <f t="shared" si="235"/>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14</v>
      </c>
      <c r="DB782" s="34"/>
    </row>
    <row r="783" spans="1:106" x14ac:dyDescent="0.25">
      <c r="A783">
        <v>782</v>
      </c>
      <c r="B783">
        <v>52</v>
      </c>
      <c r="C783" s="25" t="s">
        <v>500</v>
      </c>
      <c r="D783" s="12">
        <v>7.43</v>
      </c>
      <c r="E783" s="14">
        <v>0.04</v>
      </c>
      <c r="F783" s="7">
        <f t="shared" si="214"/>
        <v>185.75</v>
      </c>
      <c r="G783" s="7">
        <f t="shared" si="226"/>
        <v>7.39</v>
      </c>
      <c r="H783" s="16">
        <f t="shared" si="227"/>
        <v>7.47</v>
      </c>
      <c r="I783" s="11">
        <f t="shared" si="228"/>
        <v>0.33147450030132436</v>
      </c>
      <c r="J783" s="33">
        <f t="shared" si="229"/>
        <v>1.7845195170999963E-3</v>
      </c>
      <c r="K783" s="33">
        <f t="shared" si="230"/>
        <v>560.37493029221071</v>
      </c>
      <c r="L783" s="33">
        <f t="shared" si="231"/>
        <v>0.32968998078422435</v>
      </c>
      <c r="M783" s="33">
        <f t="shared" si="232"/>
        <v>0.33325901981842437</v>
      </c>
      <c r="N783" s="8">
        <v>1</v>
      </c>
      <c r="O783" s="9">
        <v>0</v>
      </c>
      <c r="P783" s="8">
        <v>0</v>
      </c>
      <c r="Q783" s="9">
        <v>0</v>
      </c>
      <c r="R783" s="9">
        <v>0</v>
      </c>
      <c r="S783" s="9">
        <v>1</v>
      </c>
      <c r="T783" s="9">
        <v>0</v>
      </c>
      <c r="U783" s="8">
        <v>279522</v>
      </c>
      <c r="V783" s="9">
        <v>4</v>
      </c>
      <c r="W783" s="9">
        <f t="shared" si="233"/>
        <v>279517</v>
      </c>
      <c r="X783" s="9">
        <f t="shared" si="234"/>
        <v>8</v>
      </c>
      <c r="Y783" s="7">
        <v>13.04</v>
      </c>
      <c r="Z783" s="7">
        <f t="shared" si="236"/>
        <v>22.4</v>
      </c>
      <c r="AA783" s="9">
        <v>1</v>
      </c>
      <c r="AB783" s="9">
        <v>0</v>
      </c>
      <c r="AC783" s="9">
        <v>0</v>
      </c>
      <c r="AD783" s="9">
        <v>0</v>
      </c>
      <c r="AE783" s="9">
        <v>0</v>
      </c>
      <c r="AF783" s="9">
        <v>1</v>
      </c>
      <c r="AG783" s="8">
        <v>0</v>
      </c>
      <c r="AH783" s="9">
        <v>0</v>
      </c>
      <c r="AI783" s="30">
        <v>1</v>
      </c>
      <c r="AJ783" s="9">
        <v>1</v>
      </c>
      <c r="AK783" s="30">
        <v>0</v>
      </c>
      <c r="AL783" s="21">
        <v>1980</v>
      </c>
      <c r="AM783" s="23">
        <f t="shared" si="235"/>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14</v>
      </c>
      <c r="DB783" s="34"/>
    </row>
    <row r="784" spans="1:106" x14ac:dyDescent="0.25">
      <c r="A784">
        <v>783</v>
      </c>
      <c r="B784">
        <v>52</v>
      </c>
      <c r="C784" s="25" t="s">
        <v>500</v>
      </c>
      <c r="D784" s="12">
        <v>11.8</v>
      </c>
      <c r="E784" s="14">
        <v>5.6</v>
      </c>
      <c r="F784" s="7">
        <f t="shared" si="214"/>
        <v>2.1071428571428572</v>
      </c>
      <c r="G784" s="7">
        <f t="shared" si="226"/>
        <v>6.2000000000000011</v>
      </c>
      <c r="H784" s="16">
        <f t="shared" si="227"/>
        <v>17.399999999999999</v>
      </c>
      <c r="I784" s="11">
        <f t="shared" si="228"/>
        <v>3.9855330766543993E-3</v>
      </c>
      <c r="J784" s="33">
        <f t="shared" si="229"/>
        <v>1.8914394262088674E-3</v>
      </c>
      <c r="K784" s="33">
        <f t="shared" si="230"/>
        <v>528.69787218317833</v>
      </c>
      <c r="L784" s="33">
        <f t="shared" si="231"/>
        <v>2.0940936504455316E-3</v>
      </c>
      <c r="M784" s="33">
        <f t="shared" si="232"/>
        <v>5.8769725028632669E-3</v>
      </c>
      <c r="N784" s="8">
        <v>1</v>
      </c>
      <c r="O784" s="9">
        <v>0</v>
      </c>
      <c r="P784" s="8">
        <v>0</v>
      </c>
      <c r="Q784" s="9">
        <v>0</v>
      </c>
      <c r="R784" s="9">
        <v>0</v>
      </c>
      <c r="S784" s="9">
        <v>1</v>
      </c>
      <c r="T784" s="9">
        <v>0</v>
      </c>
      <c r="U784" s="8">
        <v>279522</v>
      </c>
      <c r="V784" s="9">
        <v>4</v>
      </c>
      <c r="W784" s="9">
        <f t="shared" si="233"/>
        <v>279517</v>
      </c>
      <c r="X784" s="9">
        <f t="shared" si="234"/>
        <v>8</v>
      </c>
      <c r="Y784" s="7">
        <v>13.04</v>
      </c>
      <c r="Z784" s="7">
        <f t="shared" si="236"/>
        <v>22.4</v>
      </c>
      <c r="AA784" s="9">
        <v>1</v>
      </c>
      <c r="AB784" s="9">
        <v>0</v>
      </c>
      <c r="AC784" s="9">
        <v>0</v>
      </c>
      <c r="AD784" s="9">
        <v>0</v>
      </c>
      <c r="AE784" s="9">
        <v>0</v>
      </c>
      <c r="AF784" s="9">
        <v>1</v>
      </c>
      <c r="AG784" s="8">
        <v>0</v>
      </c>
      <c r="AH784" s="9">
        <v>0</v>
      </c>
      <c r="AI784" s="30">
        <v>1</v>
      </c>
      <c r="AJ784" s="9">
        <v>1</v>
      </c>
      <c r="AK784" s="30">
        <v>0</v>
      </c>
      <c r="AL784" s="21">
        <v>1980</v>
      </c>
      <c r="AM784" s="23">
        <f t="shared" si="235"/>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14</v>
      </c>
      <c r="DB784" s="34"/>
    </row>
    <row r="785" spans="1:106" x14ac:dyDescent="0.25">
      <c r="A785">
        <v>784</v>
      </c>
      <c r="B785">
        <v>52</v>
      </c>
      <c r="C785" s="25" t="s">
        <v>500</v>
      </c>
      <c r="D785" s="12">
        <v>11.3</v>
      </c>
      <c r="E785" s="14">
        <v>2.2999999999999998</v>
      </c>
      <c r="F785" s="7">
        <f t="shared" si="214"/>
        <v>4.9130434782608701</v>
      </c>
      <c r="G785" s="7">
        <f t="shared" si="226"/>
        <v>9</v>
      </c>
      <c r="H785" s="16">
        <f t="shared" si="227"/>
        <v>13.600000000000001</v>
      </c>
      <c r="I785" s="11">
        <f t="shared" si="228"/>
        <v>9.2923967244782774E-3</v>
      </c>
      <c r="J785" s="33">
        <f t="shared" si="229"/>
        <v>1.8913727846283218E-3</v>
      </c>
      <c r="K785" s="33">
        <f t="shared" si="230"/>
        <v>528.71650059007925</v>
      </c>
      <c r="L785" s="33">
        <f t="shared" si="231"/>
        <v>7.4010239398499553E-3</v>
      </c>
      <c r="M785" s="33">
        <f t="shared" si="232"/>
        <v>1.1183769509106599E-2</v>
      </c>
      <c r="N785" s="8">
        <v>1</v>
      </c>
      <c r="O785" s="9">
        <v>0</v>
      </c>
      <c r="P785" s="8">
        <v>0</v>
      </c>
      <c r="Q785" s="9">
        <v>0</v>
      </c>
      <c r="R785" s="9">
        <v>0</v>
      </c>
      <c r="S785" s="9">
        <v>1</v>
      </c>
      <c r="T785" s="9">
        <v>0</v>
      </c>
      <c r="U785" s="8">
        <v>279522</v>
      </c>
      <c r="V785" s="9">
        <v>4</v>
      </c>
      <c r="W785" s="9">
        <f t="shared" si="233"/>
        <v>279517</v>
      </c>
      <c r="X785" s="9">
        <f t="shared" si="234"/>
        <v>8</v>
      </c>
      <c r="Y785" s="7">
        <v>13.04</v>
      </c>
      <c r="Z785" s="7">
        <f t="shared" si="236"/>
        <v>22.4</v>
      </c>
      <c r="AA785" s="9">
        <v>1</v>
      </c>
      <c r="AB785" s="9">
        <v>0</v>
      </c>
      <c r="AC785" s="9">
        <v>0</v>
      </c>
      <c r="AD785" s="9">
        <v>0</v>
      </c>
      <c r="AE785" s="9">
        <v>0</v>
      </c>
      <c r="AF785" s="9">
        <v>1</v>
      </c>
      <c r="AG785" s="8">
        <v>0</v>
      </c>
      <c r="AH785" s="9">
        <v>0</v>
      </c>
      <c r="AI785" s="30">
        <v>1</v>
      </c>
      <c r="AJ785" s="9">
        <v>1</v>
      </c>
      <c r="AK785" s="30">
        <v>0</v>
      </c>
      <c r="AL785" s="21">
        <v>1980</v>
      </c>
      <c r="AM785" s="23">
        <f t="shared" si="235"/>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14</v>
      </c>
      <c r="DB785" s="34"/>
    </row>
    <row r="786" spans="1:106" x14ac:dyDescent="0.25">
      <c r="A786">
        <v>785</v>
      </c>
      <c r="B786">
        <v>52</v>
      </c>
      <c r="C786" s="25" t="s">
        <v>500</v>
      </c>
      <c r="D786" s="12">
        <v>11.2</v>
      </c>
      <c r="E786" s="14">
        <v>2.1</v>
      </c>
      <c r="F786" s="7">
        <f t="shared" si="214"/>
        <v>5.333333333333333</v>
      </c>
      <c r="G786" s="7">
        <f t="shared" si="226"/>
        <v>9.1</v>
      </c>
      <c r="H786" s="16">
        <f t="shared" si="227"/>
        <v>13.299999999999999</v>
      </c>
      <c r="I786" s="11">
        <f t="shared" si="228"/>
        <v>1.0087243819210572E-2</v>
      </c>
      <c r="J786" s="33">
        <f t="shared" si="229"/>
        <v>1.8913582161019823E-3</v>
      </c>
      <c r="K786" s="33">
        <f t="shared" si="230"/>
        <v>528.72057312388029</v>
      </c>
      <c r="L786" s="33">
        <f t="shared" si="231"/>
        <v>8.1958856031085891E-3</v>
      </c>
      <c r="M786" s="33">
        <f t="shared" si="232"/>
        <v>1.1978602035312555E-2</v>
      </c>
      <c r="N786" s="8">
        <v>1</v>
      </c>
      <c r="O786" s="9">
        <v>0</v>
      </c>
      <c r="P786" s="8">
        <v>0</v>
      </c>
      <c r="Q786" s="9">
        <v>0</v>
      </c>
      <c r="R786" s="9">
        <v>0</v>
      </c>
      <c r="S786" s="9">
        <v>1</v>
      </c>
      <c r="T786" s="9">
        <v>0</v>
      </c>
      <c r="U786" s="8">
        <v>279522</v>
      </c>
      <c r="V786" s="9">
        <v>4</v>
      </c>
      <c r="W786" s="9">
        <f t="shared" si="233"/>
        <v>279517</v>
      </c>
      <c r="X786" s="9">
        <f t="shared" si="234"/>
        <v>8</v>
      </c>
      <c r="Y786" s="7">
        <v>13.04</v>
      </c>
      <c r="Z786" s="7">
        <f t="shared" si="236"/>
        <v>22.4</v>
      </c>
      <c r="AA786" s="9">
        <v>1</v>
      </c>
      <c r="AB786" s="9">
        <v>0</v>
      </c>
      <c r="AC786" s="9">
        <v>0</v>
      </c>
      <c r="AD786" s="9">
        <v>0</v>
      </c>
      <c r="AE786" s="9">
        <v>0</v>
      </c>
      <c r="AF786" s="9">
        <v>1</v>
      </c>
      <c r="AG786" s="8">
        <v>0</v>
      </c>
      <c r="AH786" s="9">
        <v>0</v>
      </c>
      <c r="AI786" s="30">
        <v>1</v>
      </c>
      <c r="AJ786" s="9">
        <v>1</v>
      </c>
      <c r="AK786" s="30">
        <v>0</v>
      </c>
      <c r="AL786" s="21">
        <v>1980</v>
      </c>
      <c r="AM786" s="23">
        <f t="shared" si="235"/>
        <v>7.5908521236885811</v>
      </c>
      <c r="AN786" s="33">
        <v>7.0000000000000007E-2</v>
      </c>
      <c r="AO786" s="33">
        <v>7.0000000000000007E-2</v>
      </c>
      <c r="AP786" s="33">
        <v>0.4</v>
      </c>
      <c r="AQ786" s="43">
        <v>0.46</v>
      </c>
      <c r="AR786" s="42">
        <v>1</v>
      </c>
      <c r="AS786" s="18">
        <v>0</v>
      </c>
      <c r="AT786">
        <v>1</v>
      </c>
      <c r="AU786" s="40">
        <v>0</v>
      </c>
      <c r="AV786">
        <v>0.86</v>
      </c>
      <c r="AW786" s="40">
        <v>0.14000000000000001</v>
      </c>
      <c r="AX786">
        <v>0</v>
      </c>
      <c r="AY786" s="18">
        <v>1</v>
      </c>
      <c r="AZ786">
        <v>0.23</v>
      </c>
      <c r="BA786" s="18">
        <v>0.77</v>
      </c>
      <c r="BB786" s="18" t="s">
        <v>239</v>
      </c>
      <c r="BC786">
        <v>1</v>
      </c>
      <c r="BD786">
        <v>0</v>
      </c>
      <c r="BE786">
        <v>0</v>
      </c>
      <c r="BF786">
        <v>0</v>
      </c>
      <c r="BG786">
        <v>0</v>
      </c>
      <c r="BH786" s="18">
        <v>0</v>
      </c>
      <c r="BI786">
        <v>1</v>
      </c>
      <c r="BJ786">
        <v>0</v>
      </c>
      <c r="BK786" s="18">
        <v>0</v>
      </c>
      <c r="BL786">
        <v>3697.166666666667</v>
      </c>
      <c r="BM786">
        <v>824</v>
      </c>
      <c r="BN786" s="25">
        <v>41.44</v>
      </c>
      <c r="BO786">
        <v>0</v>
      </c>
      <c r="BP786">
        <v>0</v>
      </c>
      <c r="BQ786">
        <v>0</v>
      </c>
      <c r="BR786">
        <v>0</v>
      </c>
      <c r="BS786">
        <v>1</v>
      </c>
      <c r="BT786">
        <v>0</v>
      </c>
      <c r="BU786">
        <v>0</v>
      </c>
      <c r="BV786" s="18">
        <v>0</v>
      </c>
      <c r="BW786">
        <v>0</v>
      </c>
      <c r="BX786">
        <v>1</v>
      </c>
      <c r="BY786">
        <v>0</v>
      </c>
      <c r="BZ786" s="18">
        <v>0</v>
      </c>
      <c r="CA786">
        <v>0</v>
      </c>
      <c r="CB786">
        <v>0</v>
      </c>
      <c r="CC786">
        <v>0</v>
      </c>
      <c r="CD786">
        <v>0</v>
      </c>
      <c r="CE786">
        <v>0</v>
      </c>
      <c r="CF786" s="18">
        <v>0</v>
      </c>
      <c r="CG786">
        <v>0</v>
      </c>
      <c r="CH786">
        <v>0</v>
      </c>
      <c r="CI786">
        <v>0</v>
      </c>
      <c r="CJ786">
        <v>0</v>
      </c>
      <c r="CK786">
        <v>0</v>
      </c>
      <c r="CL786">
        <v>0</v>
      </c>
      <c r="CM786">
        <v>0</v>
      </c>
      <c r="CN786">
        <v>0</v>
      </c>
      <c r="CO786">
        <v>0</v>
      </c>
      <c r="CP786">
        <v>0</v>
      </c>
      <c r="CQ786" s="18">
        <v>1</v>
      </c>
      <c r="CR786">
        <v>6.9000000000000006E-2</v>
      </c>
      <c r="CS786">
        <v>47</v>
      </c>
      <c r="CT786">
        <v>1</v>
      </c>
      <c r="CU786">
        <v>0</v>
      </c>
      <c r="CV786">
        <v>14</v>
      </c>
      <c r="DB786" s="34"/>
    </row>
    <row r="787" spans="1:106" x14ac:dyDescent="0.25">
      <c r="A787">
        <v>786</v>
      </c>
      <c r="B787">
        <v>53</v>
      </c>
      <c r="C787" s="25" t="s">
        <v>4164</v>
      </c>
      <c r="D787" s="12">
        <v>8.5299999999999994</v>
      </c>
      <c r="E787" s="14">
        <f t="shared" ref="E787:E797" si="237">D787/F787</f>
        <v>0.92818280739934711</v>
      </c>
      <c r="F787" s="7">
        <v>9.19</v>
      </c>
      <c r="G787" s="7">
        <f t="shared" si="226"/>
        <v>7.6018171926006524</v>
      </c>
      <c r="H787" s="16">
        <f t="shared" si="227"/>
        <v>9.4581828073993464</v>
      </c>
      <c r="I787" s="11">
        <f t="shared" si="228"/>
        <v>0.4255103448500257</v>
      </c>
      <c r="J787" s="33">
        <f t="shared" si="229"/>
        <v>4.630145210555231E-2</v>
      </c>
      <c r="K787" s="33">
        <f t="shared" si="230"/>
        <v>21.59759477349272</v>
      </c>
      <c r="L787" s="33">
        <f t="shared" si="231"/>
        <v>0.37920889274447339</v>
      </c>
      <c r="M787" s="33">
        <f t="shared" si="232"/>
        <v>0.47181179695557801</v>
      </c>
      <c r="N787" s="8">
        <v>1</v>
      </c>
      <c r="O787" s="9">
        <v>0</v>
      </c>
      <c r="P787" s="8">
        <v>0</v>
      </c>
      <c r="Q787" s="9">
        <v>1</v>
      </c>
      <c r="R787" s="9">
        <v>0</v>
      </c>
      <c r="S787" s="9">
        <v>0</v>
      </c>
      <c r="T787" s="9">
        <v>0</v>
      </c>
      <c r="U787" s="8">
        <v>389</v>
      </c>
      <c r="V787" s="9">
        <v>6</v>
      </c>
      <c r="W787" s="9">
        <f t="shared" si="233"/>
        <v>382</v>
      </c>
      <c r="X787" s="9">
        <f t="shared" si="234"/>
        <v>11</v>
      </c>
      <c r="Y787" s="7">
        <v>9.59</v>
      </c>
      <c r="Z787" s="7">
        <v>18.329999999999998</v>
      </c>
      <c r="AA787" s="9">
        <v>1</v>
      </c>
      <c r="AB787" s="9">
        <v>0</v>
      </c>
      <c r="AC787" s="9">
        <v>1</v>
      </c>
      <c r="AD787" s="9">
        <v>0</v>
      </c>
      <c r="AE787" s="9">
        <v>0</v>
      </c>
      <c r="AF787" s="9">
        <v>0</v>
      </c>
      <c r="AG787" s="8">
        <v>1</v>
      </c>
      <c r="AH787" s="9">
        <v>0</v>
      </c>
      <c r="AI787" s="30">
        <v>0</v>
      </c>
      <c r="AJ787" s="9">
        <v>0</v>
      </c>
      <c r="AK787" s="30">
        <v>1</v>
      </c>
      <c r="AL787" s="21">
        <v>1989</v>
      </c>
      <c r="AM787" s="23">
        <f t="shared" si="235"/>
        <v>7.5953872788539725</v>
      </c>
      <c r="AN787" s="33">
        <v>0</v>
      </c>
      <c r="AO787" s="33">
        <v>0.41</v>
      </c>
      <c r="AP787" s="33">
        <v>0.55000000000000004</v>
      </c>
      <c r="AQ787" s="43">
        <v>0.04</v>
      </c>
      <c r="AR787" s="42" t="s">
        <v>104</v>
      </c>
      <c r="AS787" s="18" t="s">
        <v>104</v>
      </c>
      <c r="AT787" s="33">
        <v>0.75</v>
      </c>
      <c r="AU787" s="40">
        <v>0.25</v>
      </c>
      <c r="AV787">
        <v>0.39</v>
      </c>
      <c r="AW787" s="40">
        <v>0.61</v>
      </c>
      <c r="AX787">
        <v>0</v>
      </c>
      <c r="AY787" s="18">
        <v>1</v>
      </c>
      <c r="AZ787" t="s">
        <v>104</v>
      </c>
      <c r="BA787" s="18" t="s">
        <v>104</v>
      </c>
      <c r="BB787" s="18" t="s">
        <v>10</v>
      </c>
      <c r="BC787">
        <v>0</v>
      </c>
      <c r="BD787">
        <v>0</v>
      </c>
      <c r="BE787">
        <v>0</v>
      </c>
      <c r="BF787">
        <v>0</v>
      </c>
      <c r="BG787">
        <v>0</v>
      </c>
      <c r="BH787" s="18">
        <v>1</v>
      </c>
      <c r="BI787">
        <v>0</v>
      </c>
      <c r="BJ787">
        <v>0</v>
      </c>
      <c r="BK787" s="18">
        <v>1</v>
      </c>
      <c r="BL787">
        <v>19.583333333333329</v>
      </c>
      <c r="BM787">
        <v>1.03</v>
      </c>
      <c r="BN787" s="94">
        <f t="shared" ref="BN787:BN797" si="238">Y787+Z787+6</f>
        <v>33.92</v>
      </c>
      <c r="BO787">
        <v>1</v>
      </c>
      <c r="BP787">
        <v>0</v>
      </c>
      <c r="BQ787">
        <v>0</v>
      </c>
      <c r="BR787">
        <v>0</v>
      </c>
      <c r="BS787">
        <v>0</v>
      </c>
      <c r="BT787">
        <v>0</v>
      </c>
      <c r="BU787">
        <v>0</v>
      </c>
      <c r="BV787" s="18">
        <v>0</v>
      </c>
      <c r="BW787">
        <v>0</v>
      </c>
      <c r="BX787">
        <v>0</v>
      </c>
      <c r="BY787">
        <v>1</v>
      </c>
      <c r="BZ787" s="18">
        <v>0</v>
      </c>
      <c r="CA787">
        <v>0</v>
      </c>
      <c r="CB787">
        <v>0</v>
      </c>
      <c r="CC787">
        <v>0</v>
      </c>
      <c r="CD787">
        <v>0</v>
      </c>
      <c r="CE787">
        <v>0</v>
      </c>
      <c r="CF787" s="18">
        <v>0</v>
      </c>
      <c r="CG787">
        <v>0</v>
      </c>
      <c r="CH787">
        <v>0</v>
      </c>
      <c r="CI787">
        <v>1</v>
      </c>
      <c r="CJ787">
        <v>0</v>
      </c>
      <c r="CK787">
        <v>0</v>
      </c>
      <c r="CL787">
        <v>0</v>
      </c>
      <c r="CM787">
        <v>1</v>
      </c>
      <c r="CN787">
        <v>0</v>
      </c>
      <c r="CO787">
        <v>0</v>
      </c>
      <c r="CP787">
        <v>1</v>
      </c>
      <c r="CQ787" s="18">
        <v>0</v>
      </c>
      <c r="CR787">
        <v>0.76700000000000002</v>
      </c>
      <c r="CS787">
        <v>347</v>
      </c>
      <c r="CT787">
        <v>1</v>
      </c>
      <c r="CU787">
        <v>0</v>
      </c>
      <c r="CV787">
        <v>0</v>
      </c>
      <c r="DB787" s="34"/>
    </row>
    <row r="788" spans="1:106" x14ac:dyDescent="0.25">
      <c r="A788">
        <v>787</v>
      </c>
      <c r="B788">
        <v>53</v>
      </c>
      <c r="C788" s="25" t="s">
        <v>4164</v>
      </c>
      <c r="D788" s="12">
        <v>7.51</v>
      </c>
      <c r="E788" s="14">
        <f t="shared" si="237"/>
        <v>1.0080536912751676</v>
      </c>
      <c r="F788" s="7">
        <v>7.45</v>
      </c>
      <c r="G788" s="7">
        <f t="shared" si="226"/>
        <v>6.5019463087248326</v>
      </c>
      <c r="H788" s="16">
        <f t="shared" si="227"/>
        <v>8.518053691275167</v>
      </c>
      <c r="I788" s="11">
        <f t="shared" si="228"/>
        <v>0.4409113869173576</v>
      </c>
      <c r="J788" s="33">
        <f t="shared" si="229"/>
        <v>5.9182736498974167E-2</v>
      </c>
      <c r="K788" s="33">
        <f t="shared" si="230"/>
        <v>16.896819227298376</v>
      </c>
      <c r="L788" s="33">
        <f t="shared" si="231"/>
        <v>0.38172865041838344</v>
      </c>
      <c r="M788" s="33">
        <f t="shared" si="232"/>
        <v>0.50009412341633175</v>
      </c>
      <c r="N788" s="8">
        <v>1</v>
      </c>
      <c r="O788" s="9">
        <v>0</v>
      </c>
      <c r="P788" s="8">
        <v>0</v>
      </c>
      <c r="Q788" s="9">
        <v>1</v>
      </c>
      <c r="R788" s="9">
        <v>0</v>
      </c>
      <c r="S788" s="9">
        <v>0</v>
      </c>
      <c r="T788" s="9">
        <v>0</v>
      </c>
      <c r="U788" s="8">
        <v>237</v>
      </c>
      <c r="V788" s="9">
        <v>6</v>
      </c>
      <c r="W788" s="9">
        <f t="shared" si="233"/>
        <v>230</v>
      </c>
      <c r="X788" s="9">
        <f t="shared" si="234"/>
        <v>11</v>
      </c>
      <c r="Y788" s="7">
        <v>9.59</v>
      </c>
      <c r="Z788" s="7">
        <v>18.329999999999998</v>
      </c>
      <c r="AA788" s="9">
        <v>1</v>
      </c>
      <c r="AB788" s="9">
        <v>0</v>
      </c>
      <c r="AC788" s="9">
        <v>1</v>
      </c>
      <c r="AD788" s="9">
        <v>0</v>
      </c>
      <c r="AE788" s="9">
        <v>0</v>
      </c>
      <c r="AF788" s="9">
        <v>0</v>
      </c>
      <c r="AG788" s="8">
        <v>1</v>
      </c>
      <c r="AH788" s="9">
        <v>0</v>
      </c>
      <c r="AI788" s="30">
        <v>0</v>
      </c>
      <c r="AJ788" s="9">
        <v>0</v>
      </c>
      <c r="AK788" s="30">
        <v>1</v>
      </c>
      <c r="AL788" s="21">
        <v>1989</v>
      </c>
      <c r="AM788" s="23">
        <f t="shared" si="235"/>
        <v>7.5953872788539725</v>
      </c>
      <c r="AN788" s="33">
        <v>0.20499999999999999</v>
      </c>
      <c r="AO788" s="33">
        <v>0.20499999999999999</v>
      </c>
      <c r="AP788" s="33">
        <v>0.55000000000000004</v>
      </c>
      <c r="AQ788" s="43">
        <v>0.04</v>
      </c>
      <c r="AR788" s="42" t="s">
        <v>104</v>
      </c>
      <c r="AS788" s="18" t="s">
        <v>104</v>
      </c>
      <c r="AT788" s="33">
        <v>0.75</v>
      </c>
      <c r="AU788" s="40">
        <v>0.25</v>
      </c>
      <c r="AV788">
        <v>0</v>
      </c>
      <c r="AW788" s="40">
        <v>1</v>
      </c>
      <c r="AX788">
        <v>0</v>
      </c>
      <c r="AY788" s="18">
        <v>1</v>
      </c>
      <c r="AZ788" t="s">
        <v>104</v>
      </c>
      <c r="BA788" s="18" t="s">
        <v>104</v>
      </c>
      <c r="BB788" s="18" t="s">
        <v>10</v>
      </c>
      <c r="BC788">
        <v>0</v>
      </c>
      <c r="BD788">
        <v>0</v>
      </c>
      <c r="BE788">
        <v>0</v>
      </c>
      <c r="BF788">
        <v>0</v>
      </c>
      <c r="BG788">
        <v>0</v>
      </c>
      <c r="BH788" s="18">
        <v>1</v>
      </c>
      <c r="BI788">
        <v>0</v>
      </c>
      <c r="BJ788">
        <v>0</v>
      </c>
      <c r="BK788" s="18">
        <v>1</v>
      </c>
      <c r="BL788">
        <v>19.583333333333329</v>
      </c>
      <c r="BM788">
        <v>1.03</v>
      </c>
      <c r="BN788" s="94">
        <f t="shared" si="238"/>
        <v>33.92</v>
      </c>
      <c r="BO788">
        <v>1</v>
      </c>
      <c r="BP788">
        <v>0</v>
      </c>
      <c r="BQ788">
        <v>0</v>
      </c>
      <c r="BR788">
        <v>0</v>
      </c>
      <c r="BS788">
        <v>0</v>
      </c>
      <c r="BT788">
        <v>0</v>
      </c>
      <c r="BU788">
        <v>0</v>
      </c>
      <c r="BV788" s="18">
        <v>0</v>
      </c>
      <c r="BW788">
        <v>0</v>
      </c>
      <c r="BX788">
        <v>0</v>
      </c>
      <c r="BY788">
        <v>1</v>
      </c>
      <c r="BZ788" s="18">
        <v>0</v>
      </c>
      <c r="CA788">
        <v>0</v>
      </c>
      <c r="CB788">
        <v>0</v>
      </c>
      <c r="CC788">
        <v>0</v>
      </c>
      <c r="CD788">
        <v>0</v>
      </c>
      <c r="CE788">
        <v>0</v>
      </c>
      <c r="CF788" s="18">
        <v>0</v>
      </c>
      <c r="CG788">
        <v>0</v>
      </c>
      <c r="CH788">
        <v>0</v>
      </c>
      <c r="CI788">
        <v>1</v>
      </c>
      <c r="CJ788">
        <v>0</v>
      </c>
      <c r="CK788">
        <v>0</v>
      </c>
      <c r="CL788">
        <v>0</v>
      </c>
      <c r="CM788">
        <v>1</v>
      </c>
      <c r="CN788">
        <v>0</v>
      </c>
      <c r="CO788">
        <v>0</v>
      </c>
      <c r="CP788">
        <v>1</v>
      </c>
      <c r="CQ788" s="18">
        <v>0</v>
      </c>
      <c r="CR788">
        <v>0.76700000000000002</v>
      </c>
      <c r="CS788">
        <v>347</v>
      </c>
      <c r="CT788">
        <v>1</v>
      </c>
      <c r="CU788">
        <v>0</v>
      </c>
      <c r="CV788">
        <v>0</v>
      </c>
      <c r="DB788" s="34"/>
    </row>
    <row r="789" spans="1:106" x14ac:dyDescent="0.25">
      <c r="A789">
        <v>788</v>
      </c>
      <c r="B789">
        <v>53</v>
      </c>
      <c r="C789" s="25" t="s">
        <v>4164</v>
      </c>
      <c r="D789" s="12">
        <v>6.04</v>
      </c>
      <c r="E789" s="14">
        <f t="shared" si="237"/>
        <v>1.6547945205479453</v>
      </c>
      <c r="F789" s="7">
        <v>3.65</v>
      </c>
      <c r="G789" s="7">
        <f t="shared" si="226"/>
        <v>4.385205479452055</v>
      </c>
      <c r="H789" s="16">
        <f t="shared" si="227"/>
        <v>7.6947945205479451</v>
      </c>
      <c r="I789" s="11">
        <f t="shared" si="228"/>
        <v>0.23447470277510901</v>
      </c>
      <c r="J789" s="33">
        <f t="shared" si="229"/>
        <v>6.4239644595920284E-2</v>
      </c>
      <c r="K789" s="33">
        <f t="shared" si="230"/>
        <v>15.566711277594891</v>
      </c>
      <c r="L789" s="33">
        <f t="shared" si="231"/>
        <v>0.17023505817918871</v>
      </c>
      <c r="M789" s="33">
        <f t="shared" si="232"/>
        <v>0.29871434737102931</v>
      </c>
      <c r="N789" s="8">
        <v>1</v>
      </c>
      <c r="O789" s="9">
        <v>0</v>
      </c>
      <c r="P789" s="8">
        <v>0</v>
      </c>
      <c r="Q789" s="9">
        <v>1</v>
      </c>
      <c r="R789" s="9">
        <v>0</v>
      </c>
      <c r="S789" s="9">
        <v>0</v>
      </c>
      <c r="T789" s="9">
        <v>0</v>
      </c>
      <c r="U789" s="8">
        <v>237</v>
      </c>
      <c r="V789" s="9">
        <v>7</v>
      </c>
      <c r="W789" s="9">
        <f t="shared" si="233"/>
        <v>229</v>
      </c>
      <c r="X789" s="9">
        <f t="shared" si="234"/>
        <v>11</v>
      </c>
      <c r="Y789" s="7">
        <v>9.59</v>
      </c>
      <c r="Z789" s="7">
        <v>18.329999999999998</v>
      </c>
      <c r="AA789" s="9">
        <v>1</v>
      </c>
      <c r="AB789" s="9">
        <v>0</v>
      </c>
      <c r="AC789" s="9">
        <v>1</v>
      </c>
      <c r="AD789" s="9">
        <v>0</v>
      </c>
      <c r="AE789" s="9">
        <v>0</v>
      </c>
      <c r="AF789" s="9">
        <v>0</v>
      </c>
      <c r="AG789" s="8">
        <v>1</v>
      </c>
      <c r="AH789" s="9">
        <v>0</v>
      </c>
      <c r="AI789" s="30">
        <v>0</v>
      </c>
      <c r="AJ789" s="9">
        <v>0</v>
      </c>
      <c r="AK789" s="30">
        <v>1</v>
      </c>
      <c r="AL789" s="21">
        <v>1989</v>
      </c>
      <c r="AM789" s="23">
        <f t="shared" si="235"/>
        <v>7.5953872788539725</v>
      </c>
      <c r="AN789" s="33">
        <v>0.20499999999999999</v>
      </c>
      <c r="AO789" s="33">
        <v>0.20499999999999999</v>
      </c>
      <c r="AP789" s="33">
        <v>0.55000000000000004</v>
      </c>
      <c r="AQ789" s="43">
        <v>0.04</v>
      </c>
      <c r="AR789" s="42" t="s">
        <v>104</v>
      </c>
      <c r="AS789" s="18" t="s">
        <v>104</v>
      </c>
      <c r="AT789" s="33">
        <v>0.75</v>
      </c>
      <c r="AU789" s="40">
        <v>0.25</v>
      </c>
      <c r="AV789">
        <v>0</v>
      </c>
      <c r="AW789" s="40">
        <v>1</v>
      </c>
      <c r="AX789">
        <v>0</v>
      </c>
      <c r="AY789" s="18">
        <v>1</v>
      </c>
      <c r="AZ789" t="s">
        <v>104</v>
      </c>
      <c r="BA789" s="18" t="s">
        <v>104</v>
      </c>
      <c r="BB789" s="18" t="s">
        <v>10</v>
      </c>
      <c r="BC789">
        <v>0</v>
      </c>
      <c r="BD789">
        <v>0</v>
      </c>
      <c r="BE789">
        <v>0</v>
      </c>
      <c r="BF789">
        <v>0</v>
      </c>
      <c r="BG789">
        <v>0</v>
      </c>
      <c r="BH789" s="18">
        <v>1</v>
      </c>
      <c r="BI789">
        <v>0</v>
      </c>
      <c r="BJ789">
        <v>0</v>
      </c>
      <c r="BK789" s="18">
        <v>1</v>
      </c>
      <c r="BL789">
        <v>19.583333333333329</v>
      </c>
      <c r="BM789">
        <v>1.03</v>
      </c>
      <c r="BN789" s="94">
        <f t="shared" si="238"/>
        <v>33.92</v>
      </c>
      <c r="BO789">
        <v>0</v>
      </c>
      <c r="BP789">
        <v>0</v>
      </c>
      <c r="BQ789">
        <v>0</v>
      </c>
      <c r="BR789">
        <v>0</v>
      </c>
      <c r="BS789">
        <v>1</v>
      </c>
      <c r="BT789">
        <v>0</v>
      </c>
      <c r="BU789">
        <v>0</v>
      </c>
      <c r="BV789" s="18">
        <v>0</v>
      </c>
      <c r="BW789">
        <v>0</v>
      </c>
      <c r="BX789">
        <v>0</v>
      </c>
      <c r="BY789">
        <v>1</v>
      </c>
      <c r="BZ789" s="18">
        <v>0</v>
      </c>
      <c r="CA789">
        <v>0</v>
      </c>
      <c r="CB789">
        <v>0</v>
      </c>
      <c r="CC789">
        <v>0</v>
      </c>
      <c r="CD789">
        <v>0</v>
      </c>
      <c r="CE789">
        <v>0</v>
      </c>
      <c r="CF789" s="18">
        <v>0</v>
      </c>
      <c r="CG789">
        <v>0</v>
      </c>
      <c r="CH789">
        <v>0</v>
      </c>
      <c r="CI789">
        <v>1</v>
      </c>
      <c r="CJ789">
        <v>0</v>
      </c>
      <c r="CK789">
        <v>0</v>
      </c>
      <c r="CL789">
        <v>0</v>
      </c>
      <c r="CM789">
        <v>1</v>
      </c>
      <c r="CN789">
        <v>0</v>
      </c>
      <c r="CO789">
        <v>0</v>
      </c>
      <c r="CP789">
        <v>1</v>
      </c>
      <c r="CQ789" s="18">
        <v>0</v>
      </c>
      <c r="CR789">
        <v>0.76700000000000002</v>
      </c>
      <c r="CS789">
        <v>347</v>
      </c>
      <c r="CT789">
        <v>1</v>
      </c>
      <c r="CU789">
        <v>0</v>
      </c>
      <c r="CV789">
        <v>0</v>
      </c>
      <c r="DB789" s="34"/>
    </row>
    <row r="790" spans="1:106" x14ac:dyDescent="0.25">
      <c r="A790">
        <v>789</v>
      </c>
      <c r="B790">
        <v>53</v>
      </c>
      <c r="C790" s="25" t="s">
        <v>4164</v>
      </c>
      <c r="D790" s="12">
        <v>3.87</v>
      </c>
      <c r="E790" s="14">
        <f t="shared" si="237"/>
        <v>1.3253424657534247</v>
      </c>
      <c r="F790" s="7">
        <v>2.92</v>
      </c>
      <c r="G790" s="7">
        <f t="shared" si="226"/>
        <v>2.5446575342465754</v>
      </c>
      <c r="H790" s="16">
        <f t="shared" si="227"/>
        <v>5.1953424657534253</v>
      </c>
      <c r="I790" s="11">
        <f t="shared" si="228"/>
        <v>0.18946408995865949</v>
      </c>
      <c r="J790" s="33">
        <f t="shared" si="229"/>
        <v>6.4884962314609412E-2</v>
      </c>
      <c r="K790" s="33">
        <f t="shared" si="230"/>
        <v>15.411891512724841</v>
      </c>
      <c r="L790" s="33">
        <f t="shared" si="231"/>
        <v>0.12457912764405007</v>
      </c>
      <c r="M790" s="33">
        <f t="shared" si="232"/>
        <v>0.25434905227326887</v>
      </c>
      <c r="N790" s="8">
        <v>1</v>
      </c>
      <c r="O790" s="9">
        <v>0</v>
      </c>
      <c r="P790" s="8">
        <v>0</v>
      </c>
      <c r="Q790" s="9">
        <v>1</v>
      </c>
      <c r="R790" s="9">
        <v>0</v>
      </c>
      <c r="S790" s="9">
        <v>0</v>
      </c>
      <c r="T790" s="9">
        <v>0</v>
      </c>
      <c r="U790" s="8">
        <v>237</v>
      </c>
      <c r="V790" s="9">
        <v>7</v>
      </c>
      <c r="W790" s="9">
        <f t="shared" si="233"/>
        <v>229</v>
      </c>
      <c r="X790" s="9">
        <f t="shared" si="234"/>
        <v>11</v>
      </c>
      <c r="Y790" s="7">
        <v>9.59</v>
      </c>
      <c r="Z790" s="7">
        <v>18.329999999999998</v>
      </c>
      <c r="AA790" s="9">
        <v>1</v>
      </c>
      <c r="AB790" s="9">
        <v>0</v>
      </c>
      <c r="AC790" s="9">
        <v>1</v>
      </c>
      <c r="AD790" s="9">
        <v>0</v>
      </c>
      <c r="AE790" s="9">
        <v>0</v>
      </c>
      <c r="AF790" s="9">
        <v>0</v>
      </c>
      <c r="AG790" s="8">
        <v>1</v>
      </c>
      <c r="AH790" s="9">
        <v>0</v>
      </c>
      <c r="AI790" s="30">
        <v>0</v>
      </c>
      <c r="AJ790" s="9">
        <v>0</v>
      </c>
      <c r="AK790" s="30">
        <v>1</v>
      </c>
      <c r="AL790" s="21">
        <v>1989</v>
      </c>
      <c r="AM790" s="23">
        <f t="shared" si="235"/>
        <v>7.5953872788539725</v>
      </c>
      <c r="AN790" s="33">
        <v>0.20499999999999999</v>
      </c>
      <c r="AO790" s="33">
        <v>0.20499999999999999</v>
      </c>
      <c r="AP790" s="33">
        <v>0.55000000000000004</v>
      </c>
      <c r="AQ790" s="43">
        <v>0.04</v>
      </c>
      <c r="AR790" s="42" t="s">
        <v>104</v>
      </c>
      <c r="AS790" s="18" t="s">
        <v>104</v>
      </c>
      <c r="AT790" s="33">
        <v>0.75</v>
      </c>
      <c r="AU790" s="40">
        <v>0.25</v>
      </c>
      <c r="AV790">
        <v>0</v>
      </c>
      <c r="AW790" s="40">
        <v>1</v>
      </c>
      <c r="AX790">
        <v>0</v>
      </c>
      <c r="AY790" s="18">
        <v>1</v>
      </c>
      <c r="AZ790" t="s">
        <v>104</v>
      </c>
      <c r="BA790" s="18" t="s">
        <v>104</v>
      </c>
      <c r="BB790" s="18" t="s">
        <v>10</v>
      </c>
      <c r="BC790">
        <v>0</v>
      </c>
      <c r="BD790">
        <v>0</v>
      </c>
      <c r="BE790">
        <v>0</v>
      </c>
      <c r="BF790">
        <v>0</v>
      </c>
      <c r="BG790">
        <v>0</v>
      </c>
      <c r="BH790" s="18">
        <v>1</v>
      </c>
      <c r="BI790">
        <v>0</v>
      </c>
      <c r="BJ790">
        <v>0</v>
      </c>
      <c r="BK790" s="18">
        <v>1</v>
      </c>
      <c r="BL790">
        <v>19.583333333333329</v>
      </c>
      <c r="BM790">
        <v>1.03</v>
      </c>
      <c r="BN790" s="94">
        <f t="shared" si="238"/>
        <v>33.92</v>
      </c>
      <c r="BO790">
        <v>0</v>
      </c>
      <c r="BP790">
        <v>0</v>
      </c>
      <c r="BQ790">
        <v>0</v>
      </c>
      <c r="BR790">
        <v>0</v>
      </c>
      <c r="BS790">
        <v>1</v>
      </c>
      <c r="BT790">
        <v>0</v>
      </c>
      <c r="BU790">
        <v>0</v>
      </c>
      <c r="BV790" s="18">
        <v>0</v>
      </c>
      <c r="BW790">
        <v>0</v>
      </c>
      <c r="BX790">
        <v>0</v>
      </c>
      <c r="BY790">
        <v>1</v>
      </c>
      <c r="BZ790" s="18">
        <v>0</v>
      </c>
      <c r="CA790">
        <v>0</v>
      </c>
      <c r="CB790">
        <v>0</v>
      </c>
      <c r="CC790">
        <v>0</v>
      </c>
      <c r="CD790">
        <v>0</v>
      </c>
      <c r="CE790">
        <v>0</v>
      </c>
      <c r="CF790" s="18">
        <v>0</v>
      </c>
      <c r="CG790">
        <v>0</v>
      </c>
      <c r="CH790">
        <v>0</v>
      </c>
      <c r="CI790">
        <v>1</v>
      </c>
      <c r="CJ790">
        <v>0</v>
      </c>
      <c r="CK790">
        <v>0</v>
      </c>
      <c r="CL790">
        <v>0</v>
      </c>
      <c r="CM790">
        <v>1</v>
      </c>
      <c r="CN790">
        <v>0</v>
      </c>
      <c r="CO790">
        <v>0</v>
      </c>
      <c r="CP790">
        <v>1</v>
      </c>
      <c r="CQ790" s="18">
        <v>0</v>
      </c>
      <c r="CR790">
        <v>0.76700000000000002</v>
      </c>
      <c r="CS790">
        <v>347</v>
      </c>
      <c r="CT790">
        <v>1</v>
      </c>
      <c r="CU790">
        <v>0</v>
      </c>
      <c r="CV790">
        <v>0</v>
      </c>
      <c r="DB790" s="34"/>
    </row>
    <row r="791" spans="1:106" x14ac:dyDescent="0.25">
      <c r="A791">
        <v>790</v>
      </c>
      <c r="B791">
        <v>53</v>
      </c>
      <c r="C791" s="25" t="s">
        <v>4164</v>
      </c>
      <c r="D791" s="12">
        <v>7.28</v>
      </c>
      <c r="E791" s="14">
        <f t="shared" si="237"/>
        <v>2.1927710843373496</v>
      </c>
      <c r="F791" s="7">
        <v>3.32</v>
      </c>
      <c r="G791" s="7">
        <f t="shared" si="226"/>
        <v>5.0872289156626511</v>
      </c>
      <c r="H791" s="16">
        <f t="shared" si="227"/>
        <v>9.4727710843373494</v>
      </c>
      <c r="I791" s="11">
        <f t="shared" si="228"/>
        <v>0.26579365338014427</v>
      </c>
      <c r="J791" s="33">
        <f t="shared" si="229"/>
        <v>8.0058329331368777E-2</v>
      </c>
      <c r="K791" s="33">
        <f t="shared" si="230"/>
        <v>12.49089268227055</v>
      </c>
      <c r="L791" s="33">
        <f t="shared" si="231"/>
        <v>0.18573532404877549</v>
      </c>
      <c r="M791" s="33">
        <f t="shared" si="232"/>
        <v>0.34585198271151307</v>
      </c>
      <c r="N791" s="8">
        <v>1</v>
      </c>
      <c r="O791" s="9">
        <v>0</v>
      </c>
      <c r="P791" s="8">
        <v>0</v>
      </c>
      <c r="Q791" s="9">
        <v>1</v>
      </c>
      <c r="R791" s="9">
        <v>0</v>
      </c>
      <c r="S791" s="9">
        <v>0</v>
      </c>
      <c r="T791" s="9">
        <v>0</v>
      </c>
      <c r="U791" s="8">
        <v>152</v>
      </c>
      <c r="V791" s="9">
        <v>6</v>
      </c>
      <c r="W791" s="9">
        <f t="shared" si="233"/>
        <v>145</v>
      </c>
      <c r="X791" s="9">
        <f t="shared" si="234"/>
        <v>11</v>
      </c>
      <c r="Y791" s="7">
        <v>9.59</v>
      </c>
      <c r="Z791" s="7">
        <v>18.329999999999998</v>
      </c>
      <c r="AA791" s="9">
        <v>1</v>
      </c>
      <c r="AB791" s="9">
        <v>0</v>
      </c>
      <c r="AC791" s="9">
        <v>1</v>
      </c>
      <c r="AD791" s="9">
        <v>0</v>
      </c>
      <c r="AE791" s="9">
        <v>0</v>
      </c>
      <c r="AF791" s="9">
        <v>0</v>
      </c>
      <c r="AG791" s="8">
        <v>1</v>
      </c>
      <c r="AH791" s="9">
        <v>0</v>
      </c>
      <c r="AI791" s="30">
        <v>0</v>
      </c>
      <c r="AJ791" s="9">
        <v>0</v>
      </c>
      <c r="AK791" s="30">
        <v>1</v>
      </c>
      <c r="AL791" s="21">
        <v>1989</v>
      </c>
      <c r="AM791" s="23">
        <f t="shared" si="235"/>
        <v>7.5953872788539725</v>
      </c>
      <c r="AN791" s="33">
        <v>0.20499999999999999</v>
      </c>
      <c r="AO791" s="33">
        <v>0.20499999999999999</v>
      </c>
      <c r="AP791" s="33">
        <v>0.55000000000000004</v>
      </c>
      <c r="AQ791" s="43">
        <v>0.04</v>
      </c>
      <c r="AR791" s="42" t="s">
        <v>104</v>
      </c>
      <c r="AS791" s="18" t="s">
        <v>104</v>
      </c>
      <c r="AT791" s="33">
        <v>0.75</v>
      </c>
      <c r="AU791" s="40">
        <v>0.25</v>
      </c>
      <c r="AV791">
        <v>1</v>
      </c>
      <c r="AW791" s="40">
        <v>0</v>
      </c>
      <c r="AX791">
        <v>0</v>
      </c>
      <c r="AY791" s="18">
        <v>1</v>
      </c>
      <c r="AZ791" t="s">
        <v>104</v>
      </c>
      <c r="BA791" s="18" t="s">
        <v>104</v>
      </c>
      <c r="BB791" s="18" t="s">
        <v>10</v>
      </c>
      <c r="BC791">
        <v>0</v>
      </c>
      <c r="BD791">
        <v>0</v>
      </c>
      <c r="BE791">
        <v>0</v>
      </c>
      <c r="BF791">
        <v>0</v>
      </c>
      <c r="BG791">
        <v>0</v>
      </c>
      <c r="BH791" s="18">
        <v>1</v>
      </c>
      <c r="BI791">
        <v>0</v>
      </c>
      <c r="BJ791">
        <v>0</v>
      </c>
      <c r="BK791" s="18">
        <v>1</v>
      </c>
      <c r="BL791">
        <v>19.583333333333329</v>
      </c>
      <c r="BM791">
        <v>1.03</v>
      </c>
      <c r="BN791" s="94">
        <f t="shared" si="238"/>
        <v>33.92</v>
      </c>
      <c r="BO791">
        <v>1</v>
      </c>
      <c r="BP791">
        <v>0</v>
      </c>
      <c r="BQ791">
        <v>0</v>
      </c>
      <c r="BR791">
        <v>0</v>
      </c>
      <c r="BS791">
        <v>0</v>
      </c>
      <c r="BT791">
        <v>0</v>
      </c>
      <c r="BU791">
        <v>0</v>
      </c>
      <c r="BV791" s="18">
        <v>0</v>
      </c>
      <c r="BW791">
        <v>0</v>
      </c>
      <c r="BX791">
        <v>0</v>
      </c>
      <c r="BY791">
        <v>1</v>
      </c>
      <c r="BZ791" s="18">
        <v>0</v>
      </c>
      <c r="CA791">
        <v>0</v>
      </c>
      <c r="CB791">
        <v>0</v>
      </c>
      <c r="CC791">
        <v>0</v>
      </c>
      <c r="CD791">
        <v>0</v>
      </c>
      <c r="CE791">
        <v>0</v>
      </c>
      <c r="CF791" s="18">
        <v>0</v>
      </c>
      <c r="CG791">
        <v>0</v>
      </c>
      <c r="CH791">
        <v>0</v>
      </c>
      <c r="CI791">
        <v>1</v>
      </c>
      <c r="CJ791">
        <v>0</v>
      </c>
      <c r="CK791">
        <v>0</v>
      </c>
      <c r="CL791">
        <v>0</v>
      </c>
      <c r="CM791">
        <v>1</v>
      </c>
      <c r="CN791">
        <v>0</v>
      </c>
      <c r="CO791">
        <v>0</v>
      </c>
      <c r="CP791">
        <v>1</v>
      </c>
      <c r="CQ791" s="18">
        <v>0</v>
      </c>
      <c r="CR791">
        <v>0.76700000000000002</v>
      </c>
      <c r="CS791">
        <v>347</v>
      </c>
      <c r="CT791">
        <v>1</v>
      </c>
      <c r="CU791">
        <v>0</v>
      </c>
      <c r="CV791">
        <v>0</v>
      </c>
      <c r="DB791" s="34"/>
    </row>
    <row r="792" spans="1:106" x14ac:dyDescent="0.25">
      <c r="A792">
        <v>791</v>
      </c>
      <c r="B792">
        <v>53</v>
      </c>
      <c r="C792" s="25" t="s">
        <v>4164</v>
      </c>
      <c r="D792" s="12">
        <v>0.32</v>
      </c>
      <c r="E792" s="14">
        <f t="shared" si="237"/>
        <v>4</v>
      </c>
      <c r="F792" s="7">
        <v>0.08</v>
      </c>
      <c r="G792" s="7">
        <f t="shared" si="226"/>
        <v>-3.68</v>
      </c>
      <c r="H792" s="16">
        <f t="shared" si="227"/>
        <v>4.32</v>
      </c>
      <c r="I792" s="11">
        <f t="shared" si="228"/>
        <v>6.6665185234566068E-3</v>
      </c>
      <c r="J792" s="33">
        <f t="shared" si="229"/>
        <v>8.3331481543207589E-2</v>
      </c>
      <c r="K792" s="33">
        <f t="shared" si="230"/>
        <v>12.000266663703769</v>
      </c>
      <c r="L792" s="33">
        <f t="shared" si="231"/>
        <v>-7.6664963019750981E-2</v>
      </c>
      <c r="M792" s="33">
        <f t="shared" si="232"/>
        <v>8.9998000066664197E-2</v>
      </c>
      <c r="N792" s="8">
        <v>1</v>
      </c>
      <c r="O792" s="9">
        <v>0</v>
      </c>
      <c r="P792" s="8">
        <v>0</v>
      </c>
      <c r="Q792" s="9">
        <v>1</v>
      </c>
      <c r="R792" s="9">
        <v>0</v>
      </c>
      <c r="S792" s="9">
        <v>0</v>
      </c>
      <c r="T792" s="9">
        <v>0</v>
      </c>
      <c r="U792" s="8">
        <v>152</v>
      </c>
      <c r="V792" s="9">
        <v>7</v>
      </c>
      <c r="W792" s="9">
        <f t="shared" si="233"/>
        <v>144</v>
      </c>
      <c r="X792" s="9">
        <f t="shared" si="234"/>
        <v>11</v>
      </c>
      <c r="Y792" s="7">
        <v>9.59</v>
      </c>
      <c r="Z792" s="7">
        <v>18.329999999999998</v>
      </c>
      <c r="AA792" s="9">
        <v>1</v>
      </c>
      <c r="AB792" s="9">
        <v>0</v>
      </c>
      <c r="AC792" s="9">
        <v>1</v>
      </c>
      <c r="AD792" s="9">
        <v>0</v>
      </c>
      <c r="AE792" s="9">
        <v>0</v>
      </c>
      <c r="AF792" s="9">
        <v>0</v>
      </c>
      <c r="AG792" s="8">
        <v>1</v>
      </c>
      <c r="AH792" s="9">
        <v>0</v>
      </c>
      <c r="AI792" s="30">
        <v>0</v>
      </c>
      <c r="AJ792" s="9">
        <v>0</v>
      </c>
      <c r="AK792" s="30">
        <v>1</v>
      </c>
      <c r="AL792" s="21">
        <v>1989</v>
      </c>
      <c r="AM792" s="23">
        <f t="shared" si="235"/>
        <v>7.5953872788539725</v>
      </c>
      <c r="AN792" s="33">
        <v>0.20499999999999999</v>
      </c>
      <c r="AO792" s="33">
        <v>0.20499999999999999</v>
      </c>
      <c r="AP792" s="33">
        <v>0.55000000000000004</v>
      </c>
      <c r="AQ792" s="43">
        <v>0.04</v>
      </c>
      <c r="AR792" s="42" t="s">
        <v>104</v>
      </c>
      <c r="AS792" s="18" t="s">
        <v>104</v>
      </c>
      <c r="AT792" s="33">
        <v>0.75</v>
      </c>
      <c r="AU792" s="40">
        <v>0.25</v>
      </c>
      <c r="AV792">
        <v>1</v>
      </c>
      <c r="AW792" s="40">
        <v>0</v>
      </c>
      <c r="AX792">
        <v>0</v>
      </c>
      <c r="AY792" s="18">
        <v>1</v>
      </c>
      <c r="AZ792" t="s">
        <v>104</v>
      </c>
      <c r="BA792" s="18" t="s">
        <v>104</v>
      </c>
      <c r="BB792" s="18" t="s">
        <v>10</v>
      </c>
      <c r="BC792">
        <v>0</v>
      </c>
      <c r="BD792">
        <v>0</v>
      </c>
      <c r="BE792">
        <v>0</v>
      </c>
      <c r="BF792">
        <v>0</v>
      </c>
      <c r="BG792">
        <v>0</v>
      </c>
      <c r="BH792" s="18">
        <v>1</v>
      </c>
      <c r="BI792">
        <v>0</v>
      </c>
      <c r="BJ792">
        <v>0</v>
      </c>
      <c r="BK792" s="18">
        <v>1</v>
      </c>
      <c r="BL792">
        <v>19.583333333333329</v>
      </c>
      <c r="BM792">
        <v>1.03</v>
      </c>
      <c r="BN792" s="94">
        <f t="shared" si="238"/>
        <v>33.92</v>
      </c>
      <c r="BO792">
        <v>0</v>
      </c>
      <c r="BP792">
        <v>0</v>
      </c>
      <c r="BQ792">
        <v>0</v>
      </c>
      <c r="BR792">
        <v>0</v>
      </c>
      <c r="BS792">
        <v>1</v>
      </c>
      <c r="BT792">
        <v>0</v>
      </c>
      <c r="BU792">
        <v>0</v>
      </c>
      <c r="BV792" s="18">
        <v>0</v>
      </c>
      <c r="BW792">
        <v>0</v>
      </c>
      <c r="BX792">
        <v>0</v>
      </c>
      <c r="BY792">
        <v>1</v>
      </c>
      <c r="BZ792" s="18">
        <v>0</v>
      </c>
      <c r="CA792">
        <v>0</v>
      </c>
      <c r="CB792">
        <v>0</v>
      </c>
      <c r="CC792">
        <v>0</v>
      </c>
      <c r="CD792">
        <v>0</v>
      </c>
      <c r="CE792">
        <v>0</v>
      </c>
      <c r="CF792" s="18">
        <v>0</v>
      </c>
      <c r="CG792">
        <v>0</v>
      </c>
      <c r="CH792">
        <v>0</v>
      </c>
      <c r="CI792">
        <v>1</v>
      </c>
      <c r="CJ792">
        <v>0</v>
      </c>
      <c r="CK792">
        <v>0</v>
      </c>
      <c r="CL792">
        <v>0</v>
      </c>
      <c r="CM792">
        <v>1</v>
      </c>
      <c r="CN792">
        <v>0</v>
      </c>
      <c r="CO792">
        <v>0</v>
      </c>
      <c r="CP792">
        <v>1</v>
      </c>
      <c r="CQ792" s="18">
        <v>0</v>
      </c>
      <c r="CR792">
        <v>0.76700000000000002</v>
      </c>
      <c r="CS792">
        <v>347</v>
      </c>
      <c r="CT792">
        <v>1</v>
      </c>
      <c r="CU792">
        <v>0</v>
      </c>
      <c r="CV792">
        <v>0</v>
      </c>
      <c r="DB792" s="34"/>
    </row>
    <row r="793" spans="1:106" x14ac:dyDescent="0.25">
      <c r="A793">
        <v>792</v>
      </c>
      <c r="B793">
        <v>53</v>
      </c>
      <c r="C793" s="25" t="s">
        <v>4164</v>
      </c>
      <c r="D793" s="12">
        <v>-0.45</v>
      </c>
      <c r="E793" s="14">
        <f t="shared" si="237"/>
        <v>10</v>
      </c>
      <c r="F793" s="7">
        <v>-4.4999999999999998E-2</v>
      </c>
      <c r="G793" s="7">
        <f t="shared" si="226"/>
        <v>-10.45</v>
      </c>
      <c r="H793" s="16">
        <f t="shared" si="227"/>
        <v>9.5500000000000007</v>
      </c>
      <c r="I793" s="11">
        <f t="shared" si="228"/>
        <v>-3.749973633090588E-3</v>
      </c>
      <c r="J793" s="33">
        <f t="shared" si="229"/>
        <v>8.3332747402013074E-2</v>
      </c>
      <c r="K793" s="33">
        <f t="shared" si="230"/>
        <v>12.00008437470337</v>
      </c>
      <c r="L793" s="33">
        <f t="shared" si="231"/>
        <v>-8.7082721035103658E-2</v>
      </c>
      <c r="M793" s="33">
        <f t="shared" si="232"/>
        <v>7.9582773768922491E-2</v>
      </c>
      <c r="N793" s="8">
        <v>1</v>
      </c>
      <c r="O793" s="9">
        <v>0</v>
      </c>
      <c r="P793" s="8">
        <v>0</v>
      </c>
      <c r="Q793" s="9">
        <v>1</v>
      </c>
      <c r="R793" s="9">
        <v>0</v>
      </c>
      <c r="S793" s="9">
        <v>0</v>
      </c>
      <c r="T793" s="9">
        <v>0</v>
      </c>
      <c r="U793" s="8">
        <v>152</v>
      </c>
      <c r="V793" s="9">
        <v>7</v>
      </c>
      <c r="W793" s="9">
        <f t="shared" si="233"/>
        <v>144</v>
      </c>
      <c r="X793" s="9">
        <f t="shared" si="234"/>
        <v>11</v>
      </c>
      <c r="Y793" s="7">
        <v>9.59</v>
      </c>
      <c r="Z793" s="7">
        <v>18.329999999999998</v>
      </c>
      <c r="AA793" s="9">
        <v>1</v>
      </c>
      <c r="AB793" s="9">
        <v>0</v>
      </c>
      <c r="AC793" s="9">
        <v>1</v>
      </c>
      <c r="AD793" s="9">
        <v>0</v>
      </c>
      <c r="AE793" s="9">
        <v>0</v>
      </c>
      <c r="AF793" s="9">
        <v>0</v>
      </c>
      <c r="AG793" s="8">
        <v>1</v>
      </c>
      <c r="AH793" s="9">
        <v>0</v>
      </c>
      <c r="AI793" s="30">
        <v>0</v>
      </c>
      <c r="AJ793" s="9">
        <v>0</v>
      </c>
      <c r="AK793" s="30">
        <v>1</v>
      </c>
      <c r="AL793" s="21">
        <v>1989</v>
      </c>
      <c r="AM793" s="23">
        <f t="shared" si="235"/>
        <v>7.5953872788539725</v>
      </c>
      <c r="AN793" s="33">
        <v>0.20499999999999999</v>
      </c>
      <c r="AO793" s="33">
        <v>0.20499999999999999</v>
      </c>
      <c r="AP793" s="33">
        <v>0.55000000000000004</v>
      </c>
      <c r="AQ793" s="43">
        <v>0.04</v>
      </c>
      <c r="AR793" s="42" t="s">
        <v>104</v>
      </c>
      <c r="AS793" s="18" t="s">
        <v>104</v>
      </c>
      <c r="AT793" s="33">
        <v>0.75</v>
      </c>
      <c r="AU793" s="40">
        <v>0.25</v>
      </c>
      <c r="AV793">
        <v>1</v>
      </c>
      <c r="AW793" s="40">
        <v>0</v>
      </c>
      <c r="AX793">
        <v>0</v>
      </c>
      <c r="AY793" s="18">
        <v>1</v>
      </c>
      <c r="AZ793" t="s">
        <v>104</v>
      </c>
      <c r="BA793" s="18" t="s">
        <v>104</v>
      </c>
      <c r="BB793" s="18" t="s">
        <v>10</v>
      </c>
      <c r="BC793">
        <v>0</v>
      </c>
      <c r="BD793">
        <v>0</v>
      </c>
      <c r="BE793">
        <v>0</v>
      </c>
      <c r="BF793">
        <v>0</v>
      </c>
      <c r="BG793">
        <v>0</v>
      </c>
      <c r="BH793" s="18">
        <v>1</v>
      </c>
      <c r="BI793">
        <v>0</v>
      </c>
      <c r="BJ793">
        <v>0</v>
      </c>
      <c r="BK793" s="18">
        <v>1</v>
      </c>
      <c r="BL793">
        <v>19.583333333333329</v>
      </c>
      <c r="BM793">
        <v>1.03</v>
      </c>
      <c r="BN793" s="94">
        <f t="shared" si="238"/>
        <v>33.92</v>
      </c>
      <c r="BO793">
        <v>0</v>
      </c>
      <c r="BP793">
        <v>0</v>
      </c>
      <c r="BQ793">
        <v>0</v>
      </c>
      <c r="BR793">
        <v>0</v>
      </c>
      <c r="BS793">
        <v>1</v>
      </c>
      <c r="BT793">
        <v>0</v>
      </c>
      <c r="BU793">
        <v>0</v>
      </c>
      <c r="BV793" s="18">
        <v>0</v>
      </c>
      <c r="BW793">
        <v>0</v>
      </c>
      <c r="BX793">
        <v>0</v>
      </c>
      <c r="BY793">
        <v>1</v>
      </c>
      <c r="BZ793" s="18">
        <v>0</v>
      </c>
      <c r="CA793">
        <v>0</v>
      </c>
      <c r="CB793">
        <v>0</v>
      </c>
      <c r="CC793">
        <v>0</v>
      </c>
      <c r="CD793">
        <v>0</v>
      </c>
      <c r="CE793">
        <v>0</v>
      </c>
      <c r="CF793" s="18">
        <v>0</v>
      </c>
      <c r="CG793">
        <v>0</v>
      </c>
      <c r="CH793">
        <v>0</v>
      </c>
      <c r="CI793">
        <v>1</v>
      </c>
      <c r="CJ793">
        <v>0</v>
      </c>
      <c r="CK793">
        <v>0</v>
      </c>
      <c r="CL793">
        <v>0</v>
      </c>
      <c r="CM793">
        <v>1</v>
      </c>
      <c r="CN793">
        <v>0</v>
      </c>
      <c r="CO793">
        <v>0</v>
      </c>
      <c r="CP793">
        <v>1</v>
      </c>
      <c r="CQ793" s="18">
        <v>0</v>
      </c>
      <c r="CR793">
        <v>0.76700000000000002</v>
      </c>
      <c r="CS793">
        <v>347</v>
      </c>
      <c r="CT793">
        <v>1</v>
      </c>
      <c r="CU793">
        <v>0</v>
      </c>
      <c r="CV793">
        <v>0</v>
      </c>
      <c r="DB793" s="34"/>
    </row>
    <row r="794" spans="1:106" x14ac:dyDescent="0.25">
      <c r="A794">
        <v>793</v>
      </c>
      <c r="B794">
        <v>53</v>
      </c>
      <c r="C794" s="25" t="s">
        <v>4164</v>
      </c>
      <c r="D794" s="12">
        <v>2.2200000000000002</v>
      </c>
      <c r="E794" s="14">
        <f t="shared" si="237"/>
        <v>2.3368421052631581</v>
      </c>
      <c r="F794" s="7">
        <v>0.95</v>
      </c>
      <c r="G794" s="7">
        <f t="shared" si="226"/>
        <v>-0.11684210526315786</v>
      </c>
      <c r="H794" s="16">
        <f t="shared" si="227"/>
        <v>4.5568421052631578</v>
      </c>
      <c r="I794" s="11">
        <f t="shared" si="228"/>
        <v>6.3918016547565334E-2</v>
      </c>
      <c r="J794" s="33">
        <f t="shared" si="229"/>
        <v>6.7282122681647724E-2</v>
      </c>
      <c r="K794" s="33">
        <f t="shared" si="230"/>
        <v>14.86278910568269</v>
      </c>
      <c r="L794" s="33">
        <f t="shared" si="231"/>
        <v>-3.3641061340823897E-3</v>
      </c>
      <c r="M794" s="33">
        <f t="shared" si="232"/>
        <v>0.13120013922921306</v>
      </c>
      <c r="N794" s="8">
        <v>1</v>
      </c>
      <c r="O794" s="9">
        <v>0</v>
      </c>
      <c r="P794" s="8">
        <v>0</v>
      </c>
      <c r="Q794" s="9">
        <v>1</v>
      </c>
      <c r="R794" s="9">
        <v>0</v>
      </c>
      <c r="S794" s="9">
        <v>0</v>
      </c>
      <c r="T794" s="9">
        <v>0</v>
      </c>
      <c r="U794" s="8">
        <v>237</v>
      </c>
      <c r="V794" s="9">
        <v>16</v>
      </c>
      <c r="W794" s="9">
        <f t="shared" si="233"/>
        <v>220</v>
      </c>
      <c r="X794" s="9">
        <f t="shared" si="234"/>
        <v>11</v>
      </c>
      <c r="Y794" s="7">
        <v>9.59</v>
      </c>
      <c r="Z794" s="7">
        <v>18.329999999999998</v>
      </c>
      <c r="AA794" s="9">
        <v>1</v>
      </c>
      <c r="AB794" s="9">
        <v>0</v>
      </c>
      <c r="AC794" s="9">
        <v>1</v>
      </c>
      <c r="AD794" s="9">
        <v>0</v>
      </c>
      <c r="AE794" s="9">
        <v>0</v>
      </c>
      <c r="AF794" s="9">
        <v>0</v>
      </c>
      <c r="AG794" s="8">
        <v>1</v>
      </c>
      <c r="AH794" s="9">
        <v>0</v>
      </c>
      <c r="AI794" s="30">
        <v>0</v>
      </c>
      <c r="AJ794" s="9">
        <v>0</v>
      </c>
      <c r="AK794" s="30">
        <v>1</v>
      </c>
      <c r="AL794" s="21">
        <v>1989</v>
      </c>
      <c r="AM794" s="23">
        <f t="shared" si="235"/>
        <v>7.5953872788539725</v>
      </c>
      <c r="AN794" s="33">
        <v>0.20499999999999999</v>
      </c>
      <c r="AO794" s="33">
        <v>0.20499999999999999</v>
      </c>
      <c r="AP794" s="33">
        <v>0.55000000000000004</v>
      </c>
      <c r="AQ794" s="43">
        <v>0.04</v>
      </c>
      <c r="AR794" s="42" t="s">
        <v>104</v>
      </c>
      <c r="AS794" s="18" t="s">
        <v>104</v>
      </c>
      <c r="AT794" s="33">
        <v>0.75</v>
      </c>
      <c r="AU794" s="40">
        <v>0.25</v>
      </c>
      <c r="AV794">
        <v>0</v>
      </c>
      <c r="AW794" s="40">
        <v>1</v>
      </c>
      <c r="AX794">
        <v>0</v>
      </c>
      <c r="AY794" s="18">
        <v>1</v>
      </c>
      <c r="AZ794" t="s">
        <v>104</v>
      </c>
      <c r="BA794" s="18" t="s">
        <v>104</v>
      </c>
      <c r="BB794" s="18" t="s">
        <v>10</v>
      </c>
      <c r="BC794">
        <v>0</v>
      </c>
      <c r="BD794">
        <v>0</v>
      </c>
      <c r="BE794">
        <v>0</v>
      </c>
      <c r="BF794">
        <v>0</v>
      </c>
      <c r="BG794">
        <v>0</v>
      </c>
      <c r="BH794" s="18">
        <v>1</v>
      </c>
      <c r="BI794">
        <v>0</v>
      </c>
      <c r="BJ794">
        <v>0</v>
      </c>
      <c r="BK794" s="18">
        <v>1</v>
      </c>
      <c r="BL794">
        <v>19.583333333333329</v>
      </c>
      <c r="BM794">
        <v>1.03</v>
      </c>
      <c r="BN794" s="94">
        <f t="shared" si="238"/>
        <v>33.92</v>
      </c>
      <c r="BO794">
        <v>1</v>
      </c>
      <c r="BP794">
        <v>0</v>
      </c>
      <c r="BQ794">
        <v>0</v>
      </c>
      <c r="BR794">
        <v>0</v>
      </c>
      <c r="BS794">
        <v>0</v>
      </c>
      <c r="BT794">
        <v>0</v>
      </c>
      <c r="BU794">
        <v>0</v>
      </c>
      <c r="BV794" s="18">
        <v>0</v>
      </c>
      <c r="BW794">
        <v>1</v>
      </c>
      <c r="BX794">
        <v>0</v>
      </c>
      <c r="BY794">
        <v>0</v>
      </c>
      <c r="BZ794" s="18">
        <v>0</v>
      </c>
      <c r="CA794">
        <v>0</v>
      </c>
      <c r="CB794">
        <v>0</v>
      </c>
      <c r="CC794">
        <v>0</v>
      </c>
      <c r="CD794">
        <v>0</v>
      </c>
      <c r="CE794">
        <v>0</v>
      </c>
      <c r="CF794" s="18">
        <v>0</v>
      </c>
      <c r="CG794">
        <v>1</v>
      </c>
      <c r="CH794">
        <v>1</v>
      </c>
      <c r="CI794">
        <v>0</v>
      </c>
      <c r="CJ794">
        <v>0</v>
      </c>
      <c r="CK794">
        <v>0</v>
      </c>
      <c r="CL794">
        <v>0</v>
      </c>
      <c r="CM794">
        <v>1</v>
      </c>
      <c r="CN794">
        <v>0</v>
      </c>
      <c r="CO794">
        <v>0</v>
      </c>
      <c r="CP794">
        <v>1</v>
      </c>
      <c r="CQ794" s="18">
        <v>0</v>
      </c>
      <c r="CR794">
        <v>0.76700000000000002</v>
      </c>
      <c r="CS794">
        <v>347</v>
      </c>
      <c r="CT794">
        <v>1</v>
      </c>
      <c r="CU794">
        <v>0</v>
      </c>
      <c r="CV794">
        <v>0</v>
      </c>
      <c r="DB794" s="34"/>
    </row>
    <row r="795" spans="1:106" x14ac:dyDescent="0.25">
      <c r="A795">
        <v>794</v>
      </c>
      <c r="B795">
        <v>53</v>
      </c>
      <c r="C795" s="25" t="s">
        <v>4164</v>
      </c>
      <c r="D795" s="12">
        <v>4.82</v>
      </c>
      <c r="E795" s="14">
        <f t="shared" si="237"/>
        <v>2.9036144578313254</v>
      </c>
      <c r="F795" s="7">
        <v>1.66</v>
      </c>
      <c r="G795" s="7">
        <f t="shared" si="226"/>
        <v>1.9163855421686748</v>
      </c>
      <c r="H795" s="16">
        <f t="shared" si="227"/>
        <v>7.7236144578313262</v>
      </c>
      <c r="I795" s="11">
        <f t="shared" si="228"/>
        <v>0.1112227868108151</v>
      </c>
      <c r="J795" s="33">
        <f t="shared" si="229"/>
        <v>6.7001678801695844E-2</v>
      </c>
      <c r="K795" s="33">
        <f t="shared" si="230"/>
        <v>14.924999162479038</v>
      </c>
      <c r="L795" s="33">
        <f t="shared" si="231"/>
        <v>4.4221108009119256E-2</v>
      </c>
      <c r="M795" s="33">
        <f t="shared" si="232"/>
        <v>0.17822446561251093</v>
      </c>
      <c r="N795" s="8">
        <v>1</v>
      </c>
      <c r="O795" s="9">
        <v>0</v>
      </c>
      <c r="P795" s="8">
        <v>0</v>
      </c>
      <c r="Q795" s="9">
        <v>1</v>
      </c>
      <c r="R795" s="9">
        <v>0</v>
      </c>
      <c r="S795" s="9">
        <v>0</v>
      </c>
      <c r="T795" s="9">
        <v>0</v>
      </c>
      <c r="U795" s="8">
        <v>237</v>
      </c>
      <c r="V795" s="9">
        <v>16</v>
      </c>
      <c r="W795" s="9">
        <f t="shared" si="233"/>
        <v>220</v>
      </c>
      <c r="X795" s="9">
        <f t="shared" si="234"/>
        <v>11</v>
      </c>
      <c r="Y795" s="7">
        <v>9.59</v>
      </c>
      <c r="Z795" s="7">
        <v>18.329999999999998</v>
      </c>
      <c r="AA795" s="9">
        <v>1</v>
      </c>
      <c r="AB795" s="9">
        <v>0</v>
      </c>
      <c r="AC795" s="9">
        <v>1</v>
      </c>
      <c r="AD795" s="9">
        <v>0</v>
      </c>
      <c r="AE795" s="9">
        <v>0</v>
      </c>
      <c r="AF795" s="9">
        <v>0</v>
      </c>
      <c r="AG795" s="8">
        <v>1</v>
      </c>
      <c r="AH795" s="9">
        <v>0</v>
      </c>
      <c r="AI795" s="30">
        <v>0</v>
      </c>
      <c r="AJ795" s="9">
        <v>0</v>
      </c>
      <c r="AK795" s="30">
        <v>1</v>
      </c>
      <c r="AL795" s="21">
        <v>1989</v>
      </c>
      <c r="AM795" s="23">
        <f t="shared" si="235"/>
        <v>7.5953872788539725</v>
      </c>
      <c r="AN795" s="33">
        <v>0.20499999999999999</v>
      </c>
      <c r="AO795" s="33">
        <v>0.20499999999999999</v>
      </c>
      <c r="AP795" s="33">
        <v>0.55000000000000004</v>
      </c>
      <c r="AQ795" s="43">
        <v>0.04</v>
      </c>
      <c r="AR795" s="42" t="s">
        <v>104</v>
      </c>
      <c r="AS795" s="18" t="s">
        <v>104</v>
      </c>
      <c r="AT795" s="33">
        <v>0.75</v>
      </c>
      <c r="AU795" s="40">
        <v>0.25</v>
      </c>
      <c r="AV795">
        <v>0</v>
      </c>
      <c r="AW795" s="40">
        <v>1</v>
      </c>
      <c r="AX795">
        <v>0</v>
      </c>
      <c r="AY795" s="18">
        <v>1</v>
      </c>
      <c r="AZ795" t="s">
        <v>104</v>
      </c>
      <c r="BA795" s="18" t="s">
        <v>104</v>
      </c>
      <c r="BB795" s="18" t="s">
        <v>10</v>
      </c>
      <c r="BC795">
        <v>0</v>
      </c>
      <c r="BD795">
        <v>0</v>
      </c>
      <c r="BE795">
        <v>0</v>
      </c>
      <c r="BF795">
        <v>0</v>
      </c>
      <c r="BG795">
        <v>0</v>
      </c>
      <c r="BH795" s="18">
        <v>1</v>
      </c>
      <c r="BI795">
        <v>0</v>
      </c>
      <c r="BJ795">
        <v>0</v>
      </c>
      <c r="BK795" s="18">
        <v>1</v>
      </c>
      <c r="BL795">
        <v>19.583333333333329</v>
      </c>
      <c r="BM795">
        <v>1.03</v>
      </c>
      <c r="BN795" s="94">
        <f t="shared" si="238"/>
        <v>33.92</v>
      </c>
      <c r="BO795">
        <v>1</v>
      </c>
      <c r="BP795">
        <v>0</v>
      </c>
      <c r="BQ795">
        <v>0</v>
      </c>
      <c r="BR795">
        <v>0</v>
      </c>
      <c r="BS795">
        <v>0</v>
      </c>
      <c r="BT795">
        <v>0</v>
      </c>
      <c r="BU795">
        <v>0</v>
      </c>
      <c r="BV795" s="18">
        <v>0</v>
      </c>
      <c r="BW795">
        <v>1</v>
      </c>
      <c r="BX795">
        <v>0</v>
      </c>
      <c r="BY795">
        <v>0</v>
      </c>
      <c r="BZ795" s="18">
        <v>0</v>
      </c>
      <c r="CA795">
        <v>0</v>
      </c>
      <c r="CB795">
        <v>0</v>
      </c>
      <c r="CC795">
        <v>0</v>
      </c>
      <c r="CD795">
        <v>0</v>
      </c>
      <c r="CE795">
        <v>0</v>
      </c>
      <c r="CF795" s="18">
        <v>0</v>
      </c>
      <c r="CG795">
        <v>1</v>
      </c>
      <c r="CH795">
        <v>1</v>
      </c>
      <c r="CI795">
        <v>0</v>
      </c>
      <c r="CJ795">
        <v>0</v>
      </c>
      <c r="CK795">
        <v>0</v>
      </c>
      <c r="CL795">
        <v>0</v>
      </c>
      <c r="CM795">
        <v>1</v>
      </c>
      <c r="CN795">
        <v>0</v>
      </c>
      <c r="CO795">
        <v>0</v>
      </c>
      <c r="CP795">
        <v>1</v>
      </c>
      <c r="CQ795" s="18">
        <v>0</v>
      </c>
      <c r="CR795">
        <v>0.76700000000000002</v>
      </c>
      <c r="CS795">
        <v>347</v>
      </c>
      <c r="CT795">
        <v>1</v>
      </c>
      <c r="CU795">
        <v>0</v>
      </c>
      <c r="CV795">
        <v>0</v>
      </c>
      <c r="DB795" s="34"/>
    </row>
    <row r="796" spans="1:106" x14ac:dyDescent="0.25">
      <c r="A796">
        <v>795</v>
      </c>
      <c r="B796">
        <v>53</v>
      </c>
      <c r="C796" s="25" t="s">
        <v>4164</v>
      </c>
      <c r="D796" s="12">
        <v>9.76</v>
      </c>
      <c r="E796" s="14">
        <f t="shared" si="237"/>
        <v>2.8208092485549132</v>
      </c>
      <c r="F796" s="7">
        <v>3.46</v>
      </c>
      <c r="G796" s="7">
        <f t="shared" si="226"/>
        <v>6.9391907514450866</v>
      </c>
      <c r="H796" s="16">
        <f t="shared" si="227"/>
        <v>12.580809248554914</v>
      </c>
      <c r="I796" s="11">
        <f t="shared" si="228"/>
        <v>0.17611584209363634</v>
      </c>
      <c r="J796" s="33">
        <f t="shared" si="229"/>
        <v>5.0900532397004726E-2</v>
      </c>
      <c r="K796" s="33">
        <f t="shared" si="230"/>
        <v>19.646159930123748</v>
      </c>
      <c r="L796" s="33">
        <f t="shared" si="231"/>
        <v>0.12521530969663161</v>
      </c>
      <c r="M796" s="33">
        <f t="shared" si="232"/>
        <v>0.22701637449064108</v>
      </c>
      <c r="N796" s="8">
        <v>1</v>
      </c>
      <c r="O796" s="9">
        <v>0</v>
      </c>
      <c r="P796" s="8">
        <v>0</v>
      </c>
      <c r="Q796" s="9">
        <v>1</v>
      </c>
      <c r="R796" s="9">
        <v>0</v>
      </c>
      <c r="S796" s="9">
        <v>0</v>
      </c>
      <c r="T796" s="9">
        <v>0</v>
      </c>
      <c r="U796" s="8">
        <v>389</v>
      </c>
      <c r="V796" s="9">
        <v>14</v>
      </c>
      <c r="W796" s="9">
        <f t="shared" si="233"/>
        <v>374</v>
      </c>
      <c r="X796" s="9">
        <f t="shared" si="234"/>
        <v>11</v>
      </c>
      <c r="Y796" s="7">
        <v>9.59</v>
      </c>
      <c r="Z796" s="7">
        <v>18.329999999999998</v>
      </c>
      <c r="AA796" s="9">
        <v>1</v>
      </c>
      <c r="AB796" s="9">
        <v>0</v>
      </c>
      <c r="AC796" s="9">
        <v>1</v>
      </c>
      <c r="AD796" s="9">
        <v>0</v>
      </c>
      <c r="AE796" s="9">
        <v>0</v>
      </c>
      <c r="AF796" s="9">
        <v>0</v>
      </c>
      <c r="AG796" s="8">
        <v>1</v>
      </c>
      <c r="AH796" s="9">
        <v>0</v>
      </c>
      <c r="AI796" s="30">
        <v>0</v>
      </c>
      <c r="AJ796" s="9">
        <v>0</v>
      </c>
      <c r="AK796" s="30">
        <v>1</v>
      </c>
      <c r="AL796" s="21">
        <v>1989</v>
      </c>
      <c r="AM796" s="23">
        <f t="shared" si="235"/>
        <v>7.5953872788539725</v>
      </c>
      <c r="AN796" s="33">
        <v>0.20499999999999999</v>
      </c>
      <c r="AO796" s="33">
        <v>0.20499999999999999</v>
      </c>
      <c r="AP796" s="33">
        <v>0.55000000000000004</v>
      </c>
      <c r="AQ796" s="43">
        <v>0.04</v>
      </c>
      <c r="AR796" s="42" t="s">
        <v>104</v>
      </c>
      <c r="AS796" s="18" t="s">
        <v>104</v>
      </c>
      <c r="AT796" s="33">
        <v>0.75</v>
      </c>
      <c r="AU796" s="40">
        <v>0.25</v>
      </c>
      <c r="AV796">
        <v>0.39</v>
      </c>
      <c r="AW796" s="40">
        <v>0.61</v>
      </c>
      <c r="AX796">
        <v>0</v>
      </c>
      <c r="AY796" s="18">
        <v>1</v>
      </c>
      <c r="AZ796" t="s">
        <v>104</v>
      </c>
      <c r="BA796" s="18" t="s">
        <v>104</v>
      </c>
      <c r="BB796" s="18" t="s">
        <v>10</v>
      </c>
      <c r="BC796">
        <v>0</v>
      </c>
      <c r="BD796">
        <v>0</v>
      </c>
      <c r="BE796">
        <v>0</v>
      </c>
      <c r="BF796">
        <v>0</v>
      </c>
      <c r="BG796">
        <v>0</v>
      </c>
      <c r="BH796" s="18">
        <v>1</v>
      </c>
      <c r="BI796">
        <v>0</v>
      </c>
      <c r="BJ796">
        <v>0</v>
      </c>
      <c r="BK796" s="18">
        <v>1</v>
      </c>
      <c r="BL796">
        <v>19.583333333333329</v>
      </c>
      <c r="BM796">
        <v>1.03</v>
      </c>
      <c r="BN796" s="94">
        <f t="shared" si="238"/>
        <v>33.92</v>
      </c>
      <c r="BO796">
        <v>0</v>
      </c>
      <c r="BP796">
        <v>0</v>
      </c>
      <c r="BQ796">
        <v>0</v>
      </c>
      <c r="BR796">
        <v>0</v>
      </c>
      <c r="BS796">
        <v>1</v>
      </c>
      <c r="BT796">
        <v>0</v>
      </c>
      <c r="BU796">
        <v>0</v>
      </c>
      <c r="BV796" s="18">
        <v>0</v>
      </c>
      <c r="BW796">
        <v>1</v>
      </c>
      <c r="BX796">
        <v>0</v>
      </c>
      <c r="BY796">
        <v>0</v>
      </c>
      <c r="BZ796" s="18">
        <v>0</v>
      </c>
      <c r="CA796">
        <v>0</v>
      </c>
      <c r="CB796">
        <v>0</v>
      </c>
      <c r="CC796">
        <v>0</v>
      </c>
      <c r="CD796">
        <v>0</v>
      </c>
      <c r="CE796">
        <v>0</v>
      </c>
      <c r="CF796" s="18">
        <v>0</v>
      </c>
      <c r="CG796">
        <v>0</v>
      </c>
      <c r="CH796">
        <v>0</v>
      </c>
      <c r="CI796">
        <v>1</v>
      </c>
      <c r="CJ796">
        <v>1</v>
      </c>
      <c r="CK796">
        <v>0</v>
      </c>
      <c r="CL796">
        <v>0</v>
      </c>
      <c r="CM796">
        <v>1</v>
      </c>
      <c r="CN796">
        <v>0</v>
      </c>
      <c r="CO796">
        <v>0</v>
      </c>
      <c r="CP796">
        <v>1</v>
      </c>
      <c r="CQ796" s="18">
        <v>0</v>
      </c>
      <c r="CR796">
        <v>0.76700000000000002</v>
      </c>
      <c r="CS796">
        <v>347</v>
      </c>
      <c r="CT796">
        <v>1</v>
      </c>
      <c r="CU796">
        <v>0</v>
      </c>
      <c r="CV796">
        <v>0</v>
      </c>
      <c r="DB796" s="34"/>
    </row>
    <row r="797" spans="1:106" x14ac:dyDescent="0.25">
      <c r="A797">
        <v>796</v>
      </c>
      <c r="B797">
        <v>53</v>
      </c>
      <c r="C797" s="25" t="s">
        <v>4164</v>
      </c>
      <c r="D797" s="12">
        <v>12.12</v>
      </c>
      <c r="E797" s="14">
        <f t="shared" si="237"/>
        <v>3.8113207547169807</v>
      </c>
      <c r="F797" s="7">
        <v>3.18</v>
      </c>
      <c r="G797" s="7">
        <f t="shared" si="226"/>
        <v>8.3086792452830185</v>
      </c>
      <c r="H797" s="16">
        <f t="shared" si="227"/>
        <v>15.93132075471698</v>
      </c>
      <c r="I797" s="11">
        <f t="shared" si="228"/>
        <v>6.4694677588783278E-2</v>
      </c>
      <c r="J797" s="33">
        <f t="shared" si="229"/>
        <v>2.0344238235466439E-2</v>
      </c>
      <c r="K797" s="33">
        <f t="shared" si="230"/>
        <v>49.153966269264579</v>
      </c>
      <c r="L797" s="33">
        <f t="shared" si="231"/>
        <v>4.435043935331684E-2</v>
      </c>
      <c r="M797" s="33">
        <f t="shared" si="232"/>
        <v>8.5038915824249717E-2</v>
      </c>
      <c r="N797" s="8">
        <v>1</v>
      </c>
      <c r="O797" s="9">
        <v>0</v>
      </c>
      <c r="P797" s="8">
        <v>0</v>
      </c>
      <c r="Q797" s="9">
        <v>1</v>
      </c>
      <c r="R797" s="9">
        <v>0</v>
      </c>
      <c r="S797" s="9">
        <v>0</v>
      </c>
      <c r="T797" s="9">
        <v>0</v>
      </c>
      <c r="U797" s="8">
        <v>2421</v>
      </c>
      <c r="V797" s="9">
        <v>14</v>
      </c>
      <c r="W797" s="9">
        <f t="shared" si="233"/>
        <v>2406</v>
      </c>
      <c r="X797" s="9">
        <f t="shared" si="234"/>
        <v>11</v>
      </c>
      <c r="Y797" s="7">
        <v>9.59</v>
      </c>
      <c r="Z797" s="7">
        <v>18.329999999999998</v>
      </c>
      <c r="AA797" s="9">
        <v>1</v>
      </c>
      <c r="AB797" s="9">
        <v>0</v>
      </c>
      <c r="AC797" s="9">
        <v>1</v>
      </c>
      <c r="AD797" s="9">
        <v>0</v>
      </c>
      <c r="AE797" s="9">
        <v>0</v>
      </c>
      <c r="AF797" s="9">
        <v>0</v>
      </c>
      <c r="AG797" s="8">
        <v>1</v>
      </c>
      <c r="AH797" s="9">
        <v>0</v>
      </c>
      <c r="AI797" s="30">
        <v>0</v>
      </c>
      <c r="AJ797" s="9">
        <v>0</v>
      </c>
      <c r="AK797" s="30">
        <v>1</v>
      </c>
      <c r="AL797" s="21">
        <v>1989</v>
      </c>
      <c r="AM797" s="23">
        <f t="shared" si="235"/>
        <v>7.5953872788539725</v>
      </c>
      <c r="AN797" s="33">
        <v>0.20499999999999999</v>
      </c>
      <c r="AO797" s="33">
        <v>0.20499999999999999</v>
      </c>
      <c r="AP797" s="33">
        <v>0.55000000000000004</v>
      </c>
      <c r="AQ797" s="43">
        <v>0.04</v>
      </c>
      <c r="AR797" s="42" t="s">
        <v>104</v>
      </c>
      <c r="AS797" s="18" t="s">
        <v>104</v>
      </c>
      <c r="AT797" s="33">
        <v>0.75</v>
      </c>
      <c r="AU797" s="40">
        <v>0.25</v>
      </c>
      <c r="AV797">
        <v>0.39</v>
      </c>
      <c r="AW797" s="40">
        <v>0.61</v>
      </c>
      <c r="AX797">
        <v>0</v>
      </c>
      <c r="AY797" s="18">
        <v>1</v>
      </c>
      <c r="AZ797" t="s">
        <v>104</v>
      </c>
      <c r="BA797" s="18" t="s">
        <v>104</v>
      </c>
      <c r="BB797" s="18" t="s">
        <v>10</v>
      </c>
      <c r="BC797">
        <v>0</v>
      </c>
      <c r="BD797">
        <v>0</v>
      </c>
      <c r="BE797">
        <v>0</v>
      </c>
      <c r="BF797">
        <v>0</v>
      </c>
      <c r="BG797">
        <v>0</v>
      </c>
      <c r="BH797" s="18">
        <v>1</v>
      </c>
      <c r="BI797">
        <v>0</v>
      </c>
      <c r="BJ797">
        <v>0</v>
      </c>
      <c r="BK797" s="18">
        <v>1</v>
      </c>
      <c r="BL797">
        <v>19.583333333333329</v>
      </c>
      <c r="BM797">
        <v>1.03</v>
      </c>
      <c r="BN797" s="94">
        <f t="shared" si="238"/>
        <v>33.92</v>
      </c>
      <c r="BO797">
        <v>0</v>
      </c>
      <c r="BP797">
        <v>0</v>
      </c>
      <c r="BQ797">
        <v>0</v>
      </c>
      <c r="BR797">
        <v>0</v>
      </c>
      <c r="BS797">
        <v>1</v>
      </c>
      <c r="BT797">
        <v>0</v>
      </c>
      <c r="BU797">
        <v>0</v>
      </c>
      <c r="BV797" s="18">
        <v>0</v>
      </c>
      <c r="BW797">
        <v>1</v>
      </c>
      <c r="BX797">
        <v>0</v>
      </c>
      <c r="BY797">
        <v>0</v>
      </c>
      <c r="BZ797" s="18">
        <v>0</v>
      </c>
      <c r="CA797">
        <v>0</v>
      </c>
      <c r="CB797">
        <v>0</v>
      </c>
      <c r="CC797">
        <v>0</v>
      </c>
      <c r="CD797">
        <v>0</v>
      </c>
      <c r="CE797">
        <v>0</v>
      </c>
      <c r="CF797" s="18">
        <v>0</v>
      </c>
      <c r="CG797">
        <v>0</v>
      </c>
      <c r="CH797">
        <v>0</v>
      </c>
      <c r="CI797">
        <v>1</v>
      </c>
      <c r="CJ797">
        <v>1</v>
      </c>
      <c r="CK797">
        <v>0</v>
      </c>
      <c r="CL797">
        <v>0</v>
      </c>
      <c r="CM797">
        <v>1</v>
      </c>
      <c r="CN797">
        <v>0</v>
      </c>
      <c r="CO797">
        <v>0</v>
      </c>
      <c r="CP797">
        <v>1</v>
      </c>
      <c r="CQ797" s="18">
        <v>0</v>
      </c>
      <c r="CR797">
        <v>0.76700000000000002</v>
      </c>
      <c r="CS797">
        <v>347</v>
      </c>
      <c r="CT797">
        <v>1</v>
      </c>
      <c r="CU797">
        <v>0</v>
      </c>
      <c r="CV797">
        <v>0</v>
      </c>
      <c r="DB797" s="34"/>
    </row>
    <row r="798" spans="1:106" x14ac:dyDescent="0.25">
      <c r="A798">
        <v>797</v>
      </c>
      <c r="B798">
        <v>54</v>
      </c>
      <c r="C798" s="25" t="s">
        <v>502</v>
      </c>
      <c r="D798" s="12">
        <v>1.916521431506272</v>
      </c>
      <c r="E798" s="14">
        <v>0.1666540375222845</v>
      </c>
      <c r="F798" s="7">
        <v>11.5</v>
      </c>
      <c r="G798" s="7">
        <f t="shared" si="226"/>
        <v>1.7498673939839875</v>
      </c>
      <c r="H798" s="16">
        <f t="shared" si="227"/>
        <v>2.0831754690285567</v>
      </c>
      <c r="I798" s="11">
        <f t="shared" si="228"/>
        <v>0.18736377137981769</v>
      </c>
      <c r="J798" s="33">
        <f t="shared" si="229"/>
        <v>1.6292501859114582E-2</v>
      </c>
      <c r="K798" s="33">
        <f t="shared" si="230"/>
        <v>61.377927628749404</v>
      </c>
      <c r="L798" s="33">
        <f t="shared" si="231"/>
        <v>0.17107126952070312</v>
      </c>
      <c r="M798" s="33">
        <f t="shared" si="232"/>
        <v>0.20365627323893226</v>
      </c>
      <c r="N798" s="8">
        <v>1</v>
      </c>
      <c r="O798" s="9">
        <v>0</v>
      </c>
      <c r="P798" s="8">
        <v>0</v>
      </c>
      <c r="Q798" s="9">
        <v>0</v>
      </c>
      <c r="R798" s="9">
        <v>1</v>
      </c>
      <c r="S798" s="9">
        <v>0</v>
      </c>
      <c r="T798" s="9">
        <v>0</v>
      </c>
      <c r="U798" s="8">
        <v>3639</v>
      </c>
      <c r="V798" s="9">
        <v>3</v>
      </c>
      <c r="W798" s="9">
        <f t="shared" si="233"/>
        <v>3635</v>
      </c>
      <c r="X798" s="9">
        <f t="shared" si="234"/>
        <v>15</v>
      </c>
      <c r="Y798" s="7">
        <f t="shared" ref="Y798:Y812" si="239">AP798*13+AQ798*16</f>
        <v>13.849</v>
      </c>
      <c r="Z798" s="7">
        <f t="shared" ref="Z798:Z824" si="240">BN798-Y798-6</f>
        <v>13.151</v>
      </c>
      <c r="AA798" s="9">
        <v>0</v>
      </c>
      <c r="AB798" s="9">
        <v>1</v>
      </c>
      <c r="AC798" s="9">
        <v>1</v>
      </c>
      <c r="AD798" s="9">
        <v>0</v>
      </c>
      <c r="AE798" s="9">
        <v>0</v>
      </c>
      <c r="AF798" s="9">
        <v>0</v>
      </c>
      <c r="AG798" s="8">
        <v>0</v>
      </c>
      <c r="AH798" s="9">
        <v>0</v>
      </c>
      <c r="AI798" s="30">
        <v>1</v>
      </c>
      <c r="AJ798" s="9">
        <v>1</v>
      </c>
      <c r="AK798" s="30">
        <v>0</v>
      </c>
      <c r="AL798" s="21">
        <v>1958</v>
      </c>
      <c r="AM798" s="23">
        <f t="shared" si="235"/>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1</v>
      </c>
      <c r="BP798">
        <v>0</v>
      </c>
      <c r="BQ798">
        <v>0</v>
      </c>
      <c r="BR798">
        <v>0</v>
      </c>
      <c r="BS798">
        <v>0</v>
      </c>
      <c r="BT798">
        <v>0</v>
      </c>
      <c r="BU798">
        <v>0</v>
      </c>
      <c r="BV798" s="18">
        <v>0</v>
      </c>
      <c r="BW798">
        <v>0</v>
      </c>
      <c r="BX798">
        <v>1</v>
      </c>
      <c r="BY798">
        <v>0</v>
      </c>
      <c r="BZ798" s="18">
        <v>0</v>
      </c>
      <c r="CA798">
        <v>0</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5</v>
      </c>
      <c r="DB798" s="34"/>
    </row>
    <row r="799" spans="1:106" x14ac:dyDescent="0.25">
      <c r="A799">
        <v>798</v>
      </c>
      <c r="B799">
        <v>54</v>
      </c>
      <c r="C799" s="25" t="s">
        <v>502</v>
      </c>
      <c r="D799" s="12">
        <v>0.70399818512266887</v>
      </c>
      <c r="E799" s="14">
        <v>0.11982947831875219</v>
      </c>
      <c r="F799" s="7">
        <v>5.875</v>
      </c>
      <c r="G799" s="7">
        <f t="shared" si="226"/>
        <v>0.58416870680391664</v>
      </c>
      <c r="H799" s="16">
        <f t="shared" si="227"/>
        <v>0.82382766344142111</v>
      </c>
      <c r="I799" s="11">
        <f t="shared" si="228"/>
        <v>9.6984761089135257E-2</v>
      </c>
      <c r="J799" s="33">
        <f t="shared" si="229"/>
        <v>1.6508044440703872E-2</v>
      </c>
      <c r="K799" s="33">
        <f t="shared" si="230"/>
        <v>60.576527013357243</v>
      </c>
      <c r="L799" s="33">
        <f t="shared" si="231"/>
        <v>8.0476716648431382E-2</v>
      </c>
      <c r="M799" s="33">
        <f t="shared" si="232"/>
        <v>0.11349280552983913</v>
      </c>
      <c r="N799" s="8">
        <v>1</v>
      </c>
      <c r="O799" s="9">
        <v>0</v>
      </c>
      <c r="P799" s="8">
        <v>0</v>
      </c>
      <c r="Q799" s="9">
        <v>0</v>
      </c>
      <c r="R799" s="9">
        <v>1</v>
      </c>
      <c r="S799" s="9">
        <v>0</v>
      </c>
      <c r="T799" s="9">
        <v>0</v>
      </c>
      <c r="U799" s="8">
        <v>3639</v>
      </c>
      <c r="V799" s="9">
        <v>3</v>
      </c>
      <c r="W799" s="9">
        <f t="shared" si="233"/>
        <v>3635</v>
      </c>
      <c r="X799" s="9">
        <f t="shared" si="234"/>
        <v>15</v>
      </c>
      <c r="Y799" s="7">
        <f t="shared" si="239"/>
        <v>13.849</v>
      </c>
      <c r="Z799" s="7">
        <f t="shared" si="240"/>
        <v>13.151</v>
      </c>
      <c r="AA799" s="9">
        <v>0</v>
      </c>
      <c r="AB799" s="9">
        <v>1</v>
      </c>
      <c r="AC799" s="9">
        <v>1</v>
      </c>
      <c r="AD799" s="9">
        <v>0</v>
      </c>
      <c r="AE799" s="9">
        <v>0</v>
      </c>
      <c r="AF799" s="9">
        <v>0</v>
      </c>
      <c r="AG799" s="8">
        <v>0</v>
      </c>
      <c r="AH799" s="9">
        <v>0</v>
      </c>
      <c r="AI799" s="30">
        <v>1</v>
      </c>
      <c r="AJ799" s="9">
        <v>1</v>
      </c>
      <c r="AK799" s="30">
        <v>0</v>
      </c>
      <c r="AL799" s="21">
        <v>1958</v>
      </c>
      <c r="AM799" s="23">
        <f t="shared" si="235"/>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1</v>
      </c>
      <c r="BP799">
        <v>0</v>
      </c>
      <c r="BQ799">
        <v>0</v>
      </c>
      <c r="BR799">
        <v>0</v>
      </c>
      <c r="BS799">
        <v>0</v>
      </c>
      <c r="BT799">
        <v>0</v>
      </c>
      <c r="BU799">
        <v>0</v>
      </c>
      <c r="BV799" s="18">
        <v>0</v>
      </c>
      <c r="BW799">
        <v>0</v>
      </c>
      <c r="BX799">
        <v>1</v>
      </c>
      <c r="BY799">
        <v>0</v>
      </c>
      <c r="BZ799" s="18">
        <v>0</v>
      </c>
      <c r="CA799">
        <v>0</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5</v>
      </c>
      <c r="DB799" s="34"/>
    </row>
    <row r="800" spans="1:106" x14ac:dyDescent="0.25">
      <c r="A800">
        <v>799</v>
      </c>
      <c r="B800">
        <v>54</v>
      </c>
      <c r="C800" s="25" t="s">
        <v>502</v>
      </c>
      <c r="D800" s="12">
        <v>2.1697611742472129</v>
      </c>
      <c r="E800" s="14">
        <v>0.11649724425488391</v>
      </c>
      <c r="F800" s="7">
        <v>18.625</v>
      </c>
      <c r="G800" s="7">
        <f t="shared" si="226"/>
        <v>2.0532639299923292</v>
      </c>
      <c r="H800" s="16">
        <f t="shared" si="227"/>
        <v>2.2862584185020967</v>
      </c>
      <c r="I800" s="11">
        <f t="shared" si="228"/>
        <v>0.29515600137965536</v>
      </c>
      <c r="J800" s="33">
        <f t="shared" si="229"/>
        <v>1.5847302087498277E-2</v>
      </c>
      <c r="K800" s="33">
        <f t="shared" si="230"/>
        <v>63.102223613752308</v>
      </c>
      <c r="L800" s="33">
        <f t="shared" si="231"/>
        <v>0.27930869929215707</v>
      </c>
      <c r="M800" s="33">
        <f t="shared" si="232"/>
        <v>0.31100330346715366</v>
      </c>
      <c r="N800" s="8">
        <v>1</v>
      </c>
      <c r="O800" s="9">
        <v>0</v>
      </c>
      <c r="P800" s="8">
        <v>0</v>
      </c>
      <c r="Q800" s="9">
        <v>0</v>
      </c>
      <c r="R800" s="9">
        <v>1</v>
      </c>
      <c r="S800" s="9">
        <v>0</v>
      </c>
      <c r="T800" s="9">
        <v>0</v>
      </c>
      <c r="U800" s="8">
        <v>3639</v>
      </c>
      <c r="V800" s="9">
        <v>3</v>
      </c>
      <c r="W800" s="9">
        <f t="shared" si="233"/>
        <v>3635</v>
      </c>
      <c r="X800" s="9">
        <f t="shared" si="234"/>
        <v>15</v>
      </c>
      <c r="Y800" s="7">
        <f t="shared" si="239"/>
        <v>13.849</v>
      </c>
      <c r="Z800" s="7">
        <f t="shared" si="240"/>
        <v>13.151</v>
      </c>
      <c r="AA800" s="9">
        <v>0</v>
      </c>
      <c r="AB800" s="9">
        <v>1</v>
      </c>
      <c r="AC800" s="9">
        <v>1</v>
      </c>
      <c r="AD800" s="9">
        <v>0</v>
      </c>
      <c r="AE800" s="9">
        <v>0</v>
      </c>
      <c r="AF800" s="9">
        <v>0</v>
      </c>
      <c r="AG800" s="8">
        <v>0</v>
      </c>
      <c r="AH800" s="9">
        <v>0</v>
      </c>
      <c r="AI800" s="30">
        <v>1</v>
      </c>
      <c r="AJ800" s="9">
        <v>1</v>
      </c>
      <c r="AK800" s="30">
        <v>0</v>
      </c>
      <c r="AL800" s="21">
        <v>1958</v>
      </c>
      <c r="AM800" s="23">
        <f t="shared" si="235"/>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1</v>
      </c>
      <c r="BP800">
        <v>0</v>
      </c>
      <c r="BQ800">
        <v>0</v>
      </c>
      <c r="BR800">
        <v>0</v>
      </c>
      <c r="BS800">
        <v>0</v>
      </c>
      <c r="BT800">
        <v>0</v>
      </c>
      <c r="BU800">
        <v>0</v>
      </c>
      <c r="BV800" s="18">
        <v>0</v>
      </c>
      <c r="BW800">
        <v>0</v>
      </c>
      <c r="BX800">
        <v>1</v>
      </c>
      <c r="BY800">
        <v>0</v>
      </c>
      <c r="BZ800" s="18">
        <v>0</v>
      </c>
      <c r="CA800">
        <v>0</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5</v>
      </c>
      <c r="DB800" s="34"/>
    </row>
    <row r="801" spans="1:106" x14ac:dyDescent="0.25">
      <c r="A801">
        <v>800</v>
      </c>
      <c r="B801">
        <v>54</v>
      </c>
      <c r="C801" s="25" t="s">
        <v>502</v>
      </c>
      <c r="D801" s="12">
        <v>1.5047758476939681</v>
      </c>
      <c r="E801" s="14">
        <v>0.16316846541259891</v>
      </c>
      <c r="F801" s="7">
        <v>9.2222222222222232</v>
      </c>
      <c r="G801" s="7">
        <f t="shared" si="226"/>
        <v>1.3416073822813692</v>
      </c>
      <c r="H801" s="16">
        <f t="shared" si="227"/>
        <v>1.667944313106567</v>
      </c>
      <c r="I801" s="11">
        <f t="shared" si="228"/>
        <v>0.15120328631414434</v>
      </c>
      <c r="J801" s="33">
        <f t="shared" si="229"/>
        <v>1.6395537070208421E-2</v>
      </c>
      <c r="K801" s="33">
        <f t="shared" si="230"/>
        <v>60.992207557326935</v>
      </c>
      <c r="L801" s="33">
        <f t="shared" si="231"/>
        <v>0.13480774924393593</v>
      </c>
      <c r="M801" s="33">
        <f t="shared" si="232"/>
        <v>0.16759882338435275</v>
      </c>
      <c r="N801" s="8">
        <v>1</v>
      </c>
      <c r="O801" s="9">
        <v>0</v>
      </c>
      <c r="P801" s="8">
        <v>0</v>
      </c>
      <c r="Q801" s="9">
        <v>0</v>
      </c>
      <c r="R801" s="9">
        <v>1</v>
      </c>
      <c r="S801" s="9">
        <v>0</v>
      </c>
      <c r="T801" s="9">
        <v>0</v>
      </c>
      <c r="U801" s="8">
        <v>3639</v>
      </c>
      <c r="V801" s="9">
        <v>3</v>
      </c>
      <c r="W801" s="9">
        <f t="shared" si="233"/>
        <v>3635</v>
      </c>
      <c r="X801" s="9">
        <f t="shared" si="234"/>
        <v>15</v>
      </c>
      <c r="Y801" s="7">
        <f t="shared" si="239"/>
        <v>13.849</v>
      </c>
      <c r="Z801" s="7">
        <f t="shared" si="240"/>
        <v>13.151</v>
      </c>
      <c r="AA801" s="9">
        <v>0</v>
      </c>
      <c r="AB801" s="9">
        <v>1</v>
      </c>
      <c r="AC801" s="9">
        <v>1</v>
      </c>
      <c r="AD801" s="9">
        <v>0</v>
      </c>
      <c r="AE801" s="9">
        <v>0</v>
      </c>
      <c r="AF801" s="9">
        <v>0</v>
      </c>
      <c r="AG801" s="8">
        <v>0</v>
      </c>
      <c r="AH801" s="9">
        <v>0</v>
      </c>
      <c r="AI801" s="30">
        <v>1</v>
      </c>
      <c r="AJ801" s="9">
        <v>1</v>
      </c>
      <c r="AK801" s="30">
        <v>0</v>
      </c>
      <c r="AL801" s="21">
        <v>1958</v>
      </c>
      <c r="AM801" s="23">
        <f t="shared" si="235"/>
        <v>7.5796788230904557</v>
      </c>
      <c r="AN801" s="33">
        <v>0</v>
      </c>
      <c r="AO801" s="33">
        <v>0</v>
      </c>
      <c r="AP801" s="33">
        <v>0.71699999999999997</v>
      </c>
      <c r="AQ801" s="43">
        <v>0.28299999999999997</v>
      </c>
      <c r="AR801" s="42" t="s">
        <v>104</v>
      </c>
      <c r="AS801" s="18" t="s">
        <v>104</v>
      </c>
      <c r="AT801">
        <v>1</v>
      </c>
      <c r="AU801" s="40">
        <v>0</v>
      </c>
      <c r="AV801" t="s">
        <v>104</v>
      </c>
      <c r="AW801" s="40" t="s">
        <v>104</v>
      </c>
      <c r="AX801">
        <v>1</v>
      </c>
      <c r="AY801" s="18">
        <v>0</v>
      </c>
      <c r="AZ801" t="s">
        <v>104</v>
      </c>
      <c r="BA801" s="18" t="s">
        <v>104</v>
      </c>
      <c r="BB801" s="18" t="s">
        <v>335</v>
      </c>
      <c r="BC801">
        <v>1</v>
      </c>
      <c r="BD801">
        <v>0</v>
      </c>
      <c r="BE801">
        <v>1</v>
      </c>
      <c r="BF801">
        <v>0</v>
      </c>
      <c r="BG801">
        <v>0</v>
      </c>
      <c r="BH801" s="18">
        <v>0</v>
      </c>
      <c r="BI801">
        <v>1</v>
      </c>
      <c r="BJ801">
        <v>0</v>
      </c>
      <c r="BK801" s="18">
        <v>0</v>
      </c>
      <c r="BL801">
        <v>1847.333333333333</v>
      </c>
      <c r="BM801">
        <v>883.19999999999993</v>
      </c>
      <c r="BN801" s="25">
        <v>33</v>
      </c>
      <c r="BO801">
        <v>1</v>
      </c>
      <c r="BP801">
        <v>0</v>
      </c>
      <c r="BQ801">
        <v>0</v>
      </c>
      <c r="BR801">
        <v>0</v>
      </c>
      <c r="BS801">
        <v>0</v>
      </c>
      <c r="BT801">
        <v>0</v>
      </c>
      <c r="BU801">
        <v>0</v>
      </c>
      <c r="BV801" s="18">
        <v>0</v>
      </c>
      <c r="BW801">
        <v>0</v>
      </c>
      <c r="BX801">
        <v>1</v>
      </c>
      <c r="BY801">
        <v>0</v>
      </c>
      <c r="BZ801" s="18">
        <v>0</v>
      </c>
      <c r="CA801">
        <v>0</v>
      </c>
      <c r="CB801">
        <v>0</v>
      </c>
      <c r="CC801">
        <v>0</v>
      </c>
      <c r="CD801">
        <v>0</v>
      </c>
      <c r="CE801">
        <v>0</v>
      </c>
      <c r="CF801" s="18">
        <v>0</v>
      </c>
      <c r="CG801">
        <v>0</v>
      </c>
      <c r="CH801">
        <v>0</v>
      </c>
      <c r="CI801">
        <v>0</v>
      </c>
      <c r="CJ801">
        <v>0</v>
      </c>
      <c r="CK801">
        <v>1</v>
      </c>
      <c r="CL801">
        <v>0</v>
      </c>
      <c r="CM801">
        <v>0</v>
      </c>
      <c r="CN801">
        <v>0</v>
      </c>
      <c r="CO801">
        <v>0</v>
      </c>
      <c r="CP801">
        <v>1</v>
      </c>
      <c r="CQ801" s="18">
        <v>0</v>
      </c>
      <c r="CR801">
        <v>0</v>
      </c>
      <c r="CS801">
        <v>125</v>
      </c>
      <c r="CT801">
        <v>0</v>
      </c>
      <c r="CU801">
        <v>1</v>
      </c>
      <c r="CV801">
        <v>5</v>
      </c>
      <c r="DB801" s="34"/>
    </row>
    <row r="802" spans="1:106" x14ac:dyDescent="0.25">
      <c r="A802">
        <v>801</v>
      </c>
      <c r="B802">
        <v>54</v>
      </c>
      <c r="C802" s="25" t="s">
        <v>502</v>
      </c>
      <c r="D802" s="12">
        <v>0.57172911709000296</v>
      </c>
      <c r="E802" s="14">
        <v>0.1188008554992214</v>
      </c>
      <c r="F802" s="7">
        <v>4.8125</v>
      </c>
      <c r="G802" s="7">
        <f t="shared" si="226"/>
        <v>0.45292826159078159</v>
      </c>
      <c r="H802" s="16">
        <f t="shared" si="227"/>
        <v>0.69052997258922433</v>
      </c>
      <c r="I802" s="11">
        <f t="shared" si="228"/>
        <v>7.9568172773817836E-2</v>
      </c>
      <c r="J802" s="33">
        <f t="shared" si="229"/>
        <v>1.6533646290663447E-2</v>
      </c>
      <c r="K802" s="33">
        <f t="shared" si="230"/>
        <v>60.482726098035627</v>
      </c>
      <c r="L802" s="33">
        <f t="shared" si="231"/>
        <v>6.3034526483154385E-2</v>
      </c>
      <c r="M802" s="33">
        <f t="shared" si="232"/>
        <v>9.6101819064481286E-2</v>
      </c>
      <c r="N802" s="8">
        <v>1</v>
      </c>
      <c r="O802" s="9">
        <v>0</v>
      </c>
      <c r="P802" s="8">
        <v>0</v>
      </c>
      <c r="Q802" s="9">
        <v>0</v>
      </c>
      <c r="R802" s="9">
        <v>1</v>
      </c>
      <c r="S802" s="9">
        <v>0</v>
      </c>
      <c r="T802" s="9">
        <v>0</v>
      </c>
      <c r="U802" s="8">
        <v>3639</v>
      </c>
      <c r="V802" s="9">
        <v>3</v>
      </c>
      <c r="W802" s="9">
        <f t="shared" si="233"/>
        <v>3635</v>
      </c>
      <c r="X802" s="9">
        <f t="shared" si="234"/>
        <v>15</v>
      </c>
      <c r="Y802" s="7">
        <f t="shared" si="239"/>
        <v>13.849</v>
      </c>
      <c r="Z802" s="7">
        <f t="shared" si="240"/>
        <v>13.151</v>
      </c>
      <c r="AA802" s="9">
        <v>0</v>
      </c>
      <c r="AB802" s="9">
        <v>1</v>
      </c>
      <c r="AC802" s="9">
        <v>1</v>
      </c>
      <c r="AD802" s="9">
        <v>0</v>
      </c>
      <c r="AE802" s="9">
        <v>0</v>
      </c>
      <c r="AF802" s="9">
        <v>0</v>
      </c>
      <c r="AG802" s="8">
        <v>0</v>
      </c>
      <c r="AH802" s="9">
        <v>0</v>
      </c>
      <c r="AI802" s="30">
        <v>1</v>
      </c>
      <c r="AJ802" s="9">
        <v>1</v>
      </c>
      <c r="AK802" s="30">
        <v>0</v>
      </c>
      <c r="AL802" s="21">
        <v>1958</v>
      </c>
      <c r="AM802" s="23">
        <f t="shared" si="235"/>
        <v>7.5796788230904557</v>
      </c>
      <c r="AN802" s="33">
        <v>0</v>
      </c>
      <c r="AO802" s="33">
        <v>0</v>
      </c>
      <c r="AP802" s="33">
        <v>0.71699999999999997</v>
      </c>
      <c r="AQ802" s="43">
        <v>0.28299999999999997</v>
      </c>
      <c r="AR802" s="42" t="s">
        <v>104</v>
      </c>
      <c r="AS802" s="18" t="s">
        <v>104</v>
      </c>
      <c r="AT802">
        <v>1</v>
      </c>
      <c r="AU802" s="40">
        <v>0</v>
      </c>
      <c r="AV802" t="s">
        <v>104</v>
      </c>
      <c r="AW802" s="40" t="s">
        <v>104</v>
      </c>
      <c r="AX802">
        <v>1</v>
      </c>
      <c r="AY802" s="18">
        <v>0</v>
      </c>
      <c r="AZ802" t="s">
        <v>104</v>
      </c>
      <c r="BA802" s="18" t="s">
        <v>104</v>
      </c>
      <c r="BB802" s="18" t="s">
        <v>335</v>
      </c>
      <c r="BC802">
        <v>1</v>
      </c>
      <c r="BD802">
        <v>0</v>
      </c>
      <c r="BE802">
        <v>1</v>
      </c>
      <c r="BF802">
        <v>0</v>
      </c>
      <c r="BG802">
        <v>0</v>
      </c>
      <c r="BH802" s="18">
        <v>0</v>
      </c>
      <c r="BI802">
        <v>1</v>
      </c>
      <c r="BJ802">
        <v>0</v>
      </c>
      <c r="BK802" s="18">
        <v>0</v>
      </c>
      <c r="BL802">
        <v>1847.333333333333</v>
      </c>
      <c r="BM802">
        <v>883.19999999999993</v>
      </c>
      <c r="BN802" s="25">
        <v>33</v>
      </c>
      <c r="BO802">
        <v>1</v>
      </c>
      <c r="BP802">
        <v>0</v>
      </c>
      <c r="BQ802">
        <v>0</v>
      </c>
      <c r="BR802">
        <v>0</v>
      </c>
      <c r="BS802">
        <v>0</v>
      </c>
      <c r="BT802">
        <v>0</v>
      </c>
      <c r="BU802">
        <v>0</v>
      </c>
      <c r="BV802" s="18">
        <v>0</v>
      </c>
      <c r="BW802">
        <v>0</v>
      </c>
      <c r="BX802">
        <v>1</v>
      </c>
      <c r="BY802">
        <v>0</v>
      </c>
      <c r="BZ802" s="18">
        <v>0</v>
      </c>
      <c r="CA802">
        <v>0</v>
      </c>
      <c r="CB802">
        <v>0</v>
      </c>
      <c r="CC802">
        <v>0</v>
      </c>
      <c r="CD802">
        <v>0</v>
      </c>
      <c r="CE802">
        <v>0</v>
      </c>
      <c r="CF802" s="18">
        <v>0</v>
      </c>
      <c r="CG802">
        <v>0</v>
      </c>
      <c r="CH802">
        <v>0</v>
      </c>
      <c r="CI802">
        <v>0</v>
      </c>
      <c r="CJ802">
        <v>0</v>
      </c>
      <c r="CK802">
        <v>1</v>
      </c>
      <c r="CL802">
        <v>0</v>
      </c>
      <c r="CM802">
        <v>0</v>
      </c>
      <c r="CN802">
        <v>0</v>
      </c>
      <c r="CO802">
        <v>0</v>
      </c>
      <c r="CP802">
        <v>1</v>
      </c>
      <c r="CQ802" s="18">
        <v>0</v>
      </c>
      <c r="CR802">
        <v>0</v>
      </c>
      <c r="CS802">
        <v>125</v>
      </c>
      <c r="CT802">
        <v>0</v>
      </c>
      <c r="CU802">
        <v>1</v>
      </c>
      <c r="CV802">
        <v>5</v>
      </c>
      <c r="DB802" s="34"/>
    </row>
    <row r="803" spans="1:106" x14ac:dyDescent="0.25">
      <c r="A803">
        <v>802</v>
      </c>
      <c r="B803">
        <v>54</v>
      </c>
      <c r="C803" s="25" t="s">
        <v>502</v>
      </c>
      <c r="D803" s="12">
        <v>1.767137706686321</v>
      </c>
      <c r="E803" s="14">
        <v>0.113551017297113</v>
      </c>
      <c r="F803" s="7">
        <v>15.5625</v>
      </c>
      <c r="G803" s="7">
        <f t="shared" si="226"/>
        <v>1.6535866893892079</v>
      </c>
      <c r="H803" s="16">
        <f t="shared" si="227"/>
        <v>1.880688723983434</v>
      </c>
      <c r="I803" s="11">
        <f t="shared" si="228"/>
        <v>0.24993135499564653</v>
      </c>
      <c r="J803" s="33">
        <f t="shared" si="229"/>
        <v>1.605984610413793E-2</v>
      </c>
      <c r="K803" s="33">
        <f t="shared" si="230"/>
        <v>62.267097300661128</v>
      </c>
      <c r="L803" s="33">
        <f t="shared" si="231"/>
        <v>0.23387150889150859</v>
      </c>
      <c r="M803" s="33">
        <f t="shared" si="232"/>
        <v>0.26599120109978447</v>
      </c>
      <c r="N803" s="8">
        <v>1</v>
      </c>
      <c r="O803" s="9">
        <v>0</v>
      </c>
      <c r="P803" s="8">
        <v>0</v>
      </c>
      <c r="Q803" s="9">
        <v>0</v>
      </c>
      <c r="R803" s="9">
        <v>1</v>
      </c>
      <c r="S803" s="9">
        <v>0</v>
      </c>
      <c r="T803" s="9">
        <v>0</v>
      </c>
      <c r="U803" s="8">
        <v>3639</v>
      </c>
      <c r="V803" s="9">
        <v>3</v>
      </c>
      <c r="W803" s="9">
        <f t="shared" si="233"/>
        <v>3635</v>
      </c>
      <c r="X803" s="9">
        <f t="shared" si="234"/>
        <v>15</v>
      </c>
      <c r="Y803" s="7">
        <f t="shared" si="239"/>
        <v>13.849</v>
      </c>
      <c r="Z803" s="7">
        <f t="shared" si="240"/>
        <v>13.151</v>
      </c>
      <c r="AA803" s="9">
        <v>0</v>
      </c>
      <c r="AB803" s="9">
        <v>1</v>
      </c>
      <c r="AC803" s="9">
        <v>1</v>
      </c>
      <c r="AD803" s="9">
        <v>0</v>
      </c>
      <c r="AE803" s="9">
        <v>0</v>
      </c>
      <c r="AF803" s="9">
        <v>0</v>
      </c>
      <c r="AG803" s="8">
        <v>0</v>
      </c>
      <c r="AH803" s="9">
        <v>0</v>
      </c>
      <c r="AI803" s="30">
        <v>1</v>
      </c>
      <c r="AJ803" s="9">
        <v>1</v>
      </c>
      <c r="AK803" s="30">
        <v>0</v>
      </c>
      <c r="AL803" s="21">
        <v>1958</v>
      </c>
      <c r="AM803" s="23">
        <f t="shared" si="235"/>
        <v>7.5796788230904557</v>
      </c>
      <c r="AN803" s="33">
        <v>0</v>
      </c>
      <c r="AO803" s="33">
        <v>0</v>
      </c>
      <c r="AP803" s="33">
        <v>0.71699999999999997</v>
      </c>
      <c r="AQ803" s="43">
        <v>0.28299999999999997</v>
      </c>
      <c r="AR803" s="42" t="s">
        <v>104</v>
      </c>
      <c r="AS803" s="18" t="s">
        <v>104</v>
      </c>
      <c r="AT803">
        <v>1</v>
      </c>
      <c r="AU803" s="40">
        <v>0</v>
      </c>
      <c r="AV803" t="s">
        <v>104</v>
      </c>
      <c r="AW803" s="40" t="s">
        <v>104</v>
      </c>
      <c r="AX803">
        <v>1</v>
      </c>
      <c r="AY803" s="18">
        <v>0</v>
      </c>
      <c r="AZ803" t="s">
        <v>104</v>
      </c>
      <c r="BA803" s="18" t="s">
        <v>104</v>
      </c>
      <c r="BB803" s="18" t="s">
        <v>335</v>
      </c>
      <c r="BC803">
        <v>1</v>
      </c>
      <c r="BD803">
        <v>0</v>
      </c>
      <c r="BE803">
        <v>1</v>
      </c>
      <c r="BF803">
        <v>0</v>
      </c>
      <c r="BG803">
        <v>0</v>
      </c>
      <c r="BH803" s="18">
        <v>0</v>
      </c>
      <c r="BI803">
        <v>1</v>
      </c>
      <c r="BJ803">
        <v>0</v>
      </c>
      <c r="BK803" s="18">
        <v>0</v>
      </c>
      <c r="BL803">
        <v>1847.333333333333</v>
      </c>
      <c r="BM803">
        <v>883.19999999999993</v>
      </c>
      <c r="BN803" s="25">
        <v>33</v>
      </c>
      <c r="BO803">
        <v>1</v>
      </c>
      <c r="BP803">
        <v>0</v>
      </c>
      <c r="BQ803">
        <v>0</v>
      </c>
      <c r="BR803">
        <v>0</v>
      </c>
      <c r="BS803">
        <v>0</v>
      </c>
      <c r="BT803">
        <v>0</v>
      </c>
      <c r="BU803">
        <v>0</v>
      </c>
      <c r="BV803" s="18">
        <v>0</v>
      </c>
      <c r="BW803">
        <v>0</v>
      </c>
      <c r="BX803">
        <v>1</v>
      </c>
      <c r="BY803">
        <v>0</v>
      </c>
      <c r="BZ803" s="18">
        <v>0</v>
      </c>
      <c r="CA803">
        <v>0</v>
      </c>
      <c r="CB803">
        <v>0</v>
      </c>
      <c r="CC803">
        <v>0</v>
      </c>
      <c r="CD803">
        <v>0</v>
      </c>
      <c r="CE803">
        <v>0</v>
      </c>
      <c r="CF803" s="18">
        <v>0</v>
      </c>
      <c r="CG803">
        <v>0</v>
      </c>
      <c r="CH803">
        <v>0</v>
      </c>
      <c r="CI803">
        <v>0</v>
      </c>
      <c r="CJ803">
        <v>0</v>
      </c>
      <c r="CK803">
        <v>1</v>
      </c>
      <c r="CL803">
        <v>0</v>
      </c>
      <c r="CM803">
        <v>0</v>
      </c>
      <c r="CN803">
        <v>0</v>
      </c>
      <c r="CO803">
        <v>0</v>
      </c>
      <c r="CP803">
        <v>1</v>
      </c>
      <c r="CQ803" s="18">
        <v>0</v>
      </c>
      <c r="CR803">
        <v>0</v>
      </c>
      <c r="CS803">
        <v>125</v>
      </c>
      <c r="CT803">
        <v>0</v>
      </c>
      <c r="CU803">
        <v>1</v>
      </c>
      <c r="CV803">
        <v>5</v>
      </c>
      <c r="DB803" s="34"/>
    </row>
    <row r="804" spans="1:106" x14ac:dyDescent="0.25">
      <c r="A804">
        <v>803</v>
      </c>
      <c r="B804">
        <v>54</v>
      </c>
      <c r="C804" s="25" t="s">
        <v>502</v>
      </c>
      <c r="D804" s="12">
        <v>3.0854942579749731</v>
      </c>
      <c r="E804" s="14">
        <v>0.51914665292912232</v>
      </c>
      <c r="F804" s="7">
        <v>5.9433962264150946</v>
      </c>
      <c r="G804" s="7">
        <f t="shared" si="226"/>
        <v>2.5663476050458507</v>
      </c>
      <c r="H804" s="16">
        <f t="shared" si="227"/>
        <v>3.6046409109040956</v>
      </c>
      <c r="I804" s="11">
        <f t="shared" si="228"/>
        <v>9.8103044388919494E-2</v>
      </c>
      <c r="J804" s="33">
        <f t="shared" si="229"/>
        <v>1.6506226516230897E-2</v>
      </c>
      <c r="K804" s="33">
        <f t="shared" si="230"/>
        <v>60.583198650320249</v>
      </c>
      <c r="L804" s="33">
        <f t="shared" si="231"/>
        <v>8.1596817872688604E-2</v>
      </c>
      <c r="M804" s="33">
        <f t="shared" si="232"/>
        <v>0.11460927090515038</v>
      </c>
      <c r="N804" s="8">
        <v>1</v>
      </c>
      <c r="O804" s="9">
        <v>0</v>
      </c>
      <c r="P804" s="8">
        <v>0</v>
      </c>
      <c r="Q804" s="9">
        <v>0</v>
      </c>
      <c r="R804" s="9">
        <v>1</v>
      </c>
      <c r="S804" s="9">
        <v>0</v>
      </c>
      <c r="T804" s="9">
        <v>0</v>
      </c>
      <c r="U804" s="8">
        <v>3639</v>
      </c>
      <c r="V804" s="9">
        <v>3</v>
      </c>
      <c r="W804" s="9">
        <f t="shared" si="233"/>
        <v>3635</v>
      </c>
      <c r="X804" s="9">
        <f t="shared" si="234"/>
        <v>15</v>
      </c>
      <c r="Y804" s="7">
        <f t="shared" si="239"/>
        <v>13.849</v>
      </c>
      <c r="Z804" s="7">
        <f t="shared" si="240"/>
        <v>13.151</v>
      </c>
      <c r="AA804" s="9">
        <v>0</v>
      </c>
      <c r="AB804" s="9">
        <v>1</v>
      </c>
      <c r="AC804" s="9">
        <v>1</v>
      </c>
      <c r="AD804" s="9">
        <v>0</v>
      </c>
      <c r="AE804" s="9">
        <v>0</v>
      </c>
      <c r="AF804" s="9">
        <v>0</v>
      </c>
      <c r="AG804" s="8">
        <v>0</v>
      </c>
      <c r="AH804" s="9">
        <v>0</v>
      </c>
      <c r="AI804" s="30">
        <v>1</v>
      </c>
      <c r="AJ804" s="9">
        <v>1</v>
      </c>
      <c r="AK804" s="30">
        <v>0</v>
      </c>
      <c r="AL804" s="21">
        <v>1958</v>
      </c>
      <c r="AM804" s="23">
        <f t="shared" si="235"/>
        <v>7.5796788230904557</v>
      </c>
      <c r="AN804" s="33">
        <v>0</v>
      </c>
      <c r="AO804" s="33">
        <v>0</v>
      </c>
      <c r="AP804" s="33">
        <v>0.71699999999999997</v>
      </c>
      <c r="AQ804" s="43">
        <v>0.28299999999999997</v>
      </c>
      <c r="AR804" s="42" t="s">
        <v>104</v>
      </c>
      <c r="AS804" s="18" t="s">
        <v>104</v>
      </c>
      <c r="AT804">
        <v>1</v>
      </c>
      <c r="AU804" s="40">
        <v>0</v>
      </c>
      <c r="AV804" t="s">
        <v>104</v>
      </c>
      <c r="AW804" s="40" t="s">
        <v>104</v>
      </c>
      <c r="AX804">
        <v>1</v>
      </c>
      <c r="AY804" s="18">
        <v>0</v>
      </c>
      <c r="AZ804" t="s">
        <v>104</v>
      </c>
      <c r="BA804" s="18" t="s">
        <v>104</v>
      </c>
      <c r="BB804" s="18" t="s">
        <v>335</v>
      </c>
      <c r="BC804">
        <v>1</v>
      </c>
      <c r="BD804">
        <v>0</v>
      </c>
      <c r="BE804">
        <v>1</v>
      </c>
      <c r="BF804">
        <v>0</v>
      </c>
      <c r="BG804">
        <v>0</v>
      </c>
      <c r="BH804" s="18">
        <v>0</v>
      </c>
      <c r="BI804">
        <v>1</v>
      </c>
      <c r="BJ804">
        <v>0</v>
      </c>
      <c r="BK804" s="18">
        <v>0</v>
      </c>
      <c r="BL804">
        <v>1847.333333333333</v>
      </c>
      <c r="BM804">
        <v>883.19999999999993</v>
      </c>
      <c r="BN804" s="25">
        <v>33</v>
      </c>
      <c r="BO804">
        <v>0</v>
      </c>
      <c r="BP804">
        <v>0</v>
      </c>
      <c r="BQ804">
        <v>0</v>
      </c>
      <c r="BR804">
        <v>0</v>
      </c>
      <c r="BS804">
        <v>0</v>
      </c>
      <c r="BT804">
        <v>0</v>
      </c>
      <c r="BU804">
        <v>0</v>
      </c>
      <c r="BV804" s="18">
        <v>1</v>
      </c>
      <c r="BW804">
        <v>0</v>
      </c>
      <c r="BX804">
        <v>1</v>
      </c>
      <c r="BY804">
        <v>0</v>
      </c>
      <c r="BZ804" s="18">
        <v>0</v>
      </c>
      <c r="CA804">
        <v>0</v>
      </c>
      <c r="CB804">
        <v>0</v>
      </c>
      <c r="CC804">
        <v>0</v>
      </c>
      <c r="CD804">
        <v>0</v>
      </c>
      <c r="CE804">
        <v>0</v>
      </c>
      <c r="CF804" s="18">
        <v>0</v>
      </c>
      <c r="CG804">
        <v>0</v>
      </c>
      <c r="CH804">
        <v>0</v>
      </c>
      <c r="CI804">
        <v>0</v>
      </c>
      <c r="CJ804">
        <v>0</v>
      </c>
      <c r="CK804">
        <v>1</v>
      </c>
      <c r="CL804">
        <v>0</v>
      </c>
      <c r="CM804">
        <v>0</v>
      </c>
      <c r="CN804">
        <v>0</v>
      </c>
      <c r="CO804">
        <v>0</v>
      </c>
      <c r="CP804">
        <v>1</v>
      </c>
      <c r="CQ804" s="18">
        <v>0</v>
      </c>
      <c r="CR804">
        <v>0</v>
      </c>
      <c r="CS804">
        <v>125</v>
      </c>
      <c r="CT804">
        <v>0</v>
      </c>
      <c r="CU804">
        <v>1</v>
      </c>
      <c r="CV804">
        <v>5</v>
      </c>
      <c r="DB804" s="34"/>
    </row>
    <row r="805" spans="1:106" x14ac:dyDescent="0.25">
      <c r="A805">
        <v>804</v>
      </c>
      <c r="B805">
        <v>54</v>
      </c>
      <c r="C805" s="25" t="s">
        <v>502</v>
      </c>
      <c r="D805" s="12">
        <v>1.323606080859753</v>
      </c>
      <c r="E805" s="14">
        <v>0.27250713429465512</v>
      </c>
      <c r="F805" s="7">
        <v>4.8571428571428568</v>
      </c>
      <c r="G805" s="7">
        <f t="shared" si="226"/>
        <v>1.0510989465650979</v>
      </c>
      <c r="H805" s="16">
        <f t="shared" si="227"/>
        <v>1.596113215154408</v>
      </c>
      <c r="I805" s="11">
        <f t="shared" si="228"/>
        <v>8.0301544138865227E-2</v>
      </c>
      <c r="J805" s="33">
        <f t="shared" si="229"/>
        <v>1.6532670852119312E-2</v>
      </c>
      <c r="K805" s="33">
        <f t="shared" si="230"/>
        <v>60.486294618985333</v>
      </c>
      <c r="L805" s="33">
        <f t="shared" si="231"/>
        <v>6.3768873286745908E-2</v>
      </c>
      <c r="M805" s="33">
        <f t="shared" si="232"/>
        <v>9.6834214990984546E-2</v>
      </c>
      <c r="N805" s="8">
        <v>1</v>
      </c>
      <c r="O805" s="9">
        <v>0</v>
      </c>
      <c r="P805" s="8">
        <v>0</v>
      </c>
      <c r="Q805" s="9">
        <v>0</v>
      </c>
      <c r="R805" s="9">
        <v>1</v>
      </c>
      <c r="S805" s="9">
        <v>0</v>
      </c>
      <c r="T805" s="9">
        <v>0</v>
      </c>
      <c r="U805" s="8">
        <v>3639</v>
      </c>
      <c r="V805" s="9">
        <v>3</v>
      </c>
      <c r="W805" s="9">
        <f t="shared" si="233"/>
        <v>3635</v>
      </c>
      <c r="X805" s="9">
        <f t="shared" si="234"/>
        <v>15</v>
      </c>
      <c r="Y805" s="7">
        <f t="shared" si="239"/>
        <v>13.849</v>
      </c>
      <c r="Z805" s="7">
        <f t="shared" si="240"/>
        <v>13.151</v>
      </c>
      <c r="AA805" s="9">
        <v>0</v>
      </c>
      <c r="AB805" s="9">
        <v>1</v>
      </c>
      <c r="AC805" s="9">
        <v>1</v>
      </c>
      <c r="AD805" s="9">
        <v>0</v>
      </c>
      <c r="AE805" s="9">
        <v>0</v>
      </c>
      <c r="AF805" s="9">
        <v>0</v>
      </c>
      <c r="AG805" s="8">
        <v>0</v>
      </c>
      <c r="AH805" s="9">
        <v>0</v>
      </c>
      <c r="AI805" s="30">
        <v>1</v>
      </c>
      <c r="AJ805" s="9">
        <v>1</v>
      </c>
      <c r="AK805" s="30">
        <v>0</v>
      </c>
      <c r="AL805" s="21">
        <v>1958</v>
      </c>
      <c r="AM805" s="23">
        <f t="shared" si="235"/>
        <v>7.5796788230904557</v>
      </c>
      <c r="AN805" s="33">
        <v>0</v>
      </c>
      <c r="AO805" s="33">
        <v>0</v>
      </c>
      <c r="AP805" s="33">
        <v>0.71699999999999997</v>
      </c>
      <c r="AQ805" s="43">
        <v>0.28299999999999997</v>
      </c>
      <c r="AR805" s="42" t="s">
        <v>104</v>
      </c>
      <c r="AS805" s="18" t="s">
        <v>104</v>
      </c>
      <c r="AT805">
        <v>1</v>
      </c>
      <c r="AU805" s="40">
        <v>0</v>
      </c>
      <c r="AV805" t="s">
        <v>104</v>
      </c>
      <c r="AW805" s="40" t="s">
        <v>104</v>
      </c>
      <c r="AX805">
        <v>1</v>
      </c>
      <c r="AY805" s="18">
        <v>0</v>
      </c>
      <c r="AZ805" t="s">
        <v>104</v>
      </c>
      <c r="BA805" s="18" t="s">
        <v>104</v>
      </c>
      <c r="BB805" s="18" t="s">
        <v>335</v>
      </c>
      <c r="BC805">
        <v>1</v>
      </c>
      <c r="BD805">
        <v>0</v>
      </c>
      <c r="BE805">
        <v>1</v>
      </c>
      <c r="BF805">
        <v>0</v>
      </c>
      <c r="BG805">
        <v>0</v>
      </c>
      <c r="BH805" s="18">
        <v>0</v>
      </c>
      <c r="BI805">
        <v>1</v>
      </c>
      <c r="BJ805">
        <v>0</v>
      </c>
      <c r="BK805" s="18">
        <v>0</v>
      </c>
      <c r="BL805">
        <v>1847.333333333333</v>
      </c>
      <c r="BM805">
        <v>883.19999999999993</v>
      </c>
      <c r="BN805" s="25">
        <v>33</v>
      </c>
      <c r="BO805">
        <v>0</v>
      </c>
      <c r="BP805">
        <v>0</v>
      </c>
      <c r="BQ805">
        <v>0</v>
      </c>
      <c r="BR805">
        <v>0</v>
      </c>
      <c r="BS805">
        <v>0</v>
      </c>
      <c r="BT805">
        <v>0</v>
      </c>
      <c r="BU805">
        <v>0</v>
      </c>
      <c r="BV805" s="18">
        <v>1</v>
      </c>
      <c r="BW805">
        <v>0</v>
      </c>
      <c r="BX805">
        <v>1</v>
      </c>
      <c r="BY805">
        <v>0</v>
      </c>
      <c r="BZ805" s="18">
        <v>0</v>
      </c>
      <c r="CA805">
        <v>0</v>
      </c>
      <c r="CB805">
        <v>0</v>
      </c>
      <c r="CC805">
        <v>0</v>
      </c>
      <c r="CD805">
        <v>0</v>
      </c>
      <c r="CE805">
        <v>0</v>
      </c>
      <c r="CF805" s="18">
        <v>0</v>
      </c>
      <c r="CG805">
        <v>0</v>
      </c>
      <c r="CH805">
        <v>0</v>
      </c>
      <c r="CI805">
        <v>0</v>
      </c>
      <c r="CJ805">
        <v>0</v>
      </c>
      <c r="CK805">
        <v>1</v>
      </c>
      <c r="CL805">
        <v>0</v>
      </c>
      <c r="CM805">
        <v>0</v>
      </c>
      <c r="CN805">
        <v>0</v>
      </c>
      <c r="CO805">
        <v>0</v>
      </c>
      <c r="CP805">
        <v>1</v>
      </c>
      <c r="CQ805" s="18">
        <v>0</v>
      </c>
      <c r="CR805">
        <v>0</v>
      </c>
      <c r="CS805">
        <v>125</v>
      </c>
      <c r="CT805">
        <v>0</v>
      </c>
      <c r="CU805">
        <v>1</v>
      </c>
      <c r="CV805">
        <v>5</v>
      </c>
      <c r="DB805" s="34"/>
    </row>
    <row r="806" spans="1:106" x14ac:dyDescent="0.25">
      <c r="A806">
        <v>805</v>
      </c>
      <c r="B806">
        <v>54</v>
      </c>
      <c r="C806" s="25" t="s">
        <v>502</v>
      </c>
      <c r="D806" s="12">
        <v>3.0088649333079021</v>
      </c>
      <c r="E806" s="14">
        <v>0.22202820118557029</v>
      </c>
      <c r="F806" s="7">
        <v>13.55172413793103</v>
      </c>
      <c r="G806" s="7">
        <f t="shared" si="226"/>
        <v>2.7868367321223317</v>
      </c>
      <c r="H806" s="16">
        <f t="shared" si="227"/>
        <v>3.2308931344934724</v>
      </c>
      <c r="I806" s="11">
        <f t="shared" si="228"/>
        <v>0.21930052382972096</v>
      </c>
      <c r="J806" s="33">
        <f t="shared" si="229"/>
        <v>1.6182481402193156E-2</v>
      </c>
      <c r="K806" s="33">
        <f t="shared" si="230"/>
        <v>61.795220099216273</v>
      </c>
      <c r="L806" s="33">
        <f t="shared" si="231"/>
        <v>0.20311804242752779</v>
      </c>
      <c r="M806" s="33">
        <f t="shared" si="232"/>
        <v>0.23548300523191412</v>
      </c>
      <c r="N806" s="8">
        <v>1</v>
      </c>
      <c r="O806" s="9">
        <v>0</v>
      </c>
      <c r="P806" s="8">
        <v>0</v>
      </c>
      <c r="Q806" s="9">
        <v>0</v>
      </c>
      <c r="R806" s="9">
        <v>1</v>
      </c>
      <c r="S806" s="9">
        <v>0</v>
      </c>
      <c r="T806" s="9">
        <v>0</v>
      </c>
      <c r="U806" s="8">
        <v>3639</v>
      </c>
      <c r="V806" s="9">
        <v>3</v>
      </c>
      <c r="W806" s="9">
        <f t="shared" si="233"/>
        <v>3635</v>
      </c>
      <c r="X806" s="9">
        <f t="shared" si="234"/>
        <v>15</v>
      </c>
      <c r="Y806" s="7">
        <f t="shared" si="239"/>
        <v>13.849</v>
      </c>
      <c r="Z806" s="7">
        <f t="shared" si="240"/>
        <v>13.151</v>
      </c>
      <c r="AA806" s="9">
        <v>0</v>
      </c>
      <c r="AB806" s="9">
        <v>1</v>
      </c>
      <c r="AC806" s="9">
        <v>1</v>
      </c>
      <c r="AD806" s="9">
        <v>0</v>
      </c>
      <c r="AE806" s="9">
        <v>0</v>
      </c>
      <c r="AF806" s="9">
        <v>0</v>
      </c>
      <c r="AG806" s="8">
        <v>0</v>
      </c>
      <c r="AH806" s="9">
        <v>0</v>
      </c>
      <c r="AI806" s="30">
        <v>1</v>
      </c>
      <c r="AJ806" s="9">
        <v>1</v>
      </c>
      <c r="AK806" s="30">
        <v>0</v>
      </c>
      <c r="AL806" s="21">
        <v>1958</v>
      </c>
      <c r="AM806" s="23">
        <f t="shared" si="235"/>
        <v>7.5796788230904557</v>
      </c>
      <c r="AN806" s="33">
        <v>0</v>
      </c>
      <c r="AO806" s="33">
        <v>0</v>
      </c>
      <c r="AP806" s="33">
        <v>0.71699999999999997</v>
      </c>
      <c r="AQ806" s="43">
        <v>0.28299999999999997</v>
      </c>
      <c r="AR806" s="42" t="s">
        <v>104</v>
      </c>
      <c r="AS806" s="18" t="s">
        <v>104</v>
      </c>
      <c r="AT806">
        <v>1</v>
      </c>
      <c r="AU806" s="40">
        <v>0</v>
      </c>
      <c r="AV806" t="s">
        <v>104</v>
      </c>
      <c r="AW806" s="40" t="s">
        <v>104</v>
      </c>
      <c r="AX806">
        <v>1</v>
      </c>
      <c r="AY806" s="18">
        <v>0</v>
      </c>
      <c r="AZ806" t="s">
        <v>104</v>
      </c>
      <c r="BA806" s="18" t="s">
        <v>104</v>
      </c>
      <c r="BB806" s="18" t="s">
        <v>335</v>
      </c>
      <c r="BC806">
        <v>1</v>
      </c>
      <c r="BD806">
        <v>0</v>
      </c>
      <c r="BE806">
        <v>1</v>
      </c>
      <c r="BF806">
        <v>0</v>
      </c>
      <c r="BG806">
        <v>0</v>
      </c>
      <c r="BH806" s="18">
        <v>0</v>
      </c>
      <c r="BI806">
        <v>1</v>
      </c>
      <c r="BJ806">
        <v>0</v>
      </c>
      <c r="BK806" s="18">
        <v>0</v>
      </c>
      <c r="BL806">
        <v>1847.333333333333</v>
      </c>
      <c r="BM806">
        <v>883.19999999999993</v>
      </c>
      <c r="BN806" s="25">
        <v>33</v>
      </c>
      <c r="BO806">
        <v>0</v>
      </c>
      <c r="BP806">
        <v>0</v>
      </c>
      <c r="BQ806">
        <v>0</v>
      </c>
      <c r="BR806">
        <v>0</v>
      </c>
      <c r="BS806">
        <v>0</v>
      </c>
      <c r="BT806">
        <v>0</v>
      </c>
      <c r="BU806">
        <v>0</v>
      </c>
      <c r="BV806" s="18">
        <v>1</v>
      </c>
      <c r="BW806">
        <v>0</v>
      </c>
      <c r="BX806">
        <v>1</v>
      </c>
      <c r="BY806">
        <v>0</v>
      </c>
      <c r="BZ806" s="18">
        <v>0</v>
      </c>
      <c r="CA806">
        <v>0</v>
      </c>
      <c r="CB806">
        <v>0</v>
      </c>
      <c r="CC806">
        <v>0</v>
      </c>
      <c r="CD806">
        <v>0</v>
      </c>
      <c r="CE806">
        <v>0</v>
      </c>
      <c r="CF806" s="18">
        <v>0</v>
      </c>
      <c r="CG806">
        <v>0</v>
      </c>
      <c r="CH806">
        <v>0</v>
      </c>
      <c r="CI806">
        <v>0</v>
      </c>
      <c r="CJ806">
        <v>0</v>
      </c>
      <c r="CK806">
        <v>1</v>
      </c>
      <c r="CL806">
        <v>0</v>
      </c>
      <c r="CM806">
        <v>0</v>
      </c>
      <c r="CN806">
        <v>0</v>
      </c>
      <c r="CO806">
        <v>0</v>
      </c>
      <c r="CP806">
        <v>1</v>
      </c>
      <c r="CQ806" s="18">
        <v>0</v>
      </c>
      <c r="CR806">
        <v>0</v>
      </c>
      <c r="CS806">
        <v>125</v>
      </c>
      <c r="CT806">
        <v>0</v>
      </c>
      <c r="CU806">
        <v>1</v>
      </c>
      <c r="CV806">
        <v>5</v>
      </c>
      <c r="DB806" s="34"/>
    </row>
    <row r="807" spans="1:106" x14ac:dyDescent="0.25">
      <c r="A807">
        <v>806</v>
      </c>
      <c r="B807">
        <v>54</v>
      </c>
      <c r="C807" s="25" t="s">
        <v>502</v>
      </c>
      <c r="D807" s="12">
        <v>2.7924310710709039</v>
      </c>
      <c r="E807" s="14">
        <v>9.6623912493802908E-2</v>
      </c>
      <c r="F807" s="7">
        <v>28.9</v>
      </c>
      <c r="G807" s="7">
        <f t="shared" si="226"/>
        <v>2.6958071585771011</v>
      </c>
      <c r="H807" s="16">
        <f t="shared" si="227"/>
        <v>2.8890549835647068</v>
      </c>
      <c r="I807" s="11">
        <f t="shared" si="228"/>
        <v>0.4322488832196768</v>
      </c>
      <c r="J807" s="33">
        <f t="shared" si="229"/>
        <v>1.4956708761926535E-2</v>
      </c>
      <c r="K807" s="33">
        <f t="shared" si="230"/>
        <v>66.859629074651622</v>
      </c>
      <c r="L807" s="33">
        <f t="shared" si="231"/>
        <v>0.41729217445775024</v>
      </c>
      <c r="M807" s="33">
        <f t="shared" si="232"/>
        <v>0.44720559198160337</v>
      </c>
      <c r="N807" s="8">
        <v>1</v>
      </c>
      <c r="O807" s="9">
        <v>0</v>
      </c>
      <c r="P807" s="8">
        <v>0</v>
      </c>
      <c r="Q807" s="9">
        <v>0</v>
      </c>
      <c r="R807" s="9">
        <v>1</v>
      </c>
      <c r="S807" s="9">
        <v>0</v>
      </c>
      <c r="T807" s="9">
        <v>0</v>
      </c>
      <c r="U807" s="8">
        <v>3639</v>
      </c>
      <c r="V807" s="9">
        <v>3</v>
      </c>
      <c r="W807" s="9">
        <f t="shared" si="233"/>
        <v>3635</v>
      </c>
      <c r="X807" s="9">
        <f t="shared" si="234"/>
        <v>15</v>
      </c>
      <c r="Y807" s="7">
        <f t="shared" si="239"/>
        <v>13.849</v>
      </c>
      <c r="Z807" s="7">
        <f t="shared" si="240"/>
        <v>13.151</v>
      </c>
      <c r="AA807" s="9">
        <v>0</v>
      </c>
      <c r="AB807" s="9">
        <v>1</v>
      </c>
      <c r="AC807" s="9">
        <v>1</v>
      </c>
      <c r="AD807" s="9">
        <v>0</v>
      </c>
      <c r="AE807" s="9">
        <v>0</v>
      </c>
      <c r="AF807" s="9">
        <v>0</v>
      </c>
      <c r="AG807" s="8">
        <v>0</v>
      </c>
      <c r="AH807" s="9">
        <v>0</v>
      </c>
      <c r="AI807" s="30">
        <v>1</v>
      </c>
      <c r="AJ807" s="9">
        <v>1</v>
      </c>
      <c r="AK807" s="30">
        <v>0</v>
      </c>
      <c r="AL807" s="21">
        <v>1958</v>
      </c>
      <c r="AM807" s="23">
        <f t="shared" si="235"/>
        <v>7.5796788230904557</v>
      </c>
      <c r="AN807" s="33">
        <v>0</v>
      </c>
      <c r="AO807" s="33">
        <v>0</v>
      </c>
      <c r="AP807" s="33">
        <v>0.71699999999999997</v>
      </c>
      <c r="AQ807" s="43">
        <v>0.28299999999999997</v>
      </c>
      <c r="AR807" s="42" t="s">
        <v>104</v>
      </c>
      <c r="AS807" s="18" t="s">
        <v>104</v>
      </c>
      <c r="AT807">
        <v>1</v>
      </c>
      <c r="AU807" s="40">
        <v>0</v>
      </c>
      <c r="AV807" t="s">
        <v>104</v>
      </c>
      <c r="AW807" s="40" t="s">
        <v>104</v>
      </c>
      <c r="AX807">
        <v>1</v>
      </c>
      <c r="AY807" s="18">
        <v>0</v>
      </c>
      <c r="AZ807" t="s">
        <v>104</v>
      </c>
      <c r="BA807" s="18" t="s">
        <v>104</v>
      </c>
      <c r="BB807" s="18" t="s">
        <v>335</v>
      </c>
      <c r="BC807">
        <v>1</v>
      </c>
      <c r="BD807">
        <v>0</v>
      </c>
      <c r="BE807">
        <v>1</v>
      </c>
      <c r="BF807">
        <v>0</v>
      </c>
      <c r="BG807">
        <v>0</v>
      </c>
      <c r="BH807" s="18">
        <v>0</v>
      </c>
      <c r="BI807">
        <v>1</v>
      </c>
      <c r="BJ807">
        <v>0</v>
      </c>
      <c r="BK807" s="18">
        <v>0</v>
      </c>
      <c r="BL807">
        <v>1847.333333333333</v>
      </c>
      <c r="BM807">
        <v>883.19999999999993</v>
      </c>
      <c r="BN807" s="25">
        <v>33</v>
      </c>
      <c r="BO807">
        <v>0</v>
      </c>
      <c r="BP807">
        <v>0</v>
      </c>
      <c r="BQ807">
        <v>0</v>
      </c>
      <c r="BR807">
        <v>0</v>
      </c>
      <c r="BS807">
        <v>0</v>
      </c>
      <c r="BT807">
        <v>0</v>
      </c>
      <c r="BU807">
        <v>0</v>
      </c>
      <c r="BV807" s="18">
        <v>1</v>
      </c>
      <c r="BW807">
        <v>0</v>
      </c>
      <c r="BX807">
        <v>1</v>
      </c>
      <c r="BY807">
        <v>0</v>
      </c>
      <c r="BZ807" s="18">
        <v>0</v>
      </c>
      <c r="CA807">
        <v>0</v>
      </c>
      <c r="CB807">
        <v>0</v>
      </c>
      <c r="CC807">
        <v>0</v>
      </c>
      <c r="CD807">
        <v>0</v>
      </c>
      <c r="CE807">
        <v>0</v>
      </c>
      <c r="CF807" s="18">
        <v>0</v>
      </c>
      <c r="CG807">
        <v>0</v>
      </c>
      <c r="CH807">
        <v>0</v>
      </c>
      <c r="CI807">
        <v>0</v>
      </c>
      <c r="CJ807">
        <v>0</v>
      </c>
      <c r="CK807">
        <v>1</v>
      </c>
      <c r="CL807">
        <v>0</v>
      </c>
      <c r="CM807">
        <v>0</v>
      </c>
      <c r="CN807">
        <v>0</v>
      </c>
      <c r="CO807">
        <v>0</v>
      </c>
      <c r="CP807">
        <v>1</v>
      </c>
      <c r="CQ807" s="18">
        <v>0</v>
      </c>
      <c r="CR807">
        <v>0</v>
      </c>
      <c r="CS807">
        <v>125</v>
      </c>
      <c r="CT807">
        <v>0</v>
      </c>
      <c r="CU807">
        <v>1</v>
      </c>
      <c r="CV807">
        <v>5</v>
      </c>
      <c r="DB807" s="34"/>
    </row>
    <row r="808" spans="1:106" x14ac:dyDescent="0.25">
      <c r="A808">
        <v>807</v>
      </c>
      <c r="B808">
        <v>54</v>
      </c>
      <c r="C808" s="25" t="s">
        <v>502</v>
      </c>
      <c r="D808" s="12">
        <v>1.2898078694519719</v>
      </c>
      <c r="E808" s="14">
        <v>0.52835503085984414</v>
      </c>
      <c r="F808" s="7">
        <v>2.4411764705882351</v>
      </c>
      <c r="G808" s="7">
        <f t="shared" si="226"/>
        <v>0.76145283859212776</v>
      </c>
      <c r="H808" s="16">
        <f t="shared" si="227"/>
        <v>1.818162900311816</v>
      </c>
      <c r="I808" s="11">
        <f t="shared" si="228"/>
        <v>4.0456775047596705E-2</v>
      </c>
      <c r="J808" s="33">
        <f t="shared" si="229"/>
        <v>1.6572654838774556E-2</v>
      </c>
      <c r="K808" s="33">
        <f t="shared" si="230"/>
        <v>60.340362466267578</v>
      </c>
      <c r="L808" s="33">
        <f t="shared" si="231"/>
        <v>2.3884120208822149E-2</v>
      </c>
      <c r="M808" s="33">
        <f t="shared" si="232"/>
        <v>5.7029429886371261E-2</v>
      </c>
      <c r="N808" s="8">
        <v>1</v>
      </c>
      <c r="O808" s="9">
        <v>0</v>
      </c>
      <c r="P808" s="8">
        <v>0</v>
      </c>
      <c r="Q808" s="9">
        <v>0</v>
      </c>
      <c r="R808" s="9">
        <v>1</v>
      </c>
      <c r="S808" s="9">
        <v>0</v>
      </c>
      <c r="T808" s="9">
        <v>0</v>
      </c>
      <c r="U808" s="8">
        <v>3639</v>
      </c>
      <c r="V808" s="9">
        <v>3</v>
      </c>
      <c r="W808" s="9">
        <f t="shared" si="233"/>
        <v>3635</v>
      </c>
      <c r="X808" s="9">
        <f t="shared" si="234"/>
        <v>15</v>
      </c>
      <c r="Y808" s="7">
        <f t="shared" si="239"/>
        <v>13.849</v>
      </c>
      <c r="Z808" s="7">
        <f t="shared" si="240"/>
        <v>13.151</v>
      </c>
      <c r="AA808" s="9">
        <v>0</v>
      </c>
      <c r="AB808" s="9">
        <v>1</v>
      </c>
      <c r="AC808" s="9">
        <v>1</v>
      </c>
      <c r="AD808" s="9">
        <v>0</v>
      </c>
      <c r="AE808" s="9">
        <v>0</v>
      </c>
      <c r="AF808" s="9">
        <v>0</v>
      </c>
      <c r="AG808" s="8">
        <v>0</v>
      </c>
      <c r="AH808" s="9">
        <v>0</v>
      </c>
      <c r="AI808" s="30">
        <v>1</v>
      </c>
      <c r="AJ808" s="9">
        <v>1</v>
      </c>
      <c r="AK808" s="30">
        <v>0</v>
      </c>
      <c r="AL808" s="21">
        <v>1958</v>
      </c>
      <c r="AM808" s="23">
        <f t="shared" si="235"/>
        <v>7.5796788230904557</v>
      </c>
      <c r="AN808" s="33">
        <v>0</v>
      </c>
      <c r="AO808" s="33">
        <v>0</v>
      </c>
      <c r="AP808" s="33">
        <v>0.71699999999999997</v>
      </c>
      <c r="AQ808" s="43">
        <v>0.28299999999999997</v>
      </c>
      <c r="AR808" s="42" t="s">
        <v>104</v>
      </c>
      <c r="AS808" s="18" t="s">
        <v>104</v>
      </c>
      <c r="AT808">
        <v>1</v>
      </c>
      <c r="AU808" s="40">
        <v>0</v>
      </c>
      <c r="AV808" t="s">
        <v>104</v>
      </c>
      <c r="AW808" s="40" t="s">
        <v>104</v>
      </c>
      <c r="AX808">
        <v>1</v>
      </c>
      <c r="AY808" s="18">
        <v>0</v>
      </c>
      <c r="AZ808" t="s">
        <v>104</v>
      </c>
      <c r="BA808" s="18" t="s">
        <v>104</v>
      </c>
      <c r="BB808" s="18" t="s">
        <v>335</v>
      </c>
      <c r="BC808">
        <v>1</v>
      </c>
      <c r="BD808">
        <v>0</v>
      </c>
      <c r="BE808">
        <v>1</v>
      </c>
      <c r="BF808">
        <v>0</v>
      </c>
      <c r="BG808">
        <v>0</v>
      </c>
      <c r="BH808" s="18">
        <v>0</v>
      </c>
      <c r="BI808">
        <v>1</v>
      </c>
      <c r="BJ808">
        <v>0</v>
      </c>
      <c r="BK808" s="18">
        <v>0</v>
      </c>
      <c r="BL808">
        <v>1847.333333333333</v>
      </c>
      <c r="BM808">
        <v>883.19999999999993</v>
      </c>
      <c r="BN808" s="25">
        <v>33</v>
      </c>
      <c r="BO808">
        <v>0</v>
      </c>
      <c r="BP808">
        <v>0</v>
      </c>
      <c r="BQ808">
        <v>0</v>
      </c>
      <c r="BR808">
        <v>0</v>
      </c>
      <c r="BS808">
        <v>0</v>
      </c>
      <c r="BT808">
        <v>0</v>
      </c>
      <c r="BU808">
        <v>0</v>
      </c>
      <c r="BV808" s="18">
        <v>1</v>
      </c>
      <c r="BW808">
        <v>0</v>
      </c>
      <c r="BX808">
        <v>1</v>
      </c>
      <c r="BY808">
        <v>0</v>
      </c>
      <c r="BZ808" s="18">
        <v>0</v>
      </c>
      <c r="CA808">
        <v>0</v>
      </c>
      <c r="CB808">
        <v>0</v>
      </c>
      <c r="CC808">
        <v>0</v>
      </c>
      <c r="CD808">
        <v>0</v>
      </c>
      <c r="CE808">
        <v>0</v>
      </c>
      <c r="CF808" s="18">
        <v>0</v>
      </c>
      <c r="CG808">
        <v>0</v>
      </c>
      <c r="CH808">
        <v>0</v>
      </c>
      <c r="CI808">
        <v>0</v>
      </c>
      <c r="CJ808">
        <v>0</v>
      </c>
      <c r="CK808">
        <v>1</v>
      </c>
      <c r="CL808">
        <v>0</v>
      </c>
      <c r="CM808">
        <v>0</v>
      </c>
      <c r="CN808">
        <v>0</v>
      </c>
      <c r="CO808">
        <v>0</v>
      </c>
      <c r="CP808">
        <v>1</v>
      </c>
      <c r="CQ808" s="18">
        <v>0</v>
      </c>
      <c r="CR808">
        <v>0</v>
      </c>
      <c r="CS808">
        <v>125</v>
      </c>
      <c r="CT808">
        <v>0</v>
      </c>
      <c r="CU808">
        <v>1</v>
      </c>
      <c r="CV808">
        <v>5</v>
      </c>
      <c r="DB808" s="34"/>
    </row>
    <row r="809" spans="1:106" x14ac:dyDescent="0.25">
      <c r="A809">
        <v>808</v>
      </c>
      <c r="B809">
        <v>54</v>
      </c>
      <c r="C809" s="25" t="s">
        <v>502</v>
      </c>
      <c r="D809" s="12">
        <v>2.8255271239548452</v>
      </c>
      <c r="E809" s="14">
        <v>0.47723380377789598</v>
      </c>
      <c r="F809" s="7">
        <v>5.9206349206349209</v>
      </c>
      <c r="G809" s="7">
        <f t="shared" si="226"/>
        <v>2.3482933201769494</v>
      </c>
      <c r="H809" s="16">
        <f t="shared" si="227"/>
        <v>3.302760927732741</v>
      </c>
      <c r="I809" s="11">
        <f t="shared" si="228"/>
        <v>9.7730936419665043E-2</v>
      </c>
      <c r="J809" s="33">
        <f t="shared" si="229"/>
        <v>1.6506833765251739E-2</v>
      </c>
      <c r="K809" s="33">
        <f t="shared" si="230"/>
        <v>60.580969931682681</v>
      </c>
      <c r="L809" s="33">
        <f t="shared" si="231"/>
        <v>8.1224102654413308E-2</v>
      </c>
      <c r="M809" s="33">
        <f t="shared" si="232"/>
        <v>0.11423777018491678</v>
      </c>
      <c r="N809" s="8">
        <v>1</v>
      </c>
      <c r="O809" s="9">
        <v>0</v>
      </c>
      <c r="P809" s="8">
        <v>0</v>
      </c>
      <c r="Q809" s="9">
        <v>0</v>
      </c>
      <c r="R809" s="9">
        <v>1</v>
      </c>
      <c r="S809" s="9">
        <v>0</v>
      </c>
      <c r="T809" s="9">
        <v>0</v>
      </c>
      <c r="U809" s="8">
        <v>3639</v>
      </c>
      <c r="V809" s="9">
        <v>3</v>
      </c>
      <c r="W809" s="9">
        <f t="shared" si="233"/>
        <v>3635</v>
      </c>
      <c r="X809" s="9">
        <f t="shared" si="234"/>
        <v>15</v>
      </c>
      <c r="Y809" s="7">
        <f t="shared" si="239"/>
        <v>13.849</v>
      </c>
      <c r="Z809" s="7">
        <f t="shared" si="240"/>
        <v>13.151</v>
      </c>
      <c r="AA809" s="9">
        <v>0</v>
      </c>
      <c r="AB809" s="9">
        <v>1</v>
      </c>
      <c r="AC809" s="9">
        <v>1</v>
      </c>
      <c r="AD809" s="9">
        <v>0</v>
      </c>
      <c r="AE809" s="9">
        <v>0</v>
      </c>
      <c r="AF809" s="9">
        <v>0</v>
      </c>
      <c r="AG809" s="8">
        <v>0</v>
      </c>
      <c r="AH809" s="9">
        <v>0</v>
      </c>
      <c r="AI809" s="30">
        <v>1</v>
      </c>
      <c r="AJ809" s="9">
        <v>1</v>
      </c>
      <c r="AK809" s="30">
        <v>0</v>
      </c>
      <c r="AL809" s="21">
        <v>1958</v>
      </c>
      <c r="AM809" s="23">
        <f t="shared" si="235"/>
        <v>7.5796788230904557</v>
      </c>
      <c r="AN809" s="33">
        <v>0</v>
      </c>
      <c r="AO809" s="33">
        <v>0</v>
      </c>
      <c r="AP809" s="33">
        <v>0.71699999999999997</v>
      </c>
      <c r="AQ809" s="43">
        <v>0.28299999999999997</v>
      </c>
      <c r="AR809" s="42" t="s">
        <v>104</v>
      </c>
      <c r="AS809" s="18" t="s">
        <v>104</v>
      </c>
      <c r="AT809">
        <v>1</v>
      </c>
      <c r="AU809" s="40">
        <v>0</v>
      </c>
      <c r="AV809" t="s">
        <v>104</v>
      </c>
      <c r="AW809" s="40" t="s">
        <v>104</v>
      </c>
      <c r="AX809">
        <v>1</v>
      </c>
      <c r="AY809" s="18">
        <v>0</v>
      </c>
      <c r="AZ809" t="s">
        <v>104</v>
      </c>
      <c r="BA809" s="18" t="s">
        <v>104</v>
      </c>
      <c r="BB809" s="18" t="s">
        <v>335</v>
      </c>
      <c r="BC809">
        <v>1</v>
      </c>
      <c r="BD809">
        <v>0</v>
      </c>
      <c r="BE809">
        <v>1</v>
      </c>
      <c r="BF809">
        <v>0</v>
      </c>
      <c r="BG809">
        <v>0</v>
      </c>
      <c r="BH809" s="18">
        <v>0</v>
      </c>
      <c r="BI809">
        <v>1</v>
      </c>
      <c r="BJ809">
        <v>0</v>
      </c>
      <c r="BK809" s="18">
        <v>0</v>
      </c>
      <c r="BL809">
        <v>1847.333333333333</v>
      </c>
      <c r="BM809">
        <v>883.19999999999993</v>
      </c>
      <c r="BN809" s="25">
        <v>33</v>
      </c>
      <c r="BO809">
        <v>0</v>
      </c>
      <c r="BP809">
        <v>0</v>
      </c>
      <c r="BQ809">
        <v>0</v>
      </c>
      <c r="BR809">
        <v>0</v>
      </c>
      <c r="BS809">
        <v>0</v>
      </c>
      <c r="BT809">
        <v>0</v>
      </c>
      <c r="BU809">
        <v>0</v>
      </c>
      <c r="BV809" s="18">
        <v>1</v>
      </c>
      <c r="BW809">
        <v>0</v>
      </c>
      <c r="BX809">
        <v>1</v>
      </c>
      <c r="BY809">
        <v>0</v>
      </c>
      <c r="BZ809" s="18">
        <v>0</v>
      </c>
      <c r="CA809">
        <v>0</v>
      </c>
      <c r="CB809">
        <v>0</v>
      </c>
      <c r="CC809">
        <v>0</v>
      </c>
      <c r="CD809">
        <v>0</v>
      </c>
      <c r="CE809">
        <v>0</v>
      </c>
      <c r="CF809" s="18">
        <v>0</v>
      </c>
      <c r="CG809">
        <v>0</v>
      </c>
      <c r="CH809">
        <v>0</v>
      </c>
      <c r="CI809">
        <v>0</v>
      </c>
      <c r="CJ809">
        <v>0</v>
      </c>
      <c r="CK809">
        <v>1</v>
      </c>
      <c r="CL809">
        <v>0</v>
      </c>
      <c r="CM809">
        <v>0</v>
      </c>
      <c r="CN809">
        <v>0</v>
      </c>
      <c r="CO809">
        <v>0</v>
      </c>
      <c r="CP809">
        <v>1</v>
      </c>
      <c r="CQ809" s="18">
        <v>0</v>
      </c>
      <c r="CR809">
        <v>0</v>
      </c>
      <c r="CS809">
        <v>125</v>
      </c>
      <c r="CT809">
        <v>0</v>
      </c>
      <c r="CU809">
        <v>1</v>
      </c>
      <c r="CV809">
        <v>5</v>
      </c>
      <c r="DB809" s="34"/>
    </row>
    <row r="810" spans="1:106" x14ac:dyDescent="0.25">
      <c r="A810">
        <v>809</v>
      </c>
      <c r="B810">
        <v>54</v>
      </c>
      <c r="C810" s="25" t="s">
        <v>502</v>
      </c>
      <c r="D810" s="12">
        <v>2.061028588033873</v>
      </c>
      <c r="E810" s="14">
        <v>9.325921212822956E-2</v>
      </c>
      <c r="F810" s="7">
        <v>22.1</v>
      </c>
      <c r="G810" s="7">
        <f t="shared" si="226"/>
        <v>1.9677693759056434</v>
      </c>
      <c r="H810" s="16">
        <f t="shared" si="227"/>
        <v>2.1542878001621024</v>
      </c>
      <c r="I810" s="11">
        <f t="shared" si="228"/>
        <v>0.34416286928355505</v>
      </c>
      <c r="J810" s="33">
        <f t="shared" si="229"/>
        <v>1.5572980510568098E-2</v>
      </c>
      <c r="K810" s="33">
        <f t="shared" si="230"/>
        <v>64.21378356708162</v>
      </c>
      <c r="L810" s="33">
        <f t="shared" si="231"/>
        <v>0.32858988877298695</v>
      </c>
      <c r="M810" s="33">
        <f t="shared" si="232"/>
        <v>0.35973584979412315</v>
      </c>
      <c r="N810" s="8">
        <v>1</v>
      </c>
      <c r="O810" s="9">
        <v>0</v>
      </c>
      <c r="P810" s="8">
        <v>0</v>
      </c>
      <c r="Q810" s="9">
        <v>0</v>
      </c>
      <c r="R810" s="9">
        <v>1</v>
      </c>
      <c r="S810" s="9">
        <v>0</v>
      </c>
      <c r="T810" s="9">
        <v>0</v>
      </c>
      <c r="U810" s="8">
        <v>3639</v>
      </c>
      <c r="V810" s="9">
        <v>3</v>
      </c>
      <c r="W810" s="9">
        <f t="shared" si="233"/>
        <v>3635</v>
      </c>
      <c r="X810" s="9">
        <f t="shared" si="234"/>
        <v>15</v>
      </c>
      <c r="Y810" s="7">
        <f t="shared" si="239"/>
        <v>13.849</v>
      </c>
      <c r="Z810" s="7">
        <f t="shared" si="240"/>
        <v>13.151</v>
      </c>
      <c r="AA810" s="9">
        <v>0</v>
      </c>
      <c r="AB810" s="9">
        <v>1</v>
      </c>
      <c r="AC810" s="9">
        <v>1</v>
      </c>
      <c r="AD810" s="9">
        <v>0</v>
      </c>
      <c r="AE810" s="9">
        <v>0</v>
      </c>
      <c r="AF810" s="9">
        <v>0</v>
      </c>
      <c r="AG810" s="8">
        <v>0</v>
      </c>
      <c r="AH810" s="9">
        <v>0</v>
      </c>
      <c r="AI810" s="30">
        <v>1</v>
      </c>
      <c r="AJ810" s="9">
        <v>1</v>
      </c>
      <c r="AK810" s="30">
        <v>0</v>
      </c>
      <c r="AL810" s="21">
        <v>1958</v>
      </c>
      <c r="AM810" s="23">
        <f t="shared" si="235"/>
        <v>7.5796788230904557</v>
      </c>
      <c r="AN810" s="33">
        <v>0</v>
      </c>
      <c r="AO810" s="33">
        <v>0</v>
      </c>
      <c r="AP810" s="33">
        <v>0.71699999999999997</v>
      </c>
      <c r="AQ810" s="43">
        <v>0.28299999999999997</v>
      </c>
      <c r="AR810" s="42" t="s">
        <v>104</v>
      </c>
      <c r="AS810" s="18" t="s">
        <v>104</v>
      </c>
      <c r="AT810">
        <v>1</v>
      </c>
      <c r="AU810" s="40">
        <v>0</v>
      </c>
      <c r="AV810" t="s">
        <v>104</v>
      </c>
      <c r="AW810" s="40" t="s">
        <v>104</v>
      </c>
      <c r="AX810">
        <v>1</v>
      </c>
      <c r="AY810" s="18">
        <v>0</v>
      </c>
      <c r="AZ810" t="s">
        <v>104</v>
      </c>
      <c r="BA810" s="18" t="s">
        <v>104</v>
      </c>
      <c r="BB810" s="18" t="s">
        <v>335</v>
      </c>
      <c r="BC810">
        <v>1</v>
      </c>
      <c r="BD810">
        <v>0</v>
      </c>
      <c r="BE810">
        <v>1</v>
      </c>
      <c r="BF810">
        <v>0</v>
      </c>
      <c r="BG810">
        <v>0</v>
      </c>
      <c r="BH810" s="18">
        <v>0</v>
      </c>
      <c r="BI810">
        <v>1</v>
      </c>
      <c r="BJ810">
        <v>0</v>
      </c>
      <c r="BK810" s="18">
        <v>0</v>
      </c>
      <c r="BL810">
        <v>1847.333333333333</v>
      </c>
      <c r="BM810">
        <v>883.19999999999993</v>
      </c>
      <c r="BN810" s="25">
        <v>33</v>
      </c>
      <c r="BO810">
        <v>0</v>
      </c>
      <c r="BP810">
        <v>0</v>
      </c>
      <c r="BQ810">
        <v>0</v>
      </c>
      <c r="BR810">
        <v>0</v>
      </c>
      <c r="BS810">
        <v>0</v>
      </c>
      <c r="BT810">
        <v>0</v>
      </c>
      <c r="BU810">
        <v>0</v>
      </c>
      <c r="BV810" s="18">
        <v>1</v>
      </c>
      <c r="BW810">
        <v>0</v>
      </c>
      <c r="BX810">
        <v>1</v>
      </c>
      <c r="BY810">
        <v>0</v>
      </c>
      <c r="BZ810" s="18">
        <v>0</v>
      </c>
      <c r="CA810">
        <v>0</v>
      </c>
      <c r="CB810">
        <v>0</v>
      </c>
      <c r="CC810">
        <v>0</v>
      </c>
      <c r="CD810">
        <v>0</v>
      </c>
      <c r="CE810">
        <v>0</v>
      </c>
      <c r="CF810" s="18">
        <v>0</v>
      </c>
      <c r="CG810">
        <v>0</v>
      </c>
      <c r="CH810">
        <v>0</v>
      </c>
      <c r="CI810">
        <v>0</v>
      </c>
      <c r="CJ810">
        <v>0</v>
      </c>
      <c r="CK810">
        <v>1</v>
      </c>
      <c r="CL810">
        <v>0</v>
      </c>
      <c r="CM810">
        <v>0</v>
      </c>
      <c r="CN810">
        <v>0</v>
      </c>
      <c r="CO810">
        <v>0</v>
      </c>
      <c r="CP810">
        <v>1</v>
      </c>
      <c r="CQ810" s="18">
        <v>0</v>
      </c>
      <c r="CR810">
        <v>0</v>
      </c>
      <c r="CS810">
        <v>125</v>
      </c>
      <c r="CT810">
        <v>0</v>
      </c>
      <c r="CU810">
        <v>1</v>
      </c>
      <c r="CV810">
        <v>5</v>
      </c>
      <c r="DB810" s="34"/>
    </row>
    <row r="811" spans="1:106" x14ac:dyDescent="0.25">
      <c r="A811">
        <v>810</v>
      </c>
      <c r="B811">
        <v>54</v>
      </c>
      <c r="C811" s="25" t="s">
        <v>502</v>
      </c>
      <c r="D811" s="12">
        <v>1.1975568650366071</v>
      </c>
      <c r="E811" s="14">
        <v>1.058485745225904</v>
      </c>
      <c r="F811" s="7">
        <v>1.131386861313868</v>
      </c>
      <c r="G811" s="7">
        <f t="shared" si="226"/>
        <v>0.13907111981070308</v>
      </c>
      <c r="H811" s="16">
        <f t="shared" si="227"/>
        <v>2.2560426102625111</v>
      </c>
      <c r="I811" s="11">
        <f t="shared" si="228"/>
        <v>1.8762144231012204E-2</v>
      </c>
      <c r="J811" s="33">
        <f t="shared" si="229"/>
        <v>1.6583314578378538E-2</v>
      </c>
      <c r="K811" s="33">
        <f t="shared" si="230"/>
        <v>60.30157573587902</v>
      </c>
      <c r="L811" s="33">
        <f t="shared" si="231"/>
        <v>2.178829652633666E-3</v>
      </c>
      <c r="M811" s="33">
        <f t="shared" si="232"/>
        <v>3.5345458809390745E-2</v>
      </c>
      <c r="N811" s="8">
        <v>1</v>
      </c>
      <c r="O811" s="9">
        <v>0</v>
      </c>
      <c r="P811" s="8">
        <v>0</v>
      </c>
      <c r="Q811" s="9">
        <v>0</v>
      </c>
      <c r="R811" s="9">
        <v>1</v>
      </c>
      <c r="S811" s="9">
        <v>0</v>
      </c>
      <c r="T811" s="9">
        <v>0</v>
      </c>
      <c r="U811" s="8">
        <v>3639</v>
      </c>
      <c r="V811" s="9">
        <v>3</v>
      </c>
      <c r="W811" s="9">
        <f t="shared" si="233"/>
        <v>3635</v>
      </c>
      <c r="X811" s="9">
        <f t="shared" si="234"/>
        <v>15</v>
      </c>
      <c r="Y811" s="7">
        <f t="shared" si="239"/>
        <v>13.849</v>
      </c>
      <c r="Z811" s="7">
        <f t="shared" si="240"/>
        <v>13.151</v>
      </c>
      <c r="AA811" s="9">
        <v>0</v>
      </c>
      <c r="AB811" s="9">
        <v>1</v>
      </c>
      <c r="AC811" s="9">
        <v>1</v>
      </c>
      <c r="AD811" s="9">
        <v>0</v>
      </c>
      <c r="AE811" s="9">
        <v>0</v>
      </c>
      <c r="AF811" s="9">
        <v>0</v>
      </c>
      <c r="AG811" s="8">
        <v>0</v>
      </c>
      <c r="AH811" s="9">
        <v>0</v>
      </c>
      <c r="AI811" s="30">
        <v>1</v>
      </c>
      <c r="AJ811" s="9">
        <v>1</v>
      </c>
      <c r="AK811" s="30">
        <v>0</v>
      </c>
      <c r="AL811" s="21">
        <v>1958</v>
      </c>
      <c r="AM811" s="23">
        <f t="shared" si="235"/>
        <v>7.5796788230904557</v>
      </c>
      <c r="AN811" s="33">
        <v>0</v>
      </c>
      <c r="AO811" s="33">
        <v>0</v>
      </c>
      <c r="AP811" s="33">
        <v>0.71699999999999997</v>
      </c>
      <c r="AQ811" s="43">
        <v>0.28299999999999997</v>
      </c>
      <c r="AR811" s="42" t="s">
        <v>104</v>
      </c>
      <c r="AS811" s="18" t="s">
        <v>104</v>
      </c>
      <c r="AT811">
        <v>1</v>
      </c>
      <c r="AU811" s="40">
        <v>0</v>
      </c>
      <c r="AV811" t="s">
        <v>104</v>
      </c>
      <c r="AW811" s="40" t="s">
        <v>104</v>
      </c>
      <c r="AX811">
        <v>1</v>
      </c>
      <c r="AY811" s="18">
        <v>0</v>
      </c>
      <c r="AZ811" t="s">
        <v>104</v>
      </c>
      <c r="BA811" s="18" t="s">
        <v>104</v>
      </c>
      <c r="BB811" s="18" t="s">
        <v>335</v>
      </c>
      <c r="BC811">
        <v>1</v>
      </c>
      <c r="BD811">
        <v>0</v>
      </c>
      <c r="BE811">
        <v>1</v>
      </c>
      <c r="BF811">
        <v>0</v>
      </c>
      <c r="BG811">
        <v>0</v>
      </c>
      <c r="BH811" s="18">
        <v>0</v>
      </c>
      <c r="BI811">
        <v>1</v>
      </c>
      <c r="BJ811">
        <v>0</v>
      </c>
      <c r="BK811" s="18">
        <v>0</v>
      </c>
      <c r="BL811">
        <v>1847.333333333333</v>
      </c>
      <c r="BM811">
        <v>883.19999999999993</v>
      </c>
      <c r="BN811" s="25">
        <v>33</v>
      </c>
      <c r="BO811">
        <v>0</v>
      </c>
      <c r="BP811">
        <v>0</v>
      </c>
      <c r="BQ811">
        <v>0</v>
      </c>
      <c r="BR811">
        <v>0</v>
      </c>
      <c r="BS811">
        <v>0</v>
      </c>
      <c r="BT811">
        <v>0</v>
      </c>
      <c r="BU811">
        <v>0</v>
      </c>
      <c r="BV811" s="18">
        <v>1</v>
      </c>
      <c r="BW811">
        <v>0</v>
      </c>
      <c r="BX811">
        <v>1</v>
      </c>
      <c r="BY811">
        <v>0</v>
      </c>
      <c r="BZ811" s="18">
        <v>0</v>
      </c>
      <c r="CA811">
        <v>0</v>
      </c>
      <c r="CB811">
        <v>0</v>
      </c>
      <c r="CC811">
        <v>0</v>
      </c>
      <c r="CD811">
        <v>0</v>
      </c>
      <c r="CE811">
        <v>0</v>
      </c>
      <c r="CF811" s="18">
        <v>0</v>
      </c>
      <c r="CG811">
        <v>0</v>
      </c>
      <c r="CH811">
        <v>0</v>
      </c>
      <c r="CI811">
        <v>0</v>
      </c>
      <c r="CJ811">
        <v>0</v>
      </c>
      <c r="CK811">
        <v>1</v>
      </c>
      <c r="CL811">
        <v>0</v>
      </c>
      <c r="CM811">
        <v>0</v>
      </c>
      <c r="CN811">
        <v>0</v>
      </c>
      <c r="CO811">
        <v>0</v>
      </c>
      <c r="CP811">
        <v>1</v>
      </c>
      <c r="CQ811" s="18">
        <v>0</v>
      </c>
      <c r="CR811">
        <v>0</v>
      </c>
      <c r="CS811">
        <v>125</v>
      </c>
      <c r="CT811">
        <v>0</v>
      </c>
      <c r="CU811">
        <v>1</v>
      </c>
      <c r="CV811">
        <v>5</v>
      </c>
      <c r="DB811" s="34"/>
    </row>
    <row r="812" spans="1:106" s="148" customFormat="1" x14ac:dyDescent="0.25">
      <c r="A812" s="148">
        <v>811</v>
      </c>
      <c r="B812" s="148">
        <v>54</v>
      </c>
      <c r="C812" s="149" t="s">
        <v>502</v>
      </c>
      <c r="D812" s="150">
        <v>2.452248701926214</v>
      </c>
      <c r="E812" s="151">
        <v>1.133516771585229</v>
      </c>
      <c r="F812" s="152">
        <v>2.1633986928104578</v>
      </c>
      <c r="G812" s="152">
        <f t="shared" si="226"/>
        <v>1.318731930340985</v>
      </c>
      <c r="H812" s="153">
        <f t="shared" si="227"/>
        <v>3.5857654735114428</v>
      </c>
      <c r="I812" s="154">
        <f t="shared" si="228"/>
        <v>3.5859558999142858E-2</v>
      </c>
      <c r="J812" s="155">
        <f t="shared" si="229"/>
        <v>1.6575566546431591E-2</v>
      </c>
      <c r="K812" s="155">
        <f t="shared" si="230"/>
        <v>60.329762919342343</v>
      </c>
      <c r="L812" s="155">
        <f t="shared" si="231"/>
        <v>1.9283992452711268E-2</v>
      </c>
      <c r="M812" s="155">
        <f t="shared" si="232"/>
        <v>5.2435125545574446E-2</v>
      </c>
      <c r="N812" s="156">
        <v>1</v>
      </c>
      <c r="O812" s="157">
        <v>0</v>
      </c>
      <c r="P812" s="156">
        <v>0</v>
      </c>
      <c r="Q812" s="157">
        <v>0</v>
      </c>
      <c r="R812" s="157">
        <v>1</v>
      </c>
      <c r="S812" s="157">
        <v>0</v>
      </c>
      <c r="T812" s="157">
        <v>0</v>
      </c>
      <c r="U812" s="156">
        <v>3639</v>
      </c>
      <c r="V812" s="157">
        <v>3</v>
      </c>
      <c r="W812" s="157">
        <f t="shared" si="233"/>
        <v>3635</v>
      </c>
      <c r="X812" s="157">
        <f t="shared" si="234"/>
        <v>15</v>
      </c>
      <c r="Y812" s="152">
        <f t="shared" si="239"/>
        <v>13.849</v>
      </c>
      <c r="Z812" s="152">
        <f t="shared" si="240"/>
        <v>13.151</v>
      </c>
      <c r="AA812" s="157">
        <v>0</v>
      </c>
      <c r="AB812" s="157">
        <v>1</v>
      </c>
      <c r="AC812" s="157">
        <v>1</v>
      </c>
      <c r="AD812" s="157">
        <v>0</v>
      </c>
      <c r="AE812" s="157">
        <v>0</v>
      </c>
      <c r="AF812" s="157">
        <v>0</v>
      </c>
      <c r="AG812" s="156">
        <v>0</v>
      </c>
      <c r="AH812" s="157">
        <v>0</v>
      </c>
      <c r="AI812" s="158">
        <v>1</v>
      </c>
      <c r="AJ812" s="157">
        <v>1</v>
      </c>
      <c r="AK812" s="158">
        <v>0</v>
      </c>
      <c r="AL812" s="159">
        <v>1958</v>
      </c>
      <c r="AM812" s="160">
        <f t="shared" si="235"/>
        <v>7.5796788230904557</v>
      </c>
      <c r="AN812" s="155">
        <v>0</v>
      </c>
      <c r="AO812" s="155">
        <v>0</v>
      </c>
      <c r="AP812" s="155">
        <v>0.71699999999999997</v>
      </c>
      <c r="AQ812" s="161">
        <v>0.28299999999999997</v>
      </c>
      <c r="AR812" s="162" t="s">
        <v>104</v>
      </c>
      <c r="AS812" s="163" t="s">
        <v>104</v>
      </c>
      <c r="AT812" s="148">
        <v>1</v>
      </c>
      <c r="AU812" s="164">
        <v>0</v>
      </c>
      <c r="AV812" s="148" t="s">
        <v>104</v>
      </c>
      <c r="AW812" s="164" t="s">
        <v>104</v>
      </c>
      <c r="AX812">
        <v>1</v>
      </c>
      <c r="AY812" s="163">
        <v>0</v>
      </c>
      <c r="AZ812" s="148" t="s">
        <v>104</v>
      </c>
      <c r="BA812" s="163" t="s">
        <v>104</v>
      </c>
      <c r="BB812" s="163" t="s">
        <v>335</v>
      </c>
      <c r="BC812">
        <v>1</v>
      </c>
      <c r="BD812">
        <v>0</v>
      </c>
      <c r="BE812">
        <v>1</v>
      </c>
      <c r="BF812">
        <v>0</v>
      </c>
      <c r="BG812">
        <v>0</v>
      </c>
      <c r="BH812" s="163">
        <v>0</v>
      </c>
      <c r="BI812">
        <v>1</v>
      </c>
      <c r="BJ812">
        <v>0</v>
      </c>
      <c r="BK812" s="163">
        <v>0</v>
      </c>
      <c r="BL812">
        <v>1847.333333333333</v>
      </c>
      <c r="BM812">
        <v>883.19999999999993</v>
      </c>
      <c r="BN812" s="149">
        <v>33</v>
      </c>
      <c r="BO812" s="148">
        <v>0</v>
      </c>
      <c r="BP812" s="148">
        <v>0</v>
      </c>
      <c r="BQ812" s="148">
        <v>0</v>
      </c>
      <c r="BR812" s="148">
        <v>0</v>
      </c>
      <c r="BS812" s="148">
        <v>0</v>
      </c>
      <c r="BT812" s="148">
        <v>0</v>
      </c>
      <c r="BU812" s="148">
        <v>0</v>
      </c>
      <c r="BV812" s="163">
        <v>1</v>
      </c>
      <c r="BW812" s="148">
        <v>0</v>
      </c>
      <c r="BX812" s="148">
        <v>1</v>
      </c>
      <c r="BY812" s="148">
        <v>0</v>
      </c>
      <c r="BZ812" s="18">
        <v>0</v>
      </c>
      <c r="CA812">
        <v>0</v>
      </c>
      <c r="CB812">
        <v>0</v>
      </c>
      <c r="CC812">
        <v>0</v>
      </c>
      <c r="CD812">
        <v>0</v>
      </c>
      <c r="CE812">
        <v>0</v>
      </c>
      <c r="CF812" s="18">
        <v>0</v>
      </c>
      <c r="CG812" s="148">
        <v>0</v>
      </c>
      <c r="CH812" s="148">
        <v>0</v>
      </c>
      <c r="CI812" s="148">
        <v>0</v>
      </c>
      <c r="CJ812" s="148">
        <v>0</v>
      </c>
      <c r="CK812" s="148">
        <v>1</v>
      </c>
      <c r="CL812" s="148">
        <v>0</v>
      </c>
      <c r="CM812" s="148">
        <v>0</v>
      </c>
      <c r="CN812" s="148">
        <v>0</v>
      </c>
      <c r="CO812" s="148">
        <v>0</v>
      </c>
      <c r="CP812" s="148">
        <v>1</v>
      </c>
      <c r="CQ812" s="163">
        <v>0</v>
      </c>
      <c r="CR812">
        <v>0</v>
      </c>
      <c r="CS812">
        <v>125</v>
      </c>
      <c r="CT812">
        <v>0</v>
      </c>
      <c r="CU812">
        <v>1</v>
      </c>
      <c r="CV812">
        <v>5</v>
      </c>
      <c r="CW812" s="165"/>
      <c r="DB812" s="165"/>
    </row>
    <row r="813" spans="1:106" x14ac:dyDescent="0.25">
      <c r="A813">
        <v>812</v>
      </c>
      <c r="B813">
        <v>55</v>
      </c>
      <c r="C813" s="25" t="s">
        <v>510</v>
      </c>
      <c r="D813" s="12">
        <v>3.502212352392664</v>
      </c>
      <c r="E813" s="14">
        <v>0.62077619244773952</v>
      </c>
      <c r="F813" s="7">
        <v>5.6416666666666666</v>
      </c>
      <c r="G813" s="7">
        <f t="shared" si="226"/>
        <v>2.8814361599449247</v>
      </c>
      <c r="H813" s="16">
        <f t="shared" si="227"/>
        <v>4.1229885448404033</v>
      </c>
      <c r="I813" s="11">
        <f t="shared" si="228"/>
        <v>5.1741366373935151E-2</v>
      </c>
      <c r="J813" s="33">
        <f t="shared" si="229"/>
        <v>9.1712909377728493E-3</v>
      </c>
      <c r="K813" s="33">
        <f t="shared" si="230"/>
        <v>109.03590419113226</v>
      </c>
      <c r="L813" s="33">
        <f t="shared" si="231"/>
        <v>4.25700754361623E-2</v>
      </c>
      <c r="M813" s="33">
        <f t="shared" si="232"/>
        <v>6.0912657311708002E-2</v>
      </c>
      <c r="N813" s="8">
        <v>1</v>
      </c>
      <c r="O813" s="9">
        <v>0</v>
      </c>
      <c r="P813" s="8">
        <v>0</v>
      </c>
      <c r="Q813" s="9">
        <v>1</v>
      </c>
      <c r="R813" s="9">
        <v>0</v>
      </c>
      <c r="S813" s="9">
        <v>0</v>
      </c>
      <c r="T813" s="9">
        <v>0</v>
      </c>
      <c r="U813" s="8">
        <v>11878</v>
      </c>
      <c r="V813" s="9">
        <v>20</v>
      </c>
      <c r="W813" s="9">
        <f t="shared" si="233"/>
        <v>11857</v>
      </c>
      <c r="X813" s="9">
        <f t="shared" si="234"/>
        <v>12</v>
      </c>
      <c r="Y813" s="7">
        <v>12</v>
      </c>
      <c r="Z813" s="7">
        <f t="shared" si="240"/>
        <v>17.5</v>
      </c>
      <c r="AA813" s="9">
        <v>0</v>
      </c>
      <c r="AB813" s="9">
        <v>1</v>
      </c>
      <c r="AC813" s="9">
        <v>0</v>
      </c>
      <c r="AD813" s="9">
        <v>1</v>
      </c>
      <c r="AE813" s="9">
        <v>0</v>
      </c>
      <c r="AF813" s="9">
        <v>0</v>
      </c>
      <c r="AG813" s="8">
        <v>0</v>
      </c>
      <c r="AH813" s="9">
        <v>1</v>
      </c>
      <c r="AI813" s="30">
        <v>0</v>
      </c>
      <c r="AJ813" s="9">
        <v>1</v>
      </c>
      <c r="AK813" s="30">
        <v>0</v>
      </c>
      <c r="AL813" s="21">
        <v>2017</v>
      </c>
      <c r="AM813" s="23">
        <f t="shared" si="235"/>
        <v>7.6093665379542115</v>
      </c>
      <c r="AN813" s="33">
        <v>0</v>
      </c>
      <c r="AO813" s="33">
        <v>0</v>
      </c>
      <c r="AP813" s="33">
        <v>1</v>
      </c>
      <c r="AQ813" s="43">
        <v>0</v>
      </c>
      <c r="AR813" s="42">
        <f t="shared" ref="AR813:AR824" si="241">1-AS813</f>
        <v>0.48699999999999999</v>
      </c>
      <c r="AS813" s="18">
        <v>0.51300000000000001</v>
      </c>
      <c r="AT813">
        <v>1</v>
      </c>
      <c r="AU813" s="40">
        <f t="shared" ref="AU813:AU836" si="242">1-AT813</f>
        <v>0</v>
      </c>
      <c r="AV813" t="s">
        <v>104</v>
      </c>
      <c r="AW813" s="40" t="s">
        <v>104</v>
      </c>
      <c r="AX813">
        <v>0</v>
      </c>
      <c r="AY813" s="18">
        <v>1</v>
      </c>
      <c r="AZ813">
        <f t="shared" ref="AZ813:AZ824" si="243">1-BA813</f>
        <v>0.23850000000000005</v>
      </c>
      <c r="BA813" s="18">
        <v>0.76149999999999995</v>
      </c>
      <c r="BB813" s="18" t="s">
        <v>527</v>
      </c>
      <c r="BC813">
        <v>0</v>
      </c>
      <c r="BD813">
        <v>0</v>
      </c>
      <c r="BE813">
        <v>0</v>
      </c>
      <c r="BF813">
        <v>1</v>
      </c>
      <c r="BG813">
        <v>0</v>
      </c>
      <c r="BH813" s="18">
        <v>0</v>
      </c>
      <c r="BI813">
        <v>0</v>
      </c>
      <c r="BJ813">
        <v>1</v>
      </c>
      <c r="BK813" s="18">
        <v>0</v>
      </c>
      <c r="BL813">
        <v>80.17</v>
      </c>
      <c r="BM813">
        <v>775.6</v>
      </c>
      <c r="BN813" s="25">
        <v>35.5</v>
      </c>
      <c r="BO813">
        <v>1</v>
      </c>
      <c r="BP813">
        <v>0</v>
      </c>
      <c r="BQ813">
        <v>0</v>
      </c>
      <c r="BR813">
        <v>0</v>
      </c>
      <c r="BS813">
        <v>0</v>
      </c>
      <c r="BT813">
        <v>0</v>
      </c>
      <c r="BU813">
        <v>0</v>
      </c>
      <c r="BV813" s="18">
        <v>0</v>
      </c>
      <c r="BW813">
        <v>0</v>
      </c>
      <c r="BX813">
        <v>0</v>
      </c>
      <c r="BY813">
        <v>0</v>
      </c>
      <c r="BZ813" s="18">
        <v>0</v>
      </c>
      <c r="CA813">
        <v>0</v>
      </c>
      <c r="CB813">
        <v>0</v>
      </c>
      <c r="CC813">
        <v>0</v>
      </c>
      <c r="CD813">
        <v>0</v>
      </c>
      <c r="CE813">
        <v>0</v>
      </c>
      <c r="CF813" s="18">
        <v>0</v>
      </c>
      <c r="CG813">
        <v>1</v>
      </c>
      <c r="CH813">
        <v>1</v>
      </c>
      <c r="CI813">
        <v>0</v>
      </c>
      <c r="CJ813">
        <v>0</v>
      </c>
      <c r="CK813">
        <v>0</v>
      </c>
      <c r="CL813">
        <v>0</v>
      </c>
      <c r="CM813">
        <v>0</v>
      </c>
      <c r="CN813">
        <v>1</v>
      </c>
      <c r="CO813">
        <v>1</v>
      </c>
      <c r="CP813">
        <v>1</v>
      </c>
      <c r="CQ813" s="18">
        <v>1</v>
      </c>
      <c r="CR813">
        <v>4.0000000000000001E-3</v>
      </c>
      <c r="CS813">
        <v>2</v>
      </c>
      <c r="CT813">
        <v>1</v>
      </c>
      <c r="CU813">
        <v>0</v>
      </c>
      <c r="CV813">
        <v>24</v>
      </c>
      <c r="DB813" s="34"/>
    </row>
    <row r="814" spans="1:106" x14ac:dyDescent="0.25">
      <c r="A814">
        <v>813</v>
      </c>
      <c r="B814">
        <v>55</v>
      </c>
      <c r="C814" s="25" t="s">
        <v>510</v>
      </c>
      <c r="D814" s="12">
        <v>1.529990892744759</v>
      </c>
      <c r="E814" s="14">
        <v>0.4378761814252678</v>
      </c>
      <c r="F814" s="7">
        <v>3.494117647058824</v>
      </c>
      <c r="G814" s="7">
        <f t="shared" si="226"/>
        <v>1.0921147113194911</v>
      </c>
      <c r="H814" s="16">
        <f t="shared" si="227"/>
        <v>1.9678670741700268</v>
      </c>
      <c r="I814" s="11">
        <f t="shared" si="228"/>
        <v>3.207204389156721E-2</v>
      </c>
      <c r="J814" s="33">
        <f t="shared" si="229"/>
        <v>9.178867780414858E-3</v>
      </c>
      <c r="K814" s="33">
        <f t="shared" si="230"/>
        <v>108.94589876691774</v>
      </c>
      <c r="L814" s="33">
        <f t="shared" si="231"/>
        <v>2.2893176111152352E-2</v>
      </c>
      <c r="M814" s="33">
        <f t="shared" si="232"/>
        <v>4.1250911671982068E-2</v>
      </c>
      <c r="N814" s="8">
        <v>1</v>
      </c>
      <c r="O814" s="9">
        <v>0</v>
      </c>
      <c r="P814" s="8">
        <v>0</v>
      </c>
      <c r="Q814" s="9">
        <v>1</v>
      </c>
      <c r="R814" s="9">
        <v>0</v>
      </c>
      <c r="S814" s="9">
        <v>0</v>
      </c>
      <c r="T814" s="9">
        <v>0</v>
      </c>
      <c r="U814" s="8">
        <v>11878</v>
      </c>
      <c r="V814" s="9">
        <v>20</v>
      </c>
      <c r="W814" s="9">
        <f t="shared" si="233"/>
        <v>11857</v>
      </c>
      <c r="X814" s="9">
        <f t="shared" si="234"/>
        <v>12</v>
      </c>
      <c r="Y814" s="7">
        <v>14</v>
      </c>
      <c r="Z814" s="7">
        <f t="shared" si="240"/>
        <v>15.5</v>
      </c>
      <c r="AA814" s="9">
        <v>0</v>
      </c>
      <c r="AB814" s="9">
        <v>1</v>
      </c>
      <c r="AC814" s="9">
        <v>0</v>
      </c>
      <c r="AD814" s="9">
        <v>1</v>
      </c>
      <c r="AE814" s="9">
        <v>0</v>
      </c>
      <c r="AF814" s="9">
        <v>0</v>
      </c>
      <c r="AG814" s="8">
        <v>0</v>
      </c>
      <c r="AH814" s="9">
        <v>1</v>
      </c>
      <c r="AI814" s="30">
        <v>0</v>
      </c>
      <c r="AJ814" s="9">
        <v>1</v>
      </c>
      <c r="AK814" s="30">
        <v>0</v>
      </c>
      <c r="AL814" s="21">
        <v>2017</v>
      </c>
      <c r="AM814" s="23">
        <f t="shared" si="235"/>
        <v>7.6093665379542115</v>
      </c>
      <c r="AN814" s="33">
        <v>0</v>
      </c>
      <c r="AO814" s="33">
        <v>0</v>
      </c>
      <c r="AP814" s="33">
        <v>1</v>
      </c>
      <c r="AQ814" s="43">
        <v>0</v>
      </c>
      <c r="AR814" s="42">
        <f t="shared" si="241"/>
        <v>0.48699999999999999</v>
      </c>
      <c r="AS814" s="18">
        <v>0.51300000000000001</v>
      </c>
      <c r="AT814">
        <v>1</v>
      </c>
      <c r="AU814" s="40">
        <f t="shared" si="242"/>
        <v>0</v>
      </c>
      <c r="AV814" t="s">
        <v>104</v>
      </c>
      <c r="AW814" s="40" t="s">
        <v>104</v>
      </c>
      <c r="AX814">
        <v>0</v>
      </c>
      <c r="AY814" s="18">
        <v>1</v>
      </c>
      <c r="AZ814">
        <f t="shared" si="243"/>
        <v>0.23850000000000005</v>
      </c>
      <c r="BA814" s="18">
        <v>0.76149999999999995</v>
      </c>
      <c r="BB814" s="18" t="s">
        <v>527</v>
      </c>
      <c r="BC814">
        <v>0</v>
      </c>
      <c r="BD814">
        <v>0</v>
      </c>
      <c r="BE814">
        <v>0</v>
      </c>
      <c r="BF814">
        <v>1</v>
      </c>
      <c r="BG814">
        <v>0</v>
      </c>
      <c r="BH814" s="18">
        <v>0</v>
      </c>
      <c r="BI814">
        <v>0</v>
      </c>
      <c r="BJ814">
        <v>1</v>
      </c>
      <c r="BK814" s="18">
        <v>0</v>
      </c>
      <c r="BL814">
        <v>80.17</v>
      </c>
      <c r="BM814">
        <v>775.6</v>
      </c>
      <c r="BN814" s="25">
        <v>35.5</v>
      </c>
      <c r="BO814">
        <v>1</v>
      </c>
      <c r="BP814">
        <v>0</v>
      </c>
      <c r="BQ814">
        <v>0</v>
      </c>
      <c r="BR814">
        <v>0</v>
      </c>
      <c r="BS814">
        <v>0</v>
      </c>
      <c r="BT814">
        <v>0</v>
      </c>
      <c r="BU814">
        <v>0</v>
      </c>
      <c r="BV814" s="18">
        <v>0</v>
      </c>
      <c r="BW814">
        <v>0</v>
      </c>
      <c r="BX814">
        <v>0</v>
      </c>
      <c r="BY814">
        <v>0</v>
      </c>
      <c r="BZ814" s="18">
        <v>0</v>
      </c>
      <c r="CA814">
        <v>0</v>
      </c>
      <c r="CB814">
        <v>0</v>
      </c>
      <c r="CC814">
        <v>0</v>
      </c>
      <c r="CD814">
        <v>0</v>
      </c>
      <c r="CE814">
        <v>0</v>
      </c>
      <c r="CF814" s="18">
        <v>0</v>
      </c>
      <c r="CG814">
        <v>1</v>
      </c>
      <c r="CH814">
        <v>1</v>
      </c>
      <c r="CI814">
        <v>0</v>
      </c>
      <c r="CJ814">
        <v>0</v>
      </c>
      <c r="CK814">
        <v>0</v>
      </c>
      <c r="CL814">
        <v>0</v>
      </c>
      <c r="CM814">
        <v>0</v>
      </c>
      <c r="CN814">
        <v>1</v>
      </c>
      <c r="CO814">
        <v>1</v>
      </c>
      <c r="CP814">
        <v>1</v>
      </c>
      <c r="CQ814" s="18">
        <v>1</v>
      </c>
      <c r="CR814">
        <v>4.0000000000000001E-3</v>
      </c>
      <c r="CS814">
        <v>2</v>
      </c>
      <c r="CT814">
        <v>1</v>
      </c>
      <c r="CU814">
        <v>0</v>
      </c>
      <c r="CV814">
        <v>24</v>
      </c>
      <c r="DB814" s="34"/>
    </row>
    <row r="815" spans="1:106" x14ac:dyDescent="0.25">
      <c r="A815">
        <v>814</v>
      </c>
      <c r="B815">
        <v>55</v>
      </c>
      <c r="C815" s="25" t="s">
        <v>510</v>
      </c>
      <c r="D815" s="12">
        <v>4.1137433494068363</v>
      </c>
      <c r="E815" s="14">
        <v>0.27971962937943129</v>
      </c>
      <c r="F815" s="7">
        <v>14.706666666666671</v>
      </c>
      <c r="G815" s="7">
        <f t="shared" si="226"/>
        <v>3.834023720027405</v>
      </c>
      <c r="H815" s="16">
        <f t="shared" si="227"/>
        <v>4.3934629787862676</v>
      </c>
      <c r="I815" s="11">
        <f t="shared" si="228"/>
        <v>0.13384480026334236</v>
      </c>
      <c r="J815" s="33">
        <f t="shared" si="229"/>
        <v>9.100961033318835E-3</v>
      </c>
      <c r="K815" s="33">
        <f t="shared" si="230"/>
        <v>109.878505834601</v>
      </c>
      <c r="L815" s="33">
        <f t="shared" si="231"/>
        <v>0.12474383923002352</v>
      </c>
      <c r="M815" s="33">
        <f t="shared" si="232"/>
        <v>0.1429457612966612</v>
      </c>
      <c r="N815" s="8">
        <v>1</v>
      </c>
      <c r="O815" s="9">
        <v>0</v>
      </c>
      <c r="P815" s="8">
        <v>0</v>
      </c>
      <c r="Q815" s="9">
        <v>1</v>
      </c>
      <c r="R815" s="9">
        <v>0</v>
      </c>
      <c r="S815" s="9">
        <v>0</v>
      </c>
      <c r="T815" s="9">
        <v>0</v>
      </c>
      <c r="U815" s="8">
        <v>11878</v>
      </c>
      <c r="V815" s="9">
        <v>20</v>
      </c>
      <c r="W815" s="9">
        <f t="shared" si="233"/>
        <v>11857</v>
      </c>
      <c r="X815" s="9">
        <f t="shared" si="234"/>
        <v>12</v>
      </c>
      <c r="Y815" s="7">
        <v>16</v>
      </c>
      <c r="Z815" s="7">
        <f t="shared" si="240"/>
        <v>13.5</v>
      </c>
      <c r="AA815" s="9">
        <v>0</v>
      </c>
      <c r="AB815" s="9">
        <v>1</v>
      </c>
      <c r="AC815" s="9">
        <v>0</v>
      </c>
      <c r="AD815" s="9">
        <v>1</v>
      </c>
      <c r="AE815" s="9">
        <v>0</v>
      </c>
      <c r="AF815" s="9">
        <v>0</v>
      </c>
      <c r="AG815" s="8">
        <v>0</v>
      </c>
      <c r="AH815" s="9">
        <v>1</v>
      </c>
      <c r="AI815" s="30">
        <v>0</v>
      </c>
      <c r="AJ815" s="9">
        <v>1</v>
      </c>
      <c r="AK815" s="30">
        <v>0</v>
      </c>
      <c r="AL815" s="21">
        <v>2017</v>
      </c>
      <c r="AM815" s="23">
        <f t="shared" si="235"/>
        <v>7.6093665379542115</v>
      </c>
      <c r="AN815" s="33">
        <v>0</v>
      </c>
      <c r="AO815" s="33">
        <v>0</v>
      </c>
      <c r="AP815" s="33">
        <v>0</v>
      </c>
      <c r="AQ815" s="43">
        <v>1</v>
      </c>
      <c r="AR815" s="42">
        <f t="shared" si="241"/>
        <v>0.48699999999999999</v>
      </c>
      <c r="AS815" s="18">
        <v>0.51300000000000001</v>
      </c>
      <c r="AT815">
        <v>1</v>
      </c>
      <c r="AU815" s="40">
        <f t="shared" si="242"/>
        <v>0</v>
      </c>
      <c r="AV815" t="s">
        <v>104</v>
      </c>
      <c r="AW815" s="40" t="s">
        <v>104</v>
      </c>
      <c r="AX815">
        <v>0</v>
      </c>
      <c r="AY815" s="18">
        <v>1</v>
      </c>
      <c r="AZ815">
        <f t="shared" si="243"/>
        <v>0.23850000000000005</v>
      </c>
      <c r="BA815" s="18">
        <v>0.76149999999999995</v>
      </c>
      <c r="BB815" s="18" t="s">
        <v>527</v>
      </c>
      <c r="BC815">
        <v>0</v>
      </c>
      <c r="BD815">
        <v>0</v>
      </c>
      <c r="BE815">
        <v>0</v>
      </c>
      <c r="BF815">
        <v>1</v>
      </c>
      <c r="BG815">
        <v>0</v>
      </c>
      <c r="BH815" s="18">
        <v>0</v>
      </c>
      <c r="BI815">
        <v>0</v>
      </c>
      <c r="BJ815">
        <v>1</v>
      </c>
      <c r="BK815" s="18">
        <v>0</v>
      </c>
      <c r="BL815">
        <v>80.17</v>
      </c>
      <c r="BM815">
        <v>775.6</v>
      </c>
      <c r="BN815" s="25">
        <v>35.5</v>
      </c>
      <c r="BO815">
        <v>1</v>
      </c>
      <c r="BP815">
        <v>0</v>
      </c>
      <c r="BQ815">
        <v>0</v>
      </c>
      <c r="BR815">
        <v>0</v>
      </c>
      <c r="BS815">
        <v>0</v>
      </c>
      <c r="BT815">
        <v>0</v>
      </c>
      <c r="BU815">
        <v>0</v>
      </c>
      <c r="BV815" s="18">
        <v>0</v>
      </c>
      <c r="BW815">
        <v>0</v>
      </c>
      <c r="BX815">
        <v>0</v>
      </c>
      <c r="BY815">
        <v>0</v>
      </c>
      <c r="BZ815" s="18">
        <v>0</v>
      </c>
      <c r="CA815">
        <v>0</v>
      </c>
      <c r="CB815">
        <v>0</v>
      </c>
      <c r="CC815">
        <v>0</v>
      </c>
      <c r="CD815">
        <v>0</v>
      </c>
      <c r="CE815">
        <v>0</v>
      </c>
      <c r="CF815" s="18">
        <v>0</v>
      </c>
      <c r="CG815">
        <v>1</v>
      </c>
      <c r="CH815">
        <v>1</v>
      </c>
      <c r="CI815">
        <v>0</v>
      </c>
      <c r="CJ815">
        <v>0</v>
      </c>
      <c r="CK815">
        <v>0</v>
      </c>
      <c r="CL815">
        <v>0</v>
      </c>
      <c r="CM815">
        <v>0</v>
      </c>
      <c r="CN815">
        <v>1</v>
      </c>
      <c r="CO815">
        <v>1</v>
      </c>
      <c r="CP815">
        <v>1</v>
      </c>
      <c r="CQ815" s="18">
        <v>1</v>
      </c>
      <c r="CR815">
        <v>4.0000000000000001E-3</v>
      </c>
      <c r="CS815">
        <v>2</v>
      </c>
      <c r="CT815">
        <v>1</v>
      </c>
      <c r="CU815">
        <v>0</v>
      </c>
      <c r="CV815">
        <v>24</v>
      </c>
      <c r="DB815" s="34"/>
    </row>
    <row r="816" spans="1:106" x14ac:dyDescent="0.25">
      <c r="A816">
        <v>815</v>
      </c>
      <c r="B816">
        <v>55</v>
      </c>
      <c r="C816" s="25" t="s">
        <v>510</v>
      </c>
      <c r="D816" s="12">
        <v>5.3379577429739618</v>
      </c>
      <c r="E816" s="14">
        <v>1.320979418958685</v>
      </c>
      <c r="F816" s="7">
        <v>4.0409090909090919</v>
      </c>
      <c r="G816" s="7">
        <f t="shared" si="226"/>
        <v>4.0169783240152768</v>
      </c>
      <c r="H816" s="16">
        <f t="shared" si="227"/>
        <v>6.6589371619326467</v>
      </c>
      <c r="I816" s="11">
        <f t="shared" si="228"/>
        <v>3.7084534349250138E-2</v>
      </c>
      <c r="J816" s="33">
        <f t="shared" si="229"/>
        <v>9.1772750920529021E-3</v>
      </c>
      <c r="K816" s="33">
        <f t="shared" si="230"/>
        <v>108.96480599845525</v>
      </c>
      <c r="L816" s="33">
        <f t="shared" si="231"/>
        <v>2.7907259257197236E-2</v>
      </c>
      <c r="M816" s="33">
        <f t="shared" si="232"/>
        <v>4.6261809441303037E-2</v>
      </c>
      <c r="N816" s="8">
        <v>1</v>
      </c>
      <c r="O816" s="9">
        <v>0</v>
      </c>
      <c r="P816" s="8">
        <v>0</v>
      </c>
      <c r="Q816" s="9">
        <v>1</v>
      </c>
      <c r="R816" s="9">
        <v>0</v>
      </c>
      <c r="S816" s="9">
        <v>0</v>
      </c>
      <c r="T816" s="9">
        <v>0</v>
      </c>
      <c r="U816" s="8">
        <v>11878</v>
      </c>
      <c r="V816" s="9">
        <v>20</v>
      </c>
      <c r="W816" s="9">
        <f t="shared" si="233"/>
        <v>11857</v>
      </c>
      <c r="X816" s="9">
        <f t="shared" si="234"/>
        <v>12</v>
      </c>
      <c r="Y816" s="7">
        <v>18</v>
      </c>
      <c r="Z816" s="7">
        <f t="shared" si="240"/>
        <v>11.5</v>
      </c>
      <c r="AA816" s="9">
        <v>0</v>
      </c>
      <c r="AB816" s="9">
        <v>1</v>
      </c>
      <c r="AC816" s="9">
        <v>0</v>
      </c>
      <c r="AD816" s="9">
        <v>1</v>
      </c>
      <c r="AE816" s="9">
        <v>0</v>
      </c>
      <c r="AF816" s="9">
        <v>0</v>
      </c>
      <c r="AG816" s="8">
        <v>0</v>
      </c>
      <c r="AH816" s="9">
        <v>1</v>
      </c>
      <c r="AI816" s="30">
        <v>0</v>
      </c>
      <c r="AJ816" s="9">
        <v>1</v>
      </c>
      <c r="AK816" s="30">
        <v>0</v>
      </c>
      <c r="AL816" s="21">
        <v>2017</v>
      </c>
      <c r="AM816" s="23">
        <f t="shared" si="235"/>
        <v>7.6093665379542115</v>
      </c>
      <c r="AN816" s="33">
        <v>0</v>
      </c>
      <c r="AO816" s="33">
        <v>0</v>
      </c>
      <c r="AP816" s="33">
        <v>0</v>
      </c>
      <c r="AQ816" s="43">
        <v>1</v>
      </c>
      <c r="AR816" s="42">
        <f t="shared" si="241"/>
        <v>0.48699999999999999</v>
      </c>
      <c r="AS816" s="18">
        <v>0.51300000000000001</v>
      </c>
      <c r="AT816">
        <v>1</v>
      </c>
      <c r="AU816" s="40">
        <f t="shared" si="242"/>
        <v>0</v>
      </c>
      <c r="AV816" t="s">
        <v>104</v>
      </c>
      <c r="AW816" s="40" t="s">
        <v>104</v>
      </c>
      <c r="AX816">
        <v>0</v>
      </c>
      <c r="AY816" s="18">
        <v>1</v>
      </c>
      <c r="AZ816">
        <f t="shared" si="243"/>
        <v>0.23850000000000005</v>
      </c>
      <c r="BA816" s="18">
        <v>0.76149999999999995</v>
      </c>
      <c r="BB816" s="18" t="s">
        <v>527</v>
      </c>
      <c r="BC816">
        <v>0</v>
      </c>
      <c r="BD816">
        <v>0</v>
      </c>
      <c r="BE816">
        <v>0</v>
      </c>
      <c r="BF816">
        <v>1</v>
      </c>
      <c r="BG816">
        <v>0</v>
      </c>
      <c r="BH816" s="18">
        <v>0</v>
      </c>
      <c r="BI816">
        <v>0</v>
      </c>
      <c r="BJ816">
        <v>1</v>
      </c>
      <c r="BK816" s="18">
        <v>0</v>
      </c>
      <c r="BL816">
        <v>80.17</v>
      </c>
      <c r="BM816">
        <v>775.6</v>
      </c>
      <c r="BN816" s="25">
        <v>35.5</v>
      </c>
      <c r="BO816">
        <v>1</v>
      </c>
      <c r="BP816">
        <v>0</v>
      </c>
      <c r="BQ816">
        <v>0</v>
      </c>
      <c r="BR816">
        <v>0</v>
      </c>
      <c r="BS816">
        <v>0</v>
      </c>
      <c r="BT816">
        <v>0</v>
      </c>
      <c r="BU816">
        <v>0</v>
      </c>
      <c r="BV816" s="18">
        <v>0</v>
      </c>
      <c r="BW816">
        <v>0</v>
      </c>
      <c r="BX816">
        <v>0</v>
      </c>
      <c r="BY816">
        <v>0</v>
      </c>
      <c r="BZ816" s="18">
        <v>0</v>
      </c>
      <c r="CA816">
        <v>0</v>
      </c>
      <c r="CB816">
        <v>0</v>
      </c>
      <c r="CC816">
        <v>0</v>
      </c>
      <c r="CD816">
        <v>0</v>
      </c>
      <c r="CE816">
        <v>0</v>
      </c>
      <c r="CF816" s="18">
        <v>0</v>
      </c>
      <c r="CG816">
        <v>1</v>
      </c>
      <c r="CH816">
        <v>1</v>
      </c>
      <c r="CI816">
        <v>0</v>
      </c>
      <c r="CJ816">
        <v>0</v>
      </c>
      <c r="CK816">
        <v>0</v>
      </c>
      <c r="CL816">
        <v>0</v>
      </c>
      <c r="CM816">
        <v>0</v>
      </c>
      <c r="CN816">
        <v>1</v>
      </c>
      <c r="CO816">
        <v>1</v>
      </c>
      <c r="CP816">
        <v>1</v>
      </c>
      <c r="CQ816" s="18">
        <v>1</v>
      </c>
      <c r="CR816">
        <v>4.0000000000000001E-3</v>
      </c>
      <c r="CS816">
        <v>2</v>
      </c>
      <c r="CT816">
        <v>1</v>
      </c>
      <c r="CU816">
        <v>0</v>
      </c>
      <c r="CV816">
        <v>24</v>
      </c>
      <c r="DB816" s="34"/>
    </row>
    <row r="817" spans="1:106" x14ac:dyDescent="0.25">
      <c r="A817">
        <v>816</v>
      </c>
      <c r="B817">
        <v>55</v>
      </c>
      <c r="C817" s="25" t="s">
        <v>510</v>
      </c>
      <c r="D817" s="12">
        <v>8.5611191076401774</v>
      </c>
      <c r="E817" s="14">
        <v>0.62358161029389814</v>
      </c>
      <c r="F817" s="7">
        <v>13.728947368421061</v>
      </c>
      <c r="G817" s="7">
        <f t="shared" si="226"/>
        <v>7.9375374973462796</v>
      </c>
      <c r="H817" s="16">
        <f t="shared" si="227"/>
        <v>9.1847007179340761</v>
      </c>
      <c r="I817" s="11">
        <f t="shared" si="228"/>
        <v>0.12509072587246783</v>
      </c>
      <c r="J817" s="33">
        <f t="shared" si="229"/>
        <v>9.1114578937200961E-3</v>
      </c>
      <c r="K817" s="33">
        <f t="shared" si="230"/>
        <v>109.75192023761988</v>
      </c>
      <c r="L817" s="33">
        <f t="shared" si="231"/>
        <v>0.11597926797874773</v>
      </c>
      <c r="M817" s="33">
        <f t="shared" si="232"/>
        <v>0.13420218376618792</v>
      </c>
      <c r="N817" s="8">
        <v>1</v>
      </c>
      <c r="O817" s="9">
        <v>0</v>
      </c>
      <c r="P817" s="8">
        <v>0</v>
      </c>
      <c r="Q817" s="9">
        <v>1</v>
      </c>
      <c r="R817" s="9">
        <v>0</v>
      </c>
      <c r="S817" s="9">
        <v>0</v>
      </c>
      <c r="T817" s="9">
        <v>0</v>
      </c>
      <c r="U817" s="8">
        <v>11878</v>
      </c>
      <c r="V817" s="9">
        <v>20</v>
      </c>
      <c r="W817" s="9">
        <f t="shared" si="233"/>
        <v>11857</v>
      </c>
      <c r="X817" s="9">
        <f t="shared" si="234"/>
        <v>12</v>
      </c>
      <c r="Y817" s="7">
        <v>18</v>
      </c>
      <c r="Z817" s="7">
        <f t="shared" si="240"/>
        <v>11.5</v>
      </c>
      <c r="AA817" s="9">
        <v>0</v>
      </c>
      <c r="AB817" s="9">
        <v>1</v>
      </c>
      <c r="AC817" s="9">
        <v>0</v>
      </c>
      <c r="AD817" s="9">
        <v>1</v>
      </c>
      <c r="AE817" s="9">
        <v>0</v>
      </c>
      <c r="AF817" s="9">
        <v>0</v>
      </c>
      <c r="AG817" s="8">
        <v>0</v>
      </c>
      <c r="AH817" s="9">
        <v>1</v>
      </c>
      <c r="AI817" s="30">
        <v>0</v>
      </c>
      <c r="AJ817" s="9">
        <v>1</v>
      </c>
      <c r="AK817" s="30">
        <v>0</v>
      </c>
      <c r="AL817" s="21">
        <v>2017</v>
      </c>
      <c r="AM817" s="23">
        <f t="shared" si="235"/>
        <v>7.6093665379542115</v>
      </c>
      <c r="AN817" s="33">
        <v>0</v>
      </c>
      <c r="AO817" s="33">
        <v>0</v>
      </c>
      <c r="AP817" s="33">
        <v>0</v>
      </c>
      <c r="AQ817" s="43">
        <v>1</v>
      </c>
      <c r="AR817" s="42">
        <f t="shared" si="241"/>
        <v>0.48699999999999999</v>
      </c>
      <c r="AS817" s="18">
        <v>0.51300000000000001</v>
      </c>
      <c r="AT817">
        <v>1</v>
      </c>
      <c r="AU817" s="40">
        <f t="shared" si="242"/>
        <v>0</v>
      </c>
      <c r="AV817" t="s">
        <v>104</v>
      </c>
      <c r="AW817" s="40" t="s">
        <v>104</v>
      </c>
      <c r="AX817">
        <v>0</v>
      </c>
      <c r="AY817" s="18">
        <v>1</v>
      </c>
      <c r="AZ817">
        <f t="shared" si="243"/>
        <v>0.23850000000000005</v>
      </c>
      <c r="BA817" s="18">
        <v>0.76149999999999995</v>
      </c>
      <c r="BB817" s="18" t="s">
        <v>527</v>
      </c>
      <c r="BC817">
        <v>0</v>
      </c>
      <c r="BD817">
        <v>0</v>
      </c>
      <c r="BE817">
        <v>0</v>
      </c>
      <c r="BF817">
        <v>1</v>
      </c>
      <c r="BG817">
        <v>0</v>
      </c>
      <c r="BH817" s="18">
        <v>0</v>
      </c>
      <c r="BI817">
        <v>0</v>
      </c>
      <c r="BJ817">
        <v>1</v>
      </c>
      <c r="BK817" s="18">
        <v>0</v>
      </c>
      <c r="BL817">
        <v>80.17</v>
      </c>
      <c r="BM817">
        <v>775.6</v>
      </c>
      <c r="BN817" s="25">
        <v>35.5</v>
      </c>
      <c r="BO817">
        <v>1</v>
      </c>
      <c r="BP817">
        <v>0</v>
      </c>
      <c r="BQ817">
        <v>0</v>
      </c>
      <c r="BR817">
        <v>0</v>
      </c>
      <c r="BS817">
        <v>0</v>
      </c>
      <c r="BT817">
        <v>0</v>
      </c>
      <c r="BU817">
        <v>0</v>
      </c>
      <c r="BV817" s="18">
        <v>0</v>
      </c>
      <c r="BW817">
        <v>0</v>
      </c>
      <c r="BX817">
        <v>0</v>
      </c>
      <c r="BY817">
        <v>0</v>
      </c>
      <c r="BZ817" s="18">
        <v>0</v>
      </c>
      <c r="CA817">
        <v>0</v>
      </c>
      <c r="CB817">
        <v>0</v>
      </c>
      <c r="CC817">
        <v>0</v>
      </c>
      <c r="CD817">
        <v>0</v>
      </c>
      <c r="CE817">
        <v>0</v>
      </c>
      <c r="CF817" s="18">
        <v>0</v>
      </c>
      <c r="CG817">
        <v>1</v>
      </c>
      <c r="CH817">
        <v>1</v>
      </c>
      <c r="CI817">
        <v>0</v>
      </c>
      <c r="CJ817">
        <v>0</v>
      </c>
      <c r="CK817">
        <v>0</v>
      </c>
      <c r="CL817">
        <v>0</v>
      </c>
      <c r="CM817">
        <v>0</v>
      </c>
      <c r="CN817">
        <v>1</v>
      </c>
      <c r="CO817">
        <v>1</v>
      </c>
      <c r="CP817">
        <v>1</v>
      </c>
      <c r="CQ817" s="18">
        <v>1</v>
      </c>
      <c r="CR817">
        <v>4.0000000000000001E-3</v>
      </c>
      <c r="CS817">
        <v>2</v>
      </c>
      <c r="CT817">
        <v>1</v>
      </c>
      <c r="CU817">
        <v>0</v>
      </c>
      <c r="CV817">
        <v>24</v>
      </c>
      <c r="DB817" s="34"/>
    </row>
    <row r="818" spans="1:106" x14ac:dyDescent="0.25">
      <c r="A818">
        <v>817</v>
      </c>
      <c r="B818">
        <v>55</v>
      </c>
      <c r="C818" s="25" t="s">
        <v>510</v>
      </c>
      <c r="D818" s="12">
        <v>15.46138259477722</v>
      </c>
      <c r="E818" s="14">
        <v>1.149435610362775</v>
      </c>
      <c r="F818" s="7">
        <v>13.45128205128205</v>
      </c>
      <c r="G818" s="7">
        <f t="shared" si="226"/>
        <v>14.311946984414444</v>
      </c>
      <c r="H818" s="16">
        <f t="shared" si="227"/>
        <v>16.610818205139996</v>
      </c>
      <c r="I818" s="11">
        <f t="shared" si="228"/>
        <v>0.12259920284686227</v>
      </c>
      <c r="J818" s="33">
        <f t="shared" si="229"/>
        <v>9.1143135932665442E-3</v>
      </c>
      <c r="K818" s="33">
        <f t="shared" si="230"/>
        <v>109.71753273211689</v>
      </c>
      <c r="L818" s="33">
        <f t="shared" si="231"/>
        <v>0.11348488925359572</v>
      </c>
      <c r="M818" s="33">
        <f t="shared" si="232"/>
        <v>0.1317135164401288</v>
      </c>
      <c r="N818" s="8">
        <v>1</v>
      </c>
      <c r="O818" s="9">
        <v>0</v>
      </c>
      <c r="P818" s="8">
        <v>0</v>
      </c>
      <c r="Q818" s="9">
        <v>1</v>
      </c>
      <c r="R818" s="9">
        <v>0</v>
      </c>
      <c r="S818" s="9">
        <v>0</v>
      </c>
      <c r="T818" s="9">
        <v>0</v>
      </c>
      <c r="U818" s="8">
        <v>11878</v>
      </c>
      <c r="V818" s="9">
        <v>20</v>
      </c>
      <c r="W818" s="9">
        <f t="shared" si="233"/>
        <v>11857</v>
      </c>
      <c r="X818" s="9">
        <f t="shared" si="234"/>
        <v>12</v>
      </c>
      <c r="Y818" s="7">
        <v>22</v>
      </c>
      <c r="Z818" s="7">
        <f t="shared" si="240"/>
        <v>7.5</v>
      </c>
      <c r="AA818" s="9">
        <v>0</v>
      </c>
      <c r="AB818" s="9">
        <v>1</v>
      </c>
      <c r="AC818" s="9">
        <v>0</v>
      </c>
      <c r="AD818" s="9">
        <v>1</v>
      </c>
      <c r="AE818" s="9">
        <v>0</v>
      </c>
      <c r="AF818" s="9">
        <v>0</v>
      </c>
      <c r="AG818" s="8">
        <v>0</v>
      </c>
      <c r="AH818" s="9">
        <v>1</v>
      </c>
      <c r="AI818" s="30">
        <v>0</v>
      </c>
      <c r="AJ818" s="9">
        <v>1</v>
      </c>
      <c r="AK818" s="30">
        <v>0</v>
      </c>
      <c r="AL818" s="21">
        <v>2017</v>
      </c>
      <c r="AM818" s="23">
        <f t="shared" si="235"/>
        <v>7.6093665379542115</v>
      </c>
      <c r="AN818" s="33">
        <v>0</v>
      </c>
      <c r="AO818" s="33">
        <v>0</v>
      </c>
      <c r="AP818" s="33">
        <v>0</v>
      </c>
      <c r="AQ818" s="43">
        <v>1</v>
      </c>
      <c r="AR818" s="42">
        <f t="shared" si="241"/>
        <v>0.48699999999999999</v>
      </c>
      <c r="AS818" s="18">
        <v>0.51300000000000001</v>
      </c>
      <c r="AT818">
        <v>1</v>
      </c>
      <c r="AU818" s="40">
        <f t="shared" si="242"/>
        <v>0</v>
      </c>
      <c r="AV818" t="s">
        <v>104</v>
      </c>
      <c r="AW818" s="40" t="s">
        <v>104</v>
      </c>
      <c r="AX818">
        <v>0</v>
      </c>
      <c r="AY818" s="18">
        <v>1</v>
      </c>
      <c r="AZ818">
        <f t="shared" si="243"/>
        <v>0.23850000000000005</v>
      </c>
      <c r="BA818" s="18">
        <v>0.76149999999999995</v>
      </c>
      <c r="BB818" s="18" t="s">
        <v>527</v>
      </c>
      <c r="BC818">
        <v>0</v>
      </c>
      <c r="BD818">
        <v>0</v>
      </c>
      <c r="BE818">
        <v>0</v>
      </c>
      <c r="BF818">
        <v>1</v>
      </c>
      <c r="BG818">
        <v>0</v>
      </c>
      <c r="BH818" s="18">
        <v>0</v>
      </c>
      <c r="BI818">
        <v>0</v>
      </c>
      <c r="BJ818">
        <v>1</v>
      </c>
      <c r="BK818" s="18">
        <v>0</v>
      </c>
      <c r="BL818">
        <v>80.17</v>
      </c>
      <c r="BM818">
        <v>775.6</v>
      </c>
      <c r="BN818" s="25">
        <v>35.5</v>
      </c>
      <c r="BO818">
        <v>1</v>
      </c>
      <c r="BP818">
        <v>0</v>
      </c>
      <c r="BQ818">
        <v>0</v>
      </c>
      <c r="BR818">
        <v>0</v>
      </c>
      <c r="BS818">
        <v>0</v>
      </c>
      <c r="BT818">
        <v>0</v>
      </c>
      <c r="BU818">
        <v>0</v>
      </c>
      <c r="BV818" s="18">
        <v>0</v>
      </c>
      <c r="BW818">
        <v>0</v>
      </c>
      <c r="BX818">
        <v>0</v>
      </c>
      <c r="BY818">
        <v>0</v>
      </c>
      <c r="BZ818" s="18">
        <v>0</v>
      </c>
      <c r="CA818">
        <v>0</v>
      </c>
      <c r="CB818">
        <v>0</v>
      </c>
      <c r="CC818">
        <v>0</v>
      </c>
      <c r="CD818">
        <v>0</v>
      </c>
      <c r="CE818">
        <v>0</v>
      </c>
      <c r="CF818" s="18">
        <v>0</v>
      </c>
      <c r="CG818">
        <v>1</v>
      </c>
      <c r="CH818">
        <v>1</v>
      </c>
      <c r="CI818">
        <v>0</v>
      </c>
      <c r="CJ818">
        <v>0</v>
      </c>
      <c r="CK818">
        <v>0</v>
      </c>
      <c r="CL818">
        <v>0</v>
      </c>
      <c r="CM818">
        <v>0</v>
      </c>
      <c r="CN818">
        <v>1</v>
      </c>
      <c r="CO818">
        <v>1</v>
      </c>
      <c r="CP818">
        <v>1</v>
      </c>
      <c r="CQ818" s="18">
        <v>1</v>
      </c>
      <c r="CR818">
        <v>4.0000000000000001E-3</v>
      </c>
      <c r="CS818">
        <v>2</v>
      </c>
      <c r="CT818">
        <v>1</v>
      </c>
      <c r="CU818">
        <v>0</v>
      </c>
      <c r="CV818">
        <v>24</v>
      </c>
      <c r="DB818" s="34"/>
    </row>
    <row r="819" spans="1:106" x14ac:dyDescent="0.25">
      <c r="A819">
        <v>818</v>
      </c>
      <c r="B819">
        <v>55</v>
      </c>
      <c r="C819" s="25" t="s">
        <v>510</v>
      </c>
      <c r="D819" s="12">
        <v>1.698202107603541</v>
      </c>
      <c r="E819" s="14">
        <v>2.948973719790581</v>
      </c>
      <c r="F819" s="7">
        <v>0.57586206896551717</v>
      </c>
      <c r="G819" s="7">
        <f t="shared" si="226"/>
        <v>-1.25077161218704</v>
      </c>
      <c r="H819" s="16">
        <f t="shared" si="227"/>
        <v>4.6471758273941219</v>
      </c>
      <c r="I819" s="11">
        <f t="shared" si="228"/>
        <v>5.2884084466817312E-3</v>
      </c>
      <c r="J819" s="33">
        <f t="shared" si="229"/>
        <v>9.1834637696868397E-3</v>
      </c>
      <c r="K819" s="33">
        <f t="shared" si="230"/>
        <v>108.89137531100647</v>
      </c>
      <c r="L819" s="33">
        <f t="shared" si="231"/>
        <v>-3.8950553230051085E-3</v>
      </c>
      <c r="M819" s="33">
        <f t="shared" si="232"/>
        <v>1.4471872216368571E-2</v>
      </c>
      <c r="N819" s="8">
        <v>1</v>
      </c>
      <c r="O819" s="9">
        <v>0</v>
      </c>
      <c r="P819" s="8">
        <v>0</v>
      </c>
      <c r="Q819" s="9">
        <v>1</v>
      </c>
      <c r="R819" s="9">
        <v>0</v>
      </c>
      <c r="S819" s="9">
        <v>0</v>
      </c>
      <c r="T819" s="9">
        <v>0</v>
      </c>
      <c r="U819" s="8">
        <v>11878</v>
      </c>
      <c r="V819" s="9">
        <v>20</v>
      </c>
      <c r="W819" s="9">
        <f t="shared" si="233"/>
        <v>11857</v>
      </c>
      <c r="X819" s="9">
        <f t="shared" si="234"/>
        <v>12</v>
      </c>
      <c r="Y819" s="7">
        <v>12</v>
      </c>
      <c r="Z819" s="7">
        <f t="shared" si="240"/>
        <v>17.5</v>
      </c>
      <c r="AA819" s="9">
        <v>0</v>
      </c>
      <c r="AB819" s="9">
        <v>1</v>
      </c>
      <c r="AC819" s="9">
        <v>0</v>
      </c>
      <c r="AD819" s="9">
        <v>1</v>
      </c>
      <c r="AE819" s="9">
        <v>0</v>
      </c>
      <c r="AF819" s="9">
        <v>0</v>
      </c>
      <c r="AG819" s="8">
        <v>0</v>
      </c>
      <c r="AH819" s="9">
        <v>1</v>
      </c>
      <c r="AI819" s="30">
        <v>0</v>
      </c>
      <c r="AJ819" s="9">
        <v>1</v>
      </c>
      <c r="AK819" s="30">
        <v>0</v>
      </c>
      <c r="AL819" s="21">
        <v>2017</v>
      </c>
      <c r="AM819" s="23">
        <f t="shared" si="235"/>
        <v>7.6093665379542115</v>
      </c>
      <c r="AN819" s="33">
        <v>0</v>
      </c>
      <c r="AO819" s="33">
        <v>0</v>
      </c>
      <c r="AP819" s="33">
        <v>1</v>
      </c>
      <c r="AQ819" s="43">
        <v>0</v>
      </c>
      <c r="AR819" s="42">
        <f t="shared" si="241"/>
        <v>0.48699999999999999</v>
      </c>
      <c r="AS819" s="18">
        <v>0.51300000000000001</v>
      </c>
      <c r="AT819">
        <v>0</v>
      </c>
      <c r="AU819" s="40">
        <f t="shared" si="242"/>
        <v>1</v>
      </c>
      <c r="AV819" t="s">
        <v>104</v>
      </c>
      <c r="AW819" s="40" t="s">
        <v>104</v>
      </c>
      <c r="AX819">
        <v>0</v>
      </c>
      <c r="AY819" s="18">
        <v>1</v>
      </c>
      <c r="AZ819">
        <f t="shared" si="243"/>
        <v>0.23850000000000005</v>
      </c>
      <c r="BA819" s="18">
        <v>0.76149999999999995</v>
      </c>
      <c r="BB819" s="18" t="s">
        <v>527</v>
      </c>
      <c r="BC819">
        <v>0</v>
      </c>
      <c r="BD819">
        <v>0</v>
      </c>
      <c r="BE819">
        <v>0</v>
      </c>
      <c r="BF819">
        <v>1</v>
      </c>
      <c r="BG819">
        <v>0</v>
      </c>
      <c r="BH819" s="18">
        <v>0</v>
      </c>
      <c r="BI819">
        <v>0</v>
      </c>
      <c r="BJ819">
        <v>1</v>
      </c>
      <c r="BK819" s="18">
        <v>0</v>
      </c>
      <c r="BL819">
        <v>80.17</v>
      </c>
      <c r="BM819">
        <v>775.6</v>
      </c>
      <c r="BN819" s="25">
        <v>35.5</v>
      </c>
      <c r="BO819">
        <v>1</v>
      </c>
      <c r="BP819">
        <v>0</v>
      </c>
      <c r="BQ819">
        <v>0</v>
      </c>
      <c r="BR819">
        <v>0</v>
      </c>
      <c r="BS819">
        <v>0</v>
      </c>
      <c r="BT819">
        <v>0</v>
      </c>
      <c r="BU819">
        <v>0</v>
      </c>
      <c r="BV819" s="18">
        <v>0</v>
      </c>
      <c r="BW819">
        <v>0</v>
      </c>
      <c r="BX819">
        <v>0</v>
      </c>
      <c r="BY819">
        <v>0</v>
      </c>
      <c r="BZ819" s="18">
        <v>0</v>
      </c>
      <c r="CA819">
        <v>0</v>
      </c>
      <c r="CB819">
        <v>0</v>
      </c>
      <c r="CC819">
        <v>0</v>
      </c>
      <c r="CD819">
        <v>0</v>
      </c>
      <c r="CE819">
        <v>0</v>
      </c>
      <c r="CF819" s="18">
        <v>0</v>
      </c>
      <c r="CG819">
        <v>1</v>
      </c>
      <c r="CH819">
        <v>1</v>
      </c>
      <c r="CI819">
        <v>0</v>
      </c>
      <c r="CJ819">
        <v>0</v>
      </c>
      <c r="CK819">
        <v>0</v>
      </c>
      <c r="CL819">
        <v>0</v>
      </c>
      <c r="CM819">
        <v>0</v>
      </c>
      <c r="CN819">
        <v>1</v>
      </c>
      <c r="CO819">
        <v>1</v>
      </c>
      <c r="CP819">
        <v>1</v>
      </c>
      <c r="CQ819" s="18">
        <v>1</v>
      </c>
      <c r="CR819">
        <v>4.0000000000000001E-3</v>
      </c>
      <c r="CS819">
        <v>2</v>
      </c>
      <c r="CT819">
        <v>1</v>
      </c>
      <c r="CU819">
        <v>0</v>
      </c>
      <c r="CV819">
        <v>24</v>
      </c>
      <c r="DB819" s="34"/>
    </row>
    <row r="820" spans="1:106" x14ac:dyDescent="0.25">
      <c r="A820">
        <v>819</v>
      </c>
      <c r="B820">
        <v>55</v>
      </c>
      <c r="C820" s="25" t="s">
        <v>510</v>
      </c>
      <c r="D820" s="12">
        <v>11.755057118863601</v>
      </c>
      <c r="E820" s="14">
        <v>1.8605565237433299</v>
      </c>
      <c r="F820" s="7">
        <v>6.3180327868852464</v>
      </c>
      <c r="G820" s="7">
        <f t="shared" si="226"/>
        <v>9.8945005951202702</v>
      </c>
      <c r="H820" s="16">
        <f t="shared" si="227"/>
        <v>13.615613642606931</v>
      </c>
      <c r="I820" s="11">
        <f t="shared" si="228"/>
        <v>5.7924814228773547E-2</v>
      </c>
      <c r="J820" s="33">
        <f t="shared" si="229"/>
        <v>9.1681724648551774E-3</v>
      </c>
      <c r="K820" s="33">
        <f t="shared" si="230"/>
        <v>109.07299179125948</v>
      </c>
      <c r="L820" s="33">
        <f t="shared" si="231"/>
        <v>4.8756641763918369E-2</v>
      </c>
      <c r="M820" s="33">
        <f t="shared" si="232"/>
        <v>6.7092986693628731E-2</v>
      </c>
      <c r="N820" s="8">
        <v>1</v>
      </c>
      <c r="O820" s="9">
        <v>0</v>
      </c>
      <c r="P820" s="8">
        <v>0</v>
      </c>
      <c r="Q820" s="9">
        <v>1</v>
      </c>
      <c r="R820" s="9">
        <v>0</v>
      </c>
      <c r="S820" s="9">
        <v>0</v>
      </c>
      <c r="T820" s="9">
        <v>0</v>
      </c>
      <c r="U820" s="8">
        <v>11878</v>
      </c>
      <c r="V820" s="9">
        <v>20</v>
      </c>
      <c r="W820" s="9">
        <f t="shared" si="233"/>
        <v>11857</v>
      </c>
      <c r="X820" s="9">
        <f t="shared" si="234"/>
        <v>12</v>
      </c>
      <c r="Y820" s="7">
        <v>14</v>
      </c>
      <c r="Z820" s="7">
        <f t="shared" si="240"/>
        <v>15.5</v>
      </c>
      <c r="AA820" s="9">
        <v>0</v>
      </c>
      <c r="AB820" s="9">
        <v>1</v>
      </c>
      <c r="AC820" s="9">
        <v>0</v>
      </c>
      <c r="AD820" s="9">
        <v>1</v>
      </c>
      <c r="AE820" s="9">
        <v>0</v>
      </c>
      <c r="AF820" s="9">
        <v>0</v>
      </c>
      <c r="AG820" s="8">
        <v>0</v>
      </c>
      <c r="AH820" s="9">
        <v>1</v>
      </c>
      <c r="AI820" s="30">
        <v>0</v>
      </c>
      <c r="AJ820" s="9">
        <v>1</v>
      </c>
      <c r="AK820" s="30">
        <v>0</v>
      </c>
      <c r="AL820" s="21">
        <v>2017</v>
      </c>
      <c r="AM820" s="23">
        <f t="shared" si="235"/>
        <v>7.6093665379542115</v>
      </c>
      <c r="AN820" s="33">
        <v>0</v>
      </c>
      <c r="AO820" s="33">
        <v>0</v>
      </c>
      <c r="AP820" s="33">
        <v>1</v>
      </c>
      <c r="AQ820" s="43">
        <v>0</v>
      </c>
      <c r="AR820" s="42">
        <f t="shared" si="241"/>
        <v>0.48699999999999999</v>
      </c>
      <c r="AS820" s="18">
        <v>0.51300000000000001</v>
      </c>
      <c r="AT820">
        <v>0</v>
      </c>
      <c r="AU820" s="40">
        <f t="shared" si="242"/>
        <v>1</v>
      </c>
      <c r="AV820" t="s">
        <v>104</v>
      </c>
      <c r="AW820" s="40" t="s">
        <v>104</v>
      </c>
      <c r="AX820">
        <v>0</v>
      </c>
      <c r="AY820" s="18">
        <v>1</v>
      </c>
      <c r="AZ820">
        <f t="shared" si="243"/>
        <v>0.23850000000000005</v>
      </c>
      <c r="BA820" s="18">
        <v>0.76149999999999995</v>
      </c>
      <c r="BB820" s="18" t="s">
        <v>527</v>
      </c>
      <c r="BC820">
        <v>0</v>
      </c>
      <c r="BD820">
        <v>0</v>
      </c>
      <c r="BE820">
        <v>0</v>
      </c>
      <c r="BF820">
        <v>1</v>
      </c>
      <c r="BG820">
        <v>0</v>
      </c>
      <c r="BH820" s="18">
        <v>0</v>
      </c>
      <c r="BI820">
        <v>0</v>
      </c>
      <c r="BJ820">
        <v>1</v>
      </c>
      <c r="BK820" s="18">
        <v>0</v>
      </c>
      <c r="BL820">
        <v>80.17</v>
      </c>
      <c r="BM820">
        <v>775.6</v>
      </c>
      <c r="BN820" s="25">
        <v>35.5</v>
      </c>
      <c r="BO820">
        <v>1</v>
      </c>
      <c r="BP820">
        <v>0</v>
      </c>
      <c r="BQ820">
        <v>0</v>
      </c>
      <c r="BR820">
        <v>0</v>
      </c>
      <c r="BS820">
        <v>0</v>
      </c>
      <c r="BT820">
        <v>0</v>
      </c>
      <c r="BU820">
        <v>0</v>
      </c>
      <c r="BV820" s="18">
        <v>0</v>
      </c>
      <c r="BW820">
        <v>0</v>
      </c>
      <c r="BX820">
        <v>0</v>
      </c>
      <c r="BY820">
        <v>0</v>
      </c>
      <c r="BZ820" s="18">
        <v>0</v>
      </c>
      <c r="CA820">
        <v>0</v>
      </c>
      <c r="CB820">
        <v>0</v>
      </c>
      <c r="CC820">
        <v>0</v>
      </c>
      <c r="CD820">
        <v>0</v>
      </c>
      <c r="CE820">
        <v>0</v>
      </c>
      <c r="CF820" s="18">
        <v>0</v>
      </c>
      <c r="CG820">
        <v>1</v>
      </c>
      <c r="CH820">
        <v>1</v>
      </c>
      <c r="CI820">
        <v>0</v>
      </c>
      <c r="CJ820">
        <v>0</v>
      </c>
      <c r="CK820">
        <v>0</v>
      </c>
      <c r="CL820">
        <v>0</v>
      </c>
      <c r="CM820">
        <v>0</v>
      </c>
      <c r="CN820">
        <v>1</v>
      </c>
      <c r="CO820">
        <v>1</v>
      </c>
      <c r="CP820">
        <v>1</v>
      </c>
      <c r="CQ820" s="18">
        <v>1</v>
      </c>
      <c r="CR820">
        <v>4.0000000000000001E-3</v>
      </c>
      <c r="CS820">
        <v>2</v>
      </c>
      <c r="CT820">
        <v>1</v>
      </c>
      <c r="CU820">
        <v>0</v>
      </c>
      <c r="CV820">
        <v>24</v>
      </c>
      <c r="DB820" s="34"/>
    </row>
    <row r="821" spans="1:106" x14ac:dyDescent="0.25">
      <c r="A821">
        <v>820</v>
      </c>
      <c r="B821">
        <v>55</v>
      </c>
      <c r="C821" s="25" t="s">
        <v>510</v>
      </c>
      <c r="D821" s="12">
        <v>11.013349554110601</v>
      </c>
      <c r="E821" s="14">
        <v>1.237455006079843</v>
      </c>
      <c r="F821" s="7">
        <v>8.8999999999999986</v>
      </c>
      <c r="G821" s="7">
        <f t="shared" si="226"/>
        <v>9.7758945480307577</v>
      </c>
      <c r="H821" s="16">
        <f t="shared" si="227"/>
        <v>12.250804560190444</v>
      </c>
      <c r="I821" s="11">
        <f t="shared" si="228"/>
        <v>8.1462321271508209E-2</v>
      </c>
      <c r="J821" s="33">
        <f t="shared" si="229"/>
        <v>9.15306980578744E-3</v>
      </c>
      <c r="K821" s="33">
        <f t="shared" si="230"/>
        <v>109.25296334653812</v>
      </c>
      <c r="L821" s="33">
        <f t="shared" si="231"/>
        <v>7.2309251465720772E-2</v>
      </c>
      <c r="M821" s="33">
        <f t="shared" si="232"/>
        <v>9.0615391077295646E-2</v>
      </c>
      <c r="N821" s="8">
        <v>1</v>
      </c>
      <c r="O821" s="9">
        <v>0</v>
      </c>
      <c r="P821" s="8">
        <v>0</v>
      </c>
      <c r="Q821" s="9">
        <v>1</v>
      </c>
      <c r="R821" s="9">
        <v>0</v>
      </c>
      <c r="S821" s="9">
        <v>0</v>
      </c>
      <c r="T821" s="9">
        <v>0</v>
      </c>
      <c r="U821" s="8">
        <v>11878</v>
      </c>
      <c r="V821" s="9">
        <v>20</v>
      </c>
      <c r="W821" s="9">
        <f t="shared" si="233"/>
        <v>11857</v>
      </c>
      <c r="X821" s="9">
        <f t="shared" si="234"/>
        <v>12</v>
      </c>
      <c r="Y821" s="7">
        <v>16</v>
      </c>
      <c r="Z821" s="7">
        <f t="shared" si="240"/>
        <v>13.5</v>
      </c>
      <c r="AA821" s="9">
        <v>0</v>
      </c>
      <c r="AB821" s="9">
        <v>1</v>
      </c>
      <c r="AC821" s="9">
        <v>0</v>
      </c>
      <c r="AD821" s="9">
        <v>1</v>
      </c>
      <c r="AE821" s="9">
        <v>0</v>
      </c>
      <c r="AF821" s="9">
        <v>0</v>
      </c>
      <c r="AG821" s="8">
        <v>0</v>
      </c>
      <c r="AH821" s="9">
        <v>1</v>
      </c>
      <c r="AI821" s="30">
        <v>0</v>
      </c>
      <c r="AJ821" s="9">
        <v>1</v>
      </c>
      <c r="AK821" s="30">
        <v>0</v>
      </c>
      <c r="AL821" s="21">
        <v>2017</v>
      </c>
      <c r="AM821" s="23">
        <f t="shared" si="235"/>
        <v>7.6093665379542115</v>
      </c>
      <c r="AN821" s="33">
        <v>0</v>
      </c>
      <c r="AO821" s="33">
        <v>0</v>
      </c>
      <c r="AP821" s="33">
        <v>0</v>
      </c>
      <c r="AQ821" s="43">
        <v>1</v>
      </c>
      <c r="AR821" s="42">
        <f t="shared" si="241"/>
        <v>0.48699999999999999</v>
      </c>
      <c r="AS821" s="18">
        <v>0.51300000000000001</v>
      </c>
      <c r="AT821">
        <v>0</v>
      </c>
      <c r="AU821" s="40">
        <f t="shared" si="242"/>
        <v>1</v>
      </c>
      <c r="AV821" t="s">
        <v>104</v>
      </c>
      <c r="AW821" s="40" t="s">
        <v>104</v>
      </c>
      <c r="AX821">
        <v>0</v>
      </c>
      <c r="AY821" s="18">
        <v>1</v>
      </c>
      <c r="AZ821">
        <f t="shared" si="243"/>
        <v>0.23850000000000005</v>
      </c>
      <c r="BA821" s="18">
        <v>0.76149999999999995</v>
      </c>
      <c r="BB821" s="18" t="s">
        <v>527</v>
      </c>
      <c r="BC821">
        <v>0</v>
      </c>
      <c r="BD821">
        <v>0</v>
      </c>
      <c r="BE821">
        <v>0</v>
      </c>
      <c r="BF821">
        <v>1</v>
      </c>
      <c r="BG821">
        <v>0</v>
      </c>
      <c r="BH821" s="18">
        <v>0</v>
      </c>
      <c r="BI821">
        <v>0</v>
      </c>
      <c r="BJ821">
        <v>1</v>
      </c>
      <c r="BK821" s="18">
        <v>0</v>
      </c>
      <c r="BL821">
        <v>80.17</v>
      </c>
      <c r="BM821">
        <v>775.6</v>
      </c>
      <c r="BN821" s="25">
        <v>35.5</v>
      </c>
      <c r="BO821">
        <v>1</v>
      </c>
      <c r="BP821">
        <v>0</v>
      </c>
      <c r="BQ821">
        <v>0</v>
      </c>
      <c r="BR821">
        <v>0</v>
      </c>
      <c r="BS821">
        <v>0</v>
      </c>
      <c r="BT821">
        <v>0</v>
      </c>
      <c r="BU821">
        <v>0</v>
      </c>
      <c r="BV821" s="18">
        <v>0</v>
      </c>
      <c r="BW821">
        <v>0</v>
      </c>
      <c r="BX821">
        <v>0</v>
      </c>
      <c r="BY821">
        <v>0</v>
      </c>
      <c r="BZ821" s="18">
        <v>0</v>
      </c>
      <c r="CA821">
        <v>0</v>
      </c>
      <c r="CB821">
        <v>0</v>
      </c>
      <c r="CC821">
        <v>0</v>
      </c>
      <c r="CD821">
        <v>0</v>
      </c>
      <c r="CE821">
        <v>0</v>
      </c>
      <c r="CF821" s="18">
        <v>0</v>
      </c>
      <c r="CG821">
        <v>1</v>
      </c>
      <c r="CH821">
        <v>1</v>
      </c>
      <c r="CI821">
        <v>0</v>
      </c>
      <c r="CJ821">
        <v>0</v>
      </c>
      <c r="CK821">
        <v>0</v>
      </c>
      <c r="CL821">
        <v>0</v>
      </c>
      <c r="CM821">
        <v>0</v>
      </c>
      <c r="CN821">
        <v>1</v>
      </c>
      <c r="CO821">
        <v>1</v>
      </c>
      <c r="CP821">
        <v>1</v>
      </c>
      <c r="CQ821" s="18">
        <v>1</v>
      </c>
      <c r="CR821">
        <v>4.0000000000000001E-3</v>
      </c>
      <c r="CS821">
        <v>2</v>
      </c>
      <c r="CT821">
        <v>1</v>
      </c>
      <c r="CU821">
        <v>0</v>
      </c>
      <c r="CV821">
        <v>24</v>
      </c>
      <c r="DB821" s="34"/>
    </row>
    <row r="822" spans="1:106" x14ac:dyDescent="0.25">
      <c r="A822">
        <v>821</v>
      </c>
      <c r="B822">
        <v>55</v>
      </c>
      <c r="C822" s="25" t="s">
        <v>510</v>
      </c>
      <c r="D822" s="12">
        <v>13.86213352434218</v>
      </c>
      <c r="E822" s="14">
        <v>2.0248895124005601</v>
      </c>
      <c r="F822" s="7">
        <v>6.8458715596330277</v>
      </c>
      <c r="G822" s="7">
        <f t="shared" si="226"/>
        <v>11.837244011941621</v>
      </c>
      <c r="H822" s="16">
        <f t="shared" si="227"/>
        <v>15.88702303674274</v>
      </c>
      <c r="I822" s="11">
        <f t="shared" si="228"/>
        <v>6.2745810395942639E-2</v>
      </c>
      <c r="J822" s="33">
        <f t="shared" si="229"/>
        <v>9.1654962920902534E-3</v>
      </c>
      <c r="K822" s="33">
        <f t="shared" si="230"/>
        <v>109.10483929418984</v>
      </c>
      <c r="L822" s="33">
        <f t="shared" si="231"/>
        <v>5.3580314103852389E-2</v>
      </c>
      <c r="M822" s="33">
        <f t="shared" si="232"/>
        <v>7.1911306688032889E-2</v>
      </c>
      <c r="N822" s="8">
        <v>1</v>
      </c>
      <c r="O822" s="9">
        <v>0</v>
      </c>
      <c r="P822" s="8">
        <v>0</v>
      </c>
      <c r="Q822" s="9">
        <v>1</v>
      </c>
      <c r="R822" s="9">
        <v>0</v>
      </c>
      <c r="S822" s="9">
        <v>0</v>
      </c>
      <c r="T822" s="9">
        <v>0</v>
      </c>
      <c r="U822" s="8">
        <v>11878</v>
      </c>
      <c r="V822" s="9">
        <v>20</v>
      </c>
      <c r="W822" s="9">
        <f t="shared" si="233"/>
        <v>11857</v>
      </c>
      <c r="X822" s="9">
        <f t="shared" si="234"/>
        <v>12</v>
      </c>
      <c r="Y822" s="7">
        <v>18</v>
      </c>
      <c r="Z822" s="7">
        <f t="shared" si="240"/>
        <v>11.5</v>
      </c>
      <c r="AA822" s="9">
        <v>0</v>
      </c>
      <c r="AB822" s="9">
        <v>1</v>
      </c>
      <c r="AC822" s="9">
        <v>0</v>
      </c>
      <c r="AD822" s="9">
        <v>1</v>
      </c>
      <c r="AE822" s="9">
        <v>0</v>
      </c>
      <c r="AF822" s="9">
        <v>0</v>
      </c>
      <c r="AG822" s="8">
        <v>0</v>
      </c>
      <c r="AH822" s="9">
        <v>1</v>
      </c>
      <c r="AI822" s="30">
        <v>0</v>
      </c>
      <c r="AJ822" s="9">
        <v>1</v>
      </c>
      <c r="AK822" s="30">
        <v>0</v>
      </c>
      <c r="AL822" s="21">
        <v>2017</v>
      </c>
      <c r="AM822" s="23">
        <f t="shared" si="235"/>
        <v>7.6093665379542115</v>
      </c>
      <c r="AN822" s="33">
        <v>0</v>
      </c>
      <c r="AO822" s="33">
        <v>0</v>
      </c>
      <c r="AP822" s="33">
        <v>0</v>
      </c>
      <c r="AQ822" s="43">
        <v>1</v>
      </c>
      <c r="AR822" s="42">
        <f t="shared" si="241"/>
        <v>0.48699999999999999</v>
      </c>
      <c r="AS822" s="18">
        <v>0.51300000000000001</v>
      </c>
      <c r="AT822">
        <v>0</v>
      </c>
      <c r="AU822" s="40">
        <f t="shared" si="242"/>
        <v>1</v>
      </c>
      <c r="AV822" t="s">
        <v>104</v>
      </c>
      <c r="AW822" s="40" t="s">
        <v>104</v>
      </c>
      <c r="AX822">
        <v>0</v>
      </c>
      <c r="AY822" s="18">
        <v>1</v>
      </c>
      <c r="AZ822">
        <f t="shared" si="243"/>
        <v>0.23850000000000005</v>
      </c>
      <c r="BA822" s="18">
        <v>0.76149999999999995</v>
      </c>
      <c r="BB822" s="18" t="s">
        <v>527</v>
      </c>
      <c r="BC822">
        <v>0</v>
      </c>
      <c r="BD822">
        <v>0</v>
      </c>
      <c r="BE822">
        <v>0</v>
      </c>
      <c r="BF822">
        <v>1</v>
      </c>
      <c r="BG822">
        <v>0</v>
      </c>
      <c r="BH822" s="18">
        <v>0</v>
      </c>
      <c r="BI822">
        <v>0</v>
      </c>
      <c r="BJ822">
        <v>1</v>
      </c>
      <c r="BK822" s="18">
        <v>0</v>
      </c>
      <c r="BL822">
        <v>80.17</v>
      </c>
      <c r="BM822">
        <v>775.6</v>
      </c>
      <c r="BN822" s="25">
        <v>35.5</v>
      </c>
      <c r="BO822">
        <v>1</v>
      </c>
      <c r="BP822">
        <v>0</v>
      </c>
      <c r="BQ822">
        <v>0</v>
      </c>
      <c r="BR822">
        <v>0</v>
      </c>
      <c r="BS822">
        <v>0</v>
      </c>
      <c r="BT822">
        <v>0</v>
      </c>
      <c r="BU822">
        <v>0</v>
      </c>
      <c r="BV822" s="18">
        <v>0</v>
      </c>
      <c r="BW822">
        <v>0</v>
      </c>
      <c r="BX822">
        <v>0</v>
      </c>
      <c r="BY822">
        <v>0</v>
      </c>
      <c r="BZ822" s="18">
        <v>0</v>
      </c>
      <c r="CA822">
        <v>0</v>
      </c>
      <c r="CB822">
        <v>0</v>
      </c>
      <c r="CC822">
        <v>0</v>
      </c>
      <c r="CD822">
        <v>0</v>
      </c>
      <c r="CE822">
        <v>0</v>
      </c>
      <c r="CF822" s="18">
        <v>0</v>
      </c>
      <c r="CG822">
        <v>1</v>
      </c>
      <c r="CH822">
        <v>1</v>
      </c>
      <c r="CI822">
        <v>0</v>
      </c>
      <c r="CJ822">
        <v>0</v>
      </c>
      <c r="CK822">
        <v>0</v>
      </c>
      <c r="CL822">
        <v>0</v>
      </c>
      <c r="CM822">
        <v>0</v>
      </c>
      <c r="CN822">
        <v>1</v>
      </c>
      <c r="CO822">
        <v>1</v>
      </c>
      <c r="CP822">
        <v>1</v>
      </c>
      <c r="CQ822" s="18">
        <v>1</v>
      </c>
      <c r="CR822">
        <v>4.0000000000000001E-3</v>
      </c>
      <c r="CS822">
        <v>2</v>
      </c>
      <c r="CT822">
        <v>1</v>
      </c>
      <c r="CU822">
        <v>0</v>
      </c>
      <c r="CV822">
        <v>24</v>
      </c>
      <c r="DB822" s="34"/>
    </row>
    <row r="823" spans="1:106" x14ac:dyDescent="0.25">
      <c r="A823">
        <v>822</v>
      </c>
      <c r="B823">
        <v>55</v>
      </c>
      <c r="C823" s="25" t="s">
        <v>510</v>
      </c>
      <c r="D823" s="12">
        <v>16.977540792158969</v>
      </c>
      <c r="E823" s="14">
        <v>21.48760204234318</v>
      </c>
      <c r="F823" s="7">
        <v>0.79010867563087117</v>
      </c>
      <c r="G823" s="7">
        <f t="shared" si="226"/>
        <v>-4.5100612501842114</v>
      </c>
      <c r="H823" s="16">
        <f t="shared" si="227"/>
        <v>38.465142834502146</v>
      </c>
      <c r="I823" s="11">
        <f t="shared" si="228"/>
        <v>7.25584485540922E-3</v>
      </c>
      <c r="J823" s="33">
        <f t="shared" si="229"/>
        <v>9.1833504417803153E-3</v>
      </c>
      <c r="K823" s="33">
        <f t="shared" si="230"/>
        <v>108.89271909415848</v>
      </c>
      <c r="L823" s="33">
        <f t="shared" si="231"/>
        <v>-1.9275055863710953E-3</v>
      </c>
      <c r="M823" s="33">
        <f t="shared" si="232"/>
        <v>1.6439195297189534E-2</v>
      </c>
      <c r="N823" s="8">
        <v>1</v>
      </c>
      <c r="O823" s="9">
        <v>0</v>
      </c>
      <c r="P823" s="8">
        <v>0</v>
      </c>
      <c r="Q823" s="9">
        <v>1</v>
      </c>
      <c r="R823" s="9">
        <v>0</v>
      </c>
      <c r="S823" s="9">
        <v>0</v>
      </c>
      <c r="T823" s="9">
        <v>0</v>
      </c>
      <c r="U823" s="8">
        <v>11878</v>
      </c>
      <c r="V823" s="9">
        <v>20</v>
      </c>
      <c r="W823" s="9">
        <f t="shared" si="233"/>
        <v>11857</v>
      </c>
      <c r="X823" s="9">
        <f t="shared" si="234"/>
        <v>12</v>
      </c>
      <c r="Y823" s="7">
        <v>18</v>
      </c>
      <c r="Z823" s="7">
        <f t="shared" si="240"/>
        <v>11.5</v>
      </c>
      <c r="AA823" s="9">
        <v>0</v>
      </c>
      <c r="AB823" s="9">
        <v>1</v>
      </c>
      <c r="AC823" s="9">
        <v>0</v>
      </c>
      <c r="AD823" s="9">
        <v>1</v>
      </c>
      <c r="AE823" s="9">
        <v>0</v>
      </c>
      <c r="AF823" s="9">
        <v>0</v>
      </c>
      <c r="AG823" s="8">
        <v>0</v>
      </c>
      <c r="AH823" s="9">
        <v>1</v>
      </c>
      <c r="AI823" s="30">
        <v>0</v>
      </c>
      <c r="AJ823" s="9">
        <v>1</v>
      </c>
      <c r="AK823" s="30">
        <v>0</v>
      </c>
      <c r="AL823" s="21">
        <v>2017</v>
      </c>
      <c r="AM823" s="23">
        <f t="shared" si="235"/>
        <v>7.6093665379542115</v>
      </c>
      <c r="AN823" s="33">
        <v>0</v>
      </c>
      <c r="AO823" s="33">
        <v>0</v>
      </c>
      <c r="AP823" s="33">
        <v>0</v>
      </c>
      <c r="AQ823" s="43">
        <v>1</v>
      </c>
      <c r="AR823" s="42">
        <f t="shared" si="241"/>
        <v>0.48699999999999999</v>
      </c>
      <c r="AS823" s="18">
        <v>0.51300000000000001</v>
      </c>
      <c r="AT823">
        <v>0</v>
      </c>
      <c r="AU823" s="40">
        <f t="shared" si="242"/>
        <v>1</v>
      </c>
      <c r="AV823" t="s">
        <v>104</v>
      </c>
      <c r="AW823" s="40" t="s">
        <v>104</v>
      </c>
      <c r="AX823">
        <v>0</v>
      </c>
      <c r="AY823" s="18">
        <v>1</v>
      </c>
      <c r="AZ823">
        <f t="shared" si="243"/>
        <v>0.23850000000000005</v>
      </c>
      <c r="BA823" s="18">
        <v>0.76149999999999995</v>
      </c>
      <c r="BB823" s="18" t="s">
        <v>527</v>
      </c>
      <c r="BC823">
        <v>0</v>
      </c>
      <c r="BD823">
        <v>0</v>
      </c>
      <c r="BE823">
        <v>0</v>
      </c>
      <c r="BF823">
        <v>1</v>
      </c>
      <c r="BG823">
        <v>0</v>
      </c>
      <c r="BH823" s="18">
        <v>0</v>
      </c>
      <c r="BI823">
        <v>0</v>
      </c>
      <c r="BJ823">
        <v>1</v>
      </c>
      <c r="BK823" s="18">
        <v>0</v>
      </c>
      <c r="BL823">
        <v>80.17</v>
      </c>
      <c r="BM823">
        <v>775.6</v>
      </c>
      <c r="BN823" s="25">
        <v>35.5</v>
      </c>
      <c r="BO823">
        <v>1</v>
      </c>
      <c r="BP823">
        <v>0</v>
      </c>
      <c r="BQ823">
        <v>0</v>
      </c>
      <c r="BR823">
        <v>0</v>
      </c>
      <c r="BS823">
        <v>0</v>
      </c>
      <c r="BT823">
        <v>0</v>
      </c>
      <c r="BU823">
        <v>0</v>
      </c>
      <c r="BV823" s="18">
        <v>0</v>
      </c>
      <c r="BW823">
        <v>0</v>
      </c>
      <c r="BX823">
        <v>0</v>
      </c>
      <c r="BY823">
        <v>0</v>
      </c>
      <c r="BZ823" s="18">
        <v>0</v>
      </c>
      <c r="CA823">
        <v>0</v>
      </c>
      <c r="CB823">
        <v>0</v>
      </c>
      <c r="CC823">
        <v>0</v>
      </c>
      <c r="CD823">
        <v>0</v>
      </c>
      <c r="CE823">
        <v>0</v>
      </c>
      <c r="CF823" s="18">
        <v>0</v>
      </c>
      <c r="CG823">
        <v>1</v>
      </c>
      <c r="CH823">
        <v>1</v>
      </c>
      <c r="CI823">
        <v>0</v>
      </c>
      <c r="CJ823">
        <v>0</v>
      </c>
      <c r="CK823">
        <v>0</v>
      </c>
      <c r="CL823">
        <v>0</v>
      </c>
      <c r="CM823">
        <v>0</v>
      </c>
      <c r="CN823">
        <v>1</v>
      </c>
      <c r="CO823">
        <v>1</v>
      </c>
      <c r="CP823">
        <v>1</v>
      </c>
      <c r="CQ823" s="18">
        <v>1</v>
      </c>
      <c r="CR823">
        <v>4.0000000000000001E-3</v>
      </c>
      <c r="CS823">
        <v>2</v>
      </c>
      <c r="CT823">
        <v>1</v>
      </c>
      <c r="CU823">
        <v>0</v>
      </c>
      <c r="CV823">
        <v>24</v>
      </c>
      <c r="DB823" s="34"/>
    </row>
    <row r="824" spans="1:106" s="148" customFormat="1" x14ac:dyDescent="0.25">
      <c r="A824" s="148">
        <v>823</v>
      </c>
      <c r="B824" s="148">
        <v>55</v>
      </c>
      <c r="C824" s="149" t="s">
        <v>510</v>
      </c>
      <c r="D824" s="150">
        <v>16.34840264889846</v>
      </c>
      <c r="E824" s="151">
        <v>2.032634331922353</v>
      </c>
      <c r="F824" s="152">
        <v>8.0429629629629638</v>
      </c>
      <c r="G824" s="152">
        <f t="shared" si="226"/>
        <v>14.315768316976108</v>
      </c>
      <c r="H824" s="153">
        <f t="shared" si="227"/>
        <v>18.381036980820813</v>
      </c>
      <c r="I824" s="154">
        <f t="shared" si="228"/>
        <v>7.3662621441902193E-2</v>
      </c>
      <c r="J824" s="155">
        <f t="shared" si="229"/>
        <v>9.1586423785750548E-3</v>
      </c>
      <c r="K824" s="155">
        <f t="shared" si="230"/>
        <v>109.18648841877641</v>
      </c>
      <c r="L824" s="155">
        <f t="shared" si="231"/>
        <v>6.4503979063327138E-2</v>
      </c>
      <c r="M824" s="155">
        <f t="shared" si="232"/>
        <v>8.2821263820477248E-2</v>
      </c>
      <c r="N824" s="156">
        <v>1</v>
      </c>
      <c r="O824" s="157">
        <v>0</v>
      </c>
      <c r="P824" s="156">
        <v>0</v>
      </c>
      <c r="Q824" s="157">
        <v>1</v>
      </c>
      <c r="R824" s="157">
        <v>0</v>
      </c>
      <c r="S824" s="157">
        <v>0</v>
      </c>
      <c r="T824" s="157">
        <v>0</v>
      </c>
      <c r="U824" s="156">
        <v>11878</v>
      </c>
      <c r="V824" s="157">
        <v>20</v>
      </c>
      <c r="W824" s="157">
        <f t="shared" si="233"/>
        <v>11857</v>
      </c>
      <c r="X824" s="157">
        <f t="shared" si="234"/>
        <v>12</v>
      </c>
      <c r="Y824" s="152">
        <v>22</v>
      </c>
      <c r="Z824" s="152">
        <f t="shared" si="240"/>
        <v>7.5</v>
      </c>
      <c r="AA824" s="157">
        <v>0</v>
      </c>
      <c r="AB824" s="157">
        <v>1</v>
      </c>
      <c r="AC824" s="157">
        <v>0</v>
      </c>
      <c r="AD824" s="157">
        <v>1</v>
      </c>
      <c r="AE824" s="157">
        <v>0</v>
      </c>
      <c r="AF824" s="157">
        <v>0</v>
      </c>
      <c r="AG824" s="156">
        <v>0</v>
      </c>
      <c r="AH824" s="157">
        <v>1</v>
      </c>
      <c r="AI824" s="158">
        <v>0</v>
      </c>
      <c r="AJ824" s="157">
        <v>1</v>
      </c>
      <c r="AK824" s="158">
        <v>0</v>
      </c>
      <c r="AL824" s="159">
        <v>2017</v>
      </c>
      <c r="AM824" s="160">
        <f t="shared" si="235"/>
        <v>7.6093665379542115</v>
      </c>
      <c r="AN824" s="155">
        <v>0</v>
      </c>
      <c r="AO824" s="155">
        <v>0</v>
      </c>
      <c r="AP824" s="155">
        <v>0</v>
      </c>
      <c r="AQ824" s="161">
        <v>1</v>
      </c>
      <c r="AR824" s="162">
        <f t="shared" si="241"/>
        <v>0.48699999999999999</v>
      </c>
      <c r="AS824" s="163">
        <v>0.51300000000000001</v>
      </c>
      <c r="AT824" s="148">
        <v>0</v>
      </c>
      <c r="AU824" s="164">
        <f t="shared" si="242"/>
        <v>1</v>
      </c>
      <c r="AV824" s="148" t="s">
        <v>104</v>
      </c>
      <c r="AW824" s="164" t="s">
        <v>104</v>
      </c>
      <c r="AX824">
        <v>0</v>
      </c>
      <c r="AY824" s="163">
        <v>1</v>
      </c>
      <c r="AZ824" s="148">
        <f t="shared" si="243"/>
        <v>0.23850000000000005</v>
      </c>
      <c r="BA824" s="163">
        <v>0.76149999999999995</v>
      </c>
      <c r="BB824" s="163" t="s">
        <v>527</v>
      </c>
      <c r="BC824">
        <v>0</v>
      </c>
      <c r="BD824">
        <v>0</v>
      </c>
      <c r="BE824">
        <v>0</v>
      </c>
      <c r="BF824">
        <v>1</v>
      </c>
      <c r="BG824">
        <v>0</v>
      </c>
      <c r="BH824" s="163">
        <v>0</v>
      </c>
      <c r="BI824">
        <v>0</v>
      </c>
      <c r="BJ824">
        <v>1</v>
      </c>
      <c r="BK824" s="163">
        <v>0</v>
      </c>
      <c r="BL824">
        <v>80.17</v>
      </c>
      <c r="BM824">
        <v>775.6</v>
      </c>
      <c r="BN824" s="149">
        <v>35.5</v>
      </c>
      <c r="BO824" s="148">
        <v>1</v>
      </c>
      <c r="BP824" s="148">
        <v>0</v>
      </c>
      <c r="BQ824" s="148">
        <v>0</v>
      </c>
      <c r="BR824" s="148">
        <v>0</v>
      </c>
      <c r="BS824" s="148">
        <v>0</v>
      </c>
      <c r="BT824" s="148">
        <v>0</v>
      </c>
      <c r="BU824" s="148">
        <v>0</v>
      </c>
      <c r="BV824" s="163">
        <v>0</v>
      </c>
      <c r="BW824" s="148">
        <v>0</v>
      </c>
      <c r="BX824" s="148">
        <v>0</v>
      </c>
      <c r="BY824" s="148">
        <v>0</v>
      </c>
      <c r="BZ824" s="18">
        <v>0</v>
      </c>
      <c r="CA824">
        <v>0</v>
      </c>
      <c r="CB824">
        <v>0</v>
      </c>
      <c r="CC824">
        <v>0</v>
      </c>
      <c r="CD824">
        <v>0</v>
      </c>
      <c r="CE824">
        <v>0</v>
      </c>
      <c r="CF824" s="18">
        <v>0</v>
      </c>
      <c r="CG824" s="148">
        <v>1</v>
      </c>
      <c r="CH824" s="148">
        <v>1</v>
      </c>
      <c r="CI824" s="148">
        <v>0</v>
      </c>
      <c r="CJ824" s="148">
        <v>0</v>
      </c>
      <c r="CK824" s="148">
        <v>0</v>
      </c>
      <c r="CL824" s="148">
        <v>0</v>
      </c>
      <c r="CM824" s="148">
        <v>0</v>
      </c>
      <c r="CN824" s="148">
        <v>1</v>
      </c>
      <c r="CO824" s="148">
        <v>1</v>
      </c>
      <c r="CP824" s="148">
        <v>1</v>
      </c>
      <c r="CQ824" s="163">
        <v>1</v>
      </c>
      <c r="CR824">
        <v>4.0000000000000001E-3</v>
      </c>
      <c r="CS824">
        <v>2</v>
      </c>
      <c r="CT824">
        <v>1</v>
      </c>
      <c r="CU824">
        <v>0</v>
      </c>
      <c r="CV824">
        <v>24</v>
      </c>
      <c r="CW824" s="165"/>
      <c r="DB824" s="165"/>
    </row>
    <row r="825" spans="1:106" x14ac:dyDescent="0.25">
      <c r="A825">
        <v>824</v>
      </c>
      <c r="B825">
        <v>56</v>
      </c>
      <c r="C825" s="25" t="s">
        <v>4034</v>
      </c>
      <c r="D825" s="12">
        <v>1.533135367136625</v>
      </c>
      <c r="E825" s="14">
        <v>3.4843985616741492E-2</v>
      </c>
      <c r="F825" s="7">
        <v>44</v>
      </c>
      <c r="G825" s="7">
        <f t="shared" si="226"/>
        <v>1.4982913815198835</v>
      </c>
      <c r="H825" s="16">
        <f t="shared" si="227"/>
        <v>1.5679793527533665</v>
      </c>
      <c r="I825" s="11">
        <f t="shared" si="228"/>
        <v>0.17759268931992303</v>
      </c>
      <c r="J825" s="33">
        <f t="shared" si="229"/>
        <v>4.0361974845437056E-3</v>
      </c>
      <c r="K825" s="33">
        <f t="shared" si="230"/>
        <v>247.7579463912308</v>
      </c>
      <c r="L825" s="33">
        <f t="shared" si="231"/>
        <v>0.17355649183537933</v>
      </c>
      <c r="M825" s="33">
        <f t="shared" si="232"/>
        <v>0.18162888680446673</v>
      </c>
      <c r="N825" s="8">
        <v>0</v>
      </c>
      <c r="O825" s="9">
        <v>1</v>
      </c>
      <c r="P825" s="8">
        <v>0</v>
      </c>
      <c r="Q825" s="9">
        <v>0</v>
      </c>
      <c r="R825" s="9">
        <v>0</v>
      </c>
      <c r="S825" s="9">
        <v>1</v>
      </c>
      <c r="T825" s="9">
        <v>0</v>
      </c>
      <c r="U825" s="8">
        <v>59461</v>
      </c>
      <c r="V825" s="9">
        <v>12</v>
      </c>
      <c r="W825" s="9">
        <f t="shared" si="233"/>
        <v>59448</v>
      </c>
      <c r="X825" s="9">
        <f t="shared" si="234"/>
        <v>12</v>
      </c>
      <c r="Y825" s="7">
        <f t="shared" ref="Y825:Y836" si="244">AO825*6+AP825*12</f>
        <v>9.3000000000000007</v>
      </c>
      <c r="Z825" s="7">
        <v>1</v>
      </c>
      <c r="AA825" s="9">
        <v>0</v>
      </c>
      <c r="AB825" s="9">
        <v>1</v>
      </c>
      <c r="AC825" s="9">
        <v>0</v>
      </c>
      <c r="AD825" s="9">
        <v>0</v>
      </c>
      <c r="AE825" s="9">
        <v>1</v>
      </c>
      <c r="AF825" s="9">
        <v>0</v>
      </c>
      <c r="AG825" s="8">
        <v>0</v>
      </c>
      <c r="AH825" s="9">
        <v>0</v>
      </c>
      <c r="AI825" s="30">
        <v>1</v>
      </c>
      <c r="AJ825" s="9">
        <v>0</v>
      </c>
      <c r="AK825" s="30">
        <v>1</v>
      </c>
      <c r="AL825" s="21">
        <v>2011</v>
      </c>
      <c r="AM825" s="23">
        <f t="shared" si="235"/>
        <v>7.6063873897726522</v>
      </c>
      <c r="AN825" s="33">
        <v>0</v>
      </c>
      <c r="AO825" s="33">
        <v>0.43</v>
      </c>
      <c r="AP825" s="33">
        <v>0.56000000000000005</v>
      </c>
      <c r="AQ825" s="43">
        <v>0</v>
      </c>
      <c r="AR825" s="42">
        <v>0.96</v>
      </c>
      <c r="AS825" s="18">
        <v>0.04</v>
      </c>
      <c r="AT825">
        <v>0.66</v>
      </c>
      <c r="AU825" s="40">
        <f t="shared" si="242"/>
        <v>0.33999999999999997</v>
      </c>
      <c r="AV825" t="s">
        <v>104</v>
      </c>
      <c r="AW825" s="40" t="s">
        <v>104</v>
      </c>
      <c r="AX825">
        <v>1</v>
      </c>
      <c r="AY825" s="18">
        <v>0</v>
      </c>
      <c r="AZ825" t="s">
        <v>104</v>
      </c>
      <c r="BA825" s="18" t="s">
        <v>104</v>
      </c>
      <c r="BB825" s="18" t="s">
        <v>607</v>
      </c>
      <c r="BC825">
        <v>1</v>
      </c>
      <c r="BD825">
        <v>0</v>
      </c>
      <c r="BE825">
        <v>0</v>
      </c>
      <c r="BF825">
        <v>0</v>
      </c>
      <c r="BG825">
        <v>0</v>
      </c>
      <c r="BH825" s="18">
        <v>0</v>
      </c>
      <c r="BI825">
        <v>1</v>
      </c>
      <c r="BJ825">
        <v>0</v>
      </c>
      <c r="BK825" s="18">
        <v>0</v>
      </c>
      <c r="BL825">
        <v>1963.666666666667</v>
      </c>
      <c r="BM825">
        <v>1276</v>
      </c>
      <c r="BN825" s="25">
        <v>19.16</v>
      </c>
      <c r="BO825">
        <v>1</v>
      </c>
      <c r="BP825">
        <v>0</v>
      </c>
      <c r="BQ825">
        <v>0</v>
      </c>
      <c r="BR825">
        <v>0</v>
      </c>
      <c r="BS825">
        <v>0</v>
      </c>
      <c r="BT825">
        <v>0</v>
      </c>
      <c r="BU825">
        <v>0</v>
      </c>
      <c r="BV825" s="18">
        <v>0</v>
      </c>
      <c r="BW825">
        <v>0</v>
      </c>
      <c r="BX825">
        <v>1</v>
      </c>
      <c r="BY825">
        <v>0</v>
      </c>
      <c r="BZ825" s="18">
        <v>0</v>
      </c>
      <c r="CA825">
        <v>0</v>
      </c>
      <c r="CB825">
        <v>0</v>
      </c>
      <c r="CC825">
        <v>0</v>
      </c>
      <c r="CD825">
        <v>0</v>
      </c>
      <c r="CE825">
        <v>0</v>
      </c>
      <c r="CF825" s="18">
        <v>0</v>
      </c>
      <c r="CG825">
        <v>0</v>
      </c>
      <c r="CH825">
        <v>0</v>
      </c>
      <c r="CI825">
        <v>0</v>
      </c>
      <c r="CJ825">
        <v>0</v>
      </c>
      <c r="CK825">
        <v>0</v>
      </c>
      <c r="CL825">
        <v>0</v>
      </c>
      <c r="CM825">
        <v>0</v>
      </c>
      <c r="CN825">
        <v>0</v>
      </c>
      <c r="CO825">
        <v>0</v>
      </c>
      <c r="CP825">
        <v>0</v>
      </c>
      <c r="CQ825" s="18">
        <v>0</v>
      </c>
      <c r="CR825">
        <v>4.149</v>
      </c>
      <c r="CS825">
        <v>8</v>
      </c>
      <c r="CT825">
        <v>1</v>
      </c>
      <c r="CU825">
        <v>0</v>
      </c>
      <c r="CV825">
        <v>23</v>
      </c>
      <c r="DB825" s="34"/>
    </row>
    <row r="826" spans="1:106" x14ac:dyDescent="0.25">
      <c r="A826">
        <v>825</v>
      </c>
      <c r="B826">
        <v>56</v>
      </c>
      <c r="C826" s="25" t="s">
        <v>4034</v>
      </c>
      <c r="D826" s="12">
        <v>2.2380361380504179</v>
      </c>
      <c r="E826" s="14">
        <v>0.21314629886194461</v>
      </c>
      <c r="F826" s="7">
        <v>10.5</v>
      </c>
      <c r="G826" s="7">
        <f t="shared" si="226"/>
        <v>2.0248898391884733</v>
      </c>
      <c r="H826" s="16">
        <f t="shared" si="227"/>
        <v>2.4511824369123625</v>
      </c>
      <c r="I826" s="11">
        <f t="shared" si="228"/>
        <v>4.3025831595010194E-2</v>
      </c>
      <c r="J826" s="33">
        <f t="shared" si="229"/>
        <v>4.0976982471438283E-3</v>
      </c>
      <c r="K826" s="33">
        <f t="shared" si="230"/>
        <v>244.03944353321248</v>
      </c>
      <c r="L826" s="33">
        <f t="shared" si="231"/>
        <v>3.8928133347866364E-2</v>
      </c>
      <c r="M826" s="43">
        <f t="shared" si="232"/>
        <v>4.7123529842154024E-2</v>
      </c>
      <c r="N826" s="8">
        <v>0</v>
      </c>
      <c r="O826" s="9">
        <v>1</v>
      </c>
      <c r="P826" s="8">
        <v>0</v>
      </c>
      <c r="Q826" s="9">
        <v>0</v>
      </c>
      <c r="R826" s="9">
        <v>0</v>
      </c>
      <c r="S826" s="9">
        <v>1</v>
      </c>
      <c r="T826" s="9">
        <v>0</v>
      </c>
      <c r="U826" s="8">
        <v>59461</v>
      </c>
      <c r="V826" s="9">
        <v>15</v>
      </c>
      <c r="W826" s="9">
        <f t="shared" si="233"/>
        <v>59445</v>
      </c>
      <c r="X826" s="9">
        <f t="shared" si="234"/>
        <v>12</v>
      </c>
      <c r="Y826" s="7">
        <f t="shared" si="244"/>
        <v>9.3000000000000007</v>
      </c>
      <c r="Z826" s="7">
        <v>1</v>
      </c>
      <c r="AA826" s="9">
        <v>0</v>
      </c>
      <c r="AB826" s="9">
        <v>1</v>
      </c>
      <c r="AC826" s="9">
        <v>0</v>
      </c>
      <c r="AD826" s="9">
        <v>0</v>
      </c>
      <c r="AE826" s="9">
        <v>1</v>
      </c>
      <c r="AF826" s="9">
        <v>0</v>
      </c>
      <c r="AG826" s="8">
        <v>0</v>
      </c>
      <c r="AH826" s="9">
        <v>0</v>
      </c>
      <c r="AI826" s="30">
        <v>1</v>
      </c>
      <c r="AJ826" s="9">
        <v>0</v>
      </c>
      <c r="AK826" s="30">
        <v>1</v>
      </c>
      <c r="AL826" s="21">
        <v>2011</v>
      </c>
      <c r="AM826" s="23">
        <f t="shared" si="235"/>
        <v>7.6063873897726522</v>
      </c>
      <c r="AN826" s="33">
        <v>0</v>
      </c>
      <c r="AO826" s="33">
        <v>0.43</v>
      </c>
      <c r="AP826" s="33">
        <v>0.56000000000000005</v>
      </c>
      <c r="AQ826" s="43">
        <v>0</v>
      </c>
      <c r="AR826" s="42">
        <v>0.96</v>
      </c>
      <c r="AS826" s="18">
        <v>0.04</v>
      </c>
      <c r="AT826">
        <v>0.66</v>
      </c>
      <c r="AU826" s="40">
        <f t="shared" si="242"/>
        <v>0.33999999999999997</v>
      </c>
      <c r="AV826" t="s">
        <v>104</v>
      </c>
      <c r="AW826" s="40" t="s">
        <v>104</v>
      </c>
      <c r="AX826">
        <v>1</v>
      </c>
      <c r="AY826" s="18">
        <v>0</v>
      </c>
      <c r="AZ826" t="s">
        <v>104</v>
      </c>
      <c r="BA826" s="18" t="s">
        <v>104</v>
      </c>
      <c r="BB826" s="18" t="s">
        <v>607</v>
      </c>
      <c r="BC826">
        <v>1</v>
      </c>
      <c r="BD826">
        <v>0</v>
      </c>
      <c r="BE826">
        <v>0</v>
      </c>
      <c r="BF826">
        <v>0</v>
      </c>
      <c r="BG826">
        <v>0</v>
      </c>
      <c r="BH826" s="18">
        <v>0</v>
      </c>
      <c r="BI826">
        <v>1</v>
      </c>
      <c r="BJ826">
        <v>0</v>
      </c>
      <c r="BK826" s="18">
        <v>0</v>
      </c>
      <c r="BL826">
        <v>1963.666666666667</v>
      </c>
      <c r="BM826">
        <v>1276</v>
      </c>
      <c r="BN826" s="25">
        <v>19.16</v>
      </c>
      <c r="BO826">
        <v>0</v>
      </c>
      <c r="BP826">
        <v>0</v>
      </c>
      <c r="BQ826">
        <v>0</v>
      </c>
      <c r="BR826">
        <v>0</v>
      </c>
      <c r="BS826">
        <v>0</v>
      </c>
      <c r="BT826">
        <v>0</v>
      </c>
      <c r="BU826">
        <v>0</v>
      </c>
      <c r="BV826" s="18">
        <v>1</v>
      </c>
      <c r="BW826">
        <v>0</v>
      </c>
      <c r="BX826">
        <v>1</v>
      </c>
      <c r="BY826">
        <v>0</v>
      </c>
      <c r="BZ826" s="18">
        <v>0</v>
      </c>
      <c r="CA826">
        <v>0</v>
      </c>
      <c r="CB826">
        <v>0</v>
      </c>
      <c r="CC826">
        <v>0</v>
      </c>
      <c r="CD826">
        <v>0</v>
      </c>
      <c r="CE826">
        <v>0</v>
      </c>
      <c r="CF826" s="18">
        <v>0</v>
      </c>
      <c r="CG826">
        <v>0</v>
      </c>
      <c r="CH826">
        <v>0</v>
      </c>
      <c r="CI826">
        <v>0</v>
      </c>
      <c r="CJ826">
        <v>0</v>
      </c>
      <c r="CK826">
        <v>0</v>
      </c>
      <c r="CL826">
        <v>0</v>
      </c>
      <c r="CM826">
        <v>0</v>
      </c>
      <c r="CN826">
        <v>0</v>
      </c>
      <c r="CO826">
        <v>0</v>
      </c>
      <c r="CP826">
        <v>0</v>
      </c>
      <c r="CQ826" s="18">
        <v>0</v>
      </c>
      <c r="CR826">
        <v>4.149</v>
      </c>
      <c r="CS826">
        <v>8</v>
      </c>
      <c r="CT826">
        <v>1</v>
      </c>
      <c r="CU826">
        <v>0</v>
      </c>
      <c r="CV826">
        <v>23</v>
      </c>
      <c r="DB826" s="34"/>
    </row>
    <row r="827" spans="1:106" x14ac:dyDescent="0.25">
      <c r="A827">
        <v>826</v>
      </c>
      <c r="B827">
        <v>56</v>
      </c>
      <c r="C827" s="25" t="s">
        <v>4034</v>
      </c>
      <c r="D827" s="12">
        <v>1.2263537644726239</v>
      </c>
      <c r="E827" s="14">
        <v>3.4545176464017592E-2</v>
      </c>
      <c r="F827" s="7">
        <v>35.499999999999993</v>
      </c>
      <c r="G827" s="7">
        <f t="shared" si="226"/>
        <v>1.1918085880086062</v>
      </c>
      <c r="H827" s="16">
        <f t="shared" si="227"/>
        <v>1.2608989409366416</v>
      </c>
      <c r="I827" s="11">
        <f t="shared" si="228"/>
        <v>0.1440802641742904</v>
      </c>
      <c r="J827" s="33">
        <f t="shared" si="229"/>
        <v>4.0585989908250826E-3</v>
      </c>
      <c r="K827" s="33">
        <f t="shared" si="230"/>
        <v>246.39044218475684</v>
      </c>
      <c r="L827" s="33">
        <f t="shared" si="231"/>
        <v>0.14002166518346532</v>
      </c>
      <c r="M827" s="43">
        <f t="shared" si="232"/>
        <v>0.14813886316511549</v>
      </c>
      <c r="N827" s="8">
        <v>0</v>
      </c>
      <c r="O827" s="9">
        <v>1</v>
      </c>
      <c r="P827" s="8">
        <v>0</v>
      </c>
      <c r="Q827" s="9">
        <v>0</v>
      </c>
      <c r="R827" s="9">
        <v>0</v>
      </c>
      <c r="S827" s="9">
        <v>1</v>
      </c>
      <c r="T827" s="9">
        <v>0</v>
      </c>
      <c r="U827" s="8">
        <v>59461</v>
      </c>
      <c r="V827" s="9">
        <v>12</v>
      </c>
      <c r="W827" s="9">
        <f t="shared" si="233"/>
        <v>59448</v>
      </c>
      <c r="X827" s="9">
        <f t="shared" si="234"/>
        <v>12</v>
      </c>
      <c r="Y827" s="7">
        <f t="shared" si="244"/>
        <v>9.3000000000000007</v>
      </c>
      <c r="Z827" s="7">
        <v>1</v>
      </c>
      <c r="AA827" s="9">
        <v>0</v>
      </c>
      <c r="AB827" s="9">
        <v>1</v>
      </c>
      <c r="AC827" s="9">
        <v>0</v>
      </c>
      <c r="AD827" s="9">
        <v>0</v>
      </c>
      <c r="AE827" s="9">
        <v>1</v>
      </c>
      <c r="AF827" s="9">
        <v>0</v>
      </c>
      <c r="AG827" s="8">
        <v>0</v>
      </c>
      <c r="AH827" s="9">
        <v>0</v>
      </c>
      <c r="AI827" s="30">
        <v>1</v>
      </c>
      <c r="AJ827" s="9">
        <v>0</v>
      </c>
      <c r="AK827" s="30">
        <v>1</v>
      </c>
      <c r="AL827" s="21">
        <v>2011</v>
      </c>
      <c r="AM827" s="23">
        <f t="shared" si="235"/>
        <v>7.6063873897726522</v>
      </c>
      <c r="AN827" s="33">
        <v>0</v>
      </c>
      <c r="AO827" s="33">
        <v>0.43</v>
      </c>
      <c r="AP827" s="33">
        <v>0.56000000000000005</v>
      </c>
      <c r="AQ827" s="43">
        <v>0</v>
      </c>
      <c r="AR827" s="42">
        <v>0.96</v>
      </c>
      <c r="AS827" s="18">
        <v>0.04</v>
      </c>
      <c r="AT827">
        <v>0.66</v>
      </c>
      <c r="AU827" s="40">
        <f t="shared" si="242"/>
        <v>0.33999999999999997</v>
      </c>
      <c r="AV827" t="s">
        <v>104</v>
      </c>
      <c r="AW827" s="40" t="s">
        <v>104</v>
      </c>
      <c r="AX827">
        <v>1</v>
      </c>
      <c r="AY827" s="18">
        <v>0</v>
      </c>
      <c r="AZ827" t="s">
        <v>104</v>
      </c>
      <c r="BA827" s="18" t="s">
        <v>104</v>
      </c>
      <c r="BB827" s="18" t="s">
        <v>607</v>
      </c>
      <c r="BC827">
        <v>1</v>
      </c>
      <c r="BD827">
        <v>0</v>
      </c>
      <c r="BE827">
        <v>0</v>
      </c>
      <c r="BF827">
        <v>0</v>
      </c>
      <c r="BG827">
        <v>0</v>
      </c>
      <c r="BH827" s="18">
        <v>0</v>
      </c>
      <c r="BI827">
        <v>1</v>
      </c>
      <c r="BJ827">
        <v>0</v>
      </c>
      <c r="BK827" s="18">
        <v>0</v>
      </c>
      <c r="BL827">
        <v>1963.666666666667</v>
      </c>
      <c r="BM827">
        <v>1276</v>
      </c>
      <c r="BN827" s="25">
        <v>19.16</v>
      </c>
      <c r="BO827">
        <v>1</v>
      </c>
      <c r="BP827">
        <v>0</v>
      </c>
      <c r="BQ827">
        <v>0</v>
      </c>
      <c r="BR827">
        <v>0</v>
      </c>
      <c r="BS827">
        <v>0</v>
      </c>
      <c r="BT827">
        <v>0</v>
      </c>
      <c r="BU827">
        <v>0</v>
      </c>
      <c r="BV827" s="18">
        <v>0</v>
      </c>
      <c r="BW827">
        <v>0</v>
      </c>
      <c r="BX827">
        <v>1</v>
      </c>
      <c r="BY827">
        <v>0</v>
      </c>
      <c r="BZ827" s="18">
        <v>0</v>
      </c>
      <c r="CA827">
        <v>0</v>
      </c>
      <c r="CB827">
        <v>0</v>
      </c>
      <c r="CC827">
        <v>0</v>
      </c>
      <c r="CD827">
        <v>0</v>
      </c>
      <c r="CE827">
        <v>0</v>
      </c>
      <c r="CF827" s="18">
        <v>0</v>
      </c>
      <c r="CG827">
        <v>0</v>
      </c>
      <c r="CH827">
        <v>0</v>
      </c>
      <c r="CI827">
        <v>0</v>
      </c>
      <c r="CJ827">
        <v>0</v>
      </c>
      <c r="CK827">
        <v>1</v>
      </c>
      <c r="CL827">
        <v>0</v>
      </c>
      <c r="CM827">
        <v>1</v>
      </c>
      <c r="CN827">
        <v>0</v>
      </c>
      <c r="CO827">
        <v>0</v>
      </c>
      <c r="CP827">
        <v>0</v>
      </c>
      <c r="CQ827" s="18">
        <v>0</v>
      </c>
      <c r="CR827">
        <v>4.149</v>
      </c>
      <c r="CS827">
        <v>8</v>
      </c>
      <c r="CT827">
        <v>1</v>
      </c>
      <c r="CU827">
        <v>0</v>
      </c>
      <c r="CV827">
        <v>23</v>
      </c>
      <c r="DB827" s="34"/>
    </row>
    <row r="828" spans="1:106" x14ac:dyDescent="0.25">
      <c r="A828">
        <v>827</v>
      </c>
      <c r="B828">
        <v>56</v>
      </c>
      <c r="C828" s="25" t="s">
        <v>4034</v>
      </c>
      <c r="D828" s="12">
        <v>0.1506770295644648</v>
      </c>
      <c r="E828" s="14">
        <v>0.26787027478127068</v>
      </c>
      <c r="F828" s="7">
        <v>0.5625</v>
      </c>
      <c r="G828" s="7">
        <f t="shared" si="226"/>
        <v>-0.11719324521680588</v>
      </c>
      <c r="H828" s="16">
        <f t="shared" si="227"/>
        <v>0.4185473043457355</v>
      </c>
      <c r="I828" s="11">
        <f t="shared" si="228"/>
        <v>2.3070855830089852E-3</v>
      </c>
      <c r="J828" s="33">
        <f t="shared" si="229"/>
        <v>4.1014854809048621E-3</v>
      </c>
      <c r="K828" s="33">
        <f t="shared" si="230"/>
        <v>243.81410214803</v>
      </c>
      <c r="L828" s="33">
        <f t="shared" si="231"/>
        <v>-1.7943998978958769E-3</v>
      </c>
      <c r="M828" s="43">
        <f t="shared" si="232"/>
        <v>6.4085710639138474E-3</v>
      </c>
      <c r="N828" s="8">
        <v>0</v>
      </c>
      <c r="O828" s="9">
        <v>1</v>
      </c>
      <c r="P828" s="8">
        <v>0</v>
      </c>
      <c r="Q828" s="9">
        <v>0</v>
      </c>
      <c r="R828" s="9">
        <v>0</v>
      </c>
      <c r="S828" s="9">
        <v>1</v>
      </c>
      <c r="T828" s="9">
        <v>0</v>
      </c>
      <c r="U828" s="8">
        <v>59461</v>
      </c>
      <c r="V828" s="9">
        <v>15</v>
      </c>
      <c r="W828" s="9">
        <f t="shared" si="233"/>
        <v>59445</v>
      </c>
      <c r="X828" s="9">
        <f t="shared" si="234"/>
        <v>12</v>
      </c>
      <c r="Y828" s="7">
        <f t="shared" si="244"/>
        <v>9.3000000000000007</v>
      </c>
      <c r="Z828" s="7">
        <v>1</v>
      </c>
      <c r="AA828" s="9">
        <v>0</v>
      </c>
      <c r="AB828" s="9">
        <v>1</v>
      </c>
      <c r="AC828" s="9">
        <v>0</v>
      </c>
      <c r="AD828" s="9">
        <v>0</v>
      </c>
      <c r="AE828" s="9">
        <v>1</v>
      </c>
      <c r="AF828" s="9">
        <v>0</v>
      </c>
      <c r="AG828" s="8">
        <v>0</v>
      </c>
      <c r="AH828" s="9">
        <v>0</v>
      </c>
      <c r="AI828" s="30">
        <v>1</v>
      </c>
      <c r="AJ828" s="9">
        <v>0</v>
      </c>
      <c r="AK828" s="30">
        <v>1</v>
      </c>
      <c r="AL828" s="21">
        <v>2011</v>
      </c>
      <c r="AM828" s="23">
        <f t="shared" si="235"/>
        <v>7.6063873897726522</v>
      </c>
      <c r="AN828" s="33">
        <v>0</v>
      </c>
      <c r="AO828" s="33">
        <v>0.43</v>
      </c>
      <c r="AP828" s="33">
        <v>0.56000000000000005</v>
      </c>
      <c r="AQ828" s="43">
        <v>0</v>
      </c>
      <c r="AR828" s="42">
        <v>0.96</v>
      </c>
      <c r="AS828" s="18">
        <v>0.04</v>
      </c>
      <c r="AT828">
        <v>0.66</v>
      </c>
      <c r="AU828" s="40">
        <f t="shared" si="242"/>
        <v>0.33999999999999997</v>
      </c>
      <c r="AV828" t="s">
        <v>104</v>
      </c>
      <c r="AW828" s="40" t="s">
        <v>104</v>
      </c>
      <c r="AX828">
        <v>1</v>
      </c>
      <c r="AY828" s="18">
        <v>0</v>
      </c>
      <c r="AZ828" t="s">
        <v>104</v>
      </c>
      <c r="BA828" s="18" t="s">
        <v>104</v>
      </c>
      <c r="BB828" s="18" t="s">
        <v>607</v>
      </c>
      <c r="BC828">
        <v>1</v>
      </c>
      <c r="BD828">
        <v>0</v>
      </c>
      <c r="BE828">
        <v>0</v>
      </c>
      <c r="BF828">
        <v>0</v>
      </c>
      <c r="BG828">
        <v>0</v>
      </c>
      <c r="BH828" s="18">
        <v>0</v>
      </c>
      <c r="BI828">
        <v>1</v>
      </c>
      <c r="BJ828">
        <v>0</v>
      </c>
      <c r="BK828" s="18">
        <v>0</v>
      </c>
      <c r="BL828">
        <v>1963.666666666667</v>
      </c>
      <c r="BM828">
        <v>1276</v>
      </c>
      <c r="BN828" s="25">
        <v>19.16</v>
      </c>
      <c r="BO828">
        <v>0</v>
      </c>
      <c r="BP828">
        <v>0</v>
      </c>
      <c r="BQ828">
        <v>0</v>
      </c>
      <c r="BR828">
        <v>0</v>
      </c>
      <c r="BS828">
        <v>0</v>
      </c>
      <c r="BT828">
        <v>0</v>
      </c>
      <c r="BU828">
        <v>0</v>
      </c>
      <c r="BV828" s="18">
        <v>1</v>
      </c>
      <c r="BW828">
        <v>0</v>
      </c>
      <c r="BX828">
        <v>1</v>
      </c>
      <c r="BY828">
        <v>0</v>
      </c>
      <c r="BZ828" s="18">
        <v>0</v>
      </c>
      <c r="CA828">
        <v>0</v>
      </c>
      <c r="CB828">
        <v>0</v>
      </c>
      <c r="CC828">
        <v>0</v>
      </c>
      <c r="CD828">
        <v>0</v>
      </c>
      <c r="CE828">
        <v>0</v>
      </c>
      <c r="CF828" s="18">
        <v>0</v>
      </c>
      <c r="CG828">
        <v>0</v>
      </c>
      <c r="CH828">
        <v>0</v>
      </c>
      <c r="CI828">
        <v>0</v>
      </c>
      <c r="CJ828">
        <v>0</v>
      </c>
      <c r="CK828">
        <v>1</v>
      </c>
      <c r="CL828">
        <v>0</v>
      </c>
      <c r="CM828">
        <v>1</v>
      </c>
      <c r="CN828">
        <v>0</v>
      </c>
      <c r="CO828">
        <v>0</v>
      </c>
      <c r="CP828">
        <v>0</v>
      </c>
      <c r="CQ828" s="18">
        <v>0</v>
      </c>
      <c r="CR828">
        <v>4.149</v>
      </c>
      <c r="CS828">
        <v>8</v>
      </c>
      <c r="CT828">
        <v>1</v>
      </c>
      <c r="CU828">
        <v>0</v>
      </c>
      <c r="CV828">
        <v>23</v>
      </c>
      <c r="DB828" s="34"/>
    </row>
    <row r="829" spans="1:106" x14ac:dyDescent="0.25">
      <c r="A829">
        <v>828</v>
      </c>
      <c r="B829">
        <v>56</v>
      </c>
      <c r="C829" s="25" t="s">
        <v>4034</v>
      </c>
      <c r="D829" s="12">
        <v>1.624362254468033</v>
      </c>
      <c r="E829" s="14">
        <v>5.2398782402194623E-2</v>
      </c>
      <c r="F829" s="7">
        <v>31</v>
      </c>
      <c r="G829" s="7">
        <f t="shared" si="226"/>
        <v>1.5719634720658384</v>
      </c>
      <c r="H829" s="16">
        <f t="shared" si="227"/>
        <v>1.6767610368702275</v>
      </c>
      <c r="I829" s="11">
        <f t="shared" si="228"/>
        <v>0.15398131860068121</v>
      </c>
      <c r="J829" s="33">
        <f t="shared" si="229"/>
        <v>4.9671393096993935E-3</v>
      </c>
      <c r="K829" s="33">
        <f t="shared" si="230"/>
        <v>201.32312336142613</v>
      </c>
      <c r="L829" s="33">
        <f t="shared" si="231"/>
        <v>0.14901417929098182</v>
      </c>
      <c r="M829" s="43">
        <f t="shared" si="232"/>
        <v>0.15894845791038059</v>
      </c>
      <c r="N829" s="8">
        <v>0</v>
      </c>
      <c r="O829" s="9">
        <v>1</v>
      </c>
      <c r="P829" s="8">
        <v>0</v>
      </c>
      <c r="Q829" s="9">
        <v>0</v>
      </c>
      <c r="R829" s="9">
        <v>0</v>
      </c>
      <c r="S829" s="9">
        <v>1</v>
      </c>
      <c r="T829" s="9">
        <v>0</v>
      </c>
      <c r="U829" s="8">
        <v>39583</v>
      </c>
      <c r="V829" s="9">
        <v>12</v>
      </c>
      <c r="W829" s="9">
        <f t="shared" si="233"/>
        <v>39570</v>
      </c>
      <c r="X829" s="9">
        <f t="shared" si="234"/>
        <v>12</v>
      </c>
      <c r="Y829" s="7">
        <f t="shared" si="244"/>
        <v>9.3000000000000007</v>
      </c>
      <c r="Z829" s="7">
        <v>1</v>
      </c>
      <c r="AA829" s="9">
        <v>0</v>
      </c>
      <c r="AB829" s="9">
        <v>1</v>
      </c>
      <c r="AC829" s="9">
        <v>0</v>
      </c>
      <c r="AD829" s="9">
        <v>0</v>
      </c>
      <c r="AE829" s="9">
        <v>1</v>
      </c>
      <c r="AF829" s="9">
        <v>0</v>
      </c>
      <c r="AG829" s="8">
        <v>0</v>
      </c>
      <c r="AH829" s="9">
        <v>0</v>
      </c>
      <c r="AI829" s="30">
        <v>1</v>
      </c>
      <c r="AJ829" s="9">
        <v>0</v>
      </c>
      <c r="AK829" s="30">
        <v>1</v>
      </c>
      <c r="AL829" s="21">
        <v>2011</v>
      </c>
      <c r="AM829" s="23">
        <f t="shared" si="235"/>
        <v>7.6063873897726522</v>
      </c>
      <c r="AN829" s="33">
        <v>0</v>
      </c>
      <c r="AO829" s="33">
        <v>0.43</v>
      </c>
      <c r="AP829" s="33">
        <v>0.56000000000000005</v>
      </c>
      <c r="AQ829" s="43">
        <v>0</v>
      </c>
      <c r="AR829" s="42">
        <v>0.96</v>
      </c>
      <c r="AS829" s="18">
        <v>0.04</v>
      </c>
      <c r="AT829">
        <v>1</v>
      </c>
      <c r="AU829" s="40">
        <f t="shared" si="242"/>
        <v>0</v>
      </c>
      <c r="AV829" t="s">
        <v>104</v>
      </c>
      <c r="AW829" s="40" t="s">
        <v>104</v>
      </c>
      <c r="AX829">
        <v>1</v>
      </c>
      <c r="AY829" s="18">
        <v>0</v>
      </c>
      <c r="AZ829" t="s">
        <v>104</v>
      </c>
      <c r="BA829" s="18" t="s">
        <v>104</v>
      </c>
      <c r="BB829" s="18" t="s">
        <v>607</v>
      </c>
      <c r="BC829">
        <v>1</v>
      </c>
      <c r="BD829">
        <v>0</v>
      </c>
      <c r="BE829">
        <v>0</v>
      </c>
      <c r="BF829">
        <v>0</v>
      </c>
      <c r="BG829">
        <v>0</v>
      </c>
      <c r="BH829" s="18">
        <v>0</v>
      </c>
      <c r="BI829">
        <v>1</v>
      </c>
      <c r="BJ829">
        <v>0</v>
      </c>
      <c r="BK829" s="18">
        <v>0</v>
      </c>
      <c r="BL829">
        <v>1963.666666666667</v>
      </c>
      <c r="BM829">
        <v>1276</v>
      </c>
      <c r="BN829" s="25">
        <v>19.16</v>
      </c>
      <c r="BO829">
        <v>1</v>
      </c>
      <c r="BP829">
        <v>0</v>
      </c>
      <c r="BQ829">
        <v>0</v>
      </c>
      <c r="BR829">
        <v>0</v>
      </c>
      <c r="BS829">
        <v>0</v>
      </c>
      <c r="BT829">
        <v>0</v>
      </c>
      <c r="BU829">
        <v>0</v>
      </c>
      <c r="BV829" s="18">
        <v>0</v>
      </c>
      <c r="BW829">
        <v>0</v>
      </c>
      <c r="BX829">
        <v>1</v>
      </c>
      <c r="BY829">
        <v>0</v>
      </c>
      <c r="BZ829" s="18">
        <v>0</v>
      </c>
      <c r="CA829">
        <v>0</v>
      </c>
      <c r="CB829">
        <v>0</v>
      </c>
      <c r="CC829">
        <v>0</v>
      </c>
      <c r="CD829">
        <v>0</v>
      </c>
      <c r="CE829">
        <v>0</v>
      </c>
      <c r="CF829" s="18">
        <v>0</v>
      </c>
      <c r="CG829">
        <v>0</v>
      </c>
      <c r="CH829">
        <v>0</v>
      </c>
      <c r="CI829">
        <v>0</v>
      </c>
      <c r="CJ829">
        <v>0</v>
      </c>
      <c r="CK829">
        <v>0</v>
      </c>
      <c r="CL829">
        <v>0</v>
      </c>
      <c r="CM829">
        <v>0</v>
      </c>
      <c r="CN829">
        <v>0</v>
      </c>
      <c r="CO829">
        <v>0</v>
      </c>
      <c r="CP829">
        <v>0</v>
      </c>
      <c r="CQ829" s="18">
        <v>0</v>
      </c>
      <c r="CR829">
        <v>4.149</v>
      </c>
      <c r="CS829">
        <v>8</v>
      </c>
      <c r="CT829">
        <v>1</v>
      </c>
      <c r="CU829">
        <v>0</v>
      </c>
      <c r="CV829">
        <v>23</v>
      </c>
      <c r="DB829" s="34"/>
    </row>
    <row r="830" spans="1:106" x14ac:dyDescent="0.25">
      <c r="A830">
        <v>829</v>
      </c>
      <c r="B830">
        <v>56</v>
      </c>
      <c r="C830" s="25" t="s">
        <v>4034</v>
      </c>
      <c r="D830" s="12">
        <v>-0.18232868707718791</v>
      </c>
      <c r="E830" s="14">
        <v>0.24863002783252891</v>
      </c>
      <c r="F830" s="7">
        <v>-0.73333333333333328</v>
      </c>
      <c r="G830" s="7">
        <f t="shared" si="226"/>
        <v>-0.43095871490971682</v>
      </c>
      <c r="H830" s="16">
        <f t="shared" si="227"/>
        <v>6.6301340755340998E-2</v>
      </c>
      <c r="I830" s="11">
        <f t="shared" si="228"/>
        <v>-3.6866500371270359E-3</v>
      </c>
      <c r="J830" s="33">
        <f t="shared" si="229"/>
        <v>5.0272500506277767E-3</v>
      </c>
      <c r="K830" s="33">
        <f t="shared" si="230"/>
        <v>198.91590629654979</v>
      </c>
      <c r="L830" s="33">
        <f t="shared" si="231"/>
        <v>-8.7139000877548122E-3</v>
      </c>
      <c r="M830" s="43">
        <f t="shared" si="232"/>
        <v>1.3406000135007408E-3</v>
      </c>
      <c r="N830" s="8">
        <v>0</v>
      </c>
      <c r="O830" s="9">
        <v>1</v>
      </c>
      <c r="P830" s="8">
        <v>0</v>
      </c>
      <c r="Q830" s="9">
        <v>0</v>
      </c>
      <c r="R830" s="9">
        <v>0</v>
      </c>
      <c r="S830" s="9">
        <v>1</v>
      </c>
      <c r="T830" s="9">
        <v>0</v>
      </c>
      <c r="U830" s="8">
        <v>39583</v>
      </c>
      <c r="V830" s="9">
        <v>15</v>
      </c>
      <c r="W830" s="9">
        <f t="shared" si="233"/>
        <v>39567</v>
      </c>
      <c r="X830" s="9">
        <f t="shared" si="234"/>
        <v>12</v>
      </c>
      <c r="Y830" s="7">
        <f t="shared" si="244"/>
        <v>9.3000000000000007</v>
      </c>
      <c r="Z830" s="7">
        <v>1</v>
      </c>
      <c r="AA830" s="9">
        <v>0</v>
      </c>
      <c r="AB830" s="9">
        <v>1</v>
      </c>
      <c r="AC830" s="9">
        <v>0</v>
      </c>
      <c r="AD830" s="9">
        <v>0</v>
      </c>
      <c r="AE830" s="9">
        <v>1</v>
      </c>
      <c r="AF830" s="9">
        <v>0</v>
      </c>
      <c r="AG830" s="8">
        <v>0</v>
      </c>
      <c r="AH830" s="9">
        <v>0</v>
      </c>
      <c r="AI830" s="30">
        <v>1</v>
      </c>
      <c r="AJ830" s="9">
        <v>0</v>
      </c>
      <c r="AK830" s="30">
        <v>1</v>
      </c>
      <c r="AL830" s="21">
        <v>2011</v>
      </c>
      <c r="AM830" s="23">
        <f t="shared" si="235"/>
        <v>7.6063873897726522</v>
      </c>
      <c r="AN830" s="33">
        <v>0</v>
      </c>
      <c r="AO830" s="33">
        <v>0.43</v>
      </c>
      <c r="AP830" s="33">
        <v>0.56000000000000005</v>
      </c>
      <c r="AQ830" s="43">
        <v>0</v>
      </c>
      <c r="AR830" s="42">
        <v>0.96</v>
      </c>
      <c r="AS830" s="18">
        <v>0.04</v>
      </c>
      <c r="AT830">
        <v>1</v>
      </c>
      <c r="AU830" s="40">
        <f t="shared" si="242"/>
        <v>0</v>
      </c>
      <c r="AV830" t="s">
        <v>104</v>
      </c>
      <c r="AW830" s="40" t="s">
        <v>104</v>
      </c>
      <c r="AX830">
        <v>1</v>
      </c>
      <c r="AY830" s="18">
        <v>0</v>
      </c>
      <c r="AZ830" t="s">
        <v>104</v>
      </c>
      <c r="BA830" s="18" t="s">
        <v>104</v>
      </c>
      <c r="BB830" s="18" t="s">
        <v>607</v>
      </c>
      <c r="BC830">
        <v>1</v>
      </c>
      <c r="BD830">
        <v>0</v>
      </c>
      <c r="BE830">
        <v>0</v>
      </c>
      <c r="BF830">
        <v>0</v>
      </c>
      <c r="BG830">
        <v>0</v>
      </c>
      <c r="BH830" s="18">
        <v>0</v>
      </c>
      <c r="BI830">
        <v>1</v>
      </c>
      <c r="BJ830">
        <v>0</v>
      </c>
      <c r="BK830" s="18">
        <v>0</v>
      </c>
      <c r="BL830">
        <v>1963.666666666667</v>
      </c>
      <c r="BM830">
        <v>1276</v>
      </c>
      <c r="BN830" s="25">
        <v>19.16</v>
      </c>
      <c r="BO830">
        <v>0</v>
      </c>
      <c r="BP830">
        <v>0</v>
      </c>
      <c r="BQ830">
        <v>0</v>
      </c>
      <c r="BR830">
        <v>0</v>
      </c>
      <c r="BS830">
        <v>0</v>
      </c>
      <c r="BT830">
        <v>0</v>
      </c>
      <c r="BU830">
        <v>0</v>
      </c>
      <c r="BV830" s="18">
        <v>1</v>
      </c>
      <c r="BW830">
        <v>0</v>
      </c>
      <c r="BX830">
        <v>1</v>
      </c>
      <c r="BY830">
        <v>0</v>
      </c>
      <c r="BZ830" s="18">
        <v>0</v>
      </c>
      <c r="CA830">
        <v>0</v>
      </c>
      <c r="CB830">
        <v>0</v>
      </c>
      <c r="CC830">
        <v>0</v>
      </c>
      <c r="CD830">
        <v>0</v>
      </c>
      <c r="CE830">
        <v>0</v>
      </c>
      <c r="CF830" s="18">
        <v>0</v>
      </c>
      <c r="CG830">
        <v>0</v>
      </c>
      <c r="CH830">
        <v>0</v>
      </c>
      <c r="CI830">
        <v>0</v>
      </c>
      <c r="CJ830">
        <v>0</v>
      </c>
      <c r="CK830">
        <v>0</v>
      </c>
      <c r="CL830">
        <v>0</v>
      </c>
      <c r="CM830">
        <v>0</v>
      </c>
      <c r="CN830">
        <v>0</v>
      </c>
      <c r="CO830">
        <v>0</v>
      </c>
      <c r="CP830">
        <v>0</v>
      </c>
      <c r="CQ830" s="18">
        <v>0</v>
      </c>
      <c r="CR830">
        <v>4.149</v>
      </c>
      <c r="CS830">
        <v>8</v>
      </c>
      <c r="CT830">
        <v>1</v>
      </c>
      <c r="CU830">
        <v>0</v>
      </c>
      <c r="CV830">
        <v>23</v>
      </c>
      <c r="DB830" s="34"/>
    </row>
    <row r="831" spans="1:106" x14ac:dyDescent="0.25">
      <c r="A831">
        <v>830</v>
      </c>
      <c r="B831">
        <v>56</v>
      </c>
      <c r="C831" s="25" t="s">
        <v>4034</v>
      </c>
      <c r="D831" s="12">
        <v>1.4786177783066461</v>
      </c>
      <c r="E831" s="14">
        <v>5.218650982258749E-2</v>
      </c>
      <c r="F831" s="7">
        <v>28.333333333333339</v>
      </c>
      <c r="G831" s="7">
        <f t="shared" si="226"/>
        <v>1.4264312684840585</v>
      </c>
      <c r="H831" s="16">
        <f t="shared" si="227"/>
        <v>1.5308042881292336</v>
      </c>
      <c r="I831" s="11">
        <f t="shared" si="228"/>
        <v>0.14101111782312364</v>
      </c>
      <c r="J831" s="33">
        <f t="shared" si="229"/>
        <v>4.9768629819925978E-3</v>
      </c>
      <c r="K831" s="33">
        <f t="shared" si="230"/>
        <v>200.92978320243563</v>
      </c>
      <c r="L831" s="33">
        <f t="shared" si="231"/>
        <v>0.13603425484113105</v>
      </c>
      <c r="M831" s="43">
        <f t="shared" si="232"/>
        <v>0.14598798080511624</v>
      </c>
      <c r="N831" s="8">
        <v>0</v>
      </c>
      <c r="O831" s="9">
        <v>1</v>
      </c>
      <c r="P831" s="8">
        <v>0</v>
      </c>
      <c r="Q831" s="9">
        <v>0</v>
      </c>
      <c r="R831" s="9">
        <v>0</v>
      </c>
      <c r="S831" s="9">
        <v>1</v>
      </c>
      <c r="T831" s="9">
        <v>0</v>
      </c>
      <c r="U831" s="8">
        <v>39583</v>
      </c>
      <c r="V831" s="9">
        <v>12</v>
      </c>
      <c r="W831" s="9">
        <f t="shared" si="233"/>
        <v>39570</v>
      </c>
      <c r="X831" s="9">
        <f t="shared" si="234"/>
        <v>12</v>
      </c>
      <c r="Y831" s="7">
        <f t="shared" si="244"/>
        <v>9.3000000000000007</v>
      </c>
      <c r="Z831" s="7">
        <v>1</v>
      </c>
      <c r="AA831" s="9">
        <v>0</v>
      </c>
      <c r="AB831" s="9">
        <v>1</v>
      </c>
      <c r="AC831" s="9">
        <v>0</v>
      </c>
      <c r="AD831" s="9">
        <v>0</v>
      </c>
      <c r="AE831" s="9">
        <v>1</v>
      </c>
      <c r="AF831" s="9">
        <v>0</v>
      </c>
      <c r="AG831" s="8">
        <v>0</v>
      </c>
      <c r="AH831" s="9">
        <v>0</v>
      </c>
      <c r="AI831" s="30">
        <v>1</v>
      </c>
      <c r="AJ831" s="9">
        <v>0</v>
      </c>
      <c r="AK831" s="30">
        <v>1</v>
      </c>
      <c r="AL831" s="21">
        <v>2011</v>
      </c>
      <c r="AM831" s="23">
        <f t="shared" si="235"/>
        <v>7.6063873897726522</v>
      </c>
      <c r="AN831" s="33">
        <v>0</v>
      </c>
      <c r="AO831" s="33">
        <v>0.43</v>
      </c>
      <c r="AP831" s="33">
        <v>0.56000000000000005</v>
      </c>
      <c r="AQ831" s="43">
        <v>0</v>
      </c>
      <c r="AR831" s="42">
        <v>0.96</v>
      </c>
      <c r="AS831" s="18">
        <v>0.04</v>
      </c>
      <c r="AT831">
        <v>1</v>
      </c>
      <c r="AU831" s="40">
        <f t="shared" si="242"/>
        <v>0</v>
      </c>
      <c r="AV831" t="s">
        <v>104</v>
      </c>
      <c r="AW831" s="40" t="s">
        <v>104</v>
      </c>
      <c r="AX831">
        <v>1</v>
      </c>
      <c r="AY831" s="18">
        <v>0</v>
      </c>
      <c r="AZ831" t="s">
        <v>104</v>
      </c>
      <c r="BA831" s="18" t="s">
        <v>104</v>
      </c>
      <c r="BB831" s="18" t="s">
        <v>607</v>
      </c>
      <c r="BC831">
        <v>1</v>
      </c>
      <c r="BD831">
        <v>0</v>
      </c>
      <c r="BE831">
        <v>0</v>
      </c>
      <c r="BF831">
        <v>0</v>
      </c>
      <c r="BG831">
        <v>0</v>
      </c>
      <c r="BH831" s="18">
        <v>0</v>
      </c>
      <c r="BI831">
        <v>1</v>
      </c>
      <c r="BJ831">
        <v>0</v>
      </c>
      <c r="BK831" s="18">
        <v>0</v>
      </c>
      <c r="BL831">
        <v>1963.666666666667</v>
      </c>
      <c r="BM831">
        <v>1276</v>
      </c>
      <c r="BN831" s="25">
        <v>19.16</v>
      </c>
      <c r="BO831">
        <v>1</v>
      </c>
      <c r="BP831">
        <v>0</v>
      </c>
      <c r="BQ831">
        <v>0</v>
      </c>
      <c r="BR831">
        <v>0</v>
      </c>
      <c r="BS831">
        <v>0</v>
      </c>
      <c r="BT831">
        <v>0</v>
      </c>
      <c r="BU831">
        <v>0</v>
      </c>
      <c r="BV831" s="18">
        <v>0</v>
      </c>
      <c r="BW831">
        <v>0</v>
      </c>
      <c r="BX831">
        <v>1</v>
      </c>
      <c r="BY831">
        <v>0</v>
      </c>
      <c r="BZ831" s="18">
        <v>0</v>
      </c>
      <c r="CA831">
        <v>0</v>
      </c>
      <c r="CB831">
        <v>0</v>
      </c>
      <c r="CC831">
        <v>0</v>
      </c>
      <c r="CD831">
        <v>0</v>
      </c>
      <c r="CE831">
        <v>0</v>
      </c>
      <c r="CF831" s="18">
        <v>0</v>
      </c>
      <c r="CG831">
        <v>0</v>
      </c>
      <c r="CH831">
        <v>0</v>
      </c>
      <c r="CI831">
        <v>0</v>
      </c>
      <c r="CJ831">
        <v>0</v>
      </c>
      <c r="CK831">
        <v>1</v>
      </c>
      <c r="CL831">
        <v>0</v>
      </c>
      <c r="CM831">
        <v>1</v>
      </c>
      <c r="CN831">
        <v>0</v>
      </c>
      <c r="CO831">
        <v>0</v>
      </c>
      <c r="CP831">
        <v>0</v>
      </c>
      <c r="CQ831" s="18">
        <v>0</v>
      </c>
      <c r="CR831">
        <v>4.149</v>
      </c>
      <c r="CS831">
        <v>8</v>
      </c>
      <c r="CT831">
        <v>1</v>
      </c>
      <c r="CU831">
        <v>0</v>
      </c>
      <c r="CV831">
        <v>23</v>
      </c>
      <c r="DB831" s="34"/>
    </row>
    <row r="832" spans="1:106" x14ac:dyDescent="0.25">
      <c r="A832">
        <v>831</v>
      </c>
      <c r="B832">
        <v>56</v>
      </c>
      <c r="C832" s="25" t="s">
        <v>4034</v>
      </c>
      <c r="D832" s="12">
        <v>-1.449704818345571</v>
      </c>
      <c r="E832" s="14">
        <v>0.3504780879516764</v>
      </c>
      <c r="F832" s="7">
        <v>-4.1363636363636367</v>
      </c>
      <c r="G832" s="7">
        <f t="shared" si="226"/>
        <v>-1.8001829062972474</v>
      </c>
      <c r="H832" s="16">
        <f t="shared" si="227"/>
        <v>-1.0992267303938945</v>
      </c>
      <c r="I832" s="11">
        <f t="shared" si="228"/>
        <v>-2.0790181071080629E-2</v>
      </c>
      <c r="J832" s="33">
        <f t="shared" si="229"/>
        <v>5.0261976215799321E-3</v>
      </c>
      <c r="K832" s="33">
        <f t="shared" si="230"/>
        <v>198.95755704202904</v>
      </c>
      <c r="L832" s="33">
        <f t="shared" si="231"/>
        <v>-2.5816378692660562E-2</v>
      </c>
      <c r="M832" s="43">
        <f t="shared" si="232"/>
        <v>-1.5763983449500696E-2</v>
      </c>
      <c r="N832" s="8">
        <v>0</v>
      </c>
      <c r="O832" s="9">
        <v>1</v>
      </c>
      <c r="P832" s="8">
        <v>0</v>
      </c>
      <c r="Q832" s="9">
        <v>0</v>
      </c>
      <c r="R832" s="9">
        <v>0</v>
      </c>
      <c r="S832" s="9">
        <v>1</v>
      </c>
      <c r="T832" s="9">
        <v>0</v>
      </c>
      <c r="U832" s="8">
        <v>39583</v>
      </c>
      <c r="V832" s="9">
        <v>15</v>
      </c>
      <c r="W832" s="9">
        <f t="shared" si="233"/>
        <v>39567</v>
      </c>
      <c r="X832" s="9">
        <f t="shared" si="234"/>
        <v>12</v>
      </c>
      <c r="Y832" s="7">
        <f t="shared" si="244"/>
        <v>9.3000000000000007</v>
      </c>
      <c r="Z832" s="7">
        <v>1</v>
      </c>
      <c r="AA832" s="9">
        <v>0</v>
      </c>
      <c r="AB832" s="9">
        <v>1</v>
      </c>
      <c r="AC832" s="9">
        <v>0</v>
      </c>
      <c r="AD832" s="9">
        <v>0</v>
      </c>
      <c r="AE832" s="9">
        <v>1</v>
      </c>
      <c r="AF832" s="9">
        <v>0</v>
      </c>
      <c r="AG832" s="8">
        <v>0</v>
      </c>
      <c r="AH832" s="9">
        <v>0</v>
      </c>
      <c r="AI832" s="30">
        <v>1</v>
      </c>
      <c r="AJ832" s="9">
        <v>0</v>
      </c>
      <c r="AK832" s="30">
        <v>1</v>
      </c>
      <c r="AL832" s="21">
        <v>2011</v>
      </c>
      <c r="AM832" s="23">
        <f t="shared" si="235"/>
        <v>7.6063873897726522</v>
      </c>
      <c r="AN832" s="33">
        <v>0</v>
      </c>
      <c r="AO832" s="33">
        <v>0.43</v>
      </c>
      <c r="AP832" s="33">
        <v>0.56000000000000005</v>
      </c>
      <c r="AQ832" s="43">
        <v>0</v>
      </c>
      <c r="AR832" s="42">
        <v>0.96</v>
      </c>
      <c r="AS832" s="18">
        <v>0.04</v>
      </c>
      <c r="AT832">
        <v>1</v>
      </c>
      <c r="AU832" s="40">
        <f t="shared" si="242"/>
        <v>0</v>
      </c>
      <c r="AV832" t="s">
        <v>104</v>
      </c>
      <c r="AW832" s="40" t="s">
        <v>104</v>
      </c>
      <c r="AX832">
        <v>1</v>
      </c>
      <c r="AY832" s="18">
        <v>0</v>
      </c>
      <c r="AZ832" t="s">
        <v>104</v>
      </c>
      <c r="BA832" s="18" t="s">
        <v>104</v>
      </c>
      <c r="BB832" s="18" t="s">
        <v>607</v>
      </c>
      <c r="BC832">
        <v>1</v>
      </c>
      <c r="BD832">
        <v>0</v>
      </c>
      <c r="BE832">
        <v>0</v>
      </c>
      <c r="BF832">
        <v>0</v>
      </c>
      <c r="BG832">
        <v>0</v>
      </c>
      <c r="BH832" s="18">
        <v>0</v>
      </c>
      <c r="BI832">
        <v>1</v>
      </c>
      <c r="BJ832">
        <v>0</v>
      </c>
      <c r="BK832" s="18">
        <v>0</v>
      </c>
      <c r="BL832">
        <v>1963.666666666667</v>
      </c>
      <c r="BM832">
        <v>1276</v>
      </c>
      <c r="BN832" s="25">
        <v>19.16</v>
      </c>
      <c r="BO832">
        <v>0</v>
      </c>
      <c r="BP832">
        <v>0</v>
      </c>
      <c r="BQ832">
        <v>0</v>
      </c>
      <c r="BR832">
        <v>0</v>
      </c>
      <c r="BS832">
        <v>0</v>
      </c>
      <c r="BT832">
        <v>0</v>
      </c>
      <c r="BU832">
        <v>0</v>
      </c>
      <c r="BV832" s="18">
        <v>1</v>
      </c>
      <c r="BW832">
        <v>0</v>
      </c>
      <c r="BX832">
        <v>1</v>
      </c>
      <c r="BY832">
        <v>0</v>
      </c>
      <c r="BZ832" s="18">
        <v>0</v>
      </c>
      <c r="CA832">
        <v>0</v>
      </c>
      <c r="CB832">
        <v>0</v>
      </c>
      <c r="CC832">
        <v>0</v>
      </c>
      <c r="CD832">
        <v>0</v>
      </c>
      <c r="CE832">
        <v>0</v>
      </c>
      <c r="CF832" s="18">
        <v>0</v>
      </c>
      <c r="CG832">
        <v>0</v>
      </c>
      <c r="CH832">
        <v>0</v>
      </c>
      <c r="CI832">
        <v>0</v>
      </c>
      <c r="CJ832">
        <v>0</v>
      </c>
      <c r="CK832">
        <v>1</v>
      </c>
      <c r="CL832">
        <v>0</v>
      </c>
      <c r="CM832">
        <v>1</v>
      </c>
      <c r="CN832">
        <v>0</v>
      </c>
      <c r="CO832">
        <v>0</v>
      </c>
      <c r="CP832">
        <v>0</v>
      </c>
      <c r="CQ832" s="18">
        <v>0</v>
      </c>
      <c r="CR832">
        <v>4.149</v>
      </c>
      <c r="CS832">
        <v>8</v>
      </c>
      <c r="CT832">
        <v>1</v>
      </c>
      <c r="CU832">
        <v>0</v>
      </c>
      <c r="CV832">
        <v>23</v>
      </c>
      <c r="DB832" s="34"/>
    </row>
    <row r="833" spans="1:106" x14ac:dyDescent="0.25">
      <c r="A833">
        <v>832</v>
      </c>
      <c r="B833">
        <v>56</v>
      </c>
      <c r="C833" s="25" t="s">
        <v>4034</v>
      </c>
      <c r="D833" s="12">
        <v>0.88959570855607906</v>
      </c>
      <c r="E833" s="14">
        <v>5.1322829339773793E-2</v>
      </c>
      <c r="F833" s="7">
        <v>17.333333333333329</v>
      </c>
      <c r="G833" s="7">
        <f t="shared" si="226"/>
        <v>0.83827287921630522</v>
      </c>
      <c r="H833" s="16">
        <f t="shared" si="227"/>
        <v>0.94091853789585289</v>
      </c>
      <c r="I833" s="11">
        <f t="shared" si="228"/>
        <v>0.12206135585639513</v>
      </c>
      <c r="J833" s="33">
        <f t="shared" si="229"/>
        <v>7.0420012994074129E-3</v>
      </c>
      <c r="K833" s="33">
        <f t="shared" si="230"/>
        <v>142.00508598090579</v>
      </c>
      <c r="L833" s="33">
        <f t="shared" si="231"/>
        <v>0.11501935455698772</v>
      </c>
      <c r="M833" s="43">
        <f t="shared" si="232"/>
        <v>0.12910335715580254</v>
      </c>
      <c r="N833" s="8">
        <v>0</v>
      </c>
      <c r="O833" s="9">
        <v>1</v>
      </c>
      <c r="P833" s="8">
        <v>0</v>
      </c>
      <c r="Q833" s="9">
        <v>0</v>
      </c>
      <c r="R833" s="9">
        <v>0</v>
      </c>
      <c r="S833" s="9">
        <v>1</v>
      </c>
      <c r="T833" s="9">
        <v>0</v>
      </c>
      <c r="U833" s="8">
        <v>19878</v>
      </c>
      <c r="V833" s="9">
        <v>12</v>
      </c>
      <c r="W833" s="9">
        <f t="shared" si="233"/>
        <v>19865</v>
      </c>
      <c r="X833" s="9">
        <f t="shared" si="234"/>
        <v>12</v>
      </c>
      <c r="Y833" s="7">
        <f t="shared" si="244"/>
        <v>9.3000000000000007</v>
      </c>
      <c r="Z833" s="7">
        <v>1</v>
      </c>
      <c r="AA833" s="9">
        <v>0</v>
      </c>
      <c r="AB833" s="9">
        <v>1</v>
      </c>
      <c r="AC833" s="9">
        <v>0</v>
      </c>
      <c r="AD833" s="9">
        <v>0</v>
      </c>
      <c r="AE833" s="9">
        <v>1</v>
      </c>
      <c r="AF833" s="9">
        <v>0</v>
      </c>
      <c r="AG833" s="8">
        <v>0</v>
      </c>
      <c r="AH833" s="9">
        <v>0</v>
      </c>
      <c r="AI833" s="30">
        <v>1</v>
      </c>
      <c r="AJ833" s="9">
        <v>0</v>
      </c>
      <c r="AK833" s="30">
        <v>1</v>
      </c>
      <c r="AL833" s="21">
        <v>2011</v>
      </c>
      <c r="AM833" s="23">
        <f t="shared" si="235"/>
        <v>7.6063873897726522</v>
      </c>
      <c r="AN833" s="33">
        <v>0</v>
      </c>
      <c r="AO833" s="33">
        <v>0.43</v>
      </c>
      <c r="AP833" s="33">
        <v>0.56000000000000005</v>
      </c>
      <c r="AQ833" s="43">
        <v>0</v>
      </c>
      <c r="AR833" s="42">
        <v>0.96</v>
      </c>
      <c r="AS833" s="18">
        <v>0.04</v>
      </c>
      <c r="AT833">
        <v>0</v>
      </c>
      <c r="AU833" s="40">
        <f t="shared" si="242"/>
        <v>1</v>
      </c>
      <c r="AV833" t="s">
        <v>104</v>
      </c>
      <c r="AW833" s="40" t="s">
        <v>104</v>
      </c>
      <c r="AX833">
        <v>1</v>
      </c>
      <c r="AY833" s="18">
        <v>0</v>
      </c>
      <c r="AZ833" t="s">
        <v>104</v>
      </c>
      <c r="BA833" s="18" t="s">
        <v>104</v>
      </c>
      <c r="BB833" s="18" t="s">
        <v>607</v>
      </c>
      <c r="BC833">
        <v>1</v>
      </c>
      <c r="BD833">
        <v>0</v>
      </c>
      <c r="BE833">
        <v>0</v>
      </c>
      <c r="BF833">
        <v>0</v>
      </c>
      <c r="BG833">
        <v>0</v>
      </c>
      <c r="BH833" s="18">
        <v>0</v>
      </c>
      <c r="BI833">
        <v>1</v>
      </c>
      <c r="BJ833">
        <v>0</v>
      </c>
      <c r="BK833" s="18">
        <v>0</v>
      </c>
      <c r="BL833">
        <v>1963.666666666667</v>
      </c>
      <c r="BM833">
        <v>1276</v>
      </c>
      <c r="BN833" s="25">
        <v>19.16</v>
      </c>
      <c r="BO833">
        <v>1</v>
      </c>
      <c r="BP833">
        <v>0</v>
      </c>
      <c r="BQ833">
        <v>0</v>
      </c>
      <c r="BR833">
        <v>0</v>
      </c>
      <c r="BS833">
        <v>0</v>
      </c>
      <c r="BT833">
        <v>0</v>
      </c>
      <c r="BU833">
        <v>0</v>
      </c>
      <c r="BV833" s="18">
        <v>0</v>
      </c>
      <c r="BW833">
        <v>0</v>
      </c>
      <c r="BX833">
        <v>1</v>
      </c>
      <c r="BY833">
        <v>0</v>
      </c>
      <c r="BZ833" s="18">
        <v>0</v>
      </c>
      <c r="CA833">
        <v>0</v>
      </c>
      <c r="CB833">
        <v>0</v>
      </c>
      <c r="CC833">
        <v>0</v>
      </c>
      <c r="CD833">
        <v>0</v>
      </c>
      <c r="CE833">
        <v>0</v>
      </c>
      <c r="CF833" s="18">
        <v>0</v>
      </c>
      <c r="CG833">
        <v>0</v>
      </c>
      <c r="CH833">
        <v>0</v>
      </c>
      <c r="CI833">
        <v>0</v>
      </c>
      <c r="CJ833">
        <v>0</v>
      </c>
      <c r="CK833">
        <v>0</v>
      </c>
      <c r="CL833">
        <v>0</v>
      </c>
      <c r="CM833">
        <v>0</v>
      </c>
      <c r="CN833">
        <v>0</v>
      </c>
      <c r="CO833">
        <v>0</v>
      </c>
      <c r="CP833">
        <v>0</v>
      </c>
      <c r="CQ833" s="18">
        <v>0</v>
      </c>
      <c r="CR833">
        <v>4.149</v>
      </c>
      <c r="CS833">
        <v>8</v>
      </c>
      <c r="CT833">
        <v>1</v>
      </c>
      <c r="CU833">
        <v>0</v>
      </c>
      <c r="CV833">
        <v>23</v>
      </c>
      <c r="DB833" s="34"/>
    </row>
    <row r="834" spans="1:106" x14ac:dyDescent="0.25">
      <c r="A834">
        <v>833</v>
      </c>
      <c r="B834">
        <v>56</v>
      </c>
      <c r="C834" s="25" t="s">
        <v>4034</v>
      </c>
      <c r="D834" s="12">
        <v>4.1428562977380592</v>
      </c>
      <c r="E834" s="14">
        <v>0.46653787136689862</v>
      </c>
      <c r="F834" s="7">
        <v>8.879999999999999</v>
      </c>
      <c r="G834" s="7">
        <f t="shared" ref="G834:G897" si="245">D834-E834</f>
        <v>3.6763184263711608</v>
      </c>
      <c r="H834" s="16">
        <f t="shared" ref="H834:H897" si="246">D834+E834</f>
        <v>4.6093941691049576</v>
      </c>
      <c r="I834" s="11">
        <f t="shared" ref="I834:I897" si="247">IFERROR(F834/SQRT(F834^2+W834), "X")</f>
        <v>6.2884134011304604E-2</v>
      </c>
      <c r="J834" s="33">
        <f t="shared" ref="J834:J897" si="248">IFERROR(SQRT((1-I834^2)/W834), "X")</f>
        <v>7.0815466228946631E-3</v>
      </c>
      <c r="K834" s="33">
        <f t="shared" ref="K834:K897" si="249">IFERROR(1/J834, "X")</f>
        <v>141.21209013395418</v>
      </c>
      <c r="L834" s="33">
        <f t="shared" ref="L834:L897" si="250">IFERROR(I834-J834, "X")</f>
        <v>5.5802587388409944E-2</v>
      </c>
      <c r="M834" s="43">
        <f t="shared" ref="M834:M897" si="251">IFERROR(I834+J834, "X")</f>
        <v>6.9965680634199265E-2</v>
      </c>
      <c r="N834" s="8">
        <v>0</v>
      </c>
      <c r="O834" s="9">
        <v>1</v>
      </c>
      <c r="P834" s="8">
        <v>0</v>
      </c>
      <c r="Q834" s="9">
        <v>0</v>
      </c>
      <c r="R834" s="9">
        <v>0</v>
      </c>
      <c r="S834" s="9">
        <v>1</v>
      </c>
      <c r="T834" s="9">
        <v>0</v>
      </c>
      <c r="U834" s="8">
        <v>19878</v>
      </c>
      <c r="V834" s="9">
        <v>15</v>
      </c>
      <c r="W834" s="9">
        <f t="shared" ref="W834:W897" si="252">U834-V834-1</f>
        <v>19862</v>
      </c>
      <c r="X834" s="9">
        <f t="shared" ref="X834:X897" si="253">COUNTIF(B:B,B834)</f>
        <v>12</v>
      </c>
      <c r="Y834" s="7">
        <f t="shared" si="244"/>
        <v>9.3000000000000007</v>
      </c>
      <c r="Z834" s="7">
        <v>1</v>
      </c>
      <c r="AA834" s="9">
        <v>0</v>
      </c>
      <c r="AB834" s="9">
        <v>1</v>
      </c>
      <c r="AC834" s="9">
        <v>0</v>
      </c>
      <c r="AD834" s="9">
        <v>0</v>
      </c>
      <c r="AE834" s="9">
        <v>1</v>
      </c>
      <c r="AF834" s="9">
        <v>0</v>
      </c>
      <c r="AG834" s="8">
        <v>0</v>
      </c>
      <c r="AH834" s="9">
        <v>0</v>
      </c>
      <c r="AI834" s="30">
        <v>1</v>
      </c>
      <c r="AJ834" s="9">
        <v>0</v>
      </c>
      <c r="AK834" s="30">
        <v>1</v>
      </c>
      <c r="AL834" s="21">
        <v>2011</v>
      </c>
      <c r="AM834" s="23">
        <f t="shared" ref="AM834:AM897" si="254">LN(AL834)</f>
        <v>7.6063873897726522</v>
      </c>
      <c r="AN834" s="33">
        <v>0</v>
      </c>
      <c r="AO834" s="33">
        <v>0.43</v>
      </c>
      <c r="AP834" s="33">
        <v>0.56000000000000005</v>
      </c>
      <c r="AQ834" s="43">
        <v>0</v>
      </c>
      <c r="AR834" s="42">
        <v>0.96</v>
      </c>
      <c r="AS834" s="18">
        <v>0.04</v>
      </c>
      <c r="AT834">
        <v>0</v>
      </c>
      <c r="AU834" s="40">
        <f t="shared" si="242"/>
        <v>1</v>
      </c>
      <c r="AV834" t="s">
        <v>104</v>
      </c>
      <c r="AW834" s="40" t="s">
        <v>104</v>
      </c>
      <c r="AX834">
        <v>1</v>
      </c>
      <c r="AY834" s="18">
        <v>0</v>
      </c>
      <c r="AZ834" t="s">
        <v>104</v>
      </c>
      <c r="BA834" s="18" t="s">
        <v>104</v>
      </c>
      <c r="BB834" s="18" t="s">
        <v>607</v>
      </c>
      <c r="BC834">
        <v>1</v>
      </c>
      <c r="BD834">
        <v>0</v>
      </c>
      <c r="BE834">
        <v>0</v>
      </c>
      <c r="BF834">
        <v>0</v>
      </c>
      <c r="BG834">
        <v>0</v>
      </c>
      <c r="BH834" s="18">
        <v>0</v>
      </c>
      <c r="BI834">
        <v>1</v>
      </c>
      <c r="BJ834">
        <v>0</v>
      </c>
      <c r="BK834" s="18">
        <v>0</v>
      </c>
      <c r="BL834">
        <v>1963.666666666667</v>
      </c>
      <c r="BM834">
        <v>1276</v>
      </c>
      <c r="BN834" s="25">
        <v>19.16</v>
      </c>
      <c r="BO834">
        <v>0</v>
      </c>
      <c r="BP834">
        <v>0</v>
      </c>
      <c r="BQ834">
        <v>0</v>
      </c>
      <c r="BR834">
        <v>0</v>
      </c>
      <c r="BS834">
        <v>0</v>
      </c>
      <c r="BT834">
        <v>0</v>
      </c>
      <c r="BU834">
        <v>0</v>
      </c>
      <c r="BV834" s="18">
        <v>1</v>
      </c>
      <c r="BW834">
        <v>0</v>
      </c>
      <c r="BX834">
        <v>1</v>
      </c>
      <c r="BY834">
        <v>0</v>
      </c>
      <c r="BZ834" s="18">
        <v>0</v>
      </c>
      <c r="CA834">
        <v>0</v>
      </c>
      <c r="CB834">
        <v>0</v>
      </c>
      <c r="CC834">
        <v>0</v>
      </c>
      <c r="CD834">
        <v>0</v>
      </c>
      <c r="CE834">
        <v>0</v>
      </c>
      <c r="CF834" s="18">
        <v>0</v>
      </c>
      <c r="CG834">
        <v>0</v>
      </c>
      <c r="CH834">
        <v>0</v>
      </c>
      <c r="CI834">
        <v>0</v>
      </c>
      <c r="CJ834">
        <v>0</v>
      </c>
      <c r="CK834">
        <v>0</v>
      </c>
      <c r="CL834">
        <v>0</v>
      </c>
      <c r="CM834">
        <v>0</v>
      </c>
      <c r="CN834">
        <v>0</v>
      </c>
      <c r="CO834">
        <v>0</v>
      </c>
      <c r="CP834">
        <v>0</v>
      </c>
      <c r="CQ834" s="18">
        <v>0</v>
      </c>
      <c r="CR834">
        <v>4.149</v>
      </c>
      <c r="CS834">
        <v>8</v>
      </c>
      <c r="CT834">
        <v>1</v>
      </c>
      <c r="CU834">
        <v>0</v>
      </c>
      <c r="CV834">
        <v>23</v>
      </c>
      <c r="DB834" s="34"/>
    </row>
    <row r="835" spans="1:106" x14ac:dyDescent="0.25">
      <c r="A835">
        <v>834</v>
      </c>
      <c r="B835">
        <v>56</v>
      </c>
      <c r="C835" s="25" t="s">
        <v>4034</v>
      </c>
      <c r="D835" s="12">
        <v>0.6282170139692862</v>
      </c>
      <c r="E835" s="14">
        <v>5.0936514646158337E-2</v>
      </c>
      <c r="F835" s="7">
        <v>12.33333333333333</v>
      </c>
      <c r="G835" s="7">
        <f t="shared" si="245"/>
        <v>0.57728049932312786</v>
      </c>
      <c r="H835" s="16">
        <f t="shared" si="246"/>
        <v>0.67915352861544453</v>
      </c>
      <c r="I835" s="11">
        <f t="shared" si="247"/>
        <v>8.7172553837586486E-2</v>
      </c>
      <c r="J835" s="33">
        <f t="shared" si="248"/>
        <v>7.0680449057502559E-3</v>
      </c>
      <c r="K835" s="33">
        <f t="shared" si="249"/>
        <v>141.48184021672574</v>
      </c>
      <c r="L835" s="33">
        <f t="shared" si="250"/>
        <v>8.0104508931836224E-2</v>
      </c>
      <c r="M835" s="43">
        <f t="shared" si="251"/>
        <v>9.4240598743336748E-2</v>
      </c>
      <c r="N835" s="8">
        <v>0</v>
      </c>
      <c r="O835" s="9">
        <v>1</v>
      </c>
      <c r="P835" s="8">
        <v>0</v>
      </c>
      <c r="Q835" s="9">
        <v>0</v>
      </c>
      <c r="R835" s="9">
        <v>0</v>
      </c>
      <c r="S835" s="9">
        <v>1</v>
      </c>
      <c r="T835" s="9">
        <v>0</v>
      </c>
      <c r="U835" s="8">
        <v>19878</v>
      </c>
      <c r="V835" s="9">
        <v>12</v>
      </c>
      <c r="W835" s="9">
        <f t="shared" si="252"/>
        <v>19865</v>
      </c>
      <c r="X835" s="9">
        <f t="shared" si="253"/>
        <v>12</v>
      </c>
      <c r="Y835" s="7">
        <f t="shared" si="244"/>
        <v>9.3000000000000007</v>
      </c>
      <c r="Z835" s="7">
        <v>1</v>
      </c>
      <c r="AA835" s="9">
        <v>0</v>
      </c>
      <c r="AB835" s="9">
        <v>1</v>
      </c>
      <c r="AC835" s="9">
        <v>0</v>
      </c>
      <c r="AD835" s="9">
        <v>0</v>
      </c>
      <c r="AE835" s="9">
        <v>1</v>
      </c>
      <c r="AF835" s="9">
        <v>0</v>
      </c>
      <c r="AG835" s="8">
        <v>0</v>
      </c>
      <c r="AH835" s="9">
        <v>0</v>
      </c>
      <c r="AI835" s="30">
        <v>1</v>
      </c>
      <c r="AJ835" s="9">
        <v>0</v>
      </c>
      <c r="AK835" s="30">
        <v>1</v>
      </c>
      <c r="AL835" s="21">
        <v>2011</v>
      </c>
      <c r="AM835" s="23">
        <f t="shared" si="254"/>
        <v>7.6063873897726522</v>
      </c>
      <c r="AN835" s="33">
        <v>0</v>
      </c>
      <c r="AO835" s="33">
        <v>0.43</v>
      </c>
      <c r="AP835" s="33">
        <v>0.56000000000000005</v>
      </c>
      <c r="AQ835" s="43">
        <v>0</v>
      </c>
      <c r="AR835" s="42">
        <v>0.96</v>
      </c>
      <c r="AS835" s="18">
        <v>0.04</v>
      </c>
      <c r="AT835">
        <v>0</v>
      </c>
      <c r="AU835" s="40">
        <f t="shared" si="242"/>
        <v>1</v>
      </c>
      <c r="AV835" t="s">
        <v>104</v>
      </c>
      <c r="AW835" s="40" t="s">
        <v>104</v>
      </c>
      <c r="AX835">
        <v>1</v>
      </c>
      <c r="AY835" s="18">
        <v>0</v>
      </c>
      <c r="AZ835" t="s">
        <v>104</v>
      </c>
      <c r="BA835" s="18" t="s">
        <v>104</v>
      </c>
      <c r="BB835" s="18" t="s">
        <v>607</v>
      </c>
      <c r="BC835">
        <v>1</v>
      </c>
      <c r="BD835">
        <v>0</v>
      </c>
      <c r="BE835">
        <v>0</v>
      </c>
      <c r="BF835">
        <v>0</v>
      </c>
      <c r="BG835">
        <v>0</v>
      </c>
      <c r="BH835" s="18">
        <v>0</v>
      </c>
      <c r="BI835">
        <v>1</v>
      </c>
      <c r="BJ835">
        <v>0</v>
      </c>
      <c r="BK835" s="18">
        <v>0</v>
      </c>
      <c r="BL835">
        <v>1963.666666666667</v>
      </c>
      <c r="BM835">
        <v>1276</v>
      </c>
      <c r="BN835" s="25">
        <v>19.16</v>
      </c>
      <c r="BO835">
        <v>1</v>
      </c>
      <c r="BP835">
        <v>0</v>
      </c>
      <c r="BQ835">
        <v>0</v>
      </c>
      <c r="BR835">
        <v>0</v>
      </c>
      <c r="BS835">
        <v>0</v>
      </c>
      <c r="BT835">
        <v>0</v>
      </c>
      <c r="BU835">
        <v>0</v>
      </c>
      <c r="BV835" s="18">
        <v>0</v>
      </c>
      <c r="BW835">
        <v>0</v>
      </c>
      <c r="BX835">
        <v>1</v>
      </c>
      <c r="BY835">
        <v>0</v>
      </c>
      <c r="BZ835" s="18">
        <v>0</v>
      </c>
      <c r="CA835">
        <v>0</v>
      </c>
      <c r="CB835">
        <v>0</v>
      </c>
      <c r="CC835">
        <v>0</v>
      </c>
      <c r="CD835">
        <v>0</v>
      </c>
      <c r="CE835">
        <v>0</v>
      </c>
      <c r="CF835" s="18">
        <v>0</v>
      </c>
      <c r="CG835">
        <v>0</v>
      </c>
      <c r="CH835">
        <v>0</v>
      </c>
      <c r="CI835">
        <v>0</v>
      </c>
      <c r="CJ835">
        <v>0</v>
      </c>
      <c r="CK835">
        <v>1</v>
      </c>
      <c r="CL835">
        <v>0</v>
      </c>
      <c r="CM835">
        <v>1</v>
      </c>
      <c r="CN835">
        <v>0</v>
      </c>
      <c r="CO835">
        <v>0</v>
      </c>
      <c r="CP835">
        <v>0</v>
      </c>
      <c r="CQ835" s="18">
        <v>0</v>
      </c>
      <c r="CR835">
        <v>4.149</v>
      </c>
      <c r="CS835">
        <v>8</v>
      </c>
      <c r="CT835">
        <v>1</v>
      </c>
      <c r="CU835">
        <v>0</v>
      </c>
      <c r="CV835">
        <v>23</v>
      </c>
      <c r="DB835" s="34"/>
    </row>
    <row r="836" spans="1:106" x14ac:dyDescent="0.25">
      <c r="A836">
        <v>835</v>
      </c>
      <c r="B836">
        <v>56</v>
      </c>
      <c r="C836" s="25" t="s">
        <v>4034</v>
      </c>
      <c r="D836" s="12">
        <v>4.3100001654912976</v>
      </c>
      <c r="E836" s="14">
        <v>0.65586959040084969</v>
      </c>
      <c r="F836" s="7">
        <v>6.5714285714285712</v>
      </c>
      <c r="G836" s="152">
        <f t="shared" si="245"/>
        <v>3.654130575090448</v>
      </c>
      <c r="H836" s="153">
        <f t="shared" si="246"/>
        <v>4.9658697558921476</v>
      </c>
      <c r="I836" s="154">
        <f t="shared" si="247"/>
        <v>4.6577556035354413E-2</v>
      </c>
      <c r="J836" s="155">
        <f t="shared" si="248"/>
        <v>7.0878889619017584E-3</v>
      </c>
      <c r="K836" s="155">
        <f t="shared" si="249"/>
        <v>141.08573164381076</v>
      </c>
      <c r="L836" s="155">
        <f t="shared" si="250"/>
        <v>3.9489667073452653E-2</v>
      </c>
      <c r="M836" s="155">
        <f t="shared" si="251"/>
        <v>5.3665444997256173E-2</v>
      </c>
      <c r="N836" s="8">
        <v>0</v>
      </c>
      <c r="O836" s="9">
        <v>1</v>
      </c>
      <c r="P836" s="8">
        <v>0</v>
      </c>
      <c r="Q836" s="9">
        <v>0</v>
      </c>
      <c r="R836" s="9">
        <v>0</v>
      </c>
      <c r="S836" s="9">
        <v>1</v>
      </c>
      <c r="T836" s="9">
        <v>0</v>
      </c>
      <c r="U836" s="8">
        <v>19878</v>
      </c>
      <c r="V836" s="9">
        <v>15</v>
      </c>
      <c r="W836" s="9">
        <f t="shared" si="252"/>
        <v>19862</v>
      </c>
      <c r="X836" s="9">
        <f t="shared" si="253"/>
        <v>12</v>
      </c>
      <c r="Y836" s="7">
        <f t="shared" si="244"/>
        <v>9.3000000000000007</v>
      </c>
      <c r="Z836" s="7">
        <v>1</v>
      </c>
      <c r="AA836" s="9">
        <v>0</v>
      </c>
      <c r="AB836" s="9">
        <v>1</v>
      </c>
      <c r="AC836" s="9">
        <v>0</v>
      </c>
      <c r="AD836" s="9">
        <v>0</v>
      </c>
      <c r="AE836" s="9">
        <v>1</v>
      </c>
      <c r="AF836" s="9">
        <v>0</v>
      </c>
      <c r="AG836" s="8">
        <v>0</v>
      </c>
      <c r="AH836" s="9">
        <v>0</v>
      </c>
      <c r="AI836" s="30">
        <v>1</v>
      </c>
      <c r="AJ836" s="9">
        <v>0</v>
      </c>
      <c r="AK836" s="30">
        <v>1</v>
      </c>
      <c r="AL836" s="21">
        <v>2011</v>
      </c>
      <c r="AM836" s="23">
        <f t="shared" si="254"/>
        <v>7.6063873897726522</v>
      </c>
      <c r="AN836" s="33">
        <v>0</v>
      </c>
      <c r="AO836" s="33">
        <v>0.43</v>
      </c>
      <c r="AP836" s="33">
        <v>0.56000000000000005</v>
      </c>
      <c r="AQ836" s="43">
        <v>0</v>
      </c>
      <c r="AR836" s="42">
        <v>0.96</v>
      </c>
      <c r="AS836" s="18">
        <v>0.04</v>
      </c>
      <c r="AT836">
        <v>0</v>
      </c>
      <c r="AU836" s="40">
        <f t="shared" si="242"/>
        <v>1</v>
      </c>
      <c r="AV836" t="s">
        <v>104</v>
      </c>
      <c r="AW836" s="40" t="s">
        <v>104</v>
      </c>
      <c r="AX836">
        <v>1</v>
      </c>
      <c r="AY836" s="18">
        <v>0</v>
      </c>
      <c r="AZ836" t="s">
        <v>104</v>
      </c>
      <c r="BA836" s="18" t="s">
        <v>104</v>
      </c>
      <c r="BB836" s="18" t="s">
        <v>607</v>
      </c>
      <c r="BC836">
        <v>1</v>
      </c>
      <c r="BD836">
        <v>0</v>
      </c>
      <c r="BE836">
        <v>0</v>
      </c>
      <c r="BF836">
        <v>0</v>
      </c>
      <c r="BG836">
        <v>0</v>
      </c>
      <c r="BH836" s="18">
        <v>0</v>
      </c>
      <c r="BI836">
        <v>1</v>
      </c>
      <c r="BJ836">
        <v>0</v>
      </c>
      <c r="BK836" s="18">
        <v>0</v>
      </c>
      <c r="BL836">
        <v>1963.666666666667</v>
      </c>
      <c r="BM836">
        <v>1276</v>
      </c>
      <c r="BN836" s="25">
        <v>19.16</v>
      </c>
      <c r="BO836">
        <v>0</v>
      </c>
      <c r="BP836">
        <v>0</v>
      </c>
      <c r="BQ836">
        <v>0</v>
      </c>
      <c r="BR836">
        <v>0</v>
      </c>
      <c r="BS836">
        <v>0</v>
      </c>
      <c r="BT836">
        <v>0</v>
      </c>
      <c r="BU836">
        <v>0</v>
      </c>
      <c r="BV836" s="18">
        <v>1</v>
      </c>
      <c r="BW836">
        <v>0</v>
      </c>
      <c r="BX836">
        <v>1</v>
      </c>
      <c r="BY836">
        <v>0</v>
      </c>
      <c r="BZ836" s="18">
        <v>0</v>
      </c>
      <c r="CA836">
        <v>0</v>
      </c>
      <c r="CB836">
        <v>0</v>
      </c>
      <c r="CC836">
        <v>0</v>
      </c>
      <c r="CD836">
        <v>0</v>
      </c>
      <c r="CE836">
        <v>0</v>
      </c>
      <c r="CF836" s="18">
        <v>0</v>
      </c>
      <c r="CG836">
        <v>0</v>
      </c>
      <c r="CH836">
        <v>0</v>
      </c>
      <c r="CI836">
        <v>0</v>
      </c>
      <c r="CJ836">
        <v>0</v>
      </c>
      <c r="CK836">
        <v>1</v>
      </c>
      <c r="CL836">
        <v>0</v>
      </c>
      <c r="CM836">
        <v>1</v>
      </c>
      <c r="CN836">
        <v>0</v>
      </c>
      <c r="CO836">
        <v>0</v>
      </c>
      <c r="CP836">
        <v>0</v>
      </c>
      <c r="CQ836" s="18">
        <v>0</v>
      </c>
      <c r="CR836">
        <v>4.149</v>
      </c>
      <c r="CS836">
        <v>8</v>
      </c>
      <c r="CT836">
        <v>1</v>
      </c>
      <c r="CU836">
        <v>0</v>
      </c>
      <c r="CV836">
        <v>23</v>
      </c>
      <c r="DB836" s="34"/>
    </row>
    <row r="837" spans="1:106" x14ac:dyDescent="0.25">
      <c r="A837">
        <v>836</v>
      </c>
      <c r="B837">
        <v>57</v>
      </c>
      <c r="C837" s="25" t="s">
        <v>4054</v>
      </c>
      <c r="D837" s="12">
        <v>1.4</v>
      </c>
      <c r="E837" s="14">
        <f t="shared" ref="E837:E844" si="255">D837/F837</f>
        <v>0.72164948453608246</v>
      </c>
      <c r="F837" s="7">
        <v>1.94</v>
      </c>
      <c r="G837" s="7">
        <f t="shared" si="245"/>
        <v>0.67835051546391745</v>
      </c>
      <c r="H837" s="16">
        <f t="shared" si="246"/>
        <v>2.1216494845360825</v>
      </c>
      <c r="I837" s="11">
        <f t="shared" si="247"/>
        <v>5.6481241425366466E-2</v>
      </c>
      <c r="J837" s="33">
        <f t="shared" si="248"/>
        <v>2.9114041971838388E-2</v>
      </c>
      <c r="K837" s="33">
        <f t="shared" si="249"/>
        <v>34.347686967247157</v>
      </c>
      <c r="L837" s="33">
        <f t="shared" si="250"/>
        <v>2.7367199453528078E-2</v>
      </c>
      <c r="M837" s="33">
        <f t="shared" si="251"/>
        <v>8.5595283397204847E-2</v>
      </c>
      <c r="N837" s="8">
        <v>1</v>
      </c>
      <c r="O837" s="9">
        <v>0</v>
      </c>
      <c r="P837" s="8">
        <v>0</v>
      </c>
      <c r="Q837" s="9">
        <v>1</v>
      </c>
      <c r="R837" s="9">
        <v>0</v>
      </c>
      <c r="S837" s="9">
        <v>0</v>
      </c>
      <c r="T837" s="9">
        <v>0</v>
      </c>
      <c r="U837" s="8">
        <v>1182</v>
      </c>
      <c r="V837" s="9">
        <v>5</v>
      </c>
      <c r="W837" s="9">
        <f t="shared" si="252"/>
        <v>1176</v>
      </c>
      <c r="X837" s="9">
        <f t="shared" si="253"/>
        <v>8</v>
      </c>
      <c r="Y837" s="7">
        <v>8.2799999999999994</v>
      </c>
      <c r="Z837" s="7">
        <f t="shared" ref="Z837:Z844" si="256">BN837-Y837-6</f>
        <v>19.53</v>
      </c>
      <c r="AA837" s="9">
        <v>1</v>
      </c>
      <c r="AB837" s="9">
        <v>0</v>
      </c>
      <c r="AC837" s="9">
        <v>1</v>
      </c>
      <c r="AD837" s="9">
        <v>0</v>
      </c>
      <c r="AE837" s="9">
        <v>0</v>
      </c>
      <c r="AF837" s="9">
        <v>0</v>
      </c>
      <c r="AG837" s="8">
        <v>0</v>
      </c>
      <c r="AH837" s="9">
        <v>1</v>
      </c>
      <c r="AI837" s="30">
        <v>0</v>
      </c>
      <c r="AJ837" s="9">
        <v>0</v>
      </c>
      <c r="AK837" s="30">
        <v>1</v>
      </c>
      <c r="AL837" s="21">
        <v>1996</v>
      </c>
      <c r="AM837" s="23">
        <f t="shared" si="254"/>
        <v>7.5989004568714096</v>
      </c>
      <c r="AN837" s="33">
        <v>0.1</v>
      </c>
      <c r="AO837" s="33">
        <v>0.1</v>
      </c>
      <c r="AP837" s="33">
        <v>0.71</v>
      </c>
      <c r="AQ837" s="43">
        <v>0.09</v>
      </c>
      <c r="AR837" s="42">
        <v>1</v>
      </c>
      <c r="AS837" s="18">
        <v>0</v>
      </c>
      <c r="AT837">
        <v>0.63</v>
      </c>
      <c r="AU837" s="40">
        <v>0.37</v>
      </c>
      <c r="AV837" t="s">
        <v>104</v>
      </c>
      <c r="AW837" s="40" t="s">
        <v>104</v>
      </c>
      <c r="AX837">
        <v>0</v>
      </c>
      <c r="AY837" s="18">
        <v>1</v>
      </c>
      <c r="AZ837">
        <v>1</v>
      </c>
      <c r="BA837" s="18">
        <v>0</v>
      </c>
      <c r="BB837" s="18" t="s">
        <v>5</v>
      </c>
      <c r="BC837">
        <v>0</v>
      </c>
      <c r="BD837">
        <v>1</v>
      </c>
      <c r="BE837">
        <v>0</v>
      </c>
      <c r="BF837">
        <v>0</v>
      </c>
      <c r="BG837">
        <v>0</v>
      </c>
      <c r="BH837" s="18">
        <v>0</v>
      </c>
      <c r="BI837">
        <v>0</v>
      </c>
      <c r="BJ837">
        <v>1</v>
      </c>
      <c r="BK837" s="18">
        <v>0</v>
      </c>
      <c r="BL837">
        <v>127.1666666666667</v>
      </c>
      <c r="BM837">
        <v>27</v>
      </c>
      <c r="BN837" s="25">
        <v>33.81</v>
      </c>
      <c r="BO837">
        <v>1</v>
      </c>
      <c r="BP837">
        <v>0</v>
      </c>
      <c r="BQ837">
        <v>0</v>
      </c>
      <c r="BR837">
        <v>0</v>
      </c>
      <c r="BS837">
        <v>0</v>
      </c>
      <c r="BT837">
        <v>0</v>
      </c>
      <c r="BU837">
        <v>0</v>
      </c>
      <c r="BV837" s="18">
        <v>0</v>
      </c>
      <c r="BW837">
        <v>0</v>
      </c>
      <c r="BX837">
        <v>0</v>
      </c>
      <c r="BY837">
        <v>1</v>
      </c>
      <c r="BZ837" s="18">
        <v>0</v>
      </c>
      <c r="CA837">
        <v>0</v>
      </c>
      <c r="CB837">
        <v>0</v>
      </c>
      <c r="CC837">
        <v>0</v>
      </c>
      <c r="CD837">
        <v>0</v>
      </c>
      <c r="CE837">
        <v>0</v>
      </c>
      <c r="CF837" s="18">
        <v>0</v>
      </c>
      <c r="CG837">
        <v>0</v>
      </c>
      <c r="CH837">
        <v>0</v>
      </c>
      <c r="CI837">
        <v>1</v>
      </c>
      <c r="CJ837">
        <v>1</v>
      </c>
      <c r="CK837">
        <v>1</v>
      </c>
      <c r="CL837">
        <v>0</v>
      </c>
      <c r="CM837">
        <v>1</v>
      </c>
      <c r="CN837">
        <v>0</v>
      </c>
      <c r="CO837">
        <v>0</v>
      </c>
      <c r="CP837">
        <v>0</v>
      </c>
      <c r="CQ837" s="18">
        <v>0</v>
      </c>
      <c r="CR837">
        <v>0.14599999999999999</v>
      </c>
      <c r="CS837">
        <v>4</v>
      </c>
      <c r="CT837">
        <v>1</v>
      </c>
      <c r="CU837">
        <v>0</v>
      </c>
      <c r="CV837">
        <v>11</v>
      </c>
      <c r="DB837" s="34"/>
    </row>
    <row r="838" spans="1:106" x14ac:dyDescent="0.25">
      <c r="A838">
        <v>837</v>
      </c>
      <c r="B838">
        <v>57</v>
      </c>
      <c r="C838" s="25" t="s">
        <v>4054</v>
      </c>
      <c r="D838" s="12">
        <v>1.2</v>
      </c>
      <c r="E838" s="14">
        <f t="shared" si="255"/>
        <v>0.72727272727272729</v>
      </c>
      <c r="F838" s="7">
        <v>1.65</v>
      </c>
      <c r="G838" s="7">
        <f t="shared" si="245"/>
        <v>0.47272727272727266</v>
      </c>
      <c r="H838" s="16">
        <f t="shared" si="246"/>
        <v>1.9272727272727272</v>
      </c>
      <c r="I838" s="11">
        <f t="shared" si="247"/>
        <v>4.8059379292181577E-2</v>
      </c>
      <c r="J838" s="33">
        <f t="shared" si="248"/>
        <v>2.912689654071611E-2</v>
      </c>
      <c r="K838" s="33">
        <f t="shared" si="249"/>
        <v>34.332528307714249</v>
      </c>
      <c r="L838" s="33">
        <f t="shared" si="250"/>
        <v>1.8932482751465467E-2</v>
      </c>
      <c r="M838" s="33">
        <f t="shared" si="251"/>
        <v>7.7186275832897694E-2</v>
      </c>
      <c r="N838" s="8">
        <v>1</v>
      </c>
      <c r="O838" s="9">
        <v>0</v>
      </c>
      <c r="P838" s="8">
        <v>0</v>
      </c>
      <c r="Q838" s="9">
        <v>1</v>
      </c>
      <c r="R838" s="9">
        <v>0</v>
      </c>
      <c r="S838" s="9">
        <v>0</v>
      </c>
      <c r="T838" s="9">
        <v>0</v>
      </c>
      <c r="U838" s="8">
        <v>1182</v>
      </c>
      <c r="V838" s="9">
        <v>5</v>
      </c>
      <c r="W838" s="9">
        <f t="shared" si="252"/>
        <v>1176</v>
      </c>
      <c r="X838" s="9">
        <f t="shared" si="253"/>
        <v>8</v>
      </c>
      <c r="Y838" s="7">
        <v>8.2799999999999994</v>
      </c>
      <c r="Z838" s="7">
        <f t="shared" si="256"/>
        <v>19.53</v>
      </c>
      <c r="AA838" s="9">
        <v>1</v>
      </c>
      <c r="AB838" s="9">
        <v>0</v>
      </c>
      <c r="AC838" s="9">
        <v>1</v>
      </c>
      <c r="AD838" s="9">
        <v>0</v>
      </c>
      <c r="AE838" s="9">
        <v>0</v>
      </c>
      <c r="AF838" s="9">
        <v>0</v>
      </c>
      <c r="AG838" s="8">
        <v>0</v>
      </c>
      <c r="AH838" s="9">
        <v>1</v>
      </c>
      <c r="AI838" s="30">
        <v>0</v>
      </c>
      <c r="AJ838" s="9">
        <v>0</v>
      </c>
      <c r="AK838" s="30">
        <v>1</v>
      </c>
      <c r="AL838" s="21">
        <v>1996</v>
      </c>
      <c r="AM838" s="23">
        <f t="shared" si="254"/>
        <v>7.5989004568714096</v>
      </c>
      <c r="AN838" s="33">
        <v>0.1</v>
      </c>
      <c r="AO838" s="33">
        <v>0.1</v>
      </c>
      <c r="AP838" s="33">
        <v>0.71</v>
      </c>
      <c r="AQ838" s="43">
        <v>0.09</v>
      </c>
      <c r="AR838" s="42">
        <v>1</v>
      </c>
      <c r="AS838" s="18">
        <v>0</v>
      </c>
      <c r="AT838">
        <v>0.63</v>
      </c>
      <c r="AU838" s="40">
        <v>0.37</v>
      </c>
      <c r="AV838" t="s">
        <v>104</v>
      </c>
      <c r="AW838" s="40" t="s">
        <v>104</v>
      </c>
      <c r="AX838">
        <v>0</v>
      </c>
      <c r="AY838" s="18">
        <v>1</v>
      </c>
      <c r="AZ838">
        <v>1</v>
      </c>
      <c r="BA838" s="18">
        <v>0</v>
      </c>
      <c r="BB838" s="18" t="s">
        <v>5</v>
      </c>
      <c r="BC838">
        <v>0</v>
      </c>
      <c r="BD838">
        <v>1</v>
      </c>
      <c r="BE838">
        <v>0</v>
      </c>
      <c r="BF838">
        <v>0</v>
      </c>
      <c r="BG838">
        <v>0</v>
      </c>
      <c r="BH838" s="18">
        <v>0</v>
      </c>
      <c r="BI838">
        <v>0</v>
      </c>
      <c r="BJ838">
        <v>1</v>
      </c>
      <c r="BK838" s="18">
        <v>0</v>
      </c>
      <c r="BL838">
        <v>127.1666666666667</v>
      </c>
      <c r="BM838">
        <v>27</v>
      </c>
      <c r="BN838" s="25">
        <v>33.81</v>
      </c>
      <c r="BO838">
        <v>1</v>
      </c>
      <c r="BP838">
        <v>0</v>
      </c>
      <c r="BQ838">
        <v>0</v>
      </c>
      <c r="BR838">
        <v>0</v>
      </c>
      <c r="BS838">
        <v>0</v>
      </c>
      <c r="BT838">
        <v>0</v>
      </c>
      <c r="BU838">
        <v>0</v>
      </c>
      <c r="BV838" s="18">
        <v>0</v>
      </c>
      <c r="BW838">
        <v>0</v>
      </c>
      <c r="BX838">
        <v>0</v>
      </c>
      <c r="BY838">
        <v>1</v>
      </c>
      <c r="BZ838" s="18">
        <v>0</v>
      </c>
      <c r="CA838">
        <v>0</v>
      </c>
      <c r="CB838">
        <v>0</v>
      </c>
      <c r="CC838">
        <v>0</v>
      </c>
      <c r="CD838">
        <v>0</v>
      </c>
      <c r="CE838">
        <v>0</v>
      </c>
      <c r="CF838" s="18">
        <v>0</v>
      </c>
      <c r="CG838">
        <v>0</v>
      </c>
      <c r="CH838">
        <v>0</v>
      </c>
      <c r="CI838">
        <v>1</v>
      </c>
      <c r="CJ838">
        <v>1</v>
      </c>
      <c r="CK838">
        <v>1</v>
      </c>
      <c r="CL838">
        <v>0</v>
      </c>
      <c r="CM838">
        <v>1</v>
      </c>
      <c r="CN838">
        <v>0</v>
      </c>
      <c r="CO838">
        <v>0</v>
      </c>
      <c r="CP838">
        <v>0</v>
      </c>
      <c r="CQ838" s="18">
        <v>0</v>
      </c>
      <c r="CR838">
        <v>0.14599999999999999</v>
      </c>
      <c r="CS838">
        <v>4</v>
      </c>
      <c r="CT838">
        <v>1</v>
      </c>
      <c r="CU838">
        <v>0</v>
      </c>
      <c r="CV838">
        <v>11</v>
      </c>
      <c r="DB838" s="34"/>
    </row>
    <row r="839" spans="1:106" x14ac:dyDescent="0.25">
      <c r="A839">
        <v>838</v>
      </c>
      <c r="B839">
        <v>57</v>
      </c>
      <c r="C839" s="25" t="s">
        <v>4054</v>
      </c>
      <c r="D839" s="12">
        <v>0.83</v>
      </c>
      <c r="E839" s="14">
        <f t="shared" si="255"/>
        <v>0.77570093457943912</v>
      </c>
      <c r="F839" s="7">
        <v>1.07</v>
      </c>
      <c r="G839" s="7">
        <f t="shared" si="245"/>
        <v>5.4299065420560844E-2</v>
      </c>
      <c r="H839" s="16">
        <f t="shared" si="246"/>
        <v>1.6057009345794391</v>
      </c>
      <c r="I839" s="11">
        <f t="shared" si="247"/>
        <v>3.1186656367779658E-2</v>
      </c>
      <c r="J839" s="33">
        <f t="shared" si="248"/>
        <v>2.9146407820354818E-2</v>
      </c>
      <c r="K839" s="33">
        <f t="shared" si="249"/>
        <v>34.309545319050791</v>
      </c>
      <c r="L839" s="33">
        <f t="shared" si="250"/>
        <v>2.0402485474248395E-3</v>
      </c>
      <c r="M839" s="33">
        <f t="shared" si="251"/>
        <v>6.0333064188134472E-2</v>
      </c>
      <c r="N839" s="8">
        <v>1</v>
      </c>
      <c r="O839" s="9">
        <v>0</v>
      </c>
      <c r="P839" s="8">
        <v>0</v>
      </c>
      <c r="Q839" s="9">
        <v>1</v>
      </c>
      <c r="R839" s="9">
        <v>0</v>
      </c>
      <c r="S839" s="9">
        <v>0</v>
      </c>
      <c r="T839" s="9">
        <v>0</v>
      </c>
      <c r="U839" s="8">
        <v>1182</v>
      </c>
      <c r="V839" s="9">
        <v>5</v>
      </c>
      <c r="W839" s="9">
        <f t="shared" si="252"/>
        <v>1176</v>
      </c>
      <c r="X839" s="9">
        <f t="shared" si="253"/>
        <v>8</v>
      </c>
      <c r="Y839" s="7">
        <v>8.2799999999999994</v>
      </c>
      <c r="Z839" s="7">
        <f t="shared" si="256"/>
        <v>19.53</v>
      </c>
      <c r="AA839" s="9">
        <v>1</v>
      </c>
      <c r="AB839" s="9">
        <v>0</v>
      </c>
      <c r="AC839" s="9">
        <v>1</v>
      </c>
      <c r="AD839" s="9">
        <v>0</v>
      </c>
      <c r="AE839" s="9">
        <v>0</v>
      </c>
      <c r="AF839" s="9">
        <v>0</v>
      </c>
      <c r="AG839" s="8">
        <v>0</v>
      </c>
      <c r="AH839" s="9">
        <v>1</v>
      </c>
      <c r="AI839" s="30">
        <v>0</v>
      </c>
      <c r="AJ839" s="9">
        <v>0</v>
      </c>
      <c r="AK839" s="30">
        <v>1</v>
      </c>
      <c r="AL839" s="21">
        <v>1996</v>
      </c>
      <c r="AM839" s="23">
        <f t="shared" si="254"/>
        <v>7.5989004568714096</v>
      </c>
      <c r="AN839" s="33">
        <v>0.1</v>
      </c>
      <c r="AO839" s="33">
        <v>0.1</v>
      </c>
      <c r="AP839" s="33">
        <v>0.71</v>
      </c>
      <c r="AQ839" s="43">
        <v>0.09</v>
      </c>
      <c r="AR839" s="42">
        <v>1</v>
      </c>
      <c r="AS839" s="18">
        <v>0</v>
      </c>
      <c r="AT839">
        <v>0.63</v>
      </c>
      <c r="AU839" s="40">
        <v>0.37</v>
      </c>
      <c r="AV839" t="s">
        <v>104</v>
      </c>
      <c r="AW839" s="40" t="s">
        <v>104</v>
      </c>
      <c r="AX839">
        <v>0</v>
      </c>
      <c r="AY839" s="18">
        <v>1</v>
      </c>
      <c r="AZ839">
        <v>1</v>
      </c>
      <c r="BA839" s="18">
        <v>0</v>
      </c>
      <c r="BB839" s="18" t="s">
        <v>5</v>
      </c>
      <c r="BC839">
        <v>0</v>
      </c>
      <c r="BD839">
        <v>1</v>
      </c>
      <c r="BE839">
        <v>0</v>
      </c>
      <c r="BF839">
        <v>0</v>
      </c>
      <c r="BG839">
        <v>0</v>
      </c>
      <c r="BH839" s="18">
        <v>0</v>
      </c>
      <c r="BI839">
        <v>0</v>
      </c>
      <c r="BJ839">
        <v>1</v>
      </c>
      <c r="BK839" s="18">
        <v>0</v>
      </c>
      <c r="BL839">
        <v>127.1666666666667</v>
      </c>
      <c r="BM839">
        <v>27</v>
      </c>
      <c r="BN839" s="25">
        <v>33.81</v>
      </c>
      <c r="BO839">
        <v>1</v>
      </c>
      <c r="BP839">
        <v>0</v>
      </c>
      <c r="BQ839">
        <v>0</v>
      </c>
      <c r="BR839">
        <v>0</v>
      </c>
      <c r="BS839">
        <v>0</v>
      </c>
      <c r="BT839">
        <v>0</v>
      </c>
      <c r="BU839">
        <v>0</v>
      </c>
      <c r="BV839" s="18">
        <v>0</v>
      </c>
      <c r="BW839">
        <v>0</v>
      </c>
      <c r="BX839">
        <v>0</v>
      </c>
      <c r="BY839">
        <v>1</v>
      </c>
      <c r="BZ839" s="18">
        <v>0</v>
      </c>
      <c r="CA839">
        <v>0</v>
      </c>
      <c r="CB839">
        <v>0</v>
      </c>
      <c r="CC839">
        <v>0</v>
      </c>
      <c r="CD839">
        <v>0</v>
      </c>
      <c r="CE839">
        <v>0</v>
      </c>
      <c r="CF839" s="18">
        <v>0</v>
      </c>
      <c r="CG839">
        <v>0</v>
      </c>
      <c r="CH839">
        <v>0</v>
      </c>
      <c r="CI839">
        <v>1</v>
      </c>
      <c r="CJ839">
        <v>1</v>
      </c>
      <c r="CK839">
        <v>1</v>
      </c>
      <c r="CL839">
        <v>0</v>
      </c>
      <c r="CM839">
        <v>1</v>
      </c>
      <c r="CN839">
        <v>1</v>
      </c>
      <c r="CO839">
        <v>0</v>
      </c>
      <c r="CP839">
        <v>0</v>
      </c>
      <c r="CQ839" s="18">
        <v>0</v>
      </c>
      <c r="CR839">
        <v>0.14599999999999999</v>
      </c>
      <c r="CS839">
        <v>4</v>
      </c>
      <c r="CT839">
        <v>1</v>
      </c>
      <c r="CU839">
        <v>0</v>
      </c>
      <c r="CV839">
        <v>11</v>
      </c>
      <c r="DB839" s="34"/>
    </row>
    <row r="840" spans="1:106" x14ac:dyDescent="0.25">
      <c r="A840">
        <v>839</v>
      </c>
      <c r="B840">
        <v>57</v>
      </c>
      <c r="C840" s="25" t="s">
        <v>4054</v>
      </c>
      <c r="D840" s="12">
        <v>0.68</v>
      </c>
      <c r="E840" s="14">
        <f t="shared" si="255"/>
        <v>0.66666666666666674</v>
      </c>
      <c r="F840" s="7">
        <v>1.02</v>
      </c>
      <c r="G840" s="7">
        <f t="shared" si="245"/>
        <v>1.3333333333333308E-2</v>
      </c>
      <c r="H840" s="16">
        <f t="shared" si="246"/>
        <v>1.3466666666666667</v>
      </c>
      <c r="I840" s="11">
        <f t="shared" si="247"/>
        <v>2.9730655662414812E-2</v>
      </c>
      <c r="J840" s="33">
        <f t="shared" si="248"/>
        <v>2.9147701629818445E-2</v>
      </c>
      <c r="K840" s="33">
        <f t="shared" si="249"/>
        <v>34.308022385442158</v>
      </c>
      <c r="L840" s="33">
        <f t="shared" si="250"/>
        <v>5.8295403259636669E-4</v>
      </c>
      <c r="M840" s="33">
        <f t="shared" si="251"/>
        <v>5.8878357292233258E-2</v>
      </c>
      <c r="N840" s="8">
        <v>1</v>
      </c>
      <c r="O840" s="9">
        <v>0</v>
      </c>
      <c r="P840" s="8">
        <v>0</v>
      </c>
      <c r="Q840" s="9">
        <v>1</v>
      </c>
      <c r="R840" s="9">
        <v>0</v>
      </c>
      <c r="S840" s="9">
        <v>0</v>
      </c>
      <c r="T840" s="9">
        <v>0</v>
      </c>
      <c r="U840" s="8">
        <v>1182</v>
      </c>
      <c r="V840" s="9">
        <v>5</v>
      </c>
      <c r="W840" s="9">
        <f t="shared" si="252"/>
        <v>1176</v>
      </c>
      <c r="X840" s="9">
        <f t="shared" si="253"/>
        <v>8</v>
      </c>
      <c r="Y840" s="7">
        <v>8.2799999999999994</v>
      </c>
      <c r="Z840" s="7">
        <f t="shared" si="256"/>
        <v>19.53</v>
      </c>
      <c r="AA840" s="9">
        <v>1</v>
      </c>
      <c r="AB840" s="9">
        <v>0</v>
      </c>
      <c r="AC840" s="9">
        <v>0</v>
      </c>
      <c r="AD840" s="9">
        <v>0</v>
      </c>
      <c r="AE840" s="9">
        <v>1</v>
      </c>
      <c r="AF840" s="9">
        <v>0</v>
      </c>
      <c r="AG840" s="8">
        <v>0</v>
      </c>
      <c r="AH840" s="9">
        <v>1</v>
      </c>
      <c r="AI840" s="30">
        <v>0</v>
      </c>
      <c r="AJ840" s="9">
        <v>0</v>
      </c>
      <c r="AK840" s="30">
        <v>1</v>
      </c>
      <c r="AL840" s="21">
        <v>1996</v>
      </c>
      <c r="AM840" s="23">
        <f t="shared" si="254"/>
        <v>7.5989004568714096</v>
      </c>
      <c r="AN840" s="33">
        <v>0.1</v>
      </c>
      <c r="AO840" s="33">
        <v>0.1</v>
      </c>
      <c r="AP840" s="33">
        <v>0.71</v>
      </c>
      <c r="AQ840" s="43">
        <v>0.09</v>
      </c>
      <c r="AR840" s="42">
        <v>1</v>
      </c>
      <c r="AS840" s="18">
        <v>0</v>
      </c>
      <c r="AT840">
        <v>0.63</v>
      </c>
      <c r="AU840" s="40">
        <v>0.37</v>
      </c>
      <c r="AV840" t="s">
        <v>104</v>
      </c>
      <c r="AW840" s="40" t="s">
        <v>104</v>
      </c>
      <c r="AX840">
        <v>0</v>
      </c>
      <c r="AY840" s="18">
        <v>1</v>
      </c>
      <c r="AZ840">
        <v>1</v>
      </c>
      <c r="BA840" s="18">
        <v>0</v>
      </c>
      <c r="BB840" s="18" t="s">
        <v>5</v>
      </c>
      <c r="BC840">
        <v>0</v>
      </c>
      <c r="BD840">
        <v>1</v>
      </c>
      <c r="BE840">
        <v>0</v>
      </c>
      <c r="BF840">
        <v>0</v>
      </c>
      <c r="BG840">
        <v>0</v>
      </c>
      <c r="BH840" s="18">
        <v>0</v>
      </c>
      <c r="BI840">
        <v>0</v>
      </c>
      <c r="BJ840">
        <v>1</v>
      </c>
      <c r="BK840" s="18">
        <v>0</v>
      </c>
      <c r="BL840">
        <v>127.1666666666667</v>
      </c>
      <c r="BM840">
        <v>27</v>
      </c>
      <c r="BN840" s="25">
        <v>33.81</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0</v>
      </c>
      <c r="CG840">
        <v>0</v>
      </c>
      <c r="CH840">
        <v>0</v>
      </c>
      <c r="CI840">
        <v>1</v>
      </c>
      <c r="CJ840">
        <v>1</v>
      </c>
      <c r="CK840">
        <v>1</v>
      </c>
      <c r="CL840">
        <v>0</v>
      </c>
      <c r="CM840">
        <v>1</v>
      </c>
      <c r="CN840">
        <v>0</v>
      </c>
      <c r="CO840">
        <v>0</v>
      </c>
      <c r="CP840">
        <v>0</v>
      </c>
      <c r="CQ840" s="18">
        <v>0</v>
      </c>
      <c r="CR840">
        <v>0.14599999999999999</v>
      </c>
      <c r="CS840">
        <v>4</v>
      </c>
      <c r="CT840">
        <v>1</v>
      </c>
      <c r="CU840">
        <v>0</v>
      </c>
      <c r="CV840">
        <v>11</v>
      </c>
      <c r="DB840" s="34"/>
    </row>
    <row r="841" spans="1:106" x14ac:dyDescent="0.25">
      <c r="A841">
        <v>840</v>
      </c>
      <c r="B841">
        <v>57</v>
      </c>
      <c r="C841" s="25" t="s">
        <v>4054</v>
      </c>
      <c r="D841" s="12">
        <v>0.71</v>
      </c>
      <c r="E841" s="14">
        <f t="shared" si="255"/>
        <v>0.70297029702970293</v>
      </c>
      <c r="F841" s="7">
        <v>1.01</v>
      </c>
      <c r="G841" s="7">
        <f t="shared" si="245"/>
        <v>7.0297029702970359E-3</v>
      </c>
      <c r="H841" s="16">
        <f t="shared" si="246"/>
        <v>1.4129702970297029</v>
      </c>
      <c r="I841" s="11">
        <f t="shared" si="247"/>
        <v>2.9439432512957893E-2</v>
      </c>
      <c r="J841" s="33">
        <f t="shared" si="248"/>
        <v>2.9147952983126627E-2</v>
      </c>
      <c r="K841" s="33">
        <f t="shared" si="249"/>
        <v>34.307726534994998</v>
      </c>
      <c r="L841" s="33">
        <f t="shared" si="250"/>
        <v>2.914795298312664E-4</v>
      </c>
      <c r="M841" s="33">
        <f t="shared" si="251"/>
        <v>5.8587385496084519E-2</v>
      </c>
      <c r="N841" s="8">
        <v>1</v>
      </c>
      <c r="O841" s="9">
        <v>0</v>
      </c>
      <c r="P841" s="8">
        <v>0</v>
      </c>
      <c r="Q841" s="9">
        <v>1</v>
      </c>
      <c r="R841" s="9">
        <v>0</v>
      </c>
      <c r="S841" s="9">
        <v>0</v>
      </c>
      <c r="T841" s="9">
        <v>0</v>
      </c>
      <c r="U841" s="8">
        <v>1182</v>
      </c>
      <c r="V841" s="9">
        <v>5</v>
      </c>
      <c r="W841" s="9">
        <f t="shared" si="252"/>
        <v>1176</v>
      </c>
      <c r="X841" s="9">
        <f t="shared" si="253"/>
        <v>8</v>
      </c>
      <c r="Y841" s="7">
        <v>8.2799999999999994</v>
      </c>
      <c r="Z841" s="7">
        <f t="shared" si="256"/>
        <v>19.53</v>
      </c>
      <c r="AA841" s="9">
        <v>1</v>
      </c>
      <c r="AB841" s="9">
        <v>0</v>
      </c>
      <c r="AC841" s="9">
        <v>1</v>
      </c>
      <c r="AD841" s="9">
        <v>0</v>
      </c>
      <c r="AE841" s="9">
        <v>0</v>
      </c>
      <c r="AF841" s="9">
        <v>0</v>
      </c>
      <c r="AG841" s="8">
        <v>0</v>
      </c>
      <c r="AH841" s="9">
        <v>1</v>
      </c>
      <c r="AI841" s="30">
        <v>0</v>
      </c>
      <c r="AJ841" s="9">
        <v>0</v>
      </c>
      <c r="AK841" s="30">
        <v>1</v>
      </c>
      <c r="AL841" s="21">
        <v>1996</v>
      </c>
      <c r="AM841" s="23">
        <f t="shared" si="254"/>
        <v>7.5989004568714096</v>
      </c>
      <c r="AN841" s="33">
        <v>0.1</v>
      </c>
      <c r="AO841" s="33">
        <v>0.1</v>
      </c>
      <c r="AP841" s="33">
        <v>0.71</v>
      </c>
      <c r="AQ841" s="43">
        <v>0.09</v>
      </c>
      <c r="AR841" s="42">
        <v>1</v>
      </c>
      <c r="AS841" s="18">
        <v>0</v>
      </c>
      <c r="AT841">
        <v>0.63</v>
      </c>
      <c r="AU841" s="40">
        <v>0.37</v>
      </c>
      <c r="AV841" t="s">
        <v>104</v>
      </c>
      <c r="AW841" s="40" t="s">
        <v>104</v>
      </c>
      <c r="AX841">
        <v>0</v>
      </c>
      <c r="AY841" s="18">
        <v>1</v>
      </c>
      <c r="AZ841">
        <v>1</v>
      </c>
      <c r="BA841" s="18">
        <v>0</v>
      </c>
      <c r="BB841" s="18" t="s">
        <v>5</v>
      </c>
      <c r="BC841">
        <v>0</v>
      </c>
      <c r="BD841">
        <v>1</v>
      </c>
      <c r="BE841">
        <v>0</v>
      </c>
      <c r="BF841">
        <v>0</v>
      </c>
      <c r="BG841">
        <v>0</v>
      </c>
      <c r="BH841" s="18">
        <v>0</v>
      </c>
      <c r="BI841">
        <v>0</v>
      </c>
      <c r="BJ841">
        <v>1</v>
      </c>
      <c r="BK841" s="18">
        <v>0</v>
      </c>
      <c r="BL841">
        <v>127.1666666666667</v>
      </c>
      <c r="BM841">
        <v>27</v>
      </c>
      <c r="BN841" s="25">
        <v>33.81</v>
      </c>
      <c r="BO841">
        <v>1</v>
      </c>
      <c r="BP841">
        <v>0</v>
      </c>
      <c r="BQ841">
        <v>0</v>
      </c>
      <c r="BR841">
        <v>0</v>
      </c>
      <c r="BS841">
        <v>0</v>
      </c>
      <c r="BT841">
        <v>0</v>
      </c>
      <c r="BU841">
        <v>0</v>
      </c>
      <c r="BV841" s="18">
        <v>0</v>
      </c>
      <c r="BW841">
        <v>0</v>
      </c>
      <c r="BX841">
        <v>0</v>
      </c>
      <c r="BY841">
        <v>1</v>
      </c>
      <c r="BZ841" s="18">
        <v>0</v>
      </c>
      <c r="CA841">
        <v>0</v>
      </c>
      <c r="CB841">
        <v>0</v>
      </c>
      <c r="CC841">
        <v>0</v>
      </c>
      <c r="CD841">
        <v>0</v>
      </c>
      <c r="CE841">
        <v>0</v>
      </c>
      <c r="CF841" s="18">
        <v>0</v>
      </c>
      <c r="CG841">
        <v>0</v>
      </c>
      <c r="CH841">
        <v>0</v>
      </c>
      <c r="CI841">
        <v>1</v>
      </c>
      <c r="CJ841">
        <v>1</v>
      </c>
      <c r="CK841">
        <v>1</v>
      </c>
      <c r="CL841">
        <v>0</v>
      </c>
      <c r="CM841">
        <v>1</v>
      </c>
      <c r="CN841">
        <v>0</v>
      </c>
      <c r="CO841">
        <v>0</v>
      </c>
      <c r="CP841">
        <v>0</v>
      </c>
      <c r="CQ841" s="18">
        <v>0</v>
      </c>
      <c r="CR841">
        <v>0.14599999999999999</v>
      </c>
      <c r="CS841">
        <v>4</v>
      </c>
      <c r="CT841">
        <v>1</v>
      </c>
      <c r="CU841">
        <v>0</v>
      </c>
      <c r="CV841">
        <v>11</v>
      </c>
      <c r="DB841" s="34"/>
    </row>
    <row r="842" spans="1:106" x14ac:dyDescent="0.25">
      <c r="A842">
        <v>841</v>
      </c>
      <c r="B842">
        <v>57</v>
      </c>
      <c r="C842" s="25" t="s">
        <v>4054</v>
      </c>
      <c r="D842" s="12">
        <v>1.1000000000000001</v>
      </c>
      <c r="E842" s="14">
        <f t="shared" si="255"/>
        <v>0.73825503355704702</v>
      </c>
      <c r="F842" s="7">
        <v>1.49</v>
      </c>
      <c r="G842" s="7">
        <f t="shared" si="245"/>
        <v>0.36174496644295306</v>
      </c>
      <c r="H842" s="16">
        <f t="shared" si="246"/>
        <v>1.8382550335570471</v>
      </c>
      <c r="I842" s="11">
        <f t="shared" si="247"/>
        <v>4.340832767047214E-2</v>
      </c>
      <c r="J842" s="33">
        <f t="shared" si="248"/>
        <v>2.9133105819108818E-2</v>
      </c>
      <c r="K842" s="33">
        <f t="shared" si="249"/>
        <v>34.32521085150097</v>
      </c>
      <c r="L842" s="33">
        <f t="shared" si="250"/>
        <v>1.4275221851363321E-2</v>
      </c>
      <c r="M842" s="33">
        <f t="shared" si="251"/>
        <v>7.2541433489580961E-2</v>
      </c>
      <c r="N842" s="8">
        <v>1</v>
      </c>
      <c r="O842" s="9">
        <v>0</v>
      </c>
      <c r="P842" s="8">
        <v>0</v>
      </c>
      <c r="Q842" s="9">
        <v>1</v>
      </c>
      <c r="R842" s="9">
        <v>0</v>
      </c>
      <c r="S842" s="9">
        <v>0</v>
      </c>
      <c r="T842" s="9">
        <v>0</v>
      </c>
      <c r="U842" s="8">
        <v>1182</v>
      </c>
      <c r="V842" s="9">
        <v>5</v>
      </c>
      <c r="W842" s="9">
        <f t="shared" si="252"/>
        <v>1176</v>
      </c>
      <c r="X842" s="9">
        <f t="shared" si="253"/>
        <v>8</v>
      </c>
      <c r="Y842" s="7">
        <v>8.2799999999999994</v>
      </c>
      <c r="Z842" s="7">
        <f t="shared" si="256"/>
        <v>19.53</v>
      </c>
      <c r="AA842" s="9">
        <v>1</v>
      </c>
      <c r="AB842" s="9">
        <v>0</v>
      </c>
      <c r="AC842" s="9">
        <v>1</v>
      </c>
      <c r="AD842" s="9">
        <v>0</v>
      </c>
      <c r="AE842" s="9">
        <v>0</v>
      </c>
      <c r="AF842" s="9">
        <v>0</v>
      </c>
      <c r="AG842" s="8">
        <v>0</v>
      </c>
      <c r="AH842" s="9">
        <v>1</v>
      </c>
      <c r="AI842" s="30">
        <v>0</v>
      </c>
      <c r="AJ842" s="9">
        <v>0</v>
      </c>
      <c r="AK842" s="30">
        <v>1</v>
      </c>
      <c r="AL842" s="21">
        <v>1996</v>
      </c>
      <c r="AM842" s="23">
        <f t="shared" si="254"/>
        <v>7.5989004568714096</v>
      </c>
      <c r="AN842" s="33">
        <v>0.1</v>
      </c>
      <c r="AO842" s="33">
        <v>0.1</v>
      </c>
      <c r="AP842" s="33">
        <v>0.71</v>
      </c>
      <c r="AQ842" s="43">
        <v>0.09</v>
      </c>
      <c r="AR842" s="42">
        <v>1</v>
      </c>
      <c r="AS842" s="18">
        <v>0</v>
      </c>
      <c r="AT842">
        <v>0.63</v>
      </c>
      <c r="AU842" s="40">
        <v>0.37</v>
      </c>
      <c r="AV842" t="s">
        <v>104</v>
      </c>
      <c r="AW842" s="40" t="s">
        <v>104</v>
      </c>
      <c r="AX842">
        <v>0</v>
      </c>
      <c r="AY842" s="18">
        <v>1</v>
      </c>
      <c r="AZ842">
        <v>1</v>
      </c>
      <c r="BA842" s="18">
        <v>0</v>
      </c>
      <c r="BB842" s="18" t="s">
        <v>5</v>
      </c>
      <c r="BC842">
        <v>0</v>
      </c>
      <c r="BD842">
        <v>1</v>
      </c>
      <c r="BE842">
        <v>0</v>
      </c>
      <c r="BF842">
        <v>0</v>
      </c>
      <c r="BG842">
        <v>0</v>
      </c>
      <c r="BH842" s="18">
        <v>0</v>
      </c>
      <c r="BI842">
        <v>0</v>
      </c>
      <c r="BJ842">
        <v>1</v>
      </c>
      <c r="BK842" s="18">
        <v>0</v>
      </c>
      <c r="BL842">
        <v>127.1666666666667</v>
      </c>
      <c r="BM842">
        <v>27</v>
      </c>
      <c r="BN842" s="25">
        <v>33.81</v>
      </c>
      <c r="BO842">
        <v>1</v>
      </c>
      <c r="BP842">
        <v>0</v>
      </c>
      <c r="BQ842">
        <v>0</v>
      </c>
      <c r="BR842">
        <v>0</v>
      </c>
      <c r="BS842">
        <v>0</v>
      </c>
      <c r="BT842">
        <v>0</v>
      </c>
      <c r="BU842">
        <v>0</v>
      </c>
      <c r="BV842" s="18">
        <v>0</v>
      </c>
      <c r="BW842">
        <v>0</v>
      </c>
      <c r="BX842">
        <v>0</v>
      </c>
      <c r="BY842">
        <v>1</v>
      </c>
      <c r="BZ842" s="18">
        <v>0</v>
      </c>
      <c r="CA842">
        <v>0</v>
      </c>
      <c r="CB842">
        <v>0</v>
      </c>
      <c r="CC842">
        <v>0</v>
      </c>
      <c r="CD842">
        <v>0</v>
      </c>
      <c r="CE842">
        <v>0</v>
      </c>
      <c r="CF842" s="18">
        <v>0</v>
      </c>
      <c r="CG842">
        <v>0</v>
      </c>
      <c r="CH842">
        <v>0</v>
      </c>
      <c r="CI842">
        <v>1</v>
      </c>
      <c r="CJ842">
        <v>1</v>
      </c>
      <c r="CK842">
        <v>1</v>
      </c>
      <c r="CL842">
        <v>0</v>
      </c>
      <c r="CM842">
        <v>1</v>
      </c>
      <c r="CN842">
        <v>0</v>
      </c>
      <c r="CO842">
        <v>0</v>
      </c>
      <c r="CP842">
        <v>0</v>
      </c>
      <c r="CQ842" s="18">
        <v>0</v>
      </c>
      <c r="CR842">
        <v>0.14599999999999999</v>
      </c>
      <c r="CS842">
        <v>4</v>
      </c>
      <c r="CT842">
        <v>1</v>
      </c>
      <c r="CU842">
        <v>0</v>
      </c>
      <c r="CV842">
        <v>11</v>
      </c>
      <c r="DB842" s="34"/>
    </row>
    <row r="843" spans="1:106" x14ac:dyDescent="0.25">
      <c r="A843">
        <v>842</v>
      </c>
      <c r="B843">
        <v>57</v>
      </c>
      <c r="C843" s="25" t="s">
        <v>4054</v>
      </c>
      <c r="D843" s="12">
        <v>0.87</v>
      </c>
      <c r="E843" s="14">
        <f t="shared" si="255"/>
        <v>0.87878787878787878</v>
      </c>
      <c r="F843" s="7">
        <v>0.99</v>
      </c>
      <c r="G843" s="7">
        <f t="shared" si="245"/>
        <v>-8.787878787878789E-3</v>
      </c>
      <c r="H843" s="16">
        <f t="shared" si="246"/>
        <v>1.7487878787878788</v>
      </c>
      <c r="I843" s="11">
        <f t="shared" si="247"/>
        <v>2.8856963796815759E-2</v>
      </c>
      <c r="J843" s="33">
        <f t="shared" si="248"/>
        <v>2.9148448279611879E-2</v>
      </c>
      <c r="K843" s="33">
        <f t="shared" si="249"/>
        <v>34.307143570982412</v>
      </c>
      <c r="L843" s="33">
        <f t="shared" si="250"/>
        <v>-2.9148448279612063E-4</v>
      </c>
      <c r="M843" s="33">
        <f t="shared" si="251"/>
        <v>5.8005412076427634E-2</v>
      </c>
      <c r="N843" s="8">
        <v>1</v>
      </c>
      <c r="O843" s="9">
        <v>0</v>
      </c>
      <c r="P843" s="8">
        <v>0</v>
      </c>
      <c r="Q843" s="9">
        <v>1</v>
      </c>
      <c r="R843" s="9">
        <v>0</v>
      </c>
      <c r="S843" s="9">
        <v>0</v>
      </c>
      <c r="T843" s="9">
        <v>0</v>
      </c>
      <c r="U843" s="8">
        <v>1182</v>
      </c>
      <c r="V843" s="9">
        <v>5</v>
      </c>
      <c r="W843" s="9">
        <f t="shared" si="252"/>
        <v>1176</v>
      </c>
      <c r="X843" s="9">
        <f t="shared" si="253"/>
        <v>8</v>
      </c>
      <c r="Y843" s="7">
        <v>8.2799999999999994</v>
      </c>
      <c r="Z843" s="7">
        <f t="shared" si="256"/>
        <v>19.53</v>
      </c>
      <c r="AA843" s="9">
        <v>1</v>
      </c>
      <c r="AB843" s="9">
        <v>0</v>
      </c>
      <c r="AC843" s="9">
        <v>1</v>
      </c>
      <c r="AD843" s="9">
        <v>0</v>
      </c>
      <c r="AE843" s="9">
        <v>0</v>
      </c>
      <c r="AF843" s="9">
        <v>0</v>
      </c>
      <c r="AG843" s="8">
        <v>0</v>
      </c>
      <c r="AH843" s="9">
        <v>1</v>
      </c>
      <c r="AI843" s="30">
        <v>0</v>
      </c>
      <c r="AJ843" s="9">
        <v>0</v>
      </c>
      <c r="AK843" s="30">
        <v>1</v>
      </c>
      <c r="AL843" s="21">
        <v>1996</v>
      </c>
      <c r="AM843" s="23">
        <f t="shared" si="254"/>
        <v>7.5989004568714096</v>
      </c>
      <c r="AN843" s="33">
        <v>0.1</v>
      </c>
      <c r="AO843" s="33">
        <v>0.1</v>
      </c>
      <c r="AP843" s="33">
        <v>0.71</v>
      </c>
      <c r="AQ843" s="43">
        <v>0.09</v>
      </c>
      <c r="AR843" s="42">
        <v>1</v>
      </c>
      <c r="AS843" s="18">
        <v>0</v>
      </c>
      <c r="AT843">
        <v>0.63</v>
      </c>
      <c r="AU843" s="40">
        <v>0.37</v>
      </c>
      <c r="AV843" t="s">
        <v>104</v>
      </c>
      <c r="AW843" s="40" t="s">
        <v>104</v>
      </c>
      <c r="AX843">
        <v>0</v>
      </c>
      <c r="AY843" s="18">
        <v>1</v>
      </c>
      <c r="AZ843">
        <v>1</v>
      </c>
      <c r="BA843" s="18">
        <v>0</v>
      </c>
      <c r="BB843" s="18" t="s">
        <v>5</v>
      </c>
      <c r="BC843">
        <v>0</v>
      </c>
      <c r="BD843">
        <v>1</v>
      </c>
      <c r="BE843">
        <v>0</v>
      </c>
      <c r="BF843">
        <v>0</v>
      </c>
      <c r="BG843">
        <v>0</v>
      </c>
      <c r="BH843" s="18">
        <v>0</v>
      </c>
      <c r="BI843">
        <v>0</v>
      </c>
      <c r="BJ843">
        <v>1</v>
      </c>
      <c r="BK843" s="18">
        <v>0</v>
      </c>
      <c r="BL843">
        <v>127.1666666666667</v>
      </c>
      <c r="BM843">
        <v>27</v>
      </c>
      <c r="BN843" s="25">
        <v>33.81</v>
      </c>
      <c r="BO843">
        <v>0</v>
      </c>
      <c r="BP843">
        <v>0</v>
      </c>
      <c r="BQ843">
        <v>0</v>
      </c>
      <c r="BR843">
        <v>0</v>
      </c>
      <c r="BS843">
        <v>1</v>
      </c>
      <c r="BT843">
        <v>0</v>
      </c>
      <c r="BU843">
        <v>0</v>
      </c>
      <c r="BV843" s="18">
        <v>0</v>
      </c>
      <c r="BW843">
        <v>0</v>
      </c>
      <c r="BX843">
        <v>0</v>
      </c>
      <c r="BY843">
        <v>1</v>
      </c>
      <c r="BZ843" s="18">
        <v>0</v>
      </c>
      <c r="CA843">
        <v>0</v>
      </c>
      <c r="CB843">
        <v>0</v>
      </c>
      <c r="CC843">
        <v>0</v>
      </c>
      <c r="CD843">
        <v>0</v>
      </c>
      <c r="CE843">
        <v>0</v>
      </c>
      <c r="CF843" s="18">
        <v>0</v>
      </c>
      <c r="CG843">
        <v>0</v>
      </c>
      <c r="CH843">
        <v>0</v>
      </c>
      <c r="CI843">
        <v>1</v>
      </c>
      <c r="CJ843">
        <v>1</v>
      </c>
      <c r="CK843">
        <v>1</v>
      </c>
      <c r="CL843">
        <v>0</v>
      </c>
      <c r="CM843">
        <v>1</v>
      </c>
      <c r="CN843">
        <v>0</v>
      </c>
      <c r="CO843">
        <v>0</v>
      </c>
      <c r="CP843">
        <v>0</v>
      </c>
      <c r="CQ843" s="18">
        <v>0</v>
      </c>
      <c r="CR843">
        <v>0.14599999999999999</v>
      </c>
      <c r="CS843">
        <v>4</v>
      </c>
      <c r="CT843">
        <v>1</v>
      </c>
      <c r="CU843">
        <v>0</v>
      </c>
      <c r="CV843">
        <v>11</v>
      </c>
      <c r="DB843" s="34"/>
    </row>
    <row r="844" spans="1:106" x14ac:dyDescent="0.25">
      <c r="A844">
        <v>843</v>
      </c>
      <c r="B844">
        <v>57</v>
      </c>
      <c r="C844" s="25" t="s">
        <v>4054</v>
      </c>
      <c r="D844" s="12">
        <v>1.5</v>
      </c>
      <c r="E844" s="14">
        <f t="shared" si="255"/>
        <v>0.81521739130434778</v>
      </c>
      <c r="F844" s="7">
        <v>1.84</v>
      </c>
      <c r="G844" s="7">
        <f t="shared" si="245"/>
        <v>0.68478260869565222</v>
      </c>
      <c r="H844" s="16">
        <f t="shared" si="246"/>
        <v>2.3152173913043477</v>
      </c>
      <c r="I844" s="11">
        <f t="shared" si="247"/>
        <v>5.3578421263895587E-2</v>
      </c>
      <c r="J844" s="33">
        <f t="shared" si="248"/>
        <v>2.9118707208638905E-2</v>
      </c>
      <c r="K844" s="33">
        <f t="shared" si="249"/>
        <v>34.342183972484918</v>
      </c>
      <c r="L844" s="33">
        <f t="shared" si="250"/>
        <v>2.4459714055256682E-2</v>
      </c>
      <c r="M844" s="33">
        <f t="shared" si="251"/>
        <v>8.2697128472534492E-2</v>
      </c>
      <c r="N844" s="8">
        <v>1</v>
      </c>
      <c r="O844" s="9">
        <v>0</v>
      </c>
      <c r="P844" s="8">
        <v>0</v>
      </c>
      <c r="Q844" s="9">
        <v>1</v>
      </c>
      <c r="R844" s="9">
        <v>0</v>
      </c>
      <c r="S844" s="9">
        <v>0</v>
      </c>
      <c r="T844" s="9">
        <v>0</v>
      </c>
      <c r="U844" s="8">
        <v>1182</v>
      </c>
      <c r="V844" s="9">
        <v>5</v>
      </c>
      <c r="W844" s="9">
        <f t="shared" si="252"/>
        <v>1176</v>
      </c>
      <c r="X844" s="9">
        <f t="shared" si="253"/>
        <v>8</v>
      </c>
      <c r="Y844" s="7">
        <v>8.2799999999999994</v>
      </c>
      <c r="Z844" s="7">
        <f t="shared" si="256"/>
        <v>19.53</v>
      </c>
      <c r="AA844" s="9">
        <v>1</v>
      </c>
      <c r="AB844" s="9">
        <v>0</v>
      </c>
      <c r="AC844" s="9">
        <v>1</v>
      </c>
      <c r="AD844" s="9">
        <v>0</v>
      </c>
      <c r="AE844" s="9">
        <v>0</v>
      </c>
      <c r="AF844" s="9">
        <v>0</v>
      </c>
      <c r="AG844" s="8">
        <v>0</v>
      </c>
      <c r="AH844" s="9">
        <v>1</v>
      </c>
      <c r="AI844" s="30">
        <v>0</v>
      </c>
      <c r="AJ844" s="9">
        <v>0</v>
      </c>
      <c r="AK844" s="30">
        <v>1</v>
      </c>
      <c r="AL844" s="21">
        <v>1996</v>
      </c>
      <c r="AM844" s="23">
        <f t="shared" si="254"/>
        <v>7.5989004568714096</v>
      </c>
      <c r="AN844" s="33">
        <v>0.1</v>
      </c>
      <c r="AO844" s="33">
        <v>0.1</v>
      </c>
      <c r="AP844" s="33">
        <v>0.71</v>
      </c>
      <c r="AQ844" s="43">
        <v>0.09</v>
      </c>
      <c r="AR844" s="42">
        <v>1</v>
      </c>
      <c r="AS844" s="18">
        <v>0</v>
      </c>
      <c r="AT844">
        <v>0.63</v>
      </c>
      <c r="AU844" s="40">
        <v>0.37</v>
      </c>
      <c r="AV844" t="s">
        <v>104</v>
      </c>
      <c r="AW844" s="40" t="s">
        <v>104</v>
      </c>
      <c r="AX844">
        <v>0</v>
      </c>
      <c r="AY844" s="18">
        <v>1</v>
      </c>
      <c r="AZ844">
        <v>1</v>
      </c>
      <c r="BA844" s="18">
        <v>0</v>
      </c>
      <c r="BB844" s="18" t="s">
        <v>5</v>
      </c>
      <c r="BC844">
        <v>0</v>
      </c>
      <c r="BD844">
        <v>1</v>
      </c>
      <c r="BE844">
        <v>0</v>
      </c>
      <c r="BF844">
        <v>0</v>
      </c>
      <c r="BG844">
        <v>0</v>
      </c>
      <c r="BH844" s="18">
        <v>0</v>
      </c>
      <c r="BI844">
        <v>0</v>
      </c>
      <c r="BJ844">
        <v>1</v>
      </c>
      <c r="BK844" s="18">
        <v>0</v>
      </c>
      <c r="BL844">
        <v>127.1666666666667</v>
      </c>
      <c r="BM844">
        <v>27</v>
      </c>
      <c r="BN844" s="25">
        <v>33.81</v>
      </c>
      <c r="BO844">
        <v>0</v>
      </c>
      <c r="BP844">
        <v>0</v>
      </c>
      <c r="BQ844">
        <v>0</v>
      </c>
      <c r="BR844">
        <v>0</v>
      </c>
      <c r="BS844">
        <v>1</v>
      </c>
      <c r="BT844">
        <v>0</v>
      </c>
      <c r="BU844">
        <v>0</v>
      </c>
      <c r="BV844" s="18">
        <v>0</v>
      </c>
      <c r="BW844">
        <v>0</v>
      </c>
      <c r="BX844">
        <v>0</v>
      </c>
      <c r="BY844">
        <v>1</v>
      </c>
      <c r="BZ844" s="18">
        <v>0</v>
      </c>
      <c r="CA844">
        <v>0</v>
      </c>
      <c r="CB844">
        <v>0</v>
      </c>
      <c r="CC844">
        <v>0</v>
      </c>
      <c r="CD844">
        <v>0</v>
      </c>
      <c r="CE844">
        <v>0</v>
      </c>
      <c r="CF844" s="18">
        <v>0</v>
      </c>
      <c r="CG844">
        <v>0</v>
      </c>
      <c r="CH844">
        <v>0</v>
      </c>
      <c r="CI844">
        <v>1</v>
      </c>
      <c r="CJ844">
        <v>1</v>
      </c>
      <c r="CK844">
        <v>1</v>
      </c>
      <c r="CL844">
        <v>0</v>
      </c>
      <c r="CM844">
        <v>1</v>
      </c>
      <c r="CN844">
        <v>0</v>
      </c>
      <c r="CO844">
        <v>0</v>
      </c>
      <c r="CP844">
        <v>0</v>
      </c>
      <c r="CQ844" s="18">
        <v>0</v>
      </c>
      <c r="CR844">
        <v>0.14599999999999999</v>
      </c>
      <c r="CS844">
        <v>4</v>
      </c>
      <c r="CT844">
        <v>1</v>
      </c>
      <c r="CU844">
        <v>0</v>
      </c>
      <c r="CV844">
        <v>11</v>
      </c>
      <c r="DB844" s="34"/>
    </row>
    <row r="845" spans="1:106" x14ac:dyDescent="0.25">
      <c r="A845">
        <v>844</v>
      </c>
      <c r="B845">
        <v>58</v>
      </c>
      <c r="C845" s="25" t="s">
        <v>4063</v>
      </c>
      <c r="D845" s="12">
        <v>7.2</v>
      </c>
      <c r="E845" s="14">
        <v>0.6</v>
      </c>
      <c r="F845" s="7">
        <f t="shared" ref="F845:F908" si="257">D845/E845</f>
        <v>12</v>
      </c>
      <c r="G845" s="7">
        <f t="shared" si="245"/>
        <v>6.6000000000000005</v>
      </c>
      <c r="H845" s="16">
        <f t="shared" si="246"/>
        <v>7.8</v>
      </c>
      <c r="I845" s="11">
        <f t="shared" si="247"/>
        <v>0.20433118274318615</v>
      </c>
      <c r="J845" s="33">
        <f t="shared" si="248"/>
        <v>1.7027598561932179E-2</v>
      </c>
      <c r="K845" s="33">
        <f t="shared" si="249"/>
        <v>58.728187440104094</v>
      </c>
      <c r="L845" s="33">
        <f t="shared" si="250"/>
        <v>0.18730358418125398</v>
      </c>
      <c r="M845" s="33">
        <f t="shared" si="251"/>
        <v>0.22135878130511832</v>
      </c>
      <c r="N845" s="8">
        <v>1</v>
      </c>
      <c r="O845" s="9">
        <v>0</v>
      </c>
      <c r="P845" s="8">
        <v>1</v>
      </c>
      <c r="Q845" s="9">
        <v>0</v>
      </c>
      <c r="R845" s="9">
        <v>0</v>
      </c>
      <c r="S845" s="9">
        <v>0</v>
      </c>
      <c r="T845" s="9">
        <v>0</v>
      </c>
      <c r="U845" s="8">
        <v>3316</v>
      </c>
      <c r="V845" s="9">
        <v>10</v>
      </c>
      <c r="W845" s="9">
        <f t="shared" si="252"/>
        <v>3305</v>
      </c>
      <c r="X845" s="9">
        <f t="shared" si="253"/>
        <v>14</v>
      </c>
      <c r="Y845" s="7">
        <v>7.6</v>
      </c>
      <c r="Z845" s="7">
        <v>4.5999999999999996</v>
      </c>
      <c r="AA845" s="9">
        <v>1</v>
      </c>
      <c r="AB845" s="9">
        <v>0</v>
      </c>
      <c r="AC845" s="9">
        <v>1</v>
      </c>
      <c r="AD845" s="9">
        <v>0</v>
      </c>
      <c r="AE845" s="9">
        <v>0</v>
      </c>
      <c r="AF845" s="9">
        <v>0</v>
      </c>
      <c r="AG845" s="8">
        <v>0</v>
      </c>
      <c r="AH845" s="9">
        <v>1</v>
      </c>
      <c r="AI845" s="30">
        <v>0</v>
      </c>
      <c r="AJ845" s="9">
        <v>1</v>
      </c>
      <c r="AK845" s="30">
        <v>0</v>
      </c>
      <c r="AL845" s="21">
        <v>2009</v>
      </c>
      <c r="AM845" s="23">
        <f t="shared" si="254"/>
        <v>7.6053923648149349</v>
      </c>
      <c r="AN845" s="33">
        <v>0.09</v>
      </c>
      <c r="AO845" s="33">
        <v>0.38</v>
      </c>
      <c r="AP845" s="33">
        <v>0.46</v>
      </c>
      <c r="AQ845" s="43">
        <v>7.0000000000000007E-2</v>
      </c>
      <c r="AR845" s="42">
        <v>0.3</v>
      </c>
      <c r="AS845" s="18">
        <v>0.7</v>
      </c>
      <c r="AT845">
        <v>1</v>
      </c>
      <c r="AU845" s="40">
        <v>0</v>
      </c>
      <c r="AV845">
        <v>0.9</v>
      </c>
      <c r="AW845" s="40">
        <v>0.1</v>
      </c>
      <c r="AX845">
        <v>0</v>
      </c>
      <c r="AY845" s="18">
        <v>1</v>
      </c>
      <c r="AZ845">
        <v>0</v>
      </c>
      <c r="BA845" s="18">
        <v>1</v>
      </c>
      <c r="BB845" s="18" t="s">
        <v>5</v>
      </c>
      <c r="BC845">
        <v>0</v>
      </c>
      <c r="BD845">
        <v>1</v>
      </c>
      <c r="BE845">
        <v>0</v>
      </c>
      <c r="BF845">
        <v>0</v>
      </c>
      <c r="BG845">
        <v>0</v>
      </c>
      <c r="BH845" s="18">
        <v>0</v>
      </c>
      <c r="BI845">
        <v>0</v>
      </c>
      <c r="BJ845">
        <v>1</v>
      </c>
      <c r="BK845" s="18">
        <v>0</v>
      </c>
      <c r="BL845">
        <v>127.1666666666667</v>
      </c>
      <c r="BM845">
        <v>27</v>
      </c>
      <c r="BN845" s="25">
        <v>38</v>
      </c>
      <c r="BO845">
        <v>1</v>
      </c>
      <c r="BP845">
        <v>0</v>
      </c>
      <c r="BQ845">
        <v>0</v>
      </c>
      <c r="BR845">
        <v>0</v>
      </c>
      <c r="BS845">
        <v>0</v>
      </c>
      <c r="BT845">
        <v>0</v>
      </c>
      <c r="BU845">
        <v>0</v>
      </c>
      <c r="BV845" s="18">
        <v>0</v>
      </c>
      <c r="BW845">
        <v>0</v>
      </c>
      <c r="BX845">
        <v>1</v>
      </c>
      <c r="BY845">
        <v>0</v>
      </c>
      <c r="BZ845" s="18">
        <v>0</v>
      </c>
      <c r="CA845">
        <v>0</v>
      </c>
      <c r="CB845">
        <v>0</v>
      </c>
      <c r="CC845">
        <v>0</v>
      </c>
      <c r="CD845">
        <v>0</v>
      </c>
      <c r="CE845">
        <v>0</v>
      </c>
      <c r="CF845" s="18">
        <v>0</v>
      </c>
      <c r="CG845">
        <v>0</v>
      </c>
      <c r="CH845">
        <v>0</v>
      </c>
      <c r="CI845">
        <v>1</v>
      </c>
      <c r="CJ845">
        <v>1</v>
      </c>
      <c r="CK845">
        <v>0</v>
      </c>
      <c r="CL845">
        <v>0</v>
      </c>
      <c r="CM845">
        <v>0</v>
      </c>
      <c r="CN845">
        <v>0</v>
      </c>
      <c r="CO845">
        <v>1</v>
      </c>
      <c r="CP845">
        <v>0</v>
      </c>
      <c r="CQ845" s="18">
        <v>0</v>
      </c>
      <c r="CR845">
        <v>0</v>
      </c>
      <c r="CS845">
        <v>0</v>
      </c>
      <c r="CT845">
        <v>0</v>
      </c>
      <c r="CU845">
        <v>1</v>
      </c>
      <c r="CV845">
        <v>19</v>
      </c>
      <c r="DB845" s="34"/>
    </row>
    <row r="846" spans="1:106" x14ac:dyDescent="0.25">
      <c r="A846">
        <v>845</v>
      </c>
      <c r="B846">
        <v>58</v>
      </c>
      <c r="C846" s="25" t="s">
        <v>4063</v>
      </c>
      <c r="D846" s="12">
        <v>9.1</v>
      </c>
      <c r="E846" s="14">
        <v>2.2999999999999998</v>
      </c>
      <c r="F846" s="7">
        <f t="shared" si="257"/>
        <v>3.956521739130435</v>
      </c>
      <c r="G846" s="7">
        <f t="shared" si="245"/>
        <v>6.8</v>
      </c>
      <c r="H846" s="16">
        <f t="shared" si="246"/>
        <v>11.399999999999999</v>
      </c>
      <c r="I846" s="11">
        <f t="shared" si="247"/>
        <v>6.8659674321075184E-2</v>
      </c>
      <c r="J846" s="33">
        <f t="shared" si="248"/>
        <v>1.7353544059172846E-2</v>
      </c>
      <c r="K846" s="33">
        <f t="shared" si="249"/>
        <v>57.625116609619212</v>
      </c>
      <c r="L846" s="33">
        <f t="shared" si="250"/>
        <v>5.1306130261902338E-2</v>
      </c>
      <c r="M846" s="33">
        <f t="shared" si="251"/>
        <v>8.601321838024803E-2</v>
      </c>
      <c r="N846" s="8">
        <v>1</v>
      </c>
      <c r="O846" s="9">
        <v>0</v>
      </c>
      <c r="P846" s="8">
        <v>1</v>
      </c>
      <c r="Q846" s="9">
        <v>0</v>
      </c>
      <c r="R846" s="9">
        <v>0</v>
      </c>
      <c r="S846" s="9">
        <v>0</v>
      </c>
      <c r="T846" s="9">
        <v>0</v>
      </c>
      <c r="U846" s="8">
        <v>3316</v>
      </c>
      <c r="V846" s="9">
        <v>10</v>
      </c>
      <c r="W846" s="9">
        <f t="shared" si="252"/>
        <v>3305</v>
      </c>
      <c r="X846" s="9">
        <f t="shared" si="253"/>
        <v>14</v>
      </c>
      <c r="Y846" s="7">
        <v>7.6</v>
      </c>
      <c r="Z846" s="7">
        <v>4.5999999999999996</v>
      </c>
      <c r="AA846" s="9">
        <v>1</v>
      </c>
      <c r="AB846" s="9">
        <v>0</v>
      </c>
      <c r="AC846" s="9">
        <v>1</v>
      </c>
      <c r="AD846" s="9">
        <v>0</v>
      </c>
      <c r="AE846" s="9">
        <v>0</v>
      </c>
      <c r="AF846" s="9">
        <v>0</v>
      </c>
      <c r="AG846" s="8">
        <v>0</v>
      </c>
      <c r="AH846" s="9">
        <v>1</v>
      </c>
      <c r="AI846" s="30">
        <v>0</v>
      </c>
      <c r="AJ846" s="9">
        <v>1</v>
      </c>
      <c r="AK846" s="30">
        <v>0</v>
      </c>
      <c r="AL846" s="21">
        <v>2009</v>
      </c>
      <c r="AM846" s="23">
        <f t="shared" si="254"/>
        <v>7.6053923648149349</v>
      </c>
      <c r="AN846" s="33">
        <v>0.09</v>
      </c>
      <c r="AO846" s="33">
        <v>0.38</v>
      </c>
      <c r="AP846" s="33">
        <v>0.46</v>
      </c>
      <c r="AQ846" s="43">
        <v>7.0000000000000007E-2</v>
      </c>
      <c r="AR846" s="42">
        <v>0.3</v>
      </c>
      <c r="AS846" s="18">
        <v>0.7</v>
      </c>
      <c r="AT846">
        <v>1</v>
      </c>
      <c r="AU846" s="40">
        <v>0</v>
      </c>
      <c r="AV846">
        <v>0.9</v>
      </c>
      <c r="AW846" s="40">
        <v>0.1</v>
      </c>
      <c r="AX846">
        <v>0</v>
      </c>
      <c r="AY846" s="18">
        <v>1</v>
      </c>
      <c r="AZ846">
        <v>0</v>
      </c>
      <c r="BA846" s="18">
        <v>1</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0</v>
      </c>
      <c r="BY846">
        <v>1</v>
      </c>
      <c r="BZ846" s="18">
        <v>0</v>
      </c>
      <c r="CA846">
        <v>0</v>
      </c>
      <c r="CB846">
        <v>0</v>
      </c>
      <c r="CC846">
        <v>0</v>
      </c>
      <c r="CD846">
        <v>0</v>
      </c>
      <c r="CE846">
        <v>0</v>
      </c>
      <c r="CF846" s="18">
        <v>0</v>
      </c>
      <c r="CG846">
        <v>0</v>
      </c>
      <c r="CH846">
        <v>0</v>
      </c>
      <c r="CI846">
        <v>1</v>
      </c>
      <c r="CJ846">
        <v>1</v>
      </c>
      <c r="CK846">
        <v>0</v>
      </c>
      <c r="CL846">
        <v>0</v>
      </c>
      <c r="CM846">
        <v>0</v>
      </c>
      <c r="CN846">
        <v>0</v>
      </c>
      <c r="CO846">
        <v>1</v>
      </c>
      <c r="CP846">
        <v>0</v>
      </c>
      <c r="CQ846" s="18">
        <v>0</v>
      </c>
      <c r="CR846">
        <v>0</v>
      </c>
      <c r="CS846">
        <v>0</v>
      </c>
      <c r="CT846">
        <v>0</v>
      </c>
      <c r="CU846">
        <v>1</v>
      </c>
      <c r="CV846">
        <v>19</v>
      </c>
      <c r="DB846" s="34"/>
    </row>
    <row r="847" spans="1:106" x14ac:dyDescent="0.25">
      <c r="A847">
        <v>846</v>
      </c>
      <c r="B847">
        <v>58</v>
      </c>
      <c r="C847" s="25" t="s">
        <v>4063</v>
      </c>
      <c r="D847" s="12">
        <v>5.7</v>
      </c>
      <c r="E847" s="14">
        <v>0.6</v>
      </c>
      <c r="F847" s="7">
        <f t="shared" si="257"/>
        <v>9.5</v>
      </c>
      <c r="G847" s="7">
        <f t="shared" si="245"/>
        <v>5.1000000000000005</v>
      </c>
      <c r="H847" s="16">
        <f t="shared" si="246"/>
        <v>6.3</v>
      </c>
      <c r="I847" s="11">
        <f t="shared" si="247"/>
        <v>0.1889355130790461</v>
      </c>
      <c r="J847" s="33">
        <f t="shared" si="248"/>
        <v>1.9887948745162747E-2</v>
      </c>
      <c r="K847" s="33">
        <f t="shared" si="249"/>
        <v>50.281706414957718</v>
      </c>
      <c r="L847" s="33">
        <f t="shared" si="250"/>
        <v>0.16904756433388335</v>
      </c>
      <c r="M847" s="33">
        <f t="shared" si="251"/>
        <v>0.20882346182420886</v>
      </c>
      <c r="N847" s="8">
        <v>1</v>
      </c>
      <c r="O847" s="9">
        <v>0</v>
      </c>
      <c r="P847" s="8">
        <v>1</v>
      </c>
      <c r="Q847" s="9">
        <v>0</v>
      </c>
      <c r="R847" s="9">
        <v>0</v>
      </c>
      <c r="S847" s="9">
        <v>0</v>
      </c>
      <c r="T847" s="9">
        <v>0</v>
      </c>
      <c r="U847" s="8">
        <v>2451</v>
      </c>
      <c r="V847" s="9">
        <v>12</v>
      </c>
      <c r="W847" s="9">
        <f t="shared" si="252"/>
        <v>2438</v>
      </c>
      <c r="X847" s="9">
        <f t="shared" si="253"/>
        <v>14</v>
      </c>
      <c r="Y847" s="7">
        <v>7.6</v>
      </c>
      <c r="Z847" s="7">
        <v>4.5999999999999996</v>
      </c>
      <c r="AA847" s="9">
        <v>1</v>
      </c>
      <c r="AB847" s="9">
        <v>0</v>
      </c>
      <c r="AC847" s="9">
        <v>1</v>
      </c>
      <c r="AD847" s="9">
        <v>0</v>
      </c>
      <c r="AE847" s="9">
        <v>0</v>
      </c>
      <c r="AF847" s="9">
        <v>0</v>
      </c>
      <c r="AG847" s="8">
        <v>0</v>
      </c>
      <c r="AH847" s="9">
        <v>1</v>
      </c>
      <c r="AI847" s="30">
        <v>0</v>
      </c>
      <c r="AJ847" s="9">
        <v>1</v>
      </c>
      <c r="AK847" s="30">
        <v>0</v>
      </c>
      <c r="AL847" s="21">
        <v>2009</v>
      </c>
      <c r="AM847" s="23">
        <f t="shared" si="254"/>
        <v>7.6053923648149349</v>
      </c>
      <c r="AN847" s="33">
        <v>0.09</v>
      </c>
      <c r="AO847" s="33">
        <v>0.38</v>
      </c>
      <c r="AP847" s="33">
        <v>0.46</v>
      </c>
      <c r="AQ847" s="43">
        <v>7.0000000000000007E-2</v>
      </c>
      <c r="AR847" s="42">
        <v>0.3</v>
      </c>
      <c r="AS847" s="18">
        <v>0.7</v>
      </c>
      <c r="AT847">
        <v>0</v>
      </c>
      <c r="AU847" s="40">
        <v>1</v>
      </c>
      <c r="AV847">
        <v>0.9</v>
      </c>
      <c r="AW847" s="40">
        <v>0.1</v>
      </c>
      <c r="AX847">
        <v>0</v>
      </c>
      <c r="AY847" s="18">
        <v>1</v>
      </c>
      <c r="AZ847">
        <v>0</v>
      </c>
      <c r="BA847" s="18">
        <v>1</v>
      </c>
      <c r="BB847" s="18" t="s">
        <v>5</v>
      </c>
      <c r="BC847">
        <v>0</v>
      </c>
      <c r="BD847">
        <v>1</v>
      </c>
      <c r="BE847">
        <v>0</v>
      </c>
      <c r="BF847">
        <v>0</v>
      </c>
      <c r="BG847">
        <v>0</v>
      </c>
      <c r="BH847" s="18">
        <v>0</v>
      </c>
      <c r="BI847">
        <v>0</v>
      </c>
      <c r="BJ847">
        <v>1</v>
      </c>
      <c r="BK847" s="18">
        <v>0</v>
      </c>
      <c r="BL847">
        <v>127.1666666666667</v>
      </c>
      <c r="BM847">
        <v>27</v>
      </c>
      <c r="BN847" s="25">
        <v>38</v>
      </c>
      <c r="BO847">
        <v>1</v>
      </c>
      <c r="BP847">
        <v>0</v>
      </c>
      <c r="BQ847">
        <v>0</v>
      </c>
      <c r="BR847">
        <v>0</v>
      </c>
      <c r="BS847">
        <v>0</v>
      </c>
      <c r="BT847">
        <v>0</v>
      </c>
      <c r="BU847">
        <v>0</v>
      </c>
      <c r="BV847" s="18">
        <v>0</v>
      </c>
      <c r="BW847">
        <v>0</v>
      </c>
      <c r="BX847">
        <v>0</v>
      </c>
      <c r="BY847">
        <v>0</v>
      </c>
      <c r="BZ847" s="18">
        <v>0</v>
      </c>
      <c r="CA847">
        <v>0</v>
      </c>
      <c r="CB847">
        <v>0</v>
      </c>
      <c r="CC847">
        <v>0</v>
      </c>
      <c r="CD847">
        <v>0</v>
      </c>
      <c r="CE847">
        <v>0</v>
      </c>
      <c r="CF847" s="18">
        <v>0</v>
      </c>
      <c r="CG847">
        <v>0</v>
      </c>
      <c r="CH847">
        <v>0</v>
      </c>
      <c r="CI847">
        <v>1</v>
      </c>
      <c r="CJ847">
        <v>1</v>
      </c>
      <c r="CK847">
        <v>0</v>
      </c>
      <c r="CL847">
        <v>0</v>
      </c>
      <c r="CM847">
        <v>0</v>
      </c>
      <c r="CN847">
        <v>0</v>
      </c>
      <c r="CO847">
        <v>1</v>
      </c>
      <c r="CP847">
        <v>0</v>
      </c>
      <c r="CQ847" s="18">
        <v>0</v>
      </c>
      <c r="CR847">
        <v>0</v>
      </c>
      <c r="CS847">
        <v>0</v>
      </c>
      <c r="CT847">
        <v>0</v>
      </c>
      <c r="CU847">
        <v>1</v>
      </c>
      <c r="CV847">
        <v>19</v>
      </c>
      <c r="DB847" s="34"/>
    </row>
    <row r="848" spans="1:106" x14ac:dyDescent="0.25">
      <c r="A848">
        <v>847</v>
      </c>
      <c r="B848">
        <v>58</v>
      </c>
      <c r="C848" s="25" t="s">
        <v>4063</v>
      </c>
      <c r="D848" s="12">
        <v>5.4</v>
      </c>
      <c r="E848" s="14">
        <v>0.6</v>
      </c>
      <c r="F848" s="7">
        <f t="shared" si="257"/>
        <v>9.0000000000000018</v>
      </c>
      <c r="G848" s="7">
        <f t="shared" si="245"/>
        <v>4.8000000000000007</v>
      </c>
      <c r="H848" s="16">
        <f t="shared" si="246"/>
        <v>6</v>
      </c>
      <c r="I848" s="11">
        <f t="shared" si="247"/>
        <v>0.15942318366671104</v>
      </c>
      <c r="J848" s="33">
        <f t="shared" si="248"/>
        <v>1.7713687074079002E-2</v>
      </c>
      <c r="K848" s="33">
        <f t="shared" si="249"/>
        <v>56.453520705089772</v>
      </c>
      <c r="L848" s="33">
        <f t="shared" si="250"/>
        <v>0.14170949659263204</v>
      </c>
      <c r="M848" s="33">
        <f t="shared" si="251"/>
        <v>0.17713687074079004</v>
      </c>
      <c r="N848" s="8">
        <v>1</v>
      </c>
      <c r="O848" s="9">
        <v>0</v>
      </c>
      <c r="P848" s="8">
        <v>1</v>
      </c>
      <c r="Q848" s="9">
        <v>0</v>
      </c>
      <c r="R848" s="9">
        <v>0</v>
      </c>
      <c r="S848" s="9">
        <v>0</v>
      </c>
      <c r="T848" s="9">
        <v>0</v>
      </c>
      <c r="U848" s="8">
        <v>3119</v>
      </c>
      <c r="V848" s="9">
        <v>12</v>
      </c>
      <c r="W848" s="9">
        <f t="shared" si="252"/>
        <v>3106</v>
      </c>
      <c r="X848" s="9">
        <f t="shared" si="253"/>
        <v>14</v>
      </c>
      <c r="Y848" s="7">
        <v>7.6</v>
      </c>
      <c r="Z848" s="7">
        <v>4.5999999999999996</v>
      </c>
      <c r="AA848" s="9">
        <v>1</v>
      </c>
      <c r="AB848" s="9">
        <v>0</v>
      </c>
      <c r="AC848" s="9">
        <v>1</v>
      </c>
      <c r="AD848" s="9">
        <v>0</v>
      </c>
      <c r="AE848" s="9">
        <v>0</v>
      </c>
      <c r="AF848" s="9">
        <v>0</v>
      </c>
      <c r="AG848" s="8">
        <v>0</v>
      </c>
      <c r="AH848" s="9">
        <v>1</v>
      </c>
      <c r="AI848" s="30">
        <v>0</v>
      </c>
      <c r="AJ848" s="9">
        <v>1</v>
      </c>
      <c r="AK848" s="30">
        <v>0</v>
      </c>
      <c r="AL848" s="21">
        <v>2009</v>
      </c>
      <c r="AM848" s="23">
        <f t="shared" si="254"/>
        <v>7.6053923648149349</v>
      </c>
      <c r="AN848" s="33">
        <v>0.09</v>
      </c>
      <c r="AO848" s="33">
        <v>0.38</v>
      </c>
      <c r="AP848" s="33">
        <v>0.46</v>
      </c>
      <c r="AQ848" s="43">
        <v>7.0000000000000007E-2</v>
      </c>
      <c r="AR848" s="42">
        <v>0.3</v>
      </c>
      <c r="AS848" s="18">
        <v>0.7</v>
      </c>
      <c r="AT848">
        <v>0</v>
      </c>
      <c r="AU848" s="40">
        <v>1</v>
      </c>
      <c r="AV848">
        <v>0.9</v>
      </c>
      <c r="AW848" s="40">
        <v>0.1</v>
      </c>
      <c r="AX848">
        <v>0</v>
      </c>
      <c r="AY848" s="18">
        <v>1</v>
      </c>
      <c r="AZ848">
        <v>0</v>
      </c>
      <c r="BA848" s="18">
        <v>1</v>
      </c>
      <c r="BB848" s="18" t="s">
        <v>5</v>
      </c>
      <c r="BC848">
        <v>0</v>
      </c>
      <c r="BD848">
        <v>1</v>
      </c>
      <c r="BE848">
        <v>0</v>
      </c>
      <c r="BF848">
        <v>0</v>
      </c>
      <c r="BG848">
        <v>0</v>
      </c>
      <c r="BH848" s="18">
        <v>0</v>
      </c>
      <c r="BI848">
        <v>0</v>
      </c>
      <c r="BJ848">
        <v>1</v>
      </c>
      <c r="BK848" s="18">
        <v>0</v>
      </c>
      <c r="BL848">
        <v>127.1666666666667</v>
      </c>
      <c r="BM848">
        <v>27</v>
      </c>
      <c r="BN848" s="25">
        <v>38</v>
      </c>
      <c r="BO848">
        <v>0</v>
      </c>
      <c r="BP848">
        <v>0</v>
      </c>
      <c r="BQ848">
        <v>0</v>
      </c>
      <c r="BR848">
        <v>0</v>
      </c>
      <c r="BS848">
        <v>0</v>
      </c>
      <c r="BT848">
        <v>1</v>
      </c>
      <c r="BU848">
        <v>0</v>
      </c>
      <c r="BV848" s="18">
        <v>0</v>
      </c>
      <c r="BW848">
        <v>0</v>
      </c>
      <c r="BX848">
        <v>0</v>
      </c>
      <c r="BY848">
        <v>1</v>
      </c>
      <c r="BZ848" s="18">
        <v>0</v>
      </c>
      <c r="CA848">
        <v>0</v>
      </c>
      <c r="CB848">
        <v>0</v>
      </c>
      <c r="CC848">
        <v>0</v>
      </c>
      <c r="CD848">
        <v>0</v>
      </c>
      <c r="CE848">
        <v>0</v>
      </c>
      <c r="CF848" s="18">
        <v>0</v>
      </c>
      <c r="CG848">
        <v>0</v>
      </c>
      <c r="CH848">
        <v>0</v>
      </c>
      <c r="CI848">
        <v>1</v>
      </c>
      <c r="CJ848">
        <v>1</v>
      </c>
      <c r="CK848">
        <v>0</v>
      </c>
      <c r="CL848">
        <v>0</v>
      </c>
      <c r="CM848">
        <v>0</v>
      </c>
      <c r="CN848">
        <v>0</v>
      </c>
      <c r="CO848">
        <v>1</v>
      </c>
      <c r="CP848">
        <v>0</v>
      </c>
      <c r="CQ848" s="18">
        <v>0</v>
      </c>
      <c r="CR848">
        <v>0</v>
      </c>
      <c r="CS848">
        <v>0</v>
      </c>
      <c r="CT848">
        <v>0</v>
      </c>
      <c r="CU848">
        <v>1</v>
      </c>
      <c r="CV848">
        <v>19</v>
      </c>
      <c r="DB848" s="34"/>
    </row>
    <row r="849" spans="1:106" x14ac:dyDescent="0.25">
      <c r="A849">
        <v>848</v>
      </c>
      <c r="B849">
        <v>58</v>
      </c>
      <c r="C849" s="25" t="s">
        <v>4063</v>
      </c>
      <c r="D849" s="12">
        <v>5</v>
      </c>
      <c r="E849" s="14">
        <v>1.5</v>
      </c>
      <c r="F849" s="7">
        <f t="shared" si="257"/>
        <v>3.3333333333333335</v>
      </c>
      <c r="G849" s="7">
        <f t="shared" si="245"/>
        <v>3.5</v>
      </c>
      <c r="H849" s="16">
        <f t="shared" si="246"/>
        <v>6.5</v>
      </c>
      <c r="I849" s="11">
        <f t="shared" si="247"/>
        <v>6.7341975958526951E-2</v>
      </c>
      <c r="J849" s="33">
        <f t="shared" si="248"/>
        <v>2.0202592787558083E-2</v>
      </c>
      <c r="K849" s="33">
        <f t="shared" si="249"/>
        <v>49.498597062049257</v>
      </c>
      <c r="L849" s="33">
        <f t="shared" si="250"/>
        <v>4.7139383170968871E-2</v>
      </c>
      <c r="M849" s="33">
        <f t="shared" si="251"/>
        <v>8.754456874608503E-2</v>
      </c>
      <c r="N849" s="8">
        <v>1</v>
      </c>
      <c r="O849" s="9">
        <v>0</v>
      </c>
      <c r="P849" s="8">
        <v>1</v>
      </c>
      <c r="Q849" s="9">
        <v>0</v>
      </c>
      <c r="R849" s="9">
        <v>0</v>
      </c>
      <c r="S849" s="9">
        <v>0</v>
      </c>
      <c r="T849" s="9">
        <v>0</v>
      </c>
      <c r="U849" s="8">
        <v>2451</v>
      </c>
      <c r="V849" s="9">
        <v>11</v>
      </c>
      <c r="W849" s="9">
        <f t="shared" si="252"/>
        <v>2439</v>
      </c>
      <c r="X849" s="9">
        <f t="shared" si="253"/>
        <v>14</v>
      </c>
      <c r="Y849" s="7">
        <v>7.6</v>
      </c>
      <c r="Z849" s="7">
        <v>4.5999999999999996</v>
      </c>
      <c r="AA849" s="9">
        <v>1</v>
      </c>
      <c r="AB849" s="9">
        <v>0</v>
      </c>
      <c r="AC849" s="9">
        <v>1</v>
      </c>
      <c r="AD849" s="9">
        <v>0</v>
      </c>
      <c r="AE849" s="9">
        <v>0</v>
      </c>
      <c r="AF849" s="9">
        <v>0</v>
      </c>
      <c r="AG849" s="8">
        <v>0</v>
      </c>
      <c r="AH849" s="9">
        <v>1</v>
      </c>
      <c r="AI849" s="30">
        <v>0</v>
      </c>
      <c r="AJ849" s="9">
        <v>1</v>
      </c>
      <c r="AK849" s="30">
        <v>0</v>
      </c>
      <c r="AL849" s="21">
        <v>2009</v>
      </c>
      <c r="AM849" s="23">
        <f t="shared" si="254"/>
        <v>7.6053923648149349</v>
      </c>
      <c r="AN849" s="33">
        <v>0.09</v>
      </c>
      <c r="AO849" s="33">
        <v>0.38</v>
      </c>
      <c r="AP849" s="33">
        <v>0.46</v>
      </c>
      <c r="AQ849" s="43">
        <v>7.0000000000000007E-2</v>
      </c>
      <c r="AR849" s="42">
        <v>0.3</v>
      </c>
      <c r="AS849" s="18">
        <v>0.7</v>
      </c>
      <c r="AT849">
        <v>0</v>
      </c>
      <c r="AU849" s="40">
        <v>1</v>
      </c>
      <c r="AV849">
        <v>0.9</v>
      </c>
      <c r="AW849" s="40">
        <v>0.1</v>
      </c>
      <c r="AX849">
        <v>0</v>
      </c>
      <c r="AY849" s="18">
        <v>1</v>
      </c>
      <c r="AZ849">
        <v>0</v>
      </c>
      <c r="BA849" s="18">
        <v>1</v>
      </c>
      <c r="BB849" s="18" t="s">
        <v>5</v>
      </c>
      <c r="BC849">
        <v>0</v>
      </c>
      <c r="BD849">
        <v>1</v>
      </c>
      <c r="BE849">
        <v>0</v>
      </c>
      <c r="BF849">
        <v>0</v>
      </c>
      <c r="BG849">
        <v>0</v>
      </c>
      <c r="BH849" s="18">
        <v>0</v>
      </c>
      <c r="BI849">
        <v>0</v>
      </c>
      <c r="BJ849">
        <v>1</v>
      </c>
      <c r="BK849" s="18">
        <v>0</v>
      </c>
      <c r="BL849">
        <v>127.1666666666667</v>
      </c>
      <c r="BM849">
        <v>27</v>
      </c>
      <c r="BN849" s="25">
        <v>38</v>
      </c>
      <c r="BO849">
        <v>0</v>
      </c>
      <c r="BP849">
        <v>0</v>
      </c>
      <c r="BQ849">
        <v>0</v>
      </c>
      <c r="BR849">
        <v>0</v>
      </c>
      <c r="BS849">
        <v>0</v>
      </c>
      <c r="BT849">
        <v>0</v>
      </c>
      <c r="BU849">
        <v>0</v>
      </c>
      <c r="BV849" s="18">
        <v>1</v>
      </c>
      <c r="BW849">
        <v>0</v>
      </c>
      <c r="BX849">
        <v>1</v>
      </c>
      <c r="BY849">
        <v>0</v>
      </c>
      <c r="BZ849" s="18">
        <v>0</v>
      </c>
      <c r="CA849">
        <v>0</v>
      </c>
      <c r="CB849">
        <v>0</v>
      </c>
      <c r="CC849">
        <v>0</v>
      </c>
      <c r="CD849">
        <v>0</v>
      </c>
      <c r="CE849">
        <v>0</v>
      </c>
      <c r="CF849" s="18">
        <v>0</v>
      </c>
      <c r="CG849">
        <v>0</v>
      </c>
      <c r="CH849">
        <v>0</v>
      </c>
      <c r="CI849">
        <v>1</v>
      </c>
      <c r="CJ849">
        <v>1</v>
      </c>
      <c r="CK849">
        <v>0</v>
      </c>
      <c r="CL849">
        <v>0</v>
      </c>
      <c r="CM849">
        <v>0</v>
      </c>
      <c r="CN849">
        <v>0</v>
      </c>
      <c r="CO849">
        <v>1</v>
      </c>
      <c r="CP849">
        <v>0</v>
      </c>
      <c r="CQ849" s="18">
        <v>0</v>
      </c>
      <c r="CR849">
        <v>0</v>
      </c>
      <c r="CS849">
        <v>0</v>
      </c>
      <c r="CT849">
        <v>0</v>
      </c>
      <c r="CU849">
        <v>1</v>
      </c>
      <c r="CV849">
        <v>19</v>
      </c>
      <c r="DB849" s="34"/>
    </row>
    <row r="850" spans="1:106" x14ac:dyDescent="0.25">
      <c r="A850">
        <v>849</v>
      </c>
      <c r="B850">
        <v>58</v>
      </c>
      <c r="C850" s="25" t="s">
        <v>4063</v>
      </c>
      <c r="D850" s="12">
        <v>6.3</v>
      </c>
      <c r="E850" s="14">
        <v>1.3</v>
      </c>
      <c r="F850" s="7">
        <f t="shared" si="257"/>
        <v>4.8461538461538458</v>
      </c>
      <c r="G850" s="7">
        <f t="shared" si="245"/>
        <v>5</v>
      </c>
      <c r="H850" s="16">
        <f t="shared" si="246"/>
        <v>7.6</v>
      </c>
      <c r="I850" s="11">
        <f t="shared" si="247"/>
        <v>9.7678410112133671E-2</v>
      </c>
      <c r="J850" s="33">
        <f t="shared" si="248"/>
        <v>2.0155862404091077E-2</v>
      </c>
      <c r="K850" s="33">
        <f t="shared" si="249"/>
        <v>49.613357144025152</v>
      </c>
      <c r="L850" s="33">
        <f t="shared" si="250"/>
        <v>7.7522547708042594E-2</v>
      </c>
      <c r="M850" s="33">
        <f t="shared" si="251"/>
        <v>0.11783427251622475</v>
      </c>
      <c r="N850" s="8">
        <v>1</v>
      </c>
      <c r="O850" s="9">
        <v>0</v>
      </c>
      <c r="P850" s="8">
        <v>1</v>
      </c>
      <c r="Q850" s="9">
        <v>0</v>
      </c>
      <c r="R850" s="9">
        <v>0</v>
      </c>
      <c r="S850" s="9">
        <v>0</v>
      </c>
      <c r="T850" s="9">
        <v>0</v>
      </c>
      <c r="U850" s="8">
        <v>2451</v>
      </c>
      <c r="V850" s="9">
        <v>12</v>
      </c>
      <c r="W850" s="9">
        <f t="shared" si="252"/>
        <v>2438</v>
      </c>
      <c r="X850" s="9">
        <f t="shared" si="253"/>
        <v>14</v>
      </c>
      <c r="Y850" s="7">
        <v>7.6</v>
      </c>
      <c r="Z850" s="7">
        <v>4.5999999999999996</v>
      </c>
      <c r="AA850" s="9">
        <v>1</v>
      </c>
      <c r="AB850" s="9">
        <v>0</v>
      </c>
      <c r="AC850" s="9">
        <v>1</v>
      </c>
      <c r="AD850" s="9">
        <v>0</v>
      </c>
      <c r="AE850" s="9">
        <v>0</v>
      </c>
      <c r="AF850" s="9">
        <v>0</v>
      </c>
      <c r="AG850" s="8">
        <v>0</v>
      </c>
      <c r="AH850" s="9">
        <v>1</v>
      </c>
      <c r="AI850" s="30">
        <v>0</v>
      </c>
      <c r="AJ850" s="9">
        <v>1</v>
      </c>
      <c r="AK850" s="30">
        <v>0</v>
      </c>
      <c r="AL850" s="21">
        <v>2009</v>
      </c>
      <c r="AM850" s="23">
        <f t="shared" si="254"/>
        <v>7.6053923648149349</v>
      </c>
      <c r="AN850" s="33">
        <v>0.09</v>
      </c>
      <c r="AO850" s="33">
        <v>0.38</v>
      </c>
      <c r="AP850" s="33">
        <v>0.46</v>
      </c>
      <c r="AQ850" s="43">
        <v>7.0000000000000007E-2</v>
      </c>
      <c r="AR850" s="42">
        <v>0.3</v>
      </c>
      <c r="AS850" s="18">
        <v>0.7</v>
      </c>
      <c r="AT850">
        <v>0</v>
      </c>
      <c r="AU850" s="40">
        <v>1</v>
      </c>
      <c r="AV850">
        <v>0.9</v>
      </c>
      <c r="AW850" s="40">
        <v>0.1</v>
      </c>
      <c r="AX850">
        <v>0</v>
      </c>
      <c r="AY850" s="18">
        <v>1</v>
      </c>
      <c r="AZ850">
        <v>0</v>
      </c>
      <c r="BA850" s="18">
        <v>1</v>
      </c>
      <c r="BB850" s="18" t="s">
        <v>5</v>
      </c>
      <c r="BC850">
        <v>0</v>
      </c>
      <c r="BD850">
        <v>1</v>
      </c>
      <c r="BE850">
        <v>0</v>
      </c>
      <c r="BF850">
        <v>0</v>
      </c>
      <c r="BG850">
        <v>0</v>
      </c>
      <c r="BH850" s="18">
        <v>0</v>
      </c>
      <c r="BI850">
        <v>0</v>
      </c>
      <c r="BJ850">
        <v>1</v>
      </c>
      <c r="BK850" s="18">
        <v>0</v>
      </c>
      <c r="BL850">
        <v>127.1666666666667</v>
      </c>
      <c r="BM850">
        <v>27</v>
      </c>
      <c r="BN850" s="25">
        <v>38</v>
      </c>
      <c r="BO850">
        <v>0</v>
      </c>
      <c r="BP850">
        <v>0</v>
      </c>
      <c r="BQ850">
        <v>0</v>
      </c>
      <c r="BR850">
        <v>0</v>
      </c>
      <c r="BS850">
        <v>0</v>
      </c>
      <c r="BT850">
        <v>0</v>
      </c>
      <c r="BU850">
        <v>0</v>
      </c>
      <c r="BV850" s="18">
        <v>1</v>
      </c>
      <c r="BW850">
        <v>0</v>
      </c>
      <c r="BX850">
        <v>1</v>
      </c>
      <c r="BY850">
        <v>0</v>
      </c>
      <c r="BZ850" s="18">
        <v>0</v>
      </c>
      <c r="CA850">
        <v>0</v>
      </c>
      <c r="CB850">
        <v>0</v>
      </c>
      <c r="CC850">
        <v>0</v>
      </c>
      <c r="CD850">
        <v>0</v>
      </c>
      <c r="CE850">
        <v>0</v>
      </c>
      <c r="CF850" s="18">
        <v>0</v>
      </c>
      <c r="CG850">
        <v>0</v>
      </c>
      <c r="CH850">
        <v>0</v>
      </c>
      <c r="CI850">
        <v>1</v>
      </c>
      <c r="CJ850">
        <v>1</v>
      </c>
      <c r="CK850">
        <v>0</v>
      </c>
      <c r="CL850">
        <v>0</v>
      </c>
      <c r="CM850">
        <v>0</v>
      </c>
      <c r="CN850">
        <v>0</v>
      </c>
      <c r="CO850">
        <v>1</v>
      </c>
      <c r="CP850">
        <v>0</v>
      </c>
      <c r="CQ850" s="18">
        <v>0</v>
      </c>
      <c r="CR850">
        <v>0</v>
      </c>
      <c r="CS850">
        <v>0</v>
      </c>
      <c r="CT850">
        <v>0</v>
      </c>
      <c r="CU850">
        <v>1</v>
      </c>
      <c r="CV850">
        <v>19</v>
      </c>
      <c r="DB850" s="34"/>
    </row>
    <row r="851" spans="1:106" x14ac:dyDescent="0.25">
      <c r="A851">
        <v>850</v>
      </c>
      <c r="B851">
        <v>58</v>
      </c>
      <c r="C851" s="25" t="s">
        <v>4063</v>
      </c>
      <c r="D851" s="12">
        <v>4.5</v>
      </c>
      <c r="E851" s="14">
        <v>0.9</v>
      </c>
      <c r="F851" s="7">
        <f t="shared" si="257"/>
        <v>5</v>
      </c>
      <c r="G851" s="7">
        <f t="shared" si="245"/>
        <v>3.6</v>
      </c>
      <c r="H851" s="16">
        <f t="shared" si="246"/>
        <v>5.4</v>
      </c>
      <c r="I851" s="11">
        <f t="shared" si="247"/>
        <v>0.13277976293203617</v>
      </c>
      <c r="J851" s="33">
        <f t="shared" si="248"/>
        <v>2.6555952586407236E-2</v>
      </c>
      <c r="K851" s="33">
        <f t="shared" si="249"/>
        <v>37.656340767525464</v>
      </c>
      <c r="L851" s="33">
        <f t="shared" si="250"/>
        <v>0.10622381034562893</v>
      </c>
      <c r="M851" s="33">
        <f t="shared" si="251"/>
        <v>0.15933571551844339</v>
      </c>
      <c r="N851" s="8">
        <v>1</v>
      </c>
      <c r="O851" s="9">
        <v>0</v>
      </c>
      <c r="P851" s="8">
        <v>1</v>
      </c>
      <c r="Q851" s="9">
        <v>0</v>
      </c>
      <c r="R851" s="9">
        <v>0</v>
      </c>
      <c r="S851" s="9">
        <v>0</v>
      </c>
      <c r="T851" s="9">
        <v>0</v>
      </c>
      <c r="U851" s="8">
        <v>1405</v>
      </c>
      <c r="V851" s="9">
        <v>11</v>
      </c>
      <c r="W851" s="9">
        <f t="shared" si="252"/>
        <v>1393</v>
      </c>
      <c r="X851" s="9">
        <f t="shared" si="253"/>
        <v>14</v>
      </c>
      <c r="Y851" s="7">
        <v>7.6</v>
      </c>
      <c r="Z851" s="7">
        <v>4.5999999999999996</v>
      </c>
      <c r="AA851" s="9">
        <v>1</v>
      </c>
      <c r="AB851" s="9">
        <v>0</v>
      </c>
      <c r="AC851" s="9">
        <v>1</v>
      </c>
      <c r="AD851" s="9">
        <v>0</v>
      </c>
      <c r="AE851" s="9">
        <v>0</v>
      </c>
      <c r="AF851" s="9">
        <v>0</v>
      </c>
      <c r="AG851" s="8">
        <v>0</v>
      </c>
      <c r="AH851" s="9">
        <v>1</v>
      </c>
      <c r="AI851" s="30">
        <v>0</v>
      </c>
      <c r="AJ851" s="9">
        <v>1</v>
      </c>
      <c r="AK851" s="30">
        <v>0</v>
      </c>
      <c r="AL851" s="21">
        <v>2009</v>
      </c>
      <c r="AM851" s="23">
        <f t="shared" si="254"/>
        <v>7.6053923648149349</v>
      </c>
      <c r="AN851" s="33">
        <v>0.09</v>
      </c>
      <c r="AO851" s="33">
        <v>0.38</v>
      </c>
      <c r="AP851" s="33">
        <v>0.46</v>
      </c>
      <c r="AQ851" s="43">
        <v>7.0000000000000007E-2</v>
      </c>
      <c r="AR851" s="42">
        <v>0.3</v>
      </c>
      <c r="AS851" s="18">
        <v>0.7</v>
      </c>
      <c r="AT851">
        <v>1</v>
      </c>
      <c r="AU851" s="40">
        <v>0</v>
      </c>
      <c r="AV851">
        <v>0.9</v>
      </c>
      <c r="AW851" s="40">
        <v>0.1</v>
      </c>
      <c r="AX851">
        <v>0</v>
      </c>
      <c r="AY851" s="18">
        <v>1</v>
      </c>
      <c r="AZ851">
        <v>0.38</v>
      </c>
      <c r="BA851" s="18">
        <v>0.62</v>
      </c>
      <c r="BB851" s="18" t="s">
        <v>5</v>
      </c>
      <c r="BC851">
        <v>0</v>
      </c>
      <c r="BD851">
        <v>1</v>
      </c>
      <c r="BE851">
        <v>0</v>
      </c>
      <c r="BF851">
        <v>0</v>
      </c>
      <c r="BG851">
        <v>0</v>
      </c>
      <c r="BH851" s="18">
        <v>0</v>
      </c>
      <c r="BI851">
        <v>0</v>
      </c>
      <c r="BJ851">
        <v>1</v>
      </c>
      <c r="BK851" s="18">
        <v>0</v>
      </c>
      <c r="BL851">
        <v>127.1666666666667</v>
      </c>
      <c r="BM851">
        <v>27</v>
      </c>
      <c r="BN851" s="25">
        <v>38</v>
      </c>
      <c r="BO851">
        <v>1</v>
      </c>
      <c r="BP851">
        <v>0</v>
      </c>
      <c r="BQ851">
        <v>0</v>
      </c>
      <c r="BR851">
        <v>0</v>
      </c>
      <c r="BS851">
        <v>0</v>
      </c>
      <c r="BT851">
        <v>0</v>
      </c>
      <c r="BU851">
        <v>0</v>
      </c>
      <c r="BV851" s="18">
        <v>0</v>
      </c>
      <c r="BW851">
        <v>0</v>
      </c>
      <c r="BX851">
        <v>0</v>
      </c>
      <c r="BY851">
        <v>1</v>
      </c>
      <c r="BZ851" s="18">
        <v>0</v>
      </c>
      <c r="CA851">
        <v>0</v>
      </c>
      <c r="CB851">
        <v>0</v>
      </c>
      <c r="CC851">
        <v>0</v>
      </c>
      <c r="CD851">
        <v>0</v>
      </c>
      <c r="CE851">
        <v>0</v>
      </c>
      <c r="CF851" s="18">
        <v>0</v>
      </c>
      <c r="CG851">
        <v>0</v>
      </c>
      <c r="CH851">
        <v>0</v>
      </c>
      <c r="CI851">
        <v>1</v>
      </c>
      <c r="CJ851">
        <v>1</v>
      </c>
      <c r="CK851">
        <v>0</v>
      </c>
      <c r="CL851">
        <v>0</v>
      </c>
      <c r="CM851">
        <v>0</v>
      </c>
      <c r="CN851">
        <v>0</v>
      </c>
      <c r="CO851">
        <v>1</v>
      </c>
      <c r="CP851">
        <v>0</v>
      </c>
      <c r="CQ851" s="18">
        <v>0</v>
      </c>
      <c r="CR851">
        <v>0</v>
      </c>
      <c r="CS851">
        <v>0</v>
      </c>
      <c r="CT851">
        <v>0</v>
      </c>
      <c r="CU851">
        <v>1</v>
      </c>
      <c r="CV851">
        <v>19</v>
      </c>
      <c r="DB851" s="34"/>
    </row>
    <row r="852" spans="1:106" x14ac:dyDescent="0.25">
      <c r="A852">
        <v>851</v>
      </c>
      <c r="B852">
        <v>58</v>
      </c>
      <c r="C852" s="25" t="s">
        <v>4063</v>
      </c>
      <c r="D852" s="12">
        <v>8</v>
      </c>
      <c r="E852" s="14">
        <v>3.4</v>
      </c>
      <c r="F852" s="7">
        <f t="shared" si="257"/>
        <v>2.3529411764705883</v>
      </c>
      <c r="G852" s="7">
        <f t="shared" si="245"/>
        <v>4.5999999999999996</v>
      </c>
      <c r="H852" s="16">
        <f t="shared" si="246"/>
        <v>11.4</v>
      </c>
      <c r="I852" s="11">
        <f t="shared" si="247"/>
        <v>6.2895414166532826E-2</v>
      </c>
      <c r="J852" s="33">
        <f t="shared" si="248"/>
        <v>2.6730551020776452E-2</v>
      </c>
      <c r="K852" s="33">
        <f t="shared" si="249"/>
        <v>37.410377332765982</v>
      </c>
      <c r="L852" s="33">
        <f t="shared" si="250"/>
        <v>3.6164863145756371E-2</v>
      </c>
      <c r="M852" s="33">
        <f t="shared" si="251"/>
        <v>8.9625965187309281E-2</v>
      </c>
      <c r="N852" s="8">
        <v>1</v>
      </c>
      <c r="O852" s="9">
        <v>0</v>
      </c>
      <c r="P852" s="8">
        <v>1</v>
      </c>
      <c r="Q852" s="9">
        <v>0</v>
      </c>
      <c r="R852" s="9">
        <v>0</v>
      </c>
      <c r="S852" s="9">
        <v>0</v>
      </c>
      <c r="T852" s="9">
        <v>0</v>
      </c>
      <c r="U852" s="8">
        <v>1405</v>
      </c>
      <c r="V852" s="9">
        <v>10</v>
      </c>
      <c r="W852" s="9">
        <f t="shared" si="252"/>
        <v>1394</v>
      </c>
      <c r="X852" s="9">
        <f t="shared" si="253"/>
        <v>14</v>
      </c>
      <c r="Y852" s="7">
        <v>7.6</v>
      </c>
      <c r="Z852" s="7">
        <v>4.5999999999999996</v>
      </c>
      <c r="AA852" s="9">
        <v>1</v>
      </c>
      <c r="AB852" s="9">
        <v>0</v>
      </c>
      <c r="AC852" s="9">
        <v>1</v>
      </c>
      <c r="AD852" s="9">
        <v>0</v>
      </c>
      <c r="AE852" s="9">
        <v>0</v>
      </c>
      <c r="AF852" s="9">
        <v>0</v>
      </c>
      <c r="AG852" s="8">
        <v>0</v>
      </c>
      <c r="AH852" s="9">
        <v>1</v>
      </c>
      <c r="AI852" s="30">
        <v>0</v>
      </c>
      <c r="AJ852" s="9">
        <v>1</v>
      </c>
      <c r="AK852" s="30">
        <v>0</v>
      </c>
      <c r="AL852" s="21">
        <v>2009</v>
      </c>
      <c r="AM852" s="23">
        <f t="shared" si="254"/>
        <v>7.6053923648149349</v>
      </c>
      <c r="AN852" s="33">
        <v>0.09</v>
      </c>
      <c r="AO852" s="33">
        <v>0.38</v>
      </c>
      <c r="AP852" s="33">
        <v>0.46</v>
      </c>
      <c r="AQ852" s="43">
        <v>7.0000000000000007E-2</v>
      </c>
      <c r="AR852" s="42">
        <v>0.3</v>
      </c>
      <c r="AS852" s="18">
        <v>0.7</v>
      </c>
      <c r="AT852">
        <v>1</v>
      </c>
      <c r="AU852" s="40">
        <v>0</v>
      </c>
      <c r="AV852">
        <v>0.9</v>
      </c>
      <c r="AW852" s="40">
        <v>0.1</v>
      </c>
      <c r="AX852">
        <v>0</v>
      </c>
      <c r="AY852" s="18">
        <v>1</v>
      </c>
      <c r="AZ852">
        <v>0.38</v>
      </c>
      <c r="BA852" s="18">
        <v>0.62</v>
      </c>
      <c r="BB852" s="18" t="s">
        <v>5</v>
      </c>
      <c r="BC852">
        <v>0</v>
      </c>
      <c r="BD852">
        <v>1</v>
      </c>
      <c r="BE852">
        <v>0</v>
      </c>
      <c r="BF852">
        <v>0</v>
      </c>
      <c r="BG852">
        <v>0</v>
      </c>
      <c r="BH852" s="18">
        <v>0</v>
      </c>
      <c r="BI852">
        <v>0</v>
      </c>
      <c r="BJ852">
        <v>1</v>
      </c>
      <c r="BK852" s="18">
        <v>0</v>
      </c>
      <c r="BL852">
        <v>127.1666666666667</v>
      </c>
      <c r="BM852">
        <v>27</v>
      </c>
      <c r="BN852" s="25">
        <v>38</v>
      </c>
      <c r="BO852">
        <v>0</v>
      </c>
      <c r="BP852">
        <v>0</v>
      </c>
      <c r="BQ852">
        <v>0</v>
      </c>
      <c r="BR852">
        <v>0</v>
      </c>
      <c r="BS852">
        <v>0</v>
      </c>
      <c r="BT852">
        <v>0</v>
      </c>
      <c r="BU852">
        <v>0</v>
      </c>
      <c r="BV852" s="18">
        <v>1</v>
      </c>
      <c r="BW852">
        <v>0</v>
      </c>
      <c r="BX852">
        <v>1</v>
      </c>
      <c r="BY852">
        <v>0</v>
      </c>
      <c r="BZ852" s="18">
        <v>0</v>
      </c>
      <c r="CA852">
        <v>0</v>
      </c>
      <c r="CB852">
        <v>0</v>
      </c>
      <c r="CC852">
        <v>0</v>
      </c>
      <c r="CD852">
        <v>0</v>
      </c>
      <c r="CE852">
        <v>0</v>
      </c>
      <c r="CF852" s="18">
        <v>0</v>
      </c>
      <c r="CG852">
        <v>0</v>
      </c>
      <c r="CH852">
        <v>0</v>
      </c>
      <c r="CI852">
        <v>1</v>
      </c>
      <c r="CJ852">
        <v>1</v>
      </c>
      <c r="CK852">
        <v>0</v>
      </c>
      <c r="CL852">
        <v>0</v>
      </c>
      <c r="CM852">
        <v>0</v>
      </c>
      <c r="CN852">
        <v>0</v>
      </c>
      <c r="CO852">
        <v>1</v>
      </c>
      <c r="CP852">
        <v>0</v>
      </c>
      <c r="CQ852" s="18">
        <v>0</v>
      </c>
      <c r="CR852">
        <v>0</v>
      </c>
      <c r="CS852">
        <v>0</v>
      </c>
      <c r="CT852">
        <v>0</v>
      </c>
      <c r="CU852">
        <v>1</v>
      </c>
      <c r="CV852">
        <v>19</v>
      </c>
      <c r="DB852" s="34"/>
    </row>
    <row r="853" spans="1:106" x14ac:dyDescent="0.25">
      <c r="A853">
        <v>852</v>
      </c>
      <c r="B853">
        <v>58</v>
      </c>
      <c r="C853" s="25" t="s">
        <v>4063</v>
      </c>
      <c r="D853" s="12">
        <v>8</v>
      </c>
      <c r="E853" s="14">
        <v>3.5</v>
      </c>
      <c r="F853" s="7">
        <f t="shared" si="257"/>
        <v>2.2857142857142856</v>
      </c>
      <c r="G853" s="7">
        <f t="shared" si="245"/>
        <v>4.5</v>
      </c>
      <c r="H853" s="16">
        <f t="shared" si="246"/>
        <v>11.5</v>
      </c>
      <c r="I853" s="11">
        <f t="shared" si="247"/>
        <v>6.1105210393711161E-2</v>
      </c>
      <c r="J853" s="33">
        <f t="shared" si="248"/>
        <v>2.6733529547248634E-2</v>
      </c>
      <c r="K853" s="33">
        <f t="shared" si="249"/>
        <v>37.406209241193075</v>
      </c>
      <c r="L853" s="33">
        <f t="shared" si="250"/>
        <v>3.4371680846462527E-2</v>
      </c>
      <c r="M853" s="33">
        <f t="shared" si="251"/>
        <v>8.7838739940959795E-2</v>
      </c>
      <c r="N853" s="8">
        <v>1</v>
      </c>
      <c r="O853" s="9">
        <v>0</v>
      </c>
      <c r="P853" s="8">
        <v>1</v>
      </c>
      <c r="Q853" s="9">
        <v>0</v>
      </c>
      <c r="R853" s="9">
        <v>0</v>
      </c>
      <c r="S853" s="9">
        <v>0</v>
      </c>
      <c r="T853" s="9">
        <v>0</v>
      </c>
      <c r="U853" s="8">
        <v>1405</v>
      </c>
      <c r="V853" s="9">
        <v>10</v>
      </c>
      <c r="W853" s="9">
        <f t="shared" si="252"/>
        <v>1394</v>
      </c>
      <c r="X853" s="9">
        <f t="shared" si="253"/>
        <v>14</v>
      </c>
      <c r="Y853" s="7">
        <v>7.6</v>
      </c>
      <c r="Z853" s="7">
        <v>4.5999999999999996</v>
      </c>
      <c r="AA853" s="9">
        <v>1</v>
      </c>
      <c r="AB853" s="9">
        <v>0</v>
      </c>
      <c r="AC853" s="9">
        <v>1</v>
      </c>
      <c r="AD853" s="9">
        <v>0</v>
      </c>
      <c r="AE853" s="9">
        <v>0</v>
      </c>
      <c r="AF853" s="9">
        <v>0</v>
      </c>
      <c r="AG853" s="8">
        <v>0</v>
      </c>
      <c r="AH853" s="9">
        <v>1</v>
      </c>
      <c r="AI853" s="30">
        <v>0</v>
      </c>
      <c r="AJ853" s="9">
        <v>1</v>
      </c>
      <c r="AK853" s="30">
        <v>0</v>
      </c>
      <c r="AL853" s="21">
        <v>2009</v>
      </c>
      <c r="AM853" s="23">
        <f t="shared" si="254"/>
        <v>7.6053923648149349</v>
      </c>
      <c r="AN853" s="33">
        <v>0.09</v>
      </c>
      <c r="AO853" s="33">
        <v>0.38</v>
      </c>
      <c r="AP853" s="33">
        <v>0.46</v>
      </c>
      <c r="AQ853" s="43">
        <v>7.0000000000000007E-2</v>
      </c>
      <c r="AR853" s="42">
        <v>0.3</v>
      </c>
      <c r="AS853" s="18">
        <v>0.7</v>
      </c>
      <c r="AT853">
        <v>1</v>
      </c>
      <c r="AU853" s="40">
        <v>0</v>
      </c>
      <c r="AV853">
        <v>0.9</v>
      </c>
      <c r="AW853" s="40">
        <v>0.1</v>
      </c>
      <c r="AX853">
        <v>0</v>
      </c>
      <c r="AY853" s="18">
        <v>1</v>
      </c>
      <c r="AZ853">
        <v>0.38</v>
      </c>
      <c r="BA853" s="18">
        <v>0.62</v>
      </c>
      <c r="BB853" s="18" t="s">
        <v>5</v>
      </c>
      <c r="BC853">
        <v>0</v>
      </c>
      <c r="BD853">
        <v>1</v>
      </c>
      <c r="BE853">
        <v>0</v>
      </c>
      <c r="BF853">
        <v>0</v>
      </c>
      <c r="BG853">
        <v>0</v>
      </c>
      <c r="BH853" s="18">
        <v>0</v>
      </c>
      <c r="BI853">
        <v>0</v>
      </c>
      <c r="BJ853">
        <v>1</v>
      </c>
      <c r="BK853" s="18">
        <v>0</v>
      </c>
      <c r="BL853">
        <v>127.1666666666667</v>
      </c>
      <c r="BM853">
        <v>27</v>
      </c>
      <c r="BN853" s="25">
        <v>38</v>
      </c>
      <c r="BO853">
        <v>0</v>
      </c>
      <c r="BP853">
        <v>0</v>
      </c>
      <c r="BQ853">
        <v>0</v>
      </c>
      <c r="BR853">
        <v>0</v>
      </c>
      <c r="BS853">
        <v>0</v>
      </c>
      <c r="BT853">
        <v>0</v>
      </c>
      <c r="BU853">
        <v>0</v>
      </c>
      <c r="BV853" s="18">
        <v>1</v>
      </c>
      <c r="BW853">
        <v>0</v>
      </c>
      <c r="BX853">
        <v>1</v>
      </c>
      <c r="BY853">
        <v>0</v>
      </c>
      <c r="BZ853" s="18">
        <v>0</v>
      </c>
      <c r="CA853">
        <v>0</v>
      </c>
      <c r="CB853">
        <v>0</v>
      </c>
      <c r="CC853">
        <v>0</v>
      </c>
      <c r="CD853">
        <v>0</v>
      </c>
      <c r="CE853">
        <v>0</v>
      </c>
      <c r="CF853" s="18">
        <v>0</v>
      </c>
      <c r="CG853">
        <v>0</v>
      </c>
      <c r="CH853">
        <v>0</v>
      </c>
      <c r="CI853">
        <v>1</v>
      </c>
      <c r="CJ853">
        <v>1</v>
      </c>
      <c r="CK853">
        <v>0</v>
      </c>
      <c r="CL853">
        <v>0</v>
      </c>
      <c r="CM853">
        <v>0</v>
      </c>
      <c r="CN853">
        <v>0</v>
      </c>
      <c r="CO853">
        <v>1</v>
      </c>
      <c r="CP853">
        <v>0</v>
      </c>
      <c r="CQ853" s="18">
        <v>0</v>
      </c>
      <c r="CR853">
        <v>0</v>
      </c>
      <c r="CS853">
        <v>0</v>
      </c>
      <c r="CT853">
        <v>0</v>
      </c>
      <c r="CU853">
        <v>1</v>
      </c>
      <c r="CV853">
        <v>19</v>
      </c>
      <c r="DB853" s="34"/>
    </row>
    <row r="854" spans="1:106" x14ac:dyDescent="0.25">
      <c r="A854">
        <v>853</v>
      </c>
      <c r="B854">
        <v>58</v>
      </c>
      <c r="C854" s="25" t="s">
        <v>4063</v>
      </c>
      <c r="D854" s="12">
        <v>8.4</v>
      </c>
      <c r="E854" s="14">
        <v>3.8</v>
      </c>
      <c r="F854" s="7">
        <f t="shared" si="257"/>
        <v>2.2105263157894739</v>
      </c>
      <c r="G854" s="7">
        <f t="shared" si="245"/>
        <v>4.6000000000000005</v>
      </c>
      <c r="H854" s="16">
        <f t="shared" si="246"/>
        <v>12.2</v>
      </c>
      <c r="I854" s="11">
        <f t="shared" si="247"/>
        <v>5.9102310791739193E-2</v>
      </c>
      <c r="J854" s="33">
        <f t="shared" si="248"/>
        <v>2.6736759643882013E-2</v>
      </c>
      <c r="K854" s="33">
        <f t="shared" si="249"/>
        <v>37.401690156900635</v>
      </c>
      <c r="L854" s="33">
        <f t="shared" si="250"/>
        <v>3.2365551147857177E-2</v>
      </c>
      <c r="M854" s="33">
        <f t="shared" si="251"/>
        <v>8.5839070435621209E-2</v>
      </c>
      <c r="N854" s="8">
        <v>1</v>
      </c>
      <c r="O854" s="9">
        <v>0</v>
      </c>
      <c r="P854" s="8">
        <v>1</v>
      </c>
      <c r="Q854" s="9">
        <v>0</v>
      </c>
      <c r="R854" s="9">
        <v>0</v>
      </c>
      <c r="S854" s="9">
        <v>0</v>
      </c>
      <c r="T854" s="9">
        <v>0</v>
      </c>
      <c r="U854" s="8">
        <v>1405</v>
      </c>
      <c r="V854" s="9">
        <v>10</v>
      </c>
      <c r="W854" s="9">
        <f t="shared" si="252"/>
        <v>1394</v>
      </c>
      <c r="X854" s="9">
        <f t="shared" si="253"/>
        <v>14</v>
      </c>
      <c r="Y854" s="7">
        <v>7.6</v>
      </c>
      <c r="Z854" s="7">
        <v>4.5999999999999996</v>
      </c>
      <c r="AA854" s="9">
        <v>1</v>
      </c>
      <c r="AB854" s="9">
        <v>0</v>
      </c>
      <c r="AC854" s="9">
        <v>1</v>
      </c>
      <c r="AD854" s="9">
        <v>0</v>
      </c>
      <c r="AE854" s="9">
        <v>0</v>
      </c>
      <c r="AF854" s="9">
        <v>0</v>
      </c>
      <c r="AG854" s="8">
        <v>0</v>
      </c>
      <c r="AH854" s="9">
        <v>1</v>
      </c>
      <c r="AI854" s="30">
        <v>0</v>
      </c>
      <c r="AJ854" s="9">
        <v>1</v>
      </c>
      <c r="AK854" s="30">
        <v>0</v>
      </c>
      <c r="AL854" s="21">
        <v>2009</v>
      </c>
      <c r="AM854" s="23">
        <f t="shared" si="254"/>
        <v>7.6053923648149349</v>
      </c>
      <c r="AN854" s="33">
        <v>0.09</v>
      </c>
      <c r="AO854" s="33">
        <v>0.38</v>
      </c>
      <c r="AP854" s="33">
        <v>0.46</v>
      </c>
      <c r="AQ854" s="43">
        <v>7.0000000000000007E-2</v>
      </c>
      <c r="AR854" s="42">
        <v>0.3</v>
      </c>
      <c r="AS854" s="18">
        <v>0.7</v>
      </c>
      <c r="AT854">
        <v>1</v>
      </c>
      <c r="AU854" s="40">
        <v>0</v>
      </c>
      <c r="AV854">
        <v>0.9</v>
      </c>
      <c r="AW854" s="40">
        <v>0.1</v>
      </c>
      <c r="AX854">
        <v>0</v>
      </c>
      <c r="AY854" s="18">
        <v>1</v>
      </c>
      <c r="AZ854">
        <v>0.38</v>
      </c>
      <c r="BA854" s="18">
        <v>0.62</v>
      </c>
      <c r="BB854" s="18" t="s">
        <v>5</v>
      </c>
      <c r="BC854">
        <v>0</v>
      </c>
      <c r="BD854">
        <v>1</v>
      </c>
      <c r="BE854">
        <v>0</v>
      </c>
      <c r="BF854">
        <v>0</v>
      </c>
      <c r="BG854">
        <v>0</v>
      </c>
      <c r="BH854" s="18">
        <v>0</v>
      </c>
      <c r="BI854">
        <v>0</v>
      </c>
      <c r="BJ854">
        <v>1</v>
      </c>
      <c r="BK854" s="18">
        <v>0</v>
      </c>
      <c r="BL854">
        <v>127.1666666666667</v>
      </c>
      <c r="BM854">
        <v>27</v>
      </c>
      <c r="BN854" s="25">
        <v>38</v>
      </c>
      <c r="BO854">
        <v>0</v>
      </c>
      <c r="BP854">
        <v>0</v>
      </c>
      <c r="BQ854">
        <v>0</v>
      </c>
      <c r="BR854">
        <v>0</v>
      </c>
      <c r="BS854">
        <v>0</v>
      </c>
      <c r="BT854">
        <v>0</v>
      </c>
      <c r="BU854">
        <v>0</v>
      </c>
      <c r="BV854" s="18">
        <v>1</v>
      </c>
      <c r="BW854">
        <v>0</v>
      </c>
      <c r="BX854">
        <v>1</v>
      </c>
      <c r="BY854">
        <v>0</v>
      </c>
      <c r="BZ854" s="18">
        <v>0</v>
      </c>
      <c r="CA854">
        <v>0</v>
      </c>
      <c r="CB854">
        <v>0</v>
      </c>
      <c r="CC854">
        <v>0</v>
      </c>
      <c r="CD854">
        <v>0</v>
      </c>
      <c r="CE854">
        <v>0</v>
      </c>
      <c r="CF854" s="18">
        <v>0</v>
      </c>
      <c r="CG854">
        <v>0</v>
      </c>
      <c r="CH854">
        <v>0</v>
      </c>
      <c r="CI854">
        <v>1</v>
      </c>
      <c r="CJ854">
        <v>1</v>
      </c>
      <c r="CK854">
        <v>0</v>
      </c>
      <c r="CL854">
        <v>0</v>
      </c>
      <c r="CM854">
        <v>0</v>
      </c>
      <c r="CN854">
        <v>0</v>
      </c>
      <c r="CO854">
        <v>1</v>
      </c>
      <c r="CP854">
        <v>0</v>
      </c>
      <c r="CQ854" s="18">
        <v>0</v>
      </c>
      <c r="CR854">
        <v>0</v>
      </c>
      <c r="CS854">
        <v>0</v>
      </c>
      <c r="CT854">
        <v>0</v>
      </c>
      <c r="CU854">
        <v>1</v>
      </c>
      <c r="CV854">
        <v>19</v>
      </c>
      <c r="DB854" s="34"/>
    </row>
    <row r="855" spans="1:106" x14ac:dyDescent="0.25">
      <c r="A855">
        <v>854</v>
      </c>
      <c r="B855">
        <v>58</v>
      </c>
      <c r="C855" s="25" t="s">
        <v>4063</v>
      </c>
      <c r="D855" s="12">
        <v>3.6</v>
      </c>
      <c r="E855" s="14">
        <v>0.8</v>
      </c>
      <c r="F855" s="7">
        <f t="shared" si="257"/>
        <v>4.5</v>
      </c>
      <c r="G855" s="7">
        <f t="shared" si="245"/>
        <v>2.8</v>
      </c>
      <c r="H855" s="16">
        <f t="shared" si="246"/>
        <v>4.4000000000000004</v>
      </c>
      <c r="I855" s="11">
        <f t="shared" si="247"/>
        <v>0.14575018235653436</v>
      </c>
      <c r="J855" s="33">
        <f t="shared" si="248"/>
        <v>3.2388929412563189E-2</v>
      </c>
      <c r="K855" s="33">
        <f t="shared" si="249"/>
        <v>30.874746962525865</v>
      </c>
      <c r="L855" s="33">
        <f t="shared" si="250"/>
        <v>0.11336125294397117</v>
      </c>
      <c r="M855" s="33">
        <f t="shared" si="251"/>
        <v>0.17813911176909755</v>
      </c>
      <c r="N855" s="8">
        <v>1</v>
      </c>
      <c r="O855" s="9">
        <v>0</v>
      </c>
      <c r="P855" s="8">
        <v>1</v>
      </c>
      <c r="Q855" s="9">
        <v>0</v>
      </c>
      <c r="R855" s="9">
        <v>0</v>
      </c>
      <c r="S855" s="9">
        <v>0</v>
      </c>
      <c r="T855" s="9">
        <v>0</v>
      </c>
      <c r="U855" s="8">
        <v>945</v>
      </c>
      <c r="V855" s="9">
        <v>11</v>
      </c>
      <c r="W855" s="9">
        <f t="shared" si="252"/>
        <v>933</v>
      </c>
      <c r="X855" s="9">
        <f t="shared" si="253"/>
        <v>14</v>
      </c>
      <c r="Y855" s="7">
        <v>7.6</v>
      </c>
      <c r="Z855" s="7">
        <v>4.5999999999999996</v>
      </c>
      <c r="AA855" s="9">
        <v>1</v>
      </c>
      <c r="AB855" s="9">
        <v>0</v>
      </c>
      <c r="AC855" s="9">
        <v>1</v>
      </c>
      <c r="AD855" s="9">
        <v>0</v>
      </c>
      <c r="AE855" s="9">
        <v>0</v>
      </c>
      <c r="AF855" s="9">
        <v>0</v>
      </c>
      <c r="AG855" s="8">
        <v>0</v>
      </c>
      <c r="AH855" s="9">
        <v>1</v>
      </c>
      <c r="AI855" s="30">
        <v>0</v>
      </c>
      <c r="AJ855" s="9">
        <v>1</v>
      </c>
      <c r="AK855" s="30">
        <v>0</v>
      </c>
      <c r="AL855" s="21">
        <v>2009</v>
      </c>
      <c r="AM855" s="23">
        <f t="shared" si="254"/>
        <v>7.6053923648149349</v>
      </c>
      <c r="AN855" s="33">
        <v>0.09</v>
      </c>
      <c r="AO855" s="33">
        <v>0.38</v>
      </c>
      <c r="AP855" s="33">
        <v>0.46</v>
      </c>
      <c r="AQ855" s="43">
        <v>7.0000000000000007E-2</v>
      </c>
      <c r="AR855" s="42">
        <v>0.3</v>
      </c>
      <c r="AS855" s="18">
        <v>0.7</v>
      </c>
      <c r="AT855">
        <v>0</v>
      </c>
      <c r="AU855" s="40">
        <v>1</v>
      </c>
      <c r="AV855">
        <v>0.9</v>
      </c>
      <c r="AW855" s="40">
        <v>0.1</v>
      </c>
      <c r="AX855">
        <v>0</v>
      </c>
      <c r="AY855" s="18">
        <v>1</v>
      </c>
      <c r="AZ855">
        <v>0.38</v>
      </c>
      <c r="BA855" s="18">
        <v>0.62</v>
      </c>
      <c r="BB855" s="18" t="s">
        <v>5</v>
      </c>
      <c r="BC855">
        <v>0</v>
      </c>
      <c r="BD855">
        <v>1</v>
      </c>
      <c r="BE855">
        <v>0</v>
      </c>
      <c r="BF855">
        <v>0</v>
      </c>
      <c r="BG855">
        <v>0</v>
      </c>
      <c r="BH855" s="18">
        <v>0</v>
      </c>
      <c r="BI855">
        <v>0</v>
      </c>
      <c r="BJ855">
        <v>1</v>
      </c>
      <c r="BK855" s="18">
        <v>0</v>
      </c>
      <c r="BL855">
        <v>127.1666666666667</v>
      </c>
      <c r="BM855">
        <v>27</v>
      </c>
      <c r="BN855" s="25">
        <v>38</v>
      </c>
      <c r="BO855">
        <v>1</v>
      </c>
      <c r="BP855">
        <v>0</v>
      </c>
      <c r="BQ855">
        <v>0</v>
      </c>
      <c r="BR855">
        <v>0</v>
      </c>
      <c r="BS855">
        <v>0</v>
      </c>
      <c r="BT855">
        <v>0</v>
      </c>
      <c r="BU855">
        <v>0</v>
      </c>
      <c r="BV855" s="18">
        <v>0</v>
      </c>
      <c r="BW855">
        <v>0</v>
      </c>
      <c r="BX855">
        <v>0</v>
      </c>
      <c r="BY855">
        <v>1</v>
      </c>
      <c r="BZ855" s="18">
        <v>0</v>
      </c>
      <c r="CA855">
        <v>0</v>
      </c>
      <c r="CB855">
        <v>0</v>
      </c>
      <c r="CC855">
        <v>0</v>
      </c>
      <c r="CD855">
        <v>0</v>
      </c>
      <c r="CE855">
        <v>0</v>
      </c>
      <c r="CF855" s="18">
        <v>0</v>
      </c>
      <c r="CG855">
        <v>0</v>
      </c>
      <c r="CH855">
        <v>0</v>
      </c>
      <c r="CI855">
        <v>1</v>
      </c>
      <c r="CJ855">
        <v>1</v>
      </c>
      <c r="CK855">
        <v>0</v>
      </c>
      <c r="CL855">
        <v>0</v>
      </c>
      <c r="CM855">
        <v>0</v>
      </c>
      <c r="CN855">
        <v>0</v>
      </c>
      <c r="CO855">
        <v>1</v>
      </c>
      <c r="CP855">
        <v>0</v>
      </c>
      <c r="CQ855" s="18">
        <v>0</v>
      </c>
      <c r="CR855">
        <v>0</v>
      </c>
      <c r="CS855">
        <v>0</v>
      </c>
      <c r="CT855">
        <v>0</v>
      </c>
      <c r="CU855">
        <v>1</v>
      </c>
      <c r="CV855">
        <v>19</v>
      </c>
      <c r="DB855" s="34"/>
    </row>
    <row r="856" spans="1:106" x14ac:dyDescent="0.25">
      <c r="A856">
        <v>855</v>
      </c>
      <c r="B856">
        <v>58</v>
      </c>
      <c r="C856" s="25" t="s">
        <v>4063</v>
      </c>
      <c r="D856" s="12">
        <v>3.3</v>
      </c>
      <c r="E856" s="14">
        <v>0.9</v>
      </c>
      <c r="F856" s="7">
        <f t="shared" si="257"/>
        <v>3.6666666666666665</v>
      </c>
      <c r="G856" s="7">
        <f t="shared" si="245"/>
        <v>2.4</v>
      </c>
      <c r="H856" s="16">
        <f t="shared" si="246"/>
        <v>4.2</v>
      </c>
      <c r="I856" s="11">
        <f t="shared" si="247"/>
        <v>0.11323970232334872</v>
      </c>
      <c r="J856" s="33">
        <f t="shared" si="248"/>
        <v>3.0883555179095103E-2</v>
      </c>
      <c r="K856" s="33">
        <f t="shared" si="249"/>
        <v>32.379691852215707</v>
      </c>
      <c r="L856" s="33">
        <f t="shared" si="250"/>
        <v>8.2356147144253614E-2</v>
      </c>
      <c r="M856" s="33">
        <f t="shared" si="251"/>
        <v>0.14412325750244381</v>
      </c>
      <c r="N856" s="8">
        <v>1</v>
      </c>
      <c r="O856" s="9">
        <v>0</v>
      </c>
      <c r="P856" s="8">
        <v>1</v>
      </c>
      <c r="Q856" s="9">
        <v>0</v>
      </c>
      <c r="R856" s="9">
        <v>0</v>
      </c>
      <c r="S856" s="9">
        <v>0</v>
      </c>
      <c r="T856" s="9">
        <v>0</v>
      </c>
      <c r="U856" s="8">
        <v>1047</v>
      </c>
      <c r="V856" s="9">
        <v>11</v>
      </c>
      <c r="W856" s="9">
        <f t="shared" si="252"/>
        <v>1035</v>
      </c>
      <c r="X856" s="9">
        <f t="shared" si="253"/>
        <v>14</v>
      </c>
      <c r="Y856" s="7">
        <v>7.6</v>
      </c>
      <c r="Z856" s="7">
        <v>4.5999999999999996</v>
      </c>
      <c r="AA856" s="9">
        <v>1</v>
      </c>
      <c r="AB856" s="9">
        <v>0</v>
      </c>
      <c r="AC856" s="9">
        <v>1</v>
      </c>
      <c r="AD856" s="9">
        <v>0</v>
      </c>
      <c r="AE856" s="9">
        <v>0</v>
      </c>
      <c r="AF856" s="9">
        <v>0</v>
      </c>
      <c r="AG856" s="8">
        <v>0</v>
      </c>
      <c r="AH856" s="9">
        <v>1</v>
      </c>
      <c r="AI856" s="30">
        <v>0</v>
      </c>
      <c r="AJ856" s="9">
        <v>1</v>
      </c>
      <c r="AK856" s="30">
        <v>0</v>
      </c>
      <c r="AL856" s="21">
        <v>2009</v>
      </c>
      <c r="AM856" s="23">
        <f t="shared" si="254"/>
        <v>7.6053923648149349</v>
      </c>
      <c r="AN856" s="33">
        <v>0.09</v>
      </c>
      <c r="AO856" s="33">
        <v>0.38</v>
      </c>
      <c r="AP856" s="33">
        <v>0.46</v>
      </c>
      <c r="AQ856" s="43">
        <v>7.0000000000000007E-2</v>
      </c>
      <c r="AR856" s="42">
        <v>0.3</v>
      </c>
      <c r="AS856" s="18">
        <v>0.7</v>
      </c>
      <c r="AT856">
        <v>0</v>
      </c>
      <c r="AU856" s="40">
        <v>1</v>
      </c>
      <c r="AV856">
        <v>0.9</v>
      </c>
      <c r="AW856" s="40">
        <v>0.1</v>
      </c>
      <c r="AX856">
        <v>0</v>
      </c>
      <c r="AY856" s="18">
        <v>1</v>
      </c>
      <c r="AZ856">
        <v>0.38</v>
      </c>
      <c r="BA856" s="18">
        <v>0.62</v>
      </c>
      <c r="BB856" s="18" t="s">
        <v>5</v>
      </c>
      <c r="BC856">
        <v>0</v>
      </c>
      <c r="BD856">
        <v>1</v>
      </c>
      <c r="BE856">
        <v>0</v>
      </c>
      <c r="BF856">
        <v>0</v>
      </c>
      <c r="BG856">
        <v>0</v>
      </c>
      <c r="BH856" s="18">
        <v>0</v>
      </c>
      <c r="BI856">
        <v>0</v>
      </c>
      <c r="BJ856">
        <v>1</v>
      </c>
      <c r="BK856" s="18">
        <v>0</v>
      </c>
      <c r="BL856">
        <v>127.1666666666667</v>
      </c>
      <c r="BM856">
        <v>27</v>
      </c>
      <c r="BN856" s="25">
        <v>38</v>
      </c>
      <c r="BO856">
        <v>0</v>
      </c>
      <c r="BP856">
        <v>0</v>
      </c>
      <c r="BQ856">
        <v>0</v>
      </c>
      <c r="BR856">
        <v>0</v>
      </c>
      <c r="BS856">
        <v>0</v>
      </c>
      <c r="BT856">
        <v>1</v>
      </c>
      <c r="BU856">
        <v>0</v>
      </c>
      <c r="BV856" s="18">
        <v>0</v>
      </c>
      <c r="BW856">
        <v>0</v>
      </c>
      <c r="BX856">
        <v>0</v>
      </c>
      <c r="BY856">
        <v>1</v>
      </c>
      <c r="BZ856" s="18">
        <v>0</v>
      </c>
      <c r="CA856">
        <v>0</v>
      </c>
      <c r="CB856">
        <v>0</v>
      </c>
      <c r="CC856">
        <v>0</v>
      </c>
      <c r="CD856">
        <v>0</v>
      </c>
      <c r="CE856">
        <v>0</v>
      </c>
      <c r="CF856" s="18">
        <v>0</v>
      </c>
      <c r="CG856">
        <v>0</v>
      </c>
      <c r="CH856">
        <v>0</v>
      </c>
      <c r="CI856">
        <v>1</v>
      </c>
      <c r="CJ856">
        <v>1</v>
      </c>
      <c r="CK856">
        <v>0</v>
      </c>
      <c r="CL856">
        <v>0</v>
      </c>
      <c r="CM856">
        <v>0</v>
      </c>
      <c r="CN856">
        <v>0</v>
      </c>
      <c r="CO856">
        <v>1</v>
      </c>
      <c r="CP856">
        <v>0</v>
      </c>
      <c r="CQ856" s="18">
        <v>0</v>
      </c>
      <c r="CR856">
        <v>0</v>
      </c>
      <c r="CS856">
        <v>0</v>
      </c>
      <c r="CT856">
        <v>0</v>
      </c>
      <c r="CU856">
        <v>1</v>
      </c>
      <c r="CV856">
        <v>19</v>
      </c>
      <c r="DB856" s="34"/>
    </row>
    <row r="857" spans="1:106" x14ac:dyDescent="0.25">
      <c r="A857">
        <v>856</v>
      </c>
      <c r="B857">
        <v>58</v>
      </c>
      <c r="C857" s="25" t="s">
        <v>4063</v>
      </c>
      <c r="D857" s="12">
        <v>7.4</v>
      </c>
      <c r="E857" s="14">
        <v>3.2</v>
      </c>
      <c r="F857" s="7">
        <f t="shared" si="257"/>
        <v>2.3125</v>
      </c>
      <c r="G857" s="7">
        <f t="shared" si="245"/>
        <v>4.2</v>
      </c>
      <c r="H857" s="16">
        <f t="shared" si="246"/>
        <v>10.600000000000001</v>
      </c>
      <c r="I857" s="11">
        <f t="shared" si="247"/>
        <v>7.5451619050317345E-2</v>
      </c>
      <c r="J857" s="33">
        <f t="shared" si="248"/>
        <v>3.2627727156893979E-2</v>
      </c>
      <c r="K857" s="33">
        <f t="shared" si="249"/>
        <v>30.648779033592842</v>
      </c>
      <c r="L857" s="33">
        <f t="shared" si="250"/>
        <v>4.2823891893423366E-2</v>
      </c>
      <c r="M857" s="33">
        <f t="shared" si="251"/>
        <v>0.10807934620721132</v>
      </c>
      <c r="N857" s="8">
        <v>1</v>
      </c>
      <c r="O857" s="9">
        <v>0</v>
      </c>
      <c r="P857" s="8">
        <v>1</v>
      </c>
      <c r="Q857" s="9">
        <v>0</v>
      </c>
      <c r="R857" s="9">
        <v>0</v>
      </c>
      <c r="S857" s="9">
        <v>0</v>
      </c>
      <c r="T857" s="9">
        <v>0</v>
      </c>
      <c r="U857" s="8">
        <v>945</v>
      </c>
      <c r="V857" s="9">
        <v>10</v>
      </c>
      <c r="W857" s="9">
        <f t="shared" si="252"/>
        <v>934</v>
      </c>
      <c r="X857" s="9">
        <f t="shared" si="253"/>
        <v>14</v>
      </c>
      <c r="Y857" s="7">
        <v>7.6</v>
      </c>
      <c r="Z857" s="7">
        <v>4.5999999999999996</v>
      </c>
      <c r="AA857" s="9">
        <v>1</v>
      </c>
      <c r="AB857" s="9">
        <v>0</v>
      </c>
      <c r="AC857" s="9">
        <v>1</v>
      </c>
      <c r="AD857" s="9">
        <v>0</v>
      </c>
      <c r="AE857" s="9">
        <v>0</v>
      </c>
      <c r="AF857" s="9">
        <v>0</v>
      </c>
      <c r="AG857" s="8">
        <v>0</v>
      </c>
      <c r="AH857" s="9">
        <v>1</v>
      </c>
      <c r="AI857" s="30">
        <v>0</v>
      </c>
      <c r="AJ857" s="9">
        <v>1</v>
      </c>
      <c r="AK857" s="30">
        <v>0</v>
      </c>
      <c r="AL857" s="21">
        <v>2009</v>
      </c>
      <c r="AM857" s="23">
        <f t="shared" si="254"/>
        <v>7.6053923648149349</v>
      </c>
      <c r="AN857" s="33">
        <v>0.09</v>
      </c>
      <c r="AO857" s="33">
        <v>0.38</v>
      </c>
      <c r="AP857" s="33">
        <v>0.46</v>
      </c>
      <c r="AQ857" s="43">
        <v>7.0000000000000007E-2</v>
      </c>
      <c r="AR857" s="42">
        <v>0.3</v>
      </c>
      <c r="AS857" s="18">
        <v>0.7</v>
      </c>
      <c r="AT857">
        <v>0</v>
      </c>
      <c r="AU857" s="40">
        <v>1</v>
      </c>
      <c r="AV857">
        <v>0.9</v>
      </c>
      <c r="AW857" s="40">
        <v>0.1</v>
      </c>
      <c r="AX857">
        <v>0</v>
      </c>
      <c r="AY857" s="18">
        <v>1</v>
      </c>
      <c r="AZ857">
        <v>0.38</v>
      </c>
      <c r="BA857" s="18">
        <v>0.62</v>
      </c>
      <c r="BB857" s="18" t="s">
        <v>5</v>
      </c>
      <c r="BC857">
        <v>0</v>
      </c>
      <c r="BD857">
        <v>1</v>
      </c>
      <c r="BE857">
        <v>0</v>
      </c>
      <c r="BF857">
        <v>0</v>
      </c>
      <c r="BG857">
        <v>0</v>
      </c>
      <c r="BH857" s="18">
        <v>0</v>
      </c>
      <c r="BI857">
        <v>0</v>
      </c>
      <c r="BJ857">
        <v>1</v>
      </c>
      <c r="BK857" s="18">
        <v>0</v>
      </c>
      <c r="BL857">
        <v>127.1666666666667</v>
      </c>
      <c r="BM857">
        <v>27</v>
      </c>
      <c r="BN857" s="25">
        <v>38</v>
      </c>
      <c r="BO857">
        <v>0</v>
      </c>
      <c r="BP857">
        <v>0</v>
      </c>
      <c r="BQ857">
        <v>0</v>
      </c>
      <c r="BR857">
        <v>0</v>
      </c>
      <c r="BS857">
        <v>0</v>
      </c>
      <c r="BT857">
        <v>0</v>
      </c>
      <c r="BU857">
        <v>0</v>
      </c>
      <c r="BV857" s="18">
        <v>1</v>
      </c>
      <c r="BW857">
        <v>0</v>
      </c>
      <c r="BX857">
        <v>1</v>
      </c>
      <c r="BY857">
        <v>0</v>
      </c>
      <c r="BZ857" s="18">
        <v>0</v>
      </c>
      <c r="CA857">
        <v>0</v>
      </c>
      <c r="CB857">
        <v>0</v>
      </c>
      <c r="CC857">
        <v>0</v>
      </c>
      <c r="CD857">
        <v>0</v>
      </c>
      <c r="CE857">
        <v>0</v>
      </c>
      <c r="CF857" s="18">
        <v>0</v>
      </c>
      <c r="CG857">
        <v>0</v>
      </c>
      <c r="CH857">
        <v>0</v>
      </c>
      <c r="CI857">
        <v>1</v>
      </c>
      <c r="CJ857">
        <v>1</v>
      </c>
      <c r="CK857">
        <v>0</v>
      </c>
      <c r="CL857">
        <v>0</v>
      </c>
      <c r="CM857">
        <v>0</v>
      </c>
      <c r="CN857">
        <v>0</v>
      </c>
      <c r="CO857">
        <v>1</v>
      </c>
      <c r="CP857">
        <v>0</v>
      </c>
      <c r="CQ857" s="18">
        <v>0</v>
      </c>
      <c r="CR857">
        <v>0</v>
      </c>
      <c r="CS857">
        <v>0</v>
      </c>
      <c r="CT857">
        <v>0</v>
      </c>
      <c r="CU857">
        <v>1</v>
      </c>
      <c r="CV857">
        <v>19</v>
      </c>
      <c r="DB857" s="34"/>
    </row>
    <row r="858" spans="1:106" x14ac:dyDescent="0.25">
      <c r="A858">
        <v>857</v>
      </c>
      <c r="B858">
        <v>58</v>
      </c>
      <c r="C858" s="25" t="s">
        <v>4063</v>
      </c>
      <c r="D858" s="12">
        <v>7.2</v>
      </c>
      <c r="E858" s="14">
        <v>4</v>
      </c>
      <c r="F858" s="7">
        <f t="shared" si="257"/>
        <v>1.8</v>
      </c>
      <c r="G858" s="7">
        <f t="shared" si="245"/>
        <v>3.2</v>
      </c>
      <c r="H858" s="16">
        <f t="shared" si="246"/>
        <v>11.2</v>
      </c>
      <c r="I858" s="11">
        <f t="shared" si="247"/>
        <v>5.8764565986251648E-2</v>
      </c>
      <c r="J858" s="33">
        <f t="shared" si="248"/>
        <v>3.2646981103473138E-2</v>
      </c>
      <c r="K858" s="33">
        <f t="shared" si="249"/>
        <v>30.630703550522632</v>
      </c>
      <c r="L858" s="33">
        <f t="shared" si="250"/>
        <v>2.6117584882778509E-2</v>
      </c>
      <c r="M858" s="33">
        <f t="shared" si="251"/>
        <v>9.1411547089724793E-2</v>
      </c>
      <c r="N858" s="8">
        <v>1</v>
      </c>
      <c r="O858" s="9">
        <v>0</v>
      </c>
      <c r="P858" s="8">
        <v>1</v>
      </c>
      <c r="Q858" s="9">
        <v>0</v>
      </c>
      <c r="R858" s="9">
        <v>0</v>
      </c>
      <c r="S858" s="9">
        <v>0</v>
      </c>
      <c r="T858" s="9">
        <v>0</v>
      </c>
      <c r="U858" s="8">
        <v>945</v>
      </c>
      <c r="V858" s="9">
        <v>9</v>
      </c>
      <c r="W858" s="9">
        <f t="shared" si="252"/>
        <v>935</v>
      </c>
      <c r="X858" s="9">
        <f t="shared" si="253"/>
        <v>14</v>
      </c>
      <c r="Y858" s="7">
        <v>7.6</v>
      </c>
      <c r="Z858" s="7">
        <v>4.5999999999999996</v>
      </c>
      <c r="AA858" s="9">
        <v>1</v>
      </c>
      <c r="AB858" s="9">
        <v>0</v>
      </c>
      <c r="AC858" s="9">
        <v>1</v>
      </c>
      <c r="AD858" s="9">
        <v>0</v>
      </c>
      <c r="AE858" s="9">
        <v>0</v>
      </c>
      <c r="AF858" s="9">
        <v>0</v>
      </c>
      <c r="AG858" s="8">
        <v>0</v>
      </c>
      <c r="AH858" s="9">
        <v>1</v>
      </c>
      <c r="AI858" s="30">
        <v>0</v>
      </c>
      <c r="AJ858" s="9">
        <v>1</v>
      </c>
      <c r="AK858" s="30">
        <v>0</v>
      </c>
      <c r="AL858" s="21">
        <v>2009</v>
      </c>
      <c r="AM858" s="23">
        <f t="shared" si="254"/>
        <v>7.6053923648149349</v>
      </c>
      <c r="AN858" s="33">
        <v>0.09</v>
      </c>
      <c r="AO858" s="33">
        <v>0.38</v>
      </c>
      <c r="AP858" s="33">
        <v>0.46</v>
      </c>
      <c r="AQ858" s="43">
        <v>7.0000000000000007E-2</v>
      </c>
      <c r="AR858" s="42">
        <v>0.3</v>
      </c>
      <c r="AS858" s="18">
        <v>0.7</v>
      </c>
      <c r="AT858">
        <v>0</v>
      </c>
      <c r="AU858" s="40">
        <v>1</v>
      </c>
      <c r="AV858">
        <v>0.9</v>
      </c>
      <c r="AW858" s="40">
        <v>0.1</v>
      </c>
      <c r="AX858">
        <v>0</v>
      </c>
      <c r="AY858" s="18">
        <v>1</v>
      </c>
      <c r="AZ858">
        <v>0.38</v>
      </c>
      <c r="BA858" s="18">
        <v>0.62</v>
      </c>
      <c r="BB858" s="18" t="s">
        <v>5</v>
      </c>
      <c r="BC858">
        <v>0</v>
      </c>
      <c r="BD858">
        <v>1</v>
      </c>
      <c r="BE858">
        <v>0</v>
      </c>
      <c r="BF858">
        <v>0</v>
      </c>
      <c r="BG858">
        <v>0</v>
      </c>
      <c r="BH858" s="18">
        <v>0</v>
      </c>
      <c r="BI858">
        <v>0</v>
      </c>
      <c r="BJ858">
        <v>1</v>
      </c>
      <c r="BK858" s="18">
        <v>0</v>
      </c>
      <c r="BL858">
        <v>127.1666666666667</v>
      </c>
      <c r="BM858">
        <v>27</v>
      </c>
      <c r="BN858" s="25">
        <v>38</v>
      </c>
      <c r="BO858">
        <v>0</v>
      </c>
      <c r="BP858">
        <v>0</v>
      </c>
      <c r="BQ858">
        <v>0</v>
      </c>
      <c r="BR858">
        <v>0</v>
      </c>
      <c r="BS858">
        <v>0</v>
      </c>
      <c r="BT858">
        <v>0</v>
      </c>
      <c r="BU858">
        <v>0</v>
      </c>
      <c r="BV858" s="18">
        <v>1</v>
      </c>
      <c r="BW858">
        <v>0</v>
      </c>
      <c r="BX858">
        <v>1</v>
      </c>
      <c r="BY858">
        <v>0</v>
      </c>
      <c r="BZ858" s="18">
        <v>0</v>
      </c>
      <c r="CA858">
        <v>0</v>
      </c>
      <c r="CB858">
        <v>0</v>
      </c>
      <c r="CC858">
        <v>0</v>
      </c>
      <c r="CD858">
        <v>0</v>
      </c>
      <c r="CE858">
        <v>0</v>
      </c>
      <c r="CF858" s="18">
        <v>0</v>
      </c>
      <c r="CG858">
        <v>0</v>
      </c>
      <c r="CH858">
        <v>0</v>
      </c>
      <c r="CI858">
        <v>1</v>
      </c>
      <c r="CJ858">
        <v>1</v>
      </c>
      <c r="CK858">
        <v>0</v>
      </c>
      <c r="CL858">
        <v>0</v>
      </c>
      <c r="CM858">
        <v>0</v>
      </c>
      <c r="CN858">
        <v>0</v>
      </c>
      <c r="CO858">
        <v>1</v>
      </c>
      <c r="CP858">
        <v>0</v>
      </c>
      <c r="CQ858" s="18">
        <v>0</v>
      </c>
      <c r="CR858">
        <v>0</v>
      </c>
      <c r="CS858">
        <v>0</v>
      </c>
      <c r="CT858">
        <v>0</v>
      </c>
      <c r="CU858">
        <v>1</v>
      </c>
      <c r="CV858">
        <v>19</v>
      </c>
      <c r="DB858" s="34"/>
    </row>
    <row r="859" spans="1:106" x14ac:dyDescent="0.25">
      <c r="A859">
        <v>858</v>
      </c>
      <c r="B859">
        <v>59</v>
      </c>
      <c r="C859" s="25" t="s">
        <v>4073</v>
      </c>
      <c r="D859" s="12">
        <v>10.4</v>
      </c>
      <c r="E859" s="14">
        <v>1.1000000000000001</v>
      </c>
      <c r="F859" s="7">
        <f t="shared" si="257"/>
        <v>9.4545454545454533</v>
      </c>
      <c r="G859" s="7">
        <f t="shared" si="245"/>
        <v>9.3000000000000007</v>
      </c>
      <c r="H859" s="16">
        <f t="shared" si="246"/>
        <v>11.5</v>
      </c>
      <c r="I859" s="11">
        <f t="shared" si="247"/>
        <v>0.29410936723884318</v>
      </c>
      <c r="J859" s="33">
        <f t="shared" si="248"/>
        <v>3.110772153487765E-2</v>
      </c>
      <c r="K859" s="33">
        <f t="shared" si="249"/>
        <v>32.146359510091749</v>
      </c>
      <c r="L859" s="33">
        <f t="shared" si="250"/>
        <v>0.2630016457039655</v>
      </c>
      <c r="M859" s="33">
        <f t="shared" si="251"/>
        <v>0.32521708877372085</v>
      </c>
      <c r="N859" s="8">
        <v>0</v>
      </c>
      <c r="O859" s="9">
        <v>1</v>
      </c>
      <c r="P859" s="8">
        <v>0</v>
      </c>
      <c r="Q859" s="9">
        <v>0</v>
      </c>
      <c r="R859" s="9">
        <v>0</v>
      </c>
      <c r="S859" s="9">
        <v>1</v>
      </c>
      <c r="T859" s="9">
        <v>0</v>
      </c>
      <c r="U859" s="8">
        <v>948</v>
      </c>
      <c r="V859" s="9">
        <v>3</v>
      </c>
      <c r="W859" s="9">
        <f t="shared" si="252"/>
        <v>944</v>
      </c>
      <c r="X859" s="9">
        <f t="shared" si="253"/>
        <v>12</v>
      </c>
      <c r="Y859" s="7">
        <v>10.6</v>
      </c>
      <c r="Z859" s="7">
        <v>20.3</v>
      </c>
      <c r="AA859" s="9">
        <v>1</v>
      </c>
      <c r="AB859" s="9">
        <v>0</v>
      </c>
      <c r="AC859" s="9">
        <v>0</v>
      </c>
      <c r="AD859" s="9">
        <v>0</v>
      </c>
      <c r="AE859" s="9">
        <v>0</v>
      </c>
      <c r="AF859" s="9">
        <v>1</v>
      </c>
      <c r="AG859" s="8">
        <v>1</v>
      </c>
      <c r="AH859" s="9">
        <v>0</v>
      </c>
      <c r="AI859" s="30">
        <v>0</v>
      </c>
      <c r="AJ859" s="9">
        <v>0</v>
      </c>
      <c r="AK859" s="30">
        <v>1</v>
      </c>
      <c r="AL859" s="21">
        <v>1995</v>
      </c>
      <c r="AM859" s="23">
        <f t="shared" si="254"/>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1</v>
      </c>
      <c r="BP859">
        <v>0</v>
      </c>
      <c r="BQ859">
        <v>0</v>
      </c>
      <c r="BR859">
        <v>0</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0</v>
      </c>
      <c r="CN859">
        <v>0</v>
      </c>
      <c r="CO859">
        <v>0</v>
      </c>
      <c r="CP859">
        <v>0</v>
      </c>
      <c r="CQ859" s="18">
        <v>0</v>
      </c>
      <c r="CR859">
        <v>0</v>
      </c>
      <c r="CS859">
        <v>2</v>
      </c>
      <c r="CT859">
        <v>0</v>
      </c>
      <c r="CU859">
        <v>1</v>
      </c>
      <c r="CV859">
        <v>27</v>
      </c>
      <c r="DB859" s="34"/>
    </row>
    <row r="860" spans="1:106" x14ac:dyDescent="0.25">
      <c r="A860">
        <v>859</v>
      </c>
      <c r="B860">
        <v>59</v>
      </c>
      <c r="C860" s="25" t="s">
        <v>4073</v>
      </c>
      <c r="D860" s="12">
        <v>7.4</v>
      </c>
      <c r="E860" s="14">
        <v>1.4</v>
      </c>
      <c r="F860" s="7">
        <f t="shared" si="257"/>
        <v>5.2857142857142865</v>
      </c>
      <c r="G860" s="7">
        <f t="shared" si="245"/>
        <v>6</v>
      </c>
      <c r="H860" s="16">
        <f t="shared" si="246"/>
        <v>8.8000000000000007</v>
      </c>
      <c r="I860" s="11">
        <f t="shared" si="247"/>
        <v>0.16963199170970289</v>
      </c>
      <c r="J860" s="33">
        <f t="shared" si="248"/>
        <v>3.2092538972105948E-2</v>
      </c>
      <c r="K860" s="33">
        <f t="shared" si="249"/>
        <v>31.159890492590055</v>
      </c>
      <c r="L860" s="33">
        <f t="shared" si="250"/>
        <v>0.13753945273759693</v>
      </c>
      <c r="M860" s="33">
        <f t="shared" si="251"/>
        <v>0.20172453068180884</v>
      </c>
      <c r="N860" s="8">
        <v>0</v>
      </c>
      <c r="O860" s="9">
        <v>1</v>
      </c>
      <c r="P860" s="8">
        <v>0</v>
      </c>
      <c r="Q860" s="9">
        <v>0</v>
      </c>
      <c r="R860" s="9">
        <v>0</v>
      </c>
      <c r="S860" s="9">
        <v>1</v>
      </c>
      <c r="T860" s="9">
        <v>0</v>
      </c>
      <c r="U860" s="8">
        <v>948</v>
      </c>
      <c r="V860" s="9">
        <v>4</v>
      </c>
      <c r="W860" s="9">
        <f t="shared" si="252"/>
        <v>943</v>
      </c>
      <c r="X860" s="9">
        <f t="shared" si="253"/>
        <v>12</v>
      </c>
      <c r="Y860" s="7">
        <v>10.6</v>
      </c>
      <c r="Z860" s="7">
        <v>20.3</v>
      </c>
      <c r="AA860" s="9">
        <v>1</v>
      </c>
      <c r="AB860" s="9">
        <v>0</v>
      </c>
      <c r="AC860" s="9">
        <v>0</v>
      </c>
      <c r="AD860" s="9">
        <v>0</v>
      </c>
      <c r="AE860" s="9">
        <v>0</v>
      </c>
      <c r="AF860" s="9">
        <v>1</v>
      </c>
      <c r="AG860" s="8">
        <v>1</v>
      </c>
      <c r="AH860" s="9">
        <v>0</v>
      </c>
      <c r="AI860" s="30">
        <v>0</v>
      </c>
      <c r="AJ860" s="9">
        <v>0</v>
      </c>
      <c r="AK860" s="30">
        <v>1</v>
      </c>
      <c r="AL860" s="21">
        <v>1995</v>
      </c>
      <c r="AM860" s="23">
        <f t="shared" si="254"/>
        <v>7.5983993293239642</v>
      </c>
      <c r="AN860" s="33" t="s">
        <v>104</v>
      </c>
      <c r="AO860" s="33" t="s">
        <v>104</v>
      </c>
      <c r="AP860" s="33" t="s">
        <v>104</v>
      </c>
      <c r="AQ860" s="43" t="s">
        <v>104</v>
      </c>
      <c r="AR860" s="42" t="s">
        <v>104</v>
      </c>
      <c r="AS860" s="18" t="s">
        <v>104</v>
      </c>
      <c r="AT860" s="33" t="s">
        <v>104</v>
      </c>
      <c r="AU860" s="40" t="s">
        <v>104</v>
      </c>
      <c r="AV860" t="s">
        <v>104</v>
      </c>
      <c r="AW860" s="40" t="s">
        <v>104</v>
      </c>
      <c r="AX860">
        <v>0</v>
      </c>
      <c r="AY860" s="18">
        <v>1</v>
      </c>
      <c r="AZ860" t="s">
        <v>104</v>
      </c>
      <c r="BA860" s="18" t="s">
        <v>104</v>
      </c>
      <c r="BB860" s="18" t="s">
        <v>10</v>
      </c>
      <c r="BC860">
        <v>0</v>
      </c>
      <c r="BD860">
        <v>0</v>
      </c>
      <c r="BE860">
        <v>0</v>
      </c>
      <c r="BF860">
        <v>0</v>
      </c>
      <c r="BG860">
        <v>0</v>
      </c>
      <c r="BH860" s="18">
        <v>1</v>
      </c>
      <c r="BI860">
        <v>0</v>
      </c>
      <c r="BJ860">
        <v>0</v>
      </c>
      <c r="BK860" s="18">
        <v>1</v>
      </c>
      <c r="BL860">
        <v>19.583333333333329</v>
      </c>
      <c r="BM860">
        <v>1.03</v>
      </c>
      <c r="BN860" s="25">
        <v>36.799999999999997</v>
      </c>
      <c r="BO860">
        <v>0</v>
      </c>
      <c r="BP860">
        <v>0</v>
      </c>
      <c r="BQ860">
        <v>0</v>
      </c>
      <c r="BR860">
        <v>1</v>
      </c>
      <c r="BS860">
        <v>0</v>
      </c>
      <c r="BT860">
        <v>0</v>
      </c>
      <c r="BU860">
        <v>0</v>
      </c>
      <c r="BV860" s="18">
        <v>0</v>
      </c>
      <c r="BW860">
        <v>1</v>
      </c>
      <c r="BX860">
        <v>0</v>
      </c>
      <c r="BY860">
        <v>0</v>
      </c>
      <c r="BZ860" s="18">
        <v>0</v>
      </c>
      <c r="CA860">
        <v>0</v>
      </c>
      <c r="CB860">
        <v>0</v>
      </c>
      <c r="CC860">
        <v>0</v>
      </c>
      <c r="CD860">
        <v>0</v>
      </c>
      <c r="CE860">
        <v>0</v>
      </c>
      <c r="CF860" s="18">
        <v>0</v>
      </c>
      <c r="CG860">
        <v>0</v>
      </c>
      <c r="CH860">
        <v>0</v>
      </c>
      <c r="CI860">
        <v>1</v>
      </c>
      <c r="CJ860">
        <v>1</v>
      </c>
      <c r="CK860">
        <v>0</v>
      </c>
      <c r="CL860">
        <v>0</v>
      </c>
      <c r="CM860">
        <v>0</v>
      </c>
      <c r="CN860">
        <v>0</v>
      </c>
      <c r="CO860">
        <v>0</v>
      </c>
      <c r="CP860">
        <v>1</v>
      </c>
      <c r="CQ860" s="18">
        <v>0</v>
      </c>
      <c r="CR860">
        <v>0</v>
      </c>
      <c r="CS860">
        <v>2</v>
      </c>
      <c r="CT860">
        <v>0</v>
      </c>
      <c r="CU860">
        <v>1</v>
      </c>
      <c r="CV860">
        <v>27</v>
      </c>
      <c r="DB860" s="34"/>
    </row>
    <row r="861" spans="1:106" x14ac:dyDescent="0.25">
      <c r="A861">
        <v>860</v>
      </c>
      <c r="B861">
        <v>59</v>
      </c>
      <c r="C861" s="25" t="s">
        <v>4073</v>
      </c>
      <c r="D861" s="12">
        <v>8.1</v>
      </c>
      <c r="E861" s="14">
        <v>1.1000000000000001</v>
      </c>
      <c r="F861" s="7">
        <f t="shared" si="257"/>
        <v>7.3636363636363624</v>
      </c>
      <c r="G861" s="7">
        <f t="shared" si="245"/>
        <v>7</v>
      </c>
      <c r="H861" s="16">
        <f t="shared" si="246"/>
        <v>9.1999999999999993</v>
      </c>
      <c r="I861" s="11">
        <f t="shared" si="247"/>
        <v>0.23318261044731342</v>
      </c>
      <c r="J861" s="33">
        <f t="shared" si="248"/>
        <v>3.1666774258277137E-2</v>
      </c>
      <c r="K861" s="33">
        <f t="shared" si="249"/>
        <v>31.578840075212828</v>
      </c>
      <c r="L861" s="33">
        <f t="shared" si="250"/>
        <v>0.20151583618903629</v>
      </c>
      <c r="M861" s="33">
        <f t="shared" si="251"/>
        <v>0.26484938470559055</v>
      </c>
      <c r="N861" s="8">
        <v>0</v>
      </c>
      <c r="O861" s="9">
        <v>1</v>
      </c>
      <c r="P861" s="8">
        <v>0</v>
      </c>
      <c r="Q861" s="9">
        <v>0</v>
      </c>
      <c r="R861" s="9">
        <v>0</v>
      </c>
      <c r="S861" s="9">
        <v>1</v>
      </c>
      <c r="T861" s="9">
        <v>0</v>
      </c>
      <c r="U861" s="8">
        <v>948</v>
      </c>
      <c r="V861" s="9">
        <v>4</v>
      </c>
      <c r="W861" s="9">
        <f t="shared" si="252"/>
        <v>943</v>
      </c>
      <c r="X861" s="9">
        <f t="shared" si="253"/>
        <v>12</v>
      </c>
      <c r="Y861" s="7">
        <v>10.6</v>
      </c>
      <c r="Z861" s="7">
        <v>20.3</v>
      </c>
      <c r="AA861" s="9">
        <v>1</v>
      </c>
      <c r="AB861" s="9">
        <v>0</v>
      </c>
      <c r="AC861" s="9">
        <v>0</v>
      </c>
      <c r="AD861" s="9">
        <v>0</v>
      </c>
      <c r="AE861" s="9">
        <v>0</v>
      </c>
      <c r="AF861" s="9">
        <v>1</v>
      </c>
      <c r="AG861" s="8">
        <v>1</v>
      </c>
      <c r="AH861" s="9">
        <v>0</v>
      </c>
      <c r="AI861" s="30">
        <v>0</v>
      </c>
      <c r="AJ861" s="9">
        <v>0</v>
      </c>
      <c r="AK861" s="30">
        <v>1</v>
      </c>
      <c r="AL861" s="21">
        <v>1995</v>
      </c>
      <c r="AM861" s="23">
        <f t="shared" si="254"/>
        <v>7.5983993293239642</v>
      </c>
      <c r="AN861" s="33" t="s">
        <v>104</v>
      </c>
      <c r="AO861" s="33" t="s">
        <v>104</v>
      </c>
      <c r="AP861" s="33" t="s">
        <v>104</v>
      </c>
      <c r="AQ861" s="43" t="s">
        <v>104</v>
      </c>
      <c r="AR861" s="42" t="s">
        <v>104</v>
      </c>
      <c r="AS861" s="18" t="s">
        <v>104</v>
      </c>
      <c r="AT861" s="33" t="s">
        <v>104</v>
      </c>
      <c r="AU861" s="40" t="s">
        <v>104</v>
      </c>
      <c r="AV861" t="s">
        <v>104</v>
      </c>
      <c r="AW861" s="40" t="s">
        <v>104</v>
      </c>
      <c r="AX861">
        <v>0</v>
      </c>
      <c r="AY861" s="18">
        <v>1</v>
      </c>
      <c r="AZ861" t="s">
        <v>104</v>
      </c>
      <c r="BA861" s="18" t="s">
        <v>104</v>
      </c>
      <c r="BB861" s="18" t="s">
        <v>10</v>
      </c>
      <c r="BC861">
        <v>0</v>
      </c>
      <c r="BD861">
        <v>0</v>
      </c>
      <c r="BE861">
        <v>0</v>
      </c>
      <c r="BF861">
        <v>0</v>
      </c>
      <c r="BG861">
        <v>0</v>
      </c>
      <c r="BH861" s="18">
        <v>1</v>
      </c>
      <c r="BI861">
        <v>0</v>
      </c>
      <c r="BJ861">
        <v>0</v>
      </c>
      <c r="BK861" s="18">
        <v>1</v>
      </c>
      <c r="BL861">
        <v>19.583333333333329</v>
      </c>
      <c r="BM861">
        <v>1.03</v>
      </c>
      <c r="BN861" s="25">
        <v>36.799999999999997</v>
      </c>
      <c r="BO861">
        <v>1</v>
      </c>
      <c r="BP861">
        <v>0</v>
      </c>
      <c r="BQ861">
        <v>0</v>
      </c>
      <c r="BR861">
        <v>0</v>
      </c>
      <c r="BS861">
        <v>0</v>
      </c>
      <c r="BT861">
        <v>0</v>
      </c>
      <c r="BU861">
        <v>0</v>
      </c>
      <c r="BV861" s="18">
        <v>0</v>
      </c>
      <c r="BW861">
        <v>1</v>
      </c>
      <c r="BX861">
        <v>0</v>
      </c>
      <c r="BY861">
        <v>0</v>
      </c>
      <c r="BZ861" s="18">
        <v>0</v>
      </c>
      <c r="CA861">
        <v>0</v>
      </c>
      <c r="CB861">
        <v>0</v>
      </c>
      <c r="CC861">
        <v>0</v>
      </c>
      <c r="CD861">
        <v>0</v>
      </c>
      <c r="CE861">
        <v>0</v>
      </c>
      <c r="CF861" s="18">
        <v>0</v>
      </c>
      <c r="CG861">
        <v>0</v>
      </c>
      <c r="CH861">
        <v>0</v>
      </c>
      <c r="CI861">
        <v>1</v>
      </c>
      <c r="CJ861">
        <v>1</v>
      </c>
      <c r="CK861">
        <v>0</v>
      </c>
      <c r="CL861">
        <v>0</v>
      </c>
      <c r="CM861">
        <v>1</v>
      </c>
      <c r="CN861">
        <v>0</v>
      </c>
      <c r="CO861">
        <v>0</v>
      </c>
      <c r="CP861">
        <v>0</v>
      </c>
      <c r="CQ861" s="18">
        <v>0</v>
      </c>
      <c r="CR861">
        <v>0</v>
      </c>
      <c r="CS861">
        <v>2</v>
      </c>
      <c r="CT861">
        <v>0</v>
      </c>
      <c r="CU861">
        <v>1</v>
      </c>
      <c r="CV861">
        <v>27</v>
      </c>
      <c r="DB861" s="34"/>
    </row>
    <row r="862" spans="1:106" x14ac:dyDescent="0.25">
      <c r="A862">
        <v>861</v>
      </c>
      <c r="B862">
        <v>59</v>
      </c>
      <c r="C862" s="25" t="s">
        <v>4073</v>
      </c>
      <c r="D862" s="12">
        <v>7.2</v>
      </c>
      <c r="E862" s="14">
        <v>1.6</v>
      </c>
      <c r="F862" s="7">
        <f t="shared" si="257"/>
        <v>4.5</v>
      </c>
      <c r="G862" s="7">
        <f t="shared" si="245"/>
        <v>5.6</v>
      </c>
      <c r="H862" s="16">
        <f t="shared" si="246"/>
        <v>8.8000000000000007</v>
      </c>
      <c r="I862" s="11">
        <f t="shared" si="247"/>
        <v>0.14506697461492843</v>
      </c>
      <c r="J862" s="33">
        <f t="shared" si="248"/>
        <v>3.2237105469984102E-2</v>
      </c>
      <c r="K862" s="33">
        <f t="shared" si="249"/>
        <v>31.020154738492195</v>
      </c>
      <c r="L862" s="33">
        <f t="shared" si="250"/>
        <v>0.11282986914494433</v>
      </c>
      <c r="M862" s="33">
        <f t="shared" si="251"/>
        <v>0.17730408008491252</v>
      </c>
      <c r="N862" s="8">
        <v>0</v>
      </c>
      <c r="O862" s="9">
        <v>1</v>
      </c>
      <c r="P862" s="8">
        <v>0</v>
      </c>
      <c r="Q862" s="9">
        <v>0</v>
      </c>
      <c r="R862" s="9">
        <v>0</v>
      </c>
      <c r="S862" s="9">
        <v>1</v>
      </c>
      <c r="T862" s="9">
        <v>0</v>
      </c>
      <c r="U862" s="8">
        <v>948</v>
      </c>
      <c r="V862" s="9">
        <v>5</v>
      </c>
      <c r="W862" s="9">
        <f t="shared" si="252"/>
        <v>942</v>
      </c>
      <c r="X862" s="9">
        <f t="shared" si="253"/>
        <v>12</v>
      </c>
      <c r="Y862" s="7">
        <v>10.6</v>
      </c>
      <c r="Z862" s="7">
        <v>20.3</v>
      </c>
      <c r="AA862" s="9">
        <v>1</v>
      </c>
      <c r="AB862" s="9">
        <v>0</v>
      </c>
      <c r="AC862" s="9">
        <v>0</v>
      </c>
      <c r="AD862" s="9">
        <v>0</v>
      </c>
      <c r="AE862" s="9">
        <v>0</v>
      </c>
      <c r="AF862" s="9">
        <v>1</v>
      </c>
      <c r="AG862" s="8">
        <v>1</v>
      </c>
      <c r="AH862" s="9">
        <v>0</v>
      </c>
      <c r="AI862" s="30">
        <v>0</v>
      </c>
      <c r="AJ862" s="9">
        <v>0</v>
      </c>
      <c r="AK862" s="30">
        <v>1</v>
      </c>
      <c r="AL862" s="21">
        <v>1995</v>
      </c>
      <c r="AM862" s="23">
        <f t="shared" si="254"/>
        <v>7.5983993293239642</v>
      </c>
      <c r="AN862" s="33" t="s">
        <v>104</v>
      </c>
      <c r="AO862" s="33" t="s">
        <v>104</v>
      </c>
      <c r="AP862" s="33" t="s">
        <v>104</v>
      </c>
      <c r="AQ862" s="43" t="s">
        <v>104</v>
      </c>
      <c r="AR862" s="42" t="s">
        <v>104</v>
      </c>
      <c r="AS862" s="18" t="s">
        <v>104</v>
      </c>
      <c r="AT862" s="33" t="s">
        <v>104</v>
      </c>
      <c r="AU862" s="40" t="s">
        <v>104</v>
      </c>
      <c r="AV862" t="s">
        <v>104</v>
      </c>
      <c r="AW862" s="40" t="s">
        <v>104</v>
      </c>
      <c r="AX862">
        <v>0</v>
      </c>
      <c r="AY862" s="18">
        <v>1</v>
      </c>
      <c r="AZ862" t="s">
        <v>104</v>
      </c>
      <c r="BA862" s="18" t="s">
        <v>104</v>
      </c>
      <c r="BB862" s="18" t="s">
        <v>10</v>
      </c>
      <c r="BC862">
        <v>0</v>
      </c>
      <c r="BD862">
        <v>0</v>
      </c>
      <c r="BE862">
        <v>0</v>
      </c>
      <c r="BF862">
        <v>0</v>
      </c>
      <c r="BG862">
        <v>0</v>
      </c>
      <c r="BH862" s="18">
        <v>1</v>
      </c>
      <c r="BI862">
        <v>0</v>
      </c>
      <c r="BJ862">
        <v>0</v>
      </c>
      <c r="BK862" s="18">
        <v>1</v>
      </c>
      <c r="BL862">
        <v>19.583333333333329</v>
      </c>
      <c r="BM862">
        <v>1.03</v>
      </c>
      <c r="BN862" s="25">
        <v>36.799999999999997</v>
      </c>
      <c r="BO862">
        <v>0</v>
      </c>
      <c r="BP862">
        <v>0</v>
      </c>
      <c r="BQ862">
        <v>0</v>
      </c>
      <c r="BR862">
        <v>1</v>
      </c>
      <c r="BS862">
        <v>0</v>
      </c>
      <c r="BT862">
        <v>0</v>
      </c>
      <c r="BU862">
        <v>0</v>
      </c>
      <c r="BV862" s="18">
        <v>0</v>
      </c>
      <c r="BW862">
        <v>1</v>
      </c>
      <c r="BX862">
        <v>0</v>
      </c>
      <c r="BY862">
        <v>0</v>
      </c>
      <c r="BZ862" s="18">
        <v>0</v>
      </c>
      <c r="CA862">
        <v>0</v>
      </c>
      <c r="CB862">
        <v>0</v>
      </c>
      <c r="CC862">
        <v>0</v>
      </c>
      <c r="CD862">
        <v>0</v>
      </c>
      <c r="CE862">
        <v>0</v>
      </c>
      <c r="CF862" s="18">
        <v>0</v>
      </c>
      <c r="CG862">
        <v>0</v>
      </c>
      <c r="CH862">
        <v>0</v>
      </c>
      <c r="CI862">
        <v>1</v>
      </c>
      <c r="CJ862">
        <v>1</v>
      </c>
      <c r="CK862">
        <v>0</v>
      </c>
      <c r="CL862">
        <v>0</v>
      </c>
      <c r="CM862">
        <v>1</v>
      </c>
      <c r="CN862">
        <v>0</v>
      </c>
      <c r="CO862">
        <v>0</v>
      </c>
      <c r="CP862">
        <v>1</v>
      </c>
      <c r="CQ862" s="18">
        <v>0</v>
      </c>
      <c r="CR862">
        <v>0</v>
      </c>
      <c r="CS862">
        <v>2</v>
      </c>
      <c r="CT862">
        <v>0</v>
      </c>
      <c r="CU862">
        <v>1</v>
      </c>
      <c r="CV862">
        <v>27</v>
      </c>
      <c r="DB862" s="34"/>
    </row>
    <row r="863" spans="1:106" x14ac:dyDescent="0.25">
      <c r="A863">
        <v>862</v>
      </c>
      <c r="B863">
        <v>59</v>
      </c>
      <c r="C863" s="25" t="s">
        <v>4073</v>
      </c>
      <c r="D863" s="12">
        <v>11.2</v>
      </c>
      <c r="E863" s="14">
        <v>1.6</v>
      </c>
      <c r="F863" s="7">
        <f t="shared" si="257"/>
        <v>6.9999999999999991</v>
      </c>
      <c r="G863" s="7">
        <f t="shared" si="245"/>
        <v>9.6</v>
      </c>
      <c r="H863" s="16">
        <f t="shared" si="246"/>
        <v>12.799999999999999</v>
      </c>
      <c r="I863" s="11">
        <f t="shared" si="247"/>
        <v>0.22225022225033333</v>
      </c>
      <c r="J863" s="33">
        <f t="shared" si="248"/>
        <v>3.1750031750047626E-2</v>
      </c>
      <c r="K863" s="33">
        <f t="shared" si="249"/>
        <v>31.496031496047245</v>
      </c>
      <c r="L863" s="33">
        <f t="shared" si="250"/>
        <v>0.19050019050028572</v>
      </c>
      <c r="M863" s="33">
        <f t="shared" si="251"/>
        <v>0.25400025400038095</v>
      </c>
      <c r="N863" s="8">
        <v>0</v>
      </c>
      <c r="O863" s="9">
        <v>1</v>
      </c>
      <c r="P863" s="8">
        <v>0</v>
      </c>
      <c r="Q863" s="9">
        <v>0</v>
      </c>
      <c r="R863" s="9">
        <v>0</v>
      </c>
      <c r="S863" s="9">
        <v>1</v>
      </c>
      <c r="T863" s="9">
        <v>0</v>
      </c>
      <c r="U863" s="8">
        <v>948</v>
      </c>
      <c r="V863" s="9">
        <v>4</v>
      </c>
      <c r="W863" s="9">
        <f t="shared" si="252"/>
        <v>943</v>
      </c>
      <c r="X863" s="9">
        <f t="shared" si="253"/>
        <v>12</v>
      </c>
      <c r="Y863" s="7">
        <v>10.6</v>
      </c>
      <c r="Z863" s="7">
        <v>20.3</v>
      </c>
      <c r="AA863" s="9">
        <v>1</v>
      </c>
      <c r="AB863" s="9">
        <v>0</v>
      </c>
      <c r="AC863" s="9">
        <v>0</v>
      </c>
      <c r="AD863" s="9">
        <v>0</v>
      </c>
      <c r="AE863" s="9">
        <v>0</v>
      </c>
      <c r="AF863" s="9">
        <v>1</v>
      </c>
      <c r="AG863" s="8">
        <v>1</v>
      </c>
      <c r="AH863" s="9">
        <v>0</v>
      </c>
      <c r="AI863" s="30">
        <v>0</v>
      </c>
      <c r="AJ863" s="9">
        <v>0</v>
      </c>
      <c r="AK863" s="30">
        <v>1</v>
      </c>
      <c r="AL863" s="21">
        <v>1995</v>
      </c>
      <c r="AM863" s="23">
        <f t="shared" si="254"/>
        <v>7.5983993293239642</v>
      </c>
      <c r="AN863" s="33" t="s">
        <v>104</v>
      </c>
      <c r="AO863" s="33" t="s">
        <v>104</v>
      </c>
      <c r="AP863" s="33" t="s">
        <v>104</v>
      </c>
      <c r="AQ863" s="43" t="s">
        <v>104</v>
      </c>
      <c r="AR863" s="42" t="s">
        <v>104</v>
      </c>
      <c r="AS863" s="18" t="s">
        <v>104</v>
      </c>
      <c r="AT863" s="33" t="s">
        <v>104</v>
      </c>
      <c r="AU863" s="40" t="s">
        <v>104</v>
      </c>
      <c r="AV863" t="s">
        <v>104</v>
      </c>
      <c r="AW863" s="40" t="s">
        <v>104</v>
      </c>
      <c r="AX863">
        <v>0</v>
      </c>
      <c r="AY863" s="18">
        <v>1</v>
      </c>
      <c r="AZ863" t="s">
        <v>104</v>
      </c>
      <c r="BA863" s="18" t="s">
        <v>104</v>
      </c>
      <c r="BB863" s="18" t="s">
        <v>10</v>
      </c>
      <c r="BC863">
        <v>0</v>
      </c>
      <c r="BD863">
        <v>0</v>
      </c>
      <c r="BE863">
        <v>0</v>
      </c>
      <c r="BF863">
        <v>0</v>
      </c>
      <c r="BG863">
        <v>0</v>
      </c>
      <c r="BH863" s="18">
        <v>1</v>
      </c>
      <c r="BI863">
        <v>0</v>
      </c>
      <c r="BJ863">
        <v>0</v>
      </c>
      <c r="BK863" s="18">
        <v>1</v>
      </c>
      <c r="BL863">
        <v>19.583333333333329</v>
      </c>
      <c r="BM863">
        <v>1.03</v>
      </c>
      <c r="BN863" s="25">
        <v>36.799999999999997</v>
      </c>
      <c r="BO863">
        <v>1</v>
      </c>
      <c r="BP863">
        <v>0</v>
      </c>
      <c r="BQ863">
        <v>0</v>
      </c>
      <c r="BR863">
        <v>0</v>
      </c>
      <c r="BS863">
        <v>0</v>
      </c>
      <c r="BT863">
        <v>0</v>
      </c>
      <c r="BU863">
        <v>0</v>
      </c>
      <c r="BV863" s="18">
        <v>0</v>
      </c>
      <c r="BW863">
        <v>1</v>
      </c>
      <c r="BX863">
        <v>0</v>
      </c>
      <c r="BY863">
        <v>0</v>
      </c>
      <c r="BZ863" s="18">
        <v>0</v>
      </c>
      <c r="CA863">
        <v>0</v>
      </c>
      <c r="CB863">
        <v>0</v>
      </c>
      <c r="CC863">
        <v>0</v>
      </c>
      <c r="CD863">
        <v>0</v>
      </c>
      <c r="CE863">
        <v>0</v>
      </c>
      <c r="CF863" s="18">
        <v>0</v>
      </c>
      <c r="CG863">
        <v>0</v>
      </c>
      <c r="CH863">
        <v>0</v>
      </c>
      <c r="CI863">
        <v>1</v>
      </c>
      <c r="CJ863">
        <v>1</v>
      </c>
      <c r="CK863">
        <v>0</v>
      </c>
      <c r="CL863">
        <v>0</v>
      </c>
      <c r="CM863">
        <v>0</v>
      </c>
      <c r="CN863">
        <v>0</v>
      </c>
      <c r="CO863">
        <v>0</v>
      </c>
      <c r="CP863">
        <v>0</v>
      </c>
      <c r="CQ863" s="18">
        <v>0</v>
      </c>
      <c r="CR863">
        <v>0</v>
      </c>
      <c r="CS863">
        <v>2</v>
      </c>
      <c r="CT863">
        <v>0</v>
      </c>
      <c r="CU863">
        <v>1</v>
      </c>
      <c r="CV863">
        <v>27</v>
      </c>
      <c r="DB863" s="34"/>
    </row>
    <row r="864" spans="1:106" x14ac:dyDescent="0.25">
      <c r="A864">
        <v>863</v>
      </c>
      <c r="B864">
        <v>59</v>
      </c>
      <c r="C864" s="25" t="s">
        <v>4073</v>
      </c>
      <c r="D864" s="12">
        <v>8.1999999999999993</v>
      </c>
      <c r="E864" s="14">
        <v>2</v>
      </c>
      <c r="F864" s="7">
        <f t="shared" si="257"/>
        <v>4.0999999999999996</v>
      </c>
      <c r="G864" s="7">
        <f t="shared" si="245"/>
        <v>6.1999999999999993</v>
      </c>
      <c r="H864" s="16">
        <f t="shared" si="246"/>
        <v>10.199999999999999</v>
      </c>
      <c r="I864" s="11">
        <f t="shared" si="247"/>
        <v>0.13240902245181604</v>
      </c>
      <c r="J864" s="33">
        <f t="shared" si="248"/>
        <v>3.2294883524833187E-2</v>
      </c>
      <c r="K864" s="33">
        <f t="shared" si="249"/>
        <v>30.964657272445304</v>
      </c>
      <c r="L864" s="33">
        <f t="shared" si="250"/>
        <v>0.10011413892698286</v>
      </c>
      <c r="M864" s="33">
        <f t="shared" si="251"/>
        <v>0.16470390597664925</v>
      </c>
      <c r="N864" s="8">
        <v>0</v>
      </c>
      <c r="O864" s="9">
        <v>1</v>
      </c>
      <c r="P864" s="8">
        <v>0</v>
      </c>
      <c r="Q864" s="9">
        <v>0</v>
      </c>
      <c r="R864" s="9">
        <v>0</v>
      </c>
      <c r="S864" s="9">
        <v>1</v>
      </c>
      <c r="T864" s="9">
        <v>0</v>
      </c>
      <c r="U864" s="8">
        <v>948</v>
      </c>
      <c r="V864" s="9">
        <v>5</v>
      </c>
      <c r="W864" s="9">
        <f t="shared" si="252"/>
        <v>942</v>
      </c>
      <c r="X864" s="9">
        <f t="shared" si="253"/>
        <v>12</v>
      </c>
      <c r="Y864" s="7">
        <v>10.6</v>
      </c>
      <c r="Z864" s="7">
        <v>20.3</v>
      </c>
      <c r="AA864" s="9">
        <v>1</v>
      </c>
      <c r="AB864" s="9">
        <v>0</v>
      </c>
      <c r="AC864" s="9">
        <v>0</v>
      </c>
      <c r="AD864" s="9">
        <v>0</v>
      </c>
      <c r="AE864" s="9">
        <v>0</v>
      </c>
      <c r="AF864" s="9">
        <v>1</v>
      </c>
      <c r="AG864" s="8">
        <v>1</v>
      </c>
      <c r="AH864" s="9">
        <v>0</v>
      </c>
      <c r="AI864" s="30">
        <v>0</v>
      </c>
      <c r="AJ864" s="9">
        <v>0</v>
      </c>
      <c r="AK864" s="30">
        <v>1</v>
      </c>
      <c r="AL864" s="21">
        <v>1995</v>
      </c>
      <c r="AM864" s="23">
        <f t="shared" si="254"/>
        <v>7.5983993293239642</v>
      </c>
      <c r="AN864" s="33" t="s">
        <v>104</v>
      </c>
      <c r="AO864" s="33" t="s">
        <v>104</v>
      </c>
      <c r="AP864" s="33" t="s">
        <v>104</v>
      </c>
      <c r="AQ864" s="43" t="s">
        <v>104</v>
      </c>
      <c r="AR864" s="42" t="s">
        <v>104</v>
      </c>
      <c r="AS864" s="18" t="s">
        <v>104</v>
      </c>
      <c r="AT864" s="33" t="s">
        <v>104</v>
      </c>
      <c r="AU864" s="40" t="s">
        <v>104</v>
      </c>
      <c r="AV864" t="s">
        <v>104</v>
      </c>
      <c r="AW864" s="40" t="s">
        <v>104</v>
      </c>
      <c r="AX864">
        <v>0</v>
      </c>
      <c r="AY864" s="18">
        <v>1</v>
      </c>
      <c r="AZ864" t="s">
        <v>104</v>
      </c>
      <c r="BA864" s="18" t="s">
        <v>104</v>
      </c>
      <c r="BB864" s="18" t="s">
        <v>10</v>
      </c>
      <c r="BC864">
        <v>0</v>
      </c>
      <c r="BD864">
        <v>0</v>
      </c>
      <c r="BE864">
        <v>0</v>
      </c>
      <c r="BF864">
        <v>0</v>
      </c>
      <c r="BG864">
        <v>0</v>
      </c>
      <c r="BH864" s="18">
        <v>1</v>
      </c>
      <c r="BI864">
        <v>0</v>
      </c>
      <c r="BJ864">
        <v>0</v>
      </c>
      <c r="BK864" s="18">
        <v>1</v>
      </c>
      <c r="BL864">
        <v>19.583333333333329</v>
      </c>
      <c r="BM864">
        <v>1.03</v>
      </c>
      <c r="BN864" s="25">
        <v>36.799999999999997</v>
      </c>
      <c r="BO864">
        <v>0</v>
      </c>
      <c r="BP864">
        <v>0</v>
      </c>
      <c r="BQ864">
        <v>0</v>
      </c>
      <c r="BR864">
        <v>1</v>
      </c>
      <c r="BS864">
        <v>0</v>
      </c>
      <c r="BT864">
        <v>0</v>
      </c>
      <c r="BU864">
        <v>0</v>
      </c>
      <c r="BV864" s="18">
        <v>0</v>
      </c>
      <c r="BW864">
        <v>1</v>
      </c>
      <c r="BX864">
        <v>0</v>
      </c>
      <c r="BY864">
        <v>0</v>
      </c>
      <c r="BZ864" s="18">
        <v>0</v>
      </c>
      <c r="CA864">
        <v>0</v>
      </c>
      <c r="CB864">
        <v>0</v>
      </c>
      <c r="CC864">
        <v>0</v>
      </c>
      <c r="CD864">
        <v>0</v>
      </c>
      <c r="CE864">
        <v>0</v>
      </c>
      <c r="CF864" s="18">
        <v>0</v>
      </c>
      <c r="CG864">
        <v>0</v>
      </c>
      <c r="CH864">
        <v>0</v>
      </c>
      <c r="CI864">
        <v>1</v>
      </c>
      <c r="CJ864">
        <v>1</v>
      </c>
      <c r="CK864">
        <v>0</v>
      </c>
      <c r="CL864">
        <v>0</v>
      </c>
      <c r="CM864">
        <v>0</v>
      </c>
      <c r="CN864">
        <v>0</v>
      </c>
      <c r="CO864">
        <v>0</v>
      </c>
      <c r="CP864">
        <v>1</v>
      </c>
      <c r="CQ864" s="18">
        <v>0</v>
      </c>
      <c r="CR864">
        <v>0</v>
      </c>
      <c r="CS864">
        <v>2</v>
      </c>
      <c r="CT864">
        <v>0</v>
      </c>
      <c r="CU864">
        <v>1</v>
      </c>
      <c r="CV864">
        <v>27</v>
      </c>
      <c r="DB864" s="34"/>
    </row>
    <row r="865" spans="1:106" x14ac:dyDescent="0.25">
      <c r="A865">
        <v>864</v>
      </c>
      <c r="B865">
        <v>59</v>
      </c>
      <c r="C865" s="25" t="s">
        <v>4073</v>
      </c>
      <c r="D865" s="12">
        <v>10</v>
      </c>
      <c r="E865" s="14">
        <v>1.5</v>
      </c>
      <c r="F865" s="7">
        <f t="shared" si="257"/>
        <v>6.666666666666667</v>
      </c>
      <c r="G865" s="7">
        <f t="shared" si="245"/>
        <v>8.5</v>
      </c>
      <c r="H865" s="16">
        <f t="shared" si="246"/>
        <v>11.5</v>
      </c>
      <c r="I865" s="11">
        <f t="shared" si="247"/>
        <v>0.21226208472298677</v>
      </c>
      <c r="J865" s="33">
        <f t="shared" si="248"/>
        <v>3.1839312708448017E-2</v>
      </c>
      <c r="K865" s="33">
        <f t="shared" si="249"/>
        <v>31.407713136177939</v>
      </c>
      <c r="L865" s="33">
        <f t="shared" si="250"/>
        <v>0.18042277201453877</v>
      </c>
      <c r="M865" s="33">
        <f t="shared" si="251"/>
        <v>0.24410139743143477</v>
      </c>
      <c r="N865" s="8">
        <v>0</v>
      </c>
      <c r="O865" s="9">
        <v>1</v>
      </c>
      <c r="P865" s="8">
        <v>0</v>
      </c>
      <c r="Q865" s="9">
        <v>0</v>
      </c>
      <c r="R865" s="9">
        <v>0</v>
      </c>
      <c r="S865" s="9">
        <v>1</v>
      </c>
      <c r="T865" s="9">
        <v>0</v>
      </c>
      <c r="U865" s="8">
        <v>948</v>
      </c>
      <c r="V865" s="9">
        <v>5</v>
      </c>
      <c r="W865" s="9">
        <f t="shared" si="252"/>
        <v>942</v>
      </c>
      <c r="X865" s="9">
        <f t="shared" si="253"/>
        <v>12</v>
      </c>
      <c r="Y865" s="7">
        <v>10.6</v>
      </c>
      <c r="Z865" s="7">
        <v>20.3</v>
      </c>
      <c r="AA865" s="9">
        <v>1</v>
      </c>
      <c r="AB865" s="9">
        <v>0</v>
      </c>
      <c r="AC865" s="9">
        <v>0</v>
      </c>
      <c r="AD865" s="9">
        <v>0</v>
      </c>
      <c r="AE865" s="9">
        <v>0</v>
      </c>
      <c r="AF865" s="9">
        <v>1</v>
      </c>
      <c r="AG865" s="8">
        <v>1</v>
      </c>
      <c r="AH865" s="9">
        <v>0</v>
      </c>
      <c r="AI865" s="30">
        <v>0</v>
      </c>
      <c r="AJ865" s="9">
        <v>0</v>
      </c>
      <c r="AK865" s="30">
        <v>1</v>
      </c>
      <c r="AL865" s="21">
        <v>1995</v>
      </c>
      <c r="AM865" s="23">
        <f t="shared" si="254"/>
        <v>7.5983993293239642</v>
      </c>
      <c r="AN865" s="33" t="s">
        <v>104</v>
      </c>
      <c r="AO865" s="33" t="s">
        <v>104</v>
      </c>
      <c r="AP865" s="33" t="s">
        <v>104</v>
      </c>
      <c r="AQ865" s="43" t="s">
        <v>104</v>
      </c>
      <c r="AR865" s="42" t="s">
        <v>104</v>
      </c>
      <c r="AS865" s="18" t="s">
        <v>104</v>
      </c>
      <c r="AT865" s="33" t="s">
        <v>104</v>
      </c>
      <c r="AU865" s="40" t="s">
        <v>104</v>
      </c>
      <c r="AV865" t="s">
        <v>104</v>
      </c>
      <c r="AW865" s="40" t="s">
        <v>104</v>
      </c>
      <c r="AX865">
        <v>0</v>
      </c>
      <c r="AY865" s="18">
        <v>1</v>
      </c>
      <c r="AZ865" t="s">
        <v>104</v>
      </c>
      <c r="BA865" s="18" t="s">
        <v>104</v>
      </c>
      <c r="BB865" s="18" t="s">
        <v>10</v>
      </c>
      <c r="BC865">
        <v>0</v>
      </c>
      <c r="BD865">
        <v>0</v>
      </c>
      <c r="BE865">
        <v>0</v>
      </c>
      <c r="BF865">
        <v>0</v>
      </c>
      <c r="BG865">
        <v>0</v>
      </c>
      <c r="BH865" s="18">
        <v>1</v>
      </c>
      <c r="BI865">
        <v>0</v>
      </c>
      <c r="BJ865">
        <v>0</v>
      </c>
      <c r="BK865" s="18">
        <v>1</v>
      </c>
      <c r="BL865">
        <v>19.583333333333329</v>
      </c>
      <c r="BM865">
        <v>1.03</v>
      </c>
      <c r="BN865" s="25">
        <v>36.799999999999997</v>
      </c>
      <c r="BO865">
        <v>1</v>
      </c>
      <c r="BP865">
        <v>0</v>
      </c>
      <c r="BQ865">
        <v>0</v>
      </c>
      <c r="BR865">
        <v>0</v>
      </c>
      <c r="BS865">
        <v>0</v>
      </c>
      <c r="BT865">
        <v>0</v>
      </c>
      <c r="BU865">
        <v>0</v>
      </c>
      <c r="BV865" s="18">
        <v>0</v>
      </c>
      <c r="BW865">
        <v>1</v>
      </c>
      <c r="BX865">
        <v>0</v>
      </c>
      <c r="BY865">
        <v>0</v>
      </c>
      <c r="BZ865" s="18">
        <v>0</v>
      </c>
      <c r="CA865">
        <v>0</v>
      </c>
      <c r="CB865">
        <v>0</v>
      </c>
      <c r="CC865">
        <v>0</v>
      </c>
      <c r="CD865">
        <v>0</v>
      </c>
      <c r="CE865">
        <v>0</v>
      </c>
      <c r="CF865" s="18">
        <v>0</v>
      </c>
      <c r="CG865">
        <v>0</v>
      </c>
      <c r="CH865">
        <v>0</v>
      </c>
      <c r="CI865">
        <v>1</v>
      </c>
      <c r="CJ865">
        <v>1</v>
      </c>
      <c r="CK865">
        <v>0</v>
      </c>
      <c r="CL865">
        <v>0</v>
      </c>
      <c r="CM865">
        <v>1</v>
      </c>
      <c r="CN865">
        <v>0</v>
      </c>
      <c r="CO865">
        <v>0</v>
      </c>
      <c r="CP865">
        <v>0</v>
      </c>
      <c r="CQ865" s="18">
        <v>0</v>
      </c>
      <c r="CR865">
        <v>0</v>
      </c>
      <c r="CS865">
        <v>2</v>
      </c>
      <c r="CT865">
        <v>0</v>
      </c>
      <c r="CU865">
        <v>1</v>
      </c>
      <c r="CV865">
        <v>27</v>
      </c>
      <c r="DB865" s="34"/>
    </row>
    <row r="866" spans="1:106" x14ac:dyDescent="0.25">
      <c r="A866">
        <v>865</v>
      </c>
      <c r="B866">
        <v>59</v>
      </c>
      <c r="C866" s="25" t="s">
        <v>4073</v>
      </c>
      <c r="D866" s="12">
        <v>8</v>
      </c>
      <c r="E866" s="14">
        <v>2</v>
      </c>
      <c r="F866" s="7">
        <f t="shared" si="257"/>
        <v>4</v>
      </c>
      <c r="G866" s="7">
        <f t="shared" si="245"/>
        <v>6</v>
      </c>
      <c r="H866" s="16">
        <f t="shared" si="246"/>
        <v>10</v>
      </c>
      <c r="I866" s="11">
        <f t="shared" si="247"/>
        <v>0.1293016367670472</v>
      </c>
      <c r="J866" s="33">
        <f t="shared" si="248"/>
        <v>3.2325409191761793E-2</v>
      </c>
      <c r="K866" s="33">
        <f t="shared" si="249"/>
        <v>30.935416596516042</v>
      </c>
      <c r="L866" s="33">
        <f t="shared" si="250"/>
        <v>9.6976227575285401E-2</v>
      </c>
      <c r="M866" s="33">
        <f t="shared" si="251"/>
        <v>0.161627045958809</v>
      </c>
      <c r="N866" s="8">
        <v>0</v>
      </c>
      <c r="O866" s="9">
        <v>1</v>
      </c>
      <c r="P866" s="8">
        <v>0</v>
      </c>
      <c r="Q866" s="9">
        <v>0</v>
      </c>
      <c r="R866" s="9">
        <v>0</v>
      </c>
      <c r="S866" s="9">
        <v>1</v>
      </c>
      <c r="T866" s="9">
        <v>0</v>
      </c>
      <c r="U866" s="8">
        <v>948</v>
      </c>
      <c r="V866" s="9">
        <v>6</v>
      </c>
      <c r="W866" s="9">
        <f t="shared" si="252"/>
        <v>941</v>
      </c>
      <c r="X866" s="9">
        <f t="shared" si="253"/>
        <v>12</v>
      </c>
      <c r="Y866" s="7">
        <v>10.6</v>
      </c>
      <c r="Z866" s="7">
        <v>20.3</v>
      </c>
      <c r="AA866" s="9">
        <v>1</v>
      </c>
      <c r="AB866" s="9">
        <v>0</v>
      </c>
      <c r="AC866" s="9">
        <v>0</v>
      </c>
      <c r="AD866" s="9">
        <v>0</v>
      </c>
      <c r="AE866" s="9">
        <v>0</v>
      </c>
      <c r="AF866" s="9">
        <v>1</v>
      </c>
      <c r="AG866" s="8">
        <v>1</v>
      </c>
      <c r="AH866" s="9">
        <v>0</v>
      </c>
      <c r="AI866" s="30">
        <v>0</v>
      </c>
      <c r="AJ866" s="9">
        <v>0</v>
      </c>
      <c r="AK866" s="30">
        <v>1</v>
      </c>
      <c r="AL866" s="21">
        <v>1995</v>
      </c>
      <c r="AM866" s="23">
        <f t="shared" si="254"/>
        <v>7.5983993293239642</v>
      </c>
      <c r="AN866" s="33" t="s">
        <v>104</v>
      </c>
      <c r="AO866" s="33" t="s">
        <v>104</v>
      </c>
      <c r="AP866" s="33" t="s">
        <v>104</v>
      </c>
      <c r="AQ866" s="43" t="s">
        <v>104</v>
      </c>
      <c r="AR866" s="42" t="s">
        <v>104</v>
      </c>
      <c r="AS866" s="18" t="s">
        <v>104</v>
      </c>
      <c r="AT866" s="33" t="s">
        <v>104</v>
      </c>
      <c r="AU866" s="40" t="s">
        <v>104</v>
      </c>
      <c r="AV866" t="s">
        <v>104</v>
      </c>
      <c r="AW866" s="40" t="s">
        <v>104</v>
      </c>
      <c r="AX866">
        <v>0</v>
      </c>
      <c r="AY866" s="18">
        <v>1</v>
      </c>
      <c r="AZ866" t="s">
        <v>104</v>
      </c>
      <c r="BA866" s="18" t="s">
        <v>104</v>
      </c>
      <c r="BB866" s="18" t="s">
        <v>10</v>
      </c>
      <c r="BC866">
        <v>0</v>
      </c>
      <c r="BD866">
        <v>0</v>
      </c>
      <c r="BE866">
        <v>0</v>
      </c>
      <c r="BF866">
        <v>0</v>
      </c>
      <c r="BG866">
        <v>0</v>
      </c>
      <c r="BH866" s="18">
        <v>1</v>
      </c>
      <c r="BI866">
        <v>0</v>
      </c>
      <c r="BJ866">
        <v>0</v>
      </c>
      <c r="BK866" s="18">
        <v>1</v>
      </c>
      <c r="BL866">
        <v>19.583333333333329</v>
      </c>
      <c r="BM866">
        <v>1.03</v>
      </c>
      <c r="BN866" s="25">
        <v>36.799999999999997</v>
      </c>
      <c r="BO866">
        <v>0</v>
      </c>
      <c r="BP866">
        <v>0</v>
      </c>
      <c r="BQ866">
        <v>0</v>
      </c>
      <c r="BR866">
        <v>1</v>
      </c>
      <c r="BS866">
        <v>0</v>
      </c>
      <c r="BT866">
        <v>0</v>
      </c>
      <c r="BU866">
        <v>0</v>
      </c>
      <c r="BV866" s="18">
        <v>0</v>
      </c>
      <c r="BW866">
        <v>1</v>
      </c>
      <c r="BX866">
        <v>0</v>
      </c>
      <c r="BY866">
        <v>0</v>
      </c>
      <c r="BZ866" s="18">
        <v>0</v>
      </c>
      <c r="CA866">
        <v>0</v>
      </c>
      <c r="CB866">
        <v>0</v>
      </c>
      <c r="CC866">
        <v>0</v>
      </c>
      <c r="CD866">
        <v>0</v>
      </c>
      <c r="CE866">
        <v>0</v>
      </c>
      <c r="CF866" s="18">
        <v>0</v>
      </c>
      <c r="CG866">
        <v>0</v>
      </c>
      <c r="CH866">
        <v>0</v>
      </c>
      <c r="CI866">
        <v>1</v>
      </c>
      <c r="CJ866">
        <v>1</v>
      </c>
      <c r="CK866">
        <v>0</v>
      </c>
      <c r="CL866">
        <v>0</v>
      </c>
      <c r="CM866">
        <v>1</v>
      </c>
      <c r="CN866">
        <v>0</v>
      </c>
      <c r="CO866">
        <v>0</v>
      </c>
      <c r="CP866">
        <v>1</v>
      </c>
      <c r="CQ866" s="18">
        <v>0</v>
      </c>
      <c r="CR866">
        <v>0</v>
      </c>
      <c r="CS866">
        <v>2</v>
      </c>
      <c r="CT866">
        <v>0</v>
      </c>
      <c r="CU866">
        <v>1</v>
      </c>
      <c r="CV866">
        <v>27</v>
      </c>
      <c r="DB866" s="34"/>
    </row>
    <row r="867" spans="1:106" x14ac:dyDescent="0.25">
      <c r="A867">
        <v>866</v>
      </c>
      <c r="B867">
        <v>59</v>
      </c>
      <c r="C867" s="25" t="s">
        <v>4073</v>
      </c>
      <c r="D867" s="12">
        <v>9.6999999999999993</v>
      </c>
      <c r="E867" s="14">
        <v>1</v>
      </c>
      <c r="F867" s="7">
        <f t="shared" si="257"/>
        <v>9.6999999999999993</v>
      </c>
      <c r="G867" s="7">
        <f t="shared" si="245"/>
        <v>8.6999999999999993</v>
      </c>
      <c r="H867" s="16">
        <f t="shared" si="246"/>
        <v>10.7</v>
      </c>
      <c r="I867" s="11">
        <f t="shared" si="247"/>
        <v>0.30120592524269102</v>
      </c>
      <c r="J867" s="33">
        <f t="shared" si="248"/>
        <v>3.1052157241514538E-2</v>
      </c>
      <c r="K867" s="33">
        <f t="shared" si="249"/>
        <v>32.203881753602317</v>
      </c>
      <c r="L867" s="33">
        <f t="shared" si="250"/>
        <v>0.27015376800117646</v>
      </c>
      <c r="M867" s="33">
        <f t="shared" si="251"/>
        <v>0.33225808248420557</v>
      </c>
      <c r="N867" s="8">
        <v>0</v>
      </c>
      <c r="O867" s="9">
        <v>1</v>
      </c>
      <c r="P867" s="8">
        <v>0</v>
      </c>
      <c r="Q867" s="9">
        <v>0</v>
      </c>
      <c r="R867" s="9">
        <v>0</v>
      </c>
      <c r="S867" s="9">
        <v>1</v>
      </c>
      <c r="T867" s="9">
        <v>0</v>
      </c>
      <c r="U867" s="8">
        <v>948</v>
      </c>
      <c r="V867" s="9">
        <v>4</v>
      </c>
      <c r="W867" s="9">
        <f t="shared" si="252"/>
        <v>943</v>
      </c>
      <c r="X867" s="9">
        <f t="shared" si="253"/>
        <v>12</v>
      </c>
      <c r="Y867" s="7">
        <v>10.6</v>
      </c>
      <c r="Z867" s="7">
        <v>20.3</v>
      </c>
      <c r="AA867" s="9">
        <v>1</v>
      </c>
      <c r="AB867" s="9">
        <v>0</v>
      </c>
      <c r="AC867" s="9">
        <v>0</v>
      </c>
      <c r="AD867" s="9">
        <v>0</v>
      </c>
      <c r="AE867" s="9">
        <v>0</v>
      </c>
      <c r="AF867" s="9">
        <v>1</v>
      </c>
      <c r="AG867" s="8">
        <v>1</v>
      </c>
      <c r="AH867" s="9">
        <v>0</v>
      </c>
      <c r="AI867" s="30">
        <v>0</v>
      </c>
      <c r="AJ867" s="9">
        <v>0</v>
      </c>
      <c r="AK867" s="30">
        <v>1</v>
      </c>
      <c r="AL867" s="21">
        <v>1995</v>
      </c>
      <c r="AM867" s="23">
        <f t="shared" si="254"/>
        <v>7.5983993293239642</v>
      </c>
      <c r="AN867" s="33" t="s">
        <v>104</v>
      </c>
      <c r="AO867" s="33" t="s">
        <v>104</v>
      </c>
      <c r="AP867" s="33" t="s">
        <v>104</v>
      </c>
      <c r="AQ867" s="43" t="s">
        <v>104</v>
      </c>
      <c r="AR867" s="42" t="s">
        <v>104</v>
      </c>
      <c r="AS867" s="18" t="s">
        <v>104</v>
      </c>
      <c r="AT867" s="33" t="s">
        <v>104</v>
      </c>
      <c r="AU867" s="40" t="s">
        <v>104</v>
      </c>
      <c r="AV867" t="s">
        <v>104</v>
      </c>
      <c r="AW867" s="40" t="s">
        <v>104</v>
      </c>
      <c r="AX867">
        <v>0</v>
      </c>
      <c r="AY867" s="18">
        <v>1</v>
      </c>
      <c r="AZ867" t="s">
        <v>104</v>
      </c>
      <c r="BA867" s="18" t="s">
        <v>104</v>
      </c>
      <c r="BB867" s="18" t="s">
        <v>10</v>
      </c>
      <c r="BC867">
        <v>0</v>
      </c>
      <c r="BD867">
        <v>0</v>
      </c>
      <c r="BE867">
        <v>0</v>
      </c>
      <c r="BF867">
        <v>0</v>
      </c>
      <c r="BG867">
        <v>0</v>
      </c>
      <c r="BH867" s="18">
        <v>1</v>
      </c>
      <c r="BI867">
        <v>0</v>
      </c>
      <c r="BJ867">
        <v>0</v>
      </c>
      <c r="BK867" s="18">
        <v>1</v>
      </c>
      <c r="BL867">
        <v>19.583333333333329</v>
      </c>
      <c r="BM867">
        <v>1.03</v>
      </c>
      <c r="BN867" s="25">
        <v>36.799999999999997</v>
      </c>
      <c r="BO867">
        <v>1</v>
      </c>
      <c r="BP867">
        <v>0</v>
      </c>
      <c r="BQ867">
        <v>0</v>
      </c>
      <c r="BR867">
        <v>0</v>
      </c>
      <c r="BS867">
        <v>0</v>
      </c>
      <c r="BT867">
        <v>0</v>
      </c>
      <c r="BU867">
        <v>0</v>
      </c>
      <c r="BV867" s="18">
        <v>0</v>
      </c>
      <c r="BW867">
        <v>1</v>
      </c>
      <c r="BX867">
        <v>0</v>
      </c>
      <c r="BY867">
        <v>0</v>
      </c>
      <c r="BZ867" s="18">
        <v>0</v>
      </c>
      <c r="CA867">
        <v>0</v>
      </c>
      <c r="CB867">
        <v>0</v>
      </c>
      <c r="CC867">
        <v>0</v>
      </c>
      <c r="CD867">
        <v>0</v>
      </c>
      <c r="CE867">
        <v>0</v>
      </c>
      <c r="CF867" s="18">
        <v>0</v>
      </c>
      <c r="CG867">
        <v>0</v>
      </c>
      <c r="CH867">
        <v>0</v>
      </c>
      <c r="CI867">
        <v>1</v>
      </c>
      <c r="CJ867">
        <v>1</v>
      </c>
      <c r="CK867">
        <v>0</v>
      </c>
      <c r="CL867">
        <v>0</v>
      </c>
      <c r="CM867">
        <v>0</v>
      </c>
      <c r="CN867">
        <v>0</v>
      </c>
      <c r="CO867">
        <v>0</v>
      </c>
      <c r="CP867">
        <v>0</v>
      </c>
      <c r="CQ867" s="18">
        <v>0</v>
      </c>
      <c r="CR867">
        <v>0</v>
      </c>
      <c r="CS867">
        <v>2</v>
      </c>
      <c r="CT867">
        <v>0</v>
      </c>
      <c r="CU867">
        <v>1</v>
      </c>
      <c r="CV867">
        <v>27</v>
      </c>
      <c r="DB867" s="34"/>
    </row>
    <row r="868" spans="1:106" x14ac:dyDescent="0.25">
      <c r="A868">
        <v>867</v>
      </c>
      <c r="B868">
        <v>59</v>
      </c>
      <c r="C868" s="25" t="s">
        <v>4073</v>
      </c>
      <c r="D868" s="12">
        <v>7.5</v>
      </c>
      <c r="E868" s="14">
        <v>1.4</v>
      </c>
      <c r="F868" s="7">
        <f t="shared" si="257"/>
        <v>5.3571428571428577</v>
      </c>
      <c r="G868" s="7">
        <f t="shared" si="245"/>
        <v>6.1</v>
      </c>
      <c r="H868" s="16">
        <f t="shared" si="246"/>
        <v>8.9</v>
      </c>
      <c r="I868" s="11">
        <f t="shared" si="247"/>
        <v>0.17194555021002075</v>
      </c>
      <c r="J868" s="33">
        <f t="shared" si="248"/>
        <v>3.2096502705870535E-2</v>
      </c>
      <c r="K868" s="33">
        <f t="shared" si="249"/>
        <v>31.156042425055155</v>
      </c>
      <c r="L868" s="33">
        <f t="shared" si="250"/>
        <v>0.13984904750415023</v>
      </c>
      <c r="M868" s="33">
        <f t="shared" si="251"/>
        <v>0.20404205291589128</v>
      </c>
      <c r="N868" s="8">
        <v>0</v>
      </c>
      <c r="O868" s="9">
        <v>1</v>
      </c>
      <c r="P868" s="8">
        <v>0</v>
      </c>
      <c r="Q868" s="9">
        <v>0</v>
      </c>
      <c r="R868" s="9">
        <v>0</v>
      </c>
      <c r="S868" s="9">
        <v>1</v>
      </c>
      <c r="T868" s="9">
        <v>0</v>
      </c>
      <c r="U868" s="8">
        <v>948</v>
      </c>
      <c r="V868" s="9">
        <v>5</v>
      </c>
      <c r="W868" s="9">
        <f t="shared" si="252"/>
        <v>942</v>
      </c>
      <c r="X868" s="9">
        <f t="shared" si="253"/>
        <v>12</v>
      </c>
      <c r="Y868" s="7">
        <v>10.6</v>
      </c>
      <c r="Z868" s="7">
        <v>20.3</v>
      </c>
      <c r="AA868" s="9">
        <v>1</v>
      </c>
      <c r="AB868" s="9">
        <v>0</v>
      </c>
      <c r="AC868" s="9">
        <v>0</v>
      </c>
      <c r="AD868" s="9">
        <v>0</v>
      </c>
      <c r="AE868" s="9">
        <v>0</v>
      </c>
      <c r="AF868" s="9">
        <v>1</v>
      </c>
      <c r="AG868" s="8">
        <v>1</v>
      </c>
      <c r="AH868" s="9">
        <v>0</v>
      </c>
      <c r="AI868" s="30">
        <v>0</v>
      </c>
      <c r="AJ868" s="9">
        <v>0</v>
      </c>
      <c r="AK868" s="30">
        <v>1</v>
      </c>
      <c r="AL868" s="21">
        <v>1995</v>
      </c>
      <c r="AM868" s="23">
        <f t="shared" si="254"/>
        <v>7.5983993293239642</v>
      </c>
      <c r="AN868" s="33" t="s">
        <v>104</v>
      </c>
      <c r="AO868" s="33" t="s">
        <v>104</v>
      </c>
      <c r="AP868" s="33" t="s">
        <v>104</v>
      </c>
      <c r="AQ868" s="43" t="s">
        <v>104</v>
      </c>
      <c r="AR868" s="42" t="s">
        <v>104</v>
      </c>
      <c r="AS868" s="18" t="s">
        <v>104</v>
      </c>
      <c r="AT868" s="33" t="s">
        <v>104</v>
      </c>
      <c r="AU868" s="40" t="s">
        <v>104</v>
      </c>
      <c r="AV868" t="s">
        <v>104</v>
      </c>
      <c r="AW868" s="40" t="s">
        <v>104</v>
      </c>
      <c r="AX868">
        <v>0</v>
      </c>
      <c r="AY868" s="18">
        <v>1</v>
      </c>
      <c r="AZ868" t="s">
        <v>104</v>
      </c>
      <c r="BA868" s="18" t="s">
        <v>104</v>
      </c>
      <c r="BB868" s="18" t="s">
        <v>10</v>
      </c>
      <c r="BC868">
        <v>0</v>
      </c>
      <c r="BD868">
        <v>0</v>
      </c>
      <c r="BE868">
        <v>0</v>
      </c>
      <c r="BF868">
        <v>0</v>
      </c>
      <c r="BG868">
        <v>0</v>
      </c>
      <c r="BH868" s="18">
        <v>1</v>
      </c>
      <c r="BI868">
        <v>0</v>
      </c>
      <c r="BJ868">
        <v>0</v>
      </c>
      <c r="BK868" s="18">
        <v>1</v>
      </c>
      <c r="BL868">
        <v>19.583333333333329</v>
      </c>
      <c r="BM868">
        <v>1.03</v>
      </c>
      <c r="BN868" s="25">
        <v>36.799999999999997</v>
      </c>
      <c r="BO868">
        <v>0</v>
      </c>
      <c r="BP868">
        <v>0</v>
      </c>
      <c r="BQ868">
        <v>0</v>
      </c>
      <c r="BR868">
        <v>1</v>
      </c>
      <c r="BS868">
        <v>0</v>
      </c>
      <c r="BT868">
        <v>0</v>
      </c>
      <c r="BU868">
        <v>0</v>
      </c>
      <c r="BV868" s="18">
        <v>0</v>
      </c>
      <c r="BW868">
        <v>1</v>
      </c>
      <c r="BX868">
        <v>0</v>
      </c>
      <c r="BY868">
        <v>0</v>
      </c>
      <c r="BZ868" s="18">
        <v>0</v>
      </c>
      <c r="CA868">
        <v>0</v>
      </c>
      <c r="CB868">
        <v>0</v>
      </c>
      <c r="CC868">
        <v>0</v>
      </c>
      <c r="CD868">
        <v>0</v>
      </c>
      <c r="CE868">
        <v>0</v>
      </c>
      <c r="CF868" s="18">
        <v>0</v>
      </c>
      <c r="CG868">
        <v>0</v>
      </c>
      <c r="CH868">
        <v>0</v>
      </c>
      <c r="CI868">
        <v>1</v>
      </c>
      <c r="CJ868">
        <v>1</v>
      </c>
      <c r="CK868">
        <v>0</v>
      </c>
      <c r="CL868">
        <v>0</v>
      </c>
      <c r="CM868">
        <v>0</v>
      </c>
      <c r="CN868">
        <v>0</v>
      </c>
      <c r="CO868">
        <v>0</v>
      </c>
      <c r="CP868">
        <v>1</v>
      </c>
      <c r="CQ868" s="18">
        <v>0</v>
      </c>
      <c r="CR868">
        <v>0</v>
      </c>
      <c r="CS868">
        <v>2</v>
      </c>
      <c r="CT868">
        <v>0</v>
      </c>
      <c r="CU868">
        <v>1</v>
      </c>
      <c r="CV868">
        <v>27</v>
      </c>
      <c r="DB868" s="34"/>
    </row>
    <row r="869" spans="1:106" x14ac:dyDescent="0.25">
      <c r="A869">
        <v>868</v>
      </c>
      <c r="B869">
        <v>59</v>
      </c>
      <c r="C869" s="25" t="s">
        <v>4073</v>
      </c>
      <c r="D869" s="12">
        <v>9</v>
      </c>
      <c r="E869" s="14">
        <v>1.1000000000000001</v>
      </c>
      <c r="F869" s="7">
        <f t="shared" si="257"/>
        <v>8.1818181818181817</v>
      </c>
      <c r="G869" s="7">
        <f t="shared" si="245"/>
        <v>7.9</v>
      </c>
      <c r="H869" s="16">
        <f t="shared" si="246"/>
        <v>10.1</v>
      </c>
      <c r="I869" s="11">
        <f t="shared" si="247"/>
        <v>0.25758270030408748</v>
      </c>
      <c r="J869" s="33">
        <f t="shared" si="248"/>
        <v>3.1482330037166245E-2</v>
      </c>
      <c r="K869" s="33">
        <f t="shared" si="249"/>
        <v>31.763849715680415</v>
      </c>
      <c r="L869" s="33">
        <f t="shared" si="250"/>
        <v>0.22610037026692123</v>
      </c>
      <c r="M869" s="33">
        <f t="shared" si="251"/>
        <v>0.28906503034125375</v>
      </c>
      <c r="N869" s="8">
        <v>0</v>
      </c>
      <c r="O869" s="9">
        <v>1</v>
      </c>
      <c r="P869" s="8">
        <v>0</v>
      </c>
      <c r="Q869" s="9">
        <v>0</v>
      </c>
      <c r="R869" s="9">
        <v>0</v>
      </c>
      <c r="S869" s="9">
        <v>1</v>
      </c>
      <c r="T869" s="9">
        <v>0</v>
      </c>
      <c r="U869" s="8">
        <v>948</v>
      </c>
      <c r="V869" s="9">
        <v>5</v>
      </c>
      <c r="W869" s="9">
        <f t="shared" si="252"/>
        <v>942</v>
      </c>
      <c r="X869" s="9">
        <f t="shared" si="253"/>
        <v>12</v>
      </c>
      <c r="Y869" s="7">
        <v>10.6</v>
      </c>
      <c r="Z869" s="7">
        <v>20.3</v>
      </c>
      <c r="AA869" s="9">
        <v>1</v>
      </c>
      <c r="AB869" s="9">
        <v>0</v>
      </c>
      <c r="AC869" s="9">
        <v>0</v>
      </c>
      <c r="AD869" s="9">
        <v>0</v>
      </c>
      <c r="AE869" s="9">
        <v>0</v>
      </c>
      <c r="AF869" s="9">
        <v>1</v>
      </c>
      <c r="AG869" s="8">
        <v>1</v>
      </c>
      <c r="AH869" s="9">
        <v>0</v>
      </c>
      <c r="AI869" s="30">
        <v>0</v>
      </c>
      <c r="AJ869" s="9">
        <v>0</v>
      </c>
      <c r="AK869" s="30">
        <v>1</v>
      </c>
      <c r="AL869" s="21">
        <v>1995</v>
      </c>
      <c r="AM869" s="23">
        <f t="shared" si="254"/>
        <v>7.5983993293239642</v>
      </c>
      <c r="AN869" s="33" t="s">
        <v>104</v>
      </c>
      <c r="AO869" s="33" t="s">
        <v>104</v>
      </c>
      <c r="AP869" s="33" t="s">
        <v>104</v>
      </c>
      <c r="AQ869" s="43" t="s">
        <v>104</v>
      </c>
      <c r="AR869" s="42" t="s">
        <v>104</v>
      </c>
      <c r="AS869" s="18" t="s">
        <v>104</v>
      </c>
      <c r="AT869" s="33" t="s">
        <v>104</v>
      </c>
      <c r="AU869" s="40" t="s">
        <v>104</v>
      </c>
      <c r="AV869" t="s">
        <v>104</v>
      </c>
      <c r="AW869" s="40" t="s">
        <v>104</v>
      </c>
      <c r="AX869">
        <v>0</v>
      </c>
      <c r="AY869" s="18">
        <v>1</v>
      </c>
      <c r="AZ869" t="s">
        <v>104</v>
      </c>
      <c r="BA869" s="18" t="s">
        <v>104</v>
      </c>
      <c r="BB869" s="18" t="s">
        <v>10</v>
      </c>
      <c r="BC869">
        <v>0</v>
      </c>
      <c r="BD869">
        <v>0</v>
      </c>
      <c r="BE869">
        <v>0</v>
      </c>
      <c r="BF869">
        <v>0</v>
      </c>
      <c r="BG869">
        <v>0</v>
      </c>
      <c r="BH869" s="18">
        <v>1</v>
      </c>
      <c r="BI869">
        <v>0</v>
      </c>
      <c r="BJ869">
        <v>0</v>
      </c>
      <c r="BK869" s="18">
        <v>1</v>
      </c>
      <c r="BL869">
        <v>19.583333333333329</v>
      </c>
      <c r="BM869">
        <v>1.03</v>
      </c>
      <c r="BN869" s="25">
        <v>36.799999999999997</v>
      </c>
      <c r="BO869">
        <v>1</v>
      </c>
      <c r="BP869">
        <v>0</v>
      </c>
      <c r="BQ869">
        <v>0</v>
      </c>
      <c r="BR869">
        <v>0</v>
      </c>
      <c r="BS869">
        <v>0</v>
      </c>
      <c r="BT869">
        <v>0</v>
      </c>
      <c r="BU869">
        <v>0</v>
      </c>
      <c r="BV869" s="18">
        <v>0</v>
      </c>
      <c r="BW869">
        <v>1</v>
      </c>
      <c r="BX869">
        <v>0</v>
      </c>
      <c r="BY869">
        <v>0</v>
      </c>
      <c r="BZ869" s="18">
        <v>0</v>
      </c>
      <c r="CA869">
        <v>0</v>
      </c>
      <c r="CB869">
        <v>0</v>
      </c>
      <c r="CC869">
        <v>0</v>
      </c>
      <c r="CD869">
        <v>0</v>
      </c>
      <c r="CE869">
        <v>0</v>
      </c>
      <c r="CF869" s="18">
        <v>0</v>
      </c>
      <c r="CG869">
        <v>0</v>
      </c>
      <c r="CH869">
        <v>0</v>
      </c>
      <c r="CI869">
        <v>1</v>
      </c>
      <c r="CJ869">
        <v>1</v>
      </c>
      <c r="CK869">
        <v>0</v>
      </c>
      <c r="CL869">
        <v>0</v>
      </c>
      <c r="CM869">
        <v>1</v>
      </c>
      <c r="CN869">
        <v>0</v>
      </c>
      <c r="CO869">
        <v>0</v>
      </c>
      <c r="CP869">
        <v>0</v>
      </c>
      <c r="CQ869" s="18">
        <v>0</v>
      </c>
      <c r="CR869">
        <v>0</v>
      </c>
      <c r="CS869">
        <v>2</v>
      </c>
      <c r="CT869">
        <v>0</v>
      </c>
      <c r="CU869">
        <v>1</v>
      </c>
      <c r="CV869">
        <v>27</v>
      </c>
      <c r="DB869" s="34"/>
    </row>
    <row r="870" spans="1:106" x14ac:dyDescent="0.25">
      <c r="A870">
        <v>869</v>
      </c>
      <c r="B870">
        <v>59</v>
      </c>
      <c r="C870" s="25" t="s">
        <v>4073</v>
      </c>
      <c r="D870" s="12">
        <v>7.2</v>
      </c>
      <c r="E870" s="14">
        <v>1.6</v>
      </c>
      <c r="F870" s="7">
        <f t="shared" si="257"/>
        <v>4.5</v>
      </c>
      <c r="G870" s="7">
        <f t="shared" si="245"/>
        <v>5.6</v>
      </c>
      <c r="H870" s="16">
        <f t="shared" si="246"/>
        <v>8.8000000000000007</v>
      </c>
      <c r="I870" s="11">
        <f t="shared" si="247"/>
        <v>0.14514241246434065</v>
      </c>
      <c r="J870" s="33">
        <f t="shared" si="248"/>
        <v>3.2253869436520144E-2</v>
      </c>
      <c r="K870" s="33">
        <f t="shared" si="249"/>
        <v>31.004031995854994</v>
      </c>
      <c r="L870" s="33">
        <f t="shared" si="250"/>
        <v>0.1128885430278205</v>
      </c>
      <c r="M870" s="33">
        <f t="shared" si="251"/>
        <v>0.17739628190086079</v>
      </c>
      <c r="N870" s="8">
        <v>0</v>
      </c>
      <c r="O870" s="9">
        <v>1</v>
      </c>
      <c r="P870" s="8">
        <v>0</v>
      </c>
      <c r="Q870" s="9">
        <v>0</v>
      </c>
      <c r="R870" s="9">
        <v>0</v>
      </c>
      <c r="S870" s="9">
        <v>1</v>
      </c>
      <c r="T870" s="9">
        <v>0</v>
      </c>
      <c r="U870" s="8">
        <v>948</v>
      </c>
      <c r="V870" s="9">
        <v>6</v>
      </c>
      <c r="W870" s="9">
        <f t="shared" si="252"/>
        <v>941</v>
      </c>
      <c r="X870" s="9">
        <f t="shared" si="253"/>
        <v>12</v>
      </c>
      <c r="Y870" s="7">
        <v>10.6</v>
      </c>
      <c r="Z870" s="7">
        <v>20.3</v>
      </c>
      <c r="AA870" s="9">
        <v>1</v>
      </c>
      <c r="AB870" s="9">
        <v>0</v>
      </c>
      <c r="AC870" s="9">
        <v>0</v>
      </c>
      <c r="AD870" s="9">
        <v>0</v>
      </c>
      <c r="AE870" s="9">
        <v>0</v>
      </c>
      <c r="AF870" s="9">
        <v>1</v>
      </c>
      <c r="AG870" s="8">
        <v>1</v>
      </c>
      <c r="AH870" s="9">
        <v>0</v>
      </c>
      <c r="AI870" s="30">
        <v>0</v>
      </c>
      <c r="AJ870" s="9">
        <v>0</v>
      </c>
      <c r="AK870" s="30">
        <v>1</v>
      </c>
      <c r="AL870" s="21">
        <v>1995</v>
      </c>
      <c r="AM870" s="23">
        <f t="shared" si="254"/>
        <v>7.5983993293239642</v>
      </c>
      <c r="AN870" s="33" t="s">
        <v>104</v>
      </c>
      <c r="AO870" s="33" t="s">
        <v>104</v>
      </c>
      <c r="AP870" s="33" t="s">
        <v>104</v>
      </c>
      <c r="AQ870" s="43" t="s">
        <v>104</v>
      </c>
      <c r="AR870" s="42" t="s">
        <v>104</v>
      </c>
      <c r="AS870" s="18" t="s">
        <v>104</v>
      </c>
      <c r="AT870" s="33" t="s">
        <v>104</v>
      </c>
      <c r="AU870" s="40" t="s">
        <v>104</v>
      </c>
      <c r="AV870" t="s">
        <v>104</v>
      </c>
      <c r="AW870" s="40" t="s">
        <v>104</v>
      </c>
      <c r="AX870">
        <v>0</v>
      </c>
      <c r="AY870" s="18">
        <v>1</v>
      </c>
      <c r="AZ870" t="s">
        <v>104</v>
      </c>
      <c r="BA870" s="18" t="s">
        <v>104</v>
      </c>
      <c r="BB870" s="18" t="s">
        <v>10</v>
      </c>
      <c r="BC870">
        <v>0</v>
      </c>
      <c r="BD870">
        <v>0</v>
      </c>
      <c r="BE870">
        <v>0</v>
      </c>
      <c r="BF870">
        <v>0</v>
      </c>
      <c r="BG870">
        <v>0</v>
      </c>
      <c r="BH870" s="18">
        <v>1</v>
      </c>
      <c r="BI870">
        <v>0</v>
      </c>
      <c r="BJ870">
        <v>0</v>
      </c>
      <c r="BK870" s="18">
        <v>1</v>
      </c>
      <c r="BL870">
        <v>19.583333333333329</v>
      </c>
      <c r="BM870">
        <v>1.03</v>
      </c>
      <c r="BN870" s="25">
        <v>36.799999999999997</v>
      </c>
      <c r="BO870">
        <v>0</v>
      </c>
      <c r="BP870">
        <v>0</v>
      </c>
      <c r="BQ870">
        <v>0</v>
      </c>
      <c r="BR870">
        <v>1</v>
      </c>
      <c r="BS870">
        <v>0</v>
      </c>
      <c r="BT870">
        <v>0</v>
      </c>
      <c r="BU870">
        <v>0</v>
      </c>
      <c r="BV870" s="18">
        <v>0</v>
      </c>
      <c r="BW870">
        <v>1</v>
      </c>
      <c r="BX870">
        <v>0</v>
      </c>
      <c r="BY870">
        <v>0</v>
      </c>
      <c r="BZ870" s="18">
        <v>0</v>
      </c>
      <c r="CA870">
        <v>0</v>
      </c>
      <c r="CB870">
        <v>0</v>
      </c>
      <c r="CC870">
        <v>0</v>
      </c>
      <c r="CD870">
        <v>0</v>
      </c>
      <c r="CE870">
        <v>0</v>
      </c>
      <c r="CF870" s="18">
        <v>0</v>
      </c>
      <c r="CG870">
        <v>0</v>
      </c>
      <c r="CH870">
        <v>0</v>
      </c>
      <c r="CI870">
        <v>1</v>
      </c>
      <c r="CJ870">
        <v>1</v>
      </c>
      <c r="CK870">
        <v>0</v>
      </c>
      <c r="CL870">
        <v>0</v>
      </c>
      <c r="CM870">
        <v>1</v>
      </c>
      <c r="CN870">
        <v>0</v>
      </c>
      <c r="CO870">
        <v>0</v>
      </c>
      <c r="CP870">
        <v>1</v>
      </c>
      <c r="CQ870" s="18">
        <v>0</v>
      </c>
      <c r="CR870">
        <v>0</v>
      </c>
      <c r="CS870">
        <v>2</v>
      </c>
      <c r="CT870">
        <v>0</v>
      </c>
      <c r="CU870">
        <v>1</v>
      </c>
      <c r="CV870">
        <v>27</v>
      </c>
      <c r="DB870" s="34"/>
    </row>
    <row r="871" spans="1:106" x14ac:dyDescent="0.25">
      <c r="A871">
        <v>870</v>
      </c>
      <c r="B871">
        <v>60</v>
      </c>
      <c r="C871" s="25" t="s">
        <v>4080</v>
      </c>
      <c r="D871" s="12">
        <v>7.22</v>
      </c>
      <c r="E871" s="14">
        <v>0.08</v>
      </c>
      <c r="F871" s="7">
        <f t="shared" si="257"/>
        <v>90.25</v>
      </c>
      <c r="G871" s="7">
        <f t="shared" si="245"/>
        <v>7.14</v>
      </c>
      <c r="H871" s="16">
        <f t="shared" si="246"/>
        <v>7.3</v>
      </c>
      <c r="I871" s="11">
        <f t="shared" si="247"/>
        <v>0.25320966566246955</v>
      </c>
      <c r="J871" s="33">
        <f t="shared" si="248"/>
        <v>2.8056472649581115E-3</v>
      </c>
      <c r="K871" s="33">
        <f t="shared" si="249"/>
        <v>356.42399259870257</v>
      </c>
      <c r="L871" s="33">
        <f t="shared" si="250"/>
        <v>0.25040401839751142</v>
      </c>
      <c r="M871" s="33">
        <f t="shared" si="251"/>
        <v>0.25601531292742769</v>
      </c>
      <c r="N871" s="8">
        <v>0</v>
      </c>
      <c r="O871" s="9">
        <v>1</v>
      </c>
      <c r="P871" s="8">
        <v>0</v>
      </c>
      <c r="Q871" s="9">
        <v>0</v>
      </c>
      <c r="R871" s="9">
        <v>1</v>
      </c>
      <c r="S871" s="9">
        <v>0</v>
      </c>
      <c r="T871" s="9">
        <v>0</v>
      </c>
      <c r="U871" s="8">
        <v>118899</v>
      </c>
      <c r="V871" s="9">
        <v>5</v>
      </c>
      <c r="W871" s="9">
        <f t="shared" si="252"/>
        <v>118893</v>
      </c>
      <c r="X871" s="9">
        <f t="shared" si="253"/>
        <v>15</v>
      </c>
      <c r="Y871" s="7">
        <v>13.5</v>
      </c>
      <c r="Z871" s="7">
        <v>20.399999999999999</v>
      </c>
      <c r="AA871" s="9">
        <v>1</v>
      </c>
      <c r="AB871" s="9">
        <v>0</v>
      </c>
      <c r="AC871" s="9">
        <v>0</v>
      </c>
      <c r="AD871" s="9">
        <v>0</v>
      </c>
      <c r="AE871" s="9">
        <v>0</v>
      </c>
      <c r="AF871" s="9">
        <v>1</v>
      </c>
      <c r="AG871" s="8">
        <v>0</v>
      </c>
      <c r="AH871" s="9">
        <v>1</v>
      </c>
      <c r="AI871" s="30">
        <v>0</v>
      </c>
      <c r="AJ871" s="9">
        <v>0</v>
      </c>
      <c r="AK871" s="30">
        <v>1</v>
      </c>
      <c r="AL871" s="21">
        <v>2009</v>
      </c>
      <c r="AM871" s="23">
        <f t="shared" si="25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1</v>
      </c>
      <c r="BP871">
        <v>0</v>
      </c>
      <c r="BQ871">
        <v>0</v>
      </c>
      <c r="BR871">
        <v>0</v>
      </c>
      <c r="BS871">
        <v>0</v>
      </c>
      <c r="BT871">
        <v>0</v>
      </c>
      <c r="BU871">
        <v>0</v>
      </c>
      <c r="BV871" s="18">
        <v>0</v>
      </c>
      <c r="BW871">
        <v>0</v>
      </c>
      <c r="BX871">
        <v>0</v>
      </c>
      <c r="BY871">
        <v>1</v>
      </c>
      <c r="BZ871" s="18">
        <v>0</v>
      </c>
      <c r="CA871">
        <v>0</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24</v>
      </c>
      <c r="DB871" s="34"/>
    </row>
    <row r="872" spans="1:106" x14ac:dyDescent="0.25">
      <c r="A872">
        <v>871</v>
      </c>
      <c r="B872">
        <v>60</v>
      </c>
      <c r="C872" s="25" t="s">
        <v>4080</v>
      </c>
      <c r="D872" s="12">
        <v>7.43</v>
      </c>
      <c r="E872" s="14">
        <v>0.06</v>
      </c>
      <c r="F872" s="7">
        <f t="shared" si="257"/>
        <v>123.83333333333333</v>
      </c>
      <c r="G872" s="7">
        <f t="shared" si="245"/>
        <v>7.37</v>
      </c>
      <c r="H872" s="16">
        <f t="shared" si="246"/>
        <v>7.4899999999999993</v>
      </c>
      <c r="I872" s="11">
        <f t="shared" si="247"/>
        <v>0.28926572343898205</v>
      </c>
      <c r="J872" s="33">
        <f t="shared" si="248"/>
        <v>2.3359277801263691E-3</v>
      </c>
      <c r="K872" s="33">
        <f t="shared" si="249"/>
        <v>428.09542679692862</v>
      </c>
      <c r="L872" s="33">
        <f t="shared" si="250"/>
        <v>0.28692979565885568</v>
      </c>
      <c r="M872" s="33">
        <f t="shared" si="251"/>
        <v>0.29160165121910842</v>
      </c>
      <c r="N872" s="8">
        <v>0</v>
      </c>
      <c r="O872" s="9">
        <v>1</v>
      </c>
      <c r="P872" s="8">
        <v>0</v>
      </c>
      <c r="Q872" s="9">
        <v>0</v>
      </c>
      <c r="R872" s="9">
        <v>1</v>
      </c>
      <c r="S872" s="9">
        <v>0</v>
      </c>
      <c r="T872" s="9">
        <v>0</v>
      </c>
      <c r="U872" s="8">
        <v>167937</v>
      </c>
      <c r="V872" s="9">
        <v>5</v>
      </c>
      <c r="W872" s="9">
        <f t="shared" si="252"/>
        <v>167931</v>
      </c>
      <c r="X872" s="9">
        <f t="shared" si="253"/>
        <v>15</v>
      </c>
      <c r="Y872" s="7">
        <v>13.5</v>
      </c>
      <c r="Z872" s="7">
        <v>20.399999999999999</v>
      </c>
      <c r="AA872" s="9">
        <v>1</v>
      </c>
      <c r="AB872" s="9">
        <v>0</v>
      </c>
      <c r="AC872" s="9">
        <v>0</v>
      </c>
      <c r="AD872" s="9">
        <v>0</v>
      </c>
      <c r="AE872" s="9">
        <v>0</v>
      </c>
      <c r="AF872" s="9">
        <v>1</v>
      </c>
      <c r="AG872" s="8">
        <v>0</v>
      </c>
      <c r="AH872" s="9">
        <v>1</v>
      </c>
      <c r="AI872" s="30">
        <v>0</v>
      </c>
      <c r="AJ872" s="9">
        <v>0</v>
      </c>
      <c r="AK872" s="30">
        <v>1</v>
      </c>
      <c r="AL872" s="21">
        <v>2009</v>
      </c>
      <c r="AM872" s="23">
        <f t="shared" si="25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1</v>
      </c>
      <c r="BU872">
        <v>0</v>
      </c>
      <c r="BV872" s="18">
        <v>0</v>
      </c>
      <c r="BW872">
        <v>0</v>
      </c>
      <c r="BX872">
        <v>0</v>
      </c>
      <c r="BY872">
        <v>1</v>
      </c>
      <c r="BZ872" s="18">
        <v>0</v>
      </c>
      <c r="CA872">
        <v>0</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24</v>
      </c>
      <c r="DB872" s="34"/>
    </row>
    <row r="873" spans="1:106" x14ac:dyDescent="0.25">
      <c r="A873">
        <v>872</v>
      </c>
      <c r="B873">
        <v>60</v>
      </c>
      <c r="C873" s="25" t="s">
        <v>4080</v>
      </c>
      <c r="D873" s="12">
        <v>7.99</v>
      </c>
      <c r="E873" s="14">
        <v>0.2</v>
      </c>
      <c r="F873" s="7">
        <f t="shared" si="257"/>
        <v>39.949999999999996</v>
      </c>
      <c r="G873" s="7">
        <f t="shared" si="245"/>
        <v>7.79</v>
      </c>
      <c r="H873" s="16">
        <f t="shared" si="246"/>
        <v>8.19</v>
      </c>
      <c r="I873" s="11">
        <f t="shared" si="247"/>
        <v>0.17914437518349499</v>
      </c>
      <c r="J873" s="33">
        <f t="shared" si="248"/>
        <v>4.4842146478972474E-3</v>
      </c>
      <c r="K873" s="33">
        <f t="shared" si="249"/>
        <v>223.00448986511458</v>
      </c>
      <c r="L873" s="33">
        <f t="shared" si="250"/>
        <v>0.17466016053559774</v>
      </c>
      <c r="M873" s="33">
        <f t="shared" si="251"/>
        <v>0.18362858983139224</v>
      </c>
      <c r="N873" s="8">
        <v>0</v>
      </c>
      <c r="O873" s="9">
        <v>1</v>
      </c>
      <c r="P873" s="8">
        <v>0</v>
      </c>
      <c r="Q873" s="9">
        <v>0</v>
      </c>
      <c r="R873" s="9">
        <v>1</v>
      </c>
      <c r="S873" s="9">
        <v>0</v>
      </c>
      <c r="T873" s="9">
        <v>0</v>
      </c>
      <c r="U873" s="8">
        <v>48141</v>
      </c>
      <c r="V873" s="9">
        <v>5</v>
      </c>
      <c r="W873" s="9">
        <f t="shared" si="252"/>
        <v>48135</v>
      </c>
      <c r="X873" s="9">
        <f t="shared" si="253"/>
        <v>15</v>
      </c>
      <c r="Y873" s="7">
        <v>13.5</v>
      </c>
      <c r="Z873" s="7">
        <v>20.399999999999999</v>
      </c>
      <c r="AA873" s="9">
        <v>1</v>
      </c>
      <c r="AB873" s="9">
        <v>0</v>
      </c>
      <c r="AC873" s="9">
        <v>0</v>
      </c>
      <c r="AD873" s="9">
        <v>0</v>
      </c>
      <c r="AE873" s="9">
        <v>0</v>
      </c>
      <c r="AF873" s="9">
        <v>1</v>
      </c>
      <c r="AG873" s="8">
        <v>0</v>
      </c>
      <c r="AH873" s="9">
        <v>1</v>
      </c>
      <c r="AI873" s="30">
        <v>0</v>
      </c>
      <c r="AJ873" s="9">
        <v>0</v>
      </c>
      <c r="AK873" s="30">
        <v>1</v>
      </c>
      <c r="AL873" s="21">
        <v>2009</v>
      </c>
      <c r="AM873" s="23">
        <f t="shared" si="25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1</v>
      </c>
      <c r="BP873">
        <v>0</v>
      </c>
      <c r="BQ873">
        <v>0</v>
      </c>
      <c r="BR873">
        <v>0</v>
      </c>
      <c r="BS873">
        <v>0</v>
      </c>
      <c r="BT873">
        <v>0</v>
      </c>
      <c r="BU873">
        <v>0</v>
      </c>
      <c r="BV873" s="18">
        <v>0</v>
      </c>
      <c r="BW873">
        <v>0</v>
      </c>
      <c r="BX873">
        <v>0</v>
      </c>
      <c r="BY873">
        <v>1</v>
      </c>
      <c r="BZ873" s="18">
        <v>0</v>
      </c>
      <c r="CA873">
        <v>0</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24</v>
      </c>
      <c r="DB873" s="34"/>
    </row>
    <row r="874" spans="1:106" x14ac:dyDescent="0.25">
      <c r="A874">
        <v>873</v>
      </c>
      <c r="B874">
        <v>60</v>
      </c>
      <c r="C874" s="25" t="s">
        <v>4080</v>
      </c>
      <c r="D874" s="12">
        <v>4.32</v>
      </c>
      <c r="E874" s="14">
        <v>0.19</v>
      </c>
      <c r="F874" s="7">
        <f t="shared" si="257"/>
        <v>22.736842105263158</v>
      </c>
      <c r="G874" s="7">
        <f t="shared" si="245"/>
        <v>4.13</v>
      </c>
      <c r="H874" s="16">
        <f t="shared" si="246"/>
        <v>4.5100000000000007</v>
      </c>
      <c r="I874" s="11">
        <f t="shared" si="247"/>
        <v>8.5168681316683814E-2</v>
      </c>
      <c r="J874" s="33">
        <f t="shared" si="248"/>
        <v>3.7458447801319269E-3</v>
      </c>
      <c r="K874" s="33">
        <f t="shared" si="249"/>
        <v>266.96247674330499</v>
      </c>
      <c r="L874" s="33">
        <f t="shared" si="250"/>
        <v>8.1422836536551885E-2</v>
      </c>
      <c r="M874" s="33">
        <f t="shared" si="251"/>
        <v>8.8914526096815744E-2</v>
      </c>
      <c r="N874" s="8">
        <v>0</v>
      </c>
      <c r="O874" s="9">
        <v>1</v>
      </c>
      <c r="P874" s="8">
        <v>0</v>
      </c>
      <c r="Q874" s="9">
        <v>0</v>
      </c>
      <c r="R874" s="9">
        <v>1</v>
      </c>
      <c r="S874" s="9">
        <v>0</v>
      </c>
      <c r="T874" s="9">
        <v>0</v>
      </c>
      <c r="U874" s="8">
        <v>70758</v>
      </c>
      <c r="V874" s="9">
        <v>5</v>
      </c>
      <c r="W874" s="9">
        <f t="shared" si="252"/>
        <v>70752</v>
      </c>
      <c r="X874" s="9">
        <f t="shared" si="253"/>
        <v>15</v>
      </c>
      <c r="Y874" s="7">
        <v>13.5</v>
      </c>
      <c r="Z874" s="7">
        <v>20.399999999999999</v>
      </c>
      <c r="AA874" s="9">
        <v>1</v>
      </c>
      <c r="AB874" s="9">
        <v>0</v>
      </c>
      <c r="AC874" s="9">
        <v>0</v>
      </c>
      <c r="AD874" s="9">
        <v>0</v>
      </c>
      <c r="AE874" s="9">
        <v>0</v>
      </c>
      <c r="AF874" s="9">
        <v>1</v>
      </c>
      <c r="AG874" s="8">
        <v>0</v>
      </c>
      <c r="AH874" s="9">
        <v>1</v>
      </c>
      <c r="AI874" s="30">
        <v>0</v>
      </c>
      <c r="AJ874" s="9">
        <v>0</v>
      </c>
      <c r="AK874" s="30">
        <v>1</v>
      </c>
      <c r="AL874" s="21">
        <v>2009</v>
      </c>
      <c r="AM874" s="23">
        <f t="shared" si="25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1</v>
      </c>
      <c r="BP874">
        <v>0</v>
      </c>
      <c r="BQ874">
        <v>0</v>
      </c>
      <c r="BR874">
        <v>0</v>
      </c>
      <c r="BS874">
        <v>0</v>
      </c>
      <c r="BT874">
        <v>0</v>
      </c>
      <c r="BU874">
        <v>0</v>
      </c>
      <c r="BV874" s="18">
        <v>0</v>
      </c>
      <c r="BW874">
        <v>0</v>
      </c>
      <c r="BX874">
        <v>0</v>
      </c>
      <c r="BY874">
        <v>1</v>
      </c>
      <c r="BZ874" s="18">
        <v>0</v>
      </c>
      <c r="CA874">
        <v>0</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24</v>
      </c>
      <c r="DB874" s="34"/>
    </row>
    <row r="875" spans="1:106" x14ac:dyDescent="0.25">
      <c r="A875">
        <v>874</v>
      </c>
      <c r="B875">
        <v>60</v>
      </c>
      <c r="C875" s="25" t="s">
        <v>4080</v>
      </c>
      <c r="D875" s="12">
        <v>6.36</v>
      </c>
      <c r="E875" s="14">
        <v>0.14000000000000001</v>
      </c>
      <c r="F875" s="7">
        <f t="shared" si="257"/>
        <v>45.428571428571423</v>
      </c>
      <c r="G875" s="7">
        <f t="shared" si="245"/>
        <v>6.2200000000000006</v>
      </c>
      <c r="H875" s="16">
        <f t="shared" si="246"/>
        <v>6.5</v>
      </c>
      <c r="I875" s="11">
        <f t="shared" si="247"/>
        <v>0.21046241267144386</v>
      </c>
      <c r="J875" s="33">
        <f t="shared" si="248"/>
        <v>4.632820404717318E-3</v>
      </c>
      <c r="K875" s="33">
        <f t="shared" si="249"/>
        <v>215.85123372832695</v>
      </c>
      <c r="L875" s="33">
        <f t="shared" si="250"/>
        <v>0.20582959226672654</v>
      </c>
      <c r="M875" s="33">
        <f t="shared" si="251"/>
        <v>0.21509523307616119</v>
      </c>
      <c r="N875" s="8">
        <v>0</v>
      </c>
      <c r="O875" s="9">
        <v>1</v>
      </c>
      <c r="P875" s="8">
        <v>0</v>
      </c>
      <c r="Q875" s="9">
        <v>0</v>
      </c>
      <c r="R875" s="9">
        <v>1</v>
      </c>
      <c r="S875" s="9">
        <v>0</v>
      </c>
      <c r="T875" s="9">
        <v>0</v>
      </c>
      <c r="U875" s="8">
        <v>44534</v>
      </c>
      <c r="V875" s="9">
        <v>5</v>
      </c>
      <c r="W875" s="9">
        <f t="shared" si="252"/>
        <v>44528</v>
      </c>
      <c r="X875" s="9">
        <f t="shared" si="253"/>
        <v>15</v>
      </c>
      <c r="Y875" s="7">
        <v>13.5</v>
      </c>
      <c r="Z875" s="7">
        <v>20.399999999999999</v>
      </c>
      <c r="AA875" s="9">
        <v>1</v>
      </c>
      <c r="AB875" s="9">
        <v>0</v>
      </c>
      <c r="AC875" s="9">
        <v>0</v>
      </c>
      <c r="AD875" s="9">
        <v>0</v>
      </c>
      <c r="AE875" s="9">
        <v>0</v>
      </c>
      <c r="AF875" s="9">
        <v>1</v>
      </c>
      <c r="AG875" s="8">
        <v>0</v>
      </c>
      <c r="AH875" s="9">
        <v>1</v>
      </c>
      <c r="AI875" s="30">
        <v>0</v>
      </c>
      <c r="AJ875" s="9">
        <v>0</v>
      </c>
      <c r="AK875" s="30">
        <v>1</v>
      </c>
      <c r="AL875" s="21">
        <v>2009</v>
      </c>
      <c r="AM875" s="23">
        <f t="shared" si="254"/>
        <v>7.6053923648149349</v>
      </c>
      <c r="AN875" s="33">
        <v>0.11799999999999999</v>
      </c>
      <c r="AO875" s="33">
        <v>0.11899999999999999</v>
      </c>
      <c r="AP875" s="33">
        <v>0.54600000000000004</v>
      </c>
      <c r="AQ875" s="43">
        <v>0.217</v>
      </c>
      <c r="AR875" s="42" t="s">
        <v>104</v>
      </c>
      <c r="AS875" s="18" t="s">
        <v>104</v>
      </c>
      <c r="AT875" s="33">
        <v>0.51</v>
      </c>
      <c r="AU875" s="40">
        <v>0.49</v>
      </c>
      <c r="AV875" t="s">
        <v>104</v>
      </c>
      <c r="AW875" s="40" t="s">
        <v>104</v>
      </c>
      <c r="AX875">
        <v>0</v>
      </c>
      <c r="AY875" s="18">
        <v>1</v>
      </c>
      <c r="AZ875" t="s">
        <v>104</v>
      </c>
      <c r="BA875" s="18" t="s">
        <v>104</v>
      </c>
      <c r="BB875" s="18" t="s">
        <v>2</v>
      </c>
      <c r="BC875">
        <v>1</v>
      </c>
      <c r="BD875">
        <v>0</v>
      </c>
      <c r="BE875">
        <v>0</v>
      </c>
      <c r="BF875">
        <v>0</v>
      </c>
      <c r="BG875">
        <v>0</v>
      </c>
      <c r="BH875" s="18">
        <v>0</v>
      </c>
      <c r="BI875">
        <v>1</v>
      </c>
      <c r="BJ875">
        <v>0</v>
      </c>
      <c r="BK875" s="18">
        <v>0</v>
      </c>
      <c r="BL875">
        <v>2538.666666666667</v>
      </c>
      <c r="BM875">
        <v>1600</v>
      </c>
      <c r="BN875" s="25">
        <v>38.9</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0</v>
      </c>
      <c r="CG875">
        <v>0</v>
      </c>
      <c r="CH875">
        <v>0</v>
      </c>
      <c r="CI875">
        <v>1</v>
      </c>
      <c r="CJ875">
        <v>1</v>
      </c>
      <c r="CK875">
        <v>0</v>
      </c>
      <c r="CL875">
        <v>1</v>
      </c>
      <c r="CM875">
        <v>1</v>
      </c>
      <c r="CN875">
        <v>0</v>
      </c>
      <c r="CO875">
        <v>0</v>
      </c>
      <c r="CP875">
        <v>0</v>
      </c>
      <c r="CQ875" s="18">
        <v>0</v>
      </c>
      <c r="CR875">
        <v>4.2000000000000003E-2</v>
      </c>
      <c r="CS875">
        <v>6</v>
      </c>
      <c r="CT875">
        <v>1</v>
      </c>
      <c r="CU875">
        <v>0</v>
      </c>
      <c r="CV875">
        <v>24</v>
      </c>
      <c r="DB875" s="34"/>
    </row>
    <row r="876" spans="1:106" x14ac:dyDescent="0.25">
      <c r="A876">
        <v>875</v>
      </c>
      <c r="B876">
        <v>60</v>
      </c>
      <c r="C876" s="25" t="s">
        <v>4080</v>
      </c>
      <c r="D876" s="12">
        <v>4.1100000000000003</v>
      </c>
      <c r="E876" s="14">
        <v>0.12</v>
      </c>
      <c r="F876" s="7">
        <f t="shared" si="257"/>
        <v>34.250000000000007</v>
      </c>
      <c r="G876" s="7">
        <f t="shared" si="245"/>
        <v>3.99</v>
      </c>
      <c r="H876" s="16">
        <f t="shared" si="246"/>
        <v>4.2300000000000004</v>
      </c>
      <c r="I876" s="11">
        <f t="shared" si="247"/>
        <v>0.12462205370365272</v>
      </c>
      <c r="J876" s="33">
        <f t="shared" si="248"/>
        <v>3.638600108135845E-3</v>
      </c>
      <c r="K876" s="33">
        <f t="shared" si="249"/>
        <v>274.83097078022337</v>
      </c>
      <c r="L876" s="33">
        <f t="shared" si="250"/>
        <v>0.12098345359551688</v>
      </c>
      <c r="M876" s="33">
        <f t="shared" si="251"/>
        <v>0.12826065381178856</v>
      </c>
      <c r="N876" s="8">
        <v>0</v>
      </c>
      <c r="O876" s="9">
        <v>1</v>
      </c>
      <c r="P876" s="8">
        <v>0</v>
      </c>
      <c r="Q876" s="9">
        <v>0</v>
      </c>
      <c r="R876" s="9">
        <v>1</v>
      </c>
      <c r="S876" s="9">
        <v>0</v>
      </c>
      <c r="T876" s="9">
        <v>0</v>
      </c>
      <c r="U876" s="8">
        <v>74365</v>
      </c>
      <c r="V876" s="9">
        <v>5</v>
      </c>
      <c r="W876" s="9">
        <f t="shared" si="252"/>
        <v>74359</v>
      </c>
      <c r="X876" s="9">
        <f t="shared" si="253"/>
        <v>15</v>
      </c>
      <c r="Y876" s="7">
        <v>13.5</v>
      </c>
      <c r="Z876" s="7">
        <v>20.399999999999999</v>
      </c>
      <c r="AA876" s="9">
        <v>1</v>
      </c>
      <c r="AB876" s="9">
        <v>0</v>
      </c>
      <c r="AC876" s="9">
        <v>0</v>
      </c>
      <c r="AD876" s="9">
        <v>0</v>
      </c>
      <c r="AE876" s="9">
        <v>0</v>
      </c>
      <c r="AF876" s="9">
        <v>1</v>
      </c>
      <c r="AG876" s="8">
        <v>0</v>
      </c>
      <c r="AH876" s="9">
        <v>1</v>
      </c>
      <c r="AI876" s="30">
        <v>0</v>
      </c>
      <c r="AJ876" s="9">
        <v>0</v>
      </c>
      <c r="AK876" s="30">
        <v>1</v>
      </c>
      <c r="AL876" s="21">
        <v>2009</v>
      </c>
      <c r="AM876" s="23">
        <f t="shared" si="254"/>
        <v>7.6053923648149349</v>
      </c>
      <c r="AN876" s="33">
        <v>0.11799999999999999</v>
      </c>
      <c r="AO876" s="33">
        <v>0.11899999999999999</v>
      </c>
      <c r="AP876" s="33">
        <v>0.54600000000000004</v>
      </c>
      <c r="AQ876" s="43">
        <v>0.217</v>
      </c>
      <c r="AR876" s="42" t="s">
        <v>104</v>
      </c>
      <c r="AS876" s="18" t="s">
        <v>104</v>
      </c>
      <c r="AT876" s="33">
        <v>0.51</v>
      </c>
      <c r="AU876" s="40">
        <v>0.49</v>
      </c>
      <c r="AV876" t="s">
        <v>104</v>
      </c>
      <c r="AW876" s="40" t="s">
        <v>104</v>
      </c>
      <c r="AX876">
        <v>0</v>
      </c>
      <c r="AY876" s="18">
        <v>1</v>
      </c>
      <c r="AZ876" t="s">
        <v>104</v>
      </c>
      <c r="BA876" s="18" t="s">
        <v>104</v>
      </c>
      <c r="BB876" s="18" t="s">
        <v>2</v>
      </c>
      <c r="BC876">
        <v>1</v>
      </c>
      <c r="BD876">
        <v>0</v>
      </c>
      <c r="BE876">
        <v>0</v>
      </c>
      <c r="BF876">
        <v>0</v>
      </c>
      <c r="BG876">
        <v>0</v>
      </c>
      <c r="BH876" s="18">
        <v>0</v>
      </c>
      <c r="BI876">
        <v>1</v>
      </c>
      <c r="BJ876">
        <v>0</v>
      </c>
      <c r="BK876" s="18">
        <v>0</v>
      </c>
      <c r="BL876">
        <v>2538.666666666667</v>
      </c>
      <c r="BM876">
        <v>1600</v>
      </c>
      <c r="BN876" s="25">
        <v>38.9</v>
      </c>
      <c r="BO876">
        <v>1</v>
      </c>
      <c r="BP876">
        <v>0</v>
      </c>
      <c r="BQ876">
        <v>0</v>
      </c>
      <c r="BR876">
        <v>0</v>
      </c>
      <c r="BS876">
        <v>0</v>
      </c>
      <c r="BT876">
        <v>0</v>
      </c>
      <c r="BU876">
        <v>0</v>
      </c>
      <c r="BV876" s="18">
        <v>0</v>
      </c>
      <c r="BW876">
        <v>0</v>
      </c>
      <c r="BX876">
        <v>0</v>
      </c>
      <c r="BY876">
        <v>1</v>
      </c>
      <c r="BZ876" s="18">
        <v>0</v>
      </c>
      <c r="CA876">
        <v>0</v>
      </c>
      <c r="CB876">
        <v>0</v>
      </c>
      <c r="CC876">
        <v>0</v>
      </c>
      <c r="CD876">
        <v>0</v>
      </c>
      <c r="CE876">
        <v>0</v>
      </c>
      <c r="CF876" s="18">
        <v>0</v>
      </c>
      <c r="CG876">
        <v>0</v>
      </c>
      <c r="CH876">
        <v>0</v>
      </c>
      <c r="CI876">
        <v>1</v>
      </c>
      <c r="CJ876">
        <v>1</v>
      </c>
      <c r="CK876">
        <v>0</v>
      </c>
      <c r="CL876">
        <v>1</v>
      </c>
      <c r="CM876">
        <v>1</v>
      </c>
      <c r="CN876">
        <v>0</v>
      </c>
      <c r="CO876">
        <v>0</v>
      </c>
      <c r="CP876">
        <v>0</v>
      </c>
      <c r="CQ876" s="18">
        <v>0</v>
      </c>
      <c r="CR876">
        <v>4.2000000000000003E-2</v>
      </c>
      <c r="CS876">
        <v>6</v>
      </c>
      <c r="CT876">
        <v>1</v>
      </c>
      <c r="CU876">
        <v>0</v>
      </c>
      <c r="CV876">
        <v>24</v>
      </c>
      <c r="DB876" s="34"/>
    </row>
    <row r="877" spans="1:106" x14ac:dyDescent="0.25">
      <c r="A877">
        <v>876</v>
      </c>
      <c r="B877">
        <v>60</v>
      </c>
      <c r="C877" s="25" t="s">
        <v>4080</v>
      </c>
      <c r="D877" s="12">
        <v>8.17</v>
      </c>
      <c r="E877" s="14">
        <v>0.17</v>
      </c>
      <c r="F877" s="7">
        <f t="shared" si="257"/>
        <v>48.058823529411761</v>
      </c>
      <c r="G877" s="7">
        <f t="shared" si="245"/>
        <v>8</v>
      </c>
      <c r="H877" s="16">
        <f t="shared" si="246"/>
        <v>8.34</v>
      </c>
      <c r="I877" s="11">
        <f t="shared" si="247"/>
        <v>0.19129694933617142</v>
      </c>
      <c r="J877" s="33">
        <f t="shared" si="248"/>
        <v>3.9804750779864314E-3</v>
      </c>
      <c r="K877" s="33">
        <f t="shared" si="249"/>
        <v>251.22629344682679</v>
      </c>
      <c r="L877" s="33">
        <f t="shared" si="250"/>
        <v>0.18731647425818498</v>
      </c>
      <c r="M877" s="33">
        <f t="shared" si="251"/>
        <v>0.19527742441415785</v>
      </c>
      <c r="N877" s="8">
        <v>0</v>
      </c>
      <c r="O877" s="9">
        <v>1</v>
      </c>
      <c r="P877" s="8">
        <v>0</v>
      </c>
      <c r="Q877" s="9">
        <v>0</v>
      </c>
      <c r="R877" s="9">
        <v>1</v>
      </c>
      <c r="S877" s="9">
        <v>0</v>
      </c>
      <c r="T877" s="9">
        <v>0</v>
      </c>
      <c r="U877" s="8">
        <v>60811</v>
      </c>
      <c r="V877" s="9">
        <v>5</v>
      </c>
      <c r="W877" s="9">
        <f t="shared" si="252"/>
        <v>60805</v>
      </c>
      <c r="X877" s="9">
        <f t="shared" si="253"/>
        <v>15</v>
      </c>
      <c r="Y877" s="7">
        <v>13.5</v>
      </c>
      <c r="Z877" s="7">
        <v>20.399999999999999</v>
      </c>
      <c r="AA877" s="9">
        <v>1</v>
      </c>
      <c r="AB877" s="9">
        <v>0</v>
      </c>
      <c r="AC877" s="9">
        <v>0</v>
      </c>
      <c r="AD877" s="9">
        <v>0</v>
      </c>
      <c r="AE877" s="9">
        <v>0</v>
      </c>
      <c r="AF877" s="9">
        <v>1</v>
      </c>
      <c r="AG877" s="8">
        <v>0</v>
      </c>
      <c r="AH877" s="9">
        <v>1</v>
      </c>
      <c r="AI877" s="30">
        <v>0</v>
      </c>
      <c r="AJ877" s="9">
        <v>0</v>
      </c>
      <c r="AK877" s="30">
        <v>1</v>
      </c>
      <c r="AL877" s="21">
        <v>2009</v>
      </c>
      <c r="AM877" s="23">
        <f t="shared" si="254"/>
        <v>7.6053923648149349</v>
      </c>
      <c r="AN877" s="33">
        <v>0.11799999999999999</v>
      </c>
      <c r="AO877" s="33">
        <v>0.11899999999999999</v>
      </c>
      <c r="AP877" s="33">
        <v>0.54600000000000004</v>
      </c>
      <c r="AQ877" s="43">
        <v>0.217</v>
      </c>
      <c r="AR877" s="42" t="s">
        <v>104</v>
      </c>
      <c r="AS877" s="18" t="s">
        <v>104</v>
      </c>
      <c r="AT877" s="33">
        <v>0.51</v>
      </c>
      <c r="AU877" s="40">
        <v>0.49</v>
      </c>
      <c r="AV877" t="s">
        <v>104</v>
      </c>
      <c r="AW877" s="40" t="s">
        <v>104</v>
      </c>
      <c r="AX877">
        <v>0</v>
      </c>
      <c r="AY877" s="18">
        <v>1</v>
      </c>
      <c r="AZ877" t="s">
        <v>104</v>
      </c>
      <c r="BA877" s="18" t="s">
        <v>104</v>
      </c>
      <c r="BB877" s="18" t="s">
        <v>2</v>
      </c>
      <c r="BC877">
        <v>1</v>
      </c>
      <c r="BD877">
        <v>0</v>
      </c>
      <c r="BE877">
        <v>0</v>
      </c>
      <c r="BF877">
        <v>0</v>
      </c>
      <c r="BG877">
        <v>0</v>
      </c>
      <c r="BH877" s="18">
        <v>0</v>
      </c>
      <c r="BI877">
        <v>1</v>
      </c>
      <c r="BJ877">
        <v>0</v>
      </c>
      <c r="BK877" s="18">
        <v>0</v>
      </c>
      <c r="BL877">
        <v>2538.666666666667</v>
      </c>
      <c r="BM877">
        <v>1600</v>
      </c>
      <c r="BN877" s="25">
        <v>38.9</v>
      </c>
      <c r="BO877">
        <v>0</v>
      </c>
      <c r="BP877">
        <v>0</v>
      </c>
      <c r="BQ877">
        <v>0</v>
      </c>
      <c r="BR877">
        <v>0</v>
      </c>
      <c r="BS877">
        <v>0</v>
      </c>
      <c r="BT877">
        <v>1</v>
      </c>
      <c r="BU877">
        <v>0</v>
      </c>
      <c r="BV877" s="18">
        <v>0</v>
      </c>
      <c r="BW877">
        <v>0</v>
      </c>
      <c r="BX877">
        <v>0</v>
      </c>
      <c r="BY877">
        <v>1</v>
      </c>
      <c r="BZ877" s="18">
        <v>0</v>
      </c>
      <c r="CA877">
        <v>0</v>
      </c>
      <c r="CB877">
        <v>0</v>
      </c>
      <c r="CC877">
        <v>0</v>
      </c>
      <c r="CD877">
        <v>0</v>
      </c>
      <c r="CE877">
        <v>0</v>
      </c>
      <c r="CF877" s="18">
        <v>0</v>
      </c>
      <c r="CG877">
        <v>0</v>
      </c>
      <c r="CH877">
        <v>0</v>
      </c>
      <c r="CI877">
        <v>1</v>
      </c>
      <c r="CJ877">
        <v>1</v>
      </c>
      <c r="CK877">
        <v>0</v>
      </c>
      <c r="CL877">
        <v>1</v>
      </c>
      <c r="CM877">
        <v>1</v>
      </c>
      <c r="CN877">
        <v>0</v>
      </c>
      <c r="CO877">
        <v>0</v>
      </c>
      <c r="CP877">
        <v>0</v>
      </c>
      <c r="CQ877" s="18">
        <v>0</v>
      </c>
      <c r="CR877">
        <v>4.2000000000000003E-2</v>
      </c>
      <c r="CS877">
        <v>6</v>
      </c>
      <c r="CT877">
        <v>1</v>
      </c>
      <c r="CU877">
        <v>0</v>
      </c>
      <c r="CV877">
        <v>24</v>
      </c>
      <c r="DB877" s="34"/>
    </row>
    <row r="878" spans="1:106" x14ac:dyDescent="0.25">
      <c r="A878">
        <v>877</v>
      </c>
      <c r="B878">
        <v>60</v>
      </c>
      <c r="C878" s="25" t="s">
        <v>4080</v>
      </c>
      <c r="D878" s="12">
        <v>4.05</v>
      </c>
      <c r="E878" s="14">
        <v>0.14000000000000001</v>
      </c>
      <c r="F878" s="7">
        <f t="shared" si="257"/>
        <v>28.928571428571423</v>
      </c>
      <c r="G878" s="7">
        <f t="shared" si="245"/>
        <v>3.9099999999999997</v>
      </c>
      <c r="H878" s="16">
        <f t="shared" si="246"/>
        <v>4.1899999999999995</v>
      </c>
      <c r="I878" s="11">
        <f t="shared" si="247"/>
        <v>8.8044424868352289E-2</v>
      </c>
      <c r="J878" s="33">
        <f t="shared" si="248"/>
        <v>3.0435109831035367E-3</v>
      </c>
      <c r="K878" s="33">
        <f t="shared" si="249"/>
        <v>328.56789594374243</v>
      </c>
      <c r="L878" s="33">
        <f t="shared" si="250"/>
        <v>8.5000913885248747E-2</v>
      </c>
      <c r="M878" s="33">
        <f t="shared" si="251"/>
        <v>9.1087935851455831E-2</v>
      </c>
      <c r="N878" s="8">
        <v>0</v>
      </c>
      <c r="O878" s="9">
        <v>1</v>
      </c>
      <c r="P878" s="8">
        <v>0</v>
      </c>
      <c r="Q878" s="9">
        <v>0</v>
      </c>
      <c r="R878" s="9">
        <v>1</v>
      </c>
      <c r="S878" s="9">
        <v>0</v>
      </c>
      <c r="T878" s="9">
        <v>0</v>
      </c>
      <c r="U878" s="8">
        <v>107126</v>
      </c>
      <c r="V878" s="9">
        <v>5</v>
      </c>
      <c r="W878" s="9">
        <f t="shared" si="252"/>
        <v>107120</v>
      </c>
      <c r="X878" s="9">
        <f t="shared" si="253"/>
        <v>15</v>
      </c>
      <c r="Y878" s="7">
        <v>13.5</v>
      </c>
      <c r="Z878" s="7">
        <v>20.399999999999999</v>
      </c>
      <c r="AA878" s="9">
        <v>1</v>
      </c>
      <c r="AB878" s="9">
        <v>0</v>
      </c>
      <c r="AC878" s="9">
        <v>0</v>
      </c>
      <c r="AD878" s="9">
        <v>0</v>
      </c>
      <c r="AE878" s="9">
        <v>0</v>
      </c>
      <c r="AF878" s="9">
        <v>1</v>
      </c>
      <c r="AG878" s="8">
        <v>0</v>
      </c>
      <c r="AH878" s="9">
        <v>1</v>
      </c>
      <c r="AI878" s="30">
        <v>0</v>
      </c>
      <c r="AJ878" s="9">
        <v>0</v>
      </c>
      <c r="AK878" s="30">
        <v>1</v>
      </c>
      <c r="AL878" s="21">
        <v>2009</v>
      </c>
      <c r="AM878" s="23">
        <f t="shared" si="254"/>
        <v>7.6053923648149349</v>
      </c>
      <c r="AN878" s="33">
        <v>0.11799999999999999</v>
      </c>
      <c r="AO878" s="33">
        <v>0.11899999999999999</v>
      </c>
      <c r="AP878" s="33">
        <v>0.54600000000000004</v>
      </c>
      <c r="AQ878" s="43">
        <v>0.217</v>
      </c>
      <c r="AR878" s="42" t="s">
        <v>104</v>
      </c>
      <c r="AS878" s="18" t="s">
        <v>104</v>
      </c>
      <c r="AT878" s="33">
        <v>0.51</v>
      </c>
      <c r="AU878" s="40">
        <v>0.49</v>
      </c>
      <c r="AV878" t="s">
        <v>104</v>
      </c>
      <c r="AW878" s="40" t="s">
        <v>104</v>
      </c>
      <c r="AX878">
        <v>0</v>
      </c>
      <c r="AY878" s="18">
        <v>1</v>
      </c>
      <c r="AZ878" t="s">
        <v>104</v>
      </c>
      <c r="BA878" s="18" t="s">
        <v>104</v>
      </c>
      <c r="BB878" s="18" t="s">
        <v>2</v>
      </c>
      <c r="BC878">
        <v>1</v>
      </c>
      <c r="BD878">
        <v>0</v>
      </c>
      <c r="BE878">
        <v>0</v>
      </c>
      <c r="BF878">
        <v>0</v>
      </c>
      <c r="BG878">
        <v>0</v>
      </c>
      <c r="BH878" s="18">
        <v>0</v>
      </c>
      <c r="BI878">
        <v>1</v>
      </c>
      <c r="BJ878">
        <v>0</v>
      </c>
      <c r="BK878" s="18">
        <v>0</v>
      </c>
      <c r="BL878">
        <v>2538.666666666667</v>
      </c>
      <c r="BM878">
        <v>1600</v>
      </c>
      <c r="BN878" s="25">
        <v>38.9</v>
      </c>
      <c r="BO878">
        <v>0</v>
      </c>
      <c r="BP878">
        <v>0</v>
      </c>
      <c r="BQ878">
        <v>0</v>
      </c>
      <c r="BR878">
        <v>0</v>
      </c>
      <c r="BS878">
        <v>0</v>
      </c>
      <c r="BT878">
        <v>1</v>
      </c>
      <c r="BU878">
        <v>0</v>
      </c>
      <c r="BV878" s="18">
        <v>0</v>
      </c>
      <c r="BW878">
        <v>0</v>
      </c>
      <c r="BX878">
        <v>0</v>
      </c>
      <c r="BY878">
        <v>1</v>
      </c>
      <c r="BZ878" s="18">
        <v>0</v>
      </c>
      <c r="CA878">
        <v>0</v>
      </c>
      <c r="CB878">
        <v>0</v>
      </c>
      <c r="CC878">
        <v>0</v>
      </c>
      <c r="CD878">
        <v>0</v>
      </c>
      <c r="CE878">
        <v>0</v>
      </c>
      <c r="CF878" s="18">
        <v>0</v>
      </c>
      <c r="CG878">
        <v>0</v>
      </c>
      <c r="CH878">
        <v>0</v>
      </c>
      <c r="CI878">
        <v>1</v>
      </c>
      <c r="CJ878">
        <v>1</v>
      </c>
      <c r="CK878">
        <v>0</v>
      </c>
      <c r="CL878">
        <v>1</v>
      </c>
      <c r="CM878">
        <v>1</v>
      </c>
      <c r="CN878">
        <v>0</v>
      </c>
      <c r="CO878">
        <v>0</v>
      </c>
      <c r="CP878">
        <v>0</v>
      </c>
      <c r="CQ878" s="18">
        <v>0</v>
      </c>
      <c r="CR878">
        <v>4.2000000000000003E-2</v>
      </c>
      <c r="CS878">
        <v>6</v>
      </c>
      <c r="CT878">
        <v>1</v>
      </c>
      <c r="CU878">
        <v>0</v>
      </c>
      <c r="CV878">
        <v>24</v>
      </c>
      <c r="DB878" s="34"/>
    </row>
    <row r="879" spans="1:106" x14ac:dyDescent="0.25">
      <c r="A879">
        <v>878</v>
      </c>
      <c r="B879">
        <v>60</v>
      </c>
      <c r="C879" s="25" t="s">
        <v>4080</v>
      </c>
      <c r="D879" s="12">
        <v>6.74</v>
      </c>
      <c r="E879" s="14">
        <v>0.11</v>
      </c>
      <c r="F879" s="7">
        <f t="shared" si="257"/>
        <v>61.272727272727273</v>
      </c>
      <c r="G879" s="7">
        <f t="shared" si="245"/>
        <v>6.63</v>
      </c>
      <c r="H879" s="16">
        <f t="shared" si="246"/>
        <v>6.8500000000000005</v>
      </c>
      <c r="I879" s="11">
        <f t="shared" si="247"/>
        <v>0.26258316884075517</v>
      </c>
      <c r="J879" s="33">
        <f t="shared" si="248"/>
        <v>4.2854819840479333E-3</v>
      </c>
      <c r="K879" s="33">
        <f t="shared" si="249"/>
        <v>233.34598155408204</v>
      </c>
      <c r="L879" s="33">
        <f t="shared" si="250"/>
        <v>0.25829768685670723</v>
      </c>
      <c r="M879" s="33">
        <f t="shared" si="251"/>
        <v>0.2668686508248031</v>
      </c>
      <c r="N879" s="8">
        <v>0</v>
      </c>
      <c r="O879" s="9">
        <v>1</v>
      </c>
      <c r="P879" s="8">
        <v>0</v>
      </c>
      <c r="Q879" s="9">
        <v>0</v>
      </c>
      <c r="R879" s="9">
        <v>1</v>
      </c>
      <c r="S879" s="9">
        <v>0</v>
      </c>
      <c r="T879" s="9">
        <v>0</v>
      </c>
      <c r="U879" s="8">
        <v>50702</v>
      </c>
      <c r="V879" s="9">
        <v>5</v>
      </c>
      <c r="W879" s="9">
        <f t="shared" si="252"/>
        <v>50696</v>
      </c>
      <c r="X879" s="9">
        <f t="shared" si="253"/>
        <v>15</v>
      </c>
      <c r="Y879" s="7">
        <v>13.5</v>
      </c>
      <c r="Z879" s="7">
        <v>20.399999999999999</v>
      </c>
      <c r="AA879" s="9">
        <v>1</v>
      </c>
      <c r="AB879" s="9">
        <v>0</v>
      </c>
      <c r="AC879" s="9">
        <v>0</v>
      </c>
      <c r="AD879" s="9">
        <v>0</v>
      </c>
      <c r="AE879" s="9">
        <v>0</v>
      </c>
      <c r="AF879" s="9">
        <v>1</v>
      </c>
      <c r="AG879" s="8">
        <v>0</v>
      </c>
      <c r="AH879" s="9">
        <v>1</v>
      </c>
      <c r="AI879" s="30">
        <v>0</v>
      </c>
      <c r="AJ879" s="9">
        <v>0</v>
      </c>
      <c r="AK879" s="30">
        <v>1</v>
      </c>
      <c r="AL879" s="21">
        <v>2009</v>
      </c>
      <c r="AM879" s="23">
        <f t="shared" si="254"/>
        <v>7.6053923648149349</v>
      </c>
      <c r="AN879" s="33">
        <v>0.11799999999999999</v>
      </c>
      <c r="AO879" s="33">
        <v>0.11899999999999999</v>
      </c>
      <c r="AP879" s="33">
        <v>0.54600000000000004</v>
      </c>
      <c r="AQ879" s="43">
        <v>0.217</v>
      </c>
      <c r="AR879" s="42" t="s">
        <v>104</v>
      </c>
      <c r="AS879" s="18" t="s">
        <v>104</v>
      </c>
      <c r="AT879" s="33">
        <v>0.51</v>
      </c>
      <c r="AU879" s="40">
        <v>0.49</v>
      </c>
      <c r="AV879" t="s">
        <v>104</v>
      </c>
      <c r="AW879" s="40" t="s">
        <v>104</v>
      </c>
      <c r="AX879">
        <v>0</v>
      </c>
      <c r="AY879" s="18">
        <v>1</v>
      </c>
      <c r="AZ879" t="s">
        <v>104</v>
      </c>
      <c r="BA879" s="18" t="s">
        <v>104</v>
      </c>
      <c r="BB879" s="18" t="s">
        <v>2</v>
      </c>
      <c r="BC879">
        <v>1</v>
      </c>
      <c r="BD879">
        <v>0</v>
      </c>
      <c r="BE879">
        <v>0</v>
      </c>
      <c r="BF879">
        <v>0</v>
      </c>
      <c r="BG879">
        <v>0</v>
      </c>
      <c r="BH879" s="18">
        <v>0</v>
      </c>
      <c r="BI879">
        <v>1</v>
      </c>
      <c r="BJ879">
        <v>0</v>
      </c>
      <c r="BK879" s="18">
        <v>0</v>
      </c>
      <c r="BL879">
        <v>2538.666666666667</v>
      </c>
      <c r="BM879">
        <v>1600</v>
      </c>
      <c r="BN879" s="25">
        <v>38.9</v>
      </c>
      <c r="BO879">
        <v>0</v>
      </c>
      <c r="BP879">
        <v>0</v>
      </c>
      <c r="BQ879">
        <v>0</v>
      </c>
      <c r="BR879">
        <v>0</v>
      </c>
      <c r="BS879">
        <v>0</v>
      </c>
      <c r="BT879">
        <v>1</v>
      </c>
      <c r="BU879">
        <v>0</v>
      </c>
      <c r="BV879" s="18">
        <v>0</v>
      </c>
      <c r="BW879">
        <v>0</v>
      </c>
      <c r="BX879">
        <v>0</v>
      </c>
      <c r="BY879">
        <v>1</v>
      </c>
      <c r="BZ879" s="18">
        <v>0</v>
      </c>
      <c r="CA879">
        <v>0</v>
      </c>
      <c r="CB879">
        <v>0</v>
      </c>
      <c r="CC879">
        <v>0</v>
      </c>
      <c r="CD879">
        <v>0</v>
      </c>
      <c r="CE879">
        <v>0</v>
      </c>
      <c r="CF879" s="18">
        <v>0</v>
      </c>
      <c r="CG879">
        <v>0</v>
      </c>
      <c r="CH879">
        <v>0</v>
      </c>
      <c r="CI879">
        <v>1</v>
      </c>
      <c r="CJ879">
        <v>1</v>
      </c>
      <c r="CK879">
        <v>0</v>
      </c>
      <c r="CL879">
        <v>1</v>
      </c>
      <c r="CM879">
        <v>1</v>
      </c>
      <c r="CN879">
        <v>0</v>
      </c>
      <c r="CO879">
        <v>0</v>
      </c>
      <c r="CP879">
        <v>0</v>
      </c>
      <c r="CQ879" s="18">
        <v>0</v>
      </c>
      <c r="CR879">
        <v>4.2000000000000003E-2</v>
      </c>
      <c r="CS879">
        <v>6</v>
      </c>
      <c r="CT879">
        <v>1</v>
      </c>
      <c r="CU879">
        <v>0</v>
      </c>
      <c r="CV879">
        <v>24</v>
      </c>
      <c r="DB879" s="34"/>
    </row>
    <row r="880" spans="1:106" x14ac:dyDescent="0.25">
      <c r="A880">
        <v>879</v>
      </c>
      <c r="B880">
        <v>60</v>
      </c>
      <c r="C880" s="25" t="s">
        <v>4080</v>
      </c>
      <c r="D880" s="12">
        <v>4.0999999999999996</v>
      </c>
      <c r="E880" s="14">
        <v>0.08</v>
      </c>
      <c r="F880" s="7">
        <f t="shared" si="257"/>
        <v>51.249999999999993</v>
      </c>
      <c r="G880" s="7">
        <f t="shared" si="245"/>
        <v>4.0199999999999996</v>
      </c>
      <c r="H880" s="16">
        <f t="shared" si="246"/>
        <v>4.18</v>
      </c>
      <c r="I880" s="11">
        <f t="shared" si="247"/>
        <v>0.14803512423470547</v>
      </c>
      <c r="J880" s="33">
        <f t="shared" si="248"/>
        <v>2.8884902289698635E-3</v>
      </c>
      <c r="K880" s="33">
        <f t="shared" si="249"/>
        <v>346.20162116893675</v>
      </c>
      <c r="L880" s="33">
        <f t="shared" si="250"/>
        <v>0.1451466340057356</v>
      </c>
      <c r="M880" s="33">
        <f t="shared" si="251"/>
        <v>0.15092361446367533</v>
      </c>
      <c r="N880" s="8">
        <v>0</v>
      </c>
      <c r="O880" s="9">
        <v>1</v>
      </c>
      <c r="P880" s="8">
        <v>0</v>
      </c>
      <c r="Q880" s="9">
        <v>0</v>
      </c>
      <c r="R880" s="9">
        <v>1</v>
      </c>
      <c r="S880" s="9">
        <v>0</v>
      </c>
      <c r="T880" s="9">
        <v>0</v>
      </c>
      <c r="U880" s="8">
        <v>117235</v>
      </c>
      <c r="V880" s="9">
        <v>5</v>
      </c>
      <c r="W880" s="9">
        <f t="shared" si="252"/>
        <v>117229</v>
      </c>
      <c r="X880" s="9">
        <f t="shared" si="253"/>
        <v>15</v>
      </c>
      <c r="Y880" s="7">
        <v>13.5</v>
      </c>
      <c r="Z880" s="7">
        <v>20.399999999999999</v>
      </c>
      <c r="AA880" s="9">
        <v>1</v>
      </c>
      <c r="AB880" s="9">
        <v>0</v>
      </c>
      <c r="AC880" s="9">
        <v>0</v>
      </c>
      <c r="AD880" s="9">
        <v>0</v>
      </c>
      <c r="AE880" s="9">
        <v>0</v>
      </c>
      <c r="AF880" s="9">
        <v>1</v>
      </c>
      <c r="AG880" s="8">
        <v>0</v>
      </c>
      <c r="AH880" s="9">
        <v>1</v>
      </c>
      <c r="AI880" s="30">
        <v>0</v>
      </c>
      <c r="AJ880" s="9">
        <v>0</v>
      </c>
      <c r="AK880" s="30">
        <v>1</v>
      </c>
      <c r="AL880" s="21">
        <v>2009</v>
      </c>
      <c r="AM880" s="23">
        <f t="shared" si="254"/>
        <v>7.6053923648149349</v>
      </c>
      <c r="AN880" s="33">
        <v>0.11799999999999999</v>
      </c>
      <c r="AO880" s="33">
        <v>0.11899999999999999</v>
      </c>
      <c r="AP880" s="33">
        <v>0.54600000000000004</v>
      </c>
      <c r="AQ880" s="43">
        <v>0.217</v>
      </c>
      <c r="AR880" s="42" t="s">
        <v>104</v>
      </c>
      <c r="AS880" s="18" t="s">
        <v>104</v>
      </c>
      <c r="AT880" s="33">
        <v>0.51</v>
      </c>
      <c r="AU880" s="40">
        <v>0.49</v>
      </c>
      <c r="AV880" t="s">
        <v>104</v>
      </c>
      <c r="AW880" s="40" t="s">
        <v>104</v>
      </c>
      <c r="AX880">
        <v>0</v>
      </c>
      <c r="AY880" s="18">
        <v>1</v>
      </c>
      <c r="AZ880" t="s">
        <v>104</v>
      </c>
      <c r="BA880" s="18" t="s">
        <v>104</v>
      </c>
      <c r="BB880" s="18" t="s">
        <v>2</v>
      </c>
      <c r="BC880">
        <v>1</v>
      </c>
      <c r="BD880">
        <v>0</v>
      </c>
      <c r="BE880">
        <v>0</v>
      </c>
      <c r="BF880">
        <v>0</v>
      </c>
      <c r="BG880">
        <v>0</v>
      </c>
      <c r="BH880" s="18">
        <v>0</v>
      </c>
      <c r="BI880">
        <v>1</v>
      </c>
      <c r="BJ880">
        <v>0</v>
      </c>
      <c r="BK880" s="18">
        <v>0</v>
      </c>
      <c r="BL880">
        <v>2538.666666666667</v>
      </c>
      <c r="BM880">
        <v>1600</v>
      </c>
      <c r="BN880" s="25">
        <v>38.9</v>
      </c>
      <c r="BO880">
        <v>0</v>
      </c>
      <c r="BP880">
        <v>0</v>
      </c>
      <c r="BQ880">
        <v>0</v>
      </c>
      <c r="BR880">
        <v>0</v>
      </c>
      <c r="BS880">
        <v>0</v>
      </c>
      <c r="BT880">
        <v>1</v>
      </c>
      <c r="BU880">
        <v>0</v>
      </c>
      <c r="BV880" s="18">
        <v>0</v>
      </c>
      <c r="BW880">
        <v>0</v>
      </c>
      <c r="BX880">
        <v>0</v>
      </c>
      <c r="BY880">
        <v>1</v>
      </c>
      <c r="BZ880" s="18">
        <v>0</v>
      </c>
      <c r="CA880">
        <v>0</v>
      </c>
      <c r="CB880">
        <v>0</v>
      </c>
      <c r="CC880">
        <v>0</v>
      </c>
      <c r="CD880">
        <v>0</v>
      </c>
      <c r="CE880">
        <v>0</v>
      </c>
      <c r="CF880" s="18">
        <v>0</v>
      </c>
      <c r="CG880">
        <v>0</v>
      </c>
      <c r="CH880">
        <v>0</v>
      </c>
      <c r="CI880">
        <v>1</v>
      </c>
      <c r="CJ880">
        <v>1</v>
      </c>
      <c r="CK880">
        <v>0</v>
      </c>
      <c r="CL880">
        <v>1</v>
      </c>
      <c r="CM880">
        <v>1</v>
      </c>
      <c r="CN880">
        <v>0</v>
      </c>
      <c r="CO880">
        <v>0</v>
      </c>
      <c r="CP880">
        <v>0</v>
      </c>
      <c r="CQ880" s="18">
        <v>0</v>
      </c>
      <c r="CR880">
        <v>4.2000000000000003E-2</v>
      </c>
      <c r="CS880">
        <v>6</v>
      </c>
      <c r="CT880">
        <v>1</v>
      </c>
      <c r="CU880">
        <v>0</v>
      </c>
      <c r="CV880">
        <v>24</v>
      </c>
      <c r="DB880" s="34"/>
    </row>
    <row r="881" spans="1:106" x14ac:dyDescent="0.25">
      <c r="A881">
        <v>880</v>
      </c>
      <c r="B881">
        <v>60</v>
      </c>
      <c r="C881" s="25" t="s">
        <v>4080</v>
      </c>
      <c r="D881" s="12">
        <v>10.49</v>
      </c>
      <c r="E881" s="14">
        <v>0.22</v>
      </c>
      <c r="F881" s="7">
        <f t="shared" si="257"/>
        <v>47.68181818181818</v>
      </c>
      <c r="G881" s="7">
        <f t="shared" si="245"/>
        <v>10.27</v>
      </c>
      <c r="H881" s="16">
        <f t="shared" si="246"/>
        <v>10.71</v>
      </c>
      <c r="I881" s="11">
        <f t="shared" si="247"/>
        <v>0.20000763401791363</v>
      </c>
      <c r="J881" s="33">
        <f t="shared" si="248"/>
        <v>4.194631028021068E-3</v>
      </c>
      <c r="K881" s="33">
        <f t="shared" si="249"/>
        <v>238.39999116007525</v>
      </c>
      <c r="L881" s="33">
        <f t="shared" si="250"/>
        <v>0.19581300298989257</v>
      </c>
      <c r="M881" s="33">
        <f t="shared" si="251"/>
        <v>0.20420226504593469</v>
      </c>
      <c r="N881" s="8">
        <v>0</v>
      </c>
      <c r="O881" s="9">
        <v>1</v>
      </c>
      <c r="P881" s="8">
        <v>0</v>
      </c>
      <c r="Q881" s="9">
        <v>0</v>
      </c>
      <c r="R881" s="9">
        <v>1</v>
      </c>
      <c r="S881" s="9">
        <v>0</v>
      </c>
      <c r="T881" s="9">
        <v>0</v>
      </c>
      <c r="U881" s="8">
        <v>54567</v>
      </c>
      <c r="V881" s="9">
        <v>5</v>
      </c>
      <c r="W881" s="9">
        <f t="shared" si="252"/>
        <v>54561</v>
      </c>
      <c r="X881" s="9">
        <f t="shared" si="253"/>
        <v>15</v>
      </c>
      <c r="Y881" s="7">
        <v>13.5</v>
      </c>
      <c r="Z881" s="7">
        <v>20.399999999999999</v>
      </c>
      <c r="AA881" s="9">
        <v>1</v>
      </c>
      <c r="AB881" s="9">
        <v>0</v>
      </c>
      <c r="AC881" s="9">
        <v>0</v>
      </c>
      <c r="AD881" s="9">
        <v>0</v>
      </c>
      <c r="AE881" s="9">
        <v>0</v>
      </c>
      <c r="AF881" s="9">
        <v>1</v>
      </c>
      <c r="AG881" s="8">
        <v>0</v>
      </c>
      <c r="AH881" s="9">
        <v>1</v>
      </c>
      <c r="AI881" s="30">
        <v>0</v>
      </c>
      <c r="AJ881" s="9">
        <v>0</v>
      </c>
      <c r="AK881" s="30">
        <v>1</v>
      </c>
      <c r="AL881" s="21">
        <v>2009</v>
      </c>
      <c r="AM881" s="23">
        <f t="shared" si="254"/>
        <v>7.6053923648149349</v>
      </c>
      <c r="AN881" s="33">
        <v>0.11799999999999999</v>
      </c>
      <c r="AO881" s="33">
        <v>0.11899999999999999</v>
      </c>
      <c r="AP881" s="33">
        <v>0.54600000000000004</v>
      </c>
      <c r="AQ881" s="43">
        <v>0.217</v>
      </c>
      <c r="AR881" s="42" t="s">
        <v>104</v>
      </c>
      <c r="AS881" s="18" t="s">
        <v>104</v>
      </c>
      <c r="AT881" s="33">
        <v>0.51</v>
      </c>
      <c r="AU881" s="40">
        <v>0.49</v>
      </c>
      <c r="AV881" t="s">
        <v>104</v>
      </c>
      <c r="AW881" s="40" t="s">
        <v>104</v>
      </c>
      <c r="AX881">
        <v>0</v>
      </c>
      <c r="AY881" s="18">
        <v>1</v>
      </c>
      <c r="AZ881" t="s">
        <v>104</v>
      </c>
      <c r="BA881" s="18" t="s">
        <v>104</v>
      </c>
      <c r="BB881" s="18" t="s">
        <v>2</v>
      </c>
      <c r="BC881">
        <v>1</v>
      </c>
      <c r="BD881">
        <v>0</v>
      </c>
      <c r="BE881">
        <v>0</v>
      </c>
      <c r="BF881">
        <v>0</v>
      </c>
      <c r="BG881">
        <v>0</v>
      </c>
      <c r="BH881" s="18">
        <v>0</v>
      </c>
      <c r="BI881">
        <v>1</v>
      </c>
      <c r="BJ881">
        <v>0</v>
      </c>
      <c r="BK881" s="18">
        <v>0</v>
      </c>
      <c r="BL881">
        <v>2538.666666666667</v>
      </c>
      <c r="BM881">
        <v>1600</v>
      </c>
      <c r="BN881" s="25">
        <v>38.9</v>
      </c>
      <c r="BO881">
        <v>0</v>
      </c>
      <c r="BP881">
        <v>0</v>
      </c>
      <c r="BQ881">
        <v>0</v>
      </c>
      <c r="BR881">
        <v>0</v>
      </c>
      <c r="BS881">
        <v>0</v>
      </c>
      <c r="BT881">
        <v>0</v>
      </c>
      <c r="BU881">
        <v>0</v>
      </c>
      <c r="BV881" s="18">
        <v>1</v>
      </c>
      <c r="BW881">
        <v>0</v>
      </c>
      <c r="BX881">
        <v>1</v>
      </c>
      <c r="BY881">
        <v>0</v>
      </c>
      <c r="BZ881" s="18">
        <v>0</v>
      </c>
      <c r="CA881">
        <v>0</v>
      </c>
      <c r="CB881">
        <v>0</v>
      </c>
      <c r="CC881">
        <v>0</v>
      </c>
      <c r="CD881">
        <v>0</v>
      </c>
      <c r="CE881">
        <v>0</v>
      </c>
      <c r="CF881" s="18">
        <v>0</v>
      </c>
      <c r="CG881">
        <v>0</v>
      </c>
      <c r="CH881">
        <v>0</v>
      </c>
      <c r="CI881">
        <v>1</v>
      </c>
      <c r="CJ881">
        <v>1</v>
      </c>
      <c r="CK881">
        <v>0</v>
      </c>
      <c r="CL881">
        <v>1</v>
      </c>
      <c r="CM881">
        <v>1</v>
      </c>
      <c r="CN881">
        <v>0</v>
      </c>
      <c r="CO881">
        <v>0</v>
      </c>
      <c r="CP881">
        <v>0</v>
      </c>
      <c r="CQ881" s="18">
        <v>0</v>
      </c>
      <c r="CR881">
        <v>4.2000000000000003E-2</v>
      </c>
      <c r="CS881">
        <v>6</v>
      </c>
      <c r="CT881">
        <v>1</v>
      </c>
      <c r="CU881">
        <v>0</v>
      </c>
      <c r="CV881">
        <v>24</v>
      </c>
      <c r="DB881" s="34"/>
    </row>
    <row r="882" spans="1:106" x14ac:dyDescent="0.25">
      <c r="A882">
        <v>881</v>
      </c>
      <c r="B882">
        <v>60</v>
      </c>
      <c r="C882" s="25" t="s">
        <v>4080</v>
      </c>
      <c r="D882" s="12">
        <v>9.18</v>
      </c>
      <c r="E882" s="14">
        <v>0.45</v>
      </c>
      <c r="F882" s="7">
        <f t="shared" si="257"/>
        <v>20.399999999999999</v>
      </c>
      <c r="G882" s="7">
        <f t="shared" si="245"/>
        <v>8.73</v>
      </c>
      <c r="H882" s="16">
        <f t="shared" si="246"/>
        <v>9.629999999999999</v>
      </c>
      <c r="I882" s="11">
        <f t="shared" si="247"/>
        <v>6.9862538467178478E-2</v>
      </c>
      <c r="J882" s="33">
        <f t="shared" si="248"/>
        <v>3.4246342385871801E-3</v>
      </c>
      <c r="K882" s="33">
        <f t="shared" si="249"/>
        <v>292.00198629461408</v>
      </c>
      <c r="L882" s="33">
        <f t="shared" si="250"/>
        <v>6.6437904228591305E-2</v>
      </c>
      <c r="M882" s="33">
        <f t="shared" si="251"/>
        <v>7.3287172705765652E-2</v>
      </c>
      <c r="N882" s="8">
        <v>0</v>
      </c>
      <c r="O882" s="9">
        <v>1</v>
      </c>
      <c r="P882" s="8">
        <v>0</v>
      </c>
      <c r="Q882" s="9">
        <v>0</v>
      </c>
      <c r="R882" s="9">
        <v>1</v>
      </c>
      <c r="S882" s="9">
        <v>0</v>
      </c>
      <c r="T882" s="9">
        <v>0</v>
      </c>
      <c r="U882" s="8">
        <v>84855</v>
      </c>
      <c r="V882" s="9">
        <v>5</v>
      </c>
      <c r="W882" s="9">
        <f t="shared" si="252"/>
        <v>84849</v>
      </c>
      <c r="X882" s="9">
        <f t="shared" si="253"/>
        <v>15</v>
      </c>
      <c r="Y882" s="7">
        <v>13.5</v>
      </c>
      <c r="Z882" s="7">
        <v>20.399999999999999</v>
      </c>
      <c r="AA882" s="9">
        <v>1</v>
      </c>
      <c r="AB882" s="9">
        <v>0</v>
      </c>
      <c r="AC882" s="9">
        <v>0</v>
      </c>
      <c r="AD882" s="9">
        <v>0</v>
      </c>
      <c r="AE882" s="9">
        <v>0</v>
      </c>
      <c r="AF882" s="9">
        <v>1</v>
      </c>
      <c r="AG882" s="8">
        <v>0</v>
      </c>
      <c r="AH882" s="9">
        <v>1</v>
      </c>
      <c r="AI882" s="30">
        <v>0</v>
      </c>
      <c r="AJ882" s="9">
        <v>0</v>
      </c>
      <c r="AK882" s="30">
        <v>1</v>
      </c>
      <c r="AL882" s="21">
        <v>2009</v>
      </c>
      <c r="AM882" s="23">
        <f t="shared" si="254"/>
        <v>7.6053923648149349</v>
      </c>
      <c r="AN882" s="33">
        <v>0.11799999999999999</v>
      </c>
      <c r="AO882" s="33">
        <v>0.11899999999999999</v>
      </c>
      <c r="AP882" s="33">
        <v>0.54600000000000004</v>
      </c>
      <c r="AQ882" s="43">
        <v>0.217</v>
      </c>
      <c r="AR882" s="42" t="s">
        <v>104</v>
      </c>
      <c r="AS882" s="18" t="s">
        <v>104</v>
      </c>
      <c r="AT882" s="33">
        <v>0.51</v>
      </c>
      <c r="AU882" s="40">
        <v>0.49</v>
      </c>
      <c r="AV882" t="s">
        <v>104</v>
      </c>
      <c r="AW882" s="40" t="s">
        <v>104</v>
      </c>
      <c r="AX882">
        <v>0</v>
      </c>
      <c r="AY882" s="18">
        <v>1</v>
      </c>
      <c r="AZ882" t="s">
        <v>104</v>
      </c>
      <c r="BA882" s="18" t="s">
        <v>104</v>
      </c>
      <c r="BB882" s="18" t="s">
        <v>2</v>
      </c>
      <c r="BC882">
        <v>1</v>
      </c>
      <c r="BD882">
        <v>0</v>
      </c>
      <c r="BE882">
        <v>0</v>
      </c>
      <c r="BF882">
        <v>0</v>
      </c>
      <c r="BG882">
        <v>0</v>
      </c>
      <c r="BH882" s="18">
        <v>0</v>
      </c>
      <c r="BI882">
        <v>1</v>
      </c>
      <c r="BJ882">
        <v>0</v>
      </c>
      <c r="BK882" s="18">
        <v>0</v>
      </c>
      <c r="BL882">
        <v>2538.666666666667</v>
      </c>
      <c r="BM882">
        <v>1600</v>
      </c>
      <c r="BN882" s="25">
        <v>38.9</v>
      </c>
      <c r="BO882">
        <v>0</v>
      </c>
      <c r="BP882">
        <v>0</v>
      </c>
      <c r="BQ882">
        <v>0</v>
      </c>
      <c r="BR882">
        <v>0</v>
      </c>
      <c r="BS882">
        <v>0</v>
      </c>
      <c r="BT882">
        <v>0</v>
      </c>
      <c r="BU882">
        <v>0</v>
      </c>
      <c r="BV882" s="18">
        <v>1</v>
      </c>
      <c r="BW882">
        <v>0</v>
      </c>
      <c r="BX882">
        <v>1</v>
      </c>
      <c r="BY882">
        <v>0</v>
      </c>
      <c r="BZ882" s="18">
        <v>0</v>
      </c>
      <c r="CA882">
        <v>0</v>
      </c>
      <c r="CB882">
        <v>0</v>
      </c>
      <c r="CC882">
        <v>0</v>
      </c>
      <c r="CD882">
        <v>0</v>
      </c>
      <c r="CE882">
        <v>0</v>
      </c>
      <c r="CF882" s="18">
        <v>0</v>
      </c>
      <c r="CG882">
        <v>0</v>
      </c>
      <c r="CH882">
        <v>0</v>
      </c>
      <c r="CI882">
        <v>1</v>
      </c>
      <c r="CJ882">
        <v>1</v>
      </c>
      <c r="CK882">
        <v>0</v>
      </c>
      <c r="CL882">
        <v>1</v>
      </c>
      <c r="CM882">
        <v>1</v>
      </c>
      <c r="CN882">
        <v>0</v>
      </c>
      <c r="CO882">
        <v>0</v>
      </c>
      <c r="CP882">
        <v>0</v>
      </c>
      <c r="CQ882" s="18">
        <v>0</v>
      </c>
      <c r="CR882">
        <v>4.2000000000000003E-2</v>
      </c>
      <c r="CS882">
        <v>6</v>
      </c>
      <c r="CT882">
        <v>1</v>
      </c>
      <c r="CU882">
        <v>0</v>
      </c>
      <c r="CV882">
        <v>24</v>
      </c>
      <c r="DB882" s="34"/>
    </row>
    <row r="883" spans="1:106" x14ac:dyDescent="0.25">
      <c r="A883">
        <v>882</v>
      </c>
      <c r="B883">
        <v>60</v>
      </c>
      <c r="C883" s="25" t="s">
        <v>4080</v>
      </c>
      <c r="D883" s="12">
        <v>10.63</v>
      </c>
      <c r="E883" s="14">
        <v>0.65</v>
      </c>
      <c r="F883" s="7">
        <f t="shared" si="257"/>
        <v>16.353846153846156</v>
      </c>
      <c r="G883" s="7">
        <f t="shared" si="245"/>
        <v>9.98</v>
      </c>
      <c r="H883" s="16">
        <f t="shared" si="246"/>
        <v>11.280000000000001</v>
      </c>
      <c r="I883" s="11">
        <f t="shared" si="247"/>
        <v>5.536192568228316E-2</v>
      </c>
      <c r="J883" s="33">
        <f t="shared" si="248"/>
        <v>3.3852541574302965E-3</v>
      </c>
      <c r="K883" s="33">
        <f t="shared" si="249"/>
        <v>295.39879533272244</v>
      </c>
      <c r="L883" s="33">
        <f t="shared" si="250"/>
        <v>5.1976671524852865E-2</v>
      </c>
      <c r="M883" s="33">
        <f t="shared" si="251"/>
        <v>5.8747179839713455E-2</v>
      </c>
      <c r="N883" s="8">
        <v>0</v>
      </c>
      <c r="O883" s="9">
        <v>1</v>
      </c>
      <c r="P883" s="8">
        <v>0</v>
      </c>
      <c r="Q883" s="9">
        <v>0</v>
      </c>
      <c r="R883" s="9">
        <v>1</v>
      </c>
      <c r="S883" s="9">
        <v>0</v>
      </c>
      <c r="T883" s="9">
        <v>0</v>
      </c>
      <c r="U883" s="8">
        <v>86999</v>
      </c>
      <c r="V883" s="9">
        <v>5</v>
      </c>
      <c r="W883" s="9">
        <f t="shared" si="252"/>
        <v>86993</v>
      </c>
      <c r="X883" s="9">
        <f t="shared" si="253"/>
        <v>15</v>
      </c>
      <c r="Y883" s="7">
        <v>13.5</v>
      </c>
      <c r="Z883" s="7">
        <v>20.399999999999999</v>
      </c>
      <c r="AA883" s="9">
        <v>1</v>
      </c>
      <c r="AB883" s="9">
        <v>0</v>
      </c>
      <c r="AC883" s="9">
        <v>0</v>
      </c>
      <c r="AD883" s="9">
        <v>0</v>
      </c>
      <c r="AE883" s="9">
        <v>0</v>
      </c>
      <c r="AF883" s="9">
        <v>1</v>
      </c>
      <c r="AG883" s="8">
        <v>0</v>
      </c>
      <c r="AH883" s="9">
        <v>1</v>
      </c>
      <c r="AI883" s="30">
        <v>0</v>
      </c>
      <c r="AJ883" s="9">
        <v>0</v>
      </c>
      <c r="AK883" s="30">
        <v>1</v>
      </c>
      <c r="AL883" s="21">
        <v>2009</v>
      </c>
      <c r="AM883" s="23">
        <f t="shared" si="254"/>
        <v>7.6053923648149349</v>
      </c>
      <c r="AN883" s="33">
        <v>0.11799999999999999</v>
      </c>
      <c r="AO883" s="33">
        <v>0.11899999999999999</v>
      </c>
      <c r="AP883" s="33">
        <v>0.54600000000000004</v>
      </c>
      <c r="AQ883" s="43">
        <v>0.217</v>
      </c>
      <c r="AR883" s="42" t="s">
        <v>104</v>
      </c>
      <c r="AS883" s="18" t="s">
        <v>104</v>
      </c>
      <c r="AT883" s="33">
        <v>0.51</v>
      </c>
      <c r="AU883" s="40">
        <v>0.49</v>
      </c>
      <c r="AV883" t="s">
        <v>104</v>
      </c>
      <c r="AW883" s="40" t="s">
        <v>104</v>
      </c>
      <c r="AX883">
        <v>0</v>
      </c>
      <c r="AY883" s="18">
        <v>1</v>
      </c>
      <c r="AZ883" t="s">
        <v>104</v>
      </c>
      <c r="BA883" s="18" t="s">
        <v>104</v>
      </c>
      <c r="BB883" s="18" t="s">
        <v>2</v>
      </c>
      <c r="BC883">
        <v>1</v>
      </c>
      <c r="BD883">
        <v>0</v>
      </c>
      <c r="BE883">
        <v>0</v>
      </c>
      <c r="BF883">
        <v>0</v>
      </c>
      <c r="BG883">
        <v>0</v>
      </c>
      <c r="BH883" s="18">
        <v>0</v>
      </c>
      <c r="BI883">
        <v>1</v>
      </c>
      <c r="BJ883">
        <v>0</v>
      </c>
      <c r="BK883" s="18">
        <v>0</v>
      </c>
      <c r="BL883">
        <v>2538.666666666667</v>
      </c>
      <c r="BM883">
        <v>1600</v>
      </c>
      <c r="BN883" s="25">
        <v>38.9</v>
      </c>
      <c r="BO883">
        <v>0</v>
      </c>
      <c r="BP883">
        <v>0</v>
      </c>
      <c r="BQ883">
        <v>0</v>
      </c>
      <c r="BR883">
        <v>0</v>
      </c>
      <c r="BS883">
        <v>0</v>
      </c>
      <c r="BT883">
        <v>0</v>
      </c>
      <c r="BU883">
        <v>0</v>
      </c>
      <c r="BV883" s="18">
        <v>1</v>
      </c>
      <c r="BW883">
        <v>0</v>
      </c>
      <c r="BX883">
        <v>1</v>
      </c>
      <c r="BY883">
        <v>0</v>
      </c>
      <c r="BZ883" s="18">
        <v>0</v>
      </c>
      <c r="CA883">
        <v>0</v>
      </c>
      <c r="CB883">
        <v>0</v>
      </c>
      <c r="CC883">
        <v>0</v>
      </c>
      <c r="CD883">
        <v>0</v>
      </c>
      <c r="CE883">
        <v>0</v>
      </c>
      <c r="CF883" s="18">
        <v>0</v>
      </c>
      <c r="CG883">
        <v>0</v>
      </c>
      <c r="CH883">
        <v>0</v>
      </c>
      <c r="CI883">
        <v>1</v>
      </c>
      <c r="CJ883">
        <v>1</v>
      </c>
      <c r="CK883">
        <v>0</v>
      </c>
      <c r="CL883">
        <v>1</v>
      </c>
      <c r="CM883">
        <v>1</v>
      </c>
      <c r="CN883">
        <v>0</v>
      </c>
      <c r="CO883">
        <v>0</v>
      </c>
      <c r="CP883">
        <v>0</v>
      </c>
      <c r="CQ883" s="18">
        <v>0</v>
      </c>
      <c r="CR883">
        <v>4.2000000000000003E-2</v>
      </c>
      <c r="CS883">
        <v>6</v>
      </c>
      <c r="CT883">
        <v>1</v>
      </c>
      <c r="CU883">
        <v>0</v>
      </c>
      <c r="CV883">
        <v>24</v>
      </c>
      <c r="DB883" s="34"/>
    </row>
    <row r="884" spans="1:106" x14ac:dyDescent="0.25">
      <c r="A884">
        <v>883</v>
      </c>
      <c r="B884">
        <v>60</v>
      </c>
      <c r="C884" s="25" t="s">
        <v>4080</v>
      </c>
      <c r="D884" s="12">
        <v>8.39</v>
      </c>
      <c r="E884" s="14">
        <v>0.51</v>
      </c>
      <c r="F884" s="7">
        <f t="shared" si="257"/>
        <v>16.450980392156865</v>
      </c>
      <c r="G884" s="7">
        <f t="shared" si="245"/>
        <v>7.8800000000000008</v>
      </c>
      <c r="H884" s="16">
        <f t="shared" si="246"/>
        <v>8.9</v>
      </c>
      <c r="I884" s="11">
        <f t="shared" si="247"/>
        <v>5.5173068869910705E-2</v>
      </c>
      <c r="J884" s="33">
        <f t="shared" si="248"/>
        <v>3.3537860695654893E-3</v>
      </c>
      <c r="K884" s="33">
        <f t="shared" si="249"/>
        <v>298.17047935009111</v>
      </c>
      <c r="L884" s="33">
        <f t="shared" si="250"/>
        <v>5.1819282800345215E-2</v>
      </c>
      <c r="M884" s="33">
        <f t="shared" si="251"/>
        <v>5.8526854939476194E-2</v>
      </c>
      <c r="N884" s="8">
        <v>0</v>
      </c>
      <c r="O884" s="9">
        <v>1</v>
      </c>
      <c r="P884" s="8">
        <v>0</v>
      </c>
      <c r="Q884" s="9">
        <v>0</v>
      </c>
      <c r="R884" s="9">
        <v>1</v>
      </c>
      <c r="S884" s="9">
        <v>0</v>
      </c>
      <c r="T884" s="9">
        <v>0</v>
      </c>
      <c r="U884" s="8">
        <v>88641</v>
      </c>
      <c r="V884" s="9">
        <v>5</v>
      </c>
      <c r="W884" s="9">
        <f t="shared" si="252"/>
        <v>88635</v>
      </c>
      <c r="X884" s="9">
        <f t="shared" si="253"/>
        <v>15</v>
      </c>
      <c r="Y884" s="7">
        <v>13.5</v>
      </c>
      <c r="Z884" s="7">
        <v>20.399999999999999</v>
      </c>
      <c r="AA884" s="9">
        <v>1</v>
      </c>
      <c r="AB884" s="9">
        <v>0</v>
      </c>
      <c r="AC884" s="9">
        <v>0</v>
      </c>
      <c r="AD884" s="9">
        <v>0</v>
      </c>
      <c r="AE884" s="9">
        <v>0</v>
      </c>
      <c r="AF884" s="9">
        <v>1</v>
      </c>
      <c r="AG884" s="8">
        <v>0</v>
      </c>
      <c r="AH884" s="9">
        <v>1</v>
      </c>
      <c r="AI884" s="30">
        <v>0</v>
      </c>
      <c r="AJ884" s="9">
        <v>0</v>
      </c>
      <c r="AK884" s="30">
        <v>1</v>
      </c>
      <c r="AL884" s="21">
        <v>2009</v>
      </c>
      <c r="AM884" s="23">
        <f t="shared" si="254"/>
        <v>7.6053923648149349</v>
      </c>
      <c r="AN884" s="33">
        <v>0.11799999999999999</v>
      </c>
      <c r="AO884" s="33">
        <v>0.11899999999999999</v>
      </c>
      <c r="AP884" s="33">
        <v>0.54600000000000004</v>
      </c>
      <c r="AQ884" s="43">
        <v>0.217</v>
      </c>
      <c r="AR884" s="42" t="s">
        <v>104</v>
      </c>
      <c r="AS884" s="18" t="s">
        <v>104</v>
      </c>
      <c r="AT884" s="33">
        <v>0.51</v>
      </c>
      <c r="AU884" s="40">
        <v>0.49</v>
      </c>
      <c r="AV884" t="s">
        <v>104</v>
      </c>
      <c r="AW884" s="40" t="s">
        <v>104</v>
      </c>
      <c r="AX884">
        <v>0</v>
      </c>
      <c r="AY884" s="18">
        <v>1</v>
      </c>
      <c r="AZ884" t="s">
        <v>104</v>
      </c>
      <c r="BA884" s="18" t="s">
        <v>104</v>
      </c>
      <c r="BB884" s="18" t="s">
        <v>2</v>
      </c>
      <c r="BC884">
        <v>1</v>
      </c>
      <c r="BD884">
        <v>0</v>
      </c>
      <c r="BE884">
        <v>0</v>
      </c>
      <c r="BF884">
        <v>0</v>
      </c>
      <c r="BG884">
        <v>0</v>
      </c>
      <c r="BH884" s="18">
        <v>0</v>
      </c>
      <c r="BI884">
        <v>1</v>
      </c>
      <c r="BJ884">
        <v>0</v>
      </c>
      <c r="BK884" s="18">
        <v>0</v>
      </c>
      <c r="BL884">
        <v>2538.666666666667</v>
      </c>
      <c r="BM884">
        <v>1600</v>
      </c>
      <c r="BN884" s="25">
        <v>38.9</v>
      </c>
      <c r="BO884">
        <v>0</v>
      </c>
      <c r="BP884">
        <v>0</v>
      </c>
      <c r="BQ884">
        <v>0</v>
      </c>
      <c r="BR884">
        <v>0</v>
      </c>
      <c r="BS884">
        <v>0</v>
      </c>
      <c r="BT884">
        <v>0</v>
      </c>
      <c r="BU884">
        <v>0</v>
      </c>
      <c r="BV884" s="18">
        <v>1</v>
      </c>
      <c r="BW884">
        <v>0</v>
      </c>
      <c r="BX884">
        <v>1</v>
      </c>
      <c r="BY884">
        <v>0</v>
      </c>
      <c r="BZ884" s="18">
        <v>0</v>
      </c>
      <c r="CA884">
        <v>0</v>
      </c>
      <c r="CB884">
        <v>0</v>
      </c>
      <c r="CC884">
        <v>0</v>
      </c>
      <c r="CD884">
        <v>0</v>
      </c>
      <c r="CE884">
        <v>0</v>
      </c>
      <c r="CF884" s="18">
        <v>0</v>
      </c>
      <c r="CG884">
        <v>0</v>
      </c>
      <c r="CH884">
        <v>0</v>
      </c>
      <c r="CI884">
        <v>1</v>
      </c>
      <c r="CJ884">
        <v>1</v>
      </c>
      <c r="CK884">
        <v>0</v>
      </c>
      <c r="CL884">
        <v>1</v>
      </c>
      <c r="CM884">
        <v>1</v>
      </c>
      <c r="CN884">
        <v>0</v>
      </c>
      <c r="CO884">
        <v>0</v>
      </c>
      <c r="CP884">
        <v>0</v>
      </c>
      <c r="CQ884" s="18">
        <v>0</v>
      </c>
      <c r="CR884">
        <v>4.2000000000000003E-2</v>
      </c>
      <c r="CS884">
        <v>6</v>
      </c>
      <c r="CT884">
        <v>1</v>
      </c>
      <c r="CU884">
        <v>0</v>
      </c>
      <c r="CV884">
        <v>24</v>
      </c>
      <c r="DB884" s="34"/>
    </row>
    <row r="885" spans="1:106" x14ac:dyDescent="0.25">
      <c r="A885">
        <v>884</v>
      </c>
      <c r="B885">
        <v>60</v>
      </c>
      <c r="C885" s="25" t="s">
        <v>4080</v>
      </c>
      <c r="D885" s="12">
        <v>10.35</v>
      </c>
      <c r="E885" s="14">
        <v>0.2</v>
      </c>
      <c r="F885" s="7">
        <f t="shared" si="257"/>
        <v>51.749999999999993</v>
      </c>
      <c r="G885" s="7">
        <f t="shared" si="245"/>
        <v>10.15</v>
      </c>
      <c r="H885" s="16">
        <f t="shared" si="246"/>
        <v>10.549999999999999</v>
      </c>
      <c r="I885" s="11">
        <f t="shared" si="247"/>
        <v>0.18457784471900096</v>
      </c>
      <c r="J885" s="33">
        <f t="shared" si="248"/>
        <v>3.5667216370821445E-3</v>
      </c>
      <c r="K885" s="33">
        <f t="shared" si="249"/>
        <v>280.36951064621843</v>
      </c>
      <c r="L885" s="33">
        <f t="shared" si="250"/>
        <v>0.18101112308191883</v>
      </c>
      <c r="M885" s="33">
        <f t="shared" si="251"/>
        <v>0.18814456635608309</v>
      </c>
      <c r="N885" s="8">
        <v>0</v>
      </c>
      <c r="O885" s="9">
        <v>1</v>
      </c>
      <c r="P885" s="8">
        <v>0</v>
      </c>
      <c r="Q885" s="9">
        <v>0</v>
      </c>
      <c r="R885" s="9">
        <v>1</v>
      </c>
      <c r="S885" s="9">
        <v>0</v>
      </c>
      <c r="T885" s="9">
        <v>0</v>
      </c>
      <c r="U885" s="8">
        <v>75935</v>
      </c>
      <c r="V885" s="9">
        <v>5</v>
      </c>
      <c r="W885" s="9">
        <f t="shared" si="252"/>
        <v>75929</v>
      </c>
      <c r="X885" s="9">
        <f t="shared" si="253"/>
        <v>15</v>
      </c>
      <c r="Y885" s="7">
        <v>13.5</v>
      </c>
      <c r="Z885" s="7">
        <v>20.399999999999999</v>
      </c>
      <c r="AA885" s="9">
        <v>1</v>
      </c>
      <c r="AB885" s="9">
        <v>0</v>
      </c>
      <c r="AC885" s="9">
        <v>0</v>
      </c>
      <c r="AD885" s="9">
        <v>0</v>
      </c>
      <c r="AE885" s="9">
        <v>0</v>
      </c>
      <c r="AF885" s="9">
        <v>1</v>
      </c>
      <c r="AG885" s="8">
        <v>0</v>
      </c>
      <c r="AH885" s="9">
        <v>1</v>
      </c>
      <c r="AI885" s="30">
        <v>0</v>
      </c>
      <c r="AJ885" s="9">
        <v>0</v>
      </c>
      <c r="AK885" s="30">
        <v>1</v>
      </c>
      <c r="AL885" s="21">
        <v>2009</v>
      </c>
      <c r="AM885" s="23">
        <f t="shared" si="254"/>
        <v>7.6053923648149349</v>
      </c>
      <c r="AN885" s="33">
        <v>0.11799999999999999</v>
      </c>
      <c r="AO885" s="33">
        <v>0.11899999999999999</v>
      </c>
      <c r="AP885" s="33">
        <v>0.54600000000000004</v>
      </c>
      <c r="AQ885" s="43">
        <v>0.217</v>
      </c>
      <c r="AR885" s="42" t="s">
        <v>104</v>
      </c>
      <c r="AS885" s="18" t="s">
        <v>104</v>
      </c>
      <c r="AT885" s="33">
        <v>0.51</v>
      </c>
      <c r="AU885" s="40">
        <v>0.49</v>
      </c>
      <c r="AV885" t="s">
        <v>104</v>
      </c>
      <c r="AW885" s="40" t="s">
        <v>104</v>
      </c>
      <c r="AX885">
        <v>0</v>
      </c>
      <c r="AY885" s="18">
        <v>1</v>
      </c>
      <c r="AZ885" t="s">
        <v>104</v>
      </c>
      <c r="BA885" s="18" t="s">
        <v>104</v>
      </c>
      <c r="BB885" s="18" t="s">
        <v>2</v>
      </c>
      <c r="BC885">
        <v>1</v>
      </c>
      <c r="BD885">
        <v>0</v>
      </c>
      <c r="BE885">
        <v>0</v>
      </c>
      <c r="BF885">
        <v>0</v>
      </c>
      <c r="BG885">
        <v>0</v>
      </c>
      <c r="BH885" s="18">
        <v>0</v>
      </c>
      <c r="BI885">
        <v>1</v>
      </c>
      <c r="BJ885">
        <v>0</v>
      </c>
      <c r="BK885" s="18">
        <v>0</v>
      </c>
      <c r="BL885">
        <v>2538.666666666667</v>
      </c>
      <c r="BM885">
        <v>1600</v>
      </c>
      <c r="BN885" s="25">
        <v>38.9</v>
      </c>
      <c r="BO885">
        <v>0</v>
      </c>
      <c r="BP885">
        <v>0</v>
      </c>
      <c r="BQ885">
        <v>0</v>
      </c>
      <c r="BR885">
        <v>0</v>
      </c>
      <c r="BS885">
        <v>0</v>
      </c>
      <c r="BT885">
        <v>0</v>
      </c>
      <c r="BU885">
        <v>0</v>
      </c>
      <c r="BV885" s="18">
        <v>1</v>
      </c>
      <c r="BW885">
        <v>0</v>
      </c>
      <c r="BX885">
        <v>1</v>
      </c>
      <c r="BY885">
        <v>0</v>
      </c>
      <c r="BZ885" s="18">
        <v>0</v>
      </c>
      <c r="CA885">
        <v>0</v>
      </c>
      <c r="CB885">
        <v>0</v>
      </c>
      <c r="CC885">
        <v>0</v>
      </c>
      <c r="CD885">
        <v>0</v>
      </c>
      <c r="CE885">
        <v>0</v>
      </c>
      <c r="CF885" s="18">
        <v>0</v>
      </c>
      <c r="CG885">
        <v>0</v>
      </c>
      <c r="CH885">
        <v>0</v>
      </c>
      <c r="CI885">
        <v>1</v>
      </c>
      <c r="CJ885">
        <v>1</v>
      </c>
      <c r="CK885">
        <v>0</v>
      </c>
      <c r="CL885">
        <v>1</v>
      </c>
      <c r="CM885">
        <v>1</v>
      </c>
      <c r="CN885">
        <v>0</v>
      </c>
      <c r="CO885">
        <v>0</v>
      </c>
      <c r="CP885">
        <v>0</v>
      </c>
      <c r="CQ885" s="18">
        <v>0</v>
      </c>
      <c r="CR885">
        <v>4.2000000000000003E-2</v>
      </c>
      <c r="CS885">
        <v>6</v>
      </c>
      <c r="CT885">
        <v>1</v>
      </c>
      <c r="CU885">
        <v>0</v>
      </c>
      <c r="CV885">
        <v>24</v>
      </c>
      <c r="DB885" s="34"/>
    </row>
    <row r="886" spans="1:106" x14ac:dyDescent="0.25">
      <c r="A886">
        <v>885</v>
      </c>
      <c r="B886">
        <v>61</v>
      </c>
      <c r="C886" s="25" t="s">
        <v>4088</v>
      </c>
      <c r="D886" s="12">
        <v>6.24</v>
      </c>
      <c r="E886" s="14">
        <v>0.21</v>
      </c>
      <c r="F886" s="7">
        <f t="shared" si="257"/>
        <v>29.714285714285715</v>
      </c>
      <c r="G886" s="7">
        <f t="shared" si="245"/>
        <v>6.03</v>
      </c>
      <c r="H886" s="16">
        <f t="shared" si="246"/>
        <v>6.45</v>
      </c>
      <c r="I886" s="11">
        <f t="shared" si="247"/>
        <v>0.2789989064094901</v>
      </c>
      <c r="J886" s="33">
        <f t="shared" si="248"/>
        <v>9.3893862733963017E-3</v>
      </c>
      <c r="K886" s="33">
        <f t="shared" si="249"/>
        <v>106.50323363875016</v>
      </c>
      <c r="L886" s="33">
        <f t="shared" si="250"/>
        <v>0.26960952013609379</v>
      </c>
      <c r="M886" s="33">
        <f t="shared" si="251"/>
        <v>0.2883882926828864</v>
      </c>
      <c r="N886" s="8">
        <v>1</v>
      </c>
      <c r="O886" s="9">
        <v>0</v>
      </c>
      <c r="P886" s="8">
        <v>0</v>
      </c>
      <c r="Q886" s="9">
        <v>1</v>
      </c>
      <c r="R886" s="9">
        <v>0</v>
      </c>
      <c r="S886" s="9">
        <v>0</v>
      </c>
      <c r="T886" s="9">
        <v>0</v>
      </c>
      <c r="U886" s="8">
        <v>10466</v>
      </c>
      <c r="V886" s="9">
        <v>5</v>
      </c>
      <c r="W886" s="9">
        <f t="shared" si="252"/>
        <v>10460</v>
      </c>
      <c r="X886" s="9">
        <f t="shared" si="253"/>
        <v>12</v>
      </c>
      <c r="Y886" s="7">
        <f>AVERAGE(Y887,Y888)</f>
        <v>10.74</v>
      </c>
      <c r="Z886" s="7">
        <f>AVERAGE(Z887,Z888)</f>
        <v>21.614999999999998</v>
      </c>
      <c r="AA886" s="9">
        <v>1</v>
      </c>
      <c r="AB886" s="9">
        <v>0</v>
      </c>
      <c r="AC886" s="9">
        <v>1</v>
      </c>
      <c r="AD886" s="9">
        <v>0</v>
      </c>
      <c r="AE886" s="9">
        <v>0</v>
      </c>
      <c r="AF886" s="9">
        <v>0</v>
      </c>
      <c r="AG886" s="8">
        <v>0</v>
      </c>
      <c r="AH886" s="9">
        <v>1</v>
      </c>
      <c r="AI886" s="30">
        <v>0</v>
      </c>
      <c r="AJ886" s="9">
        <v>0</v>
      </c>
      <c r="AK886" s="30">
        <v>1</v>
      </c>
      <c r="AL886" s="21">
        <v>1995</v>
      </c>
      <c r="AM886" s="23">
        <f t="shared" si="254"/>
        <v>7.5983993293239642</v>
      </c>
      <c r="AN886" s="33" t="s">
        <v>104</v>
      </c>
      <c r="AO886" s="33" t="s">
        <v>104</v>
      </c>
      <c r="AP886" s="33" t="s">
        <v>104</v>
      </c>
      <c r="AQ886" s="43" t="s">
        <v>104</v>
      </c>
      <c r="AR886" s="42">
        <v>1</v>
      </c>
      <c r="AS886" s="18">
        <v>0</v>
      </c>
      <c r="AT886" s="33">
        <v>0.52739999999999998</v>
      </c>
      <c r="AU886" s="40">
        <f t="shared" ref="AU886:AU919" si="258">1-AT886</f>
        <v>0.47260000000000002</v>
      </c>
      <c r="AV886" t="s">
        <v>104</v>
      </c>
      <c r="AW886" s="40" t="s">
        <v>104</v>
      </c>
      <c r="AX886">
        <v>0</v>
      </c>
      <c r="AY886" s="18">
        <v>1</v>
      </c>
      <c r="AZ886">
        <v>0</v>
      </c>
      <c r="BA886" s="18">
        <v>1</v>
      </c>
      <c r="BB886" s="18" t="s">
        <v>5</v>
      </c>
      <c r="BC886">
        <v>0</v>
      </c>
      <c r="BD886">
        <v>1</v>
      </c>
      <c r="BE886">
        <v>0</v>
      </c>
      <c r="BF886">
        <v>0</v>
      </c>
      <c r="BG886">
        <v>0</v>
      </c>
      <c r="BH886" s="18">
        <v>0</v>
      </c>
      <c r="BI886">
        <v>0</v>
      </c>
      <c r="BJ886">
        <v>1</v>
      </c>
      <c r="BK886" s="18">
        <v>0</v>
      </c>
      <c r="BL886">
        <v>127.1666666666667</v>
      </c>
      <c r="BM886">
        <v>27</v>
      </c>
      <c r="BN886" s="25">
        <f>AVERAGE(BN887:BN888)</f>
        <v>38.355000000000004</v>
      </c>
      <c r="BO886">
        <v>1</v>
      </c>
      <c r="BP886">
        <v>0</v>
      </c>
      <c r="BQ886">
        <v>0</v>
      </c>
      <c r="BR886">
        <v>0</v>
      </c>
      <c r="BS886">
        <v>0</v>
      </c>
      <c r="BT886">
        <v>0</v>
      </c>
      <c r="BU886">
        <v>0</v>
      </c>
      <c r="BV886" s="18">
        <v>0</v>
      </c>
      <c r="BW886">
        <v>0</v>
      </c>
      <c r="BX886">
        <v>0</v>
      </c>
      <c r="BY886">
        <v>1</v>
      </c>
      <c r="BZ886" s="18">
        <v>0</v>
      </c>
      <c r="CA886">
        <v>0</v>
      </c>
      <c r="CB886">
        <v>0</v>
      </c>
      <c r="CC886">
        <v>0</v>
      </c>
      <c r="CD886">
        <v>0</v>
      </c>
      <c r="CE886">
        <v>0</v>
      </c>
      <c r="CF886" s="18">
        <v>0</v>
      </c>
      <c r="CG886">
        <v>0</v>
      </c>
      <c r="CH886">
        <v>0</v>
      </c>
      <c r="CI886">
        <v>1</v>
      </c>
      <c r="CJ886">
        <v>0</v>
      </c>
      <c r="CK886">
        <v>1</v>
      </c>
      <c r="CL886">
        <v>0</v>
      </c>
      <c r="CM886">
        <v>1</v>
      </c>
      <c r="CN886">
        <v>0</v>
      </c>
      <c r="CO886">
        <v>0</v>
      </c>
      <c r="CP886">
        <v>1</v>
      </c>
      <c r="CQ886" s="18">
        <v>0</v>
      </c>
      <c r="CR886">
        <v>0</v>
      </c>
      <c r="CS886">
        <v>0</v>
      </c>
      <c r="CT886">
        <v>0</v>
      </c>
      <c r="CU886">
        <v>1</v>
      </c>
      <c r="CV886">
        <v>16</v>
      </c>
      <c r="DB886" s="34"/>
    </row>
    <row r="887" spans="1:106" x14ac:dyDescent="0.25">
      <c r="A887">
        <v>886</v>
      </c>
      <c r="B887">
        <v>61</v>
      </c>
      <c r="C887" s="25" t="s">
        <v>4088</v>
      </c>
      <c r="D887" s="12">
        <v>5.41</v>
      </c>
      <c r="E887" s="14">
        <v>0.28000000000000003</v>
      </c>
      <c r="F887" s="7">
        <f t="shared" si="257"/>
        <v>19.321428571428569</v>
      </c>
      <c r="G887" s="7">
        <f t="shared" si="245"/>
        <v>5.13</v>
      </c>
      <c r="H887" s="16">
        <f t="shared" si="246"/>
        <v>5.69</v>
      </c>
      <c r="I887" s="11">
        <f t="shared" si="247"/>
        <v>0.25181436494337711</v>
      </c>
      <c r="J887" s="33">
        <f t="shared" si="248"/>
        <v>1.3032906133853158E-2</v>
      </c>
      <c r="K887" s="33">
        <f t="shared" si="249"/>
        <v>76.728857687579435</v>
      </c>
      <c r="L887" s="33">
        <f t="shared" si="250"/>
        <v>0.23878145880952395</v>
      </c>
      <c r="M887" s="33">
        <f t="shared" si="251"/>
        <v>0.26484727107723027</v>
      </c>
      <c r="N887" s="8">
        <v>1</v>
      </c>
      <c r="O887" s="9">
        <v>0</v>
      </c>
      <c r="P887" s="8">
        <v>0</v>
      </c>
      <c r="Q887" s="9">
        <v>1</v>
      </c>
      <c r="R887" s="9">
        <v>0</v>
      </c>
      <c r="S887" s="9">
        <v>0</v>
      </c>
      <c r="T887" s="9">
        <v>0</v>
      </c>
      <c r="U887" s="8">
        <v>5520</v>
      </c>
      <c r="V887" s="9">
        <v>5</v>
      </c>
      <c r="W887" s="9">
        <f t="shared" si="252"/>
        <v>5514</v>
      </c>
      <c r="X887" s="9">
        <f t="shared" si="253"/>
        <v>12</v>
      </c>
      <c r="Y887" s="7">
        <v>11.05</v>
      </c>
      <c r="Z887" s="7">
        <v>22.58</v>
      </c>
      <c r="AA887" s="9">
        <v>1</v>
      </c>
      <c r="AB887" s="9">
        <v>0</v>
      </c>
      <c r="AC887" s="9">
        <v>1</v>
      </c>
      <c r="AD887" s="9">
        <v>0</v>
      </c>
      <c r="AE887" s="9">
        <v>0</v>
      </c>
      <c r="AF887" s="9">
        <v>0</v>
      </c>
      <c r="AG887" s="8">
        <v>0</v>
      </c>
      <c r="AH887" s="9">
        <v>1</v>
      </c>
      <c r="AI887" s="30">
        <v>0</v>
      </c>
      <c r="AJ887" s="9">
        <v>0</v>
      </c>
      <c r="AK887" s="30">
        <v>1</v>
      </c>
      <c r="AL887" s="21">
        <v>1995</v>
      </c>
      <c r="AM887" s="23">
        <f t="shared" si="254"/>
        <v>7.5983993293239642</v>
      </c>
      <c r="AN887" s="33" t="s">
        <v>104</v>
      </c>
      <c r="AO887" s="33" t="s">
        <v>104</v>
      </c>
      <c r="AP887" s="33" t="s">
        <v>104</v>
      </c>
      <c r="AQ887" s="43" t="s">
        <v>104</v>
      </c>
      <c r="AR887" s="42">
        <v>1</v>
      </c>
      <c r="AS887" s="18">
        <v>0</v>
      </c>
      <c r="AT887" s="33">
        <v>0.52739999999999998</v>
      </c>
      <c r="AU887" s="40">
        <f t="shared" si="258"/>
        <v>0.47260000000000002</v>
      </c>
      <c r="AV887" t="s">
        <v>104</v>
      </c>
      <c r="AW887" s="40" t="s">
        <v>104</v>
      </c>
      <c r="AX887">
        <v>0</v>
      </c>
      <c r="AY887" s="18">
        <v>1</v>
      </c>
      <c r="AZ887">
        <v>0</v>
      </c>
      <c r="BA887" s="18">
        <v>1</v>
      </c>
      <c r="BB887" s="18" t="s">
        <v>5</v>
      </c>
      <c r="BC887">
        <v>0</v>
      </c>
      <c r="BD887">
        <v>1</v>
      </c>
      <c r="BE887">
        <v>0</v>
      </c>
      <c r="BF887">
        <v>0</v>
      </c>
      <c r="BG887">
        <v>0</v>
      </c>
      <c r="BH887" s="18">
        <v>0</v>
      </c>
      <c r="BI887">
        <v>0</v>
      </c>
      <c r="BJ887">
        <v>1</v>
      </c>
      <c r="BK887" s="18">
        <v>0</v>
      </c>
      <c r="BL887">
        <v>127.1666666666667</v>
      </c>
      <c r="BM887">
        <v>27</v>
      </c>
      <c r="BN887" s="25">
        <v>39.630000000000003</v>
      </c>
      <c r="BO887">
        <v>1</v>
      </c>
      <c r="BP887">
        <v>0</v>
      </c>
      <c r="BQ887">
        <v>0</v>
      </c>
      <c r="BR887">
        <v>0</v>
      </c>
      <c r="BS887">
        <v>0</v>
      </c>
      <c r="BT887">
        <v>0</v>
      </c>
      <c r="BU887">
        <v>0</v>
      </c>
      <c r="BV887" s="18">
        <v>0</v>
      </c>
      <c r="BW887">
        <v>0</v>
      </c>
      <c r="BX887">
        <v>0</v>
      </c>
      <c r="BY887">
        <v>1</v>
      </c>
      <c r="BZ887" s="18">
        <v>0</v>
      </c>
      <c r="CA887">
        <v>0</v>
      </c>
      <c r="CB887">
        <v>0</v>
      </c>
      <c r="CC887">
        <v>0</v>
      </c>
      <c r="CD887">
        <v>0</v>
      </c>
      <c r="CE887">
        <v>0</v>
      </c>
      <c r="CF887" s="18">
        <v>0</v>
      </c>
      <c r="CG887">
        <v>0</v>
      </c>
      <c r="CH887">
        <v>0</v>
      </c>
      <c r="CI887">
        <v>1</v>
      </c>
      <c r="CJ887">
        <v>0</v>
      </c>
      <c r="CK887">
        <v>1</v>
      </c>
      <c r="CL887">
        <v>0</v>
      </c>
      <c r="CM887">
        <v>1</v>
      </c>
      <c r="CN887">
        <v>0</v>
      </c>
      <c r="CO887">
        <v>0</v>
      </c>
      <c r="CP887">
        <v>1</v>
      </c>
      <c r="CQ887" s="18">
        <v>0</v>
      </c>
      <c r="CR887">
        <v>0</v>
      </c>
      <c r="CS887">
        <v>0</v>
      </c>
      <c r="CT887">
        <v>0</v>
      </c>
      <c r="CU887">
        <v>1</v>
      </c>
      <c r="CV887">
        <v>16</v>
      </c>
      <c r="DB887" s="34"/>
    </row>
    <row r="888" spans="1:106" x14ac:dyDescent="0.25">
      <c r="A888">
        <v>887</v>
      </c>
      <c r="B888">
        <v>61</v>
      </c>
      <c r="C888" s="25" t="s">
        <v>4088</v>
      </c>
      <c r="D888" s="12">
        <v>7.24</v>
      </c>
      <c r="E888" s="14">
        <v>0.33</v>
      </c>
      <c r="F888" s="7">
        <f t="shared" si="257"/>
        <v>21.939393939393938</v>
      </c>
      <c r="G888" s="7">
        <f t="shared" si="245"/>
        <v>6.91</v>
      </c>
      <c r="H888" s="16">
        <f t="shared" si="246"/>
        <v>7.57</v>
      </c>
      <c r="I888" s="11">
        <f t="shared" si="247"/>
        <v>0.29796923347960869</v>
      </c>
      <c r="J888" s="33">
        <f t="shared" si="248"/>
        <v>1.3581470586777744E-2</v>
      </c>
      <c r="K888" s="33">
        <f t="shared" si="249"/>
        <v>73.62972909381044</v>
      </c>
      <c r="L888" s="33">
        <f t="shared" si="250"/>
        <v>0.28438776289283096</v>
      </c>
      <c r="M888" s="33">
        <f t="shared" si="251"/>
        <v>0.31155070406638641</v>
      </c>
      <c r="N888" s="8">
        <v>1</v>
      </c>
      <c r="O888" s="9">
        <v>0</v>
      </c>
      <c r="P888" s="8">
        <v>0</v>
      </c>
      <c r="Q888" s="9">
        <v>1</v>
      </c>
      <c r="R888" s="9">
        <v>0</v>
      </c>
      <c r="S888" s="9">
        <v>0</v>
      </c>
      <c r="T888" s="9">
        <v>0</v>
      </c>
      <c r="U888" s="8">
        <v>4946</v>
      </c>
      <c r="V888" s="9">
        <v>5</v>
      </c>
      <c r="W888" s="9">
        <f t="shared" si="252"/>
        <v>4940</v>
      </c>
      <c r="X888" s="9">
        <f t="shared" si="253"/>
        <v>12</v>
      </c>
      <c r="Y888" s="7">
        <v>10.43</v>
      </c>
      <c r="Z888" s="7">
        <v>20.65</v>
      </c>
      <c r="AA888" s="9">
        <v>1</v>
      </c>
      <c r="AB888" s="9">
        <v>0</v>
      </c>
      <c r="AC888" s="9">
        <v>1</v>
      </c>
      <c r="AD888" s="9">
        <v>0</v>
      </c>
      <c r="AE888" s="9">
        <v>0</v>
      </c>
      <c r="AF888" s="9">
        <v>0</v>
      </c>
      <c r="AG888" s="8">
        <v>0</v>
      </c>
      <c r="AH888" s="9">
        <v>1</v>
      </c>
      <c r="AI888" s="30">
        <v>0</v>
      </c>
      <c r="AJ888" s="9">
        <v>0</v>
      </c>
      <c r="AK888" s="30">
        <v>1</v>
      </c>
      <c r="AL888" s="21">
        <v>1995</v>
      </c>
      <c r="AM888" s="23">
        <f t="shared" si="254"/>
        <v>7.5983993293239642</v>
      </c>
      <c r="AN888" s="33" t="s">
        <v>104</v>
      </c>
      <c r="AO888" s="33" t="s">
        <v>104</v>
      </c>
      <c r="AP888" s="33" t="s">
        <v>104</v>
      </c>
      <c r="AQ888" s="43" t="s">
        <v>104</v>
      </c>
      <c r="AR888" s="42">
        <v>1</v>
      </c>
      <c r="AS888" s="18">
        <v>0</v>
      </c>
      <c r="AT888" s="33">
        <v>0.52739999999999998</v>
      </c>
      <c r="AU888" s="40">
        <f t="shared" si="258"/>
        <v>0.47260000000000002</v>
      </c>
      <c r="AV888" t="s">
        <v>104</v>
      </c>
      <c r="AW888" s="40" t="s">
        <v>104</v>
      </c>
      <c r="AX888">
        <v>0</v>
      </c>
      <c r="AY888" s="18">
        <v>1</v>
      </c>
      <c r="AZ888">
        <v>0</v>
      </c>
      <c r="BA888" s="18">
        <v>1</v>
      </c>
      <c r="BB888" s="18" t="s">
        <v>5</v>
      </c>
      <c r="BC888">
        <v>0</v>
      </c>
      <c r="BD888">
        <v>1</v>
      </c>
      <c r="BE888">
        <v>0</v>
      </c>
      <c r="BF888">
        <v>0</v>
      </c>
      <c r="BG888">
        <v>0</v>
      </c>
      <c r="BH888" s="18">
        <v>0</v>
      </c>
      <c r="BI888">
        <v>0</v>
      </c>
      <c r="BJ888">
        <v>1</v>
      </c>
      <c r="BK888" s="18">
        <v>0</v>
      </c>
      <c r="BL888">
        <v>127.1666666666667</v>
      </c>
      <c r="BM888">
        <v>27</v>
      </c>
      <c r="BN888" s="25">
        <v>37.08</v>
      </c>
      <c r="BO888">
        <v>1</v>
      </c>
      <c r="BP888">
        <v>0</v>
      </c>
      <c r="BQ888">
        <v>0</v>
      </c>
      <c r="BR888">
        <v>0</v>
      </c>
      <c r="BS888">
        <v>0</v>
      </c>
      <c r="BT888">
        <v>0</v>
      </c>
      <c r="BU888">
        <v>0</v>
      </c>
      <c r="BV888" s="18">
        <v>0</v>
      </c>
      <c r="BW888">
        <v>0</v>
      </c>
      <c r="BX888">
        <v>0</v>
      </c>
      <c r="BY888">
        <v>1</v>
      </c>
      <c r="BZ888" s="18">
        <v>0</v>
      </c>
      <c r="CA888">
        <v>0</v>
      </c>
      <c r="CB888">
        <v>0</v>
      </c>
      <c r="CC888">
        <v>0</v>
      </c>
      <c r="CD888">
        <v>0</v>
      </c>
      <c r="CE888">
        <v>0</v>
      </c>
      <c r="CF888" s="18">
        <v>0</v>
      </c>
      <c r="CG888">
        <v>0</v>
      </c>
      <c r="CH888">
        <v>0</v>
      </c>
      <c r="CI888">
        <v>1</v>
      </c>
      <c r="CJ888">
        <v>0</v>
      </c>
      <c r="CK888">
        <v>1</v>
      </c>
      <c r="CL888">
        <v>0</v>
      </c>
      <c r="CM888">
        <v>1</v>
      </c>
      <c r="CN888">
        <v>0</v>
      </c>
      <c r="CO888">
        <v>0</v>
      </c>
      <c r="CP888">
        <v>1</v>
      </c>
      <c r="CQ888" s="18">
        <v>0</v>
      </c>
      <c r="CR888">
        <v>0</v>
      </c>
      <c r="CS888">
        <v>0</v>
      </c>
      <c r="CT888">
        <v>0</v>
      </c>
      <c r="CU888">
        <v>1</v>
      </c>
      <c r="CV888">
        <v>16</v>
      </c>
      <c r="DB888" s="34"/>
    </row>
    <row r="889" spans="1:106" x14ac:dyDescent="0.25">
      <c r="A889">
        <v>888</v>
      </c>
      <c r="B889">
        <v>61</v>
      </c>
      <c r="C889" s="25" t="s">
        <v>4088</v>
      </c>
      <c r="D889" s="12">
        <v>8.99</v>
      </c>
      <c r="E889" s="14">
        <v>0.27</v>
      </c>
      <c r="F889" s="7">
        <f t="shared" si="257"/>
        <v>33.296296296296298</v>
      </c>
      <c r="G889" s="7">
        <f t="shared" si="245"/>
        <v>8.7200000000000006</v>
      </c>
      <c r="H889" s="16">
        <f t="shared" si="246"/>
        <v>9.26</v>
      </c>
      <c r="I889" s="11">
        <f t="shared" si="247"/>
        <v>0.32348396438344396</v>
      </c>
      <c r="J889" s="33">
        <f t="shared" si="248"/>
        <v>9.7153137245305759E-3</v>
      </c>
      <c r="K889" s="33">
        <f t="shared" si="249"/>
        <v>102.93028391610873</v>
      </c>
      <c r="L889" s="33">
        <f t="shared" si="250"/>
        <v>0.31376865065891341</v>
      </c>
      <c r="M889" s="33">
        <f t="shared" si="251"/>
        <v>0.33319927810797451</v>
      </c>
      <c r="N889" s="8">
        <v>1</v>
      </c>
      <c r="O889" s="9">
        <v>0</v>
      </c>
      <c r="P889" s="8">
        <v>0</v>
      </c>
      <c r="Q889" s="9">
        <v>1</v>
      </c>
      <c r="R889" s="9">
        <v>0</v>
      </c>
      <c r="S889" s="9">
        <v>0</v>
      </c>
      <c r="T889" s="9">
        <v>0</v>
      </c>
      <c r="U889" s="8">
        <v>9492</v>
      </c>
      <c r="V889" s="9">
        <v>5</v>
      </c>
      <c r="W889" s="9">
        <f t="shared" si="252"/>
        <v>9486</v>
      </c>
      <c r="X889" s="9">
        <f t="shared" si="253"/>
        <v>12</v>
      </c>
      <c r="Y889" s="7">
        <f>AVERAGE(Y890,Y891)</f>
        <v>11.515000000000001</v>
      </c>
      <c r="Z889" s="7">
        <f>AVERAGE(Z890,Z891)</f>
        <v>22.734999999999999</v>
      </c>
      <c r="AA889" s="9">
        <v>1</v>
      </c>
      <c r="AB889" s="9">
        <v>0</v>
      </c>
      <c r="AC889" s="9">
        <v>1</v>
      </c>
      <c r="AD889" s="9">
        <v>0</v>
      </c>
      <c r="AE889" s="9">
        <v>0</v>
      </c>
      <c r="AF889" s="9">
        <v>0</v>
      </c>
      <c r="AG889" s="8">
        <v>0</v>
      </c>
      <c r="AH889" s="9">
        <v>1</v>
      </c>
      <c r="AI889" s="30">
        <v>0</v>
      </c>
      <c r="AJ889" s="9">
        <v>0</v>
      </c>
      <c r="AK889" s="30">
        <v>1</v>
      </c>
      <c r="AL889" s="21">
        <v>2002</v>
      </c>
      <c r="AM889" s="23">
        <f t="shared" si="254"/>
        <v>7.6019019598751658</v>
      </c>
      <c r="AN889" s="33" t="s">
        <v>104</v>
      </c>
      <c r="AO889" s="33" t="s">
        <v>104</v>
      </c>
      <c r="AP889" s="33" t="s">
        <v>104</v>
      </c>
      <c r="AQ889" s="43" t="s">
        <v>104</v>
      </c>
      <c r="AR889" s="42">
        <v>1</v>
      </c>
      <c r="AS889" s="18">
        <v>0</v>
      </c>
      <c r="AT889" s="33">
        <v>0.52739999999999998</v>
      </c>
      <c r="AU889" s="40">
        <f t="shared" si="258"/>
        <v>0.47260000000000002</v>
      </c>
      <c r="AV889" t="s">
        <v>104</v>
      </c>
      <c r="AW889" s="40" t="s">
        <v>104</v>
      </c>
      <c r="AX889">
        <v>0</v>
      </c>
      <c r="AY889" s="18">
        <v>1</v>
      </c>
      <c r="AZ889">
        <v>0</v>
      </c>
      <c r="BA889" s="18">
        <v>1</v>
      </c>
      <c r="BB889" s="18" t="s">
        <v>5</v>
      </c>
      <c r="BC889">
        <v>0</v>
      </c>
      <c r="BD889">
        <v>1</v>
      </c>
      <c r="BE889">
        <v>0</v>
      </c>
      <c r="BF889">
        <v>0</v>
      </c>
      <c r="BG889">
        <v>0</v>
      </c>
      <c r="BH889" s="18">
        <v>0</v>
      </c>
      <c r="BI889">
        <v>0</v>
      </c>
      <c r="BJ889">
        <v>1</v>
      </c>
      <c r="BK889" s="18">
        <v>0</v>
      </c>
      <c r="BL889">
        <v>127.1666666666667</v>
      </c>
      <c r="BM889">
        <v>27</v>
      </c>
      <c r="BN889" s="25">
        <f>AVERAGE(BN890:BN891)</f>
        <v>40.25</v>
      </c>
      <c r="BO889">
        <v>1</v>
      </c>
      <c r="BP889">
        <v>0</v>
      </c>
      <c r="BQ889">
        <v>0</v>
      </c>
      <c r="BR889">
        <v>0</v>
      </c>
      <c r="BS889">
        <v>0</v>
      </c>
      <c r="BT889">
        <v>0</v>
      </c>
      <c r="BU889">
        <v>0</v>
      </c>
      <c r="BV889" s="18">
        <v>0</v>
      </c>
      <c r="BW889">
        <v>0</v>
      </c>
      <c r="BX889">
        <v>0</v>
      </c>
      <c r="BY889">
        <v>1</v>
      </c>
      <c r="BZ889" s="18">
        <v>0</v>
      </c>
      <c r="CA889">
        <v>0</v>
      </c>
      <c r="CB889">
        <v>0</v>
      </c>
      <c r="CC889">
        <v>0</v>
      </c>
      <c r="CD889">
        <v>0</v>
      </c>
      <c r="CE889">
        <v>0</v>
      </c>
      <c r="CF889" s="18">
        <v>0</v>
      </c>
      <c r="CG889">
        <v>0</v>
      </c>
      <c r="CH889">
        <v>0</v>
      </c>
      <c r="CI889">
        <v>1</v>
      </c>
      <c r="CJ889">
        <v>0</v>
      </c>
      <c r="CK889">
        <v>1</v>
      </c>
      <c r="CL889">
        <v>0</v>
      </c>
      <c r="CM889">
        <v>1</v>
      </c>
      <c r="CN889">
        <v>0</v>
      </c>
      <c r="CO889">
        <v>0</v>
      </c>
      <c r="CP889">
        <v>1</v>
      </c>
      <c r="CQ889" s="18">
        <v>0</v>
      </c>
      <c r="CR889">
        <v>0</v>
      </c>
      <c r="CS889">
        <v>0</v>
      </c>
      <c r="CT889">
        <v>0</v>
      </c>
      <c r="CU889">
        <v>1</v>
      </c>
      <c r="CV889">
        <v>16</v>
      </c>
      <c r="DB889" s="34"/>
    </row>
    <row r="890" spans="1:106" x14ac:dyDescent="0.25">
      <c r="A890">
        <v>889</v>
      </c>
      <c r="B890">
        <v>61</v>
      </c>
      <c r="C890" s="25" t="s">
        <v>4088</v>
      </c>
      <c r="D890" s="12">
        <v>8</v>
      </c>
      <c r="E890" s="14">
        <v>0.34</v>
      </c>
      <c r="F890" s="7">
        <f t="shared" si="257"/>
        <v>23.52941176470588</v>
      </c>
      <c r="G890" s="7">
        <f t="shared" si="245"/>
        <v>7.66</v>
      </c>
      <c r="H890" s="16">
        <f t="shared" si="246"/>
        <v>8.34</v>
      </c>
      <c r="I890" s="11">
        <f t="shared" si="247"/>
        <v>0.30872663043685711</v>
      </c>
      <c r="J890" s="33">
        <f t="shared" si="248"/>
        <v>1.3120881793566429E-2</v>
      </c>
      <c r="K890" s="33">
        <f t="shared" si="249"/>
        <v>76.21438983547057</v>
      </c>
      <c r="L890" s="33">
        <f t="shared" si="250"/>
        <v>0.2956057486432907</v>
      </c>
      <c r="M890" s="33">
        <f t="shared" si="251"/>
        <v>0.32184751223042352</v>
      </c>
      <c r="N890" s="8">
        <v>1</v>
      </c>
      <c r="O890" s="9">
        <v>0</v>
      </c>
      <c r="P890" s="8">
        <v>0</v>
      </c>
      <c r="Q890" s="9">
        <v>1</v>
      </c>
      <c r="R890" s="9">
        <v>0</v>
      </c>
      <c r="S890" s="9">
        <v>0</v>
      </c>
      <c r="T890" s="9">
        <v>0</v>
      </c>
      <c r="U890" s="8">
        <v>5261</v>
      </c>
      <c r="V890" s="9">
        <v>5</v>
      </c>
      <c r="W890" s="9">
        <f t="shared" si="252"/>
        <v>5255</v>
      </c>
      <c r="X890" s="9">
        <f t="shared" si="253"/>
        <v>12</v>
      </c>
      <c r="Y890" s="7">
        <v>11.57</v>
      </c>
      <c r="Z890" s="7">
        <v>24.15</v>
      </c>
      <c r="AA890" s="9">
        <v>1</v>
      </c>
      <c r="AB890" s="9">
        <v>0</v>
      </c>
      <c r="AC890" s="9">
        <v>1</v>
      </c>
      <c r="AD890" s="9">
        <v>0</v>
      </c>
      <c r="AE890" s="9">
        <v>0</v>
      </c>
      <c r="AF890" s="9">
        <v>0</v>
      </c>
      <c r="AG890" s="8">
        <v>0</v>
      </c>
      <c r="AH890" s="9">
        <v>1</v>
      </c>
      <c r="AI890" s="30">
        <v>0</v>
      </c>
      <c r="AJ890" s="9">
        <v>0</v>
      </c>
      <c r="AK890" s="30">
        <v>1</v>
      </c>
      <c r="AL890" s="21">
        <v>2002</v>
      </c>
      <c r="AM890" s="23">
        <f t="shared" si="254"/>
        <v>7.6019019598751658</v>
      </c>
      <c r="AN890" s="33" t="s">
        <v>104</v>
      </c>
      <c r="AO890" s="33" t="s">
        <v>104</v>
      </c>
      <c r="AP890" s="33" t="s">
        <v>104</v>
      </c>
      <c r="AQ890" s="43" t="s">
        <v>104</v>
      </c>
      <c r="AR890" s="42">
        <v>1</v>
      </c>
      <c r="AS890" s="18">
        <v>0</v>
      </c>
      <c r="AT890" s="33">
        <v>0.52739999999999998</v>
      </c>
      <c r="AU890" s="40">
        <f t="shared" si="258"/>
        <v>0.47260000000000002</v>
      </c>
      <c r="AV890" t="s">
        <v>104</v>
      </c>
      <c r="AW890" s="40" t="s">
        <v>104</v>
      </c>
      <c r="AX890">
        <v>0</v>
      </c>
      <c r="AY890" s="18">
        <v>1</v>
      </c>
      <c r="AZ890">
        <v>0</v>
      </c>
      <c r="BA890" s="18">
        <v>1</v>
      </c>
      <c r="BB890" s="18" t="s">
        <v>5</v>
      </c>
      <c r="BC890">
        <v>0</v>
      </c>
      <c r="BD890">
        <v>1</v>
      </c>
      <c r="BE890">
        <v>0</v>
      </c>
      <c r="BF890">
        <v>0</v>
      </c>
      <c r="BG890">
        <v>0</v>
      </c>
      <c r="BH890" s="18">
        <v>0</v>
      </c>
      <c r="BI890">
        <v>0</v>
      </c>
      <c r="BJ890">
        <v>1</v>
      </c>
      <c r="BK890" s="18">
        <v>0</v>
      </c>
      <c r="BL890">
        <v>127.1666666666667</v>
      </c>
      <c r="BM890">
        <v>27</v>
      </c>
      <c r="BN890" s="25">
        <v>41.72</v>
      </c>
      <c r="BO890">
        <v>1</v>
      </c>
      <c r="BP890">
        <v>0</v>
      </c>
      <c r="BQ890">
        <v>0</v>
      </c>
      <c r="BR890">
        <v>0</v>
      </c>
      <c r="BS890">
        <v>0</v>
      </c>
      <c r="BT890">
        <v>0</v>
      </c>
      <c r="BU890">
        <v>0</v>
      </c>
      <c r="BV890" s="18">
        <v>0</v>
      </c>
      <c r="BW890">
        <v>0</v>
      </c>
      <c r="BX890">
        <v>0</v>
      </c>
      <c r="BY890">
        <v>1</v>
      </c>
      <c r="BZ890" s="18">
        <v>0</v>
      </c>
      <c r="CA890">
        <v>0</v>
      </c>
      <c r="CB890">
        <v>0</v>
      </c>
      <c r="CC890">
        <v>0</v>
      </c>
      <c r="CD890">
        <v>0</v>
      </c>
      <c r="CE890">
        <v>0</v>
      </c>
      <c r="CF890" s="18">
        <v>0</v>
      </c>
      <c r="CG890">
        <v>0</v>
      </c>
      <c r="CH890">
        <v>0</v>
      </c>
      <c r="CI890">
        <v>1</v>
      </c>
      <c r="CJ890">
        <v>0</v>
      </c>
      <c r="CK890">
        <v>1</v>
      </c>
      <c r="CL890">
        <v>0</v>
      </c>
      <c r="CM890">
        <v>1</v>
      </c>
      <c r="CN890">
        <v>0</v>
      </c>
      <c r="CO890">
        <v>0</v>
      </c>
      <c r="CP890">
        <v>1</v>
      </c>
      <c r="CQ890" s="18">
        <v>0</v>
      </c>
      <c r="CR890">
        <v>0</v>
      </c>
      <c r="CS890">
        <v>0</v>
      </c>
      <c r="CT890">
        <v>0</v>
      </c>
      <c r="CU890">
        <v>1</v>
      </c>
      <c r="CV890">
        <v>16</v>
      </c>
      <c r="DB890" s="34"/>
    </row>
    <row r="891" spans="1:106" x14ac:dyDescent="0.25">
      <c r="A891">
        <v>890</v>
      </c>
      <c r="B891">
        <v>61</v>
      </c>
      <c r="C891" s="25" t="s">
        <v>4088</v>
      </c>
      <c r="D891" s="12">
        <v>10.36</v>
      </c>
      <c r="E891" s="14">
        <v>0.44</v>
      </c>
      <c r="F891" s="7">
        <f t="shared" si="257"/>
        <v>23.545454545454543</v>
      </c>
      <c r="G891" s="7">
        <f t="shared" si="245"/>
        <v>9.92</v>
      </c>
      <c r="H891" s="16">
        <f t="shared" si="246"/>
        <v>10.799999999999999</v>
      </c>
      <c r="I891" s="11">
        <f t="shared" si="247"/>
        <v>0.3405813910739538</v>
      </c>
      <c r="J891" s="33">
        <f t="shared" si="248"/>
        <v>1.4464846725148618E-2</v>
      </c>
      <c r="K891" s="33">
        <f t="shared" si="249"/>
        <v>69.133121076312378</v>
      </c>
      <c r="L891" s="33">
        <f t="shared" si="250"/>
        <v>0.32611654434880516</v>
      </c>
      <c r="M891" s="33">
        <f t="shared" si="251"/>
        <v>0.35504623779910244</v>
      </c>
      <c r="N891" s="8">
        <v>1</v>
      </c>
      <c r="O891" s="9">
        <v>0</v>
      </c>
      <c r="P891" s="8">
        <v>0</v>
      </c>
      <c r="Q891" s="9">
        <v>1</v>
      </c>
      <c r="R891" s="9">
        <v>0</v>
      </c>
      <c r="S891" s="9">
        <v>0</v>
      </c>
      <c r="T891" s="9">
        <v>0</v>
      </c>
      <c r="U891" s="8">
        <v>4231</v>
      </c>
      <c r="V891" s="9">
        <v>5</v>
      </c>
      <c r="W891" s="9">
        <f t="shared" si="252"/>
        <v>4225</v>
      </c>
      <c r="X891" s="9">
        <f t="shared" si="253"/>
        <v>12</v>
      </c>
      <c r="Y891" s="7">
        <v>11.46</v>
      </c>
      <c r="Z891" s="7">
        <v>21.32</v>
      </c>
      <c r="AA891" s="9">
        <v>1</v>
      </c>
      <c r="AB891" s="9">
        <v>0</v>
      </c>
      <c r="AC891" s="9">
        <v>1</v>
      </c>
      <c r="AD891" s="9">
        <v>0</v>
      </c>
      <c r="AE891" s="9">
        <v>0</v>
      </c>
      <c r="AF891" s="9">
        <v>0</v>
      </c>
      <c r="AG891" s="8">
        <v>0</v>
      </c>
      <c r="AH891" s="9">
        <v>1</v>
      </c>
      <c r="AI891" s="30">
        <v>0</v>
      </c>
      <c r="AJ891" s="9">
        <v>0</v>
      </c>
      <c r="AK891" s="30">
        <v>1</v>
      </c>
      <c r="AL891" s="21">
        <v>2002</v>
      </c>
      <c r="AM891" s="23">
        <f t="shared" si="254"/>
        <v>7.6019019598751658</v>
      </c>
      <c r="AN891" s="33" t="s">
        <v>104</v>
      </c>
      <c r="AO891" s="33" t="s">
        <v>104</v>
      </c>
      <c r="AP891" s="33" t="s">
        <v>104</v>
      </c>
      <c r="AQ891" s="43" t="s">
        <v>104</v>
      </c>
      <c r="AR891" s="42">
        <v>1</v>
      </c>
      <c r="AS891" s="18">
        <v>0</v>
      </c>
      <c r="AT891" s="33">
        <v>0.52739999999999998</v>
      </c>
      <c r="AU891" s="40">
        <f t="shared" si="258"/>
        <v>0.47260000000000002</v>
      </c>
      <c r="AV891" t="s">
        <v>104</v>
      </c>
      <c r="AW891" s="40" t="s">
        <v>104</v>
      </c>
      <c r="AX891">
        <v>0</v>
      </c>
      <c r="AY891" s="18">
        <v>1</v>
      </c>
      <c r="AZ891">
        <v>0</v>
      </c>
      <c r="BA891" s="18">
        <v>1</v>
      </c>
      <c r="BB891" s="18" t="s">
        <v>5</v>
      </c>
      <c r="BC891">
        <v>0</v>
      </c>
      <c r="BD891">
        <v>1</v>
      </c>
      <c r="BE891">
        <v>0</v>
      </c>
      <c r="BF891">
        <v>0</v>
      </c>
      <c r="BG891">
        <v>0</v>
      </c>
      <c r="BH891" s="18">
        <v>0</v>
      </c>
      <c r="BI891">
        <v>0</v>
      </c>
      <c r="BJ891">
        <v>1</v>
      </c>
      <c r="BK891" s="18">
        <v>0</v>
      </c>
      <c r="BL891">
        <v>127.1666666666667</v>
      </c>
      <c r="BM891">
        <v>27</v>
      </c>
      <c r="BN891" s="25">
        <v>38.78</v>
      </c>
      <c r="BO891">
        <v>1</v>
      </c>
      <c r="BP891">
        <v>0</v>
      </c>
      <c r="BQ891">
        <v>0</v>
      </c>
      <c r="BR891">
        <v>0</v>
      </c>
      <c r="BS891">
        <v>0</v>
      </c>
      <c r="BT891">
        <v>0</v>
      </c>
      <c r="BU891">
        <v>0</v>
      </c>
      <c r="BV891" s="18">
        <v>0</v>
      </c>
      <c r="BW891">
        <v>0</v>
      </c>
      <c r="BX891">
        <v>0</v>
      </c>
      <c r="BY891">
        <v>1</v>
      </c>
      <c r="BZ891" s="18">
        <v>0</v>
      </c>
      <c r="CA891">
        <v>0</v>
      </c>
      <c r="CB891">
        <v>0</v>
      </c>
      <c r="CC891">
        <v>0</v>
      </c>
      <c r="CD891">
        <v>0</v>
      </c>
      <c r="CE891">
        <v>0</v>
      </c>
      <c r="CF891" s="18">
        <v>0</v>
      </c>
      <c r="CG891">
        <v>0</v>
      </c>
      <c r="CH891">
        <v>0</v>
      </c>
      <c r="CI891">
        <v>1</v>
      </c>
      <c r="CJ891">
        <v>0</v>
      </c>
      <c r="CK891">
        <v>1</v>
      </c>
      <c r="CL891">
        <v>0</v>
      </c>
      <c r="CM891">
        <v>1</v>
      </c>
      <c r="CN891">
        <v>0</v>
      </c>
      <c r="CO891">
        <v>0</v>
      </c>
      <c r="CP891">
        <v>1</v>
      </c>
      <c r="CQ891" s="18">
        <v>0</v>
      </c>
      <c r="CR891">
        <v>0</v>
      </c>
      <c r="CS891">
        <v>0</v>
      </c>
      <c r="CT891">
        <v>0</v>
      </c>
      <c r="CU891">
        <v>1</v>
      </c>
      <c r="CV891">
        <v>16</v>
      </c>
      <c r="DB891" s="34"/>
    </row>
    <row r="892" spans="1:106" x14ac:dyDescent="0.25">
      <c r="A892">
        <v>891</v>
      </c>
      <c r="B892">
        <v>61</v>
      </c>
      <c r="C892" s="25" t="s">
        <v>4088</v>
      </c>
      <c r="D892" s="12">
        <v>6.99</v>
      </c>
      <c r="E892" s="14">
        <v>0.2</v>
      </c>
      <c r="F892" s="7">
        <f t="shared" si="257"/>
        <v>34.949999999999996</v>
      </c>
      <c r="G892" s="7">
        <f t="shared" si="245"/>
        <v>6.79</v>
      </c>
      <c r="H892" s="16">
        <f t="shared" si="246"/>
        <v>7.19</v>
      </c>
      <c r="I892" s="11">
        <f t="shared" si="247"/>
        <v>0.32336858551691083</v>
      </c>
      <c r="J892" s="33">
        <f t="shared" si="248"/>
        <v>9.2523200434023144E-3</v>
      </c>
      <c r="K892" s="33">
        <f t="shared" si="249"/>
        <v>108.08099971780423</v>
      </c>
      <c r="L892" s="33">
        <f t="shared" si="250"/>
        <v>0.31411626547350852</v>
      </c>
      <c r="M892" s="33">
        <f t="shared" si="251"/>
        <v>0.33262090556031315</v>
      </c>
      <c r="N892" s="8">
        <v>1</v>
      </c>
      <c r="O892" s="9">
        <v>0</v>
      </c>
      <c r="P892" s="8">
        <v>0</v>
      </c>
      <c r="Q892" s="9">
        <v>1</v>
      </c>
      <c r="R892" s="9">
        <v>0</v>
      </c>
      <c r="S892" s="9">
        <v>0</v>
      </c>
      <c r="T892" s="9">
        <v>0</v>
      </c>
      <c r="U892" s="8">
        <v>10466</v>
      </c>
      <c r="V892" s="9">
        <v>5</v>
      </c>
      <c r="W892" s="9">
        <f t="shared" si="252"/>
        <v>10460</v>
      </c>
      <c r="X892" s="9">
        <f t="shared" si="253"/>
        <v>12</v>
      </c>
      <c r="Y892" s="7">
        <f>AVERAGE(Y893,Y894)</f>
        <v>10.74</v>
      </c>
      <c r="Z892" s="7">
        <f>AVERAGE(Z893,Z894)</f>
        <v>21.614999999999998</v>
      </c>
      <c r="AA892" s="9">
        <v>1</v>
      </c>
      <c r="AB892" s="9">
        <v>0</v>
      </c>
      <c r="AC892" s="9">
        <v>1</v>
      </c>
      <c r="AD892" s="9">
        <v>0</v>
      </c>
      <c r="AE892" s="9">
        <v>0</v>
      </c>
      <c r="AF892" s="9">
        <v>0</v>
      </c>
      <c r="AG892" s="8">
        <v>0</v>
      </c>
      <c r="AH892" s="9">
        <v>1</v>
      </c>
      <c r="AI892" s="30">
        <v>0</v>
      </c>
      <c r="AJ892" s="9">
        <v>0</v>
      </c>
      <c r="AK892" s="30">
        <v>1</v>
      </c>
      <c r="AL892" s="21">
        <v>1995</v>
      </c>
      <c r="AM892" s="23">
        <f t="shared" si="254"/>
        <v>7.5983993293239642</v>
      </c>
      <c r="AN892" s="33" t="s">
        <v>104</v>
      </c>
      <c r="AO892" s="33" t="s">
        <v>104</v>
      </c>
      <c r="AP892" s="33" t="s">
        <v>104</v>
      </c>
      <c r="AQ892" s="43" t="s">
        <v>104</v>
      </c>
      <c r="AR892" s="42">
        <v>1</v>
      </c>
      <c r="AS892" s="18">
        <v>0</v>
      </c>
      <c r="AT892" s="33">
        <v>0.55420000000000003</v>
      </c>
      <c r="AU892" s="40">
        <f t="shared" si="258"/>
        <v>0.44579999999999997</v>
      </c>
      <c r="AV892" t="s">
        <v>104</v>
      </c>
      <c r="AW892" s="40" t="s">
        <v>104</v>
      </c>
      <c r="AX892">
        <v>0</v>
      </c>
      <c r="AY892" s="18">
        <v>1</v>
      </c>
      <c r="AZ892">
        <v>0</v>
      </c>
      <c r="BA892" s="18">
        <v>1</v>
      </c>
      <c r="BB892" s="18" t="s">
        <v>5</v>
      </c>
      <c r="BC892">
        <v>0</v>
      </c>
      <c r="BD892">
        <v>1</v>
      </c>
      <c r="BE892">
        <v>0</v>
      </c>
      <c r="BF892">
        <v>0</v>
      </c>
      <c r="BG892">
        <v>0</v>
      </c>
      <c r="BH892" s="18">
        <v>0</v>
      </c>
      <c r="BI892">
        <v>0</v>
      </c>
      <c r="BJ892">
        <v>1</v>
      </c>
      <c r="BK892" s="18">
        <v>0</v>
      </c>
      <c r="BL892">
        <v>127.1666666666667</v>
      </c>
      <c r="BM892">
        <v>27</v>
      </c>
      <c r="BN892" s="25">
        <f>AVERAGE(BN893:BN894)</f>
        <v>38.355000000000004</v>
      </c>
      <c r="BO892">
        <v>1</v>
      </c>
      <c r="BP892">
        <v>0</v>
      </c>
      <c r="BQ892">
        <v>0</v>
      </c>
      <c r="BR892">
        <v>0</v>
      </c>
      <c r="BS892">
        <v>0</v>
      </c>
      <c r="BT892">
        <v>0</v>
      </c>
      <c r="BU892">
        <v>0</v>
      </c>
      <c r="BV892" s="18">
        <v>0</v>
      </c>
      <c r="BW892">
        <v>0</v>
      </c>
      <c r="BX892">
        <v>0</v>
      </c>
      <c r="BY892">
        <v>1</v>
      </c>
      <c r="BZ892" s="18">
        <v>0</v>
      </c>
      <c r="CA892">
        <v>0</v>
      </c>
      <c r="CB892">
        <v>0</v>
      </c>
      <c r="CC892">
        <v>0</v>
      </c>
      <c r="CD892">
        <v>0</v>
      </c>
      <c r="CE892">
        <v>0</v>
      </c>
      <c r="CF892" s="18">
        <v>0</v>
      </c>
      <c r="CG892">
        <v>0</v>
      </c>
      <c r="CH892">
        <v>0</v>
      </c>
      <c r="CI892">
        <v>1</v>
      </c>
      <c r="CJ892">
        <v>0</v>
      </c>
      <c r="CK892">
        <v>1</v>
      </c>
      <c r="CL892">
        <v>0</v>
      </c>
      <c r="CM892">
        <v>1</v>
      </c>
      <c r="CN892">
        <v>0</v>
      </c>
      <c r="CO892">
        <v>0</v>
      </c>
      <c r="CP892">
        <v>1</v>
      </c>
      <c r="CQ892" s="18">
        <v>0</v>
      </c>
      <c r="CR892">
        <v>0</v>
      </c>
      <c r="CS892">
        <v>0</v>
      </c>
      <c r="CT892">
        <v>0</v>
      </c>
      <c r="CU892">
        <v>1</v>
      </c>
      <c r="CV892">
        <v>16</v>
      </c>
      <c r="DB892" s="34"/>
    </row>
    <row r="893" spans="1:106" x14ac:dyDescent="0.25">
      <c r="A893">
        <v>892</v>
      </c>
      <c r="B893">
        <v>61</v>
      </c>
      <c r="C893" s="25" t="s">
        <v>4088</v>
      </c>
      <c r="D893" s="12">
        <v>6.24</v>
      </c>
      <c r="E893" s="14">
        <v>0.24</v>
      </c>
      <c r="F893" s="7">
        <f t="shared" si="257"/>
        <v>26.000000000000004</v>
      </c>
      <c r="G893" s="7">
        <f t="shared" si="245"/>
        <v>6</v>
      </c>
      <c r="H893" s="16">
        <f t="shared" si="246"/>
        <v>6.48</v>
      </c>
      <c r="I893" s="11">
        <f t="shared" si="247"/>
        <v>0.33046694334865567</v>
      </c>
      <c r="J893" s="33">
        <f t="shared" si="248"/>
        <v>1.2710267051871369E-2</v>
      </c>
      <c r="K893" s="33">
        <f t="shared" si="249"/>
        <v>78.676553051083786</v>
      </c>
      <c r="L893" s="33">
        <f t="shared" si="250"/>
        <v>0.31775667629678428</v>
      </c>
      <c r="M893" s="33">
        <f t="shared" si="251"/>
        <v>0.34317721040052707</v>
      </c>
      <c r="N893" s="8">
        <v>1</v>
      </c>
      <c r="O893" s="9">
        <v>0</v>
      </c>
      <c r="P893" s="8">
        <v>0</v>
      </c>
      <c r="Q893" s="9">
        <v>1</v>
      </c>
      <c r="R893" s="9">
        <v>0</v>
      </c>
      <c r="S893" s="9">
        <v>0</v>
      </c>
      <c r="T893" s="9">
        <v>0</v>
      </c>
      <c r="U893" s="8">
        <v>5520</v>
      </c>
      <c r="V893" s="9">
        <v>5</v>
      </c>
      <c r="W893" s="9">
        <f t="shared" si="252"/>
        <v>5514</v>
      </c>
      <c r="X893" s="9">
        <f t="shared" si="253"/>
        <v>12</v>
      </c>
      <c r="Y893" s="7">
        <v>11.05</v>
      </c>
      <c r="Z893" s="7">
        <v>22.58</v>
      </c>
      <c r="AA893" s="9">
        <v>1</v>
      </c>
      <c r="AB893" s="9">
        <v>0</v>
      </c>
      <c r="AC893" s="9">
        <v>1</v>
      </c>
      <c r="AD893" s="9">
        <v>0</v>
      </c>
      <c r="AE893" s="9">
        <v>0</v>
      </c>
      <c r="AF893" s="9">
        <v>0</v>
      </c>
      <c r="AG893" s="8">
        <v>0</v>
      </c>
      <c r="AH893" s="9">
        <v>1</v>
      </c>
      <c r="AI893" s="30">
        <v>0</v>
      </c>
      <c r="AJ893" s="9">
        <v>0</v>
      </c>
      <c r="AK893" s="30">
        <v>1</v>
      </c>
      <c r="AL893" s="21">
        <v>1995</v>
      </c>
      <c r="AM893" s="23">
        <f t="shared" si="254"/>
        <v>7.5983993293239642</v>
      </c>
      <c r="AN893" s="33" t="s">
        <v>104</v>
      </c>
      <c r="AO893" s="33" t="s">
        <v>104</v>
      </c>
      <c r="AP893" s="33" t="s">
        <v>104</v>
      </c>
      <c r="AQ893" s="43" t="s">
        <v>104</v>
      </c>
      <c r="AR893" s="42">
        <v>1</v>
      </c>
      <c r="AS893" s="18">
        <v>0</v>
      </c>
      <c r="AT893" s="33">
        <v>0.55420000000000003</v>
      </c>
      <c r="AU893" s="40">
        <f t="shared" si="258"/>
        <v>0.44579999999999997</v>
      </c>
      <c r="AV893" t="s">
        <v>104</v>
      </c>
      <c r="AW893" s="40" t="s">
        <v>104</v>
      </c>
      <c r="AX893">
        <v>0</v>
      </c>
      <c r="AY893" s="18">
        <v>1</v>
      </c>
      <c r="AZ893">
        <v>0</v>
      </c>
      <c r="BA893" s="18">
        <v>1</v>
      </c>
      <c r="BB893" s="18" t="s">
        <v>5</v>
      </c>
      <c r="BC893">
        <v>0</v>
      </c>
      <c r="BD893">
        <v>1</v>
      </c>
      <c r="BE893">
        <v>0</v>
      </c>
      <c r="BF893">
        <v>0</v>
      </c>
      <c r="BG893">
        <v>0</v>
      </c>
      <c r="BH893" s="18">
        <v>0</v>
      </c>
      <c r="BI893">
        <v>0</v>
      </c>
      <c r="BJ893">
        <v>1</v>
      </c>
      <c r="BK893" s="18">
        <v>0</v>
      </c>
      <c r="BL893">
        <v>127.1666666666667</v>
      </c>
      <c r="BM893">
        <v>27</v>
      </c>
      <c r="BN893" s="25">
        <v>39.630000000000003</v>
      </c>
      <c r="BO893">
        <v>1</v>
      </c>
      <c r="BP893">
        <v>0</v>
      </c>
      <c r="BQ893">
        <v>0</v>
      </c>
      <c r="BR893">
        <v>0</v>
      </c>
      <c r="BS893">
        <v>0</v>
      </c>
      <c r="BT893">
        <v>0</v>
      </c>
      <c r="BU893">
        <v>0</v>
      </c>
      <c r="BV893" s="18">
        <v>0</v>
      </c>
      <c r="BW893">
        <v>0</v>
      </c>
      <c r="BX893">
        <v>0</v>
      </c>
      <c r="BY893">
        <v>1</v>
      </c>
      <c r="BZ893" s="18">
        <v>0</v>
      </c>
      <c r="CA893">
        <v>0</v>
      </c>
      <c r="CB893">
        <v>0</v>
      </c>
      <c r="CC893">
        <v>0</v>
      </c>
      <c r="CD893">
        <v>0</v>
      </c>
      <c r="CE893">
        <v>0</v>
      </c>
      <c r="CF893" s="18">
        <v>0</v>
      </c>
      <c r="CG893">
        <v>0</v>
      </c>
      <c r="CH893">
        <v>0</v>
      </c>
      <c r="CI893">
        <v>1</v>
      </c>
      <c r="CJ893">
        <v>0</v>
      </c>
      <c r="CK893">
        <v>1</v>
      </c>
      <c r="CL893">
        <v>0</v>
      </c>
      <c r="CM893">
        <v>1</v>
      </c>
      <c r="CN893">
        <v>0</v>
      </c>
      <c r="CO893">
        <v>0</v>
      </c>
      <c r="CP893">
        <v>1</v>
      </c>
      <c r="CQ893" s="18">
        <v>0</v>
      </c>
      <c r="CR893">
        <v>0</v>
      </c>
      <c r="CS893">
        <v>0</v>
      </c>
      <c r="CT893">
        <v>0</v>
      </c>
      <c r="CU893">
        <v>1</v>
      </c>
      <c r="CV893">
        <v>16</v>
      </c>
      <c r="DB893" s="34"/>
    </row>
    <row r="894" spans="1:106" x14ac:dyDescent="0.25">
      <c r="A894">
        <v>893</v>
      </c>
      <c r="B894">
        <v>61</v>
      </c>
      <c r="C894" s="25" t="s">
        <v>4088</v>
      </c>
      <c r="D894" s="12">
        <v>7.82</v>
      </c>
      <c r="E894" s="14">
        <v>0.27</v>
      </c>
      <c r="F894" s="7">
        <f t="shared" si="257"/>
        <v>28.962962962962962</v>
      </c>
      <c r="G894" s="7">
        <f t="shared" si="245"/>
        <v>7.5500000000000007</v>
      </c>
      <c r="H894" s="16">
        <f t="shared" si="246"/>
        <v>8.09</v>
      </c>
      <c r="I894" s="11">
        <f t="shared" si="247"/>
        <v>0.38099752713393192</v>
      </c>
      <c r="J894" s="33">
        <f t="shared" si="248"/>
        <v>1.3154646077514275E-2</v>
      </c>
      <c r="K894" s="33">
        <f t="shared" si="249"/>
        <v>76.018768890281066</v>
      </c>
      <c r="L894" s="33">
        <f t="shared" si="250"/>
        <v>0.36784288105641766</v>
      </c>
      <c r="M894" s="33">
        <f t="shared" si="251"/>
        <v>0.39415217321144619</v>
      </c>
      <c r="N894" s="8">
        <v>1</v>
      </c>
      <c r="O894" s="9">
        <v>0</v>
      </c>
      <c r="P894" s="8">
        <v>0</v>
      </c>
      <c r="Q894" s="9">
        <v>1</v>
      </c>
      <c r="R894" s="9">
        <v>0</v>
      </c>
      <c r="S894" s="9">
        <v>0</v>
      </c>
      <c r="T894" s="9">
        <v>0</v>
      </c>
      <c r="U894" s="8">
        <v>4946</v>
      </c>
      <c r="V894" s="9">
        <v>5</v>
      </c>
      <c r="W894" s="9">
        <f t="shared" si="252"/>
        <v>4940</v>
      </c>
      <c r="X894" s="9">
        <f t="shared" si="253"/>
        <v>12</v>
      </c>
      <c r="Y894" s="7">
        <v>10.43</v>
      </c>
      <c r="Z894" s="7">
        <v>20.65</v>
      </c>
      <c r="AA894" s="9">
        <v>1</v>
      </c>
      <c r="AB894" s="9">
        <v>0</v>
      </c>
      <c r="AC894" s="9">
        <v>1</v>
      </c>
      <c r="AD894" s="9">
        <v>0</v>
      </c>
      <c r="AE894" s="9">
        <v>0</v>
      </c>
      <c r="AF894" s="9">
        <v>0</v>
      </c>
      <c r="AG894" s="8">
        <v>0</v>
      </c>
      <c r="AH894" s="9">
        <v>1</v>
      </c>
      <c r="AI894" s="30">
        <v>0</v>
      </c>
      <c r="AJ894" s="9">
        <v>0</v>
      </c>
      <c r="AK894" s="30">
        <v>1</v>
      </c>
      <c r="AL894" s="21">
        <v>1995</v>
      </c>
      <c r="AM894" s="23">
        <f t="shared" si="254"/>
        <v>7.5983993293239642</v>
      </c>
      <c r="AN894" s="33" t="s">
        <v>104</v>
      </c>
      <c r="AO894" s="33" t="s">
        <v>104</v>
      </c>
      <c r="AP894" s="33" t="s">
        <v>104</v>
      </c>
      <c r="AQ894" s="43" t="s">
        <v>104</v>
      </c>
      <c r="AR894" s="42">
        <v>1</v>
      </c>
      <c r="AS894" s="18">
        <v>0</v>
      </c>
      <c r="AT894" s="33">
        <v>0.55420000000000003</v>
      </c>
      <c r="AU894" s="40">
        <f t="shared" si="258"/>
        <v>0.44579999999999997</v>
      </c>
      <c r="AV894" t="s">
        <v>104</v>
      </c>
      <c r="AW894" s="40" t="s">
        <v>104</v>
      </c>
      <c r="AX894">
        <v>0</v>
      </c>
      <c r="AY894" s="18">
        <v>1</v>
      </c>
      <c r="AZ894">
        <v>0</v>
      </c>
      <c r="BA894" s="18">
        <v>1</v>
      </c>
      <c r="BB894" s="18" t="s">
        <v>5</v>
      </c>
      <c r="BC894">
        <v>0</v>
      </c>
      <c r="BD894">
        <v>1</v>
      </c>
      <c r="BE894">
        <v>0</v>
      </c>
      <c r="BF894">
        <v>0</v>
      </c>
      <c r="BG894">
        <v>0</v>
      </c>
      <c r="BH894" s="18">
        <v>0</v>
      </c>
      <c r="BI894">
        <v>0</v>
      </c>
      <c r="BJ894">
        <v>1</v>
      </c>
      <c r="BK894" s="18">
        <v>0</v>
      </c>
      <c r="BL894">
        <v>127.1666666666667</v>
      </c>
      <c r="BM894">
        <v>27</v>
      </c>
      <c r="BN894" s="25">
        <v>37.08</v>
      </c>
      <c r="BO894">
        <v>1</v>
      </c>
      <c r="BP894">
        <v>0</v>
      </c>
      <c r="BQ894">
        <v>0</v>
      </c>
      <c r="BR894">
        <v>0</v>
      </c>
      <c r="BS894">
        <v>0</v>
      </c>
      <c r="BT894">
        <v>0</v>
      </c>
      <c r="BU894">
        <v>0</v>
      </c>
      <c r="BV894" s="18">
        <v>0</v>
      </c>
      <c r="BW894">
        <v>0</v>
      </c>
      <c r="BX894">
        <v>0</v>
      </c>
      <c r="BY894">
        <v>1</v>
      </c>
      <c r="BZ894" s="18">
        <v>0</v>
      </c>
      <c r="CA894">
        <v>0</v>
      </c>
      <c r="CB894">
        <v>0</v>
      </c>
      <c r="CC894">
        <v>0</v>
      </c>
      <c r="CD894">
        <v>0</v>
      </c>
      <c r="CE894">
        <v>0</v>
      </c>
      <c r="CF894" s="18">
        <v>0</v>
      </c>
      <c r="CG894">
        <v>0</v>
      </c>
      <c r="CH894">
        <v>0</v>
      </c>
      <c r="CI894">
        <v>1</v>
      </c>
      <c r="CJ894">
        <v>0</v>
      </c>
      <c r="CK894">
        <v>1</v>
      </c>
      <c r="CL894">
        <v>0</v>
      </c>
      <c r="CM894">
        <v>1</v>
      </c>
      <c r="CN894">
        <v>0</v>
      </c>
      <c r="CO894">
        <v>0</v>
      </c>
      <c r="CP894">
        <v>1</v>
      </c>
      <c r="CQ894" s="18">
        <v>0</v>
      </c>
      <c r="CR894">
        <v>0</v>
      </c>
      <c r="CS894">
        <v>0</v>
      </c>
      <c r="CT894">
        <v>0</v>
      </c>
      <c r="CU894">
        <v>1</v>
      </c>
      <c r="CV894">
        <v>16</v>
      </c>
      <c r="DB894" s="34"/>
    </row>
    <row r="895" spans="1:106" x14ac:dyDescent="0.25">
      <c r="A895">
        <v>894</v>
      </c>
      <c r="B895">
        <v>61</v>
      </c>
      <c r="C895" s="25" t="s">
        <v>4088</v>
      </c>
      <c r="D895" s="12">
        <v>10.14</v>
      </c>
      <c r="E895" s="14">
        <v>0.27</v>
      </c>
      <c r="F895" s="7">
        <f t="shared" si="257"/>
        <v>37.555555555555557</v>
      </c>
      <c r="G895" s="7">
        <f t="shared" si="245"/>
        <v>9.870000000000001</v>
      </c>
      <c r="H895" s="16">
        <f t="shared" si="246"/>
        <v>10.41</v>
      </c>
      <c r="I895" s="11">
        <f t="shared" si="247"/>
        <v>0.35977607409251577</v>
      </c>
      <c r="J895" s="33">
        <f t="shared" si="248"/>
        <v>9.579836292404267E-3</v>
      </c>
      <c r="K895" s="33">
        <f t="shared" si="249"/>
        <v>104.38591740788802</v>
      </c>
      <c r="L895" s="33">
        <f t="shared" si="250"/>
        <v>0.3501962378001115</v>
      </c>
      <c r="M895" s="33">
        <f t="shared" si="251"/>
        <v>0.36935591038492005</v>
      </c>
      <c r="N895" s="8">
        <v>1</v>
      </c>
      <c r="O895" s="9">
        <v>0</v>
      </c>
      <c r="P895" s="8">
        <v>0</v>
      </c>
      <c r="Q895" s="9">
        <v>1</v>
      </c>
      <c r="R895" s="9">
        <v>0</v>
      </c>
      <c r="S895" s="9">
        <v>0</v>
      </c>
      <c r="T895" s="9">
        <v>0</v>
      </c>
      <c r="U895" s="8">
        <v>9492</v>
      </c>
      <c r="V895" s="9">
        <v>5</v>
      </c>
      <c r="W895" s="9">
        <f t="shared" si="252"/>
        <v>9486</v>
      </c>
      <c r="X895" s="9">
        <f t="shared" si="253"/>
        <v>12</v>
      </c>
      <c r="Y895" s="7">
        <f>AVERAGE(Y896,Y897)</f>
        <v>11.515000000000001</v>
      </c>
      <c r="Z895" s="7">
        <f>AVERAGE(Z896,Z897)</f>
        <v>22.734999999999999</v>
      </c>
      <c r="AA895" s="9">
        <v>1</v>
      </c>
      <c r="AB895" s="9">
        <v>0</v>
      </c>
      <c r="AC895" s="9">
        <v>1</v>
      </c>
      <c r="AD895" s="9">
        <v>0</v>
      </c>
      <c r="AE895" s="9">
        <v>0</v>
      </c>
      <c r="AF895" s="9">
        <v>0</v>
      </c>
      <c r="AG895" s="8">
        <v>0</v>
      </c>
      <c r="AH895" s="9">
        <v>1</v>
      </c>
      <c r="AI895" s="30">
        <v>0</v>
      </c>
      <c r="AJ895" s="9">
        <v>0</v>
      </c>
      <c r="AK895" s="30">
        <v>1</v>
      </c>
      <c r="AL895" s="21">
        <v>2002</v>
      </c>
      <c r="AM895" s="23">
        <f t="shared" si="254"/>
        <v>7.6019019598751658</v>
      </c>
      <c r="AN895" s="33" t="s">
        <v>104</v>
      </c>
      <c r="AO895" s="33" t="s">
        <v>104</v>
      </c>
      <c r="AP895" s="33" t="s">
        <v>104</v>
      </c>
      <c r="AQ895" s="43" t="s">
        <v>104</v>
      </c>
      <c r="AR895" s="42">
        <v>1</v>
      </c>
      <c r="AS895" s="18">
        <v>0</v>
      </c>
      <c r="AT895" s="33">
        <v>0.55420000000000003</v>
      </c>
      <c r="AU895" s="40">
        <f t="shared" si="258"/>
        <v>0.44579999999999997</v>
      </c>
      <c r="AV895" t="s">
        <v>104</v>
      </c>
      <c r="AW895" s="40" t="s">
        <v>104</v>
      </c>
      <c r="AX895">
        <v>0</v>
      </c>
      <c r="AY895" s="18">
        <v>1</v>
      </c>
      <c r="AZ895">
        <v>0</v>
      </c>
      <c r="BA895" s="18">
        <v>1</v>
      </c>
      <c r="BB895" s="18" t="s">
        <v>5</v>
      </c>
      <c r="BC895">
        <v>0</v>
      </c>
      <c r="BD895">
        <v>1</v>
      </c>
      <c r="BE895">
        <v>0</v>
      </c>
      <c r="BF895">
        <v>0</v>
      </c>
      <c r="BG895">
        <v>0</v>
      </c>
      <c r="BH895" s="18">
        <v>0</v>
      </c>
      <c r="BI895">
        <v>0</v>
      </c>
      <c r="BJ895">
        <v>1</v>
      </c>
      <c r="BK895" s="18">
        <v>0</v>
      </c>
      <c r="BL895">
        <v>127.1666666666667</v>
      </c>
      <c r="BM895">
        <v>27</v>
      </c>
      <c r="BN895" s="25">
        <f>AVERAGE(BN896:BN897)</f>
        <v>40.25</v>
      </c>
      <c r="BO895">
        <v>1</v>
      </c>
      <c r="BP895">
        <v>0</v>
      </c>
      <c r="BQ895">
        <v>0</v>
      </c>
      <c r="BR895">
        <v>0</v>
      </c>
      <c r="BS895">
        <v>0</v>
      </c>
      <c r="BT895">
        <v>0</v>
      </c>
      <c r="BU895">
        <v>0</v>
      </c>
      <c r="BV895" s="18">
        <v>0</v>
      </c>
      <c r="BW895">
        <v>0</v>
      </c>
      <c r="BX895">
        <v>0</v>
      </c>
      <c r="BY895">
        <v>1</v>
      </c>
      <c r="BZ895" s="18">
        <v>0</v>
      </c>
      <c r="CA895">
        <v>0</v>
      </c>
      <c r="CB895">
        <v>0</v>
      </c>
      <c r="CC895">
        <v>0</v>
      </c>
      <c r="CD895">
        <v>0</v>
      </c>
      <c r="CE895">
        <v>0</v>
      </c>
      <c r="CF895" s="18">
        <v>0</v>
      </c>
      <c r="CG895">
        <v>0</v>
      </c>
      <c r="CH895">
        <v>0</v>
      </c>
      <c r="CI895">
        <v>1</v>
      </c>
      <c r="CJ895">
        <v>0</v>
      </c>
      <c r="CK895">
        <v>1</v>
      </c>
      <c r="CL895">
        <v>0</v>
      </c>
      <c r="CM895">
        <v>1</v>
      </c>
      <c r="CN895">
        <v>0</v>
      </c>
      <c r="CO895">
        <v>0</v>
      </c>
      <c r="CP895">
        <v>1</v>
      </c>
      <c r="CQ895" s="18">
        <v>0</v>
      </c>
      <c r="CR895">
        <v>0</v>
      </c>
      <c r="CS895">
        <v>0</v>
      </c>
      <c r="CT895">
        <v>0</v>
      </c>
      <c r="CU895">
        <v>1</v>
      </c>
      <c r="CV895">
        <v>16</v>
      </c>
      <c r="DB895" s="34"/>
    </row>
    <row r="896" spans="1:106" x14ac:dyDescent="0.25">
      <c r="A896">
        <v>895</v>
      </c>
      <c r="B896">
        <v>61</v>
      </c>
      <c r="C896" s="25" t="s">
        <v>4088</v>
      </c>
      <c r="D896" s="12">
        <v>9.32</v>
      </c>
      <c r="E896" s="14">
        <v>0.32</v>
      </c>
      <c r="F896" s="7">
        <f t="shared" si="257"/>
        <v>29.125</v>
      </c>
      <c r="G896" s="7">
        <f t="shared" si="245"/>
        <v>9</v>
      </c>
      <c r="H896" s="16">
        <f t="shared" si="246"/>
        <v>9.64</v>
      </c>
      <c r="I896" s="11">
        <f t="shared" si="247"/>
        <v>0.37280763517855348</v>
      </c>
      <c r="J896" s="33">
        <f t="shared" si="248"/>
        <v>1.2800262152053338E-2</v>
      </c>
      <c r="K896" s="33">
        <f t="shared" si="249"/>
        <v>78.12339998361567</v>
      </c>
      <c r="L896" s="33">
        <f t="shared" si="250"/>
        <v>0.36000737302650015</v>
      </c>
      <c r="M896" s="33">
        <f t="shared" si="251"/>
        <v>0.3856078973306068</v>
      </c>
      <c r="N896" s="8">
        <v>1</v>
      </c>
      <c r="O896" s="9">
        <v>0</v>
      </c>
      <c r="P896" s="8">
        <v>0</v>
      </c>
      <c r="Q896" s="9">
        <v>1</v>
      </c>
      <c r="R896" s="9">
        <v>0</v>
      </c>
      <c r="S896" s="9">
        <v>0</v>
      </c>
      <c r="T896" s="9">
        <v>0</v>
      </c>
      <c r="U896" s="8">
        <v>5261</v>
      </c>
      <c r="V896" s="9">
        <v>5</v>
      </c>
      <c r="W896" s="9">
        <f t="shared" si="252"/>
        <v>5255</v>
      </c>
      <c r="X896" s="9">
        <f t="shared" si="253"/>
        <v>12</v>
      </c>
      <c r="Y896" s="7">
        <v>11.57</v>
      </c>
      <c r="Z896" s="7">
        <v>24.15</v>
      </c>
      <c r="AA896" s="9">
        <v>1</v>
      </c>
      <c r="AB896" s="9">
        <v>0</v>
      </c>
      <c r="AC896" s="9">
        <v>1</v>
      </c>
      <c r="AD896" s="9">
        <v>0</v>
      </c>
      <c r="AE896" s="9">
        <v>0</v>
      </c>
      <c r="AF896" s="9">
        <v>0</v>
      </c>
      <c r="AG896" s="8">
        <v>0</v>
      </c>
      <c r="AH896" s="9">
        <v>1</v>
      </c>
      <c r="AI896" s="30">
        <v>0</v>
      </c>
      <c r="AJ896" s="9">
        <v>0</v>
      </c>
      <c r="AK896" s="30">
        <v>1</v>
      </c>
      <c r="AL896" s="21">
        <v>2002</v>
      </c>
      <c r="AM896" s="23">
        <f t="shared" si="254"/>
        <v>7.6019019598751658</v>
      </c>
      <c r="AN896" s="33" t="s">
        <v>104</v>
      </c>
      <c r="AO896" s="33" t="s">
        <v>104</v>
      </c>
      <c r="AP896" s="33" t="s">
        <v>104</v>
      </c>
      <c r="AQ896" s="43" t="s">
        <v>104</v>
      </c>
      <c r="AR896" s="42">
        <v>1</v>
      </c>
      <c r="AS896" s="18">
        <v>0</v>
      </c>
      <c r="AT896" s="33">
        <v>0.55420000000000003</v>
      </c>
      <c r="AU896" s="40">
        <f t="shared" si="258"/>
        <v>0.44579999999999997</v>
      </c>
      <c r="AV896" t="s">
        <v>104</v>
      </c>
      <c r="AW896" s="40" t="s">
        <v>104</v>
      </c>
      <c r="AX896">
        <v>0</v>
      </c>
      <c r="AY896" s="18">
        <v>1</v>
      </c>
      <c r="AZ896">
        <v>0</v>
      </c>
      <c r="BA896" s="18">
        <v>1</v>
      </c>
      <c r="BB896" s="18" t="s">
        <v>5</v>
      </c>
      <c r="BC896">
        <v>0</v>
      </c>
      <c r="BD896">
        <v>1</v>
      </c>
      <c r="BE896">
        <v>0</v>
      </c>
      <c r="BF896">
        <v>0</v>
      </c>
      <c r="BG896">
        <v>0</v>
      </c>
      <c r="BH896" s="18">
        <v>0</v>
      </c>
      <c r="BI896">
        <v>0</v>
      </c>
      <c r="BJ896">
        <v>1</v>
      </c>
      <c r="BK896" s="18">
        <v>0</v>
      </c>
      <c r="BL896">
        <v>127.1666666666667</v>
      </c>
      <c r="BM896">
        <v>27</v>
      </c>
      <c r="BN896" s="25">
        <v>41.72</v>
      </c>
      <c r="BO896">
        <v>1</v>
      </c>
      <c r="BP896">
        <v>0</v>
      </c>
      <c r="BQ896">
        <v>0</v>
      </c>
      <c r="BR896">
        <v>0</v>
      </c>
      <c r="BS896">
        <v>0</v>
      </c>
      <c r="BT896">
        <v>0</v>
      </c>
      <c r="BU896">
        <v>0</v>
      </c>
      <c r="BV896" s="18">
        <v>0</v>
      </c>
      <c r="BW896">
        <v>0</v>
      </c>
      <c r="BX896">
        <v>0</v>
      </c>
      <c r="BY896">
        <v>1</v>
      </c>
      <c r="BZ896" s="18">
        <v>0</v>
      </c>
      <c r="CA896">
        <v>0</v>
      </c>
      <c r="CB896">
        <v>0</v>
      </c>
      <c r="CC896">
        <v>0</v>
      </c>
      <c r="CD896">
        <v>0</v>
      </c>
      <c r="CE896">
        <v>0</v>
      </c>
      <c r="CF896" s="18">
        <v>0</v>
      </c>
      <c r="CG896">
        <v>0</v>
      </c>
      <c r="CH896">
        <v>0</v>
      </c>
      <c r="CI896">
        <v>1</v>
      </c>
      <c r="CJ896">
        <v>0</v>
      </c>
      <c r="CK896">
        <v>1</v>
      </c>
      <c r="CL896">
        <v>0</v>
      </c>
      <c r="CM896">
        <v>1</v>
      </c>
      <c r="CN896">
        <v>0</v>
      </c>
      <c r="CO896">
        <v>0</v>
      </c>
      <c r="CP896">
        <v>1</v>
      </c>
      <c r="CQ896" s="18">
        <v>0</v>
      </c>
      <c r="CR896">
        <v>0</v>
      </c>
      <c r="CS896">
        <v>0</v>
      </c>
      <c r="CT896">
        <v>0</v>
      </c>
      <c r="CU896">
        <v>1</v>
      </c>
      <c r="CV896">
        <v>16</v>
      </c>
      <c r="DB896" s="34"/>
    </row>
    <row r="897" spans="1:106" x14ac:dyDescent="0.25">
      <c r="A897">
        <v>896</v>
      </c>
      <c r="B897">
        <v>61</v>
      </c>
      <c r="C897" s="25" t="s">
        <v>4088</v>
      </c>
      <c r="D897" s="12">
        <v>11.15</v>
      </c>
      <c r="E897" s="14">
        <v>0.35</v>
      </c>
      <c r="F897" s="7">
        <f t="shared" si="257"/>
        <v>31.857142857142861</v>
      </c>
      <c r="G897" s="7">
        <f t="shared" si="245"/>
        <v>10.8</v>
      </c>
      <c r="H897" s="16">
        <f t="shared" si="246"/>
        <v>11.5</v>
      </c>
      <c r="I897" s="11">
        <f t="shared" si="247"/>
        <v>0.44009481702202752</v>
      </c>
      <c r="J897" s="33">
        <f t="shared" si="248"/>
        <v>1.3814635511902209E-2</v>
      </c>
      <c r="K897" s="33">
        <f t="shared" si="249"/>
        <v>72.386998494345718</v>
      </c>
      <c r="L897" s="33">
        <f t="shared" si="250"/>
        <v>0.42628018151012531</v>
      </c>
      <c r="M897" s="33">
        <f t="shared" si="251"/>
        <v>0.45390945253392972</v>
      </c>
      <c r="N897" s="8">
        <v>1</v>
      </c>
      <c r="O897" s="9">
        <v>0</v>
      </c>
      <c r="P897" s="8">
        <v>0</v>
      </c>
      <c r="Q897" s="9">
        <v>1</v>
      </c>
      <c r="R897" s="9">
        <v>0</v>
      </c>
      <c r="S897" s="9">
        <v>0</v>
      </c>
      <c r="T897" s="9">
        <v>0</v>
      </c>
      <c r="U897" s="8">
        <v>4231</v>
      </c>
      <c r="V897" s="9">
        <v>5</v>
      </c>
      <c r="W897" s="9">
        <f t="shared" si="252"/>
        <v>4225</v>
      </c>
      <c r="X897" s="9">
        <f t="shared" si="253"/>
        <v>12</v>
      </c>
      <c r="Y897" s="7">
        <v>11.46</v>
      </c>
      <c r="Z897" s="7">
        <v>21.32</v>
      </c>
      <c r="AA897" s="9">
        <v>1</v>
      </c>
      <c r="AB897" s="9">
        <v>0</v>
      </c>
      <c r="AC897" s="9">
        <v>1</v>
      </c>
      <c r="AD897" s="9">
        <v>0</v>
      </c>
      <c r="AE897" s="9">
        <v>0</v>
      </c>
      <c r="AF897" s="9">
        <v>0</v>
      </c>
      <c r="AG897" s="8">
        <v>0</v>
      </c>
      <c r="AH897" s="9">
        <v>1</v>
      </c>
      <c r="AI897" s="30">
        <v>0</v>
      </c>
      <c r="AJ897" s="9">
        <v>0</v>
      </c>
      <c r="AK897" s="30">
        <v>1</v>
      </c>
      <c r="AL897" s="21">
        <v>2002</v>
      </c>
      <c r="AM897" s="23">
        <f t="shared" si="254"/>
        <v>7.6019019598751658</v>
      </c>
      <c r="AN897" s="33" t="s">
        <v>104</v>
      </c>
      <c r="AO897" s="33" t="s">
        <v>104</v>
      </c>
      <c r="AP897" s="33" t="s">
        <v>104</v>
      </c>
      <c r="AQ897" s="43" t="s">
        <v>104</v>
      </c>
      <c r="AR897" s="42">
        <v>1</v>
      </c>
      <c r="AS897" s="18">
        <v>0</v>
      </c>
      <c r="AT897" s="33">
        <v>0.55420000000000003</v>
      </c>
      <c r="AU897" s="40">
        <f t="shared" si="258"/>
        <v>0.44579999999999997</v>
      </c>
      <c r="AV897" t="s">
        <v>104</v>
      </c>
      <c r="AW897" s="40" t="s">
        <v>104</v>
      </c>
      <c r="AX897">
        <v>0</v>
      </c>
      <c r="AY897" s="18">
        <v>1</v>
      </c>
      <c r="AZ897">
        <v>0</v>
      </c>
      <c r="BA897" s="18">
        <v>1</v>
      </c>
      <c r="BB897" s="18" t="s">
        <v>5</v>
      </c>
      <c r="BC897">
        <v>0</v>
      </c>
      <c r="BD897">
        <v>1</v>
      </c>
      <c r="BE897">
        <v>0</v>
      </c>
      <c r="BF897">
        <v>0</v>
      </c>
      <c r="BG897">
        <v>0</v>
      </c>
      <c r="BH897" s="18">
        <v>0</v>
      </c>
      <c r="BI897">
        <v>0</v>
      </c>
      <c r="BJ897">
        <v>1</v>
      </c>
      <c r="BK897" s="18">
        <v>0</v>
      </c>
      <c r="BL897">
        <v>127.1666666666667</v>
      </c>
      <c r="BM897">
        <v>27</v>
      </c>
      <c r="BN897" s="25">
        <v>38.78</v>
      </c>
      <c r="BO897">
        <v>1</v>
      </c>
      <c r="BP897">
        <v>0</v>
      </c>
      <c r="BQ897">
        <v>0</v>
      </c>
      <c r="BR897">
        <v>0</v>
      </c>
      <c r="BS897">
        <v>0</v>
      </c>
      <c r="BT897">
        <v>0</v>
      </c>
      <c r="BU897">
        <v>0</v>
      </c>
      <c r="BV897" s="18">
        <v>0</v>
      </c>
      <c r="BW897">
        <v>0</v>
      </c>
      <c r="BX897">
        <v>0</v>
      </c>
      <c r="BY897">
        <v>1</v>
      </c>
      <c r="BZ897" s="18">
        <v>0</v>
      </c>
      <c r="CA897">
        <v>0</v>
      </c>
      <c r="CB897">
        <v>0</v>
      </c>
      <c r="CC897">
        <v>0</v>
      </c>
      <c r="CD897">
        <v>0</v>
      </c>
      <c r="CE897">
        <v>0</v>
      </c>
      <c r="CF897" s="18">
        <v>0</v>
      </c>
      <c r="CG897">
        <v>0</v>
      </c>
      <c r="CH897">
        <v>0</v>
      </c>
      <c r="CI897">
        <v>1</v>
      </c>
      <c r="CJ897">
        <v>0</v>
      </c>
      <c r="CK897">
        <v>1</v>
      </c>
      <c r="CL897">
        <v>0</v>
      </c>
      <c r="CM897">
        <v>1</v>
      </c>
      <c r="CN897">
        <v>0</v>
      </c>
      <c r="CO897">
        <v>0</v>
      </c>
      <c r="CP897">
        <v>1</v>
      </c>
      <c r="CQ897" s="18">
        <v>0</v>
      </c>
      <c r="CR897">
        <v>0</v>
      </c>
      <c r="CS897">
        <v>0</v>
      </c>
      <c r="CT897">
        <v>0</v>
      </c>
      <c r="CU897">
        <v>1</v>
      </c>
      <c r="CV897">
        <v>16</v>
      </c>
      <c r="DB897" s="34"/>
    </row>
    <row r="898" spans="1:106" x14ac:dyDescent="0.25">
      <c r="A898">
        <v>897</v>
      </c>
      <c r="B898">
        <v>62</v>
      </c>
      <c r="C898" s="25" t="s">
        <v>4095</v>
      </c>
      <c r="D898" s="12">
        <v>4.2679999999999998</v>
      </c>
      <c r="E898" s="14">
        <v>0.50080000000000002</v>
      </c>
      <c r="F898" s="7">
        <f t="shared" si="257"/>
        <v>8.5223642172523952</v>
      </c>
      <c r="G898" s="7">
        <f t="shared" ref="G898:G961" si="259">D898-E898</f>
        <v>3.7671999999999999</v>
      </c>
      <c r="H898" s="16">
        <f t="shared" ref="H898:H961" si="260">D898+E898</f>
        <v>4.7687999999999997</v>
      </c>
      <c r="I898" s="11">
        <f t="shared" ref="I898:I961" si="261">IFERROR(F898/SQRT(F898^2+W898), "X")</f>
        <v>0.27743360268328471</v>
      </c>
      <c r="J898" s="33">
        <f t="shared" ref="J898:J961" si="262">IFERROR(SQRT((1-I898^2)/W898), "X")</f>
        <v>3.2553596116164242E-2</v>
      </c>
      <c r="K898" s="33">
        <f t="shared" ref="K898:K961" si="263">IFERROR(1/J898, "X")</f>
        <v>30.718572425350498</v>
      </c>
      <c r="L898" s="33">
        <f t="shared" ref="L898:L961" si="264">IFERROR(I898-J898, "X")</f>
        <v>0.24488000656712047</v>
      </c>
      <c r="M898" s="33">
        <f t="shared" ref="M898:M961" si="265">IFERROR(I898+J898, "X")</f>
        <v>0.30998719879944897</v>
      </c>
      <c r="N898" s="8">
        <v>0</v>
      </c>
      <c r="O898" s="9">
        <v>1</v>
      </c>
      <c r="P898" s="8">
        <v>0</v>
      </c>
      <c r="Q898" s="9">
        <v>0</v>
      </c>
      <c r="R898" s="9">
        <v>0</v>
      </c>
      <c r="S898" s="9">
        <v>1</v>
      </c>
      <c r="T898" s="9">
        <v>0</v>
      </c>
      <c r="U898" s="8">
        <v>874</v>
      </c>
      <c r="V898" s="9">
        <v>2</v>
      </c>
      <c r="W898" s="9">
        <f t="shared" ref="W898:W961" si="266">U898-V898-1</f>
        <v>871</v>
      </c>
      <c r="X898" s="9">
        <f t="shared" ref="X898:X961" si="267">COUNTIF(B:B,B898)</f>
        <v>20</v>
      </c>
      <c r="Y898" s="7">
        <v>12.16</v>
      </c>
      <c r="Z898" s="7">
        <v>23.74</v>
      </c>
      <c r="AA898" s="9">
        <v>1</v>
      </c>
      <c r="AB898" s="9">
        <v>0</v>
      </c>
      <c r="AC898" s="9">
        <v>1</v>
      </c>
      <c r="AD898" s="9">
        <v>0</v>
      </c>
      <c r="AE898" s="9">
        <v>0</v>
      </c>
      <c r="AF898" s="9">
        <v>0</v>
      </c>
      <c r="AG898" s="8">
        <v>0</v>
      </c>
      <c r="AH898" s="9">
        <v>1</v>
      </c>
      <c r="AI898" s="30">
        <v>0</v>
      </c>
      <c r="AJ898" s="9">
        <v>0</v>
      </c>
      <c r="AK898" s="30">
        <v>1</v>
      </c>
      <c r="AL898" s="21">
        <v>1997</v>
      </c>
      <c r="AM898" s="23">
        <f t="shared" ref="AM898:AM961" si="268">LN(AL898)</f>
        <v>7.5994013334158153</v>
      </c>
      <c r="AN898" s="33">
        <v>0.05</v>
      </c>
      <c r="AO898" s="33">
        <v>0.109</v>
      </c>
      <c r="AP898" s="33">
        <v>0.69499999999999995</v>
      </c>
      <c r="AQ898" s="43">
        <v>0.191</v>
      </c>
      <c r="AR898" s="42" t="s">
        <v>104</v>
      </c>
      <c r="AS898" s="18" t="s">
        <v>104</v>
      </c>
      <c r="AT898">
        <v>0.5</v>
      </c>
      <c r="AU898" s="40">
        <f t="shared" si="258"/>
        <v>0.5</v>
      </c>
      <c r="AV898">
        <v>0.72</v>
      </c>
      <c r="AW898" s="40">
        <v>0.28000000000000003</v>
      </c>
      <c r="AX898">
        <v>1</v>
      </c>
      <c r="AY898" s="18">
        <v>0</v>
      </c>
      <c r="AZ898" t="s">
        <v>104</v>
      </c>
      <c r="BA898" s="18" t="s">
        <v>104</v>
      </c>
      <c r="BB898" s="18" t="s">
        <v>534</v>
      </c>
      <c r="BC898">
        <v>1</v>
      </c>
      <c r="BD898">
        <v>0</v>
      </c>
      <c r="BE898">
        <v>0</v>
      </c>
      <c r="BF898">
        <v>0</v>
      </c>
      <c r="BG898">
        <v>0</v>
      </c>
      <c r="BH898" s="18">
        <v>0</v>
      </c>
      <c r="BI898">
        <v>1</v>
      </c>
      <c r="BJ898">
        <v>0</v>
      </c>
      <c r="BK898" s="18">
        <v>0</v>
      </c>
      <c r="BL898">
        <v>2133</v>
      </c>
      <c r="BM898">
        <v>1699.2</v>
      </c>
      <c r="BN898" s="25">
        <v>43.52</v>
      </c>
      <c r="BO898">
        <v>1</v>
      </c>
      <c r="BP898">
        <v>0</v>
      </c>
      <c r="BQ898">
        <v>0</v>
      </c>
      <c r="BR898">
        <v>0</v>
      </c>
      <c r="BS898">
        <v>0</v>
      </c>
      <c r="BT898">
        <v>0</v>
      </c>
      <c r="BU898">
        <v>0</v>
      </c>
      <c r="BV898" s="18">
        <v>0</v>
      </c>
      <c r="BW898">
        <v>0</v>
      </c>
      <c r="BX898">
        <v>0</v>
      </c>
      <c r="BY898">
        <v>1</v>
      </c>
      <c r="BZ898" s="18">
        <v>0</v>
      </c>
      <c r="CA898">
        <v>0</v>
      </c>
      <c r="CB898">
        <v>0</v>
      </c>
      <c r="CC898">
        <v>0</v>
      </c>
      <c r="CD898">
        <v>0</v>
      </c>
      <c r="CE898">
        <v>0</v>
      </c>
      <c r="CF898" s="18">
        <v>0</v>
      </c>
      <c r="CG898">
        <v>0</v>
      </c>
      <c r="CH898">
        <v>0</v>
      </c>
      <c r="CI898">
        <v>1</v>
      </c>
      <c r="CJ898">
        <v>1</v>
      </c>
      <c r="CK898">
        <v>0</v>
      </c>
      <c r="CL898">
        <v>0</v>
      </c>
      <c r="CM898">
        <v>0</v>
      </c>
      <c r="CN898">
        <v>0</v>
      </c>
      <c r="CO898">
        <v>0</v>
      </c>
      <c r="CP898">
        <v>0</v>
      </c>
      <c r="CQ898" s="18">
        <v>0</v>
      </c>
      <c r="CR898">
        <v>0</v>
      </c>
      <c r="CS898">
        <v>0</v>
      </c>
      <c r="CT898">
        <v>0</v>
      </c>
      <c r="CU898">
        <v>1</v>
      </c>
      <c r="CV898">
        <v>22</v>
      </c>
      <c r="DB898" s="34"/>
    </row>
    <row r="899" spans="1:106" x14ac:dyDescent="0.25">
      <c r="A899">
        <v>898</v>
      </c>
      <c r="B899">
        <v>62</v>
      </c>
      <c r="C899" s="25" t="s">
        <v>4095</v>
      </c>
      <c r="D899" s="12">
        <v>4.077</v>
      </c>
      <c r="E899" s="14">
        <v>0.4496</v>
      </c>
      <c r="F899" s="7">
        <f t="shared" si="257"/>
        <v>9.0680604982206408</v>
      </c>
      <c r="G899" s="7">
        <f t="shared" si="259"/>
        <v>3.6273999999999997</v>
      </c>
      <c r="H899" s="16">
        <f t="shared" si="260"/>
        <v>4.5266000000000002</v>
      </c>
      <c r="I899" s="11">
        <f t="shared" si="261"/>
        <v>0.28306887228097272</v>
      </c>
      <c r="J899" s="33">
        <f t="shared" si="262"/>
        <v>3.1216032616513446E-2</v>
      </c>
      <c r="K899" s="33">
        <f t="shared" si="263"/>
        <v>32.034820448995646</v>
      </c>
      <c r="L899" s="33">
        <f t="shared" si="264"/>
        <v>0.25185283966445926</v>
      </c>
      <c r="M899" s="33">
        <f t="shared" si="265"/>
        <v>0.31428490489748617</v>
      </c>
      <c r="N899" s="8">
        <v>0</v>
      </c>
      <c r="O899" s="9">
        <v>1</v>
      </c>
      <c r="P899" s="8">
        <v>0</v>
      </c>
      <c r="Q899" s="9">
        <v>0</v>
      </c>
      <c r="R899" s="9">
        <v>0</v>
      </c>
      <c r="S899" s="9">
        <v>1</v>
      </c>
      <c r="T899" s="9">
        <v>0</v>
      </c>
      <c r="U899" s="8">
        <v>947</v>
      </c>
      <c r="V899" s="9">
        <v>2</v>
      </c>
      <c r="W899" s="9">
        <f t="shared" si="266"/>
        <v>944</v>
      </c>
      <c r="X899" s="9">
        <f t="shared" si="267"/>
        <v>20</v>
      </c>
      <c r="Y899" s="7">
        <v>12.49</v>
      </c>
      <c r="Z899" s="7">
        <v>24.01</v>
      </c>
      <c r="AA899" s="9">
        <v>1</v>
      </c>
      <c r="AB899" s="9">
        <v>0</v>
      </c>
      <c r="AC899" s="9">
        <v>1</v>
      </c>
      <c r="AD899" s="9">
        <v>0</v>
      </c>
      <c r="AE899" s="9">
        <v>0</v>
      </c>
      <c r="AF899" s="9">
        <v>0</v>
      </c>
      <c r="AG899" s="8">
        <v>0</v>
      </c>
      <c r="AH899" s="9">
        <v>1</v>
      </c>
      <c r="AI899" s="30">
        <v>0</v>
      </c>
      <c r="AJ899" s="9">
        <v>0</v>
      </c>
      <c r="AK899" s="30">
        <v>1</v>
      </c>
      <c r="AL899" s="21">
        <v>2005</v>
      </c>
      <c r="AM899" s="23">
        <f t="shared" si="268"/>
        <v>7.6033993397406698</v>
      </c>
      <c r="AN899" s="33">
        <v>0.05</v>
      </c>
      <c r="AO899" s="33">
        <v>0.109</v>
      </c>
      <c r="AP899" s="33">
        <v>0.69499999999999995</v>
      </c>
      <c r="AQ899" s="43">
        <v>0.191</v>
      </c>
      <c r="AR899" s="42" t="s">
        <v>104</v>
      </c>
      <c r="AS899" s="18" t="s">
        <v>104</v>
      </c>
      <c r="AT899">
        <v>0.49</v>
      </c>
      <c r="AU899" s="40">
        <f t="shared" si="258"/>
        <v>0.51</v>
      </c>
      <c r="AV899">
        <v>0.72</v>
      </c>
      <c r="AW899" s="40">
        <v>0.28000000000000003</v>
      </c>
      <c r="AX899">
        <v>1</v>
      </c>
      <c r="AY899" s="18">
        <v>0</v>
      </c>
      <c r="AZ899" t="s">
        <v>104</v>
      </c>
      <c r="BA899" s="18" t="s">
        <v>104</v>
      </c>
      <c r="BB899" s="18" t="s">
        <v>534</v>
      </c>
      <c r="BC899">
        <v>1</v>
      </c>
      <c r="BD899">
        <v>0</v>
      </c>
      <c r="BE899">
        <v>0</v>
      </c>
      <c r="BF899">
        <v>0</v>
      </c>
      <c r="BG899">
        <v>0</v>
      </c>
      <c r="BH899" s="18">
        <v>0</v>
      </c>
      <c r="BI899">
        <v>1</v>
      </c>
      <c r="BJ899">
        <v>0</v>
      </c>
      <c r="BK899" s="18">
        <v>0</v>
      </c>
      <c r="BL899">
        <v>2133</v>
      </c>
      <c r="BM899">
        <v>1699.2</v>
      </c>
      <c r="BN899" s="25">
        <v>44.02</v>
      </c>
      <c r="BO899">
        <v>1</v>
      </c>
      <c r="BP899">
        <v>0</v>
      </c>
      <c r="BQ899">
        <v>0</v>
      </c>
      <c r="BR899">
        <v>0</v>
      </c>
      <c r="BS899">
        <v>0</v>
      </c>
      <c r="BT899">
        <v>0</v>
      </c>
      <c r="BU899">
        <v>0</v>
      </c>
      <c r="BV899" s="18">
        <v>0</v>
      </c>
      <c r="BW899">
        <v>0</v>
      </c>
      <c r="BX899">
        <v>0</v>
      </c>
      <c r="BY899">
        <v>1</v>
      </c>
      <c r="BZ899" s="18">
        <v>0</v>
      </c>
      <c r="CA899">
        <v>0</v>
      </c>
      <c r="CB899">
        <v>0</v>
      </c>
      <c r="CC899">
        <v>0</v>
      </c>
      <c r="CD899">
        <v>0</v>
      </c>
      <c r="CE899">
        <v>0</v>
      </c>
      <c r="CF899" s="18">
        <v>0</v>
      </c>
      <c r="CG899">
        <v>0</v>
      </c>
      <c r="CH899">
        <v>0</v>
      </c>
      <c r="CI899">
        <v>1</v>
      </c>
      <c r="CJ899">
        <v>1</v>
      </c>
      <c r="CK899">
        <v>0</v>
      </c>
      <c r="CL899">
        <v>0</v>
      </c>
      <c r="CM899">
        <v>0</v>
      </c>
      <c r="CN899">
        <v>0</v>
      </c>
      <c r="CO899">
        <v>0</v>
      </c>
      <c r="CP899">
        <v>0</v>
      </c>
      <c r="CQ899" s="18">
        <v>0</v>
      </c>
      <c r="CR899">
        <v>0</v>
      </c>
      <c r="CS899">
        <v>0</v>
      </c>
      <c r="CT899">
        <v>0</v>
      </c>
      <c r="CU899">
        <v>1</v>
      </c>
      <c r="CV899">
        <v>22</v>
      </c>
      <c r="DB899" s="34"/>
    </row>
    <row r="900" spans="1:106" x14ac:dyDescent="0.25">
      <c r="A900">
        <v>899</v>
      </c>
      <c r="B900">
        <v>62</v>
      </c>
      <c r="C900" s="25" t="s">
        <v>4095</v>
      </c>
      <c r="D900" s="12">
        <v>3.968</v>
      </c>
      <c r="E900" s="14">
        <v>0.59989999999999999</v>
      </c>
      <c r="F900" s="7">
        <f t="shared" si="257"/>
        <v>6.614435739289882</v>
      </c>
      <c r="G900" s="7">
        <f t="shared" si="259"/>
        <v>3.3681000000000001</v>
      </c>
      <c r="H900" s="16">
        <f t="shared" si="260"/>
        <v>4.5678999999999998</v>
      </c>
      <c r="I900" s="11">
        <f t="shared" si="261"/>
        <v>0.24569621253382809</v>
      </c>
      <c r="J900" s="33">
        <f t="shared" si="262"/>
        <v>3.7145453099557323E-2</v>
      </c>
      <c r="K900" s="33">
        <f t="shared" si="263"/>
        <v>26.92119536999045</v>
      </c>
      <c r="L900" s="33">
        <f t="shared" si="264"/>
        <v>0.20855075943427076</v>
      </c>
      <c r="M900" s="33">
        <f t="shared" si="265"/>
        <v>0.28284166563338542</v>
      </c>
      <c r="N900" s="8">
        <v>0</v>
      </c>
      <c r="O900" s="9">
        <v>1</v>
      </c>
      <c r="P900" s="8">
        <v>0</v>
      </c>
      <c r="Q900" s="9">
        <v>0</v>
      </c>
      <c r="R900" s="9">
        <v>0</v>
      </c>
      <c r="S900" s="9">
        <v>1</v>
      </c>
      <c r="T900" s="9">
        <v>0</v>
      </c>
      <c r="U900" s="8">
        <v>684</v>
      </c>
      <c r="V900" s="9">
        <v>2</v>
      </c>
      <c r="W900" s="9">
        <f t="shared" si="266"/>
        <v>681</v>
      </c>
      <c r="X900" s="9">
        <f t="shared" si="267"/>
        <v>20</v>
      </c>
      <c r="Y900" s="7">
        <v>14.19</v>
      </c>
      <c r="Z900" s="7">
        <v>26.43</v>
      </c>
      <c r="AA900" s="9">
        <v>1</v>
      </c>
      <c r="AB900" s="9">
        <v>0</v>
      </c>
      <c r="AC900" s="9">
        <v>1</v>
      </c>
      <c r="AD900" s="9">
        <v>0</v>
      </c>
      <c r="AE900" s="9">
        <v>0</v>
      </c>
      <c r="AF900" s="9">
        <v>0</v>
      </c>
      <c r="AG900" s="8">
        <v>0</v>
      </c>
      <c r="AH900" s="9">
        <v>1</v>
      </c>
      <c r="AI900" s="30">
        <v>0</v>
      </c>
      <c r="AJ900" s="9">
        <v>0</v>
      </c>
      <c r="AK900" s="30">
        <v>1</v>
      </c>
      <c r="AL900" s="21">
        <v>2015</v>
      </c>
      <c r="AM900" s="23">
        <f t="shared" si="268"/>
        <v>7.6083744743807831</v>
      </c>
      <c r="AN900" s="33">
        <v>0.05</v>
      </c>
      <c r="AO900" s="33">
        <v>0.109</v>
      </c>
      <c r="AP900" s="33">
        <v>0.69499999999999995</v>
      </c>
      <c r="AQ900" s="43">
        <v>0.191</v>
      </c>
      <c r="AR900" s="42" t="s">
        <v>104</v>
      </c>
      <c r="AS900" s="18" t="s">
        <v>104</v>
      </c>
      <c r="AT900">
        <v>0.53</v>
      </c>
      <c r="AU900" s="40">
        <f t="shared" si="258"/>
        <v>0.47</v>
      </c>
      <c r="AV900">
        <v>0.72</v>
      </c>
      <c r="AW900" s="40">
        <v>0.28000000000000003</v>
      </c>
      <c r="AX900">
        <v>1</v>
      </c>
      <c r="AY900" s="18">
        <v>0</v>
      </c>
      <c r="AZ900" t="s">
        <v>104</v>
      </c>
      <c r="BA900" s="18" t="s">
        <v>104</v>
      </c>
      <c r="BB900" s="18" t="s">
        <v>534</v>
      </c>
      <c r="BC900">
        <v>1</v>
      </c>
      <c r="BD900">
        <v>0</v>
      </c>
      <c r="BE900">
        <v>0</v>
      </c>
      <c r="BF900">
        <v>0</v>
      </c>
      <c r="BG900">
        <v>0</v>
      </c>
      <c r="BH900" s="18">
        <v>0</v>
      </c>
      <c r="BI900">
        <v>1</v>
      </c>
      <c r="BJ900">
        <v>0</v>
      </c>
      <c r="BK900" s="18">
        <v>0</v>
      </c>
      <c r="BL900">
        <v>2133</v>
      </c>
      <c r="BM900">
        <v>1699.2</v>
      </c>
      <c r="BN900" s="25">
        <v>46.7</v>
      </c>
      <c r="BO900">
        <v>1</v>
      </c>
      <c r="BP900">
        <v>0</v>
      </c>
      <c r="BQ900">
        <v>0</v>
      </c>
      <c r="BR900">
        <v>0</v>
      </c>
      <c r="BS900">
        <v>0</v>
      </c>
      <c r="BT900">
        <v>0</v>
      </c>
      <c r="BU900">
        <v>0</v>
      </c>
      <c r="BV900" s="18">
        <v>0</v>
      </c>
      <c r="BW900">
        <v>0</v>
      </c>
      <c r="BX900">
        <v>0</v>
      </c>
      <c r="BY900">
        <v>1</v>
      </c>
      <c r="BZ900" s="18">
        <v>0</v>
      </c>
      <c r="CA900">
        <v>0</v>
      </c>
      <c r="CB900">
        <v>0</v>
      </c>
      <c r="CC900">
        <v>0</v>
      </c>
      <c r="CD900">
        <v>0</v>
      </c>
      <c r="CE900">
        <v>0</v>
      </c>
      <c r="CF900" s="18">
        <v>0</v>
      </c>
      <c r="CG900">
        <v>0</v>
      </c>
      <c r="CH900">
        <v>0</v>
      </c>
      <c r="CI900">
        <v>1</v>
      </c>
      <c r="CJ900">
        <v>1</v>
      </c>
      <c r="CK900">
        <v>0</v>
      </c>
      <c r="CL900">
        <v>0</v>
      </c>
      <c r="CM900">
        <v>0</v>
      </c>
      <c r="CN900">
        <v>0</v>
      </c>
      <c r="CO900">
        <v>0</v>
      </c>
      <c r="CP900">
        <v>0</v>
      </c>
      <c r="CQ900" s="18">
        <v>0</v>
      </c>
      <c r="CR900">
        <v>0</v>
      </c>
      <c r="CS900">
        <v>0</v>
      </c>
      <c r="CT900">
        <v>0</v>
      </c>
      <c r="CU900">
        <v>1</v>
      </c>
      <c r="CV900">
        <v>22</v>
      </c>
      <c r="DB900" s="34"/>
    </row>
    <row r="901" spans="1:106" x14ac:dyDescent="0.25">
      <c r="A901">
        <v>900</v>
      </c>
      <c r="B901">
        <v>62</v>
      </c>
      <c r="C901" s="25" t="s">
        <v>4095</v>
      </c>
      <c r="D901" s="12">
        <v>4.8079999999999998</v>
      </c>
      <c r="E901" s="14">
        <v>0.22720000000000001</v>
      </c>
      <c r="F901" s="7">
        <f t="shared" si="257"/>
        <v>21.161971830985912</v>
      </c>
      <c r="G901" s="7">
        <f t="shared" si="259"/>
        <v>4.5808</v>
      </c>
      <c r="H901" s="16">
        <f t="shared" si="260"/>
        <v>5.0351999999999997</v>
      </c>
      <c r="I901" s="11">
        <f t="shared" si="261"/>
        <v>0.38877903256646729</v>
      </c>
      <c r="J901" s="33">
        <f t="shared" si="262"/>
        <v>1.8371588227766512E-2</v>
      </c>
      <c r="K901" s="33">
        <f t="shared" si="263"/>
        <v>54.431875328482306</v>
      </c>
      <c r="L901" s="33">
        <f t="shared" si="264"/>
        <v>0.37040744433870076</v>
      </c>
      <c r="M901" s="33">
        <f t="shared" si="265"/>
        <v>0.40715062079423381</v>
      </c>
      <c r="N901" s="8">
        <v>0</v>
      </c>
      <c r="O901" s="9">
        <v>1</v>
      </c>
      <c r="P901" s="8">
        <v>0</v>
      </c>
      <c r="Q901" s="9">
        <v>0</v>
      </c>
      <c r="R901" s="9">
        <v>0</v>
      </c>
      <c r="S901" s="9">
        <v>1</v>
      </c>
      <c r="T901" s="9">
        <v>0</v>
      </c>
      <c r="U901" s="8">
        <v>2518</v>
      </c>
      <c r="V901" s="9">
        <v>2</v>
      </c>
      <c r="W901" s="9">
        <f t="shared" si="266"/>
        <v>2515</v>
      </c>
      <c r="X901" s="9">
        <f t="shared" si="267"/>
        <v>20</v>
      </c>
      <c r="Y901" s="7">
        <v>12.84</v>
      </c>
      <c r="Z901" s="7">
        <v>25.3</v>
      </c>
      <c r="AA901" s="9">
        <v>1</v>
      </c>
      <c r="AB901" s="9">
        <v>0</v>
      </c>
      <c r="AC901" s="9">
        <v>1</v>
      </c>
      <c r="AD901" s="9">
        <v>0</v>
      </c>
      <c r="AE901" s="9">
        <v>0</v>
      </c>
      <c r="AF901" s="9">
        <v>0</v>
      </c>
      <c r="AG901" s="8">
        <v>0</v>
      </c>
      <c r="AH901" s="9">
        <v>1</v>
      </c>
      <c r="AI901" s="30">
        <v>0</v>
      </c>
      <c r="AJ901" s="9">
        <v>0</v>
      </c>
      <c r="AK901" s="30">
        <v>1</v>
      </c>
      <c r="AL901" s="21">
        <v>2006</v>
      </c>
      <c r="AM901" s="23">
        <f t="shared" si="268"/>
        <v>7.6038979685218813</v>
      </c>
      <c r="AN901" s="33">
        <v>0.05</v>
      </c>
      <c r="AO901" s="33">
        <v>0.109</v>
      </c>
      <c r="AP901" s="33">
        <v>0.69499999999999995</v>
      </c>
      <c r="AQ901" s="43">
        <v>0.191</v>
      </c>
      <c r="AR901" s="42" t="s">
        <v>104</v>
      </c>
      <c r="AS901" s="18" t="s">
        <v>104</v>
      </c>
      <c r="AT901">
        <v>0.5</v>
      </c>
      <c r="AU901" s="40">
        <f t="shared" si="258"/>
        <v>0.5</v>
      </c>
      <c r="AV901">
        <v>0.72</v>
      </c>
      <c r="AW901" s="40">
        <v>0.28000000000000003</v>
      </c>
      <c r="AX901">
        <v>1</v>
      </c>
      <c r="AY901" s="18">
        <v>0</v>
      </c>
      <c r="AZ901" t="s">
        <v>104</v>
      </c>
      <c r="BA901" s="18" t="s">
        <v>104</v>
      </c>
      <c r="BB901" s="18" t="s">
        <v>534</v>
      </c>
      <c r="BC901">
        <v>1</v>
      </c>
      <c r="BD901">
        <v>0</v>
      </c>
      <c r="BE901">
        <v>0</v>
      </c>
      <c r="BF901">
        <v>0</v>
      </c>
      <c r="BG901">
        <v>0</v>
      </c>
      <c r="BH901" s="18">
        <v>0</v>
      </c>
      <c r="BI901">
        <v>1</v>
      </c>
      <c r="BJ901">
        <v>0</v>
      </c>
      <c r="BK901" s="18">
        <v>0</v>
      </c>
      <c r="BL901">
        <v>2133</v>
      </c>
      <c r="BM901">
        <v>1699.2</v>
      </c>
      <c r="BN901" s="25">
        <v>44.55</v>
      </c>
      <c r="BO901">
        <v>1</v>
      </c>
      <c r="BP901">
        <v>0</v>
      </c>
      <c r="BQ901">
        <v>0</v>
      </c>
      <c r="BR901">
        <v>0</v>
      </c>
      <c r="BS901">
        <v>0</v>
      </c>
      <c r="BT901">
        <v>0</v>
      </c>
      <c r="BU901">
        <v>0</v>
      </c>
      <c r="BV901" s="18">
        <v>0</v>
      </c>
      <c r="BW901">
        <v>0</v>
      </c>
      <c r="BX901">
        <v>0</v>
      </c>
      <c r="BY901">
        <v>1</v>
      </c>
      <c r="BZ901" s="18">
        <v>0</v>
      </c>
      <c r="CA901">
        <v>0</v>
      </c>
      <c r="CB901">
        <v>0</v>
      </c>
      <c r="CC901">
        <v>0</v>
      </c>
      <c r="CD901">
        <v>0</v>
      </c>
      <c r="CE901">
        <v>0</v>
      </c>
      <c r="CF901" s="18">
        <v>0</v>
      </c>
      <c r="CG901">
        <v>0</v>
      </c>
      <c r="CH901">
        <v>0</v>
      </c>
      <c r="CI901">
        <v>1</v>
      </c>
      <c r="CJ901">
        <v>1</v>
      </c>
      <c r="CK901">
        <v>0</v>
      </c>
      <c r="CL901">
        <v>0</v>
      </c>
      <c r="CM901">
        <v>0</v>
      </c>
      <c r="CN901">
        <v>0</v>
      </c>
      <c r="CO901">
        <v>0</v>
      </c>
      <c r="CP901">
        <v>0</v>
      </c>
      <c r="CQ901" s="18">
        <v>0</v>
      </c>
      <c r="CR901">
        <v>0</v>
      </c>
      <c r="CS901">
        <v>0</v>
      </c>
      <c r="CT901">
        <v>0</v>
      </c>
      <c r="CU901">
        <v>1</v>
      </c>
      <c r="CV901">
        <v>22</v>
      </c>
      <c r="DB901" s="34"/>
    </row>
    <row r="902" spans="1:106" x14ac:dyDescent="0.25">
      <c r="A902">
        <v>901</v>
      </c>
      <c r="B902">
        <v>62</v>
      </c>
      <c r="C902" s="25" t="s">
        <v>4095</v>
      </c>
      <c r="D902" s="12">
        <v>2.9990000000000001</v>
      </c>
      <c r="E902" s="14">
        <v>0.65780000000000005</v>
      </c>
      <c r="F902" s="7">
        <f t="shared" si="257"/>
        <v>4.5591365156582544</v>
      </c>
      <c r="G902" s="7">
        <f t="shared" si="259"/>
        <v>2.3412000000000002</v>
      </c>
      <c r="H902" s="16">
        <f t="shared" si="260"/>
        <v>3.6568000000000001</v>
      </c>
      <c r="I902" s="11">
        <f t="shared" si="261"/>
        <v>0.15405779067021458</v>
      </c>
      <c r="J902" s="33">
        <f t="shared" si="262"/>
        <v>3.3791001901589582E-2</v>
      </c>
      <c r="K902" s="33">
        <f t="shared" si="263"/>
        <v>29.593677124825305</v>
      </c>
      <c r="L902" s="33">
        <f t="shared" si="264"/>
        <v>0.120266788768625</v>
      </c>
      <c r="M902" s="33">
        <f t="shared" si="265"/>
        <v>0.18784879257180415</v>
      </c>
      <c r="N902" s="8">
        <v>0</v>
      </c>
      <c r="O902" s="9">
        <v>1</v>
      </c>
      <c r="P902" s="8">
        <v>0</v>
      </c>
      <c r="Q902" s="9">
        <v>0</v>
      </c>
      <c r="R902" s="9">
        <v>0</v>
      </c>
      <c r="S902" s="9">
        <v>1</v>
      </c>
      <c r="T902" s="9">
        <v>0</v>
      </c>
      <c r="U902" s="8">
        <v>859</v>
      </c>
      <c r="V902" s="9">
        <v>3</v>
      </c>
      <c r="W902" s="9">
        <f t="shared" si="266"/>
        <v>855</v>
      </c>
      <c r="X902" s="9">
        <f t="shared" si="267"/>
        <v>20</v>
      </c>
      <c r="Y902" s="7">
        <v>12.16</v>
      </c>
      <c r="Z902" s="7">
        <v>23.74</v>
      </c>
      <c r="AA902" s="9">
        <v>1</v>
      </c>
      <c r="AB902" s="9">
        <v>0</v>
      </c>
      <c r="AC902" s="9">
        <v>1</v>
      </c>
      <c r="AD902" s="9">
        <v>0</v>
      </c>
      <c r="AE902" s="9">
        <v>0</v>
      </c>
      <c r="AF902" s="9">
        <v>0</v>
      </c>
      <c r="AG902" s="8">
        <v>0</v>
      </c>
      <c r="AH902" s="9">
        <v>1</v>
      </c>
      <c r="AI902" s="30">
        <v>0</v>
      </c>
      <c r="AJ902" s="9">
        <v>0</v>
      </c>
      <c r="AK902" s="30">
        <v>1</v>
      </c>
      <c r="AL902" s="21">
        <v>1997</v>
      </c>
      <c r="AM902" s="23">
        <f t="shared" si="268"/>
        <v>7.5994013334158153</v>
      </c>
      <c r="AN902" s="33">
        <v>0.05</v>
      </c>
      <c r="AO902" s="33">
        <v>0.109</v>
      </c>
      <c r="AP902" s="33">
        <v>0.69499999999999995</v>
      </c>
      <c r="AQ902" s="43">
        <v>0.191</v>
      </c>
      <c r="AR902" s="42" t="s">
        <v>104</v>
      </c>
      <c r="AS902" s="18" t="s">
        <v>104</v>
      </c>
      <c r="AT902">
        <v>0.5</v>
      </c>
      <c r="AU902" s="40">
        <f t="shared" si="258"/>
        <v>0.5</v>
      </c>
      <c r="AV902">
        <v>0.72</v>
      </c>
      <c r="AW902" s="40">
        <v>0.28000000000000003</v>
      </c>
      <c r="AX902">
        <v>1</v>
      </c>
      <c r="AY902" s="18">
        <v>0</v>
      </c>
      <c r="AZ902" t="s">
        <v>104</v>
      </c>
      <c r="BA902" s="18" t="s">
        <v>104</v>
      </c>
      <c r="BB902" s="18" t="s">
        <v>534</v>
      </c>
      <c r="BC902">
        <v>1</v>
      </c>
      <c r="BD902">
        <v>0</v>
      </c>
      <c r="BE902">
        <v>0</v>
      </c>
      <c r="BF902">
        <v>0</v>
      </c>
      <c r="BG902">
        <v>0</v>
      </c>
      <c r="BH902" s="18">
        <v>0</v>
      </c>
      <c r="BI902">
        <v>1</v>
      </c>
      <c r="BJ902">
        <v>0</v>
      </c>
      <c r="BK902" s="18">
        <v>0</v>
      </c>
      <c r="BL902">
        <v>2133</v>
      </c>
      <c r="BM902">
        <v>1699.2</v>
      </c>
      <c r="BN902" s="25">
        <v>43.52</v>
      </c>
      <c r="BO902">
        <v>1</v>
      </c>
      <c r="BP902">
        <v>0</v>
      </c>
      <c r="BQ902">
        <v>0</v>
      </c>
      <c r="BR902">
        <v>0</v>
      </c>
      <c r="BS902">
        <v>0</v>
      </c>
      <c r="BT902">
        <v>0</v>
      </c>
      <c r="BU902">
        <v>0</v>
      </c>
      <c r="BV902" s="18">
        <v>0</v>
      </c>
      <c r="BW902">
        <v>0</v>
      </c>
      <c r="BX902">
        <v>0</v>
      </c>
      <c r="BY902">
        <v>1</v>
      </c>
      <c r="BZ902" s="18">
        <v>0</v>
      </c>
      <c r="CA902">
        <v>0</v>
      </c>
      <c r="CB902">
        <v>0</v>
      </c>
      <c r="CC902">
        <v>0</v>
      </c>
      <c r="CD902">
        <v>0</v>
      </c>
      <c r="CE902">
        <v>0</v>
      </c>
      <c r="CF902" s="18">
        <v>0</v>
      </c>
      <c r="CG902">
        <v>0</v>
      </c>
      <c r="CH902">
        <v>0</v>
      </c>
      <c r="CI902">
        <v>1</v>
      </c>
      <c r="CJ902">
        <v>1</v>
      </c>
      <c r="CK902">
        <v>0</v>
      </c>
      <c r="CL902">
        <v>0</v>
      </c>
      <c r="CM902">
        <v>0</v>
      </c>
      <c r="CN902">
        <v>0</v>
      </c>
      <c r="CO902">
        <v>0</v>
      </c>
      <c r="CP902">
        <v>0</v>
      </c>
      <c r="CQ902" s="18">
        <v>0</v>
      </c>
      <c r="CR902">
        <v>0</v>
      </c>
      <c r="CS902">
        <v>0</v>
      </c>
      <c r="CT902">
        <v>0</v>
      </c>
      <c r="CU902">
        <v>1</v>
      </c>
      <c r="CV902">
        <v>22</v>
      </c>
      <c r="DB902" s="34"/>
    </row>
    <row r="903" spans="1:106" x14ac:dyDescent="0.25">
      <c r="A903">
        <v>902</v>
      </c>
      <c r="B903">
        <v>62</v>
      </c>
      <c r="C903" s="25" t="s">
        <v>4095</v>
      </c>
      <c r="D903" s="12">
        <v>2.415</v>
      </c>
      <c r="E903" s="14">
        <v>0.58289999999999997</v>
      </c>
      <c r="F903" s="7">
        <f t="shared" si="257"/>
        <v>4.1430777148739066</v>
      </c>
      <c r="G903" s="7">
        <f t="shared" si="259"/>
        <v>1.8321000000000001</v>
      </c>
      <c r="H903" s="16">
        <f t="shared" si="260"/>
        <v>2.9979</v>
      </c>
      <c r="I903" s="11">
        <f t="shared" si="261"/>
        <v>0.13405525975132729</v>
      </c>
      <c r="J903" s="33">
        <f t="shared" si="262"/>
        <v>3.2356443440599861E-2</v>
      </c>
      <c r="K903" s="33">
        <f t="shared" si="263"/>
        <v>30.905745306520032</v>
      </c>
      <c r="L903" s="33">
        <f t="shared" si="264"/>
        <v>0.10169881631072743</v>
      </c>
      <c r="M903" s="33">
        <f t="shared" si="265"/>
        <v>0.16641170319192716</v>
      </c>
      <c r="N903" s="8">
        <v>0</v>
      </c>
      <c r="O903" s="9">
        <v>1</v>
      </c>
      <c r="P903" s="8">
        <v>0</v>
      </c>
      <c r="Q903" s="9">
        <v>0</v>
      </c>
      <c r="R903" s="9">
        <v>0</v>
      </c>
      <c r="S903" s="9">
        <v>1</v>
      </c>
      <c r="T903" s="9">
        <v>0</v>
      </c>
      <c r="U903" s="8">
        <v>942</v>
      </c>
      <c r="V903" s="9">
        <v>3</v>
      </c>
      <c r="W903" s="9">
        <f t="shared" si="266"/>
        <v>938</v>
      </c>
      <c r="X903" s="9">
        <f t="shared" si="267"/>
        <v>20</v>
      </c>
      <c r="Y903" s="7">
        <v>12.49</v>
      </c>
      <c r="Z903" s="7">
        <v>24.01</v>
      </c>
      <c r="AA903" s="9">
        <v>1</v>
      </c>
      <c r="AB903" s="9">
        <v>0</v>
      </c>
      <c r="AC903" s="9">
        <v>1</v>
      </c>
      <c r="AD903" s="9">
        <v>0</v>
      </c>
      <c r="AE903" s="9">
        <v>0</v>
      </c>
      <c r="AF903" s="9">
        <v>0</v>
      </c>
      <c r="AG903" s="8">
        <v>0</v>
      </c>
      <c r="AH903" s="9">
        <v>1</v>
      </c>
      <c r="AI903" s="30">
        <v>0</v>
      </c>
      <c r="AJ903" s="9">
        <v>0</v>
      </c>
      <c r="AK903" s="30">
        <v>1</v>
      </c>
      <c r="AL903" s="21">
        <v>2005</v>
      </c>
      <c r="AM903" s="23">
        <f t="shared" si="268"/>
        <v>7.6033993397406698</v>
      </c>
      <c r="AN903" s="33">
        <v>0.05</v>
      </c>
      <c r="AO903" s="33">
        <v>0.109</v>
      </c>
      <c r="AP903" s="33">
        <v>0.69499999999999995</v>
      </c>
      <c r="AQ903" s="43">
        <v>0.191</v>
      </c>
      <c r="AR903" s="42" t="s">
        <v>104</v>
      </c>
      <c r="AS903" s="18" t="s">
        <v>104</v>
      </c>
      <c r="AT903">
        <v>0.49</v>
      </c>
      <c r="AU903" s="40">
        <f t="shared" si="258"/>
        <v>0.51</v>
      </c>
      <c r="AV903">
        <v>0.72</v>
      </c>
      <c r="AW903" s="40">
        <v>0.28000000000000003</v>
      </c>
      <c r="AX903">
        <v>1</v>
      </c>
      <c r="AY903" s="18">
        <v>0</v>
      </c>
      <c r="AZ903" t="s">
        <v>104</v>
      </c>
      <c r="BA903" s="18" t="s">
        <v>104</v>
      </c>
      <c r="BB903" s="18" t="s">
        <v>534</v>
      </c>
      <c r="BC903">
        <v>1</v>
      </c>
      <c r="BD903">
        <v>0</v>
      </c>
      <c r="BE903">
        <v>0</v>
      </c>
      <c r="BF903">
        <v>0</v>
      </c>
      <c r="BG903">
        <v>0</v>
      </c>
      <c r="BH903" s="18">
        <v>0</v>
      </c>
      <c r="BI903">
        <v>1</v>
      </c>
      <c r="BJ903">
        <v>0</v>
      </c>
      <c r="BK903" s="18">
        <v>0</v>
      </c>
      <c r="BL903">
        <v>2133</v>
      </c>
      <c r="BM903">
        <v>1699.2</v>
      </c>
      <c r="BN903" s="25">
        <v>44.02</v>
      </c>
      <c r="BO903">
        <v>1</v>
      </c>
      <c r="BP903">
        <v>0</v>
      </c>
      <c r="BQ903">
        <v>0</v>
      </c>
      <c r="BR903">
        <v>0</v>
      </c>
      <c r="BS903">
        <v>0</v>
      </c>
      <c r="BT903">
        <v>0</v>
      </c>
      <c r="BU903">
        <v>0</v>
      </c>
      <c r="BV903" s="18">
        <v>0</v>
      </c>
      <c r="BW903">
        <v>0</v>
      </c>
      <c r="BX903">
        <v>0</v>
      </c>
      <c r="BY903">
        <v>1</v>
      </c>
      <c r="BZ903" s="18">
        <v>0</v>
      </c>
      <c r="CA903">
        <v>0</v>
      </c>
      <c r="CB903">
        <v>0</v>
      </c>
      <c r="CC903">
        <v>0</v>
      </c>
      <c r="CD903">
        <v>0</v>
      </c>
      <c r="CE903">
        <v>0</v>
      </c>
      <c r="CF903" s="18">
        <v>0</v>
      </c>
      <c r="CG903">
        <v>0</v>
      </c>
      <c r="CH903">
        <v>0</v>
      </c>
      <c r="CI903">
        <v>1</v>
      </c>
      <c r="CJ903">
        <v>1</v>
      </c>
      <c r="CK903">
        <v>0</v>
      </c>
      <c r="CL903">
        <v>0</v>
      </c>
      <c r="CM903">
        <v>0</v>
      </c>
      <c r="CN903">
        <v>0</v>
      </c>
      <c r="CO903">
        <v>0</v>
      </c>
      <c r="CP903">
        <v>0</v>
      </c>
      <c r="CQ903" s="18">
        <v>0</v>
      </c>
      <c r="CR903">
        <v>0</v>
      </c>
      <c r="CS903">
        <v>0</v>
      </c>
      <c r="CT903">
        <v>0</v>
      </c>
      <c r="CU903">
        <v>1</v>
      </c>
      <c r="CV903">
        <v>22</v>
      </c>
      <c r="DB903" s="34"/>
    </row>
    <row r="904" spans="1:106" x14ac:dyDescent="0.25">
      <c r="A904">
        <v>903</v>
      </c>
      <c r="B904">
        <v>62</v>
      </c>
      <c r="C904" s="25" t="s">
        <v>4095</v>
      </c>
      <c r="D904" s="12">
        <v>1.556</v>
      </c>
      <c r="E904" s="14">
        <v>0.74</v>
      </c>
      <c r="F904" s="7">
        <f t="shared" si="257"/>
        <v>2.102702702702703</v>
      </c>
      <c r="G904" s="7">
        <f t="shared" si="259"/>
        <v>0.81600000000000006</v>
      </c>
      <c r="H904" s="16">
        <f t="shared" si="260"/>
        <v>2.2960000000000003</v>
      </c>
      <c r="I904" s="11">
        <f t="shared" si="261"/>
        <v>8.0432876248302226E-2</v>
      </c>
      <c r="J904" s="33">
        <f t="shared" si="262"/>
        <v>3.8252139089809532E-2</v>
      </c>
      <c r="K904" s="33">
        <f t="shared" si="263"/>
        <v>26.142328868254129</v>
      </c>
      <c r="L904" s="33">
        <f t="shared" si="264"/>
        <v>4.2180737158492694E-2</v>
      </c>
      <c r="M904" s="33">
        <f t="shared" si="265"/>
        <v>0.11868501533811177</v>
      </c>
      <c r="N904" s="8">
        <v>0</v>
      </c>
      <c r="O904" s="9">
        <v>1</v>
      </c>
      <c r="P904" s="8">
        <v>0</v>
      </c>
      <c r="Q904" s="9">
        <v>0</v>
      </c>
      <c r="R904" s="9">
        <v>0</v>
      </c>
      <c r="S904" s="9">
        <v>1</v>
      </c>
      <c r="T904" s="9">
        <v>0</v>
      </c>
      <c r="U904" s="8">
        <v>683</v>
      </c>
      <c r="V904" s="9">
        <v>3</v>
      </c>
      <c r="W904" s="9">
        <f t="shared" si="266"/>
        <v>679</v>
      </c>
      <c r="X904" s="9">
        <f t="shared" si="267"/>
        <v>20</v>
      </c>
      <c r="Y904" s="7">
        <v>14.19</v>
      </c>
      <c r="Z904" s="7">
        <v>26.43</v>
      </c>
      <c r="AA904" s="9">
        <v>1</v>
      </c>
      <c r="AB904" s="9">
        <v>0</v>
      </c>
      <c r="AC904" s="9">
        <v>1</v>
      </c>
      <c r="AD904" s="9">
        <v>0</v>
      </c>
      <c r="AE904" s="9">
        <v>0</v>
      </c>
      <c r="AF904" s="9">
        <v>0</v>
      </c>
      <c r="AG904" s="8">
        <v>0</v>
      </c>
      <c r="AH904" s="9">
        <v>1</v>
      </c>
      <c r="AI904" s="30">
        <v>0</v>
      </c>
      <c r="AJ904" s="9">
        <v>0</v>
      </c>
      <c r="AK904" s="30">
        <v>1</v>
      </c>
      <c r="AL904" s="21">
        <v>2015</v>
      </c>
      <c r="AM904" s="23">
        <f t="shared" si="268"/>
        <v>7.6083744743807831</v>
      </c>
      <c r="AN904" s="33">
        <v>0.05</v>
      </c>
      <c r="AO904" s="33">
        <v>0.109</v>
      </c>
      <c r="AP904" s="33">
        <v>0.69499999999999995</v>
      </c>
      <c r="AQ904" s="43">
        <v>0.191</v>
      </c>
      <c r="AR904" s="42" t="s">
        <v>104</v>
      </c>
      <c r="AS904" s="18" t="s">
        <v>104</v>
      </c>
      <c r="AT904">
        <v>0.53</v>
      </c>
      <c r="AU904" s="40">
        <f t="shared" si="258"/>
        <v>0.47</v>
      </c>
      <c r="AV904">
        <v>0.72</v>
      </c>
      <c r="AW904" s="40">
        <v>0.28000000000000003</v>
      </c>
      <c r="AX904">
        <v>1</v>
      </c>
      <c r="AY904" s="18">
        <v>0</v>
      </c>
      <c r="AZ904" t="s">
        <v>104</v>
      </c>
      <c r="BA904" s="18" t="s">
        <v>104</v>
      </c>
      <c r="BB904" s="18" t="s">
        <v>534</v>
      </c>
      <c r="BC904">
        <v>1</v>
      </c>
      <c r="BD904">
        <v>0</v>
      </c>
      <c r="BE904">
        <v>0</v>
      </c>
      <c r="BF904">
        <v>0</v>
      </c>
      <c r="BG904">
        <v>0</v>
      </c>
      <c r="BH904" s="18">
        <v>0</v>
      </c>
      <c r="BI904">
        <v>1</v>
      </c>
      <c r="BJ904">
        <v>0</v>
      </c>
      <c r="BK904" s="18">
        <v>0</v>
      </c>
      <c r="BL904">
        <v>2133</v>
      </c>
      <c r="BM904">
        <v>1699.2</v>
      </c>
      <c r="BN904" s="25">
        <v>46.7</v>
      </c>
      <c r="BO904">
        <v>1</v>
      </c>
      <c r="BP904">
        <v>0</v>
      </c>
      <c r="BQ904">
        <v>0</v>
      </c>
      <c r="BR904">
        <v>0</v>
      </c>
      <c r="BS904">
        <v>0</v>
      </c>
      <c r="BT904">
        <v>0</v>
      </c>
      <c r="BU904">
        <v>0</v>
      </c>
      <c r="BV904" s="18">
        <v>0</v>
      </c>
      <c r="BW904">
        <v>0</v>
      </c>
      <c r="BX904">
        <v>0</v>
      </c>
      <c r="BY904">
        <v>1</v>
      </c>
      <c r="BZ904" s="18">
        <v>0</v>
      </c>
      <c r="CA904">
        <v>0</v>
      </c>
      <c r="CB904">
        <v>0</v>
      </c>
      <c r="CC904">
        <v>0</v>
      </c>
      <c r="CD904">
        <v>0</v>
      </c>
      <c r="CE904">
        <v>0</v>
      </c>
      <c r="CF904" s="18">
        <v>0</v>
      </c>
      <c r="CG904">
        <v>0</v>
      </c>
      <c r="CH904">
        <v>0</v>
      </c>
      <c r="CI904">
        <v>1</v>
      </c>
      <c r="CJ904">
        <v>1</v>
      </c>
      <c r="CK904">
        <v>0</v>
      </c>
      <c r="CL904">
        <v>0</v>
      </c>
      <c r="CM904">
        <v>0</v>
      </c>
      <c r="CN904">
        <v>0</v>
      </c>
      <c r="CO904">
        <v>0</v>
      </c>
      <c r="CP904">
        <v>0</v>
      </c>
      <c r="CQ904" s="18">
        <v>0</v>
      </c>
      <c r="CR904">
        <v>0</v>
      </c>
      <c r="CS904">
        <v>0</v>
      </c>
      <c r="CT904">
        <v>0</v>
      </c>
      <c r="CU904">
        <v>1</v>
      </c>
      <c r="CV904">
        <v>22</v>
      </c>
      <c r="DB904" s="34"/>
    </row>
    <row r="905" spans="1:106" x14ac:dyDescent="0.25">
      <c r="A905">
        <v>904</v>
      </c>
      <c r="B905">
        <v>62</v>
      </c>
      <c r="C905" s="25" t="s">
        <v>4095</v>
      </c>
      <c r="D905" s="12">
        <v>3.3570000000000002</v>
      </c>
      <c r="E905" s="14">
        <v>0.25380000000000003</v>
      </c>
      <c r="F905" s="7">
        <f t="shared" si="257"/>
        <v>13.226950354609929</v>
      </c>
      <c r="G905" s="7">
        <f t="shared" si="259"/>
        <v>3.1032000000000002</v>
      </c>
      <c r="H905" s="16">
        <f t="shared" si="260"/>
        <v>3.6108000000000002</v>
      </c>
      <c r="I905" s="11">
        <f t="shared" si="261"/>
        <v>0.25507516789330476</v>
      </c>
      <c r="J905" s="33">
        <f t="shared" si="262"/>
        <v>1.9284503309895965E-2</v>
      </c>
      <c r="K905" s="33">
        <f t="shared" si="263"/>
        <v>51.855107903496986</v>
      </c>
      <c r="L905" s="33">
        <f t="shared" si="264"/>
        <v>0.2357906645834088</v>
      </c>
      <c r="M905" s="33">
        <f t="shared" si="265"/>
        <v>0.27435967120320071</v>
      </c>
      <c r="N905" s="8">
        <v>0</v>
      </c>
      <c r="O905" s="9">
        <v>1</v>
      </c>
      <c r="P905" s="8">
        <v>0</v>
      </c>
      <c r="Q905" s="9">
        <v>0</v>
      </c>
      <c r="R905" s="9">
        <v>0</v>
      </c>
      <c r="S905" s="9">
        <v>1</v>
      </c>
      <c r="T905" s="9">
        <v>0</v>
      </c>
      <c r="U905" s="8">
        <v>2518</v>
      </c>
      <c r="V905" s="9">
        <v>3</v>
      </c>
      <c r="W905" s="9">
        <f t="shared" si="266"/>
        <v>2514</v>
      </c>
      <c r="X905" s="9">
        <f t="shared" si="267"/>
        <v>20</v>
      </c>
      <c r="Y905" s="7">
        <v>12.84</v>
      </c>
      <c r="Z905" s="7">
        <v>25.3</v>
      </c>
      <c r="AA905" s="9">
        <v>1</v>
      </c>
      <c r="AB905" s="9">
        <v>0</v>
      </c>
      <c r="AC905" s="9">
        <v>1</v>
      </c>
      <c r="AD905" s="9">
        <v>0</v>
      </c>
      <c r="AE905" s="9">
        <v>0</v>
      </c>
      <c r="AF905" s="9">
        <v>0</v>
      </c>
      <c r="AG905" s="8">
        <v>0</v>
      </c>
      <c r="AH905" s="9">
        <v>1</v>
      </c>
      <c r="AI905" s="30">
        <v>0</v>
      </c>
      <c r="AJ905" s="9">
        <v>0</v>
      </c>
      <c r="AK905" s="30">
        <v>1</v>
      </c>
      <c r="AL905" s="21">
        <v>2006</v>
      </c>
      <c r="AM905" s="23">
        <f t="shared" si="268"/>
        <v>7.6038979685218813</v>
      </c>
      <c r="AN905" s="33">
        <v>0.05</v>
      </c>
      <c r="AO905" s="33">
        <v>0.109</v>
      </c>
      <c r="AP905" s="33">
        <v>0.69499999999999995</v>
      </c>
      <c r="AQ905" s="43">
        <v>0.191</v>
      </c>
      <c r="AR905" s="42" t="s">
        <v>104</v>
      </c>
      <c r="AS905" s="18" t="s">
        <v>104</v>
      </c>
      <c r="AT905">
        <v>0.5</v>
      </c>
      <c r="AU905" s="40">
        <f t="shared" si="258"/>
        <v>0.5</v>
      </c>
      <c r="AV905">
        <v>0.72</v>
      </c>
      <c r="AW905" s="40">
        <v>0.28000000000000003</v>
      </c>
      <c r="AX905">
        <v>1</v>
      </c>
      <c r="AY905" s="18">
        <v>0</v>
      </c>
      <c r="AZ905" t="s">
        <v>104</v>
      </c>
      <c r="BA905" s="18" t="s">
        <v>104</v>
      </c>
      <c r="BB905" s="18" t="s">
        <v>534</v>
      </c>
      <c r="BC905">
        <v>1</v>
      </c>
      <c r="BD905">
        <v>0</v>
      </c>
      <c r="BE905">
        <v>0</v>
      </c>
      <c r="BF905">
        <v>0</v>
      </c>
      <c r="BG905">
        <v>0</v>
      </c>
      <c r="BH905" s="18">
        <v>0</v>
      </c>
      <c r="BI905">
        <v>1</v>
      </c>
      <c r="BJ905">
        <v>0</v>
      </c>
      <c r="BK905" s="18">
        <v>0</v>
      </c>
      <c r="BL905">
        <v>2133</v>
      </c>
      <c r="BM905">
        <v>1699.2</v>
      </c>
      <c r="BN905" s="25">
        <v>44.55</v>
      </c>
      <c r="BO905">
        <v>1</v>
      </c>
      <c r="BP905">
        <v>0</v>
      </c>
      <c r="BQ905">
        <v>0</v>
      </c>
      <c r="BR905">
        <v>0</v>
      </c>
      <c r="BS905">
        <v>0</v>
      </c>
      <c r="BT905">
        <v>0</v>
      </c>
      <c r="BU905">
        <v>0</v>
      </c>
      <c r="BV905" s="18">
        <v>0</v>
      </c>
      <c r="BW905">
        <v>0</v>
      </c>
      <c r="BX905">
        <v>0</v>
      </c>
      <c r="BY905">
        <v>1</v>
      </c>
      <c r="BZ905" s="18">
        <v>0</v>
      </c>
      <c r="CA905">
        <v>0</v>
      </c>
      <c r="CB905">
        <v>0</v>
      </c>
      <c r="CC905">
        <v>0</v>
      </c>
      <c r="CD905">
        <v>0</v>
      </c>
      <c r="CE905">
        <v>0</v>
      </c>
      <c r="CF905" s="18">
        <v>0</v>
      </c>
      <c r="CG905">
        <v>0</v>
      </c>
      <c r="CH905">
        <v>0</v>
      </c>
      <c r="CI905">
        <v>1</v>
      </c>
      <c r="CJ905">
        <v>1</v>
      </c>
      <c r="CK905">
        <v>0</v>
      </c>
      <c r="CL905">
        <v>0</v>
      </c>
      <c r="CM905">
        <v>0</v>
      </c>
      <c r="CN905">
        <v>0</v>
      </c>
      <c r="CO905">
        <v>0</v>
      </c>
      <c r="CP905">
        <v>0</v>
      </c>
      <c r="CQ905" s="18">
        <v>0</v>
      </c>
      <c r="CR905">
        <v>0</v>
      </c>
      <c r="CS905">
        <v>0</v>
      </c>
      <c r="CT905">
        <v>0</v>
      </c>
      <c r="CU905">
        <v>1</v>
      </c>
      <c r="CV905">
        <v>22</v>
      </c>
      <c r="DB905" s="34"/>
    </row>
    <row r="906" spans="1:106" x14ac:dyDescent="0.25">
      <c r="A906">
        <v>905</v>
      </c>
      <c r="B906">
        <v>62</v>
      </c>
      <c r="C906" s="25" t="s">
        <v>4095</v>
      </c>
      <c r="D906" s="12">
        <v>4.4290000000000003</v>
      </c>
      <c r="E906" s="14">
        <v>0.49509999999999998</v>
      </c>
      <c r="F906" s="7">
        <f t="shared" si="257"/>
        <v>8.9456675419107263</v>
      </c>
      <c r="G906" s="7">
        <f t="shared" si="259"/>
        <v>3.9339000000000004</v>
      </c>
      <c r="H906" s="16">
        <f t="shared" si="260"/>
        <v>4.9241000000000001</v>
      </c>
      <c r="I906" s="11">
        <f t="shared" si="261"/>
        <v>0.29007933725999008</v>
      </c>
      <c r="J906" s="33">
        <f t="shared" si="262"/>
        <v>3.2426796088828418E-2</v>
      </c>
      <c r="K906" s="33">
        <f t="shared" si="263"/>
        <v>30.838692705275221</v>
      </c>
      <c r="L906" s="33">
        <f t="shared" si="264"/>
        <v>0.25765254117116165</v>
      </c>
      <c r="M906" s="33">
        <f t="shared" si="265"/>
        <v>0.3225061333488185</v>
      </c>
      <c r="N906" s="8">
        <v>0</v>
      </c>
      <c r="O906" s="9">
        <v>1</v>
      </c>
      <c r="P906" s="8">
        <v>0</v>
      </c>
      <c r="Q906" s="9">
        <v>0</v>
      </c>
      <c r="R906" s="9">
        <v>0</v>
      </c>
      <c r="S906" s="9">
        <v>1</v>
      </c>
      <c r="T906" s="9">
        <v>0</v>
      </c>
      <c r="U906" s="8">
        <v>874</v>
      </c>
      <c r="V906" s="9">
        <v>2</v>
      </c>
      <c r="W906" s="9">
        <f t="shared" si="266"/>
        <v>871</v>
      </c>
      <c r="X906" s="9">
        <f t="shared" si="267"/>
        <v>20</v>
      </c>
      <c r="Y906" s="7">
        <v>12.16</v>
      </c>
      <c r="Z906" s="7">
        <v>23.74</v>
      </c>
      <c r="AA906" s="9">
        <v>1</v>
      </c>
      <c r="AB906" s="9">
        <v>0</v>
      </c>
      <c r="AC906" s="9">
        <v>1</v>
      </c>
      <c r="AD906" s="9">
        <v>0</v>
      </c>
      <c r="AE906" s="9">
        <v>0</v>
      </c>
      <c r="AF906" s="9">
        <v>0</v>
      </c>
      <c r="AG906" s="8">
        <v>0</v>
      </c>
      <c r="AH906" s="9">
        <v>1</v>
      </c>
      <c r="AI906" s="30">
        <v>0</v>
      </c>
      <c r="AJ906" s="9">
        <v>0</v>
      </c>
      <c r="AK906" s="30">
        <v>1</v>
      </c>
      <c r="AL906" s="21">
        <v>1997</v>
      </c>
      <c r="AM906" s="23">
        <f t="shared" si="268"/>
        <v>7.5994013334158153</v>
      </c>
      <c r="AN906" s="33">
        <v>0.05</v>
      </c>
      <c r="AO906" s="33">
        <v>0.109</v>
      </c>
      <c r="AP906" s="33">
        <v>0.69499999999999995</v>
      </c>
      <c r="AQ906" s="43">
        <v>0.191</v>
      </c>
      <c r="AR906" s="42" t="s">
        <v>104</v>
      </c>
      <c r="AS906" s="18" t="s">
        <v>104</v>
      </c>
      <c r="AT906">
        <v>0.5</v>
      </c>
      <c r="AU906" s="40">
        <f t="shared" si="258"/>
        <v>0.5</v>
      </c>
      <c r="AV906">
        <v>0.72</v>
      </c>
      <c r="AW906" s="40">
        <v>0.28000000000000003</v>
      </c>
      <c r="AX906">
        <v>1</v>
      </c>
      <c r="AY906" s="18">
        <v>0</v>
      </c>
      <c r="AZ906" t="s">
        <v>104</v>
      </c>
      <c r="BA906" s="18" t="s">
        <v>104</v>
      </c>
      <c r="BB906" s="18" t="s">
        <v>534</v>
      </c>
      <c r="BC906">
        <v>1</v>
      </c>
      <c r="BD906">
        <v>0</v>
      </c>
      <c r="BE906">
        <v>0</v>
      </c>
      <c r="BF906">
        <v>0</v>
      </c>
      <c r="BG906">
        <v>0</v>
      </c>
      <c r="BH906" s="18">
        <v>0</v>
      </c>
      <c r="BI906">
        <v>1</v>
      </c>
      <c r="BJ906">
        <v>0</v>
      </c>
      <c r="BK906" s="18">
        <v>0</v>
      </c>
      <c r="BL906">
        <v>2133</v>
      </c>
      <c r="BM906">
        <v>1699.2</v>
      </c>
      <c r="BN906" s="25">
        <v>43.52</v>
      </c>
      <c r="BO906">
        <v>1</v>
      </c>
      <c r="BP906">
        <v>0</v>
      </c>
      <c r="BQ906">
        <v>0</v>
      </c>
      <c r="BR906">
        <v>0</v>
      </c>
      <c r="BS906">
        <v>0</v>
      </c>
      <c r="BT906">
        <v>0</v>
      </c>
      <c r="BU906">
        <v>0</v>
      </c>
      <c r="BV906" s="18">
        <v>0</v>
      </c>
      <c r="BW906">
        <v>0</v>
      </c>
      <c r="BX906">
        <v>0</v>
      </c>
      <c r="BY906">
        <v>1</v>
      </c>
      <c r="BZ906" s="18">
        <v>0</v>
      </c>
      <c r="CA906">
        <v>0</v>
      </c>
      <c r="CB906">
        <v>0</v>
      </c>
      <c r="CC906">
        <v>0</v>
      </c>
      <c r="CD906">
        <v>0</v>
      </c>
      <c r="CE906">
        <v>0</v>
      </c>
      <c r="CF906" s="18">
        <v>0</v>
      </c>
      <c r="CG906">
        <v>0</v>
      </c>
      <c r="CH906">
        <v>0</v>
      </c>
      <c r="CI906">
        <v>1</v>
      </c>
      <c r="CJ906">
        <v>1</v>
      </c>
      <c r="CK906">
        <v>0</v>
      </c>
      <c r="CL906">
        <v>0</v>
      </c>
      <c r="CM906">
        <v>1</v>
      </c>
      <c r="CN906">
        <v>0</v>
      </c>
      <c r="CO906">
        <v>0</v>
      </c>
      <c r="CP906">
        <v>0</v>
      </c>
      <c r="CQ906" s="18">
        <v>0</v>
      </c>
      <c r="CR906">
        <v>0</v>
      </c>
      <c r="CS906">
        <v>0</v>
      </c>
      <c r="CT906">
        <v>0</v>
      </c>
      <c r="CU906">
        <v>1</v>
      </c>
      <c r="CV906">
        <v>22</v>
      </c>
      <c r="DB906" s="34"/>
    </row>
    <row r="907" spans="1:106" x14ac:dyDescent="0.25">
      <c r="A907">
        <v>906</v>
      </c>
      <c r="B907">
        <v>62</v>
      </c>
      <c r="C907" s="25" t="s">
        <v>4095</v>
      </c>
      <c r="D907" s="12">
        <v>4.1890000000000001</v>
      </c>
      <c r="E907" s="14">
        <v>0.44290000000000002</v>
      </c>
      <c r="F907" s="7">
        <f t="shared" si="257"/>
        <v>9.4581169564235719</v>
      </c>
      <c r="G907" s="7">
        <f t="shared" si="259"/>
        <v>3.7461000000000002</v>
      </c>
      <c r="H907" s="16">
        <f t="shared" si="260"/>
        <v>4.6318999999999999</v>
      </c>
      <c r="I907" s="11">
        <f t="shared" si="261"/>
        <v>0.29421085325313495</v>
      </c>
      <c r="J907" s="33">
        <f t="shared" si="262"/>
        <v>3.1106704919029234E-2</v>
      </c>
      <c r="K907" s="33">
        <f t="shared" si="263"/>
        <v>32.147410103480922</v>
      </c>
      <c r="L907" s="33">
        <f t="shared" si="264"/>
        <v>0.26310414833410573</v>
      </c>
      <c r="M907" s="33">
        <f t="shared" si="265"/>
        <v>0.32531755817216418</v>
      </c>
      <c r="N907" s="8">
        <v>0</v>
      </c>
      <c r="O907" s="9">
        <v>1</v>
      </c>
      <c r="P907" s="8">
        <v>0</v>
      </c>
      <c r="Q907" s="9">
        <v>0</v>
      </c>
      <c r="R907" s="9">
        <v>0</v>
      </c>
      <c r="S907" s="9">
        <v>1</v>
      </c>
      <c r="T907" s="9">
        <v>0</v>
      </c>
      <c r="U907" s="8">
        <v>947</v>
      </c>
      <c r="V907" s="9">
        <v>2</v>
      </c>
      <c r="W907" s="9">
        <f t="shared" si="266"/>
        <v>944</v>
      </c>
      <c r="X907" s="9">
        <f t="shared" si="267"/>
        <v>20</v>
      </c>
      <c r="Y907" s="7">
        <v>12.49</v>
      </c>
      <c r="Z907" s="7">
        <v>24.01</v>
      </c>
      <c r="AA907" s="9">
        <v>1</v>
      </c>
      <c r="AB907" s="9">
        <v>0</v>
      </c>
      <c r="AC907" s="9">
        <v>1</v>
      </c>
      <c r="AD907" s="9">
        <v>0</v>
      </c>
      <c r="AE907" s="9">
        <v>0</v>
      </c>
      <c r="AF907" s="9">
        <v>0</v>
      </c>
      <c r="AG907" s="8">
        <v>0</v>
      </c>
      <c r="AH907" s="9">
        <v>1</v>
      </c>
      <c r="AI907" s="30">
        <v>0</v>
      </c>
      <c r="AJ907" s="9">
        <v>0</v>
      </c>
      <c r="AK907" s="30">
        <v>1</v>
      </c>
      <c r="AL907" s="21">
        <v>2005</v>
      </c>
      <c r="AM907" s="23">
        <f t="shared" si="268"/>
        <v>7.6033993397406698</v>
      </c>
      <c r="AN907" s="33">
        <v>0.05</v>
      </c>
      <c r="AO907" s="33">
        <v>0.109</v>
      </c>
      <c r="AP907" s="33">
        <v>0.69499999999999995</v>
      </c>
      <c r="AQ907" s="43">
        <v>0.191</v>
      </c>
      <c r="AR907" s="42" t="s">
        <v>104</v>
      </c>
      <c r="AS907" s="18" t="s">
        <v>104</v>
      </c>
      <c r="AT907">
        <v>0.49</v>
      </c>
      <c r="AU907" s="40">
        <f t="shared" si="258"/>
        <v>0.51</v>
      </c>
      <c r="AV907">
        <v>0.72</v>
      </c>
      <c r="AW907" s="40">
        <v>0.28000000000000003</v>
      </c>
      <c r="AX907">
        <v>1</v>
      </c>
      <c r="AY907" s="18">
        <v>0</v>
      </c>
      <c r="AZ907" t="s">
        <v>104</v>
      </c>
      <c r="BA907" s="18" t="s">
        <v>104</v>
      </c>
      <c r="BB907" s="18" t="s">
        <v>534</v>
      </c>
      <c r="BC907">
        <v>1</v>
      </c>
      <c r="BD907">
        <v>0</v>
      </c>
      <c r="BE907">
        <v>0</v>
      </c>
      <c r="BF907">
        <v>0</v>
      </c>
      <c r="BG907">
        <v>0</v>
      </c>
      <c r="BH907" s="18">
        <v>0</v>
      </c>
      <c r="BI907">
        <v>1</v>
      </c>
      <c r="BJ907">
        <v>0</v>
      </c>
      <c r="BK907" s="18">
        <v>0</v>
      </c>
      <c r="BL907">
        <v>2133</v>
      </c>
      <c r="BM907">
        <v>1699.2</v>
      </c>
      <c r="BN907" s="25">
        <v>44.02</v>
      </c>
      <c r="BO907">
        <v>1</v>
      </c>
      <c r="BP907">
        <v>0</v>
      </c>
      <c r="BQ907">
        <v>0</v>
      </c>
      <c r="BR907">
        <v>0</v>
      </c>
      <c r="BS907">
        <v>0</v>
      </c>
      <c r="BT907">
        <v>0</v>
      </c>
      <c r="BU907">
        <v>0</v>
      </c>
      <c r="BV907" s="18">
        <v>0</v>
      </c>
      <c r="BW907">
        <v>0</v>
      </c>
      <c r="BX907">
        <v>0</v>
      </c>
      <c r="BY907">
        <v>1</v>
      </c>
      <c r="BZ907" s="18">
        <v>0</v>
      </c>
      <c r="CA907">
        <v>0</v>
      </c>
      <c r="CB907">
        <v>0</v>
      </c>
      <c r="CC907">
        <v>0</v>
      </c>
      <c r="CD907">
        <v>0</v>
      </c>
      <c r="CE907">
        <v>0</v>
      </c>
      <c r="CF907" s="18">
        <v>0</v>
      </c>
      <c r="CG907">
        <v>0</v>
      </c>
      <c r="CH907">
        <v>0</v>
      </c>
      <c r="CI907">
        <v>1</v>
      </c>
      <c r="CJ907">
        <v>1</v>
      </c>
      <c r="CK907">
        <v>0</v>
      </c>
      <c r="CL907">
        <v>0</v>
      </c>
      <c r="CM907">
        <v>1</v>
      </c>
      <c r="CN907">
        <v>0</v>
      </c>
      <c r="CO907">
        <v>0</v>
      </c>
      <c r="CP907">
        <v>0</v>
      </c>
      <c r="CQ907" s="18">
        <v>0</v>
      </c>
      <c r="CR907">
        <v>0</v>
      </c>
      <c r="CS907">
        <v>0</v>
      </c>
      <c r="CT907">
        <v>0</v>
      </c>
      <c r="CU907">
        <v>1</v>
      </c>
      <c r="CV907">
        <v>22</v>
      </c>
      <c r="DB907" s="34"/>
    </row>
    <row r="908" spans="1:106" x14ac:dyDescent="0.25">
      <c r="A908">
        <v>907</v>
      </c>
      <c r="B908">
        <v>62</v>
      </c>
      <c r="C908" s="25" t="s">
        <v>4095</v>
      </c>
      <c r="D908" s="12">
        <v>4.0449999999999999</v>
      </c>
      <c r="E908" s="14">
        <v>0.59989999999999999</v>
      </c>
      <c r="F908" s="7">
        <f t="shared" si="257"/>
        <v>6.7427904650775128</v>
      </c>
      <c r="G908" s="7">
        <f t="shared" si="259"/>
        <v>3.4451000000000001</v>
      </c>
      <c r="H908" s="16">
        <f t="shared" si="260"/>
        <v>4.6448999999999998</v>
      </c>
      <c r="I908" s="11">
        <f t="shared" si="261"/>
        <v>0.25660715362909847</v>
      </c>
      <c r="J908" s="33">
        <f t="shared" si="262"/>
        <v>3.8056521993101652E-2</v>
      </c>
      <c r="K908" s="33">
        <f t="shared" si="263"/>
        <v>26.276704954311533</v>
      </c>
      <c r="L908" s="33">
        <f t="shared" si="264"/>
        <v>0.21855063163599681</v>
      </c>
      <c r="M908" s="33">
        <f t="shared" si="265"/>
        <v>0.29466367562220014</v>
      </c>
      <c r="N908" s="8">
        <v>0</v>
      </c>
      <c r="O908" s="9">
        <v>1</v>
      </c>
      <c r="P908" s="8">
        <v>0</v>
      </c>
      <c r="Q908" s="9">
        <v>0</v>
      </c>
      <c r="R908" s="9">
        <v>0</v>
      </c>
      <c r="S908" s="9">
        <v>1</v>
      </c>
      <c r="T908" s="9">
        <v>0</v>
      </c>
      <c r="U908" s="8">
        <v>648</v>
      </c>
      <c r="V908" s="9">
        <v>2</v>
      </c>
      <c r="W908" s="9">
        <f t="shared" si="266"/>
        <v>645</v>
      </c>
      <c r="X908" s="9">
        <f t="shared" si="267"/>
        <v>20</v>
      </c>
      <c r="Y908" s="7">
        <v>14.19</v>
      </c>
      <c r="Z908" s="7">
        <v>26.43</v>
      </c>
      <c r="AA908" s="9">
        <v>1</v>
      </c>
      <c r="AB908" s="9">
        <v>0</v>
      </c>
      <c r="AC908" s="9">
        <v>1</v>
      </c>
      <c r="AD908" s="9">
        <v>0</v>
      </c>
      <c r="AE908" s="9">
        <v>0</v>
      </c>
      <c r="AF908" s="9">
        <v>0</v>
      </c>
      <c r="AG908" s="8">
        <v>0</v>
      </c>
      <c r="AH908" s="9">
        <v>1</v>
      </c>
      <c r="AI908" s="30">
        <v>0</v>
      </c>
      <c r="AJ908" s="9">
        <v>0</v>
      </c>
      <c r="AK908" s="30">
        <v>1</v>
      </c>
      <c r="AL908" s="21">
        <v>2015</v>
      </c>
      <c r="AM908" s="23">
        <f t="shared" si="268"/>
        <v>7.6083744743807831</v>
      </c>
      <c r="AN908" s="33">
        <v>0.05</v>
      </c>
      <c r="AO908" s="33">
        <v>0.109</v>
      </c>
      <c r="AP908" s="33">
        <v>0.69499999999999995</v>
      </c>
      <c r="AQ908" s="43">
        <v>0.191</v>
      </c>
      <c r="AR908" s="42" t="s">
        <v>104</v>
      </c>
      <c r="AS908" s="18" t="s">
        <v>104</v>
      </c>
      <c r="AT908">
        <v>0.53</v>
      </c>
      <c r="AU908" s="40">
        <f t="shared" si="258"/>
        <v>0.47</v>
      </c>
      <c r="AV908">
        <v>0.72</v>
      </c>
      <c r="AW908" s="40">
        <v>0.28000000000000003</v>
      </c>
      <c r="AX908">
        <v>1</v>
      </c>
      <c r="AY908" s="18">
        <v>0</v>
      </c>
      <c r="AZ908" t="s">
        <v>104</v>
      </c>
      <c r="BA908" s="18" t="s">
        <v>104</v>
      </c>
      <c r="BB908" s="18" t="s">
        <v>534</v>
      </c>
      <c r="BC908">
        <v>1</v>
      </c>
      <c r="BD908">
        <v>0</v>
      </c>
      <c r="BE908">
        <v>0</v>
      </c>
      <c r="BF908">
        <v>0</v>
      </c>
      <c r="BG908">
        <v>0</v>
      </c>
      <c r="BH908" s="18">
        <v>0</v>
      </c>
      <c r="BI908">
        <v>1</v>
      </c>
      <c r="BJ908">
        <v>0</v>
      </c>
      <c r="BK908" s="18">
        <v>0</v>
      </c>
      <c r="BL908">
        <v>2133</v>
      </c>
      <c r="BM908">
        <v>1699.2</v>
      </c>
      <c r="BN908" s="25">
        <v>46.7</v>
      </c>
      <c r="BO908">
        <v>1</v>
      </c>
      <c r="BP908">
        <v>0</v>
      </c>
      <c r="BQ908">
        <v>0</v>
      </c>
      <c r="BR908">
        <v>0</v>
      </c>
      <c r="BS908">
        <v>0</v>
      </c>
      <c r="BT908">
        <v>0</v>
      </c>
      <c r="BU908">
        <v>0</v>
      </c>
      <c r="BV908" s="18">
        <v>0</v>
      </c>
      <c r="BW908">
        <v>0</v>
      </c>
      <c r="BX908">
        <v>0</v>
      </c>
      <c r="BY908">
        <v>1</v>
      </c>
      <c r="BZ908" s="18">
        <v>0</v>
      </c>
      <c r="CA908">
        <v>0</v>
      </c>
      <c r="CB908">
        <v>0</v>
      </c>
      <c r="CC908">
        <v>0</v>
      </c>
      <c r="CD908">
        <v>0</v>
      </c>
      <c r="CE908">
        <v>0</v>
      </c>
      <c r="CF908" s="18">
        <v>0</v>
      </c>
      <c r="CG908">
        <v>0</v>
      </c>
      <c r="CH908">
        <v>0</v>
      </c>
      <c r="CI908">
        <v>1</v>
      </c>
      <c r="CJ908">
        <v>1</v>
      </c>
      <c r="CK908">
        <v>0</v>
      </c>
      <c r="CL908">
        <v>0</v>
      </c>
      <c r="CM908">
        <v>1</v>
      </c>
      <c r="CN908">
        <v>0</v>
      </c>
      <c r="CO908">
        <v>0</v>
      </c>
      <c r="CP908">
        <v>0</v>
      </c>
      <c r="CQ908" s="18">
        <v>0</v>
      </c>
      <c r="CR908">
        <v>0</v>
      </c>
      <c r="CS908">
        <v>0</v>
      </c>
      <c r="CT908">
        <v>0</v>
      </c>
      <c r="CU908">
        <v>1</v>
      </c>
      <c r="CV908">
        <v>22</v>
      </c>
      <c r="DB908" s="34"/>
    </row>
    <row r="909" spans="1:106" x14ac:dyDescent="0.25">
      <c r="A909">
        <v>908</v>
      </c>
      <c r="B909">
        <v>62</v>
      </c>
      <c r="C909" s="25" t="s">
        <v>4095</v>
      </c>
      <c r="D909" s="12">
        <v>4.8689999999999998</v>
      </c>
      <c r="E909" s="14">
        <v>0.22600000000000001</v>
      </c>
      <c r="F909" s="7">
        <f t="shared" ref="F909:F917" si="269">D909/E909</f>
        <v>21.544247787610619</v>
      </c>
      <c r="G909" s="7">
        <f t="shared" si="259"/>
        <v>4.6429999999999998</v>
      </c>
      <c r="H909" s="16">
        <f t="shared" si="260"/>
        <v>5.0949999999999998</v>
      </c>
      <c r="I909" s="11">
        <f t="shared" si="261"/>
        <v>0.39471607531309572</v>
      </c>
      <c r="J909" s="33">
        <f t="shared" si="262"/>
        <v>1.8321181561051475E-2</v>
      </c>
      <c r="K909" s="33">
        <f t="shared" si="263"/>
        <v>54.581632558342967</v>
      </c>
      <c r="L909" s="33">
        <f t="shared" si="264"/>
        <v>0.37639489375204427</v>
      </c>
      <c r="M909" s="33">
        <f t="shared" si="265"/>
        <v>0.41303725687414716</v>
      </c>
      <c r="N909" s="8">
        <v>0</v>
      </c>
      <c r="O909" s="9">
        <v>1</v>
      </c>
      <c r="P909" s="8">
        <v>0</v>
      </c>
      <c r="Q909" s="9">
        <v>0</v>
      </c>
      <c r="R909" s="9">
        <v>0</v>
      </c>
      <c r="S909" s="9">
        <v>1</v>
      </c>
      <c r="T909" s="9">
        <v>0</v>
      </c>
      <c r="U909" s="8">
        <v>2518</v>
      </c>
      <c r="V909" s="9">
        <v>2</v>
      </c>
      <c r="W909" s="9">
        <f t="shared" si="266"/>
        <v>2515</v>
      </c>
      <c r="X909" s="9">
        <f t="shared" si="267"/>
        <v>20</v>
      </c>
      <c r="Y909" s="7">
        <v>12.84</v>
      </c>
      <c r="Z909" s="7">
        <v>25.3</v>
      </c>
      <c r="AA909" s="9">
        <v>1</v>
      </c>
      <c r="AB909" s="9">
        <v>0</v>
      </c>
      <c r="AC909" s="9">
        <v>1</v>
      </c>
      <c r="AD909" s="9">
        <v>0</v>
      </c>
      <c r="AE909" s="9">
        <v>0</v>
      </c>
      <c r="AF909" s="9">
        <v>0</v>
      </c>
      <c r="AG909" s="8">
        <v>0</v>
      </c>
      <c r="AH909" s="9">
        <v>1</v>
      </c>
      <c r="AI909" s="30">
        <v>0</v>
      </c>
      <c r="AJ909" s="9">
        <v>0</v>
      </c>
      <c r="AK909" s="30">
        <v>1</v>
      </c>
      <c r="AL909" s="21">
        <v>2006</v>
      </c>
      <c r="AM909" s="23">
        <f t="shared" si="268"/>
        <v>7.6038979685218813</v>
      </c>
      <c r="AN909" s="33">
        <v>0.05</v>
      </c>
      <c r="AO909" s="33">
        <v>0.109</v>
      </c>
      <c r="AP909" s="33">
        <v>0.69499999999999995</v>
      </c>
      <c r="AQ909" s="43">
        <v>0.191</v>
      </c>
      <c r="AR909" s="42" t="s">
        <v>104</v>
      </c>
      <c r="AS909" s="18" t="s">
        <v>104</v>
      </c>
      <c r="AT909">
        <v>0.5</v>
      </c>
      <c r="AU909" s="40">
        <f t="shared" si="258"/>
        <v>0.5</v>
      </c>
      <c r="AV909">
        <v>0.72</v>
      </c>
      <c r="AW909" s="40">
        <v>0.28000000000000003</v>
      </c>
      <c r="AX909">
        <v>1</v>
      </c>
      <c r="AY909" s="18">
        <v>0</v>
      </c>
      <c r="AZ909" t="s">
        <v>104</v>
      </c>
      <c r="BA909" s="18" t="s">
        <v>104</v>
      </c>
      <c r="BB909" s="18" t="s">
        <v>534</v>
      </c>
      <c r="BC909">
        <v>1</v>
      </c>
      <c r="BD909">
        <v>0</v>
      </c>
      <c r="BE909">
        <v>0</v>
      </c>
      <c r="BF909">
        <v>0</v>
      </c>
      <c r="BG909">
        <v>0</v>
      </c>
      <c r="BH909" s="18">
        <v>0</v>
      </c>
      <c r="BI909">
        <v>1</v>
      </c>
      <c r="BJ909">
        <v>0</v>
      </c>
      <c r="BK909" s="18">
        <v>0</v>
      </c>
      <c r="BL909">
        <v>2133</v>
      </c>
      <c r="BM909">
        <v>1699.2</v>
      </c>
      <c r="BN909" s="25">
        <v>44.55</v>
      </c>
      <c r="BO909">
        <v>1</v>
      </c>
      <c r="BP909">
        <v>0</v>
      </c>
      <c r="BQ909">
        <v>0</v>
      </c>
      <c r="BR909">
        <v>0</v>
      </c>
      <c r="BS909">
        <v>0</v>
      </c>
      <c r="BT909">
        <v>0</v>
      </c>
      <c r="BU909">
        <v>0</v>
      </c>
      <c r="BV909" s="18">
        <v>0</v>
      </c>
      <c r="BW909">
        <v>0</v>
      </c>
      <c r="BX909">
        <v>0</v>
      </c>
      <c r="BY909">
        <v>1</v>
      </c>
      <c r="BZ909" s="18">
        <v>0</v>
      </c>
      <c r="CA909">
        <v>0</v>
      </c>
      <c r="CB909">
        <v>0</v>
      </c>
      <c r="CC909">
        <v>0</v>
      </c>
      <c r="CD909">
        <v>0</v>
      </c>
      <c r="CE909">
        <v>0</v>
      </c>
      <c r="CF909" s="18">
        <v>0</v>
      </c>
      <c r="CG909">
        <v>0</v>
      </c>
      <c r="CH909">
        <v>0</v>
      </c>
      <c r="CI909">
        <v>1</v>
      </c>
      <c r="CJ909">
        <v>1</v>
      </c>
      <c r="CK909">
        <v>0</v>
      </c>
      <c r="CL909">
        <v>0</v>
      </c>
      <c r="CM909">
        <v>1</v>
      </c>
      <c r="CN909">
        <v>0</v>
      </c>
      <c r="CO909">
        <v>0</v>
      </c>
      <c r="CP909">
        <v>0</v>
      </c>
      <c r="CQ909" s="18">
        <v>0</v>
      </c>
      <c r="CR909">
        <v>0</v>
      </c>
      <c r="CS909">
        <v>0</v>
      </c>
      <c r="CT909">
        <v>0</v>
      </c>
      <c r="CU909">
        <v>1</v>
      </c>
      <c r="CV909">
        <v>22</v>
      </c>
      <c r="DB909" s="34"/>
    </row>
    <row r="910" spans="1:106" x14ac:dyDescent="0.25">
      <c r="A910">
        <v>909</v>
      </c>
      <c r="B910">
        <v>62</v>
      </c>
      <c r="C910" s="25" t="s">
        <v>4095</v>
      </c>
      <c r="D910" s="12">
        <v>2.4340000000000002</v>
      </c>
      <c r="E910" s="14">
        <v>0.91990000000000005</v>
      </c>
      <c r="F910" s="7">
        <f t="shared" si="269"/>
        <v>2.6459397760626153</v>
      </c>
      <c r="G910" s="7">
        <f t="shared" si="259"/>
        <v>1.5141</v>
      </c>
      <c r="H910" s="16">
        <f t="shared" si="260"/>
        <v>3.3539000000000003</v>
      </c>
      <c r="I910" s="11">
        <f t="shared" si="261"/>
        <v>0.12745028691767002</v>
      </c>
      <c r="J910" s="33">
        <f t="shared" si="262"/>
        <v>4.8168249357257456E-2</v>
      </c>
      <c r="K910" s="33">
        <f t="shared" si="263"/>
        <v>20.760563511103214</v>
      </c>
      <c r="L910" s="33">
        <f t="shared" si="264"/>
        <v>7.9282037560412563E-2</v>
      </c>
      <c r="M910" s="33">
        <f t="shared" si="265"/>
        <v>0.17561853627492746</v>
      </c>
      <c r="N910" s="8">
        <v>0</v>
      </c>
      <c r="O910" s="9">
        <v>1</v>
      </c>
      <c r="P910" s="8">
        <v>0</v>
      </c>
      <c r="Q910" s="9">
        <v>0</v>
      </c>
      <c r="R910" s="9">
        <v>0</v>
      </c>
      <c r="S910" s="9">
        <v>1</v>
      </c>
      <c r="T910" s="9">
        <v>0</v>
      </c>
      <c r="U910" s="8">
        <v>426</v>
      </c>
      <c r="V910" s="9">
        <v>1</v>
      </c>
      <c r="W910" s="9">
        <f t="shared" si="266"/>
        <v>424</v>
      </c>
      <c r="X910" s="9">
        <f t="shared" si="267"/>
        <v>20</v>
      </c>
      <c r="Y910" s="7">
        <v>12.16</v>
      </c>
      <c r="Z910" s="7">
        <v>23.74</v>
      </c>
      <c r="AA910" s="9">
        <v>1</v>
      </c>
      <c r="AB910" s="9">
        <v>0</v>
      </c>
      <c r="AC910" s="9">
        <v>1</v>
      </c>
      <c r="AD910" s="9">
        <v>0</v>
      </c>
      <c r="AE910" s="9">
        <v>0</v>
      </c>
      <c r="AF910" s="9">
        <v>0</v>
      </c>
      <c r="AG910" s="8">
        <v>0</v>
      </c>
      <c r="AH910" s="9">
        <v>1</v>
      </c>
      <c r="AI910" s="30">
        <v>0</v>
      </c>
      <c r="AJ910" s="9">
        <v>0</v>
      </c>
      <c r="AK910" s="30">
        <v>1</v>
      </c>
      <c r="AL910" s="21">
        <v>1997</v>
      </c>
      <c r="AM910" s="23">
        <f t="shared" si="268"/>
        <v>7.5994013334158153</v>
      </c>
      <c r="AN910" s="33">
        <v>0.05</v>
      </c>
      <c r="AO910" s="33">
        <v>0.109</v>
      </c>
      <c r="AP910" s="33">
        <v>0.69499999999999995</v>
      </c>
      <c r="AQ910" s="43">
        <v>0.191</v>
      </c>
      <c r="AR910" s="42" t="s">
        <v>104</v>
      </c>
      <c r="AS910" s="18" t="s">
        <v>104</v>
      </c>
      <c r="AT910">
        <v>0</v>
      </c>
      <c r="AU910" s="40">
        <f t="shared" si="258"/>
        <v>1</v>
      </c>
      <c r="AV910">
        <v>0.72</v>
      </c>
      <c r="AW910" s="40">
        <v>0.28000000000000003</v>
      </c>
      <c r="AX910">
        <v>1</v>
      </c>
      <c r="AY910" s="18">
        <v>0</v>
      </c>
      <c r="AZ910" t="s">
        <v>104</v>
      </c>
      <c r="BA910" s="18" t="s">
        <v>104</v>
      </c>
      <c r="BB910" s="18" t="s">
        <v>534</v>
      </c>
      <c r="BC910">
        <v>1</v>
      </c>
      <c r="BD910">
        <v>0</v>
      </c>
      <c r="BE910">
        <v>0</v>
      </c>
      <c r="BF910">
        <v>0</v>
      </c>
      <c r="BG910">
        <v>0</v>
      </c>
      <c r="BH910" s="18">
        <v>0</v>
      </c>
      <c r="BI910">
        <v>1</v>
      </c>
      <c r="BJ910">
        <v>0</v>
      </c>
      <c r="BK910" s="18">
        <v>0</v>
      </c>
      <c r="BL910">
        <v>2133</v>
      </c>
      <c r="BM910">
        <v>1699.2</v>
      </c>
      <c r="BN910" s="25">
        <v>43.52</v>
      </c>
      <c r="BO910">
        <v>1</v>
      </c>
      <c r="BP910">
        <v>0</v>
      </c>
      <c r="BQ910">
        <v>0</v>
      </c>
      <c r="BR910">
        <v>0</v>
      </c>
      <c r="BS910">
        <v>0</v>
      </c>
      <c r="BT910">
        <v>0</v>
      </c>
      <c r="BU910">
        <v>0</v>
      </c>
      <c r="BV910" s="18">
        <v>0</v>
      </c>
      <c r="BW910">
        <v>0</v>
      </c>
      <c r="BX910">
        <v>0</v>
      </c>
      <c r="BY910">
        <v>1</v>
      </c>
      <c r="BZ910" s="18">
        <v>0</v>
      </c>
      <c r="CA910">
        <v>0</v>
      </c>
      <c r="CB910">
        <v>0</v>
      </c>
      <c r="CC910">
        <v>0</v>
      </c>
      <c r="CD910">
        <v>0</v>
      </c>
      <c r="CE910">
        <v>0</v>
      </c>
      <c r="CF910" s="18">
        <v>0</v>
      </c>
      <c r="CG910">
        <v>0</v>
      </c>
      <c r="CH910">
        <v>0</v>
      </c>
      <c r="CI910">
        <v>1</v>
      </c>
      <c r="CJ910">
        <v>1</v>
      </c>
      <c r="CK910">
        <v>0</v>
      </c>
      <c r="CL910">
        <v>0</v>
      </c>
      <c r="CM910">
        <v>0</v>
      </c>
      <c r="CN910">
        <v>0</v>
      </c>
      <c r="CO910">
        <v>0</v>
      </c>
      <c r="CP910">
        <v>0</v>
      </c>
      <c r="CQ910" s="18">
        <v>0</v>
      </c>
      <c r="CR910">
        <v>0</v>
      </c>
      <c r="CS910">
        <v>0</v>
      </c>
      <c r="CT910">
        <v>0</v>
      </c>
      <c r="CU910">
        <v>1</v>
      </c>
      <c r="CV910">
        <v>22</v>
      </c>
      <c r="DB910" s="34"/>
    </row>
    <row r="911" spans="1:106" x14ac:dyDescent="0.25">
      <c r="A911">
        <v>910</v>
      </c>
      <c r="B911">
        <v>62</v>
      </c>
      <c r="C911" s="25" t="s">
        <v>4095</v>
      </c>
      <c r="D911" s="12">
        <v>1.5780000000000001</v>
      </c>
      <c r="E911" s="14">
        <v>0.74250000000000005</v>
      </c>
      <c r="F911" s="7">
        <f t="shared" si="269"/>
        <v>2.1252525252525252</v>
      </c>
      <c r="G911" s="7">
        <f t="shared" si="259"/>
        <v>0.83550000000000002</v>
      </c>
      <c r="H911" s="16">
        <f t="shared" si="260"/>
        <v>2.3205</v>
      </c>
      <c r="I911" s="11">
        <f t="shared" si="261"/>
        <v>9.8395886809123978E-2</v>
      </c>
      <c r="J911" s="33">
        <f t="shared" si="262"/>
        <v>4.6298444838893886E-2</v>
      </c>
      <c r="K911" s="33">
        <f t="shared" si="263"/>
        <v>21.598997622484525</v>
      </c>
      <c r="L911" s="33">
        <f t="shared" si="264"/>
        <v>5.2097441970230092E-2</v>
      </c>
      <c r="M911" s="33">
        <f t="shared" si="265"/>
        <v>0.14469433164801787</v>
      </c>
      <c r="N911" s="8">
        <v>0</v>
      </c>
      <c r="O911" s="9">
        <v>1</v>
      </c>
      <c r="P911" s="8">
        <v>0</v>
      </c>
      <c r="Q911" s="9">
        <v>0</v>
      </c>
      <c r="R911" s="9">
        <v>0</v>
      </c>
      <c r="S911" s="9">
        <v>1</v>
      </c>
      <c r="T911" s="9">
        <v>0</v>
      </c>
      <c r="U911" s="8">
        <v>464</v>
      </c>
      <c r="V911" s="9">
        <v>1</v>
      </c>
      <c r="W911" s="9">
        <f t="shared" si="266"/>
        <v>462</v>
      </c>
      <c r="X911" s="9">
        <f t="shared" si="267"/>
        <v>20</v>
      </c>
      <c r="Y911" s="7">
        <v>12.49</v>
      </c>
      <c r="Z911" s="7">
        <v>24.01</v>
      </c>
      <c r="AA911" s="9">
        <v>1</v>
      </c>
      <c r="AB911" s="9">
        <v>0</v>
      </c>
      <c r="AC911" s="9">
        <v>1</v>
      </c>
      <c r="AD911" s="9">
        <v>0</v>
      </c>
      <c r="AE911" s="9">
        <v>0</v>
      </c>
      <c r="AF911" s="9">
        <v>0</v>
      </c>
      <c r="AG911" s="8">
        <v>0</v>
      </c>
      <c r="AH911" s="9">
        <v>1</v>
      </c>
      <c r="AI911" s="30">
        <v>0</v>
      </c>
      <c r="AJ911" s="9">
        <v>0</v>
      </c>
      <c r="AK911" s="30">
        <v>1</v>
      </c>
      <c r="AL911" s="21">
        <v>2005</v>
      </c>
      <c r="AM911" s="23">
        <f t="shared" si="268"/>
        <v>7.6033993397406698</v>
      </c>
      <c r="AN911" s="33">
        <v>0.05</v>
      </c>
      <c r="AO911" s="33">
        <v>0.109</v>
      </c>
      <c r="AP911" s="33">
        <v>0.69499999999999995</v>
      </c>
      <c r="AQ911" s="43">
        <v>0.191</v>
      </c>
      <c r="AR911" s="42" t="s">
        <v>104</v>
      </c>
      <c r="AS911" s="18" t="s">
        <v>104</v>
      </c>
      <c r="AT911">
        <v>0</v>
      </c>
      <c r="AU911" s="40">
        <f t="shared" si="258"/>
        <v>1</v>
      </c>
      <c r="AV911">
        <v>0.72</v>
      </c>
      <c r="AW911" s="40">
        <v>0.28000000000000003</v>
      </c>
      <c r="AX911">
        <v>1</v>
      </c>
      <c r="AY911" s="18">
        <v>0</v>
      </c>
      <c r="AZ911" t="s">
        <v>104</v>
      </c>
      <c r="BA911" s="18" t="s">
        <v>104</v>
      </c>
      <c r="BB911" s="18" t="s">
        <v>534</v>
      </c>
      <c r="BC911">
        <v>1</v>
      </c>
      <c r="BD911">
        <v>0</v>
      </c>
      <c r="BE911">
        <v>0</v>
      </c>
      <c r="BF911">
        <v>0</v>
      </c>
      <c r="BG911">
        <v>0</v>
      </c>
      <c r="BH911" s="18">
        <v>0</v>
      </c>
      <c r="BI911">
        <v>1</v>
      </c>
      <c r="BJ911">
        <v>0</v>
      </c>
      <c r="BK911" s="18">
        <v>0</v>
      </c>
      <c r="BL911">
        <v>2133</v>
      </c>
      <c r="BM911">
        <v>1699.2</v>
      </c>
      <c r="BN911" s="25">
        <v>44.02</v>
      </c>
      <c r="BO911">
        <v>1</v>
      </c>
      <c r="BP911">
        <v>0</v>
      </c>
      <c r="BQ911">
        <v>0</v>
      </c>
      <c r="BR911">
        <v>0</v>
      </c>
      <c r="BS911">
        <v>0</v>
      </c>
      <c r="BT911">
        <v>0</v>
      </c>
      <c r="BU911">
        <v>0</v>
      </c>
      <c r="BV911" s="18">
        <v>0</v>
      </c>
      <c r="BW911">
        <v>0</v>
      </c>
      <c r="BX911">
        <v>0</v>
      </c>
      <c r="BY911">
        <v>1</v>
      </c>
      <c r="BZ911" s="18">
        <v>0</v>
      </c>
      <c r="CA911">
        <v>0</v>
      </c>
      <c r="CB911">
        <v>0</v>
      </c>
      <c r="CC911">
        <v>0</v>
      </c>
      <c r="CD911">
        <v>0</v>
      </c>
      <c r="CE911">
        <v>0</v>
      </c>
      <c r="CF911" s="18">
        <v>0</v>
      </c>
      <c r="CG911">
        <v>0</v>
      </c>
      <c r="CH911">
        <v>0</v>
      </c>
      <c r="CI911">
        <v>1</v>
      </c>
      <c r="CJ911">
        <v>1</v>
      </c>
      <c r="CK911">
        <v>0</v>
      </c>
      <c r="CL911">
        <v>0</v>
      </c>
      <c r="CM911">
        <v>0</v>
      </c>
      <c r="CN911">
        <v>0</v>
      </c>
      <c r="CO911">
        <v>0</v>
      </c>
      <c r="CP911">
        <v>0</v>
      </c>
      <c r="CQ911" s="18">
        <v>0</v>
      </c>
      <c r="CR911">
        <v>0</v>
      </c>
      <c r="CS911">
        <v>0</v>
      </c>
      <c r="CT911">
        <v>0</v>
      </c>
      <c r="CU911">
        <v>1</v>
      </c>
      <c r="CV911">
        <v>22</v>
      </c>
      <c r="DB911" s="34"/>
    </row>
    <row r="912" spans="1:106" x14ac:dyDescent="0.25">
      <c r="A912">
        <v>911</v>
      </c>
      <c r="B912">
        <v>62</v>
      </c>
      <c r="C912" s="25" t="s">
        <v>4095</v>
      </c>
      <c r="D912" s="12">
        <v>1.8879999999999999</v>
      </c>
      <c r="E912" s="14">
        <v>1.0250999999999999</v>
      </c>
      <c r="F912" s="7">
        <f t="shared" si="269"/>
        <v>1.8417715344844405</v>
      </c>
      <c r="G912" s="7">
        <f t="shared" si="259"/>
        <v>0.8629</v>
      </c>
      <c r="H912" s="16">
        <f t="shared" si="260"/>
        <v>2.9131</v>
      </c>
      <c r="I912" s="11">
        <f t="shared" si="261"/>
        <v>9.6748977134979888E-2</v>
      </c>
      <c r="J912" s="33">
        <f t="shared" si="262"/>
        <v>5.2530390074718158E-2</v>
      </c>
      <c r="K912" s="33">
        <f t="shared" si="263"/>
        <v>19.03659954890151</v>
      </c>
      <c r="L912" s="33">
        <f t="shared" si="264"/>
        <v>4.421858706026173E-2</v>
      </c>
      <c r="M912" s="33">
        <f t="shared" si="265"/>
        <v>0.14927936720969803</v>
      </c>
      <c r="N912" s="8">
        <v>0</v>
      </c>
      <c r="O912" s="9">
        <v>1</v>
      </c>
      <c r="P912" s="8">
        <v>0</v>
      </c>
      <c r="Q912" s="9">
        <v>0</v>
      </c>
      <c r="R912" s="9">
        <v>0</v>
      </c>
      <c r="S912" s="9">
        <v>1</v>
      </c>
      <c r="T912" s="9">
        <v>0</v>
      </c>
      <c r="U912" s="8">
        <v>361</v>
      </c>
      <c r="V912" s="9">
        <v>1</v>
      </c>
      <c r="W912" s="9">
        <f t="shared" si="266"/>
        <v>359</v>
      </c>
      <c r="X912" s="9">
        <f t="shared" si="267"/>
        <v>20</v>
      </c>
      <c r="Y912" s="7">
        <v>14.19</v>
      </c>
      <c r="Z912" s="7">
        <v>26.43</v>
      </c>
      <c r="AA912" s="9">
        <v>1</v>
      </c>
      <c r="AB912" s="9">
        <v>0</v>
      </c>
      <c r="AC912" s="9">
        <v>1</v>
      </c>
      <c r="AD912" s="9">
        <v>0</v>
      </c>
      <c r="AE912" s="9">
        <v>0</v>
      </c>
      <c r="AF912" s="9">
        <v>0</v>
      </c>
      <c r="AG912" s="8">
        <v>0</v>
      </c>
      <c r="AH912" s="9">
        <v>1</v>
      </c>
      <c r="AI912" s="30">
        <v>0</v>
      </c>
      <c r="AJ912" s="9">
        <v>0</v>
      </c>
      <c r="AK912" s="30">
        <v>1</v>
      </c>
      <c r="AL912" s="21">
        <v>2015</v>
      </c>
      <c r="AM912" s="23">
        <f t="shared" si="268"/>
        <v>7.6083744743807831</v>
      </c>
      <c r="AN912" s="33">
        <v>0.05</v>
      </c>
      <c r="AO912" s="33">
        <v>0.109</v>
      </c>
      <c r="AP912" s="33">
        <v>0.69499999999999995</v>
      </c>
      <c r="AQ912" s="43">
        <v>0.191</v>
      </c>
      <c r="AR912" s="42" t="s">
        <v>104</v>
      </c>
      <c r="AS912" s="18" t="s">
        <v>104</v>
      </c>
      <c r="AT912">
        <v>0</v>
      </c>
      <c r="AU912" s="40">
        <f t="shared" si="258"/>
        <v>1</v>
      </c>
      <c r="AV912">
        <v>0.72</v>
      </c>
      <c r="AW912" s="40">
        <v>0.28000000000000003</v>
      </c>
      <c r="AX912">
        <v>1</v>
      </c>
      <c r="AY912" s="18">
        <v>0</v>
      </c>
      <c r="AZ912" t="s">
        <v>104</v>
      </c>
      <c r="BA912" s="18" t="s">
        <v>104</v>
      </c>
      <c r="BB912" s="18" t="s">
        <v>534</v>
      </c>
      <c r="BC912">
        <v>1</v>
      </c>
      <c r="BD912">
        <v>0</v>
      </c>
      <c r="BE912">
        <v>0</v>
      </c>
      <c r="BF912">
        <v>0</v>
      </c>
      <c r="BG912">
        <v>0</v>
      </c>
      <c r="BH912" s="18">
        <v>0</v>
      </c>
      <c r="BI912">
        <v>1</v>
      </c>
      <c r="BJ912">
        <v>0</v>
      </c>
      <c r="BK912" s="18">
        <v>0</v>
      </c>
      <c r="BL912">
        <v>2133</v>
      </c>
      <c r="BM912">
        <v>1699.2</v>
      </c>
      <c r="BN912" s="25">
        <v>46.7</v>
      </c>
      <c r="BO912">
        <v>1</v>
      </c>
      <c r="BP912">
        <v>0</v>
      </c>
      <c r="BQ912">
        <v>0</v>
      </c>
      <c r="BR912">
        <v>0</v>
      </c>
      <c r="BS912">
        <v>0</v>
      </c>
      <c r="BT912">
        <v>0</v>
      </c>
      <c r="BU912">
        <v>0</v>
      </c>
      <c r="BV912" s="18">
        <v>0</v>
      </c>
      <c r="BW912">
        <v>0</v>
      </c>
      <c r="BX912">
        <v>0</v>
      </c>
      <c r="BY912">
        <v>1</v>
      </c>
      <c r="BZ912" s="18">
        <v>0</v>
      </c>
      <c r="CA912">
        <v>0</v>
      </c>
      <c r="CB912">
        <v>0</v>
      </c>
      <c r="CC912">
        <v>0</v>
      </c>
      <c r="CD912">
        <v>0</v>
      </c>
      <c r="CE912">
        <v>0</v>
      </c>
      <c r="CF912" s="18">
        <v>0</v>
      </c>
      <c r="CG912">
        <v>0</v>
      </c>
      <c r="CH912">
        <v>0</v>
      </c>
      <c r="CI912">
        <v>1</v>
      </c>
      <c r="CJ912">
        <v>1</v>
      </c>
      <c r="CK912">
        <v>0</v>
      </c>
      <c r="CL912">
        <v>0</v>
      </c>
      <c r="CM912">
        <v>0</v>
      </c>
      <c r="CN912">
        <v>0</v>
      </c>
      <c r="CO912">
        <v>0</v>
      </c>
      <c r="CP912">
        <v>0</v>
      </c>
      <c r="CQ912" s="18">
        <v>0</v>
      </c>
      <c r="CR912">
        <v>0</v>
      </c>
      <c r="CS912">
        <v>0</v>
      </c>
      <c r="CT912">
        <v>0</v>
      </c>
      <c r="CU912">
        <v>1</v>
      </c>
      <c r="CV912">
        <v>22</v>
      </c>
      <c r="DB912" s="34"/>
    </row>
    <row r="913" spans="1:106" x14ac:dyDescent="0.25">
      <c r="A913">
        <v>912</v>
      </c>
      <c r="B913">
        <v>62</v>
      </c>
      <c r="C913" s="25" t="s">
        <v>4095</v>
      </c>
      <c r="D913" s="12">
        <v>3.4140000000000001</v>
      </c>
      <c r="E913" s="14">
        <v>0.57210000000000005</v>
      </c>
      <c r="F913" s="7">
        <f t="shared" si="269"/>
        <v>5.9674882013633974</v>
      </c>
      <c r="G913" s="7">
        <f t="shared" si="259"/>
        <v>2.8418999999999999</v>
      </c>
      <c r="H913" s="16">
        <f t="shared" si="260"/>
        <v>3.9861000000000004</v>
      </c>
      <c r="I913" s="11">
        <f t="shared" si="261"/>
        <v>0.16649675172905307</v>
      </c>
      <c r="J913" s="33">
        <f t="shared" si="262"/>
        <v>2.7900641963734995E-2</v>
      </c>
      <c r="K913" s="33">
        <f t="shared" si="263"/>
        <v>35.841469214213461</v>
      </c>
      <c r="L913" s="33">
        <f t="shared" si="264"/>
        <v>0.13859610976531808</v>
      </c>
      <c r="M913" s="33">
        <f t="shared" si="265"/>
        <v>0.19439739369278805</v>
      </c>
      <c r="N913" s="8">
        <v>0</v>
      </c>
      <c r="O913" s="9">
        <v>1</v>
      </c>
      <c r="P913" s="8">
        <v>0</v>
      </c>
      <c r="Q913" s="9">
        <v>0</v>
      </c>
      <c r="R913" s="9">
        <v>0</v>
      </c>
      <c r="S913" s="9">
        <v>1</v>
      </c>
      <c r="T913" s="9">
        <v>0</v>
      </c>
      <c r="U913" s="8">
        <v>1251</v>
      </c>
      <c r="V913" s="9">
        <v>1</v>
      </c>
      <c r="W913" s="9">
        <f t="shared" si="266"/>
        <v>1249</v>
      </c>
      <c r="X913" s="9">
        <f t="shared" si="267"/>
        <v>20</v>
      </c>
      <c r="Y913" s="7">
        <v>12.84</v>
      </c>
      <c r="Z913" s="7">
        <v>25.3</v>
      </c>
      <c r="AA913" s="9">
        <v>1</v>
      </c>
      <c r="AB913" s="9">
        <v>0</v>
      </c>
      <c r="AC913" s="9">
        <v>1</v>
      </c>
      <c r="AD913" s="9">
        <v>0</v>
      </c>
      <c r="AE913" s="9">
        <v>0</v>
      </c>
      <c r="AF913" s="9">
        <v>0</v>
      </c>
      <c r="AG913" s="8">
        <v>0</v>
      </c>
      <c r="AH913" s="9">
        <v>1</v>
      </c>
      <c r="AI913" s="30">
        <v>0</v>
      </c>
      <c r="AJ913" s="9">
        <v>0</v>
      </c>
      <c r="AK913" s="30">
        <v>1</v>
      </c>
      <c r="AL913" s="21">
        <v>2006</v>
      </c>
      <c r="AM913" s="23">
        <f t="shared" si="268"/>
        <v>7.6038979685218813</v>
      </c>
      <c r="AN913" s="33">
        <v>0.05</v>
      </c>
      <c r="AO913" s="33">
        <v>0.109</v>
      </c>
      <c r="AP913" s="33">
        <v>0.69499999999999995</v>
      </c>
      <c r="AQ913" s="43">
        <v>0.191</v>
      </c>
      <c r="AR913" s="42" t="s">
        <v>104</v>
      </c>
      <c r="AS913" s="18" t="s">
        <v>104</v>
      </c>
      <c r="AT913">
        <v>0</v>
      </c>
      <c r="AU913" s="40">
        <f t="shared" si="258"/>
        <v>1</v>
      </c>
      <c r="AV913">
        <v>0.72</v>
      </c>
      <c r="AW913" s="40">
        <v>0.28000000000000003</v>
      </c>
      <c r="AX913">
        <v>1</v>
      </c>
      <c r="AY913" s="18">
        <v>0</v>
      </c>
      <c r="AZ913" t="s">
        <v>104</v>
      </c>
      <c r="BA913" s="18" t="s">
        <v>104</v>
      </c>
      <c r="BB913" s="18" t="s">
        <v>534</v>
      </c>
      <c r="BC913">
        <v>1</v>
      </c>
      <c r="BD913">
        <v>0</v>
      </c>
      <c r="BE913">
        <v>0</v>
      </c>
      <c r="BF913">
        <v>0</v>
      </c>
      <c r="BG913">
        <v>0</v>
      </c>
      <c r="BH913" s="18">
        <v>0</v>
      </c>
      <c r="BI913">
        <v>1</v>
      </c>
      <c r="BJ913">
        <v>0</v>
      </c>
      <c r="BK913" s="18">
        <v>0</v>
      </c>
      <c r="BL913">
        <v>2133</v>
      </c>
      <c r="BM913">
        <v>1699.2</v>
      </c>
      <c r="BN913" s="25">
        <v>44.55</v>
      </c>
      <c r="BO913">
        <v>1</v>
      </c>
      <c r="BP913">
        <v>0</v>
      </c>
      <c r="BQ913">
        <v>0</v>
      </c>
      <c r="BR913">
        <v>0</v>
      </c>
      <c r="BS913">
        <v>0</v>
      </c>
      <c r="BT913">
        <v>0</v>
      </c>
      <c r="BU913">
        <v>0</v>
      </c>
      <c r="BV913" s="18">
        <v>0</v>
      </c>
      <c r="BW913">
        <v>0</v>
      </c>
      <c r="BX913">
        <v>0</v>
      </c>
      <c r="BY913">
        <v>1</v>
      </c>
      <c r="BZ913" s="18">
        <v>0</v>
      </c>
      <c r="CA913">
        <v>0</v>
      </c>
      <c r="CB913">
        <v>0</v>
      </c>
      <c r="CC913">
        <v>0</v>
      </c>
      <c r="CD913">
        <v>0</v>
      </c>
      <c r="CE913">
        <v>0</v>
      </c>
      <c r="CF913" s="18">
        <v>0</v>
      </c>
      <c r="CG913">
        <v>0</v>
      </c>
      <c r="CH913">
        <v>0</v>
      </c>
      <c r="CI913">
        <v>1</v>
      </c>
      <c r="CJ913">
        <v>1</v>
      </c>
      <c r="CK913">
        <v>0</v>
      </c>
      <c r="CL913">
        <v>0</v>
      </c>
      <c r="CM913">
        <v>0</v>
      </c>
      <c r="CN913">
        <v>0</v>
      </c>
      <c r="CO913">
        <v>0</v>
      </c>
      <c r="CP913">
        <v>0</v>
      </c>
      <c r="CQ913" s="18">
        <v>0</v>
      </c>
      <c r="CR913">
        <v>0</v>
      </c>
      <c r="CS913">
        <v>0</v>
      </c>
      <c r="CT913">
        <v>0</v>
      </c>
      <c r="CU913">
        <v>1</v>
      </c>
      <c r="CV913">
        <v>22</v>
      </c>
      <c r="DB913" s="34"/>
    </row>
    <row r="914" spans="1:106" x14ac:dyDescent="0.25">
      <c r="A914">
        <v>913</v>
      </c>
      <c r="B914">
        <v>62</v>
      </c>
      <c r="C914" s="25" t="s">
        <v>4095</v>
      </c>
      <c r="D914" s="12">
        <v>3.411</v>
      </c>
      <c r="E914" s="14">
        <v>0.93610000000000004</v>
      </c>
      <c r="F914" s="7">
        <f t="shared" si="269"/>
        <v>3.6438414699284265</v>
      </c>
      <c r="G914" s="7">
        <f t="shared" si="259"/>
        <v>2.4748999999999999</v>
      </c>
      <c r="H914" s="16">
        <f t="shared" si="260"/>
        <v>4.3471000000000002</v>
      </c>
      <c r="I914" s="11">
        <f t="shared" si="261"/>
        <v>0.17287503261517501</v>
      </c>
      <c r="J914" s="33">
        <f t="shared" si="262"/>
        <v>4.7443071835551257E-2</v>
      </c>
      <c r="K914" s="33">
        <f t="shared" si="263"/>
        <v>21.077893174080991</v>
      </c>
      <c r="L914" s="33">
        <f t="shared" si="264"/>
        <v>0.12543196077962376</v>
      </c>
      <c r="M914" s="33">
        <f t="shared" si="265"/>
        <v>0.22031810445072625</v>
      </c>
      <c r="N914" s="8">
        <v>0</v>
      </c>
      <c r="O914" s="9">
        <v>1</v>
      </c>
      <c r="P914" s="8">
        <v>0</v>
      </c>
      <c r="Q914" s="9">
        <v>0</v>
      </c>
      <c r="R914" s="9">
        <v>0</v>
      </c>
      <c r="S914" s="9">
        <v>1</v>
      </c>
      <c r="T914" s="9">
        <v>0</v>
      </c>
      <c r="U914" s="8">
        <v>433</v>
      </c>
      <c r="V914" s="9">
        <v>1</v>
      </c>
      <c r="W914" s="9">
        <f t="shared" si="266"/>
        <v>431</v>
      </c>
      <c r="X914" s="9">
        <f t="shared" si="267"/>
        <v>20</v>
      </c>
      <c r="Y914" s="7">
        <v>12.16</v>
      </c>
      <c r="Z914" s="7">
        <v>23.74</v>
      </c>
      <c r="AA914" s="9">
        <v>1</v>
      </c>
      <c r="AB914" s="9">
        <v>0</v>
      </c>
      <c r="AC914" s="9">
        <v>1</v>
      </c>
      <c r="AD914" s="9">
        <v>0</v>
      </c>
      <c r="AE914" s="9">
        <v>0</v>
      </c>
      <c r="AF914" s="9">
        <v>0</v>
      </c>
      <c r="AG914" s="8">
        <v>0</v>
      </c>
      <c r="AH914" s="9">
        <v>1</v>
      </c>
      <c r="AI914" s="30">
        <v>0</v>
      </c>
      <c r="AJ914" s="9">
        <v>0</v>
      </c>
      <c r="AK914" s="30">
        <v>1</v>
      </c>
      <c r="AL914" s="21">
        <v>1997</v>
      </c>
      <c r="AM914" s="23">
        <f t="shared" si="268"/>
        <v>7.5994013334158153</v>
      </c>
      <c r="AN914" s="33">
        <v>0.05</v>
      </c>
      <c r="AO914" s="33">
        <v>0.109</v>
      </c>
      <c r="AP914" s="33">
        <v>0.69499999999999995</v>
      </c>
      <c r="AQ914" s="43">
        <v>0.191</v>
      </c>
      <c r="AR914" s="42" t="s">
        <v>104</v>
      </c>
      <c r="AS914" s="18" t="s">
        <v>104</v>
      </c>
      <c r="AT914">
        <v>1</v>
      </c>
      <c r="AU914" s="40">
        <f t="shared" si="258"/>
        <v>0</v>
      </c>
      <c r="AV914">
        <v>0.72</v>
      </c>
      <c r="AW914" s="40">
        <v>0.28000000000000003</v>
      </c>
      <c r="AX914">
        <v>1</v>
      </c>
      <c r="AY914" s="18">
        <v>0</v>
      </c>
      <c r="AZ914" t="s">
        <v>104</v>
      </c>
      <c r="BA914" s="18" t="s">
        <v>104</v>
      </c>
      <c r="BB914" s="18" t="s">
        <v>534</v>
      </c>
      <c r="BC914">
        <v>1</v>
      </c>
      <c r="BD914">
        <v>0</v>
      </c>
      <c r="BE914">
        <v>0</v>
      </c>
      <c r="BF914">
        <v>0</v>
      </c>
      <c r="BG914">
        <v>0</v>
      </c>
      <c r="BH914" s="18">
        <v>0</v>
      </c>
      <c r="BI914">
        <v>1</v>
      </c>
      <c r="BJ914">
        <v>0</v>
      </c>
      <c r="BK914" s="18">
        <v>0</v>
      </c>
      <c r="BL914">
        <v>2133</v>
      </c>
      <c r="BM914">
        <v>1699.2</v>
      </c>
      <c r="BN914" s="25">
        <v>43.52</v>
      </c>
      <c r="BO914">
        <v>1</v>
      </c>
      <c r="BP914">
        <v>0</v>
      </c>
      <c r="BQ914">
        <v>0</v>
      </c>
      <c r="BR914">
        <v>0</v>
      </c>
      <c r="BS914">
        <v>0</v>
      </c>
      <c r="BT914">
        <v>0</v>
      </c>
      <c r="BU914">
        <v>0</v>
      </c>
      <c r="BV914" s="18">
        <v>0</v>
      </c>
      <c r="BW914">
        <v>0</v>
      </c>
      <c r="BX914">
        <v>0</v>
      </c>
      <c r="BY914">
        <v>1</v>
      </c>
      <c r="BZ914" s="18">
        <v>0</v>
      </c>
      <c r="CA914">
        <v>0</v>
      </c>
      <c r="CB914">
        <v>0</v>
      </c>
      <c r="CC914">
        <v>0</v>
      </c>
      <c r="CD914">
        <v>0</v>
      </c>
      <c r="CE914">
        <v>0</v>
      </c>
      <c r="CF914" s="18">
        <v>0</v>
      </c>
      <c r="CG914">
        <v>0</v>
      </c>
      <c r="CH914">
        <v>0</v>
      </c>
      <c r="CI914">
        <v>1</v>
      </c>
      <c r="CJ914">
        <v>1</v>
      </c>
      <c r="CK914">
        <v>0</v>
      </c>
      <c r="CL914">
        <v>0</v>
      </c>
      <c r="CM914">
        <v>0</v>
      </c>
      <c r="CN914">
        <v>0</v>
      </c>
      <c r="CO914">
        <v>0</v>
      </c>
      <c r="CP914">
        <v>0</v>
      </c>
      <c r="CQ914" s="18">
        <v>0</v>
      </c>
      <c r="CR914">
        <v>0</v>
      </c>
      <c r="CS914">
        <v>0</v>
      </c>
      <c r="CT914">
        <v>0</v>
      </c>
      <c r="CU914">
        <v>1</v>
      </c>
      <c r="CV914">
        <v>22</v>
      </c>
      <c r="DB914" s="34"/>
    </row>
    <row r="915" spans="1:106" x14ac:dyDescent="0.25">
      <c r="A915">
        <v>914</v>
      </c>
      <c r="B915">
        <v>62</v>
      </c>
      <c r="C915" s="25" t="s">
        <v>4095</v>
      </c>
      <c r="D915" s="12">
        <v>2.8820000000000001</v>
      </c>
      <c r="E915" s="14">
        <v>0.874</v>
      </c>
      <c r="F915" s="7">
        <f t="shared" si="269"/>
        <v>3.2974828375286043</v>
      </c>
      <c r="G915" s="7">
        <f t="shared" si="259"/>
        <v>2.008</v>
      </c>
      <c r="H915" s="16">
        <f t="shared" si="260"/>
        <v>3.7560000000000002</v>
      </c>
      <c r="I915" s="11">
        <f t="shared" si="261"/>
        <v>0.14944263724342779</v>
      </c>
      <c r="J915" s="33">
        <f t="shared" si="262"/>
        <v>4.5320216846202598E-2</v>
      </c>
      <c r="K915" s="33">
        <f t="shared" si="263"/>
        <v>22.065207750297656</v>
      </c>
      <c r="L915" s="33">
        <f t="shared" si="264"/>
        <v>0.10412242039722519</v>
      </c>
      <c r="M915" s="33">
        <f t="shared" si="265"/>
        <v>0.1947628540896304</v>
      </c>
      <c r="N915" s="8">
        <v>0</v>
      </c>
      <c r="O915" s="9">
        <v>1</v>
      </c>
      <c r="P915" s="8">
        <v>0</v>
      </c>
      <c r="Q915" s="9">
        <v>0</v>
      </c>
      <c r="R915" s="9">
        <v>0</v>
      </c>
      <c r="S915" s="9">
        <v>1</v>
      </c>
      <c r="T915" s="9">
        <v>0</v>
      </c>
      <c r="U915" s="8">
        <v>478</v>
      </c>
      <c r="V915" s="9">
        <v>1</v>
      </c>
      <c r="W915" s="9">
        <f t="shared" si="266"/>
        <v>476</v>
      </c>
      <c r="X915" s="9">
        <f t="shared" si="267"/>
        <v>20</v>
      </c>
      <c r="Y915" s="7">
        <v>12.49</v>
      </c>
      <c r="Z915" s="7">
        <v>24.01</v>
      </c>
      <c r="AA915" s="9">
        <v>1</v>
      </c>
      <c r="AB915" s="9">
        <v>0</v>
      </c>
      <c r="AC915" s="9">
        <v>1</v>
      </c>
      <c r="AD915" s="9">
        <v>0</v>
      </c>
      <c r="AE915" s="9">
        <v>0</v>
      </c>
      <c r="AF915" s="9">
        <v>0</v>
      </c>
      <c r="AG915" s="8">
        <v>0</v>
      </c>
      <c r="AH915" s="9">
        <v>1</v>
      </c>
      <c r="AI915" s="30">
        <v>0</v>
      </c>
      <c r="AJ915" s="9">
        <v>0</v>
      </c>
      <c r="AK915" s="30">
        <v>1</v>
      </c>
      <c r="AL915" s="21">
        <v>2005</v>
      </c>
      <c r="AM915" s="23">
        <f t="shared" si="268"/>
        <v>7.6033993397406698</v>
      </c>
      <c r="AN915" s="33">
        <v>0.05</v>
      </c>
      <c r="AO915" s="33">
        <v>0.109</v>
      </c>
      <c r="AP915" s="33">
        <v>0.69499999999999995</v>
      </c>
      <c r="AQ915" s="43">
        <v>0.191</v>
      </c>
      <c r="AR915" s="42" t="s">
        <v>104</v>
      </c>
      <c r="AS915" s="18" t="s">
        <v>104</v>
      </c>
      <c r="AT915">
        <v>1</v>
      </c>
      <c r="AU915" s="40">
        <f t="shared" si="258"/>
        <v>0</v>
      </c>
      <c r="AV915">
        <v>0.72</v>
      </c>
      <c r="AW915" s="40">
        <v>0.28000000000000003</v>
      </c>
      <c r="AX915">
        <v>1</v>
      </c>
      <c r="AY915" s="18">
        <v>0</v>
      </c>
      <c r="AZ915" t="s">
        <v>104</v>
      </c>
      <c r="BA915" s="18" t="s">
        <v>104</v>
      </c>
      <c r="BB915" s="18" t="s">
        <v>534</v>
      </c>
      <c r="BC915">
        <v>1</v>
      </c>
      <c r="BD915">
        <v>0</v>
      </c>
      <c r="BE915">
        <v>0</v>
      </c>
      <c r="BF915">
        <v>0</v>
      </c>
      <c r="BG915">
        <v>0</v>
      </c>
      <c r="BH915" s="18">
        <v>0</v>
      </c>
      <c r="BI915">
        <v>1</v>
      </c>
      <c r="BJ915">
        <v>0</v>
      </c>
      <c r="BK915" s="18">
        <v>0</v>
      </c>
      <c r="BL915">
        <v>2133</v>
      </c>
      <c r="BM915">
        <v>1699.2</v>
      </c>
      <c r="BN915" s="25">
        <v>44.02</v>
      </c>
      <c r="BO915">
        <v>1</v>
      </c>
      <c r="BP915">
        <v>0</v>
      </c>
      <c r="BQ915">
        <v>0</v>
      </c>
      <c r="BR915">
        <v>0</v>
      </c>
      <c r="BS915">
        <v>0</v>
      </c>
      <c r="BT915">
        <v>0</v>
      </c>
      <c r="BU915">
        <v>0</v>
      </c>
      <c r="BV915" s="18">
        <v>0</v>
      </c>
      <c r="BW915">
        <v>0</v>
      </c>
      <c r="BX915">
        <v>0</v>
      </c>
      <c r="BY915">
        <v>1</v>
      </c>
      <c r="BZ915" s="18">
        <v>0</v>
      </c>
      <c r="CA915">
        <v>0</v>
      </c>
      <c r="CB915">
        <v>0</v>
      </c>
      <c r="CC915">
        <v>0</v>
      </c>
      <c r="CD915">
        <v>0</v>
      </c>
      <c r="CE915">
        <v>0</v>
      </c>
      <c r="CF915" s="18">
        <v>0</v>
      </c>
      <c r="CG915">
        <v>0</v>
      </c>
      <c r="CH915">
        <v>0</v>
      </c>
      <c r="CI915">
        <v>1</v>
      </c>
      <c r="CJ915">
        <v>1</v>
      </c>
      <c r="CK915">
        <v>0</v>
      </c>
      <c r="CL915">
        <v>0</v>
      </c>
      <c r="CM915">
        <v>0</v>
      </c>
      <c r="CN915">
        <v>0</v>
      </c>
      <c r="CO915">
        <v>0</v>
      </c>
      <c r="CP915">
        <v>0</v>
      </c>
      <c r="CQ915" s="18">
        <v>0</v>
      </c>
      <c r="CR915">
        <v>0</v>
      </c>
      <c r="CS915">
        <v>0</v>
      </c>
      <c r="CT915">
        <v>0</v>
      </c>
      <c r="CU915">
        <v>1</v>
      </c>
      <c r="CV915">
        <v>22</v>
      </c>
      <c r="DB915" s="34"/>
    </row>
    <row r="916" spans="1:106" x14ac:dyDescent="0.25">
      <c r="A916">
        <v>915</v>
      </c>
      <c r="B916">
        <v>62</v>
      </c>
      <c r="C916" s="25" t="s">
        <v>4095</v>
      </c>
      <c r="D916" s="12">
        <v>1.294</v>
      </c>
      <c r="E916" s="14">
        <v>1.0887</v>
      </c>
      <c r="F916" s="7">
        <f t="shared" si="269"/>
        <v>1.1885735280609901</v>
      </c>
      <c r="G916" s="7">
        <f t="shared" si="259"/>
        <v>0.20530000000000004</v>
      </c>
      <c r="H916" s="16">
        <f t="shared" si="260"/>
        <v>2.3826999999999998</v>
      </c>
      <c r="I916" s="11">
        <f t="shared" si="261"/>
        <v>6.6297100065110984E-2</v>
      </c>
      <c r="J916" s="33">
        <f t="shared" si="262"/>
        <v>5.5778711623559747E-2</v>
      </c>
      <c r="K916" s="33">
        <f t="shared" si="263"/>
        <v>17.927986697663723</v>
      </c>
      <c r="L916" s="33">
        <f t="shared" si="264"/>
        <v>1.0518388441551237E-2</v>
      </c>
      <c r="M916" s="33">
        <f t="shared" si="265"/>
        <v>0.12207581168867074</v>
      </c>
      <c r="N916" s="8">
        <v>0</v>
      </c>
      <c r="O916" s="9">
        <v>1</v>
      </c>
      <c r="P916" s="8">
        <v>0</v>
      </c>
      <c r="Q916" s="9">
        <v>0</v>
      </c>
      <c r="R916" s="9">
        <v>0</v>
      </c>
      <c r="S916" s="9">
        <v>1</v>
      </c>
      <c r="T916" s="9">
        <v>0</v>
      </c>
      <c r="U916" s="8">
        <v>322</v>
      </c>
      <c r="V916" s="9">
        <v>1</v>
      </c>
      <c r="W916" s="9">
        <f t="shared" si="266"/>
        <v>320</v>
      </c>
      <c r="X916" s="9">
        <f t="shared" si="267"/>
        <v>20</v>
      </c>
      <c r="Y916" s="7">
        <v>14.19</v>
      </c>
      <c r="Z916" s="7">
        <v>26.43</v>
      </c>
      <c r="AA916" s="9">
        <v>1</v>
      </c>
      <c r="AB916" s="9">
        <v>0</v>
      </c>
      <c r="AC916" s="9">
        <v>1</v>
      </c>
      <c r="AD916" s="9">
        <v>0</v>
      </c>
      <c r="AE916" s="9">
        <v>0</v>
      </c>
      <c r="AF916" s="9">
        <v>0</v>
      </c>
      <c r="AG916" s="8">
        <v>0</v>
      </c>
      <c r="AH916" s="9">
        <v>1</v>
      </c>
      <c r="AI916" s="30">
        <v>0</v>
      </c>
      <c r="AJ916" s="9">
        <v>0</v>
      </c>
      <c r="AK916" s="30">
        <v>1</v>
      </c>
      <c r="AL916" s="21">
        <v>2015</v>
      </c>
      <c r="AM916" s="23">
        <f t="shared" si="268"/>
        <v>7.6083744743807831</v>
      </c>
      <c r="AN916" s="33">
        <v>0.05</v>
      </c>
      <c r="AO916" s="33">
        <v>0.109</v>
      </c>
      <c r="AP916" s="33">
        <v>0.69499999999999995</v>
      </c>
      <c r="AQ916" s="43">
        <v>0.191</v>
      </c>
      <c r="AR916" s="42" t="s">
        <v>104</v>
      </c>
      <c r="AS916" s="18" t="s">
        <v>104</v>
      </c>
      <c r="AT916">
        <v>1</v>
      </c>
      <c r="AU916" s="40">
        <f t="shared" si="258"/>
        <v>0</v>
      </c>
      <c r="AV916">
        <v>0.72</v>
      </c>
      <c r="AW916" s="40">
        <v>0.28000000000000003</v>
      </c>
      <c r="AX916">
        <v>1</v>
      </c>
      <c r="AY916" s="18">
        <v>0</v>
      </c>
      <c r="AZ916" t="s">
        <v>104</v>
      </c>
      <c r="BA916" s="18" t="s">
        <v>104</v>
      </c>
      <c r="BB916" s="18" t="s">
        <v>534</v>
      </c>
      <c r="BC916">
        <v>1</v>
      </c>
      <c r="BD916">
        <v>0</v>
      </c>
      <c r="BE916">
        <v>0</v>
      </c>
      <c r="BF916">
        <v>0</v>
      </c>
      <c r="BG916">
        <v>0</v>
      </c>
      <c r="BH916" s="18">
        <v>0</v>
      </c>
      <c r="BI916">
        <v>1</v>
      </c>
      <c r="BJ916">
        <v>0</v>
      </c>
      <c r="BK916" s="18">
        <v>0</v>
      </c>
      <c r="BL916">
        <v>2133</v>
      </c>
      <c r="BM916">
        <v>1699.2</v>
      </c>
      <c r="BN916" s="25">
        <v>46.7</v>
      </c>
      <c r="BO916">
        <v>1</v>
      </c>
      <c r="BP916">
        <v>0</v>
      </c>
      <c r="BQ916">
        <v>0</v>
      </c>
      <c r="BR916">
        <v>0</v>
      </c>
      <c r="BS916">
        <v>0</v>
      </c>
      <c r="BT916">
        <v>0</v>
      </c>
      <c r="BU916">
        <v>0</v>
      </c>
      <c r="BV916" s="18">
        <v>0</v>
      </c>
      <c r="BW916">
        <v>0</v>
      </c>
      <c r="BX916">
        <v>0</v>
      </c>
      <c r="BY916">
        <v>1</v>
      </c>
      <c r="BZ916" s="18">
        <v>0</v>
      </c>
      <c r="CA916">
        <v>0</v>
      </c>
      <c r="CB916">
        <v>0</v>
      </c>
      <c r="CC916">
        <v>0</v>
      </c>
      <c r="CD916">
        <v>0</v>
      </c>
      <c r="CE916">
        <v>0</v>
      </c>
      <c r="CF916" s="18">
        <v>0</v>
      </c>
      <c r="CG916">
        <v>0</v>
      </c>
      <c r="CH916">
        <v>0</v>
      </c>
      <c r="CI916">
        <v>1</v>
      </c>
      <c r="CJ916">
        <v>1</v>
      </c>
      <c r="CK916">
        <v>0</v>
      </c>
      <c r="CL916">
        <v>0</v>
      </c>
      <c r="CM916">
        <v>0</v>
      </c>
      <c r="CN916">
        <v>0</v>
      </c>
      <c r="CO916">
        <v>0</v>
      </c>
      <c r="CP916">
        <v>0</v>
      </c>
      <c r="CQ916" s="18">
        <v>0</v>
      </c>
      <c r="CR916">
        <v>0</v>
      </c>
      <c r="CS916">
        <v>0</v>
      </c>
      <c r="CT916">
        <v>0</v>
      </c>
      <c r="CU916">
        <v>1</v>
      </c>
      <c r="CV916">
        <v>22</v>
      </c>
      <c r="DB916" s="34"/>
    </row>
    <row r="917" spans="1:106" x14ac:dyDescent="0.25">
      <c r="A917">
        <v>916</v>
      </c>
      <c r="B917">
        <v>62</v>
      </c>
      <c r="C917" s="25" t="s">
        <v>4095</v>
      </c>
      <c r="D917" s="12">
        <v>3.5739999999999998</v>
      </c>
      <c r="E917" s="14">
        <v>0.59570000000000001</v>
      </c>
      <c r="F917" s="7">
        <f t="shared" si="269"/>
        <v>5.9996642605338257</v>
      </c>
      <c r="G917" s="7">
        <f t="shared" si="259"/>
        <v>2.9782999999999999</v>
      </c>
      <c r="H917" s="16">
        <f t="shared" si="260"/>
        <v>4.1696999999999997</v>
      </c>
      <c r="I917" s="11">
        <f t="shared" si="261"/>
        <v>0.16855410392402168</v>
      </c>
      <c r="J917" s="33">
        <f t="shared" si="262"/>
        <v>2.8093922693771603E-2</v>
      </c>
      <c r="K917" s="33">
        <f t="shared" si="263"/>
        <v>35.594886869312099</v>
      </c>
      <c r="L917" s="33">
        <f t="shared" si="264"/>
        <v>0.14046018123025006</v>
      </c>
      <c r="M917" s="33">
        <f t="shared" si="265"/>
        <v>0.19664802661779329</v>
      </c>
      <c r="N917" s="8">
        <v>0</v>
      </c>
      <c r="O917" s="9">
        <v>1</v>
      </c>
      <c r="P917" s="8">
        <v>0</v>
      </c>
      <c r="Q917" s="9">
        <v>0</v>
      </c>
      <c r="R917" s="9">
        <v>0</v>
      </c>
      <c r="S917" s="9">
        <v>1</v>
      </c>
      <c r="T917" s="9">
        <v>0</v>
      </c>
      <c r="U917" s="8">
        <v>1233</v>
      </c>
      <c r="V917" s="9">
        <v>1</v>
      </c>
      <c r="W917" s="9">
        <f t="shared" si="266"/>
        <v>1231</v>
      </c>
      <c r="X917" s="9">
        <f t="shared" si="267"/>
        <v>20</v>
      </c>
      <c r="Y917" s="7">
        <v>12.84</v>
      </c>
      <c r="Z917" s="7">
        <v>25.3</v>
      </c>
      <c r="AA917" s="9">
        <v>1</v>
      </c>
      <c r="AB917" s="9">
        <v>0</v>
      </c>
      <c r="AC917" s="9">
        <v>1</v>
      </c>
      <c r="AD917" s="9">
        <v>0</v>
      </c>
      <c r="AE917" s="9">
        <v>0</v>
      </c>
      <c r="AF917" s="9">
        <v>0</v>
      </c>
      <c r="AG917" s="8">
        <v>0</v>
      </c>
      <c r="AH917" s="9">
        <v>1</v>
      </c>
      <c r="AI917" s="30">
        <v>0</v>
      </c>
      <c r="AJ917" s="9">
        <v>0</v>
      </c>
      <c r="AK917" s="30">
        <v>1</v>
      </c>
      <c r="AL917" s="21">
        <v>2006</v>
      </c>
      <c r="AM917" s="23">
        <f t="shared" si="268"/>
        <v>7.6038979685218813</v>
      </c>
      <c r="AN917" s="33">
        <v>0.05</v>
      </c>
      <c r="AO917" s="33">
        <v>0.109</v>
      </c>
      <c r="AP917" s="33">
        <v>0.69499999999999995</v>
      </c>
      <c r="AQ917" s="43">
        <v>0.191</v>
      </c>
      <c r="AR917" s="42" t="s">
        <v>104</v>
      </c>
      <c r="AS917" s="18" t="s">
        <v>104</v>
      </c>
      <c r="AT917">
        <v>1</v>
      </c>
      <c r="AU917" s="40">
        <f t="shared" si="258"/>
        <v>0</v>
      </c>
      <c r="AV917">
        <v>0.72</v>
      </c>
      <c r="AW917" s="40">
        <v>0.28000000000000003</v>
      </c>
      <c r="AX917">
        <v>1</v>
      </c>
      <c r="AY917" s="18">
        <v>0</v>
      </c>
      <c r="AZ917" t="s">
        <v>104</v>
      </c>
      <c r="BA917" s="18" t="s">
        <v>104</v>
      </c>
      <c r="BB917" s="18" t="s">
        <v>534</v>
      </c>
      <c r="BC917">
        <v>1</v>
      </c>
      <c r="BD917">
        <v>0</v>
      </c>
      <c r="BE917">
        <v>0</v>
      </c>
      <c r="BF917">
        <v>0</v>
      </c>
      <c r="BG917">
        <v>0</v>
      </c>
      <c r="BH917" s="18">
        <v>0</v>
      </c>
      <c r="BI917">
        <v>1</v>
      </c>
      <c r="BJ917">
        <v>0</v>
      </c>
      <c r="BK917" s="18">
        <v>0</v>
      </c>
      <c r="BL917">
        <v>2133</v>
      </c>
      <c r="BM917">
        <v>1699.2</v>
      </c>
      <c r="BN917" s="25">
        <v>44.55</v>
      </c>
      <c r="BO917">
        <v>1</v>
      </c>
      <c r="BP917">
        <v>0</v>
      </c>
      <c r="BQ917">
        <v>0</v>
      </c>
      <c r="BR917">
        <v>0</v>
      </c>
      <c r="BS917">
        <v>0</v>
      </c>
      <c r="BT917">
        <v>0</v>
      </c>
      <c r="BU917">
        <v>0</v>
      </c>
      <c r="BV917" s="18">
        <v>0</v>
      </c>
      <c r="BW917">
        <v>0</v>
      </c>
      <c r="BX917">
        <v>0</v>
      </c>
      <c r="BY917">
        <v>1</v>
      </c>
      <c r="BZ917" s="18">
        <v>0</v>
      </c>
      <c r="CA917">
        <v>0</v>
      </c>
      <c r="CB917">
        <v>0</v>
      </c>
      <c r="CC917">
        <v>0</v>
      </c>
      <c r="CD917">
        <v>0</v>
      </c>
      <c r="CE917">
        <v>0</v>
      </c>
      <c r="CF917" s="18">
        <v>0</v>
      </c>
      <c r="CG917">
        <v>0</v>
      </c>
      <c r="CH917">
        <v>0</v>
      </c>
      <c r="CI917">
        <v>1</v>
      </c>
      <c r="CJ917">
        <v>1</v>
      </c>
      <c r="CK917">
        <v>0</v>
      </c>
      <c r="CL917">
        <v>0</v>
      </c>
      <c r="CM917">
        <v>0</v>
      </c>
      <c r="CN917">
        <v>0</v>
      </c>
      <c r="CO917">
        <v>0</v>
      </c>
      <c r="CP917">
        <v>0</v>
      </c>
      <c r="CQ917" s="18">
        <v>0</v>
      </c>
      <c r="CR917">
        <v>0</v>
      </c>
      <c r="CS917">
        <v>0</v>
      </c>
      <c r="CT917">
        <v>0</v>
      </c>
      <c r="CU917">
        <v>1</v>
      </c>
      <c r="CV917">
        <v>22</v>
      </c>
      <c r="DB917" s="34"/>
    </row>
    <row r="918" spans="1:106" x14ac:dyDescent="0.25">
      <c r="A918">
        <v>917</v>
      </c>
      <c r="B918">
        <v>63</v>
      </c>
      <c r="C918" s="25" t="s">
        <v>4105</v>
      </c>
      <c r="D918" s="12">
        <v>8.06</v>
      </c>
      <c r="E918" s="14">
        <f t="shared" ref="E918:E937" si="270">D918/F918</f>
        <v>0.51070840197693579</v>
      </c>
      <c r="F918" s="7">
        <v>15.782</v>
      </c>
      <c r="G918" s="7">
        <f t="shared" si="259"/>
        <v>7.549291598023065</v>
      </c>
      <c r="H918" s="16">
        <f t="shared" si="260"/>
        <v>8.5707084019769368</v>
      </c>
      <c r="I918" s="11">
        <f t="shared" si="261"/>
        <v>0.36291762619196694</v>
      </c>
      <c r="J918" s="33">
        <f t="shared" si="262"/>
        <v>2.29956676081591E-2</v>
      </c>
      <c r="K918" s="33">
        <f t="shared" si="263"/>
        <v>43.486452189158868</v>
      </c>
      <c r="L918" s="33">
        <f t="shared" si="264"/>
        <v>0.33992195858380786</v>
      </c>
      <c r="M918" s="33">
        <f t="shared" si="265"/>
        <v>0.38591329380012601</v>
      </c>
      <c r="N918" s="8">
        <v>1</v>
      </c>
      <c r="O918" s="9">
        <v>0</v>
      </c>
      <c r="P918" s="8">
        <v>0</v>
      </c>
      <c r="Q918" s="9">
        <v>0</v>
      </c>
      <c r="R918" s="9">
        <v>1</v>
      </c>
      <c r="S918" s="9">
        <v>0</v>
      </c>
      <c r="T918" s="9">
        <v>0</v>
      </c>
      <c r="U918" s="8">
        <v>1650</v>
      </c>
      <c r="V918" s="9">
        <v>7</v>
      </c>
      <c r="W918" s="9">
        <f t="shared" si="266"/>
        <v>1642</v>
      </c>
      <c r="X918" s="9">
        <f t="shared" si="267"/>
        <v>8</v>
      </c>
      <c r="Y918" s="7">
        <v>11.5358</v>
      </c>
      <c r="Z918" s="7">
        <f t="shared" ref="Z918:Z925" si="271">BN918-Y918-6</f>
        <v>23.8369</v>
      </c>
      <c r="AA918" s="9">
        <v>1</v>
      </c>
      <c r="AB918" s="9">
        <v>0</v>
      </c>
      <c r="AC918" s="9">
        <v>1</v>
      </c>
      <c r="AD918" s="9">
        <v>0</v>
      </c>
      <c r="AE918" s="9">
        <v>0</v>
      </c>
      <c r="AF918" s="9">
        <v>0</v>
      </c>
      <c r="AG918" s="8">
        <v>1</v>
      </c>
      <c r="AH918" s="9">
        <v>0</v>
      </c>
      <c r="AI918" s="30">
        <v>0</v>
      </c>
      <c r="AJ918" s="9">
        <v>1</v>
      </c>
      <c r="AK918" s="30">
        <v>0</v>
      </c>
      <c r="AL918" s="21">
        <v>2005</v>
      </c>
      <c r="AM918" s="23">
        <f t="shared" si="268"/>
        <v>7.6033993397406698</v>
      </c>
      <c r="AN918" s="33">
        <f t="shared" ref="AN918:AO925" si="272">(1-$AP918-$AQ918)/2</f>
        <v>2.4850000000000011E-2</v>
      </c>
      <c r="AO918" s="33">
        <f t="shared" si="272"/>
        <v>2.4850000000000011E-2</v>
      </c>
      <c r="AP918" s="43">
        <v>0.68359999999999999</v>
      </c>
      <c r="AQ918" s="43">
        <v>0.26669999999999999</v>
      </c>
      <c r="AR918" s="42">
        <v>1</v>
      </c>
      <c r="AS918" s="18">
        <v>0</v>
      </c>
      <c r="AT918">
        <v>1</v>
      </c>
      <c r="AU918" s="40">
        <f t="shared" si="258"/>
        <v>0</v>
      </c>
      <c r="AV918" t="s">
        <v>104</v>
      </c>
      <c r="AW918" s="40" t="s">
        <v>104</v>
      </c>
      <c r="AX918">
        <v>0</v>
      </c>
      <c r="AY918" s="18">
        <v>1</v>
      </c>
      <c r="AZ918">
        <v>0</v>
      </c>
      <c r="BA918" s="18">
        <v>1</v>
      </c>
      <c r="BB918" s="18" t="s">
        <v>5</v>
      </c>
      <c r="BC918">
        <v>0</v>
      </c>
      <c r="BD918">
        <v>1</v>
      </c>
      <c r="BE918">
        <v>0</v>
      </c>
      <c r="BF918">
        <v>0</v>
      </c>
      <c r="BG918">
        <v>0</v>
      </c>
      <c r="BH918" s="18">
        <v>0</v>
      </c>
      <c r="BI918">
        <v>0</v>
      </c>
      <c r="BJ918">
        <v>1</v>
      </c>
      <c r="BK918" s="18">
        <v>0</v>
      </c>
      <c r="BL918">
        <v>127.1666666666667</v>
      </c>
      <c r="BM918">
        <v>27</v>
      </c>
      <c r="BN918" s="25">
        <v>41.372700000000002</v>
      </c>
      <c r="BO918">
        <v>1</v>
      </c>
      <c r="BP918">
        <v>0</v>
      </c>
      <c r="BQ918">
        <v>0</v>
      </c>
      <c r="BR918">
        <v>0</v>
      </c>
      <c r="BS918">
        <v>0</v>
      </c>
      <c r="BT918">
        <v>0</v>
      </c>
      <c r="BU918">
        <v>0</v>
      </c>
      <c r="BV918" s="18">
        <v>0</v>
      </c>
      <c r="BW918">
        <v>0</v>
      </c>
      <c r="BX918">
        <v>0</v>
      </c>
      <c r="BY918">
        <v>1</v>
      </c>
      <c r="BZ918" s="18">
        <v>0</v>
      </c>
      <c r="CA918">
        <v>0</v>
      </c>
      <c r="CB918">
        <v>0</v>
      </c>
      <c r="CC918">
        <v>0</v>
      </c>
      <c r="CD918">
        <v>0</v>
      </c>
      <c r="CE918">
        <v>0</v>
      </c>
      <c r="CF918" s="18">
        <v>0</v>
      </c>
      <c r="CG918">
        <v>1</v>
      </c>
      <c r="CH918">
        <v>1</v>
      </c>
      <c r="CI918">
        <v>0</v>
      </c>
      <c r="CJ918">
        <v>0</v>
      </c>
      <c r="CK918">
        <v>0</v>
      </c>
      <c r="CL918">
        <v>0</v>
      </c>
      <c r="CM918">
        <v>0</v>
      </c>
      <c r="CN918">
        <v>0</v>
      </c>
      <c r="CO918">
        <v>0</v>
      </c>
      <c r="CP918">
        <v>0</v>
      </c>
      <c r="CQ918" s="18">
        <v>1</v>
      </c>
      <c r="CR918">
        <v>0.17100000000000001</v>
      </c>
      <c r="CS918">
        <v>120</v>
      </c>
      <c r="CT918">
        <v>1</v>
      </c>
      <c r="CU918">
        <v>0</v>
      </c>
      <c r="CV918">
        <v>13</v>
      </c>
      <c r="DB918" s="34"/>
    </row>
    <row r="919" spans="1:106" x14ac:dyDescent="0.25">
      <c r="A919">
        <v>918</v>
      </c>
      <c r="B919">
        <v>63</v>
      </c>
      <c r="C919" s="25" t="s">
        <v>4105</v>
      </c>
      <c r="D919" s="12">
        <v>7.67</v>
      </c>
      <c r="E919" s="14">
        <f t="shared" si="270"/>
        <v>0.68129935423125099</v>
      </c>
      <c r="F919" s="7">
        <v>11.257899999999999</v>
      </c>
      <c r="G919" s="7">
        <f t="shared" si="259"/>
        <v>6.9887006457687493</v>
      </c>
      <c r="H919" s="16">
        <f t="shared" si="260"/>
        <v>8.3512993542312515</v>
      </c>
      <c r="I919" s="11">
        <f t="shared" si="261"/>
        <v>0.31544012755508893</v>
      </c>
      <c r="J919" s="33">
        <f t="shared" si="262"/>
        <v>2.8019446571304504E-2</v>
      </c>
      <c r="K919" s="33">
        <f t="shared" si="263"/>
        <v>35.6894986292887</v>
      </c>
      <c r="L919" s="33">
        <f t="shared" si="264"/>
        <v>0.28742068098378443</v>
      </c>
      <c r="M919" s="33">
        <f t="shared" si="265"/>
        <v>0.34345957412639344</v>
      </c>
      <c r="N919" s="8">
        <v>1</v>
      </c>
      <c r="O919" s="9">
        <v>0</v>
      </c>
      <c r="P919" s="8">
        <v>0</v>
      </c>
      <c r="Q919" s="9">
        <v>0</v>
      </c>
      <c r="R919" s="9">
        <v>1</v>
      </c>
      <c r="S919" s="9">
        <v>0</v>
      </c>
      <c r="T919" s="9">
        <v>0</v>
      </c>
      <c r="U919" s="8">
        <v>1155</v>
      </c>
      <c r="V919" s="9">
        <v>7</v>
      </c>
      <c r="W919" s="9">
        <f t="shared" si="266"/>
        <v>1147</v>
      </c>
      <c r="X919" s="9">
        <f t="shared" si="267"/>
        <v>8</v>
      </c>
      <c r="Y919" s="7">
        <v>12.167999999999999</v>
      </c>
      <c r="Z919" s="7">
        <f t="shared" si="271"/>
        <v>19.716000000000001</v>
      </c>
      <c r="AA919" s="9">
        <v>1</v>
      </c>
      <c r="AB919" s="9">
        <v>0</v>
      </c>
      <c r="AC919" s="9">
        <v>1</v>
      </c>
      <c r="AD919" s="9">
        <v>0</v>
      </c>
      <c r="AE919" s="9">
        <v>0</v>
      </c>
      <c r="AF919" s="9">
        <v>0</v>
      </c>
      <c r="AG919" s="8">
        <v>1</v>
      </c>
      <c r="AH919" s="9">
        <v>0</v>
      </c>
      <c r="AI919" s="30">
        <v>0</v>
      </c>
      <c r="AJ919" s="9">
        <v>1</v>
      </c>
      <c r="AK919" s="30">
        <v>0</v>
      </c>
      <c r="AL919" s="21">
        <v>2005</v>
      </c>
      <c r="AM919" s="23">
        <f t="shared" si="268"/>
        <v>7.6033993397406698</v>
      </c>
      <c r="AN919" s="33">
        <f t="shared" si="272"/>
        <v>2.4600000000000011E-2</v>
      </c>
      <c r="AO919" s="33">
        <f t="shared" si="272"/>
        <v>2.4600000000000011E-2</v>
      </c>
      <c r="AP919" s="33">
        <v>0.60699999999999998</v>
      </c>
      <c r="AQ919" s="43">
        <v>0.34379999999999999</v>
      </c>
      <c r="AR919" s="42">
        <v>1</v>
      </c>
      <c r="AS919" s="18">
        <v>0</v>
      </c>
      <c r="AT919">
        <v>0</v>
      </c>
      <c r="AU919" s="40">
        <f t="shared" si="258"/>
        <v>1</v>
      </c>
      <c r="AV919" t="s">
        <v>104</v>
      </c>
      <c r="AW919" s="40" t="s">
        <v>104</v>
      </c>
      <c r="AX919">
        <v>0</v>
      </c>
      <c r="AY919" s="18">
        <v>1</v>
      </c>
      <c r="AZ919">
        <v>0</v>
      </c>
      <c r="BA919" s="18">
        <v>1</v>
      </c>
      <c r="BB919" s="18" t="s">
        <v>5</v>
      </c>
      <c r="BC919">
        <v>0</v>
      </c>
      <c r="BD919">
        <v>1</v>
      </c>
      <c r="BE919">
        <v>0</v>
      </c>
      <c r="BF919">
        <v>0</v>
      </c>
      <c r="BG919">
        <v>0</v>
      </c>
      <c r="BH919" s="18">
        <v>0</v>
      </c>
      <c r="BI919">
        <v>0</v>
      </c>
      <c r="BJ919">
        <v>1</v>
      </c>
      <c r="BK919" s="18">
        <v>0</v>
      </c>
      <c r="BL919">
        <v>127.1666666666667</v>
      </c>
      <c r="BM919">
        <v>27</v>
      </c>
      <c r="BN919" s="25">
        <v>37.884</v>
      </c>
      <c r="BO919">
        <v>1</v>
      </c>
      <c r="BP919">
        <v>0</v>
      </c>
      <c r="BQ919">
        <v>0</v>
      </c>
      <c r="BR919">
        <v>0</v>
      </c>
      <c r="BS919">
        <v>0</v>
      </c>
      <c r="BT919">
        <v>0</v>
      </c>
      <c r="BU919">
        <v>0</v>
      </c>
      <c r="BV919" s="18">
        <v>0</v>
      </c>
      <c r="BW919">
        <v>0</v>
      </c>
      <c r="BX919">
        <v>0</v>
      </c>
      <c r="BY919">
        <v>1</v>
      </c>
      <c r="BZ919" s="18">
        <v>0</v>
      </c>
      <c r="CA919">
        <v>0</v>
      </c>
      <c r="CB919">
        <v>0</v>
      </c>
      <c r="CC919">
        <v>0</v>
      </c>
      <c r="CD919">
        <v>0</v>
      </c>
      <c r="CE919">
        <v>0</v>
      </c>
      <c r="CF919" s="18">
        <v>0</v>
      </c>
      <c r="CG919">
        <v>1</v>
      </c>
      <c r="CH919">
        <v>1</v>
      </c>
      <c r="CI919">
        <v>0</v>
      </c>
      <c r="CJ919">
        <v>0</v>
      </c>
      <c r="CK919">
        <v>0</v>
      </c>
      <c r="CL919">
        <v>0</v>
      </c>
      <c r="CM919">
        <v>0</v>
      </c>
      <c r="CN919">
        <v>0</v>
      </c>
      <c r="CO919">
        <v>0</v>
      </c>
      <c r="CP919">
        <v>0</v>
      </c>
      <c r="CQ919" s="18">
        <v>1</v>
      </c>
      <c r="CR919">
        <v>0.17100000000000001</v>
      </c>
      <c r="CS919">
        <v>120</v>
      </c>
      <c r="CT919">
        <v>1</v>
      </c>
      <c r="CU919">
        <v>0</v>
      </c>
      <c r="CV919">
        <v>13</v>
      </c>
      <c r="DB919" s="34"/>
    </row>
    <row r="920" spans="1:106" x14ac:dyDescent="0.25">
      <c r="A920">
        <v>919</v>
      </c>
      <c r="B920">
        <v>63</v>
      </c>
      <c r="C920" s="25" t="s">
        <v>4105</v>
      </c>
      <c r="D920" s="12">
        <v>8.02</v>
      </c>
      <c r="E920" s="14">
        <f t="shared" si="270"/>
        <v>0.53368823822991185</v>
      </c>
      <c r="F920" s="7">
        <v>15.0275</v>
      </c>
      <c r="G920" s="7">
        <f t="shared" si="259"/>
        <v>7.4863117617700876</v>
      </c>
      <c r="H920" s="16">
        <f t="shared" si="260"/>
        <v>8.5536882382299115</v>
      </c>
      <c r="I920" s="11">
        <f t="shared" si="261"/>
        <v>0.36796914057596747</v>
      </c>
      <c r="J920" s="33">
        <f t="shared" si="262"/>
        <v>2.4486384333785891E-2</v>
      </c>
      <c r="K920" s="33">
        <f t="shared" si="263"/>
        <v>40.839022469324604</v>
      </c>
      <c r="L920" s="33">
        <f t="shared" si="264"/>
        <v>0.34348275624218155</v>
      </c>
      <c r="M920" s="33">
        <f t="shared" si="265"/>
        <v>0.39245552490975338</v>
      </c>
      <c r="N920" s="8">
        <v>1</v>
      </c>
      <c r="O920" s="9">
        <v>0</v>
      </c>
      <c r="P920" s="8">
        <v>0</v>
      </c>
      <c r="Q920" s="9">
        <v>0</v>
      </c>
      <c r="R920" s="9">
        <v>1</v>
      </c>
      <c r="S920" s="9">
        <v>0</v>
      </c>
      <c r="T920" s="9">
        <v>0</v>
      </c>
      <c r="U920" s="8">
        <v>1450</v>
      </c>
      <c r="V920" s="9">
        <v>7</v>
      </c>
      <c r="W920" s="9">
        <f t="shared" si="266"/>
        <v>1442</v>
      </c>
      <c r="X920" s="9">
        <f t="shared" si="267"/>
        <v>8</v>
      </c>
      <c r="Y920" s="7">
        <v>11.4421</v>
      </c>
      <c r="Z920" s="7">
        <f t="shared" si="271"/>
        <v>26.0227</v>
      </c>
      <c r="AA920" s="9">
        <v>1</v>
      </c>
      <c r="AB920" s="9">
        <v>0</v>
      </c>
      <c r="AC920" s="9">
        <v>1</v>
      </c>
      <c r="AD920" s="9">
        <v>0</v>
      </c>
      <c r="AE920" s="9">
        <v>0</v>
      </c>
      <c r="AF920" s="9">
        <v>0</v>
      </c>
      <c r="AG920" s="8">
        <v>1</v>
      </c>
      <c r="AH920" s="9">
        <v>0</v>
      </c>
      <c r="AI920" s="30">
        <v>0</v>
      </c>
      <c r="AJ920" s="9">
        <v>1</v>
      </c>
      <c r="AK920" s="30">
        <v>0</v>
      </c>
      <c r="AL920" s="21">
        <v>2005</v>
      </c>
      <c r="AM920" s="23">
        <f t="shared" si="268"/>
        <v>7.6033993397406698</v>
      </c>
      <c r="AN920" s="33">
        <f t="shared" si="272"/>
        <v>2.4850000000000011E-2</v>
      </c>
      <c r="AO920" s="33">
        <f t="shared" si="272"/>
        <v>2.4850000000000011E-2</v>
      </c>
      <c r="AP920" s="43">
        <v>0.68359999999999999</v>
      </c>
      <c r="AQ920" s="43">
        <v>0.26669999999999999</v>
      </c>
      <c r="AR920" s="42">
        <v>1</v>
      </c>
      <c r="AS920" s="18">
        <v>0</v>
      </c>
      <c r="AT920">
        <v>1</v>
      </c>
      <c r="AU920" s="40">
        <v>0</v>
      </c>
      <c r="AV920" t="s">
        <v>104</v>
      </c>
      <c r="AW920" s="40" t="s">
        <v>104</v>
      </c>
      <c r="AX920">
        <v>0</v>
      </c>
      <c r="AY920" s="18">
        <v>1</v>
      </c>
      <c r="AZ920">
        <v>0</v>
      </c>
      <c r="BA920" s="18">
        <v>1</v>
      </c>
      <c r="BB920" s="18" t="s">
        <v>5</v>
      </c>
      <c r="BC920">
        <v>0</v>
      </c>
      <c r="BD920">
        <v>1</v>
      </c>
      <c r="BE920">
        <v>0</v>
      </c>
      <c r="BF920">
        <v>0</v>
      </c>
      <c r="BG920">
        <v>0</v>
      </c>
      <c r="BH920" s="18">
        <v>0</v>
      </c>
      <c r="BI920">
        <v>0</v>
      </c>
      <c r="BJ920">
        <v>1</v>
      </c>
      <c r="BK920" s="18">
        <v>0</v>
      </c>
      <c r="BL920">
        <v>127.1666666666667</v>
      </c>
      <c r="BM920">
        <v>27</v>
      </c>
      <c r="BN920" s="25">
        <v>43.464799999999997</v>
      </c>
      <c r="BO920">
        <v>1</v>
      </c>
      <c r="BP920">
        <v>0</v>
      </c>
      <c r="BQ920">
        <v>0</v>
      </c>
      <c r="BR920">
        <v>0</v>
      </c>
      <c r="BS920">
        <v>0</v>
      </c>
      <c r="BT920">
        <v>0</v>
      </c>
      <c r="BU920">
        <v>0</v>
      </c>
      <c r="BV920" s="18">
        <v>0</v>
      </c>
      <c r="BW920">
        <v>0</v>
      </c>
      <c r="BX920">
        <v>0</v>
      </c>
      <c r="BY920">
        <v>1</v>
      </c>
      <c r="BZ920" s="18">
        <v>0</v>
      </c>
      <c r="CA920">
        <v>0</v>
      </c>
      <c r="CB920">
        <v>0</v>
      </c>
      <c r="CC920">
        <v>0</v>
      </c>
      <c r="CD920">
        <v>0</v>
      </c>
      <c r="CE920">
        <v>0</v>
      </c>
      <c r="CF920" s="18">
        <v>0</v>
      </c>
      <c r="CG920">
        <v>1</v>
      </c>
      <c r="CH920">
        <v>1</v>
      </c>
      <c r="CI920">
        <v>0</v>
      </c>
      <c r="CJ920">
        <v>0</v>
      </c>
      <c r="CK920">
        <v>0</v>
      </c>
      <c r="CL920">
        <v>0</v>
      </c>
      <c r="CM920">
        <v>0</v>
      </c>
      <c r="CN920">
        <v>0</v>
      </c>
      <c r="CO920">
        <v>0</v>
      </c>
      <c r="CP920">
        <v>0</v>
      </c>
      <c r="CQ920" s="18">
        <v>1</v>
      </c>
      <c r="CR920">
        <v>0.17100000000000001</v>
      </c>
      <c r="CS920">
        <v>120</v>
      </c>
      <c r="CT920">
        <v>1</v>
      </c>
      <c r="CU920">
        <v>0</v>
      </c>
      <c r="CV920">
        <v>13</v>
      </c>
      <c r="DB920" s="34"/>
    </row>
    <row r="921" spans="1:106" x14ac:dyDescent="0.25">
      <c r="A921">
        <v>920</v>
      </c>
      <c r="B921">
        <v>63</v>
      </c>
      <c r="C921" s="25" t="s">
        <v>4105</v>
      </c>
      <c r="D921" s="12">
        <v>12.61</v>
      </c>
      <c r="E921" s="14">
        <f t="shared" si="270"/>
        <v>1.0845912355395002</v>
      </c>
      <c r="F921" s="7">
        <v>11.6265</v>
      </c>
      <c r="G921" s="7">
        <f t="shared" si="259"/>
        <v>11.525408764460499</v>
      </c>
      <c r="H921" s="16">
        <f t="shared" si="260"/>
        <v>13.6945912355395</v>
      </c>
      <c r="I921" s="11">
        <f t="shared" si="261"/>
        <v>0.2927581435944297</v>
      </c>
      <c r="J921" s="33">
        <f t="shared" si="262"/>
        <v>2.5180247159027197E-2</v>
      </c>
      <c r="K921" s="33">
        <f t="shared" si="263"/>
        <v>39.713668959817852</v>
      </c>
      <c r="L921" s="33">
        <f t="shared" si="264"/>
        <v>0.26757789643540253</v>
      </c>
      <c r="M921" s="33">
        <f t="shared" si="265"/>
        <v>0.31793839075345687</v>
      </c>
      <c r="N921" s="8">
        <v>1</v>
      </c>
      <c r="O921" s="9">
        <v>0</v>
      </c>
      <c r="P921" s="8">
        <v>0</v>
      </c>
      <c r="Q921" s="9">
        <v>0</v>
      </c>
      <c r="R921" s="9">
        <v>1</v>
      </c>
      <c r="S921" s="9">
        <v>0</v>
      </c>
      <c r="T921" s="9">
        <v>0</v>
      </c>
      <c r="U921" s="8">
        <v>1450</v>
      </c>
      <c r="V921" s="9">
        <v>7</v>
      </c>
      <c r="W921" s="9">
        <f t="shared" si="266"/>
        <v>1442</v>
      </c>
      <c r="X921" s="9">
        <f t="shared" si="267"/>
        <v>8</v>
      </c>
      <c r="Y921" s="7">
        <v>11.4421</v>
      </c>
      <c r="Z921" s="7">
        <f t="shared" si="271"/>
        <v>26.0227</v>
      </c>
      <c r="AA921" s="9">
        <v>1</v>
      </c>
      <c r="AB921" s="9">
        <v>0</v>
      </c>
      <c r="AC921" s="9">
        <v>1</v>
      </c>
      <c r="AD921" s="9">
        <v>0</v>
      </c>
      <c r="AE921" s="9">
        <v>0</v>
      </c>
      <c r="AF921" s="9">
        <v>0</v>
      </c>
      <c r="AG921" s="8">
        <v>1</v>
      </c>
      <c r="AH921" s="9">
        <v>0</v>
      </c>
      <c r="AI921" s="30">
        <v>0</v>
      </c>
      <c r="AJ921" s="9">
        <v>1</v>
      </c>
      <c r="AK921" s="30">
        <v>0</v>
      </c>
      <c r="AL921" s="21">
        <v>2005</v>
      </c>
      <c r="AM921" s="23">
        <f t="shared" si="268"/>
        <v>7.6033993397406698</v>
      </c>
      <c r="AN921" s="33">
        <f t="shared" si="272"/>
        <v>2.4850000000000011E-2</v>
      </c>
      <c r="AO921" s="33">
        <f t="shared" si="272"/>
        <v>2.4850000000000011E-2</v>
      </c>
      <c r="AP921" s="43">
        <v>0.68359999999999999</v>
      </c>
      <c r="AQ921" s="43">
        <v>0.26669999999999999</v>
      </c>
      <c r="AR921" s="42">
        <v>1</v>
      </c>
      <c r="AS921" s="18">
        <v>0</v>
      </c>
      <c r="AT921">
        <v>1</v>
      </c>
      <c r="AU921" s="40">
        <v>0</v>
      </c>
      <c r="AV921" t="s">
        <v>104</v>
      </c>
      <c r="AW921" s="40" t="s">
        <v>104</v>
      </c>
      <c r="AX921">
        <v>0</v>
      </c>
      <c r="AY921" s="18">
        <v>1</v>
      </c>
      <c r="AZ921">
        <v>0</v>
      </c>
      <c r="BA921" s="18">
        <v>1</v>
      </c>
      <c r="BB921" s="18" t="s">
        <v>5</v>
      </c>
      <c r="BC921">
        <v>0</v>
      </c>
      <c r="BD921">
        <v>1</v>
      </c>
      <c r="BE921">
        <v>0</v>
      </c>
      <c r="BF921">
        <v>0</v>
      </c>
      <c r="BG921">
        <v>0</v>
      </c>
      <c r="BH921" s="18">
        <v>0</v>
      </c>
      <c r="BI921">
        <v>0</v>
      </c>
      <c r="BJ921">
        <v>1</v>
      </c>
      <c r="BK921" s="18">
        <v>0</v>
      </c>
      <c r="BL921">
        <v>127.1666666666667</v>
      </c>
      <c r="BM921">
        <v>27</v>
      </c>
      <c r="BN921" s="25">
        <v>43.464799999999997</v>
      </c>
      <c r="BO921">
        <v>0</v>
      </c>
      <c r="BP921">
        <v>0</v>
      </c>
      <c r="BQ921">
        <v>0</v>
      </c>
      <c r="BR921">
        <v>0</v>
      </c>
      <c r="BS921">
        <v>0</v>
      </c>
      <c r="BT921">
        <v>0</v>
      </c>
      <c r="BU921">
        <v>0</v>
      </c>
      <c r="BV921" s="18">
        <v>1</v>
      </c>
      <c r="BW921">
        <v>0</v>
      </c>
      <c r="BX921">
        <v>1</v>
      </c>
      <c r="BY921">
        <v>0</v>
      </c>
      <c r="BZ921" s="18">
        <v>0</v>
      </c>
      <c r="CA921">
        <v>0</v>
      </c>
      <c r="CB921">
        <v>0</v>
      </c>
      <c r="CC921">
        <v>0</v>
      </c>
      <c r="CD921">
        <v>0</v>
      </c>
      <c r="CE921">
        <v>0</v>
      </c>
      <c r="CF921" s="18">
        <v>0</v>
      </c>
      <c r="CG921">
        <v>1</v>
      </c>
      <c r="CH921">
        <v>1</v>
      </c>
      <c r="CI921">
        <v>0</v>
      </c>
      <c r="CJ921">
        <v>0</v>
      </c>
      <c r="CK921">
        <v>0</v>
      </c>
      <c r="CL921">
        <v>0</v>
      </c>
      <c r="CM921">
        <v>0</v>
      </c>
      <c r="CN921">
        <v>0</v>
      </c>
      <c r="CO921">
        <v>0</v>
      </c>
      <c r="CP921">
        <v>0</v>
      </c>
      <c r="CQ921" s="18">
        <v>1</v>
      </c>
      <c r="CR921">
        <v>0.17100000000000001</v>
      </c>
      <c r="CS921">
        <v>120</v>
      </c>
      <c r="CT921">
        <v>1</v>
      </c>
      <c r="CU921">
        <v>0</v>
      </c>
      <c r="CV921">
        <v>13</v>
      </c>
      <c r="DB921" s="34"/>
    </row>
    <row r="922" spans="1:106" x14ac:dyDescent="0.25">
      <c r="A922">
        <v>921</v>
      </c>
      <c r="B922">
        <v>63</v>
      </c>
      <c r="C922" s="25" t="s">
        <v>4105</v>
      </c>
      <c r="D922" s="12">
        <v>7.89</v>
      </c>
      <c r="E922" s="14">
        <f t="shared" si="270"/>
        <v>0.7504708277055947</v>
      </c>
      <c r="F922" s="7">
        <v>10.513400000000001</v>
      </c>
      <c r="G922" s="7">
        <f t="shared" si="259"/>
        <v>7.139529172294405</v>
      </c>
      <c r="H922" s="16">
        <f t="shared" si="260"/>
        <v>8.6404708277055953</v>
      </c>
      <c r="I922" s="11">
        <f t="shared" si="261"/>
        <v>0.31449466745904769</v>
      </c>
      <c r="J922" s="33">
        <f t="shared" si="262"/>
        <v>2.9913697515461E-2</v>
      </c>
      <c r="K922" s="33">
        <f t="shared" si="263"/>
        <v>33.429501634933175</v>
      </c>
      <c r="L922" s="33">
        <f t="shared" si="264"/>
        <v>0.28458096994358667</v>
      </c>
      <c r="M922" s="33">
        <f t="shared" si="265"/>
        <v>0.34440836497450872</v>
      </c>
      <c r="N922" s="8">
        <v>1</v>
      </c>
      <c r="O922" s="9">
        <v>0</v>
      </c>
      <c r="P922" s="8">
        <v>0</v>
      </c>
      <c r="Q922" s="9">
        <v>0</v>
      </c>
      <c r="R922" s="9">
        <v>1</v>
      </c>
      <c r="S922" s="9">
        <v>0</v>
      </c>
      <c r="T922" s="9">
        <v>0</v>
      </c>
      <c r="U922" s="8">
        <v>1015</v>
      </c>
      <c r="V922" s="9">
        <v>7</v>
      </c>
      <c r="W922" s="9">
        <f t="shared" si="266"/>
        <v>1007</v>
      </c>
      <c r="X922" s="9">
        <f t="shared" si="267"/>
        <v>8</v>
      </c>
      <c r="Y922" s="7">
        <v>12.0837</v>
      </c>
      <c r="Z922" s="7">
        <f t="shared" si="271"/>
        <v>21.452300000000001</v>
      </c>
      <c r="AA922" s="9">
        <v>1</v>
      </c>
      <c r="AB922" s="9">
        <v>0</v>
      </c>
      <c r="AC922" s="9">
        <v>1</v>
      </c>
      <c r="AD922" s="9">
        <v>0</v>
      </c>
      <c r="AE922" s="9">
        <v>0</v>
      </c>
      <c r="AF922" s="9">
        <v>0</v>
      </c>
      <c r="AG922" s="8">
        <v>1</v>
      </c>
      <c r="AH922" s="9">
        <v>0</v>
      </c>
      <c r="AI922" s="30">
        <v>0</v>
      </c>
      <c r="AJ922" s="9">
        <v>1</v>
      </c>
      <c r="AK922" s="30">
        <v>0</v>
      </c>
      <c r="AL922" s="21">
        <v>2005</v>
      </c>
      <c r="AM922" s="23">
        <f t="shared" si="268"/>
        <v>7.6033993397406698</v>
      </c>
      <c r="AN922" s="33">
        <f t="shared" si="272"/>
        <v>2.4600000000000011E-2</v>
      </c>
      <c r="AO922" s="33">
        <f t="shared" si="272"/>
        <v>2.4600000000000011E-2</v>
      </c>
      <c r="AP922" s="33">
        <v>0.60699999999999998</v>
      </c>
      <c r="AQ922" s="43">
        <v>0.34379999999999999</v>
      </c>
      <c r="AR922" s="42">
        <v>1</v>
      </c>
      <c r="AS922" s="18">
        <v>0</v>
      </c>
      <c r="AT922">
        <v>0</v>
      </c>
      <c r="AU922" s="40">
        <v>1</v>
      </c>
      <c r="AV922" t="s">
        <v>104</v>
      </c>
      <c r="AW922" s="40" t="s">
        <v>104</v>
      </c>
      <c r="AX922">
        <v>0</v>
      </c>
      <c r="AY922" s="18">
        <v>1</v>
      </c>
      <c r="AZ922">
        <v>0</v>
      </c>
      <c r="BA922" s="18">
        <v>1</v>
      </c>
      <c r="BB922" s="18" t="s">
        <v>5</v>
      </c>
      <c r="BC922">
        <v>0</v>
      </c>
      <c r="BD922">
        <v>1</v>
      </c>
      <c r="BE922">
        <v>0</v>
      </c>
      <c r="BF922">
        <v>0</v>
      </c>
      <c r="BG922">
        <v>0</v>
      </c>
      <c r="BH922" s="18">
        <v>0</v>
      </c>
      <c r="BI922">
        <v>0</v>
      </c>
      <c r="BJ922">
        <v>1</v>
      </c>
      <c r="BK922" s="18">
        <v>0</v>
      </c>
      <c r="BL922">
        <v>127.1666666666667</v>
      </c>
      <c r="BM922">
        <v>27</v>
      </c>
      <c r="BN922" s="25">
        <v>39.536000000000001</v>
      </c>
      <c r="BO922">
        <v>1</v>
      </c>
      <c r="BP922">
        <v>0</v>
      </c>
      <c r="BQ922">
        <v>0</v>
      </c>
      <c r="BR922">
        <v>0</v>
      </c>
      <c r="BS922">
        <v>0</v>
      </c>
      <c r="BT922">
        <v>0</v>
      </c>
      <c r="BU922">
        <v>0</v>
      </c>
      <c r="BV922" s="18">
        <v>0</v>
      </c>
      <c r="BW922">
        <v>0</v>
      </c>
      <c r="BX922">
        <v>0</v>
      </c>
      <c r="BY922">
        <v>1</v>
      </c>
      <c r="BZ922" s="18">
        <v>0</v>
      </c>
      <c r="CA922">
        <v>0</v>
      </c>
      <c r="CB922">
        <v>0</v>
      </c>
      <c r="CC922">
        <v>0</v>
      </c>
      <c r="CD922">
        <v>0</v>
      </c>
      <c r="CE922">
        <v>0</v>
      </c>
      <c r="CF922" s="18">
        <v>0</v>
      </c>
      <c r="CG922">
        <v>1</v>
      </c>
      <c r="CH922">
        <v>1</v>
      </c>
      <c r="CI922">
        <v>0</v>
      </c>
      <c r="CJ922">
        <v>0</v>
      </c>
      <c r="CK922">
        <v>0</v>
      </c>
      <c r="CL922">
        <v>0</v>
      </c>
      <c r="CM922">
        <v>0</v>
      </c>
      <c r="CN922">
        <v>0</v>
      </c>
      <c r="CO922">
        <v>0</v>
      </c>
      <c r="CP922">
        <v>0</v>
      </c>
      <c r="CQ922" s="18">
        <v>1</v>
      </c>
      <c r="CR922">
        <v>0.17100000000000001</v>
      </c>
      <c r="CS922">
        <v>120</v>
      </c>
      <c r="CT922">
        <v>1</v>
      </c>
      <c r="CU922">
        <v>0</v>
      </c>
      <c r="CV922">
        <v>13</v>
      </c>
      <c r="DB922" s="34"/>
    </row>
    <row r="923" spans="1:106" x14ac:dyDescent="0.25">
      <c r="A923">
        <v>922</v>
      </c>
      <c r="B923">
        <v>63</v>
      </c>
      <c r="C923" s="25" t="s">
        <v>4105</v>
      </c>
      <c r="D923" s="12">
        <v>14.47</v>
      </c>
      <c r="E923" s="14">
        <f t="shared" si="270"/>
        <v>1.7882742597261359</v>
      </c>
      <c r="F923" s="7">
        <v>8.0915999999999997</v>
      </c>
      <c r="G923" s="7">
        <f t="shared" si="259"/>
        <v>12.681725740273865</v>
      </c>
      <c r="H923" s="16">
        <f t="shared" si="260"/>
        <v>16.258274259726136</v>
      </c>
      <c r="I923" s="11">
        <f t="shared" si="261"/>
        <v>0.24708195071908545</v>
      </c>
      <c r="J923" s="33">
        <f t="shared" si="262"/>
        <v>3.0535611092872294E-2</v>
      </c>
      <c r="K923" s="33">
        <f t="shared" si="263"/>
        <v>32.748648682960948</v>
      </c>
      <c r="L923" s="33">
        <f t="shared" si="264"/>
        <v>0.21654633962621317</v>
      </c>
      <c r="M923" s="33">
        <f t="shared" si="265"/>
        <v>0.27761756181195774</v>
      </c>
      <c r="N923" s="8">
        <v>1</v>
      </c>
      <c r="O923" s="9">
        <v>0</v>
      </c>
      <c r="P923" s="8">
        <v>0</v>
      </c>
      <c r="Q923" s="9">
        <v>0</v>
      </c>
      <c r="R923" s="9">
        <v>1</v>
      </c>
      <c r="S923" s="9">
        <v>0</v>
      </c>
      <c r="T923" s="9">
        <v>0</v>
      </c>
      <c r="U923" s="8">
        <v>1015</v>
      </c>
      <c r="V923" s="9">
        <v>7</v>
      </c>
      <c r="W923" s="9">
        <f t="shared" si="266"/>
        <v>1007</v>
      </c>
      <c r="X923" s="9">
        <f t="shared" si="267"/>
        <v>8</v>
      </c>
      <c r="Y923" s="7">
        <v>12.0837</v>
      </c>
      <c r="Z923" s="7">
        <f t="shared" si="271"/>
        <v>21.452300000000001</v>
      </c>
      <c r="AA923" s="9">
        <v>1</v>
      </c>
      <c r="AB923" s="9">
        <v>0</v>
      </c>
      <c r="AC923" s="9">
        <v>1</v>
      </c>
      <c r="AD923" s="9">
        <v>0</v>
      </c>
      <c r="AE923" s="9">
        <v>0</v>
      </c>
      <c r="AF923" s="9">
        <v>0</v>
      </c>
      <c r="AG923" s="8">
        <v>1</v>
      </c>
      <c r="AH923" s="9">
        <v>0</v>
      </c>
      <c r="AI923" s="30">
        <v>0</v>
      </c>
      <c r="AJ923" s="9">
        <v>1</v>
      </c>
      <c r="AK923" s="30">
        <v>0</v>
      </c>
      <c r="AL923" s="21">
        <v>2005</v>
      </c>
      <c r="AM923" s="23">
        <f t="shared" si="268"/>
        <v>7.6033993397406698</v>
      </c>
      <c r="AN923" s="33">
        <f t="shared" si="272"/>
        <v>2.4600000000000011E-2</v>
      </c>
      <c r="AO923" s="33">
        <f t="shared" si="272"/>
        <v>2.4600000000000011E-2</v>
      </c>
      <c r="AP923" s="33">
        <v>0.60699999999999998</v>
      </c>
      <c r="AQ923" s="43">
        <v>0.34379999999999999</v>
      </c>
      <c r="AR923" s="42">
        <v>1</v>
      </c>
      <c r="AS923" s="18">
        <v>0</v>
      </c>
      <c r="AT923">
        <v>0</v>
      </c>
      <c r="AU923" s="40">
        <v>1</v>
      </c>
      <c r="AV923" t="s">
        <v>104</v>
      </c>
      <c r="AW923" s="40" t="s">
        <v>104</v>
      </c>
      <c r="AX923">
        <v>0</v>
      </c>
      <c r="AY923" s="18">
        <v>1</v>
      </c>
      <c r="AZ923">
        <v>0</v>
      </c>
      <c r="BA923" s="18">
        <v>1</v>
      </c>
      <c r="BB923" s="18" t="s">
        <v>5</v>
      </c>
      <c r="BC923">
        <v>0</v>
      </c>
      <c r="BD923">
        <v>1</v>
      </c>
      <c r="BE923">
        <v>0</v>
      </c>
      <c r="BF923">
        <v>0</v>
      </c>
      <c r="BG923">
        <v>0</v>
      </c>
      <c r="BH923" s="18">
        <v>0</v>
      </c>
      <c r="BI923">
        <v>0</v>
      </c>
      <c r="BJ923">
        <v>1</v>
      </c>
      <c r="BK923" s="18">
        <v>0</v>
      </c>
      <c r="BL923">
        <v>127.1666666666667</v>
      </c>
      <c r="BM923">
        <v>27</v>
      </c>
      <c r="BN923" s="25">
        <v>39.536000000000001</v>
      </c>
      <c r="BO923">
        <v>0</v>
      </c>
      <c r="BP923">
        <v>0</v>
      </c>
      <c r="BQ923">
        <v>0</v>
      </c>
      <c r="BR923">
        <v>0</v>
      </c>
      <c r="BS923">
        <v>0</v>
      </c>
      <c r="BT923">
        <v>0</v>
      </c>
      <c r="BU923">
        <v>0</v>
      </c>
      <c r="BV923" s="18">
        <v>1</v>
      </c>
      <c r="BW923">
        <v>0</v>
      </c>
      <c r="BX923">
        <v>1</v>
      </c>
      <c r="BY923">
        <v>0</v>
      </c>
      <c r="BZ923" s="18">
        <v>0</v>
      </c>
      <c r="CA923">
        <v>0</v>
      </c>
      <c r="CB923">
        <v>0</v>
      </c>
      <c r="CC923">
        <v>0</v>
      </c>
      <c r="CD923">
        <v>0</v>
      </c>
      <c r="CE923">
        <v>0</v>
      </c>
      <c r="CF923" s="18">
        <v>0</v>
      </c>
      <c r="CG923">
        <v>1</v>
      </c>
      <c r="CH923">
        <v>1</v>
      </c>
      <c r="CI923">
        <v>0</v>
      </c>
      <c r="CJ923">
        <v>0</v>
      </c>
      <c r="CK923">
        <v>0</v>
      </c>
      <c r="CL923">
        <v>0</v>
      </c>
      <c r="CM923">
        <v>0</v>
      </c>
      <c r="CN923">
        <v>0</v>
      </c>
      <c r="CO923">
        <v>0</v>
      </c>
      <c r="CP923">
        <v>0</v>
      </c>
      <c r="CQ923" s="18">
        <v>1</v>
      </c>
      <c r="CR923">
        <v>0.17100000000000001</v>
      </c>
      <c r="CS923">
        <v>120</v>
      </c>
      <c r="CT923">
        <v>1</v>
      </c>
      <c r="CU923">
        <v>0</v>
      </c>
      <c r="CV923">
        <v>13</v>
      </c>
      <c r="DB923" s="34"/>
    </row>
    <row r="924" spans="1:106" x14ac:dyDescent="0.25">
      <c r="A924">
        <v>923</v>
      </c>
      <c r="B924">
        <v>63</v>
      </c>
      <c r="C924" s="25" t="s">
        <v>4105</v>
      </c>
      <c r="D924" s="12">
        <v>7.89</v>
      </c>
      <c r="E924" s="14">
        <f t="shared" si="270"/>
        <v>0.7504708277055947</v>
      </c>
      <c r="F924" s="7">
        <v>10.513400000000001</v>
      </c>
      <c r="G924" s="7">
        <f t="shared" si="259"/>
        <v>7.139529172294405</v>
      </c>
      <c r="H924" s="16">
        <f t="shared" si="260"/>
        <v>8.6404708277055953</v>
      </c>
      <c r="I924" s="11">
        <f t="shared" si="261"/>
        <v>0.31449466745904769</v>
      </c>
      <c r="J924" s="33">
        <f t="shared" si="262"/>
        <v>2.9913697515461E-2</v>
      </c>
      <c r="K924" s="33">
        <f t="shared" si="263"/>
        <v>33.429501634933175</v>
      </c>
      <c r="L924" s="33">
        <f t="shared" si="264"/>
        <v>0.28458096994358667</v>
      </c>
      <c r="M924" s="33">
        <f t="shared" si="265"/>
        <v>0.34440836497450872</v>
      </c>
      <c r="N924" s="8">
        <v>1</v>
      </c>
      <c r="O924" s="9">
        <v>0</v>
      </c>
      <c r="P924" s="8">
        <v>0</v>
      </c>
      <c r="Q924" s="9">
        <v>0</v>
      </c>
      <c r="R924" s="9">
        <v>1</v>
      </c>
      <c r="S924" s="9">
        <v>0</v>
      </c>
      <c r="T924" s="9">
        <v>0</v>
      </c>
      <c r="U924" s="8">
        <v>1015</v>
      </c>
      <c r="V924" s="9">
        <v>7</v>
      </c>
      <c r="W924" s="9">
        <f t="shared" si="266"/>
        <v>1007</v>
      </c>
      <c r="X924" s="9">
        <f t="shared" si="267"/>
        <v>8</v>
      </c>
      <c r="Y924" s="7">
        <v>12.0837</v>
      </c>
      <c r="Z924" s="7">
        <f t="shared" si="271"/>
        <v>21.452300000000001</v>
      </c>
      <c r="AA924" s="9">
        <v>1</v>
      </c>
      <c r="AB924" s="9">
        <v>0</v>
      </c>
      <c r="AC924" s="9">
        <v>1</v>
      </c>
      <c r="AD924" s="9">
        <v>0</v>
      </c>
      <c r="AE924" s="9">
        <v>0</v>
      </c>
      <c r="AF924" s="9">
        <v>0</v>
      </c>
      <c r="AG924" s="8">
        <v>1</v>
      </c>
      <c r="AH924" s="9">
        <v>0</v>
      </c>
      <c r="AI924" s="30">
        <v>0</v>
      </c>
      <c r="AJ924" s="9">
        <v>1</v>
      </c>
      <c r="AK924" s="30">
        <v>0</v>
      </c>
      <c r="AL924" s="21">
        <v>2005</v>
      </c>
      <c r="AM924" s="23">
        <f t="shared" si="268"/>
        <v>7.6033993397406698</v>
      </c>
      <c r="AN924" s="33">
        <f t="shared" si="272"/>
        <v>2.4600000000000011E-2</v>
      </c>
      <c r="AO924" s="33">
        <f t="shared" si="272"/>
        <v>2.4600000000000011E-2</v>
      </c>
      <c r="AP924" s="33">
        <v>0.60699999999999998</v>
      </c>
      <c r="AQ924" s="43">
        <v>0.34379999999999999</v>
      </c>
      <c r="AR924" s="42">
        <v>1</v>
      </c>
      <c r="AS924" s="18">
        <v>0</v>
      </c>
      <c r="AT924">
        <v>0</v>
      </c>
      <c r="AU924" s="40">
        <v>1</v>
      </c>
      <c r="AV924" t="s">
        <v>104</v>
      </c>
      <c r="AW924" s="40" t="s">
        <v>104</v>
      </c>
      <c r="AX924">
        <v>0</v>
      </c>
      <c r="AY924" s="18">
        <v>1</v>
      </c>
      <c r="AZ924">
        <v>0</v>
      </c>
      <c r="BA924" s="18">
        <v>1</v>
      </c>
      <c r="BB924" s="18" t="s">
        <v>5</v>
      </c>
      <c r="BC924">
        <v>0</v>
      </c>
      <c r="BD924">
        <v>1</v>
      </c>
      <c r="BE924">
        <v>0</v>
      </c>
      <c r="BF924">
        <v>0</v>
      </c>
      <c r="BG924">
        <v>0</v>
      </c>
      <c r="BH924" s="18">
        <v>0</v>
      </c>
      <c r="BI924">
        <v>0</v>
      </c>
      <c r="BJ924">
        <v>1</v>
      </c>
      <c r="BK924" s="18">
        <v>0</v>
      </c>
      <c r="BL924">
        <v>127.1666666666667</v>
      </c>
      <c r="BM924">
        <v>27</v>
      </c>
      <c r="BN924" s="25">
        <v>39.536000000000001</v>
      </c>
      <c r="BO924">
        <v>1</v>
      </c>
      <c r="BP924">
        <v>0</v>
      </c>
      <c r="BQ924">
        <v>0</v>
      </c>
      <c r="BR924">
        <v>0</v>
      </c>
      <c r="BS924">
        <v>0</v>
      </c>
      <c r="BT924">
        <v>0</v>
      </c>
      <c r="BU924">
        <v>0</v>
      </c>
      <c r="BV924" s="18">
        <v>0</v>
      </c>
      <c r="BW924">
        <v>0</v>
      </c>
      <c r="BX924">
        <v>0</v>
      </c>
      <c r="BY924">
        <v>1</v>
      </c>
      <c r="BZ924" s="18">
        <v>0</v>
      </c>
      <c r="CA924">
        <v>0</v>
      </c>
      <c r="CB924">
        <v>0</v>
      </c>
      <c r="CC924">
        <v>0</v>
      </c>
      <c r="CD924">
        <v>0</v>
      </c>
      <c r="CE924">
        <v>0</v>
      </c>
      <c r="CF924" s="18">
        <v>0</v>
      </c>
      <c r="CG924">
        <v>1</v>
      </c>
      <c r="CH924">
        <v>1</v>
      </c>
      <c r="CI924">
        <v>0</v>
      </c>
      <c r="CJ924">
        <v>0</v>
      </c>
      <c r="CK924">
        <v>0</v>
      </c>
      <c r="CL924">
        <v>0</v>
      </c>
      <c r="CM924">
        <v>0</v>
      </c>
      <c r="CN924">
        <v>0</v>
      </c>
      <c r="CO924">
        <v>0</v>
      </c>
      <c r="CP924">
        <v>0</v>
      </c>
      <c r="CQ924" s="18">
        <v>1</v>
      </c>
      <c r="CR924">
        <v>0.17100000000000001</v>
      </c>
      <c r="CS924">
        <v>120</v>
      </c>
      <c r="CT924">
        <v>1</v>
      </c>
      <c r="CU924">
        <v>0</v>
      </c>
      <c r="CV924">
        <v>13</v>
      </c>
      <c r="DB924" s="34"/>
    </row>
    <row r="925" spans="1:106" x14ac:dyDescent="0.25">
      <c r="A925">
        <v>924</v>
      </c>
      <c r="B925">
        <v>63</v>
      </c>
      <c r="C925" s="25" t="s">
        <v>4105</v>
      </c>
      <c r="D925" s="12">
        <v>21.5</v>
      </c>
      <c r="E925" s="14">
        <f t="shared" si="270"/>
        <v>4.4340867843590166</v>
      </c>
      <c r="F925" s="7">
        <v>4.8487999999999998</v>
      </c>
      <c r="G925" s="7">
        <f t="shared" si="259"/>
        <v>17.065913215640983</v>
      </c>
      <c r="H925" s="16">
        <f t="shared" si="260"/>
        <v>25.934086784359017</v>
      </c>
      <c r="I925" s="11">
        <f t="shared" si="261"/>
        <v>0.15104556715258183</v>
      </c>
      <c r="J925" s="33">
        <f t="shared" si="262"/>
        <v>3.1151123402198864E-2</v>
      </c>
      <c r="K925" s="33">
        <f t="shared" si="263"/>
        <v>32.101571012023697</v>
      </c>
      <c r="L925" s="33">
        <f t="shared" si="264"/>
        <v>0.11989444375038297</v>
      </c>
      <c r="M925" s="33">
        <f t="shared" si="265"/>
        <v>0.18219669055478069</v>
      </c>
      <c r="N925" s="8">
        <v>1</v>
      </c>
      <c r="O925" s="9">
        <v>0</v>
      </c>
      <c r="P925" s="8">
        <v>0</v>
      </c>
      <c r="Q925" s="9">
        <v>0</v>
      </c>
      <c r="R925" s="9">
        <v>1</v>
      </c>
      <c r="S925" s="9">
        <v>0</v>
      </c>
      <c r="T925" s="9">
        <v>0</v>
      </c>
      <c r="U925" s="8">
        <v>1015</v>
      </c>
      <c r="V925" s="9">
        <v>7</v>
      </c>
      <c r="W925" s="9">
        <f t="shared" si="266"/>
        <v>1007</v>
      </c>
      <c r="X925" s="9">
        <f t="shared" si="267"/>
        <v>8</v>
      </c>
      <c r="Y925" s="7">
        <v>12.0837</v>
      </c>
      <c r="Z925" s="7">
        <f t="shared" si="271"/>
        <v>21.452300000000001</v>
      </c>
      <c r="AA925" s="9">
        <v>1</v>
      </c>
      <c r="AB925" s="9">
        <v>0</v>
      </c>
      <c r="AC925" s="9">
        <v>1</v>
      </c>
      <c r="AD925" s="9">
        <v>0</v>
      </c>
      <c r="AE925" s="9">
        <v>0</v>
      </c>
      <c r="AF925" s="9">
        <v>0</v>
      </c>
      <c r="AG925" s="8">
        <v>1</v>
      </c>
      <c r="AH925" s="9">
        <v>0</v>
      </c>
      <c r="AI925" s="30">
        <v>0</v>
      </c>
      <c r="AJ925" s="9">
        <v>1</v>
      </c>
      <c r="AK925" s="30">
        <v>0</v>
      </c>
      <c r="AL925" s="21">
        <v>2005</v>
      </c>
      <c r="AM925" s="23">
        <f t="shared" si="268"/>
        <v>7.6033993397406698</v>
      </c>
      <c r="AN925" s="33">
        <f t="shared" si="272"/>
        <v>2.4600000000000011E-2</v>
      </c>
      <c r="AO925" s="33">
        <f t="shared" si="272"/>
        <v>2.4600000000000011E-2</v>
      </c>
      <c r="AP925" s="33">
        <v>0.60699999999999998</v>
      </c>
      <c r="AQ925" s="43">
        <v>0.34379999999999999</v>
      </c>
      <c r="AR925" s="42">
        <v>1</v>
      </c>
      <c r="AS925" s="18">
        <v>0</v>
      </c>
      <c r="AT925">
        <v>0</v>
      </c>
      <c r="AU925" s="40">
        <v>1</v>
      </c>
      <c r="AV925" t="s">
        <v>104</v>
      </c>
      <c r="AW925" s="40" t="s">
        <v>104</v>
      </c>
      <c r="AX925">
        <v>0</v>
      </c>
      <c r="AY925" s="18">
        <v>1</v>
      </c>
      <c r="AZ925">
        <v>0</v>
      </c>
      <c r="BA925" s="18">
        <v>1</v>
      </c>
      <c r="BB925" s="18" t="s">
        <v>5</v>
      </c>
      <c r="BC925">
        <v>0</v>
      </c>
      <c r="BD925">
        <v>1</v>
      </c>
      <c r="BE925">
        <v>0</v>
      </c>
      <c r="BF925">
        <v>0</v>
      </c>
      <c r="BG925">
        <v>0</v>
      </c>
      <c r="BH925" s="18">
        <v>0</v>
      </c>
      <c r="BI925">
        <v>0</v>
      </c>
      <c r="BJ925">
        <v>1</v>
      </c>
      <c r="BK925" s="18">
        <v>0</v>
      </c>
      <c r="BL925">
        <v>127.1666666666667</v>
      </c>
      <c r="BM925">
        <v>27</v>
      </c>
      <c r="BN925" s="25">
        <v>39.536000000000001</v>
      </c>
      <c r="BO925">
        <v>0</v>
      </c>
      <c r="BP925">
        <v>0</v>
      </c>
      <c r="BQ925">
        <v>0</v>
      </c>
      <c r="BR925">
        <v>0</v>
      </c>
      <c r="BS925">
        <v>1</v>
      </c>
      <c r="BT925">
        <v>0</v>
      </c>
      <c r="BU925">
        <v>0</v>
      </c>
      <c r="BV925" s="18">
        <v>0</v>
      </c>
      <c r="BW925">
        <v>0</v>
      </c>
      <c r="BX925">
        <v>0</v>
      </c>
      <c r="BY925">
        <v>1</v>
      </c>
      <c r="BZ925" s="18">
        <v>0</v>
      </c>
      <c r="CA925">
        <v>0</v>
      </c>
      <c r="CB925">
        <v>0</v>
      </c>
      <c r="CC925">
        <v>0</v>
      </c>
      <c r="CD925">
        <v>0</v>
      </c>
      <c r="CE925">
        <v>0</v>
      </c>
      <c r="CF925" s="18">
        <v>0</v>
      </c>
      <c r="CG925">
        <v>1</v>
      </c>
      <c r="CH925">
        <v>1</v>
      </c>
      <c r="CI925">
        <v>0</v>
      </c>
      <c r="CJ925">
        <v>0</v>
      </c>
      <c r="CK925">
        <v>0</v>
      </c>
      <c r="CL925">
        <v>0</v>
      </c>
      <c r="CM925">
        <v>0</v>
      </c>
      <c r="CN925">
        <v>0</v>
      </c>
      <c r="CO925">
        <v>0</v>
      </c>
      <c r="CP925">
        <v>0</v>
      </c>
      <c r="CQ925" s="18">
        <v>1</v>
      </c>
      <c r="CR925">
        <v>0.17100000000000001</v>
      </c>
      <c r="CS925">
        <v>120</v>
      </c>
      <c r="CT925">
        <v>1</v>
      </c>
      <c r="CU925">
        <v>0</v>
      </c>
      <c r="CV925">
        <v>13</v>
      </c>
      <c r="DB925" s="34"/>
    </row>
    <row r="926" spans="1:106" x14ac:dyDescent="0.25">
      <c r="A926">
        <v>925</v>
      </c>
      <c r="B926">
        <v>64</v>
      </c>
      <c r="C926" s="25" t="s">
        <v>4106</v>
      </c>
      <c r="D926" s="12">
        <v>7.3</v>
      </c>
      <c r="E926" s="14">
        <f t="shared" si="270"/>
        <v>0.74940971152859048</v>
      </c>
      <c r="F926" s="7">
        <v>9.7409999999999997</v>
      </c>
      <c r="G926" s="7">
        <f t="shared" si="259"/>
        <v>6.5505902884714091</v>
      </c>
      <c r="H926" s="16">
        <f t="shared" si="260"/>
        <v>8.0494097115285896</v>
      </c>
      <c r="I926" s="11">
        <f t="shared" si="261"/>
        <v>0.35152390398162275</v>
      </c>
      <c r="J926" s="33">
        <f t="shared" si="262"/>
        <v>3.6087044860037241E-2</v>
      </c>
      <c r="K926" s="33">
        <f t="shared" si="263"/>
        <v>27.710775539490047</v>
      </c>
      <c r="L926" s="33">
        <f t="shared" si="264"/>
        <v>0.31543685912158553</v>
      </c>
      <c r="M926" s="33">
        <f t="shared" si="265"/>
        <v>0.38761094884165997</v>
      </c>
      <c r="N926" s="8">
        <v>1</v>
      </c>
      <c r="O926" s="9">
        <v>0</v>
      </c>
      <c r="P926" s="8">
        <v>1</v>
      </c>
      <c r="Q926" s="9">
        <v>0</v>
      </c>
      <c r="R926" s="9">
        <v>0</v>
      </c>
      <c r="S926" s="9">
        <v>0</v>
      </c>
      <c r="T926" s="9">
        <v>0</v>
      </c>
      <c r="U926" s="8">
        <v>684</v>
      </c>
      <c r="V926" s="9">
        <v>10</v>
      </c>
      <c r="W926" s="9">
        <f t="shared" si="266"/>
        <v>673</v>
      </c>
      <c r="X926" s="9">
        <f t="shared" si="267"/>
        <v>12</v>
      </c>
      <c r="Y926" s="7">
        <v>11.35</v>
      </c>
      <c r="Z926" s="7">
        <v>16.489999999999998</v>
      </c>
      <c r="AA926" s="9">
        <v>1</v>
      </c>
      <c r="AB926" s="9">
        <v>0</v>
      </c>
      <c r="AC926" s="9">
        <v>1</v>
      </c>
      <c r="AD926" s="9">
        <v>0</v>
      </c>
      <c r="AE926" s="9">
        <v>0</v>
      </c>
      <c r="AF926" s="9">
        <v>0</v>
      </c>
      <c r="AG926" s="8">
        <v>0</v>
      </c>
      <c r="AH926" s="9">
        <v>0</v>
      </c>
      <c r="AI926" s="30">
        <v>1</v>
      </c>
      <c r="AJ926" s="9">
        <v>1</v>
      </c>
      <c r="AK926" s="30">
        <v>0</v>
      </c>
      <c r="AL926" s="21">
        <v>2007</v>
      </c>
      <c r="AM926" s="23">
        <f t="shared" si="268"/>
        <v>7.604396348796338</v>
      </c>
      <c r="AN926" s="33">
        <v>5.0000000000000001E-3</v>
      </c>
      <c r="AO926" s="33">
        <v>1.7000000000000001E-2</v>
      </c>
      <c r="AP926" s="33">
        <f t="shared" ref="AP926:AP937" si="273">1-AN926-AO926-AQ926</f>
        <v>0.64500000000000002</v>
      </c>
      <c r="AQ926" s="43">
        <v>0.33300000000000002</v>
      </c>
      <c r="AR926" s="42">
        <v>1</v>
      </c>
      <c r="AS926" s="18">
        <v>0</v>
      </c>
      <c r="AT926">
        <v>1</v>
      </c>
      <c r="AU926" s="40">
        <f t="shared" ref="AU926:AU969" si="274">1-AT926</f>
        <v>0</v>
      </c>
      <c r="AV926" s="39">
        <f t="shared" ref="AV926:AV937" si="275">1-AW926</f>
        <v>0.59799999999999998</v>
      </c>
      <c r="AW926" s="40">
        <v>0.40200000000000002</v>
      </c>
      <c r="AX926">
        <v>0</v>
      </c>
      <c r="AY926" s="18">
        <v>1</v>
      </c>
      <c r="AZ926">
        <v>0</v>
      </c>
      <c r="BA926" s="18">
        <v>1</v>
      </c>
      <c r="BB926" s="18" t="s">
        <v>5</v>
      </c>
      <c r="BC926">
        <v>0</v>
      </c>
      <c r="BD926">
        <v>1</v>
      </c>
      <c r="BE926">
        <v>0</v>
      </c>
      <c r="BF926">
        <v>0</v>
      </c>
      <c r="BG926">
        <v>0</v>
      </c>
      <c r="BH926" s="18">
        <v>0</v>
      </c>
      <c r="BI926">
        <v>0</v>
      </c>
      <c r="BJ926">
        <v>1</v>
      </c>
      <c r="BK926" s="18">
        <v>0</v>
      </c>
      <c r="BL926">
        <v>127.1666666666667</v>
      </c>
      <c r="BM926">
        <v>27</v>
      </c>
      <c r="BN926" s="94">
        <f t="shared" ref="BN926:BN937" si="276">Y926+Z926+6</f>
        <v>33.839999999999996</v>
      </c>
      <c r="BO926">
        <v>1</v>
      </c>
      <c r="BP926">
        <v>0</v>
      </c>
      <c r="BQ926">
        <v>0</v>
      </c>
      <c r="BR926">
        <v>0</v>
      </c>
      <c r="BS926">
        <v>0</v>
      </c>
      <c r="BT926">
        <v>0</v>
      </c>
      <c r="BU926">
        <v>0</v>
      </c>
      <c r="BV926" s="18">
        <v>0</v>
      </c>
      <c r="BW926">
        <v>0</v>
      </c>
      <c r="BX926">
        <v>0</v>
      </c>
      <c r="BY926">
        <v>1</v>
      </c>
      <c r="BZ926" s="18">
        <v>0</v>
      </c>
      <c r="CA926">
        <v>0</v>
      </c>
      <c r="CB926">
        <v>0</v>
      </c>
      <c r="CC926">
        <v>0</v>
      </c>
      <c r="CD926">
        <v>0</v>
      </c>
      <c r="CE926">
        <v>0</v>
      </c>
      <c r="CF926" s="18">
        <v>0</v>
      </c>
      <c r="CG926">
        <v>0</v>
      </c>
      <c r="CH926">
        <v>0</v>
      </c>
      <c r="CI926">
        <v>1</v>
      </c>
      <c r="CJ926">
        <v>1</v>
      </c>
      <c r="CK926">
        <v>0</v>
      </c>
      <c r="CL926">
        <v>1</v>
      </c>
      <c r="CM926">
        <v>1</v>
      </c>
      <c r="CN926">
        <v>1</v>
      </c>
      <c r="CO926">
        <v>0</v>
      </c>
      <c r="CP926">
        <v>0</v>
      </c>
      <c r="CQ926" s="18">
        <v>1</v>
      </c>
      <c r="CR926">
        <v>0.14599999999999999</v>
      </c>
      <c r="CS926">
        <v>4</v>
      </c>
      <c r="CT926">
        <v>1</v>
      </c>
      <c r="CU926">
        <v>0</v>
      </c>
      <c r="CV926">
        <v>18</v>
      </c>
      <c r="DB926" s="34"/>
    </row>
    <row r="927" spans="1:106" x14ac:dyDescent="0.25">
      <c r="A927">
        <v>926</v>
      </c>
      <c r="B927">
        <v>64</v>
      </c>
      <c r="C927" s="25" t="s">
        <v>4106</v>
      </c>
      <c r="D927" s="12">
        <v>7.4</v>
      </c>
      <c r="E927" s="14">
        <f t="shared" si="270"/>
        <v>0.78748536767053312</v>
      </c>
      <c r="F927" s="7">
        <v>9.3970000000000002</v>
      </c>
      <c r="G927" s="7">
        <f t="shared" si="259"/>
        <v>6.612514632329467</v>
      </c>
      <c r="H927" s="16">
        <f t="shared" si="260"/>
        <v>8.1874853676705328</v>
      </c>
      <c r="I927" s="11">
        <f t="shared" si="261"/>
        <v>0.35509621620136783</v>
      </c>
      <c r="J927" s="33">
        <f t="shared" si="262"/>
        <v>3.7788253293749907E-2</v>
      </c>
      <c r="K927" s="33">
        <f t="shared" si="263"/>
        <v>26.463250159419189</v>
      </c>
      <c r="L927" s="33">
        <f t="shared" si="264"/>
        <v>0.31730796290761792</v>
      </c>
      <c r="M927" s="33">
        <f t="shared" si="265"/>
        <v>0.39288446949511774</v>
      </c>
      <c r="N927" s="8">
        <v>1</v>
      </c>
      <c r="O927" s="9">
        <v>0</v>
      </c>
      <c r="P927" s="8">
        <v>1</v>
      </c>
      <c r="Q927" s="9">
        <v>0</v>
      </c>
      <c r="R927" s="9">
        <v>0</v>
      </c>
      <c r="S927" s="9">
        <v>0</v>
      </c>
      <c r="T927" s="9">
        <v>0</v>
      </c>
      <c r="U927" s="8">
        <v>628</v>
      </c>
      <c r="V927" s="9">
        <v>15</v>
      </c>
      <c r="W927" s="9">
        <f t="shared" si="266"/>
        <v>612</v>
      </c>
      <c r="X927" s="9">
        <f t="shared" si="267"/>
        <v>12</v>
      </c>
      <c r="Y927" s="7">
        <v>11.35</v>
      </c>
      <c r="Z927" s="7">
        <v>16.489999999999998</v>
      </c>
      <c r="AA927" s="9">
        <v>1</v>
      </c>
      <c r="AB927" s="9">
        <v>0</v>
      </c>
      <c r="AC927" s="9">
        <v>1</v>
      </c>
      <c r="AD927" s="9">
        <v>0</v>
      </c>
      <c r="AE927" s="9">
        <v>0</v>
      </c>
      <c r="AF927" s="9">
        <v>0</v>
      </c>
      <c r="AG927" s="8">
        <v>0</v>
      </c>
      <c r="AH927" s="9">
        <v>0</v>
      </c>
      <c r="AI927" s="30">
        <v>1</v>
      </c>
      <c r="AJ927" s="9">
        <v>1</v>
      </c>
      <c r="AK927" s="30">
        <v>0</v>
      </c>
      <c r="AL927" s="21">
        <v>2007</v>
      </c>
      <c r="AM927" s="23">
        <f t="shared" si="268"/>
        <v>7.604396348796338</v>
      </c>
      <c r="AN927" s="33">
        <v>5.0000000000000001E-3</v>
      </c>
      <c r="AO927" s="33">
        <v>1.7000000000000001E-2</v>
      </c>
      <c r="AP927" s="33">
        <f t="shared" si="273"/>
        <v>0.64500000000000002</v>
      </c>
      <c r="AQ927" s="43">
        <v>0.33300000000000002</v>
      </c>
      <c r="AR927" s="42">
        <v>1</v>
      </c>
      <c r="AS927" s="18">
        <v>0</v>
      </c>
      <c r="AT927">
        <v>0</v>
      </c>
      <c r="AU927" s="40">
        <f t="shared" si="274"/>
        <v>1</v>
      </c>
      <c r="AV927" s="39">
        <f t="shared" si="275"/>
        <v>0.59799999999999998</v>
      </c>
      <c r="AW927" s="40">
        <v>0.40200000000000002</v>
      </c>
      <c r="AX927">
        <v>0</v>
      </c>
      <c r="AY927" s="18">
        <v>1</v>
      </c>
      <c r="AZ927">
        <v>0</v>
      </c>
      <c r="BA927" s="18">
        <v>1</v>
      </c>
      <c r="BB927" s="18" t="s">
        <v>5</v>
      </c>
      <c r="BC927">
        <v>0</v>
      </c>
      <c r="BD927">
        <v>1</v>
      </c>
      <c r="BE927">
        <v>0</v>
      </c>
      <c r="BF927">
        <v>0</v>
      </c>
      <c r="BG927">
        <v>0</v>
      </c>
      <c r="BH927" s="18">
        <v>0</v>
      </c>
      <c r="BI927">
        <v>0</v>
      </c>
      <c r="BJ927">
        <v>1</v>
      </c>
      <c r="BK927" s="18">
        <v>0</v>
      </c>
      <c r="BL927">
        <v>127.1666666666667</v>
      </c>
      <c r="BM927">
        <v>27</v>
      </c>
      <c r="BN927" s="94">
        <f t="shared" si="276"/>
        <v>33.839999999999996</v>
      </c>
      <c r="BO927">
        <v>1</v>
      </c>
      <c r="BP927">
        <v>0</v>
      </c>
      <c r="BQ927">
        <v>0</v>
      </c>
      <c r="BR927">
        <v>0</v>
      </c>
      <c r="BS927">
        <v>0</v>
      </c>
      <c r="BT927">
        <v>0</v>
      </c>
      <c r="BU927">
        <v>0</v>
      </c>
      <c r="BV927" s="18">
        <v>0</v>
      </c>
      <c r="BW927">
        <v>0</v>
      </c>
      <c r="BX927">
        <v>0</v>
      </c>
      <c r="BY927">
        <v>1</v>
      </c>
      <c r="BZ927" s="18">
        <v>0</v>
      </c>
      <c r="CA927">
        <v>0</v>
      </c>
      <c r="CB927">
        <v>0</v>
      </c>
      <c r="CC927">
        <v>0</v>
      </c>
      <c r="CD927">
        <v>0</v>
      </c>
      <c r="CE927">
        <v>0</v>
      </c>
      <c r="CF927" s="18">
        <v>0</v>
      </c>
      <c r="CG927">
        <v>0</v>
      </c>
      <c r="CH927">
        <v>0</v>
      </c>
      <c r="CI927">
        <v>1</v>
      </c>
      <c r="CJ927">
        <v>1</v>
      </c>
      <c r="CK927">
        <v>0</v>
      </c>
      <c r="CL927">
        <v>1</v>
      </c>
      <c r="CM927">
        <v>1</v>
      </c>
      <c r="CN927">
        <v>1</v>
      </c>
      <c r="CO927">
        <v>1</v>
      </c>
      <c r="CP927">
        <v>0</v>
      </c>
      <c r="CQ927" s="18">
        <v>1</v>
      </c>
      <c r="CR927">
        <v>0.14599999999999999</v>
      </c>
      <c r="CS927">
        <v>4</v>
      </c>
      <c r="CT927">
        <v>1</v>
      </c>
      <c r="CU927">
        <v>0</v>
      </c>
      <c r="CV927">
        <v>18</v>
      </c>
      <c r="DB927" s="34"/>
    </row>
    <row r="928" spans="1:106" x14ac:dyDescent="0.25">
      <c r="A928">
        <v>927</v>
      </c>
      <c r="B928">
        <v>64</v>
      </c>
      <c r="C928" s="25" t="s">
        <v>4106</v>
      </c>
      <c r="D928" s="12">
        <v>7.4</v>
      </c>
      <c r="E928" s="14">
        <f t="shared" si="270"/>
        <v>0.79715609178067448</v>
      </c>
      <c r="F928" s="7">
        <v>9.2829999999999995</v>
      </c>
      <c r="G928" s="7">
        <f t="shared" si="259"/>
        <v>6.6028439082193255</v>
      </c>
      <c r="H928" s="16">
        <f t="shared" si="260"/>
        <v>8.1971560917806752</v>
      </c>
      <c r="I928" s="11">
        <f t="shared" si="261"/>
        <v>0.35208016755956645</v>
      </c>
      <c r="J928" s="33">
        <f t="shared" si="262"/>
        <v>3.7927412211522828E-2</v>
      </c>
      <c r="K928" s="33">
        <f t="shared" si="263"/>
        <v>26.366154232272862</v>
      </c>
      <c r="L928" s="33">
        <f t="shared" si="264"/>
        <v>0.3141527553480436</v>
      </c>
      <c r="M928" s="33">
        <f t="shared" si="265"/>
        <v>0.3900075797710893</v>
      </c>
      <c r="N928" s="8">
        <v>1</v>
      </c>
      <c r="O928" s="9">
        <v>0</v>
      </c>
      <c r="P928" s="8">
        <v>1</v>
      </c>
      <c r="Q928" s="9">
        <v>0</v>
      </c>
      <c r="R928" s="9">
        <v>0</v>
      </c>
      <c r="S928" s="9">
        <v>0</v>
      </c>
      <c r="T928" s="9">
        <v>0</v>
      </c>
      <c r="U928" s="8">
        <v>628</v>
      </c>
      <c r="V928" s="9">
        <v>18</v>
      </c>
      <c r="W928" s="9">
        <f t="shared" si="266"/>
        <v>609</v>
      </c>
      <c r="X928" s="9">
        <f t="shared" si="267"/>
        <v>12</v>
      </c>
      <c r="Y928" s="7">
        <v>11.35</v>
      </c>
      <c r="Z928" s="7">
        <v>16.489999999999998</v>
      </c>
      <c r="AA928" s="9">
        <v>1</v>
      </c>
      <c r="AB928" s="9">
        <v>0</v>
      </c>
      <c r="AC928" s="9">
        <v>1</v>
      </c>
      <c r="AD928" s="9">
        <v>0</v>
      </c>
      <c r="AE928" s="9">
        <v>0</v>
      </c>
      <c r="AF928" s="9">
        <v>0</v>
      </c>
      <c r="AG928" s="8">
        <v>0</v>
      </c>
      <c r="AH928" s="9">
        <v>0</v>
      </c>
      <c r="AI928" s="30">
        <v>1</v>
      </c>
      <c r="AJ928" s="9">
        <v>1</v>
      </c>
      <c r="AK928" s="30">
        <v>0</v>
      </c>
      <c r="AL928" s="21">
        <v>2007</v>
      </c>
      <c r="AM928" s="23">
        <f t="shared" si="268"/>
        <v>7.604396348796338</v>
      </c>
      <c r="AN928" s="33">
        <v>5.0000000000000001E-3</v>
      </c>
      <c r="AO928" s="33">
        <v>1.7000000000000001E-2</v>
      </c>
      <c r="AP928" s="33">
        <f t="shared" si="273"/>
        <v>0.64500000000000002</v>
      </c>
      <c r="AQ928" s="43">
        <v>0.33300000000000002</v>
      </c>
      <c r="AR928" s="42">
        <v>1</v>
      </c>
      <c r="AS928" s="18">
        <v>0</v>
      </c>
      <c r="AT928">
        <v>1</v>
      </c>
      <c r="AU928" s="40">
        <f t="shared" si="274"/>
        <v>0</v>
      </c>
      <c r="AV928" s="39">
        <f t="shared" si="275"/>
        <v>0.59799999999999998</v>
      </c>
      <c r="AW928" s="40">
        <v>0.40200000000000002</v>
      </c>
      <c r="AX928">
        <v>0</v>
      </c>
      <c r="AY928" s="18">
        <v>1</v>
      </c>
      <c r="AZ928">
        <v>0</v>
      </c>
      <c r="BA928" s="18">
        <v>1</v>
      </c>
      <c r="BB928" s="18" t="s">
        <v>5</v>
      </c>
      <c r="BC928">
        <v>0</v>
      </c>
      <c r="BD928">
        <v>1</v>
      </c>
      <c r="BE928">
        <v>0</v>
      </c>
      <c r="BF928">
        <v>0</v>
      </c>
      <c r="BG928">
        <v>0</v>
      </c>
      <c r="BH928" s="18">
        <v>0</v>
      </c>
      <c r="BI928">
        <v>0</v>
      </c>
      <c r="BJ928">
        <v>1</v>
      </c>
      <c r="BK928" s="18">
        <v>0</v>
      </c>
      <c r="BL928">
        <v>127.1666666666667</v>
      </c>
      <c r="BM928">
        <v>27</v>
      </c>
      <c r="BN928" s="94">
        <f t="shared" si="276"/>
        <v>33.839999999999996</v>
      </c>
      <c r="BO928">
        <v>1</v>
      </c>
      <c r="BP928">
        <v>0</v>
      </c>
      <c r="BQ928">
        <v>0</v>
      </c>
      <c r="BR928">
        <v>0</v>
      </c>
      <c r="BS928">
        <v>0</v>
      </c>
      <c r="BT928">
        <v>0</v>
      </c>
      <c r="BU928">
        <v>0</v>
      </c>
      <c r="BV928" s="18">
        <v>0</v>
      </c>
      <c r="BW928">
        <v>0</v>
      </c>
      <c r="BX928">
        <v>0</v>
      </c>
      <c r="BY928">
        <v>1</v>
      </c>
      <c r="BZ928" s="18">
        <v>0</v>
      </c>
      <c r="CA928">
        <v>0</v>
      </c>
      <c r="CB928">
        <v>0</v>
      </c>
      <c r="CC928">
        <v>0</v>
      </c>
      <c r="CD928">
        <v>0</v>
      </c>
      <c r="CE928">
        <v>0</v>
      </c>
      <c r="CF928" s="18">
        <v>0</v>
      </c>
      <c r="CG928">
        <v>0</v>
      </c>
      <c r="CH928">
        <v>0</v>
      </c>
      <c r="CI928">
        <v>1</v>
      </c>
      <c r="CJ928">
        <v>1</v>
      </c>
      <c r="CK928">
        <v>0</v>
      </c>
      <c r="CL928">
        <v>1</v>
      </c>
      <c r="CM928">
        <v>1</v>
      </c>
      <c r="CN928">
        <v>1</v>
      </c>
      <c r="CO928">
        <v>1</v>
      </c>
      <c r="CP928">
        <v>0</v>
      </c>
      <c r="CQ928" s="18">
        <v>1</v>
      </c>
      <c r="CR928">
        <v>0.14599999999999999</v>
      </c>
      <c r="CS928">
        <v>4</v>
      </c>
      <c r="CT928">
        <v>1</v>
      </c>
      <c r="CU928">
        <v>0</v>
      </c>
      <c r="CV928">
        <v>18</v>
      </c>
      <c r="DB928" s="34"/>
    </row>
    <row r="929" spans="1:106" x14ac:dyDescent="0.25">
      <c r="A929">
        <v>928</v>
      </c>
      <c r="B929">
        <v>64</v>
      </c>
      <c r="C929" s="25" t="s">
        <v>4106</v>
      </c>
      <c r="D929" s="12">
        <v>6.9</v>
      </c>
      <c r="E929" s="14">
        <f t="shared" si="270"/>
        <v>0.78695255474452552</v>
      </c>
      <c r="F929" s="7">
        <v>8.7680000000000007</v>
      </c>
      <c r="G929" s="7">
        <f t="shared" si="259"/>
        <v>6.1130474452554751</v>
      </c>
      <c r="H929" s="16">
        <f t="shared" si="260"/>
        <v>7.6869525547445257</v>
      </c>
      <c r="I929" s="11">
        <f t="shared" si="261"/>
        <v>0.33577414959800761</v>
      </c>
      <c r="J929" s="33">
        <f t="shared" si="262"/>
        <v>3.829540939758299E-2</v>
      </c>
      <c r="K929" s="33">
        <f t="shared" si="263"/>
        <v>26.112790429213035</v>
      </c>
      <c r="L929" s="33">
        <f t="shared" si="264"/>
        <v>0.29747874020042464</v>
      </c>
      <c r="M929" s="33">
        <f t="shared" si="265"/>
        <v>0.37406955899559058</v>
      </c>
      <c r="N929" s="8">
        <v>1</v>
      </c>
      <c r="O929" s="9">
        <v>0</v>
      </c>
      <c r="P929" s="8">
        <v>1</v>
      </c>
      <c r="Q929" s="9">
        <v>0</v>
      </c>
      <c r="R929" s="9">
        <v>0</v>
      </c>
      <c r="S929" s="9">
        <v>0</v>
      </c>
      <c r="T929" s="9">
        <v>0</v>
      </c>
      <c r="U929" s="8">
        <v>628</v>
      </c>
      <c r="V929" s="9">
        <v>22</v>
      </c>
      <c r="W929" s="9">
        <f t="shared" si="266"/>
        <v>605</v>
      </c>
      <c r="X929" s="9">
        <f t="shared" si="267"/>
        <v>12</v>
      </c>
      <c r="Y929" s="7">
        <v>11.35</v>
      </c>
      <c r="Z929" s="7">
        <v>16.489999999999998</v>
      </c>
      <c r="AA929" s="9">
        <v>1</v>
      </c>
      <c r="AB929" s="9">
        <v>0</v>
      </c>
      <c r="AC929" s="9">
        <v>1</v>
      </c>
      <c r="AD929" s="9">
        <v>0</v>
      </c>
      <c r="AE929" s="9">
        <v>0</v>
      </c>
      <c r="AF929" s="9">
        <v>0</v>
      </c>
      <c r="AG929" s="8">
        <v>0</v>
      </c>
      <c r="AH929" s="9">
        <v>0</v>
      </c>
      <c r="AI929" s="30">
        <v>1</v>
      </c>
      <c r="AJ929" s="9">
        <v>1</v>
      </c>
      <c r="AK929" s="30">
        <v>0</v>
      </c>
      <c r="AL929" s="21">
        <v>2007</v>
      </c>
      <c r="AM929" s="23">
        <f t="shared" si="268"/>
        <v>7.604396348796338</v>
      </c>
      <c r="AN929" s="33">
        <v>5.0000000000000001E-3</v>
      </c>
      <c r="AO929" s="33">
        <v>1.7000000000000001E-2</v>
      </c>
      <c r="AP929" s="33">
        <f t="shared" si="273"/>
        <v>0.64500000000000002</v>
      </c>
      <c r="AQ929" s="43">
        <v>0.33300000000000002</v>
      </c>
      <c r="AR929" s="42">
        <v>1</v>
      </c>
      <c r="AS929" s="18">
        <v>0</v>
      </c>
      <c r="AT929">
        <v>0</v>
      </c>
      <c r="AU929" s="40">
        <f t="shared" si="274"/>
        <v>1</v>
      </c>
      <c r="AV929" s="39">
        <f t="shared" si="275"/>
        <v>0.59799999999999998</v>
      </c>
      <c r="AW929" s="40">
        <v>0.40200000000000002</v>
      </c>
      <c r="AX929">
        <v>0</v>
      </c>
      <c r="AY929" s="18">
        <v>1</v>
      </c>
      <c r="AZ929">
        <v>0</v>
      </c>
      <c r="BA929" s="18">
        <v>1</v>
      </c>
      <c r="BB929" s="18" t="s">
        <v>5</v>
      </c>
      <c r="BC929">
        <v>0</v>
      </c>
      <c r="BD929">
        <v>1</v>
      </c>
      <c r="BE929">
        <v>0</v>
      </c>
      <c r="BF929">
        <v>0</v>
      </c>
      <c r="BG929">
        <v>0</v>
      </c>
      <c r="BH929" s="18">
        <v>0</v>
      </c>
      <c r="BI929">
        <v>0</v>
      </c>
      <c r="BJ929">
        <v>1</v>
      </c>
      <c r="BK929" s="18">
        <v>0</v>
      </c>
      <c r="BL929">
        <v>127.1666666666667</v>
      </c>
      <c r="BM929">
        <v>27</v>
      </c>
      <c r="BN929" s="94">
        <f t="shared" si="276"/>
        <v>33.839999999999996</v>
      </c>
      <c r="BO929">
        <v>1</v>
      </c>
      <c r="BP929">
        <v>0</v>
      </c>
      <c r="BQ929">
        <v>0</v>
      </c>
      <c r="BR929">
        <v>0</v>
      </c>
      <c r="BS929">
        <v>0</v>
      </c>
      <c r="BT929">
        <v>0</v>
      </c>
      <c r="BU929">
        <v>0</v>
      </c>
      <c r="BV929" s="18">
        <v>0</v>
      </c>
      <c r="BW929">
        <v>0</v>
      </c>
      <c r="BX929">
        <v>0</v>
      </c>
      <c r="BY929">
        <v>1</v>
      </c>
      <c r="BZ929" s="18">
        <v>0</v>
      </c>
      <c r="CA929">
        <v>0</v>
      </c>
      <c r="CB929">
        <v>0</v>
      </c>
      <c r="CC929">
        <v>0</v>
      </c>
      <c r="CD929">
        <v>0</v>
      </c>
      <c r="CE929">
        <v>0</v>
      </c>
      <c r="CF929" s="18">
        <v>0</v>
      </c>
      <c r="CG929">
        <v>0</v>
      </c>
      <c r="CH929">
        <v>0</v>
      </c>
      <c r="CI929">
        <v>1</v>
      </c>
      <c r="CJ929">
        <v>1</v>
      </c>
      <c r="CK929">
        <v>0</v>
      </c>
      <c r="CL929">
        <v>1</v>
      </c>
      <c r="CM929">
        <v>1</v>
      </c>
      <c r="CN929">
        <v>1</v>
      </c>
      <c r="CO929">
        <v>1</v>
      </c>
      <c r="CP929">
        <v>0</v>
      </c>
      <c r="CQ929" s="18">
        <v>1</v>
      </c>
      <c r="CR929">
        <v>0.14599999999999999</v>
      </c>
      <c r="CS929">
        <v>4</v>
      </c>
      <c r="CT929">
        <v>1</v>
      </c>
      <c r="CU929">
        <v>0</v>
      </c>
      <c r="CV929">
        <v>18</v>
      </c>
      <c r="DB929" s="34"/>
    </row>
    <row r="930" spans="1:106" x14ac:dyDescent="0.25">
      <c r="A930">
        <v>929</v>
      </c>
      <c r="B930">
        <v>64</v>
      </c>
      <c r="C930" s="25" t="s">
        <v>4106</v>
      </c>
      <c r="D930" s="12">
        <v>6.4</v>
      </c>
      <c r="E930" s="14">
        <f t="shared" si="270"/>
        <v>1.0718472617651984</v>
      </c>
      <c r="F930" s="7">
        <v>5.9710000000000001</v>
      </c>
      <c r="G930" s="7">
        <f t="shared" si="259"/>
        <v>5.3281527382348024</v>
      </c>
      <c r="H930" s="16">
        <f t="shared" si="260"/>
        <v>7.4718472617651983</v>
      </c>
      <c r="I930" s="11">
        <f t="shared" si="261"/>
        <v>0.28252834197816146</v>
      </c>
      <c r="J930" s="33">
        <f t="shared" si="262"/>
        <v>4.7316754643805303E-2</v>
      </c>
      <c r="K930" s="33">
        <f t="shared" si="263"/>
        <v>21.134162888555583</v>
      </c>
      <c r="L930" s="33">
        <f t="shared" si="264"/>
        <v>0.23521158733435615</v>
      </c>
      <c r="M930" s="33">
        <f t="shared" si="265"/>
        <v>0.32984509662196676</v>
      </c>
      <c r="N930" s="8">
        <v>1</v>
      </c>
      <c r="O930" s="9">
        <v>0</v>
      </c>
      <c r="P930" s="8">
        <v>1</v>
      </c>
      <c r="Q930" s="9">
        <v>0</v>
      </c>
      <c r="R930" s="9">
        <v>0</v>
      </c>
      <c r="S930" s="9">
        <v>0</v>
      </c>
      <c r="T930" s="9">
        <v>0</v>
      </c>
      <c r="U930" s="8">
        <v>422</v>
      </c>
      <c r="V930" s="9">
        <v>10</v>
      </c>
      <c r="W930" s="9">
        <f t="shared" si="266"/>
        <v>411</v>
      </c>
      <c r="X930" s="9">
        <f t="shared" si="267"/>
        <v>12</v>
      </c>
      <c r="Y930" s="7">
        <v>11.35</v>
      </c>
      <c r="Z930" s="7">
        <v>16.489999999999998</v>
      </c>
      <c r="AA930" s="9">
        <v>1</v>
      </c>
      <c r="AB930" s="9">
        <v>0</v>
      </c>
      <c r="AC930" s="9">
        <v>1</v>
      </c>
      <c r="AD930" s="9">
        <v>0</v>
      </c>
      <c r="AE930" s="9">
        <v>0</v>
      </c>
      <c r="AF930" s="9">
        <v>0</v>
      </c>
      <c r="AG930" s="8">
        <v>0</v>
      </c>
      <c r="AH930" s="9">
        <v>0</v>
      </c>
      <c r="AI930" s="30">
        <v>1</v>
      </c>
      <c r="AJ930" s="9">
        <v>1</v>
      </c>
      <c r="AK930" s="30">
        <v>0</v>
      </c>
      <c r="AL930" s="21">
        <v>2007</v>
      </c>
      <c r="AM930" s="23">
        <f t="shared" si="268"/>
        <v>7.604396348796338</v>
      </c>
      <c r="AN930" s="33">
        <v>5.0000000000000001E-3</v>
      </c>
      <c r="AO930" s="33">
        <v>1.7000000000000001E-2</v>
      </c>
      <c r="AP930" s="33">
        <f t="shared" si="273"/>
        <v>0.64500000000000002</v>
      </c>
      <c r="AQ930" s="43">
        <v>0.33300000000000002</v>
      </c>
      <c r="AR930" s="42">
        <v>1</v>
      </c>
      <c r="AS930" s="18">
        <v>0</v>
      </c>
      <c r="AT930">
        <v>1</v>
      </c>
      <c r="AU930" s="40">
        <f t="shared" si="274"/>
        <v>0</v>
      </c>
      <c r="AV930" s="39">
        <f t="shared" si="275"/>
        <v>0.59799999999999998</v>
      </c>
      <c r="AW930" s="40">
        <v>0.40200000000000002</v>
      </c>
      <c r="AX930">
        <v>0</v>
      </c>
      <c r="AY930" s="18">
        <v>1</v>
      </c>
      <c r="AZ930">
        <v>0</v>
      </c>
      <c r="BA930" s="18">
        <v>1</v>
      </c>
      <c r="BB930" s="18" t="s">
        <v>5</v>
      </c>
      <c r="BC930">
        <v>0</v>
      </c>
      <c r="BD930">
        <v>1</v>
      </c>
      <c r="BE930">
        <v>0</v>
      </c>
      <c r="BF930">
        <v>0</v>
      </c>
      <c r="BG930">
        <v>0</v>
      </c>
      <c r="BH930" s="18">
        <v>0</v>
      </c>
      <c r="BI930">
        <v>0</v>
      </c>
      <c r="BJ930">
        <v>1</v>
      </c>
      <c r="BK930" s="18">
        <v>0</v>
      </c>
      <c r="BL930">
        <v>127.1666666666667</v>
      </c>
      <c r="BM930">
        <v>27</v>
      </c>
      <c r="BN930" s="94">
        <f t="shared" si="276"/>
        <v>33.839999999999996</v>
      </c>
      <c r="BO930">
        <v>1</v>
      </c>
      <c r="BP930">
        <v>0</v>
      </c>
      <c r="BQ930">
        <v>0</v>
      </c>
      <c r="BR930">
        <v>0</v>
      </c>
      <c r="BS930">
        <v>0</v>
      </c>
      <c r="BT930">
        <v>0</v>
      </c>
      <c r="BU930">
        <v>0</v>
      </c>
      <c r="BV930" s="18">
        <v>0</v>
      </c>
      <c r="BW930">
        <v>0</v>
      </c>
      <c r="BX930">
        <v>0</v>
      </c>
      <c r="BY930">
        <v>1</v>
      </c>
      <c r="BZ930" s="18">
        <v>0</v>
      </c>
      <c r="CA930">
        <v>0</v>
      </c>
      <c r="CB930">
        <v>0</v>
      </c>
      <c r="CC930">
        <v>0</v>
      </c>
      <c r="CD930">
        <v>0</v>
      </c>
      <c r="CE930">
        <v>0</v>
      </c>
      <c r="CF930" s="18">
        <v>0</v>
      </c>
      <c r="CG930">
        <v>0</v>
      </c>
      <c r="CH930">
        <v>0</v>
      </c>
      <c r="CI930">
        <v>1</v>
      </c>
      <c r="CJ930">
        <v>1</v>
      </c>
      <c r="CK930">
        <v>0</v>
      </c>
      <c r="CL930">
        <v>1</v>
      </c>
      <c r="CM930">
        <v>1</v>
      </c>
      <c r="CN930">
        <v>1</v>
      </c>
      <c r="CO930">
        <v>0</v>
      </c>
      <c r="CP930">
        <v>0</v>
      </c>
      <c r="CQ930" s="18">
        <v>1</v>
      </c>
      <c r="CR930">
        <v>0.14599999999999999</v>
      </c>
      <c r="CS930">
        <v>4</v>
      </c>
      <c r="CT930">
        <v>1</v>
      </c>
      <c r="CU930">
        <v>0</v>
      </c>
      <c r="CV930">
        <v>18</v>
      </c>
      <c r="DB930" s="34"/>
    </row>
    <row r="931" spans="1:106" x14ac:dyDescent="0.25">
      <c r="A931">
        <v>930</v>
      </c>
      <c r="B931">
        <v>64</v>
      </c>
      <c r="C931" s="25" t="s">
        <v>4106</v>
      </c>
      <c r="D931" s="12">
        <v>8.52</v>
      </c>
      <c r="E931" s="14">
        <f t="shared" si="270"/>
        <v>1.0560237977193851</v>
      </c>
      <c r="F931" s="7">
        <v>8.0679999999999996</v>
      </c>
      <c r="G931" s="7">
        <f t="shared" si="259"/>
        <v>7.4639762022806142</v>
      </c>
      <c r="H931" s="16">
        <f t="shared" si="260"/>
        <v>9.5760237977193849</v>
      </c>
      <c r="I931" s="11">
        <f t="shared" si="261"/>
        <v>0.39552221475325594</v>
      </c>
      <c r="J931" s="33">
        <f t="shared" si="262"/>
        <v>4.9023576444379768E-2</v>
      </c>
      <c r="K931" s="33">
        <f t="shared" si="263"/>
        <v>20.398348560606564</v>
      </c>
      <c r="L931" s="33">
        <f t="shared" si="264"/>
        <v>0.34649863830887617</v>
      </c>
      <c r="M931" s="33">
        <f t="shared" si="265"/>
        <v>0.44454579119763571</v>
      </c>
      <c r="N931" s="8">
        <v>1</v>
      </c>
      <c r="O931" s="9">
        <v>0</v>
      </c>
      <c r="P931" s="8">
        <v>1</v>
      </c>
      <c r="Q931" s="9">
        <v>0</v>
      </c>
      <c r="R931" s="9">
        <v>0</v>
      </c>
      <c r="S931" s="9">
        <v>0</v>
      </c>
      <c r="T931" s="9">
        <v>0</v>
      </c>
      <c r="U931" s="8">
        <v>362</v>
      </c>
      <c r="V931" s="9">
        <v>10</v>
      </c>
      <c r="W931" s="9">
        <f t="shared" si="266"/>
        <v>351</v>
      </c>
      <c r="X931" s="9">
        <f t="shared" si="267"/>
        <v>12</v>
      </c>
      <c r="Y931" s="7">
        <v>11.35</v>
      </c>
      <c r="Z931" s="7">
        <v>16.489999999999998</v>
      </c>
      <c r="AA931" s="9">
        <v>1</v>
      </c>
      <c r="AB931" s="9">
        <v>0</v>
      </c>
      <c r="AC931" s="9">
        <v>1</v>
      </c>
      <c r="AD931" s="9">
        <v>0</v>
      </c>
      <c r="AE931" s="9">
        <v>0</v>
      </c>
      <c r="AF931" s="9">
        <v>0</v>
      </c>
      <c r="AG931" s="8">
        <v>0</v>
      </c>
      <c r="AH931" s="9">
        <v>0</v>
      </c>
      <c r="AI931" s="30">
        <v>1</v>
      </c>
      <c r="AJ931" s="9">
        <v>1</v>
      </c>
      <c r="AK931" s="30">
        <v>0</v>
      </c>
      <c r="AL931" s="21">
        <v>2007</v>
      </c>
      <c r="AM931" s="23">
        <f t="shared" si="268"/>
        <v>7.604396348796338</v>
      </c>
      <c r="AN931" s="33">
        <v>5.0000000000000001E-3</v>
      </c>
      <c r="AO931" s="33">
        <v>1.7000000000000001E-2</v>
      </c>
      <c r="AP931" s="33">
        <f t="shared" si="273"/>
        <v>0.64500000000000002</v>
      </c>
      <c r="AQ931" s="43">
        <v>0.33300000000000002</v>
      </c>
      <c r="AR931" s="42">
        <v>1</v>
      </c>
      <c r="AS931" s="18">
        <v>0</v>
      </c>
      <c r="AT931">
        <v>0</v>
      </c>
      <c r="AU931" s="40">
        <f t="shared" si="274"/>
        <v>1</v>
      </c>
      <c r="AV931" s="39">
        <f t="shared" si="275"/>
        <v>0.59799999999999998</v>
      </c>
      <c r="AW931" s="40">
        <v>0.40200000000000002</v>
      </c>
      <c r="AX931">
        <v>0</v>
      </c>
      <c r="AY931" s="18">
        <v>1</v>
      </c>
      <c r="AZ931">
        <v>0</v>
      </c>
      <c r="BA931" s="18">
        <v>1</v>
      </c>
      <c r="BB931" s="18" t="s">
        <v>5</v>
      </c>
      <c r="BC931">
        <v>0</v>
      </c>
      <c r="BD931">
        <v>1</v>
      </c>
      <c r="BE931">
        <v>0</v>
      </c>
      <c r="BF931">
        <v>0</v>
      </c>
      <c r="BG931">
        <v>0</v>
      </c>
      <c r="BH931" s="18">
        <v>0</v>
      </c>
      <c r="BI931">
        <v>0</v>
      </c>
      <c r="BJ931">
        <v>1</v>
      </c>
      <c r="BK931" s="18">
        <v>0</v>
      </c>
      <c r="BL931">
        <v>127.1666666666667</v>
      </c>
      <c r="BM931">
        <v>27</v>
      </c>
      <c r="BN931" s="94">
        <f t="shared" si="276"/>
        <v>33.839999999999996</v>
      </c>
      <c r="BO931">
        <v>1</v>
      </c>
      <c r="BP931">
        <v>0</v>
      </c>
      <c r="BQ931">
        <v>0</v>
      </c>
      <c r="BR931">
        <v>0</v>
      </c>
      <c r="BS931">
        <v>0</v>
      </c>
      <c r="BT931">
        <v>0</v>
      </c>
      <c r="BU931">
        <v>0</v>
      </c>
      <c r="BV931" s="18">
        <v>0</v>
      </c>
      <c r="BW931">
        <v>0</v>
      </c>
      <c r="BX931">
        <v>0</v>
      </c>
      <c r="BY931">
        <v>1</v>
      </c>
      <c r="BZ931" s="18">
        <v>0</v>
      </c>
      <c r="CA931">
        <v>0</v>
      </c>
      <c r="CB931">
        <v>0</v>
      </c>
      <c r="CC931">
        <v>0</v>
      </c>
      <c r="CD931">
        <v>0</v>
      </c>
      <c r="CE931">
        <v>0</v>
      </c>
      <c r="CF931" s="18">
        <v>0</v>
      </c>
      <c r="CG931">
        <v>0</v>
      </c>
      <c r="CH931">
        <v>0</v>
      </c>
      <c r="CI931">
        <v>1</v>
      </c>
      <c r="CJ931">
        <v>1</v>
      </c>
      <c r="CK931">
        <v>0</v>
      </c>
      <c r="CL931">
        <v>1</v>
      </c>
      <c r="CM931">
        <v>1</v>
      </c>
      <c r="CN931">
        <v>1</v>
      </c>
      <c r="CO931">
        <v>0</v>
      </c>
      <c r="CP931">
        <v>0</v>
      </c>
      <c r="CQ931" s="18">
        <v>1</v>
      </c>
      <c r="CR931">
        <v>0.14599999999999999</v>
      </c>
      <c r="CS931">
        <v>4</v>
      </c>
      <c r="CT931">
        <v>1</v>
      </c>
      <c r="CU931">
        <v>0</v>
      </c>
      <c r="CV931">
        <v>18</v>
      </c>
      <c r="DB931" s="34"/>
    </row>
    <row r="932" spans="1:106" x14ac:dyDescent="0.25">
      <c r="A932">
        <v>931</v>
      </c>
      <c r="B932">
        <v>64</v>
      </c>
      <c r="C932" s="25" t="s">
        <v>4106</v>
      </c>
      <c r="D932" s="12">
        <v>6.66</v>
      </c>
      <c r="E932" s="14">
        <f t="shared" si="270"/>
        <v>1.1388508891928866</v>
      </c>
      <c r="F932" s="7">
        <v>5.8479999999999999</v>
      </c>
      <c r="G932" s="7">
        <f t="shared" si="259"/>
        <v>5.521149110807114</v>
      </c>
      <c r="H932" s="16">
        <f t="shared" si="260"/>
        <v>7.7988508891928863</v>
      </c>
      <c r="I932" s="11">
        <f t="shared" si="261"/>
        <v>0.27872940443332772</v>
      </c>
      <c r="J932" s="33">
        <f t="shared" si="262"/>
        <v>4.7662346859324162E-2</v>
      </c>
      <c r="K932" s="33">
        <f t="shared" si="263"/>
        <v>20.980922382011713</v>
      </c>
      <c r="L932" s="33">
        <f t="shared" si="264"/>
        <v>0.23106705757400356</v>
      </c>
      <c r="M932" s="33">
        <f t="shared" si="265"/>
        <v>0.32639175129265185</v>
      </c>
      <c r="N932" s="8">
        <v>1</v>
      </c>
      <c r="O932" s="9">
        <v>0</v>
      </c>
      <c r="P932" s="8">
        <v>1</v>
      </c>
      <c r="Q932" s="9">
        <v>0</v>
      </c>
      <c r="R932" s="9">
        <v>0</v>
      </c>
      <c r="S932" s="9">
        <v>0</v>
      </c>
      <c r="T932" s="9">
        <v>0</v>
      </c>
      <c r="U932" s="8">
        <v>422</v>
      </c>
      <c r="V932" s="9">
        <v>15</v>
      </c>
      <c r="W932" s="9">
        <f t="shared" si="266"/>
        <v>406</v>
      </c>
      <c r="X932" s="9">
        <f t="shared" si="267"/>
        <v>12</v>
      </c>
      <c r="Y932" s="7">
        <v>11.35</v>
      </c>
      <c r="Z932" s="7">
        <v>16.489999999999998</v>
      </c>
      <c r="AA932" s="9">
        <v>1</v>
      </c>
      <c r="AB932" s="9">
        <v>0</v>
      </c>
      <c r="AC932" s="9">
        <v>1</v>
      </c>
      <c r="AD932" s="9">
        <v>0</v>
      </c>
      <c r="AE932" s="9">
        <v>0</v>
      </c>
      <c r="AF932" s="9">
        <v>0</v>
      </c>
      <c r="AG932" s="8">
        <v>0</v>
      </c>
      <c r="AH932" s="9">
        <v>0</v>
      </c>
      <c r="AI932" s="30">
        <v>1</v>
      </c>
      <c r="AJ932" s="9">
        <v>1</v>
      </c>
      <c r="AK932" s="30">
        <v>0</v>
      </c>
      <c r="AL932" s="21">
        <v>2007</v>
      </c>
      <c r="AM932" s="23">
        <f t="shared" si="268"/>
        <v>7.604396348796338</v>
      </c>
      <c r="AN932" s="33">
        <v>5.0000000000000001E-3</v>
      </c>
      <c r="AO932" s="33">
        <v>1.7000000000000001E-2</v>
      </c>
      <c r="AP932" s="33">
        <f t="shared" si="273"/>
        <v>0.64500000000000002</v>
      </c>
      <c r="AQ932" s="43">
        <v>0.33300000000000002</v>
      </c>
      <c r="AR932" s="42">
        <v>1</v>
      </c>
      <c r="AS932" s="18">
        <v>0</v>
      </c>
      <c r="AT932">
        <v>1</v>
      </c>
      <c r="AU932" s="40">
        <f t="shared" si="274"/>
        <v>0</v>
      </c>
      <c r="AV932" s="39">
        <f t="shared" si="275"/>
        <v>0.59799999999999998</v>
      </c>
      <c r="AW932" s="40">
        <v>0.40200000000000002</v>
      </c>
      <c r="AX932">
        <v>0</v>
      </c>
      <c r="AY932" s="18">
        <v>1</v>
      </c>
      <c r="AZ932">
        <v>0</v>
      </c>
      <c r="BA932" s="18">
        <v>1</v>
      </c>
      <c r="BB932" s="18" t="s">
        <v>5</v>
      </c>
      <c r="BC932">
        <v>0</v>
      </c>
      <c r="BD932">
        <v>1</v>
      </c>
      <c r="BE932">
        <v>0</v>
      </c>
      <c r="BF932">
        <v>0</v>
      </c>
      <c r="BG932">
        <v>0</v>
      </c>
      <c r="BH932" s="18">
        <v>0</v>
      </c>
      <c r="BI932">
        <v>0</v>
      </c>
      <c r="BJ932">
        <v>1</v>
      </c>
      <c r="BK932" s="18">
        <v>0</v>
      </c>
      <c r="BL932">
        <v>127.1666666666667</v>
      </c>
      <c r="BM932">
        <v>27</v>
      </c>
      <c r="BN932" s="94">
        <f t="shared" si="276"/>
        <v>33.839999999999996</v>
      </c>
      <c r="BO932">
        <v>1</v>
      </c>
      <c r="BP932">
        <v>0</v>
      </c>
      <c r="BQ932">
        <v>0</v>
      </c>
      <c r="BR932">
        <v>0</v>
      </c>
      <c r="BS932">
        <v>0</v>
      </c>
      <c r="BT932">
        <v>0</v>
      </c>
      <c r="BU932">
        <v>0</v>
      </c>
      <c r="BV932" s="18">
        <v>0</v>
      </c>
      <c r="BW932">
        <v>0</v>
      </c>
      <c r="BX932">
        <v>0</v>
      </c>
      <c r="BY932">
        <v>1</v>
      </c>
      <c r="BZ932" s="18">
        <v>0</v>
      </c>
      <c r="CA932">
        <v>0</v>
      </c>
      <c r="CB932">
        <v>0</v>
      </c>
      <c r="CC932">
        <v>0</v>
      </c>
      <c r="CD932">
        <v>0</v>
      </c>
      <c r="CE932">
        <v>0</v>
      </c>
      <c r="CF932" s="18">
        <v>0</v>
      </c>
      <c r="CG932">
        <v>0</v>
      </c>
      <c r="CH932">
        <v>0</v>
      </c>
      <c r="CI932">
        <v>1</v>
      </c>
      <c r="CJ932">
        <v>1</v>
      </c>
      <c r="CK932">
        <v>0</v>
      </c>
      <c r="CL932">
        <v>1</v>
      </c>
      <c r="CM932">
        <v>1</v>
      </c>
      <c r="CN932">
        <v>1</v>
      </c>
      <c r="CO932">
        <v>1</v>
      </c>
      <c r="CP932">
        <v>0</v>
      </c>
      <c r="CQ932" s="18">
        <v>1</v>
      </c>
      <c r="CR932">
        <v>0.14599999999999999</v>
      </c>
      <c r="CS932">
        <v>4</v>
      </c>
      <c r="CT932">
        <v>1</v>
      </c>
      <c r="CU932">
        <v>0</v>
      </c>
      <c r="CV932">
        <v>18</v>
      </c>
      <c r="DB932" s="34"/>
    </row>
    <row r="933" spans="1:106" x14ac:dyDescent="0.25">
      <c r="A933">
        <v>932</v>
      </c>
      <c r="B933">
        <v>64</v>
      </c>
      <c r="C933" s="25" t="s">
        <v>4106</v>
      </c>
      <c r="D933" s="12">
        <v>9.08</v>
      </c>
      <c r="E933" s="14">
        <f t="shared" si="270"/>
        <v>1.1167138113393187</v>
      </c>
      <c r="F933" s="7">
        <v>8.1310000000000002</v>
      </c>
      <c r="G933" s="7">
        <f t="shared" si="259"/>
        <v>7.9632861886606818</v>
      </c>
      <c r="H933" s="16">
        <f t="shared" si="260"/>
        <v>10.196713811339318</v>
      </c>
      <c r="I933" s="11">
        <f t="shared" si="261"/>
        <v>0.400530616419636</v>
      </c>
      <c r="J933" s="33">
        <f t="shared" si="262"/>
        <v>4.9259699473574711E-2</v>
      </c>
      <c r="K933" s="33">
        <f t="shared" si="263"/>
        <v>20.300570459964913</v>
      </c>
      <c r="L933" s="33">
        <f t="shared" si="264"/>
        <v>0.35127091694606127</v>
      </c>
      <c r="M933" s="33">
        <f t="shared" si="265"/>
        <v>0.44979031589321072</v>
      </c>
      <c r="N933" s="8">
        <v>1</v>
      </c>
      <c r="O933" s="9">
        <v>0</v>
      </c>
      <c r="P933" s="8">
        <v>1</v>
      </c>
      <c r="Q933" s="9">
        <v>0</v>
      </c>
      <c r="R933" s="9">
        <v>0</v>
      </c>
      <c r="S933" s="9">
        <v>0</v>
      </c>
      <c r="T933" s="9">
        <v>0</v>
      </c>
      <c r="U933" s="8">
        <v>362</v>
      </c>
      <c r="V933" s="9">
        <v>15</v>
      </c>
      <c r="W933" s="9">
        <f t="shared" si="266"/>
        <v>346</v>
      </c>
      <c r="X933" s="9">
        <f t="shared" si="267"/>
        <v>12</v>
      </c>
      <c r="Y933" s="7">
        <v>11.35</v>
      </c>
      <c r="Z933" s="7">
        <v>16.489999999999998</v>
      </c>
      <c r="AA933" s="9">
        <v>1</v>
      </c>
      <c r="AB933" s="9">
        <v>0</v>
      </c>
      <c r="AC933" s="9">
        <v>1</v>
      </c>
      <c r="AD933" s="9">
        <v>0</v>
      </c>
      <c r="AE933" s="9">
        <v>0</v>
      </c>
      <c r="AF933" s="9">
        <v>0</v>
      </c>
      <c r="AG933" s="8">
        <v>0</v>
      </c>
      <c r="AH933" s="9">
        <v>0</v>
      </c>
      <c r="AI933" s="30">
        <v>1</v>
      </c>
      <c r="AJ933" s="9">
        <v>1</v>
      </c>
      <c r="AK933" s="30">
        <v>0</v>
      </c>
      <c r="AL933" s="21">
        <v>2007</v>
      </c>
      <c r="AM933" s="23">
        <f t="shared" si="268"/>
        <v>7.604396348796338</v>
      </c>
      <c r="AN933" s="33">
        <v>5.0000000000000001E-3</v>
      </c>
      <c r="AO933" s="33">
        <v>1.7000000000000001E-2</v>
      </c>
      <c r="AP933" s="33">
        <f t="shared" si="273"/>
        <v>0.64500000000000002</v>
      </c>
      <c r="AQ933" s="43">
        <v>0.33300000000000002</v>
      </c>
      <c r="AR933" s="42">
        <v>1</v>
      </c>
      <c r="AS933" s="18">
        <v>0</v>
      </c>
      <c r="AT933">
        <v>0</v>
      </c>
      <c r="AU933" s="40">
        <f t="shared" si="274"/>
        <v>1</v>
      </c>
      <c r="AV933" s="39">
        <f t="shared" si="275"/>
        <v>0.59799999999999998</v>
      </c>
      <c r="AW933" s="40">
        <v>0.40200000000000002</v>
      </c>
      <c r="AX933">
        <v>0</v>
      </c>
      <c r="AY933" s="18">
        <v>1</v>
      </c>
      <c r="AZ933">
        <v>0</v>
      </c>
      <c r="BA933" s="18">
        <v>1</v>
      </c>
      <c r="BB933" s="18" t="s">
        <v>5</v>
      </c>
      <c r="BC933">
        <v>0</v>
      </c>
      <c r="BD933">
        <v>1</v>
      </c>
      <c r="BE933">
        <v>0</v>
      </c>
      <c r="BF933">
        <v>0</v>
      </c>
      <c r="BG933">
        <v>0</v>
      </c>
      <c r="BH933" s="18">
        <v>0</v>
      </c>
      <c r="BI933">
        <v>0</v>
      </c>
      <c r="BJ933">
        <v>1</v>
      </c>
      <c r="BK933" s="18">
        <v>0</v>
      </c>
      <c r="BL933">
        <v>127.1666666666667</v>
      </c>
      <c r="BM933">
        <v>27</v>
      </c>
      <c r="BN933" s="94">
        <f t="shared" si="276"/>
        <v>33.839999999999996</v>
      </c>
      <c r="BO933">
        <v>1</v>
      </c>
      <c r="BP933">
        <v>0</v>
      </c>
      <c r="BQ933">
        <v>0</v>
      </c>
      <c r="BR933">
        <v>0</v>
      </c>
      <c r="BS933">
        <v>0</v>
      </c>
      <c r="BT933">
        <v>0</v>
      </c>
      <c r="BU933">
        <v>0</v>
      </c>
      <c r="BV933" s="18">
        <v>0</v>
      </c>
      <c r="BW933">
        <v>0</v>
      </c>
      <c r="BX933">
        <v>0</v>
      </c>
      <c r="BY933">
        <v>1</v>
      </c>
      <c r="BZ933" s="18">
        <v>0</v>
      </c>
      <c r="CA933">
        <v>0</v>
      </c>
      <c r="CB933">
        <v>0</v>
      </c>
      <c r="CC933">
        <v>0</v>
      </c>
      <c r="CD933">
        <v>0</v>
      </c>
      <c r="CE933">
        <v>0</v>
      </c>
      <c r="CF933" s="18">
        <v>0</v>
      </c>
      <c r="CG933">
        <v>0</v>
      </c>
      <c r="CH933">
        <v>0</v>
      </c>
      <c r="CI933">
        <v>1</v>
      </c>
      <c r="CJ933">
        <v>1</v>
      </c>
      <c r="CK933">
        <v>0</v>
      </c>
      <c r="CL933">
        <v>1</v>
      </c>
      <c r="CM933">
        <v>1</v>
      </c>
      <c r="CN933">
        <v>1</v>
      </c>
      <c r="CO933">
        <v>1</v>
      </c>
      <c r="CP933">
        <v>0</v>
      </c>
      <c r="CQ933" s="18">
        <v>1</v>
      </c>
      <c r="CR933">
        <v>0.14599999999999999</v>
      </c>
      <c r="CS933">
        <v>4</v>
      </c>
      <c r="CT933">
        <v>1</v>
      </c>
      <c r="CU933">
        <v>0</v>
      </c>
      <c r="CV933">
        <v>18</v>
      </c>
      <c r="DB933" s="34"/>
    </row>
    <row r="934" spans="1:106" x14ac:dyDescent="0.25">
      <c r="A934">
        <v>933</v>
      </c>
      <c r="B934">
        <v>64</v>
      </c>
      <c r="C934" s="25" t="s">
        <v>4106</v>
      </c>
      <c r="D934" s="12">
        <v>6.67</v>
      </c>
      <c r="E934" s="14">
        <f t="shared" si="270"/>
        <v>1.1575841721624436</v>
      </c>
      <c r="F934" s="7">
        <v>5.7619999999999996</v>
      </c>
      <c r="G934" s="7">
        <f t="shared" si="259"/>
        <v>5.5124158278375566</v>
      </c>
      <c r="H934" s="16">
        <f t="shared" si="260"/>
        <v>7.8275841721624433</v>
      </c>
      <c r="I934" s="11">
        <f t="shared" si="261"/>
        <v>0.27588627965331808</v>
      </c>
      <c r="J934" s="33">
        <f t="shared" si="262"/>
        <v>4.7880298447295751E-2</v>
      </c>
      <c r="K934" s="33">
        <f t="shared" si="263"/>
        <v>20.885417017622608</v>
      </c>
      <c r="L934" s="33">
        <f t="shared" si="264"/>
        <v>0.22800598120602233</v>
      </c>
      <c r="M934" s="33">
        <f t="shared" si="265"/>
        <v>0.32376657810061382</v>
      </c>
      <c r="N934" s="8">
        <v>1</v>
      </c>
      <c r="O934" s="9">
        <v>0</v>
      </c>
      <c r="P934" s="8">
        <v>1</v>
      </c>
      <c r="Q934" s="9">
        <v>0</v>
      </c>
      <c r="R934" s="9">
        <v>0</v>
      </c>
      <c r="S934" s="9">
        <v>0</v>
      </c>
      <c r="T934" s="9">
        <v>0</v>
      </c>
      <c r="U934" s="8">
        <v>422</v>
      </c>
      <c r="V934" s="9">
        <v>18</v>
      </c>
      <c r="W934" s="9">
        <f t="shared" si="266"/>
        <v>403</v>
      </c>
      <c r="X934" s="9">
        <f t="shared" si="267"/>
        <v>12</v>
      </c>
      <c r="Y934" s="7">
        <v>11.35</v>
      </c>
      <c r="Z934" s="7">
        <v>16.489999999999998</v>
      </c>
      <c r="AA934" s="9">
        <v>1</v>
      </c>
      <c r="AB934" s="9">
        <v>0</v>
      </c>
      <c r="AC934" s="9">
        <v>1</v>
      </c>
      <c r="AD934" s="9">
        <v>0</v>
      </c>
      <c r="AE934" s="9">
        <v>0</v>
      </c>
      <c r="AF934" s="9">
        <v>0</v>
      </c>
      <c r="AG934" s="8">
        <v>0</v>
      </c>
      <c r="AH934" s="9">
        <v>0</v>
      </c>
      <c r="AI934" s="30">
        <v>1</v>
      </c>
      <c r="AJ934" s="9">
        <v>1</v>
      </c>
      <c r="AK934" s="30">
        <v>0</v>
      </c>
      <c r="AL934" s="21">
        <v>2007</v>
      </c>
      <c r="AM934" s="23">
        <f t="shared" si="268"/>
        <v>7.604396348796338</v>
      </c>
      <c r="AN934" s="33">
        <v>5.0000000000000001E-3</v>
      </c>
      <c r="AO934" s="33">
        <v>1.7000000000000001E-2</v>
      </c>
      <c r="AP934" s="33">
        <f t="shared" si="273"/>
        <v>0.64500000000000002</v>
      </c>
      <c r="AQ934" s="43">
        <v>0.33300000000000002</v>
      </c>
      <c r="AR934" s="42">
        <v>1</v>
      </c>
      <c r="AS934" s="18">
        <v>0</v>
      </c>
      <c r="AT934">
        <v>1</v>
      </c>
      <c r="AU934" s="40">
        <f t="shared" si="274"/>
        <v>0</v>
      </c>
      <c r="AV934" s="39">
        <f t="shared" si="275"/>
        <v>0.59799999999999998</v>
      </c>
      <c r="AW934" s="40">
        <v>0.40200000000000002</v>
      </c>
      <c r="AX934">
        <v>0</v>
      </c>
      <c r="AY934" s="18">
        <v>1</v>
      </c>
      <c r="AZ934">
        <v>0</v>
      </c>
      <c r="BA934" s="18">
        <v>1</v>
      </c>
      <c r="BB934" s="18" t="s">
        <v>5</v>
      </c>
      <c r="BC934">
        <v>0</v>
      </c>
      <c r="BD934">
        <v>1</v>
      </c>
      <c r="BE934">
        <v>0</v>
      </c>
      <c r="BF934">
        <v>0</v>
      </c>
      <c r="BG934">
        <v>0</v>
      </c>
      <c r="BH934" s="18">
        <v>0</v>
      </c>
      <c r="BI934">
        <v>0</v>
      </c>
      <c r="BJ934">
        <v>1</v>
      </c>
      <c r="BK934" s="18">
        <v>0</v>
      </c>
      <c r="BL934">
        <v>127.1666666666667</v>
      </c>
      <c r="BM934">
        <v>27</v>
      </c>
      <c r="BN934" s="94">
        <f t="shared" si="276"/>
        <v>33.839999999999996</v>
      </c>
      <c r="BO934">
        <v>1</v>
      </c>
      <c r="BP934">
        <v>0</v>
      </c>
      <c r="BQ934">
        <v>0</v>
      </c>
      <c r="BR934">
        <v>0</v>
      </c>
      <c r="BS934">
        <v>0</v>
      </c>
      <c r="BT934">
        <v>0</v>
      </c>
      <c r="BU934">
        <v>0</v>
      </c>
      <c r="BV934" s="18">
        <v>0</v>
      </c>
      <c r="BW934">
        <v>0</v>
      </c>
      <c r="BX934">
        <v>0</v>
      </c>
      <c r="BY934">
        <v>1</v>
      </c>
      <c r="BZ934" s="18">
        <v>0</v>
      </c>
      <c r="CA934">
        <v>0</v>
      </c>
      <c r="CB934">
        <v>0</v>
      </c>
      <c r="CC934">
        <v>0</v>
      </c>
      <c r="CD934">
        <v>0</v>
      </c>
      <c r="CE934">
        <v>0</v>
      </c>
      <c r="CF934" s="18">
        <v>0</v>
      </c>
      <c r="CG934">
        <v>0</v>
      </c>
      <c r="CH934">
        <v>0</v>
      </c>
      <c r="CI934">
        <v>1</v>
      </c>
      <c r="CJ934">
        <v>1</v>
      </c>
      <c r="CK934">
        <v>0</v>
      </c>
      <c r="CL934">
        <v>1</v>
      </c>
      <c r="CM934">
        <v>1</v>
      </c>
      <c r="CN934">
        <v>1</v>
      </c>
      <c r="CO934">
        <v>1</v>
      </c>
      <c r="CP934">
        <v>0</v>
      </c>
      <c r="CQ934" s="18">
        <v>1</v>
      </c>
      <c r="CR934">
        <v>0.14599999999999999</v>
      </c>
      <c r="CS934">
        <v>4</v>
      </c>
      <c r="CT934">
        <v>1</v>
      </c>
      <c r="CU934">
        <v>0</v>
      </c>
      <c r="CV934">
        <v>18</v>
      </c>
      <c r="DB934" s="34"/>
    </row>
    <row r="935" spans="1:106" x14ac:dyDescent="0.25">
      <c r="A935">
        <v>934</v>
      </c>
      <c r="B935">
        <v>64</v>
      </c>
      <c r="C935" s="25" t="s">
        <v>4106</v>
      </c>
      <c r="D935" s="12">
        <v>9.07</v>
      </c>
      <c r="E935" s="14">
        <f t="shared" si="270"/>
        <v>1.1211372064276885</v>
      </c>
      <c r="F935" s="7">
        <v>8.09</v>
      </c>
      <c r="G935" s="7">
        <f t="shared" si="259"/>
        <v>7.948862793572312</v>
      </c>
      <c r="H935" s="16">
        <f t="shared" si="260"/>
        <v>10.191137206427689</v>
      </c>
      <c r="I935" s="11">
        <f t="shared" si="261"/>
        <v>0.40029492263963368</v>
      </c>
      <c r="J935" s="33">
        <f t="shared" si="262"/>
        <v>4.9480212934441742E-2</v>
      </c>
      <c r="K935" s="33">
        <f t="shared" si="263"/>
        <v>20.210098960668155</v>
      </c>
      <c r="L935" s="33">
        <f t="shared" si="264"/>
        <v>0.35081470970519191</v>
      </c>
      <c r="M935" s="33">
        <f t="shared" si="265"/>
        <v>0.44977513557407545</v>
      </c>
      <c r="N935" s="8">
        <v>1</v>
      </c>
      <c r="O935" s="9">
        <v>0</v>
      </c>
      <c r="P935" s="8">
        <v>1</v>
      </c>
      <c r="Q935" s="9">
        <v>0</v>
      </c>
      <c r="R935" s="9">
        <v>0</v>
      </c>
      <c r="S935" s="9">
        <v>0</v>
      </c>
      <c r="T935" s="9">
        <v>0</v>
      </c>
      <c r="U935" s="8">
        <v>362</v>
      </c>
      <c r="V935" s="9">
        <v>18</v>
      </c>
      <c r="W935" s="9">
        <f t="shared" si="266"/>
        <v>343</v>
      </c>
      <c r="X935" s="9">
        <f t="shared" si="267"/>
        <v>12</v>
      </c>
      <c r="Y935" s="7">
        <v>11.35</v>
      </c>
      <c r="Z935" s="7">
        <v>16.489999999999998</v>
      </c>
      <c r="AA935" s="9">
        <v>1</v>
      </c>
      <c r="AB935" s="9">
        <v>0</v>
      </c>
      <c r="AC935" s="9">
        <v>1</v>
      </c>
      <c r="AD935" s="9">
        <v>0</v>
      </c>
      <c r="AE935" s="9">
        <v>0</v>
      </c>
      <c r="AF935" s="9">
        <v>0</v>
      </c>
      <c r="AG935" s="8">
        <v>0</v>
      </c>
      <c r="AH935" s="9">
        <v>0</v>
      </c>
      <c r="AI935" s="30">
        <v>1</v>
      </c>
      <c r="AJ935" s="9">
        <v>1</v>
      </c>
      <c r="AK935" s="30">
        <v>0</v>
      </c>
      <c r="AL935" s="21">
        <v>2007</v>
      </c>
      <c r="AM935" s="23">
        <f t="shared" si="268"/>
        <v>7.604396348796338</v>
      </c>
      <c r="AN935" s="33">
        <v>5.0000000000000001E-3</v>
      </c>
      <c r="AO935" s="33">
        <v>1.7000000000000001E-2</v>
      </c>
      <c r="AP935" s="33">
        <f t="shared" si="273"/>
        <v>0.64500000000000002</v>
      </c>
      <c r="AQ935" s="43">
        <v>0.33300000000000002</v>
      </c>
      <c r="AR935" s="42">
        <v>1</v>
      </c>
      <c r="AS935" s="18">
        <v>0</v>
      </c>
      <c r="AT935">
        <v>0</v>
      </c>
      <c r="AU935" s="40">
        <f t="shared" si="274"/>
        <v>1</v>
      </c>
      <c r="AV935" s="39">
        <f t="shared" si="275"/>
        <v>0.59799999999999998</v>
      </c>
      <c r="AW935" s="40">
        <v>0.40200000000000002</v>
      </c>
      <c r="AX935">
        <v>0</v>
      </c>
      <c r="AY935" s="18">
        <v>1</v>
      </c>
      <c r="AZ935">
        <v>0</v>
      </c>
      <c r="BA935" s="18">
        <v>1</v>
      </c>
      <c r="BB935" s="18" t="s">
        <v>5</v>
      </c>
      <c r="BC935">
        <v>0</v>
      </c>
      <c r="BD935">
        <v>1</v>
      </c>
      <c r="BE935">
        <v>0</v>
      </c>
      <c r="BF935">
        <v>0</v>
      </c>
      <c r="BG935">
        <v>0</v>
      </c>
      <c r="BH935" s="18">
        <v>0</v>
      </c>
      <c r="BI935">
        <v>0</v>
      </c>
      <c r="BJ935">
        <v>1</v>
      </c>
      <c r="BK935" s="18">
        <v>0</v>
      </c>
      <c r="BL935">
        <v>127.1666666666667</v>
      </c>
      <c r="BM935">
        <v>27</v>
      </c>
      <c r="BN935" s="94">
        <f t="shared" si="276"/>
        <v>33.839999999999996</v>
      </c>
      <c r="BO935">
        <v>1</v>
      </c>
      <c r="BP935">
        <v>0</v>
      </c>
      <c r="BQ935">
        <v>0</v>
      </c>
      <c r="BR935">
        <v>0</v>
      </c>
      <c r="BS935">
        <v>0</v>
      </c>
      <c r="BT935">
        <v>0</v>
      </c>
      <c r="BU935">
        <v>0</v>
      </c>
      <c r="BV935" s="18">
        <v>0</v>
      </c>
      <c r="BW935">
        <v>0</v>
      </c>
      <c r="BX935">
        <v>0</v>
      </c>
      <c r="BY935">
        <v>1</v>
      </c>
      <c r="BZ935" s="18">
        <v>0</v>
      </c>
      <c r="CA935">
        <v>0</v>
      </c>
      <c r="CB935">
        <v>0</v>
      </c>
      <c r="CC935">
        <v>0</v>
      </c>
      <c r="CD935">
        <v>0</v>
      </c>
      <c r="CE935">
        <v>0</v>
      </c>
      <c r="CF935" s="18">
        <v>0</v>
      </c>
      <c r="CG935">
        <v>0</v>
      </c>
      <c r="CH935">
        <v>0</v>
      </c>
      <c r="CI935">
        <v>1</v>
      </c>
      <c r="CJ935">
        <v>1</v>
      </c>
      <c r="CK935">
        <v>0</v>
      </c>
      <c r="CL935">
        <v>1</v>
      </c>
      <c r="CM935">
        <v>1</v>
      </c>
      <c r="CN935">
        <v>1</v>
      </c>
      <c r="CO935">
        <v>1</v>
      </c>
      <c r="CP935">
        <v>0</v>
      </c>
      <c r="CQ935" s="18">
        <v>1</v>
      </c>
      <c r="CR935">
        <v>0.14599999999999999</v>
      </c>
      <c r="CS935">
        <v>4</v>
      </c>
      <c r="CT935">
        <v>1</v>
      </c>
      <c r="CU935">
        <v>0</v>
      </c>
      <c r="CV935">
        <v>18</v>
      </c>
      <c r="DB935" s="34"/>
    </row>
    <row r="936" spans="1:106" x14ac:dyDescent="0.25">
      <c r="A936">
        <v>935</v>
      </c>
      <c r="B936">
        <v>64</v>
      </c>
      <c r="C936" s="25" t="s">
        <v>4106</v>
      </c>
      <c r="D936" s="12">
        <v>6.61</v>
      </c>
      <c r="E936" s="14">
        <f t="shared" si="270"/>
        <v>1.1598526057203018</v>
      </c>
      <c r="F936" s="7">
        <v>5.6989999999999998</v>
      </c>
      <c r="G936" s="7">
        <f t="shared" si="259"/>
        <v>5.4501473942796981</v>
      </c>
      <c r="H936" s="16">
        <f t="shared" si="260"/>
        <v>7.7698526057203026</v>
      </c>
      <c r="I936" s="11">
        <f t="shared" si="261"/>
        <v>0.27435888297770461</v>
      </c>
      <c r="J936" s="33">
        <f t="shared" si="262"/>
        <v>4.8141583256308941E-2</v>
      </c>
      <c r="K936" s="33">
        <f t="shared" si="263"/>
        <v>20.77206299335721</v>
      </c>
      <c r="L936" s="33">
        <f t="shared" si="264"/>
        <v>0.22621729972139568</v>
      </c>
      <c r="M936" s="33">
        <f t="shared" si="265"/>
        <v>0.32250046623401357</v>
      </c>
      <c r="N936" s="8">
        <v>1</v>
      </c>
      <c r="O936" s="9">
        <v>0</v>
      </c>
      <c r="P936" s="8">
        <v>1</v>
      </c>
      <c r="Q936" s="9">
        <v>0</v>
      </c>
      <c r="R936" s="9">
        <v>0</v>
      </c>
      <c r="S936" s="9">
        <v>0</v>
      </c>
      <c r="T936" s="9">
        <v>0</v>
      </c>
      <c r="U936" s="8">
        <v>422</v>
      </c>
      <c r="V936" s="9">
        <v>22</v>
      </c>
      <c r="W936" s="9">
        <f t="shared" si="266"/>
        <v>399</v>
      </c>
      <c r="X936" s="9">
        <f t="shared" si="267"/>
        <v>12</v>
      </c>
      <c r="Y936" s="7">
        <v>11.35</v>
      </c>
      <c r="Z936" s="7">
        <v>16.489999999999998</v>
      </c>
      <c r="AA936" s="9">
        <v>1</v>
      </c>
      <c r="AB936" s="9">
        <v>0</v>
      </c>
      <c r="AC936" s="9">
        <v>1</v>
      </c>
      <c r="AD936" s="9">
        <v>0</v>
      </c>
      <c r="AE936" s="9">
        <v>0</v>
      </c>
      <c r="AF936" s="9">
        <v>0</v>
      </c>
      <c r="AG936" s="8">
        <v>0</v>
      </c>
      <c r="AH936" s="9">
        <v>0</v>
      </c>
      <c r="AI936" s="30">
        <v>1</v>
      </c>
      <c r="AJ936" s="9">
        <v>1</v>
      </c>
      <c r="AK936" s="30">
        <v>0</v>
      </c>
      <c r="AL936" s="21">
        <v>2007</v>
      </c>
      <c r="AM936" s="23">
        <f t="shared" si="268"/>
        <v>7.604396348796338</v>
      </c>
      <c r="AN936" s="33">
        <v>5.0000000000000001E-3</v>
      </c>
      <c r="AO936" s="33">
        <v>1.7000000000000001E-2</v>
      </c>
      <c r="AP936" s="33">
        <f t="shared" si="273"/>
        <v>0.64500000000000002</v>
      </c>
      <c r="AQ936" s="43">
        <v>0.33300000000000002</v>
      </c>
      <c r="AR936" s="42">
        <v>1</v>
      </c>
      <c r="AS936" s="18">
        <v>0</v>
      </c>
      <c r="AT936">
        <v>1</v>
      </c>
      <c r="AU936" s="40">
        <f t="shared" si="274"/>
        <v>0</v>
      </c>
      <c r="AV936" s="39">
        <f t="shared" si="275"/>
        <v>0.59799999999999998</v>
      </c>
      <c r="AW936" s="40">
        <v>0.40200000000000002</v>
      </c>
      <c r="AX936">
        <v>0</v>
      </c>
      <c r="AY936" s="18">
        <v>1</v>
      </c>
      <c r="AZ936">
        <v>0</v>
      </c>
      <c r="BA936" s="18">
        <v>1</v>
      </c>
      <c r="BB936" s="18" t="s">
        <v>5</v>
      </c>
      <c r="BC936">
        <v>0</v>
      </c>
      <c r="BD936">
        <v>1</v>
      </c>
      <c r="BE936">
        <v>0</v>
      </c>
      <c r="BF936">
        <v>0</v>
      </c>
      <c r="BG936">
        <v>0</v>
      </c>
      <c r="BH936" s="18">
        <v>0</v>
      </c>
      <c r="BI936">
        <v>0</v>
      </c>
      <c r="BJ936">
        <v>1</v>
      </c>
      <c r="BK936" s="18">
        <v>0</v>
      </c>
      <c r="BL936">
        <v>127.1666666666667</v>
      </c>
      <c r="BM936">
        <v>27</v>
      </c>
      <c r="BN936" s="94">
        <f t="shared" si="276"/>
        <v>33.839999999999996</v>
      </c>
      <c r="BO936">
        <v>1</v>
      </c>
      <c r="BP936">
        <v>0</v>
      </c>
      <c r="BQ936">
        <v>0</v>
      </c>
      <c r="BR936">
        <v>0</v>
      </c>
      <c r="BS936">
        <v>0</v>
      </c>
      <c r="BT936">
        <v>0</v>
      </c>
      <c r="BU936">
        <v>0</v>
      </c>
      <c r="BV936" s="18">
        <v>0</v>
      </c>
      <c r="BW936">
        <v>0</v>
      </c>
      <c r="BX936">
        <v>0</v>
      </c>
      <c r="BY936">
        <v>1</v>
      </c>
      <c r="BZ936" s="18">
        <v>0</v>
      </c>
      <c r="CA936">
        <v>0</v>
      </c>
      <c r="CB936">
        <v>0</v>
      </c>
      <c r="CC936">
        <v>0</v>
      </c>
      <c r="CD936">
        <v>0</v>
      </c>
      <c r="CE936">
        <v>0</v>
      </c>
      <c r="CF936" s="18">
        <v>0</v>
      </c>
      <c r="CG936">
        <v>0</v>
      </c>
      <c r="CH936">
        <v>0</v>
      </c>
      <c r="CI936">
        <v>1</v>
      </c>
      <c r="CJ936">
        <v>1</v>
      </c>
      <c r="CK936">
        <v>0</v>
      </c>
      <c r="CL936">
        <v>1</v>
      </c>
      <c r="CM936">
        <v>1</v>
      </c>
      <c r="CN936">
        <v>1</v>
      </c>
      <c r="CO936">
        <v>1</v>
      </c>
      <c r="CP936">
        <v>0</v>
      </c>
      <c r="CQ936" s="18">
        <v>1</v>
      </c>
      <c r="CR936">
        <v>0.14599999999999999</v>
      </c>
      <c r="CS936">
        <v>4</v>
      </c>
      <c r="CT936">
        <v>1</v>
      </c>
      <c r="CU936">
        <v>0</v>
      </c>
      <c r="CV936">
        <v>18</v>
      </c>
      <c r="DB936" s="34"/>
    </row>
    <row r="937" spans="1:106" x14ac:dyDescent="0.25">
      <c r="A937">
        <v>936</v>
      </c>
      <c r="B937">
        <v>64</v>
      </c>
      <c r="C937" s="25" t="s">
        <v>4106</v>
      </c>
      <c r="D937" s="12">
        <v>8.76</v>
      </c>
      <c r="E937" s="14">
        <f t="shared" si="270"/>
        <v>1.1546065638592329</v>
      </c>
      <c r="F937" s="7">
        <v>7.5869999999999997</v>
      </c>
      <c r="G937" s="7">
        <f t="shared" si="259"/>
        <v>7.6053934361407673</v>
      </c>
      <c r="H937" s="16">
        <f t="shared" si="260"/>
        <v>9.9146065638592322</v>
      </c>
      <c r="I937" s="11">
        <f t="shared" si="261"/>
        <v>0.38099056817957472</v>
      </c>
      <c r="J937" s="33">
        <f t="shared" si="262"/>
        <v>5.0216234108287169E-2</v>
      </c>
      <c r="K937" s="33">
        <f t="shared" si="263"/>
        <v>19.91387880348778</v>
      </c>
      <c r="L937" s="33">
        <f t="shared" si="264"/>
        <v>0.33077433407128753</v>
      </c>
      <c r="M937" s="33">
        <f t="shared" si="265"/>
        <v>0.4312068022878619</v>
      </c>
      <c r="N937" s="8">
        <v>1</v>
      </c>
      <c r="O937" s="9">
        <v>0</v>
      </c>
      <c r="P937" s="8">
        <v>1</v>
      </c>
      <c r="Q937" s="9">
        <v>0</v>
      </c>
      <c r="R937" s="9">
        <v>0</v>
      </c>
      <c r="S937" s="9">
        <v>0</v>
      </c>
      <c r="T937" s="9">
        <v>0</v>
      </c>
      <c r="U937" s="8">
        <v>362</v>
      </c>
      <c r="V937" s="9">
        <v>22</v>
      </c>
      <c r="W937" s="9">
        <f t="shared" si="266"/>
        <v>339</v>
      </c>
      <c r="X937" s="9">
        <f t="shared" si="267"/>
        <v>12</v>
      </c>
      <c r="Y937" s="7">
        <v>11.35</v>
      </c>
      <c r="Z937" s="7">
        <v>16.489999999999998</v>
      </c>
      <c r="AA937" s="9">
        <v>1</v>
      </c>
      <c r="AB937" s="9">
        <v>0</v>
      </c>
      <c r="AC937" s="9">
        <v>1</v>
      </c>
      <c r="AD937" s="9">
        <v>0</v>
      </c>
      <c r="AE937" s="9">
        <v>0</v>
      </c>
      <c r="AF937" s="9">
        <v>0</v>
      </c>
      <c r="AG937" s="8">
        <v>0</v>
      </c>
      <c r="AH937" s="9">
        <v>0</v>
      </c>
      <c r="AI937" s="30">
        <v>1</v>
      </c>
      <c r="AJ937" s="9">
        <v>1</v>
      </c>
      <c r="AK937" s="30">
        <v>0</v>
      </c>
      <c r="AL937" s="21">
        <v>2007</v>
      </c>
      <c r="AM937" s="23">
        <f t="shared" si="268"/>
        <v>7.604396348796338</v>
      </c>
      <c r="AN937" s="33">
        <v>5.0000000000000001E-3</v>
      </c>
      <c r="AO937" s="33">
        <v>1.7000000000000001E-2</v>
      </c>
      <c r="AP937" s="33">
        <f t="shared" si="273"/>
        <v>0.64500000000000002</v>
      </c>
      <c r="AQ937" s="43">
        <v>0.33300000000000002</v>
      </c>
      <c r="AR937" s="42">
        <v>1</v>
      </c>
      <c r="AS937" s="18">
        <v>0</v>
      </c>
      <c r="AT937">
        <v>0</v>
      </c>
      <c r="AU937" s="40">
        <f t="shared" si="274"/>
        <v>1</v>
      </c>
      <c r="AV937" s="39">
        <f t="shared" si="275"/>
        <v>0.59799999999999998</v>
      </c>
      <c r="AW937" s="40">
        <v>0.40200000000000002</v>
      </c>
      <c r="AX937">
        <v>0</v>
      </c>
      <c r="AY937" s="18">
        <v>1</v>
      </c>
      <c r="AZ937">
        <v>0</v>
      </c>
      <c r="BA937" s="18">
        <v>1</v>
      </c>
      <c r="BB937" s="18" t="s">
        <v>5</v>
      </c>
      <c r="BC937">
        <v>0</v>
      </c>
      <c r="BD937">
        <v>1</v>
      </c>
      <c r="BE937">
        <v>0</v>
      </c>
      <c r="BF937">
        <v>0</v>
      </c>
      <c r="BG937">
        <v>0</v>
      </c>
      <c r="BH937" s="18">
        <v>0</v>
      </c>
      <c r="BI937">
        <v>0</v>
      </c>
      <c r="BJ937">
        <v>1</v>
      </c>
      <c r="BK937" s="18">
        <v>0</v>
      </c>
      <c r="BL937">
        <v>127.1666666666667</v>
      </c>
      <c r="BM937">
        <v>27</v>
      </c>
      <c r="BN937" s="94">
        <f t="shared" si="276"/>
        <v>33.839999999999996</v>
      </c>
      <c r="BO937">
        <v>1</v>
      </c>
      <c r="BP937">
        <v>0</v>
      </c>
      <c r="BQ937">
        <v>0</v>
      </c>
      <c r="BR937">
        <v>0</v>
      </c>
      <c r="BS937">
        <v>0</v>
      </c>
      <c r="BT937">
        <v>0</v>
      </c>
      <c r="BU937">
        <v>0</v>
      </c>
      <c r="BV937" s="18">
        <v>0</v>
      </c>
      <c r="BW937">
        <v>0</v>
      </c>
      <c r="BX937">
        <v>0</v>
      </c>
      <c r="BY937">
        <v>1</v>
      </c>
      <c r="BZ937" s="18">
        <v>0</v>
      </c>
      <c r="CA937">
        <v>0</v>
      </c>
      <c r="CB937">
        <v>0</v>
      </c>
      <c r="CC937">
        <v>0</v>
      </c>
      <c r="CD937">
        <v>0</v>
      </c>
      <c r="CE937">
        <v>0</v>
      </c>
      <c r="CF937" s="18">
        <v>0</v>
      </c>
      <c r="CG937">
        <v>0</v>
      </c>
      <c r="CH937">
        <v>0</v>
      </c>
      <c r="CI937">
        <v>1</v>
      </c>
      <c r="CJ937">
        <v>1</v>
      </c>
      <c r="CK937">
        <v>0</v>
      </c>
      <c r="CL937">
        <v>1</v>
      </c>
      <c r="CM937">
        <v>1</v>
      </c>
      <c r="CN937">
        <v>1</v>
      </c>
      <c r="CO937">
        <v>1</v>
      </c>
      <c r="CP937">
        <v>0</v>
      </c>
      <c r="CQ937" s="18">
        <v>1</v>
      </c>
      <c r="CR937">
        <v>0.14599999999999999</v>
      </c>
      <c r="CS937">
        <v>4</v>
      </c>
      <c r="CT937">
        <v>1</v>
      </c>
      <c r="CU937">
        <v>0</v>
      </c>
      <c r="CV937">
        <v>18</v>
      </c>
      <c r="DB937" s="34"/>
    </row>
    <row r="938" spans="1:106" x14ac:dyDescent="0.25">
      <c r="A938">
        <v>937</v>
      </c>
      <c r="B938">
        <v>65</v>
      </c>
      <c r="C938" s="25" t="s">
        <v>4115</v>
      </c>
      <c r="D938" s="12">
        <v>9.44</v>
      </c>
      <c r="E938" s="14">
        <v>0.98</v>
      </c>
      <c r="F938" s="7">
        <f t="shared" ref="F938:F1001" si="277">D938/E938</f>
        <v>9.6326530612244898</v>
      </c>
      <c r="G938" s="7">
        <f t="shared" si="259"/>
        <v>8.4599999999999991</v>
      </c>
      <c r="H938" s="16">
        <f t="shared" si="260"/>
        <v>10.42</v>
      </c>
      <c r="I938" s="11">
        <f t="shared" si="261"/>
        <v>0.14911892285947093</v>
      </c>
      <c r="J938" s="33">
        <f t="shared" si="262"/>
        <v>1.5480566144309482E-2</v>
      </c>
      <c r="K938" s="33">
        <f t="shared" si="263"/>
        <v>64.597120717551476</v>
      </c>
      <c r="L938" s="33">
        <f t="shared" si="264"/>
        <v>0.13363835671516144</v>
      </c>
      <c r="M938" s="33">
        <f t="shared" si="265"/>
        <v>0.16459948900378041</v>
      </c>
      <c r="N938" s="8">
        <v>0</v>
      </c>
      <c r="O938" s="9">
        <v>1</v>
      </c>
      <c r="P938" s="8">
        <v>0</v>
      </c>
      <c r="Q938" s="9">
        <v>0</v>
      </c>
      <c r="R938" s="9">
        <v>0</v>
      </c>
      <c r="S938" s="9">
        <v>1</v>
      </c>
      <c r="T938" s="9">
        <v>0</v>
      </c>
      <c r="U938" s="8">
        <v>4083</v>
      </c>
      <c r="V938" s="9">
        <v>2</v>
      </c>
      <c r="W938" s="9">
        <f t="shared" si="266"/>
        <v>4080</v>
      </c>
      <c r="X938" s="9">
        <f t="shared" si="267"/>
        <v>24</v>
      </c>
      <c r="Y938" s="7">
        <v>13.131</v>
      </c>
      <c r="Z938" s="7">
        <f t="shared" ref="Z938:Z996" si="278">BN938-Y938-6</f>
        <v>9.1490000000000009</v>
      </c>
      <c r="AA938" s="9">
        <v>1</v>
      </c>
      <c r="AB938" s="9">
        <v>0</v>
      </c>
      <c r="AC938" s="9">
        <v>0</v>
      </c>
      <c r="AD938" s="9">
        <v>0</v>
      </c>
      <c r="AE938" s="9">
        <v>0</v>
      </c>
      <c r="AF938" s="9">
        <v>1</v>
      </c>
      <c r="AG938" s="8">
        <v>0</v>
      </c>
      <c r="AH938" s="9">
        <v>1</v>
      </c>
      <c r="AI938" s="30">
        <v>0</v>
      </c>
      <c r="AJ938" s="9">
        <v>0</v>
      </c>
      <c r="AK938" s="30">
        <v>1</v>
      </c>
      <c r="AL938" s="21">
        <v>1981</v>
      </c>
      <c r="AM938" s="23">
        <f t="shared" si="268"/>
        <v>7.5913570466985512</v>
      </c>
      <c r="AN938" s="33" t="s">
        <v>104</v>
      </c>
      <c r="AO938" s="33" t="s">
        <v>104</v>
      </c>
      <c r="AP938" s="33" t="s">
        <v>104</v>
      </c>
      <c r="AQ938" s="43" t="s">
        <v>104</v>
      </c>
      <c r="AR938" s="42">
        <f>1-AS938</f>
        <v>0.93799999999999994</v>
      </c>
      <c r="AS938" s="18">
        <v>6.2E-2</v>
      </c>
      <c r="AT938">
        <v>0.52400000000000002</v>
      </c>
      <c r="AU938" s="40">
        <f t="shared" si="274"/>
        <v>0.47599999999999998</v>
      </c>
      <c r="AV938" t="s">
        <v>104</v>
      </c>
      <c r="AW938" s="40" t="s">
        <v>104</v>
      </c>
      <c r="AX938">
        <v>0</v>
      </c>
      <c r="AY938" s="18">
        <v>1</v>
      </c>
      <c r="AZ938" t="s">
        <v>104</v>
      </c>
      <c r="BA938" s="18" t="s">
        <v>104</v>
      </c>
      <c r="BB938" s="18" t="s">
        <v>239</v>
      </c>
      <c r="BC938">
        <v>1</v>
      </c>
      <c r="BD938">
        <v>0</v>
      </c>
      <c r="BE938">
        <v>0</v>
      </c>
      <c r="BF938">
        <v>0</v>
      </c>
      <c r="BG938">
        <v>0</v>
      </c>
      <c r="BH938" s="18">
        <v>0</v>
      </c>
      <c r="BI938">
        <v>1</v>
      </c>
      <c r="BJ938">
        <v>0</v>
      </c>
      <c r="BK938" s="18">
        <v>0</v>
      </c>
      <c r="BL938">
        <v>3697.166666666667</v>
      </c>
      <c r="BM938">
        <v>824</v>
      </c>
      <c r="BN938" s="25">
        <v>28.28</v>
      </c>
      <c r="BO938">
        <v>0</v>
      </c>
      <c r="BP938">
        <v>0</v>
      </c>
      <c r="BQ938">
        <v>0</v>
      </c>
      <c r="BR938">
        <v>1</v>
      </c>
      <c r="BS938">
        <v>0</v>
      </c>
      <c r="BT938">
        <v>0</v>
      </c>
      <c r="BU938">
        <v>0</v>
      </c>
      <c r="BV938" s="18">
        <v>0</v>
      </c>
      <c r="BW938">
        <v>0</v>
      </c>
      <c r="BX938">
        <v>0</v>
      </c>
      <c r="BY938">
        <v>1</v>
      </c>
      <c r="BZ938" s="18">
        <v>0</v>
      </c>
      <c r="CA938">
        <v>0</v>
      </c>
      <c r="CB938">
        <v>0</v>
      </c>
      <c r="CC938">
        <v>0</v>
      </c>
      <c r="CD938">
        <v>0</v>
      </c>
      <c r="CE938">
        <v>0</v>
      </c>
      <c r="CF938" s="18">
        <v>0</v>
      </c>
      <c r="CG938">
        <v>0</v>
      </c>
      <c r="CH938">
        <v>0</v>
      </c>
      <c r="CI938">
        <v>0</v>
      </c>
      <c r="CJ938">
        <v>0</v>
      </c>
      <c r="CK938">
        <v>0</v>
      </c>
      <c r="CL938">
        <v>0</v>
      </c>
      <c r="CM938">
        <v>0</v>
      </c>
      <c r="CN938">
        <v>0</v>
      </c>
      <c r="CO938">
        <v>0</v>
      </c>
      <c r="CP938">
        <v>0</v>
      </c>
      <c r="CQ938" s="18">
        <v>0</v>
      </c>
      <c r="CR938">
        <v>0.19600000000000001</v>
      </c>
      <c r="CS938">
        <v>166</v>
      </c>
      <c r="CT938">
        <v>1</v>
      </c>
      <c r="CU938">
        <v>0</v>
      </c>
      <c r="CV938">
        <v>17</v>
      </c>
      <c r="DB938" s="34"/>
    </row>
    <row r="939" spans="1:106" x14ac:dyDescent="0.25">
      <c r="A939">
        <v>938</v>
      </c>
      <c r="B939">
        <v>65</v>
      </c>
      <c r="C939" s="25" t="s">
        <v>4115</v>
      </c>
      <c r="D939" s="12">
        <v>8.1</v>
      </c>
      <c r="E939" s="14">
        <v>0.22</v>
      </c>
      <c r="F939" s="7">
        <f t="shared" si="277"/>
        <v>36.818181818181813</v>
      </c>
      <c r="G939" s="7">
        <f t="shared" si="259"/>
        <v>7.88</v>
      </c>
      <c r="H939" s="16">
        <f t="shared" si="260"/>
        <v>8.32</v>
      </c>
      <c r="I939" s="11">
        <f t="shared" si="261"/>
        <v>0.14612854458928509</v>
      </c>
      <c r="J939" s="33">
        <f t="shared" si="262"/>
        <v>3.9689234332892257E-3</v>
      </c>
      <c r="K939" s="33">
        <f t="shared" si="263"/>
        <v>251.95749346347429</v>
      </c>
      <c r="L939" s="33">
        <f t="shared" si="264"/>
        <v>0.14215962115599587</v>
      </c>
      <c r="M939" s="33">
        <f t="shared" si="265"/>
        <v>0.15009746802257432</v>
      </c>
      <c r="N939" s="8">
        <v>0</v>
      </c>
      <c r="O939" s="9">
        <v>1</v>
      </c>
      <c r="P939" s="8">
        <v>0</v>
      </c>
      <c r="Q939" s="9">
        <v>0</v>
      </c>
      <c r="R939" s="9">
        <v>0</v>
      </c>
      <c r="S939" s="9">
        <v>1</v>
      </c>
      <c r="T939" s="9">
        <v>0</v>
      </c>
      <c r="U939" s="8">
        <v>62130</v>
      </c>
      <c r="V939" s="9">
        <v>2</v>
      </c>
      <c r="W939" s="9">
        <f t="shared" si="266"/>
        <v>62127</v>
      </c>
      <c r="X939" s="9">
        <f t="shared" si="267"/>
        <v>24</v>
      </c>
      <c r="Y939" s="7">
        <v>13.154999999999999</v>
      </c>
      <c r="Z939" s="7">
        <f t="shared" si="278"/>
        <v>11.055</v>
      </c>
      <c r="AA939" s="9">
        <v>1</v>
      </c>
      <c r="AB939" s="9">
        <v>0</v>
      </c>
      <c r="AC939" s="9">
        <v>0</v>
      </c>
      <c r="AD939" s="9">
        <v>0</v>
      </c>
      <c r="AE939" s="9">
        <v>0</v>
      </c>
      <c r="AF939" s="9">
        <v>1</v>
      </c>
      <c r="AG939" s="8">
        <v>0</v>
      </c>
      <c r="AH939" s="9">
        <v>1</v>
      </c>
      <c r="AI939" s="30">
        <v>0</v>
      </c>
      <c r="AJ939" s="9">
        <v>0</v>
      </c>
      <c r="AK939" s="30">
        <v>1</v>
      </c>
      <c r="AL939" s="21">
        <v>1981</v>
      </c>
      <c r="AM939" s="23">
        <f t="shared" si="268"/>
        <v>7.5913570466985512</v>
      </c>
      <c r="AN939" s="33" t="s">
        <v>104</v>
      </c>
      <c r="AO939" s="33" t="s">
        <v>104</v>
      </c>
      <c r="AP939" s="33" t="s">
        <v>104</v>
      </c>
      <c r="AQ939" s="43" t="s">
        <v>104</v>
      </c>
      <c r="AR939" s="42">
        <v>0</v>
      </c>
      <c r="AS939" s="18">
        <v>1</v>
      </c>
      <c r="AT939">
        <v>0.63300000000000001</v>
      </c>
      <c r="AU939" s="40">
        <f t="shared" si="274"/>
        <v>0.36699999999999999</v>
      </c>
      <c r="AV939" t="s">
        <v>104</v>
      </c>
      <c r="AW939" s="40" t="s">
        <v>104</v>
      </c>
      <c r="AX939">
        <v>0</v>
      </c>
      <c r="AY939" s="18">
        <v>1</v>
      </c>
      <c r="AZ939" t="s">
        <v>104</v>
      </c>
      <c r="BA939" s="18" t="s">
        <v>104</v>
      </c>
      <c r="BB939" s="18" t="s">
        <v>239</v>
      </c>
      <c r="BC939">
        <v>1</v>
      </c>
      <c r="BD939">
        <v>0</v>
      </c>
      <c r="BE939">
        <v>0</v>
      </c>
      <c r="BF939">
        <v>0</v>
      </c>
      <c r="BG939">
        <v>0</v>
      </c>
      <c r="BH939" s="18">
        <v>0</v>
      </c>
      <c r="BI939">
        <v>1</v>
      </c>
      <c r="BJ939">
        <v>0</v>
      </c>
      <c r="BK939" s="18">
        <v>0</v>
      </c>
      <c r="BL939">
        <v>3697.166666666667</v>
      </c>
      <c r="BM939">
        <v>824</v>
      </c>
      <c r="BN939" s="25">
        <v>30.21</v>
      </c>
      <c r="BO939">
        <v>0</v>
      </c>
      <c r="BP939">
        <v>0</v>
      </c>
      <c r="BQ939">
        <v>0</v>
      </c>
      <c r="BR939">
        <v>1</v>
      </c>
      <c r="BS939">
        <v>0</v>
      </c>
      <c r="BT939">
        <v>0</v>
      </c>
      <c r="BU939">
        <v>0</v>
      </c>
      <c r="BV939" s="18">
        <v>0</v>
      </c>
      <c r="BW939">
        <v>0</v>
      </c>
      <c r="BX939">
        <v>0</v>
      </c>
      <c r="BY939">
        <v>1</v>
      </c>
      <c r="BZ939" s="18">
        <v>0</v>
      </c>
      <c r="CA939">
        <v>0</v>
      </c>
      <c r="CB939">
        <v>0</v>
      </c>
      <c r="CC939">
        <v>0</v>
      </c>
      <c r="CD939">
        <v>0</v>
      </c>
      <c r="CE939">
        <v>0</v>
      </c>
      <c r="CF939" s="18">
        <v>0</v>
      </c>
      <c r="CG939">
        <v>0</v>
      </c>
      <c r="CH939">
        <v>0</v>
      </c>
      <c r="CI939">
        <v>0</v>
      </c>
      <c r="CJ939">
        <v>0</v>
      </c>
      <c r="CK939">
        <v>0</v>
      </c>
      <c r="CL939">
        <v>0</v>
      </c>
      <c r="CM939">
        <v>0</v>
      </c>
      <c r="CN939">
        <v>0</v>
      </c>
      <c r="CO939">
        <v>0</v>
      </c>
      <c r="CP939">
        <v>0</v>
      </c>
      <c r="CQ939" s="18">
        <v>0</v>
      </c>
      <c r="CR939">
        <v>0.19600000000000001</v>
      </c>
      <c r="CS939">
        <v>166</v>
      </c>
      <c r="CT939">
        <v>1</v>
      </c>
      <c r="CU939">
        <v>0</v>
      </c>
      <c r="CV939">
        <v>17</v>
      </c>
      <c r="DB939" s="34"/>
    </row>
    <row r="940" spans="1:106" x14ac:dyDescent="0.25">
      <c r="A940">
        <v>939</v>
      </c>
      <c r="B940">
        <v>65</v>
      </c>
      <c r="C940" s="25" t="s">
        <v>4115</v>
      </c>
      <c r="D940" s="12">
        <v>8.16</v>
      </c>
      <c r="E940" s="14">
        <v>0.21</v>
      </c>
      <c r="F940" s="7">
        <f t="shared" si="277"/>
        <v>38.857142857142861</v>
      </c>
      <c r="G940" s="7">
        <f t="shared" si="259"/>
        <v>7.95</v>
      </c>
      <c r="H940" s="16">
        <f t="shared" si="260"/>
        <v>8.370000000000001</v>
      </c>
      <c r="I940" s="11">
        <f t="shared" si="261"/>
        <v>0.14931821237205145</v>
      </c>
      <c r="J940" s="33">
        <f t="shared" si="262"/>
        <v>3.8427481125160295E-3</v>
      </c>
      <c r="K940" s="33">
        <f t="shared" si="263"/>
        <v>260.2304316390003</v>
      </c>
      <c r="L940" s="33">
        <f t="shared" si="264"/>
        <v>0.14547546425953542</v>
      </c>
      <c r="M940" s="33">
        <f t="shared" si="265"/>
        <v>0.15316096048456748</v>
      </c>
      <c r="N940" s="8">
        <v>0</v>
      </c>
      <c r="O940" s="9">
        <v>1</v>
      </c>
      <c r="P940" s="8">
        <v>0</v>
      </c>
      <c r="Q940" s="9">
        <v>0</v>
      </c>
      <c r="R940" s="9">
        <v>0</v>
      </c>
      <c r="S940" s="9">
        <v>1</v>
      </c>
      <c r="T940" s="9">
        <v>0</v>
      </c>
      <c r="U940" s="8">
        <v>66213</v>
      </c>
      <c r="V940" s="9">
        <v>2</v>
      </c>
      <c r="W940" s="9">
        <f t="shared" si="266"/>
        <v>66210</v>
      </c>
      <c r="X940" s="9">
        <f t="shared" si="267"/>
        <v>24</v>
      </c>
      <c r="Y940" s="7">
        <v>13.153</v>
      </c>
      <c r="Z940" s="7">
        <f t="shared" si="278"/>
        <v>8.9969999999999981</v>
      </c>
      <c r="AA940" s="9">
        <v>1</v>
      </c>
      <c r="AB940" s="9">
        <v>0</v>
      </c>
      <c r="AC940" s="9">
        <v>0</v>
      </c>
      <c r="AD940" s="9">
        <v>0</v>
      </c>
      <c r="AE940" s="9">
        <v>0</v>
      </c>
      <c r="AF940" s="9">
        <v>1</v>
      </c>
      <c r="AG940" s="8">
        <v>0</v>
      </c>
      <c r="AH940" s="9">
        <v>1</v>
      </c>
      <c r="AI940" s="30">
        <v>0</v>
      </c>
      <c r="AJ940" s="9">
        <v>0</v>
      </c>
      <c r="AK940" s="30">
        <v>1</v>
      </c>
      <c r="AL940" s="21">
        <v>1981</v>
      </c>
      <c r="AM940" s="23">
        <f t="shared" si="268"/>
        <v>7.5913570466985512</v>
      </c>
      <c r="AN940" s="33" t="s">
        <v>104</v>
      </c>
      <c r="AO940" s="33" t="s">
        <v>104</v>
      </c>
      <c r="AP940" s="33" t="s">
        <v>104</v>
      </c>
      <c r="AQ940" s="43" t="s">
        <v>104</v>
      </c>
      <c r="AR940" s="42">
        <v>1</v>
      </c>
      <c r="AS940" s="18">
        <v>0</v>
      </c>
      <c r="AT940">
        <v>0.51700000000000002</v>
      </c>
      <c r="AU940" s="40">
        <f t="shared" si="274"/>
        <v>0.48299999999999998</v>
      </c>
      <c r="AV940" t="s">
        <v>104</v>
      </c>
      <c r="AW940" s="40" t="s">
        <v>104</v>
      </c>
      <c r="AX940">
        <v>0</v>
      </c>
      <c r="AY940" s="18">
        <v>1</v>
      </c>
      <c r="AZ940" t="s">
        <v>104</v>
      </c>
      <c r="BA940" s="18" t="s">
        <v>104</v>
      </c>
      <c r="BB940" s="18" t="s">
        <v>239</v>
      </c>
      <c r="BC940">
        <v>1</v>
      </c>
      <c r="BD940">
        <v>0</v>
      </c>
      <c r="BE940">
        <v>0</v>
      </c>
      <c r="BF940">
        <v>0</v>
      </c>
      <c r="BG940">
        <v>0</v>
      </c>
      <c r="BH940" s="18">
        <v>0</v>
      </c>
      <c r="BI940">
        <v>1</v>
      </c>
      <c r="BJ940">
        <v>0</v>
      </c>
      <c r="BK940" s="18">
        <v>0</v>
      </c>
      <c r="BL940">
        <v>3697.166666666667</v>
      </c>
      <c r="BM940">
        <v>824</v>
      </c>
      <c r="BN940" s="25">
        <v>28.15</v>
      </c>
      <c r="BO940">
        <v>0</v>
      </c>
      <c r="BP940">
        <v>0</v>
      </c>
      <c r="BQ940">
        <v>0</v>
      </c>
      <c r="BR940">
        <v>1</v>
      </c>
      <c r="BS940">
        <v>0</v>
      </c>
      <c r="BT940">
        <v>0</v>
      </c>
      <c r="BU940">
        <v>0</v>
      </c>
      <c r="BV940" s="18">
        <v>0</v>
      </c>
      <c r="BW940">
        <v>0</v>
      </c>
      <c r="BX940">
        <v>0</v>
      </c>
      <c r="BY940">
        <v>1</v>
      </c>
      <c r="BZ940" s="18">
        <v>0</v>
      </c>
      <c r="CA940">
        <v>0</v>
      </c>
      <c r="CB940">
        <v>0</v>
      </c>
      <c r="CC940">
        <v>0</v>
      </c>
      <c r="CD940">
        <v>0</v>
      </c>
      <c r="CE940">
        <v>0</v>
      </c>
      <c r="CF940" s="18">
        <v>0</v>
      </c>
      <c r="CG940">
        <v>0</v>
      </c>
      <c r="CH940">
        <v>0</v>
      </c>
      <c r="CI940">
        <v>0</v>
      </c>
      <c r="CJ940">
        <v>0</v>
      </c>
      <c r="CK940">
        <v>0</v>
      </c>
      <c r="CL940">
        <v>0</v>
      </c>
      <c r="CM940">
        <v>0</v>
      </c>
      <c r="CN940">
        <v>0</v>
      </c>
      <c r="CO940">
        <v>0</v>
      </c>
      <c r="CP940">
        <v>0</v>
      </c>
      <c r="CQ940" s="18">
        <v>0</v>
      </c>
      <c r="CR940">
        <v>0.19600000000000001</v>
      </c>
      <c r="CS940">
        <v>166</v>
      </c>
      <c r="CT940">
        <v>1</v>
      </c>
      <c r="CU940">
        <v>0</v>
      </c>
      <c r="CV940">
        <v>17</v>
      </c>
      <c r="DB940" s="34"/>
    </row>
    <row r="941" spans="1:106" x14ac:dyDescent="0.25">
      <c r="A941">
        <v>940</v>
      </c>
      <c r="B941">
        <v>65</v>
      </c>
      <c r="C941" s="25" t="s">
        <v>4115</v>
      </c>
      <c r="D941" s="12">
        <v>9.26</v>
      </c>
      <c r="E941" s="14">
        <v>0.95</v>
      </c>
      <c r="F941" s="7">
        <f t="shared" si="277"/>
        <v>9.7473684210526326</v>
      </c>
      <c r="G941" s="7">
        <f t="shared" si="259"/>
        <v>8.31</v>
      </c>
      <c r="H941" s="16">
        <f t="shared" si="260"/>
        <v>10.209999999999999</v>
      </c>
      <c r="I941" s="11">
        <f t="shared" si="261"/>
        <v>0.15085460062198786</v>
      </c>
      <c r="J941" s="33">
        <f t="shared" si="262"/>
        <v>1.5476443908303288E-2</v>
      </c>
      <c r="K941" s="33">
        <f t="shared" si="263"/>
        <v>64.614326516150697</v>
      </c>
      <c r="L941" s="33">
        <f t="shared" si="264"/>
        <v>0.13537815671368456</v>
      </c>
      <c r="M941" s="33">
        <f t="shared" si="265"/>
        <v>0.16633104453029116</v>
      </c>
      <c r="N941" s="8">
        <v>0</v>
      </c>
      <c r="O941" s="9">
        <v>1</v>
      </c>
      <c r="P941" s="8">
        <v>0</v>
      </c>
      <c r="Q941" s="9">
        <v>0</v>
      </c>
      <c r="R941" s="9">
        <v>0</v>
      </c>
      <c r="S941" s="9">
        <v>1</v>
      </c>
      <c r="T941" s="9">
        <v>0</v>
      </c>
      <c r="U941" s="8">
        <v>4083</v>
      </c>
      <c r="V941" s="9">
        <v>2</v>
      </c>
      <c r="W941" s="9">
        <f t="shared" si="266"/>
        <v>4080</v>
      </c>
      <c r="X941" s="9">
        <f t="shared" si="267"/>
        <v>24</v>
      </c>
      <c r="Y941" s="7">
        <v>13.131</v>
      </c>
      <c r="Z941" s="7">
        <f t="shared" si="278"/>
        <v>9.1490000000000009</v>
      </c>
      <c r="AA941" s="9">
        <v>1</v>
      </c>
      <c r="AB941" s="9">
        <v>0</v>
      </c>
      <c r="AC941" s="9">
        <v>1</v>
      </c>
      <c r="AD941" s="9">
        <v>0</v>
      </c>
      <c r="AE941" s="9">
        <v>0</v>
      </c>
      <c r="AF941" s="9">
        <v>0</v>
      </c>
      <c r="AG941" s="8">
        <v>0</v>
      </c>
      <c r="AH941" s="9">
        <v>1</v>
      </c>
      <c r="AI941" s="30">
        <v>0</v>
      </c>
      <c r="AJ941" s="9">
        <v>0</v>
      </c>
      <c r="AK941" s="30">
        <v>1</v>
      </c>
      <c r="AL941" s="21">
        <v>1981</v>
      </c>
      <c r="AM941" s="23">
        <f t="shared" si="268"/>
        <v>7.5913570466985512</v>
      </c>
      <c r="AN941" s="33" t="s">
        <v>104</v>
      </c>
      <c r="AO941" s="33" t="s">
        <v>104</v>
      </c>
      <c r="AP941" s="33" t="s">
        <v>104</v>
      </c>
      <c r="AQ941" s="43" t="s">
        <v>104</v>
      </c>
      <c r="AR941" s="42">
        <f>1-AS941</f>
        <v>0.93799999999999994</v>
      </c>
      <c r="AS941" s="18">
        <v>6.2E-2</v>
      </c>
      <c r="AT941">
        <v>0.52400000000000002</v>
      </c>
      <c r="AU941" s="40">
        <f t="shared" si="274"/>
        <v>0.47599999999999998</v>
      </c>
      <c r="AV941" t="s">
        <v>104</v>
      </c>
      <c r="AW941" s="40" t="s">
        <v>104</v>
      </c>
      <c r="AX941">
        <v>0</v>
      </c>
      <c r="AY941" s="18">
        <v>1</v>
      </c>
      <c r="AZ941" t="s">
        <v>104</v>
      </c>
      <c r="BA941" s="18" t="s">
        <v>104</v>
      </c>
      <c r="BB941" s="18" t="s">
        <v>239</v>
      </c>
      <c r="BC941">
        <v>1</v>
      </c>
      <c r="BD941">
        <v>0</v>
      </c>
      <c r="BE941">
        <v>0</v>
      </c>
      <c r="BF941">
        <v>0</v>
      </c>
      <c r="BG941">
        <v>0</v>
      </c>
      <c r="BH941" s="18">
        <v>0</v>
      </c>
      <c r="BI941">
        <v>1</v>
      </c>
      <c r="BJ941">
        <v>0</v>
      </c>
      <c r="BK941" s="18">
        <v>0</v>
      </c>
      <c r="BL941">
        <v>3697.166666666667</v>
      </c>
      <c r="BM941">
        <v>824</v>
      </c>
      <c r="BN941" s="25">
        <v>28.28</v>
      </c>
      <c r="BO941">
        <v>0</v>
      </c>
      <c r="BP941">
        <v>0</v>
      </c>
      <c r="BQ941">
        <v>0</v>
      </c>
      <c r="BR941">
        <v>1</v>
      </c>
      <c r="BS941">
        <v>0</v>
      </c>
      <c r="BT941">
        <v>0</v>
      </c>
      <c r="BU941">
        <v>0</v>
      </c>
      <c r="BV941" s="18">
        <v>0</v>
      </c>
      <c r="BW941">
        <v>0</v>
      </c>
      <c r="BX941">
        <v>0</v>
      </c>
      <c r="BY941">
        <v>1</v>
      </c>
      <c r="BZ941" s="18">
        <v>0</v>
      </c>
      <c r="CA941">
        <v>0</v>
      </c>
      <c r="CB941">
        <v>0</v>
      </c>
      <c r="CC941">
        <v>0</v>
      </c>
      <c r="CD941">
        <v>0</v>
      </c>
      <c r="CE941">
        <v>0</v>
      </c>
      <c r="CF941" s="18">
        <v>0</v>
      </c>
      <c r="CG941">
        <v>0</v>
      </c>
      <c r="CH941">
        <v>0</v>
      </c>
      <c r="CI941">
        <v>0</v>
      </c>
      <c r="CJ941">
        <v>0</v>
      </c>
      <c r="CK941">
        <v>0</v>
      </c>
      <c r="CL941">
        <v>0</v>
      </c>
      <c r="CM941">
        <v>0</v>
      </c>
      <c r="CN941">
        <v>0</v>
      </c>
      <c r="CO941">
        <v>0</v>
      </c>
      <c r="CP941">
        <v>0</v>
      </c>
      <c r="CQ941" s="18">
        <v>0</v>
      </c>
      <c r="CR941">
        <v>0.19600000000000001</v>
      </c>
      <c r="CS941">
        <v>166</v>
      </c>
      <c r="CT941">
        <v>1</v>
      </c>
      <c r="CU941">
        <v>0</v>
      </c>
      <c r="CV941">
        <v>17</v>
      </c>
      <c r="DB941" s="34"/>
    </row>
    <row r="942" spans="1:106" x14ac:dyDescent="0.25">
      <c r="A942">
        <v>941</v>
      </c>
      <c r="B942">
        <v>65</v>
      </c>
      <c r="C942" s="25" t="s">
        <v>4115</v>
      </c>
      <c r="D942" s="12">
        <v>8.08</v>
      </c>
      <c r="E942" s="14">
        <v>0.2</v>
      </c>
      <c r="F942" s="7">
        <f t="shared" si="277"/>
        <v>40.4</v>
      </c>
      <c r="G942" s="7">
        <f t="shared" si="259"/>
        <v>7.88</v>
      </c>
      <c r="H942" s="16">
        <f t="shared" si="260"/>
        <v>8.2799999999999994</v>
      </c>
      <c r="I942" s="11">
        <f t="shared" si="261"/>
        <v>0.15999634871826515</v>
      </c>
      <c r="J942" s="33">
        <f t="shared" si="262"/>
        <v>3.9603056613431971E-3</v>
      </c>
      <c r="K942" s="33">
        <f t="shared" si="263"/>
        <v>252.50576231048666</v>
      </c>
      <c r="L942" s="33">
        <f t="shared" si="264"/>
        <v>0.15603604305692195</v>
      </c>
      <c r="M942" s="33">
        <f t="shared" si="265"/>
        <v>0.16395665437960835</v>
      </c>
      <c r="N942" s="8">
        <v>0</v>
      </c>
      <c r="O942" s="9">
        <v>1</v>
      </c>
      <c r="P942" s="8">
        <v>0</v>
      </c>
      <c r="Q942" s="9">
        <v>0</v>
      </c>
      <c r="R942" s="9">
        <v>0</v>
      </c>
      <c r="S942" s="9">
        <v>1</v>
      </c>
      <c r="T942" s="9">
        <v>0</v>
      </c>
      <c r="U942" s="8">
        <v>62130</v>
      </c>
      <c r="V942" s="9">
        <v>2</v>
      </c>
      <c r="W942" s="9">
        <f t="shared" si="266"/>
        <v>62127</v>
      </c>
      <c r="X942" s="9">
        <f t="shared" si="267"/>
        <v>24</v>
      </c>
      <c r="Y942" s="7">
        <v>13.154999999999999</v>
      </c>
      <c r="Z942" s="7">
        <f t="shared" si="278"/>
        <v>11.055</v>
      </c>
      <c r="AA942" s="9">
        <v>1</v>
      </c>
      <c r="AB942" s="9">
        <v>0</v>
      </c>
      <c r="AC942" s="9">
        <v>1</v>
      </c>
      <c r="AD942" s="9">
        <v>0</v>
      </c>
      <c r="AE942" s="9">
        <v>0</v>
      </c>
      <c r="AF942" s="9">
        <v>0</v>
      </c>
      <c r="AG942" s="8">
        <v>0</v>
      </c>
      <c r="AH942" s="9">
        <v>1</v>
      </c>
      <c r="AI942" s="30">
        <v>0</v>
      </c>
      <c r="AJ942" s="9">
        <v>0</v>
      </c>
      <c r="AK942" s="30">
        <v>1</v>
      </c>
      <c r="AL942" s="21">
        <v>1981</v>
      </c>
      <c r="AM942" s="23">
        <f t="shared" si="268"/>
        <v>7.5913570466985512</v>
      </c>
      <c r="AN942" s="33" t="s">
        <v>104</v>
      </c>
      <c r="AO942" s="33" t="s">
        <v>104</v>
      </c>
      <c r="AP942" s="33" t="s">
        <v>104</v>
      </c>
      <c r="AQ942" s="43" t="s">
        <v>104</v>
      </c>
      <c r="AR942" s="42">
        <v>0</v>
      </c>
      <c r="AS942" s="18">
        <v>1</v>
      </c>
      <c r="AT942">
        <v>0.63300000000000001</v>
      </c>
      <c r="AU942" s="40">
        <f t="shared" si="274"/>
        <v>0.36699999999999999</v>
      </c>
      <c r="AV942" t="s">
        <v>104</v>
      </c>
      <c r="AW942" s="40" t="s">
        <v>104</v>
      </c>
      <c r="AX942">
        <v>0</v>
      </c>
      <c r="AY942" s="18">
        <v>1</v>
      </c>
      <c r="AZ942" t="s">
        <v>104</v>
      </c>
      <c r="BA942" s="18" t="s">
        <v>104</v>
      </c>
      <c r="BB942" s="18" t="s">
        <v>239</v>
      </c>
      <c r="BC942">
        <v>1</v>
      </c>
      <c r="BD942">
        <v>0</v>
      </c>
      <c r="BE942">
        <v>0</v>
      </c>
      <c r="BF942">
        <v>0</v>
      </c>
      <c r="BG942">
        <v>0</v>
      </c>
      <c r="BH942" s="18">
        <v>0</v>
      </c>
      <c r="BI942">
        <v>1</v>
      </c>
      <c r="BJ942">
        <v>0</v>
      </c>
      <c r="BK942" s="18">
        <v>0</v>
      </c>
      <c r="BL942">
        <v>3697.166666666667</v>
      </c>
      <c r="BM942">
        <v>824</v>
      </c>
      <c r="BN942" s="25">
        <v>30.21</v>
      </c>
      <c r="BO942">
        <v>0</v>
      </c>
      <c r="BP942">
        <v>0</v>
      </c>
      <c r="BQ942">
        <v>0</v>
      </c>
      <c r="BR942">
        <v>1</v>
      </c>
      <c r="BS942">
        <v>0</v>
      </c>
      <c r="BT942">
        <v>0</v>
      </c>
      <c r="BU942">
        <v>0</v>
      </c>
      <c r="BV942" s="18">
        <v>0</v>
      </c>
      <c r="BW942">
        <v>0</v>
      </c>
      <c r="BX942">
        <v>0</v>
      </c>
      <c r="BY942">
        <v>1</v>
      </c>
      <c r="BZ942" s="18">
        <v>0</v>
      </c>
      <c r="CA942">
        <v>0</v>
      </c>
      <c r="CB942">
        <v>0</v>
      </c>
      <c r="CC942">
        <v>0</v>
      </c>
      <c r="CD942">
        <v>0</v>
      </c>
      <c r="CE942">
        <v>0</v>
      </c>
      <c r="CF942" s="18">
        <v>0</v>
      </c>
      <c r="CG942">
        <v>0</v>
      </c>
      <c r="CH942">
        <v>0</v>
      </c>
      <c r="CI942">
        <v>0</v>
      </c>
      <c r="CJ942">
        <v>0</v>
      </c>
      <c r="CK942">
        <v>0</v>
      </c>
      <c r="CL942">
        <v>0</v>
      </c>
      <c r="CM942">
        <v>0</v>
      </c>
      <c r="CN942">
        <v>0</v>
      </c>
      <c r="CO942">
        <v>0</v>
      </c>
      <c r="CP942">
        <v>0</v>
      </c>
      <c r="CQ942" s="18">
        <v>0</v>
      </c>
      <c r="CR942">
        <v>0.19600000000000001</v>
      </c>
      <c r="CS942">
        <v>166</v>
      </c>
      <c r="CT942">
        <v>1</v>
      </c>
      <c r="CU942">
        <v>0</v>
      </c>
      <c r="CV942">
        <v>17</v>
      </c>
      <c r="DB942" s="34"/>
    </row>
    <row r="943" spans="1:106" x14ac:dyDescent="0.25">
      <c r="A943">
        <v>942</v>
      </c>
      <c r="B943">
        <v>65</v>
      </c>
      <c r="C943" s="25" t="s">
        <v>4115</v>
      </c>
      <c r="D943" s="12">
        <v>8.1199999999999992</v>
      </c>
      <c r="E943" s="14">
        <v>0.2</v>
      </c>
      <c r="F943" s="7">
        <f t="shared" si="277"/>
        <v>40.599999999999994</v>
      </c>
      <c r="G943" s="7">
        <f t="shared" si="259"/>
        <v>7.919999999999999</v>
      </c>
      <c r="H943" s="16">
        <f t="shared" si="260"/>
        <v>8.3199999999999985</v>
      </c>
      <c r="I943" s="11">
        <f t="shared" si="261"/>
        <v>0.15585629709920443</v>
      </c>
      <c r="J943" s="33">
        <f t="shared" si="262"/>
        <v>3.8388250517045436E-3</v>
      </c>
      <c r="K943" s="33">
        <f t="shared" si="263"/>
        <v>260.49637233558548</v>
      </c>
      <c r="L943" s="33">
        <f t="shared" si="264"/>
        <v>0.15201747204749988</v>
      </c>
      <c r="M943" s="33">
        <f t="shared" si="265"/>
        <v>0.15969512215090897</v>
      </c>
      <c r="N943" s="8">
        <v>0</v>
      </c>
      <c r="O943" s="9">
        <v>1</v>
      </c>
      <c r="P943" s="8">
        <v>0</v>
      </c>
      <c r="Q943" s="9">
        <v>0</v>
      </c>
      <c r="R943" s="9">
        <v>0</v>
      </c>
      <c r="S943" s="9">
        <v>1</v>
      </c>
      <c r="T943" s="9">
        <v>0</v>
      </c>
      <c r="U943" s="8">
        <v>66213</v>
      </c>
      <c r="V943" s="9">
        <v>2</v>
      </c>
      <c r="W943" s="9">
        <f t="shared" si="266"/>
        <v>66210</v>
      </c>
      <c r="X943" s="9">
        <f t="shared" si="267"/>
        <v>24</v>
      </c>
      <c r="Y943" s="7">
        <v>13.153</v>
      </c>
      <c r="Z943" s="7">
        <f t="shared" si="278"/>
        <v>8.9969999999999981</v>
      </c>
      <c r="AA943" s="9">
        <v>1</v>
      </c>
      <c r="AB943" s="9">
        <v>0</v>
      </c>
      <c r="AC943" s="9">
        <v>1</v>
      </c>
      <c r="AD943" s="9">
        <v>0</v>
      </c>
      <c r="AE943" s="9">
        <v>0</v>
      </c>
      <c r="AF943" s="9">
        <v>0</v>
      </c>
      <c r="AG943" s="8">
        <v>0</v>
      </c>
      <c r="AH943" s="9">
        <v>1</v>
      </c>
      <c r="AI943" s="30">
        <v>0</v>
      </c>
      <c r="AJ943" s="9">
        <v>0</v>
      </c>
      <c r="AK943" s="30">
        <v>1</v>
      </c>
      <c r="AL943" s="21">
        <v>1981</v>
      </c>
      <c r="AM943" s="23">
        <f t="shared" si="268"/>
        <v>7.5913570466985512</v>
      </c>
      <c r="AN943" s="33" t="s">
        <v>104</v>
      </c>
      <c r="AO943" s="33" t="s">
        <v>104</v>
      </c>
      <c r="AP943" s="33" t="s">
        <v>104</v>
      </c>
      <c r="AQ943" s="43" t="s">
        <v>104</v>
      </c>
      <c r="AR943" s="42">
        <v>1</v>
      </c>
      <c r="AS943" s="18">
        <v>0</v>
      </c>
      <c r="AT943">
        <v>0.51700000000000002</v>
      </c>
      <c r="AU943" s="40">
        <f t="shared" si="274"/>
        <v>0.48299999999999998</v>
      </c>
      <c r="AV943" t="s">
        <v>104</v>
      </c>
      <c r="AW943" s="40" t="s">
        <v>104</v>
      </c>
      <c r="AX943">
        <v>0</v>
      </c>
      <c r="AY943" s="18">
        <v>1</v>
      </c>
      <c r="AZ943" t="s">
        <v>104</v>
      </c>
      <c r="BA943" s="18" t="s">
        <v>104</v>
      </c>
      <c r="BB943" s="18" t="s">
        <v>239</v>
      </c>
      <c r="BC943">
        <v>1</v>
      </c>
      <c r="BD943">
        <v>0</v>
      </c>
      <c r="BE943">
        <v>0</v>
      </c>
      <c r="BF943">
        <v>0</v>
      </c>
      <c r="BG943">
        <v>0</v>
      </c>
      <c r="BH943" s="18">
        <v>0</v>
      </c>
      <c r="BI943">
        <v>1</v>
      </c>
      <c r="BJ943">
        <v>0</v>
      </c>
      <c r="BK943" s="18">
        <v>0</v>
      </c>
      <c r="BL943">
        <v>3697.166666666667</v>
      </c>
      <c r="BM943">
        <v>824</v>
      </c>
      <c r="BN943" s="25">
        <v>28.15</v>
      </c>
      <c r="BO943">
        <v>0</v>
      </c>
      <c r="BP943">
        <v>0</v>
      </c>
      <c r="BQ943">
        <v>0</v>
      </c>
      <c r="BR943">
        <v>1</v>
      </c>
      <c r="BS943">
        <v>0</v>
      </c>
      <c r="BT943">
        <v>0</v>
      </c>
      <c r="BU943">
        <v>0</v>
      </c>
      <c r="BV943" s="18">
        <v>0</v>
      </c>
      <c r="BW943">
        <v>0</v>
      </c>
      <c r="BX943">
        <v>0</v>
      </c>
      <c r="BY943">
        <v>1</v>
      </c>
      <c r="BZ943" s="18">
        <v>0</v>
      </c>
      <c r="CA943">
        <v>0</v>
      </c>
      <c r="CB943">
        <v>0</v>
      </c>
      <c r="CC943">
        <v>0</v>
      </c>
      <c r="CD943">
        <v>0</v>
      </c>
      <c r="CE943">
        <v>0</v>
      </c>
      <c r="CF943" s="18">
        <v>0</v>
      </c>
      <c r="CG943">
        <v>0</v>
      </c>
      <c r="CH943">
        <v>0</v>
      </c>
      <c r="CI943">
        <v>0</v>
      </c>
      <c r="CJ943">
        <v>0</v>
      </c>
      <c r="CK943">
        <v>0</v>
      </c>
      <c r="CL943">
        <v>0</v>
      </c>
      <c r="CM943">
        <v>0</v>
      </c>
      <c r="CN943">
        <v>0</v>
      </c>
      <c r="CO943">
        <v>0</v>
      </c>
      <c r="CP943">
        <v>0</v>
      </c>
      <c r="CQ943" s="18">
        <v>0</v>
      </c>
      <c r="CR943">
        <v>0.19600000000000001</v>
      </c>
      <c r="CS943">
        <v>166</v>
      </c>
      <c r="CT943">
        <v>1</v>
      </c>
      <c r="CU943">
        <v>0</v>
      </c>
      <c r="CV943">
        <v>17</v>
      </c>
      <c r="DB943" s="34"/>
    </row>
    <row r="944" spans="1:106" x14ac:dyDescent="0.25">
      <c r="A944">
        <v>943</v>
      </c>
      <c r="B944">
        <v>65</v>
      </c>
      <c r="C944" s="25" t="s">
        <v>4115</v>
      </c>
      <c r="D944" s="12">
        <v>6.44</v>
      </c>
      <c r="E944" s="14">
        <v>1.19</v>
      </c>
      <c r="F944" s="7">
        <f t="shared" si="277"/>
        <v>5.4117647058823533</v>
      </c>
      <c r="G944" s="7">
        <f t="shared" si="259"/>
        <v>5.25</v>
      </c>
      <c r="H944" s="16">
        <f t="shared" si="260"/>
        <v>7.6300000000000008</v>
      </c>
      <c r="I944" s="11">
        <f t="shared" si="261"/>
        <v>9.4417443129568596E-2</v>
      </c>
      <c r="J944" s="33">
        <f t="shared" si="262"/>
        <v>1.7446701447855067E-2</v>
      </c>
      <c r="K944" s="33">
        <f t="shared" si="263"/>
        <v>57.31742490056434</v>
      </c>
      <c r="L944" s="33">
        <f t="shared" si="264"/>
        <v>7.6970741681713528E-2</v>
      </c>
      <c r="M944" s="33">
        <f t="shared" si="265"/>
        <v>0.11186414457742366</v>
      </c>
      <c r="N944" s="8">
        <v>0</v>
      </c>
      <c r="O944" s="9">
        <v>1</v>
      </c>
      <c r="P944" s="8">
        <v>0</v>
      </c>
      <c r="Q944" s="9">
        <v>0</v>
      </c>
      <c r="R944" s="9">
        <v>0</v>
      </c>
      <c r="S944" s="9">
        <v>1</v>
      </c>
      <c r="T944" s="9">
        <v>0</v>
      </c>
      <c r="U944" s="8">
        <v>3275</v>
      </c>
      <c r="V944" s="9">
        <v>18</v>
      </c>
      <c r="W944" s="9">
        <f t="shared" si="266"/>
        <v>3256</v>
      </c>
      <c r="X944" s="9">
        <f t="shared" si="267"/>
        <v>24</v>
      </c>
      <c r="Y944" s="7">
        <v>13.131</v>
      </c>
      <c r="Z944" s="7">
        <f t="shared" si="278"/>
        <v>9.1490000000000009</v>
      </c>
      <c r="AA944" s="9">
        <v>1</v>
      </c>
      <c r="AB944" s="9">
        <v>0</v>
      </c>
      <c r="AC944" s="9">
        <v>0</v>
      </c>
      <c r="AD944" s="9">
        <v>0</v>
      </c>
      <c r="AE944" s="9">
        <v>0</v>
      </c>
      <c r="AF944" s="9">
        <v>1</v>
      </c>
      <c r="AG944" s="8">
        <v>0</v>
      </c>
      <c r="AH944" s="9">
        <v>1</v>
      </c>
      <c r="AI944" s="30">
        <v>0</v>
      </c>
      <c r="AJ944" s="9">
        <v>0</v>
      </c>
      <c r="AK944" s="30">
        <v>1</v>
      </c>
      <c r="AL944" s="21">
        <v>1981</v>
      </c>
      <c r="AM944" s="23">
        <f t="shared" si="268"/>
        <v>7.5913570466985512</v>
      </c>
      <c r="AN944" s="33" t="s">
        <v>104</v>
      </c>
      <c r="AO944" s="33" t="s">
        <v>104</v>
      </c>
      <c r="AP944" s="33" t="s">
        <v>104</v>
      </c>
      <c r="AQ944" s="43" t="s">
        <v>104</v>
      </c>
      <c r="AR944" s="42">
        <f>1-AS944</f>
        <v>0.93799999999999994</v>
      </c>
      <c r="AS944" s="18">
        <v>6.2E-2</v>
      </c>
      <c r="AT944">
        <v>0.52400000000000002</v>
      </c>
      <c r="AU944" s="40">
        <f t="shared" si="274"/>
        <v>0.47599999999999998</v>
      </c>
      <c r="AV944" t="s">
        <v>104</v>
      </c>
      <c r="AW944" s="40" t="s">
        <v>104</v>
      </c>
      <c r="AX944">
        <v>0</v>
      </c>
      <c r="AY944" s="18">
        <v>1</v>
      </c>
      <c r="AZ944" t="s">
        <v>104</v>
      </c>
      <c r="BA944" s="18" t="s">
        <v>104</v>
      </c>
      <c r="BB944" s="18" t="s">
        <v>239</v>
      </c>
      <c r="BC944">
        <v>1</v>
      </c>
      <c r="BD944">
        <v>0</v>
      </c>
      <c r="BE944">
        <v>0</v>
      </c>
      <c r="BF944">
        <v>0</v>
      </c>
      <c r="BG944">
        <v>0</v>
      </c>
      <c r="BH944" s="18">
        <v>0</v>
      </c>
      <c r="BI944">
        <v>1</v>
      </c>
      <c r="BJ944">
        <v>0</v>
      </c>
      <c r="BK944" s="18">
        <v>0</v>
      </c>
      <c r="BL944">
        <v>3697.166666666667</v>
      </c>
      <c r="BM944">
        <v>824</v>
      </c>
      <c r="BN944" s="25">
        <v>28.28</v>
      </c>
      <c r="BO944">
        <v>0</v>
      </c>
      <c r="BP944">
        <v>0</v>
      </c>
      <c r="BQ944">
        <v>0</v>
      </c>
      <c r="BR944">
        <v>1</v>
      </c>
      <c r="BS944">
        <v>0</v>
      </c>
      <c r="BT944">
        <v>0</v>
      </c>
      <c r="BU944">
        <v>0</v>
      </c>
      <c r="BV944" s="18">
        <v>0</v>
      </c>
      <c r="BW944">
        <v>0</v>
      </c>
      <c r="BX944">
        <v>0</v>
      </c>
      <c r="BY944">
        <v>1</v>
      </c>
      <c r="BZ944" s="18">
        <v>0</v>
      </c>
      <c r="CA944">
        <v>0</v>
      </c>
      <c r="CB944">
        <v>0</v>
      </c>
      <c r="CC944">
        <v>0</v>
      </c>
      <c r="CD944">
        <v>0</v>
      </c>
      <c r="CE944">
        <v>0</v>
      </c>
      <c r="CF944" s="18">
        <v>0</v>
      </c>
      <c r="CG944">
        <v>1</v>
      </c>
      <c r="CH944">
        <v>0</v>
      </c>
      <c r="CI944">
        <v>0</v>
      </c>
      <c r="CJ944">
        <v>0</v>
      </c>
      <c r="CK944">
        <v>1</v>
      </c>
      <c r="CL944">
        <v>1</v>
      </c>
      <c r="CM944">
        <v>1</v>
      </c>
      <c r="CN944">
        <v>0</v>
      </c>
      <c r="CO944">
        <v>0</v>
      </c>
      <c r="CP944">
        <v>1</v>
      </c>
      <c r="CQ944" s="18">
        <v>0</v>
      </c>
      <c r="CR944">
        <v>0.19600000000000001</v>
      </c>
      <c r="CS944">
        <v>166</v>
      </c>
      <c r="CT944">
        <v>1</v>
      </c>
      <c r="CU944">
        <v>0</v>
      </c>
      <c r="CV944">
        <v>17</v>
      </c>
      <c r="DB944" s="34"/>
    </row>
    <row r="945" spans="1:106" x14ac:dyDescent="0.25">
      <c r="A945">
        <v>944</v>
      </c>
      <c r="B945">
        <v>65</v>
      </c>
      <c r="C945" s="25" t="s">
        <v>4115</v>
      </c>
      <c r="D945" s="12">
        <v>5.44</v>
      </c>
      <c r="E945" s="14">
        <v>0.27</v>
      </c>
      <c r="F945" s="7">
        <f t="shared" si="277"/>
        <v>20.148148148148149</v>
      </c>
      <c r="G945" s="7">
        <f t="shared" si="259"/>
        <v>5.17</v>
      </c>
      <c r="H945" s="16">
        <f t="shared" si="260"/>
        <v>5.7100000000000009</v>
      </c>
      <c r="I945" s="11">
        <f t="shared" si="261"/>
        <v>9.0276994457422877E-2</v>
      </c>
      <c r="J945" s="33">
        <f t="shared" si="262"/>
        <v>4.4806596513794449E-3</v>
      </c>
      <c r="K945" s="33">
        <f t="shared" si="263"/>
        <v>223.18142367544777</v>
      </c>
      <c r="L945" s="33">
        <f t="shared" si="264"/>
        <v>8.5796334806043428E-2</v>
      </c>
      <c r="M945" s="33">
        <f t="shared" si="265"/>
        <v>9.4757654108802325E-2</v>
      </c>
      <c r="N945" s="8">
        <v>0</v>
      </c>
      <c r="O945" s="9">
        <v>1</v>
      </c>
      <c r="P945" s="8">
        <v>0</v>
      </c>
      <c r="Q945" s="9">
        <v>0</v>
      </c>
      <c r="R945" s="9">
        <v>0</v>
      </c>
      <c r="S945" s="9">
        <v>1</v>
      </c>
      <c r="T945" s="9">
        <v>0</v>
      </c>
      <c r="U945" s="8">
        <v>49423</v>
      </c>
      <c r="V945" s="9">
        <v>18</v>
      </c>
      <c r="W945" s="9">
        <f t="shared" si="266"/>
        <v>49404</v>
      </c>
      <c r="X945" s="9">
        <f t="shared" si="267"/>
        <v>24</v>
      </c>
      <c r="Y945" s="7">
        <v>13.154999999999999</v>
      </c>
      <c r="Z945" s="7">
        <f t="shared" si="278"/>
        <v>11.055</v>
      </c>
      <c r="AA945" s="9">
        <v>1</v>
      </c>
      <c r="AB945" s="9">
        <v>0</v>
      </c>
      <c r="AC945" s="9">
        <v>0</v>
      </c>
      <c r="AD945" s="9">
        <v>0</v>
      </c>
      <c r="AE945" s="9">
        <v>0</v>
      </c>
      <c r="AF945" s="9">
        <v>1</v>
      </c>
      <c r="AG945" s="8">
        <v>0</v>
      </c>
      <c r="AH945" s="9">
        <v>1</v>
      </c>
      <c r="AI945" s="30">
        <v>0</v>
      </c>
      <c r="AJ945" s="9">
        <v>0</v>
      </c>
      <c r="AK945" s="30">
        <v>1</v>
      </c>
      <c r="AL945" s="21">
        <v>1981</v>
      </c>
      <c r="AM945" s="23">
        <f t="shared" si="268"/>
        <v>7.5913570466985512</v>
      </c>
      <c r="AN945" s="33" t="s">
        <v>104</v>
      </c>
      <c r="AO945" s="33" t="s">
        <v>104</v>
      </c>
      <c r="AP945" s="33" t="s">
        <v>104</v>
      </c>
      <c r="AQ945" s="43" t="s">
        <v>104</v>
      </c>
      <c r="AR945" s="42">
        <v>0</v>
      </c>
      <c r="AS945" s="18">
        <v>1</v>
      </c>
      <c r="AT945">
        <v>0.63300000000000001</v>
      </c>
      <c r="AU945" s="40">
        <f t="shared" si="274"/>
        <v>0.36699999999999999</v>
      </c>
      <c r="AV945" t="s">
        <v>104</v>
      </c>
      <c r="AW945" s="40" t="s">
        <v>104</v>
      </c>
      <c r="AX945">
        <v>0</v>
      </c>
      <c r="AY945" s="18">
        <v>1</v>
      </c>
      <c r="AZ945" t="s">
        <v>104</v>
      </c>
      <c r="BA945" s="18" t="s">
        <v>104</v>
      </c>
      <c r="BB945" s="18" t="s">
        <v>239</v>
      </c>
      <c r="BC945">
        <v>1</v>
      </c>
      <c r="BD945">
        <v>0</v>
      </c>
      <c r="BE945">
        <v>0</v>
      </c>
      <c r="BF945">
        <v>0</v>
      </c>
      <c r="BG945">
        <v>0</v>
      </c>
      <c r="BH945" s="18">
        <v>0</v>
      </c>
      <c r="BI945">
        <v>1</v>
      </c>
      <c r="BJ945">
        <v>0</v>
      </c>
      <c r="BK945" s="18">
        <v>0</v>
      </c>
      <c r="BL945">
        <v>3697.166666666667</v>
      </c>
      <c r="BM945">
        <v>824</v>
      </c>
      <c r="BN945" s="25">
        <v>30.21</v>
      </c>
      <c r="BO945">
        <v>0</v>
      </c>
      <c r="BP945">
        <v>0</v>
      </c>
      <c r="BQ945">
        <v>0</v>
      </c>
      <c r="BR945">
        <v>1</v>
      </c>
      <c r="BS945">
        <v>0</v>
      </c>
      <c r="BT945">
        <v>0</v>
      </c>
      <c r="BU945">
        <v>0</v>
      </c>
      <c r="BV945" s="18">
        <v>0</v>
      </c>
      <c r="BW945">
        <v>0</v>
      </c>
      <c r="BX945">
        <v>0</v>
      </c>
      <c r="BY945">
        <v>1</v>
      </c>
      <c r="BZ945" s="18">
        <v>0</v>
      </c>
      <c r="CA945">
        <v>0</v>
      </c>
      <c r="CB945">
        <v>0</v>
      </c>
      <c r="CC945">
        <v>0</v>
      </c>
      <c r="CD945">
        <v>0</v>
      </c>
      <c r="CE945">
        <v>0</v>
      </c>
      <c r="CF945" s="18">
        <v>0</v>
      </c>
      <c r="CG945">
        <v>1</v>
      </c>
      <c r="CH945">
        <v>0</v>
      </c>
      <c r="CI945">
        <v>0</v>
      </c>
      <c r="CJ945">
        <v>0</v>
      </c>
      <c r="CK945">
        <v>1</v>
      </c>
      <c r="CL945">
        <v>1</v>
      </c>
      <c r="CM945">
        <v>1</v>
      </c>
      <c r="CN945">
        <v>0</v>
      </c>
      <c r="CO945">
        <v>0</v>
      </c>
      <c r="CP945">
        <v>1</v>
      </c>
      <c r="CQ945" s="18">
        <v>0</v>
      </c>
      <c r="CR945">
        <v>0.19600000000000001</v>
      </c>
      <c r="CS945">
        <v>166</v>
      </c>
      <c r="CT945">
        <v>1</v>
      </c>
      <c r="CU945">
        <v>0</v>
      </c>
      <c r="CV945">
        <v>17</v>
      </c>
      <c r="DB945" s="34"/>
    </row>
    <row r="946" spans="1:106" x14ac:dyDescent="0.25">
      <c r="A946">
        <v>945</v>
      </c>
      <c r="B946">
        <v>65</v>
      </c>
      <c r="C946" s="25" t="s">
        <v>4115</v>
      </c>
      <c r="D946" s="12">
        <v>5.42</v>
      </c>
      <c r="E946" s="14">
        <v>0.25</v>
      </c>
      <c r="F946" s="7">
        <f t="shared" si="277"/>
        <v>21.68</v>
      </c>
      <c r="G946" s="7">
        <f t="shared" si="259"/>
        <v>5.17</v>
      </c>
      <c r="H946" s="16">
        <f t="shared" si="260"/>
        <v>5.67</v>
      </c>
      <c r="I946" s="11">
        <f t="shared" si="261"/>
        <v>9.4039787159001409E-2</v>
      </c>
      <c r="J946" s="33">
        <f t="shared" si="262"/>
        <v>4.33762855899453E-3</v>
      </c>
      <c r="K946" s="33">
        <f t="shared" si="263"/>
        <v>230.54071744488002</v>
      </c>
      <c r="L946" s="33">
        <f t="shared" si="264"/>
        <v>8.9702158600006882E-2</v>
      </c>
      <c r="M946" s="33">
        <f t="shared" si="265"/>
        <v>9.8377415717995936E-2</v>
      </c>
      <c r="N946" s="8">
        <v>0</v>
      </c>
      <c r="O946" s="9">
        <v>1</v>
      </c>
      <c r="P946" s="8">
        <v>0</v>
      </c>
      <c r="Q946" s="9">
        <v>0</v>
      </c>
      <c r="R946" s="9">
        <v>0</v>
      </c>
      <c r="S946" s="9">
        <v>1</v>
      </c>
      <c r="T946" s="9">
        <v>0</v>
      </c>
      <c r="U946" s="8">
        <v>52698</v>
      </c>
      <c r="V946" s="9">
        <v>18</v>
      </c>
      <c r="W946" s="9">
        <f t="shared" si="266"/>
        <v>52679</v>
      </c>
      <c r="X946" s="9">
        <f t="shared" si="267"/>
        <v>24</v>
      </c>
      <c r="Y946" s="7">
        <v>13.153</v>
      </c>
      <c r="Z946" s="7">
        <f t="shared" si="278"/>
        <v>8.9969999999999981</v>
      </c>
      <c r="AA946" s="9">
        <v>1</v>
      </c>
      <c r="AB946" s="9">
        <v>0</v>
      </c>
      <c r="AC946" s="9">
        <v>0</v>
      </c>
      <c r="AD946" s="9">
        <v>0</v>
      </c>
      <c r="AE946" s="9">
        <v>0</v>
      </c>
      <c r="AF946" s="9">
        <v>1</v>
      </c>
      <c r="AG946" s="8">
        <v>0</v>
      </c>
      <c r="AH946" s="9">
        <v>1</v>
      </c>
      <c r="AI946" s="30">
        <v>0</v>
      </c>
      <c r="AJ946" s="9">
        <v>0</v>
      </c>
      <c r="AK946" s="30">
        <v>1</v>
      </c>
      <c r="AL946" s="21">
        <v>1981</v>
      </c>
      <c r="AM946" s="23">
        <f t="shared" si="268"/>
        <v>7.5913570466985512</v>
      </c>
      <c r="AN946" s="33" t="s">
        <v>104</v>
      </c>
      <c r="AO946" s="33" t="s">
        <v>104</v>
      </c>
      <c r="AP946" s="33" t="s">
        <v>104</v>
      </c>
      <c r="AQ946" s="43" t="s">
        <v>104</v>
      </c>
      <c r="AR946" s="42">
        <v>1</v>
      </c>
      <c r="AS946" s="18">
        <v>0</v>
      </c>
      <c r="AT946">
        <v>0.51700000000000002</v>
      </c>
      <c r="AU946" s="40">
        <f t="shared" si="274"/>
        <v>0.48299999999999998</v>
      </c>
      <c r="AV946" t="s">
        <v>104</v>
      </c>
      <c r="AW946" s="40" t="s">
        <v>104</v>
      </c>
      <c r="AX946">
        <v>0</v>
      </c>
      <c r="AY946" s="18">
        <v>1</v>
      </c>
      <c r="AZ946" t="s">
        <v>104</v>
      </c>
      <c r="BA946" s="18" t="s">
        <v>104</v>
      </c>
      <c r="BB946" s="18" t="s">
        <v>239</v>
      </c>
      <c r="BC946">
        <v>1</v>
      </c>
      <c r="BD946">
        <v>0</v>
      </c>
      <c r="BE946">
        <v>0</v>
      </c>
      <c r="BF946">
        <v>0</v>
      </c>
      <c r="BG946">
        <v>0</v>
      </c>
      <c r="BH946" s="18">
        <v>0</v>
      </c>
      <c r="BI946">
        <v>1</v>
      </c>
      <c r="BJ946">
        <v>0</v>
      </c>
      <c r="BK946" s="18">
        <v>0</v>
      </c>
      <c r="BL946">
        <v>3697.166666666667</v>
      </c>
      <c r="BM946">
        <v>824</v>
      </c>
      <c r="BN946" s="25">
        <v>28.15</v>
      </c>
      <c r="BO946">
        <v>0</v>
      </c>
      <c r="BP946">
        <v>0</v>
      </c>
      <c r="BQ946">
        <v>0</v>
      </c>
      <c r="BR946">
        <v>1</v>
      </c>
      <c r="BS946">
        <v>0</v>
      </c>
      <c r="BT946">
        <v>0</v>
      </c>
      <c r="BU946">
        <v>0</v>
      </c>
      <c r="BV946" s="18">
        <v>0</v>
      </c>
      <c r="BW946">
        <v>0</v>
      </c>
      <c r="BX946">
        <v>0</v>
      </c>
      <c r="BY946">
        <v>1</v>
      </c>
      <c r="BZ946" s="18">
        <v>0</v>
      </c>
      <c r="CA946">
        <v>0</v>
      </c>
      <c r="CB946">
        <v>0</v>
      </c>
      <c r="CC946">
        <v>0</v>
      </c>
      <c r="CD946">
        <v>0</v>
      </c>
      <c r="CE946">
        <v>0</v>
      </c>
      <c r="CF946" s="18">
        <v>0</v>
      </c>
      <c r="CG946">
        <v>1</v>
      </c>
      <c r="CH946">
        <v>0</v>
      </c>
      <c r="CI946">
        <v>0</v>
      </c>
      <c r="CJ946">
        <v>0</v>
      </c>
      <c r="CK946">
        <v>1</v>
      </c>
      <c r="CL946">
        <v>1</v>
      </c>
      <c r="CM946">
        <v>1</v>
      </c>
      <c r="CN946">
        <v>0</v>
      </c>
      <c r="CO946">
        <v>0</v>
      </c>
      <c r="CP946">
        <v>1</v>
      </c>
      <c r="CQ946" s="18">
        <v>0</v>
      </c>
      <c r="CR946">
        <v>0.19600000000000001</v>
      </c>
      <c r="CS946">
        <v>166</v>
      </c>
      <c r="CT946">
        <v>1</v>
      </c>
      <c r="CU946">
        <v>0</v>
      </c>
      <c r="CV946">
        <v>17</v>
      </c>
      <c r="DB946" s="34"/>
    </row>
    <row r="947" spans="1:106" x14ac:dyDescent="0.25">
      <c r="A947">
        <v>946</v>
      </c>
      <c r="B947">
        <v>65</v>
      </c>
      <c r="C947" s="25" t="s">
        <v>4115</v>
      </c>
      <c r="D947" s="12">
        <v>5.59</v>
      </c>
      <c r="E947" s="14">
        <v>1.3</v>
      </c>
      <c r="F947" s="7">
        <f t="shared" si="277"/>
        <v>4.3</v>
      </c>
      <c r="G947" s="7">
        <f t="shared" si="259"/>
        <v>4.29</v>
      </c>
      <c r="H947" s="16">
        <f t="shared" si="260"/>
        <v>6.89</v>
      </c>
      <c r="I947" s="11">
        <f t="shared" si="261"/>
        <v>7.71371494382493E-2</v>
      </c>
      <c r="J947" s="33">
        <f t="shared" si="262"/>
        <v>1.7938871962383557E-2</v>
      </c>
      <c r="K947" s="33">
        <f t="shared" si="263"/>
        <v>55.744865234387291</v>
      </c>
      <c r="L947" s="33">
        <f t="shared" si="264"/>
        <v>5.9198277475865743E-2</v>
      </c>
      <c r="M947" s="33">
        <f t="shared" si="265"/>
        <v>9.5076021400632857E-2</v>
      </c>
      <c r="N947" s="8">
        <v>0</v>
      </c>
      <c r="O947" s="9">
        <v>1</v>
      </c>
      <c r="P947" s="8">
        <v>0</v>
      </c>
      <c r="Q947" s="9">
        <v>0</v>
      </c>
      <c r="R947" s="9">
        <v>0</v>
      </c>
      <c r="S947" s="9">
        <v>1</v>
      </c>
      <c r="T947" s="9">
        <v>0</v>
      </c>
      <c r="U947" s="8">
        <v>3109</v>
      </c>
      <c r="V947" s="9">
        <v>19</v>
      </c>
      <c r="W947" s="9">
        <f t="shared" si="266"/>
        <v>3089</v>
      </c>
      <c r="X947" s="9">
        <f t="shared" si="267"/>
        <v>24</v>
      </c>
      <c r="Y947" s="7">
        <v>13.131</v>
      </c>
      <c r="Z947" s="7">
        <f t="shared" si="278"/>
        <v>9.1490000000000009</v>
      </c>
      <c r="AA947" s="9">
        <v>1</v>
      </c>
      <c r="AB947" s="9">
        <v>0</v>
      </c>
      <c r="AC947" s="9">
        <v>0</v>
      </c>
      <c r="AD947" s="9">
        <v>0</v>
      </c>
      <c r="AE947" s="9">
        <v>0</v>
      </c>
      <c r="AF947" s="9">
        <v>1</v>
      </c>
      <c r="AG947" s="8">
        <v>0</v>
      </c>
      <c r="AH947" s="9">
        <v>1</v>
      </c>
      <c r="AI947" s="30">
        <v>0</v>
      </c>
      <c r="AJ947" s="9">
        <v>0</v>
      </c>
      <c r="AK947" s="30">
        <v>1</v>
      </c>
      <c r="AL947" s="21">
        <v>1981</v>
      </c>
      <c r="AM947" s="23">
        <f t="shared" si="268"/>
        <v>7.5913570466985512</v>
      </c>
      <c r="AN947" s="33" t="s">
        <v>104</v>
      </c>
      <c r="AO947" s="33" t="s">
        <v>104</v>
      </c>
      <c r="AP947" s="33" t="s">
        <v>104</v>
      </c>
      <c r="AQ947" s="43" t="s">
        <v>104</v>
      </c>
      <c r="AR947" s="42">
        <f>1-AS947</f>
        <v>0.93799999999999994</v>
      </c>
      <c r="AS947" s="18">
        <v>6.2E-2</v>
      </c>
      <c r="AT947">
        <v>0.52400000000000002</v>
      </c>
      <c r="AU947" s="40">
        <f t="shared" si="274"/>
        <v>0.47599999999999998</v>
      </c>
      <c r="AV947" t="s">
        <v>104</v>
      </c>
      <c r="AW947" s="40" t="s">
        <v>104</v>
      </c>
      <c r="AX947">
        <v>0</v>
      </c>
      <c r="AY947" s="18">
        <v>1</v>
      </c>
      <c r="AZ947" t="s">
        <v>104</v>
      </c>
      <c r="BA947" s="18" t="s">
        <v>104</v>
      </c>
      <c r="BB947" s="18" t="s">
        <v>239</v>
      </c>
      <c r="BC947">
        <v>1</v>
      </c>
      <c r="BD947">
        <v>0</v>
      </c>
      <c r="BE947">
        <v>0</v>
      </c>
      <c r="BF947">
        <v>0</v>
      </c>
      <c r="BG947">
        <v>0</v>
      </c>
      <c r="BH947" s="18">
        <v>0</v>
      </c>
      <c r="BI947">
        <v>1</v>
      </c>
      <c r="BJ947">
        <v>0</v>
      </c>
      <c r="BK947" s="18">
        <v>0</v>
      </c>
      <c r="BL947">
        <v>3697.166666666667</v>
      </c>
      <c r="BM947">
        <v>824</v>
      </c>
      <c r="BN947" s="25">
        <v>28.28</v>
      </c>
      <c r="BO947">
        <v>0</v>
      </c>
      <c r="BP947">
        <v>0</v>
      </c>
      <c r="BQ947">
        <v>0</v>
      </c>
      <c r="BR947">
        <v>1</v>
      </c>
      <c r="BS947">
        <v>0</v>
      </c>
      <c r="BT947">
        <v>0</v>
      </c>
      <c r="BU947">
        <v>0</v>
      </c>
      <c r="BV947" s="18">
        <v>0</v>
      </c>
      <c r="BW947">
        <v>1</v>
      </c>
      <c r="BX947">
        <v>0</v>
      </c>
      <c r="BY947">
        <v>0</v>
      </c>
      <c r="BZ947" s="18">
        <v>0</v>
      </c>
      <c r="CA947">
        <v>0</v>
      </c>
      <c r="CB947">
        <v>0</v>
      </c>
      <c r="CC947">
        <v>0</v>
      </c>
      <c r="CD947">
        <v>0</v>
      </c>
      <c r="CE947">
        <v>0</v>
      </c>
      <c r="CF947" s="18">
        <v>0</v>
      </c>
      <c r="CG947">
        <v>1</v>
      </c>
      <c r="CH947">
        <v>0</v>
      </c>
      <c r="CI947">
        <v>0</v>
      </c>
      <c r="CJ947">
        <v>0</v>
      </c>
      <c r="CK947">
        <v>1</v>
      </c>
      <c r="CL947">
        <v>1</v>
      </c>
      <c r="CM947">
        <v>1</v>
      </c>
      <c r="CN947">
        <v>0</v>
      </c>
      <c r="CO947">
        <v>0</v>
      </c>
      <c r="CP947">
        <v>1</v>
      </c>
      <c r="CQ947" s="18">
        <v>0</v>
      </c>
      <c r="CR947">
        <v>0.19600000000000001</v>
      </c>
      <c r="CS947">
        <v>166</v>
      </c>
      <c r="CT947">
        <v>1</v>
      </c>
      <c r="CU947">
        <v>0</v>
      </c>
      <c r="CV947">
        <v>17</v>
      </c>
      <c r="DB947" s="34"/>
    </row>
    <row r="948" spans="1:106" x14ac:dyDescent="0.25">
      <c r="A948">
        <v>947</v>
      </c>
      <c r="B948">
        <v>65</v>
      </c>
      <c r="C948" s="25" t="s">
        <v>4115</v>
      </c>
      <c r="D948" s="12">
        <v>4.37</v>
      </c>
      <c r="E948" s="14">
        <v>0.28999999999999998</v>
      </c>
      <c r="F948" s="7">
        <f t="shared" si="277"/>
        <v>15.068965517241381</v>
      </c>
      <c r="G948" s="7">
        <f t="shared" si="259"/>
        <v>4.08</v>
      </c>
      <c r="H948" s="16">
        <f t="shared" si="260"/>
        <v>4.66</v>
      </c>
      <c r="I948" s="11">
        <f t="shared" si="261"/>
        <v>6.9109827835688309E-2</v>
      </c>
      <c r="J948" s="33">
        <f t="shared" si="262"/>
        <v>4.5862357144964777E-3</v>
      </c>
      <c r="K948" s="33">
        <f t="shared" si="263"/>
        <v>218.04374267967381</v>
      </c>
      <c r="L948" s="33">
        <f t="shared" si="264"/>
        <v>6.4523592121191825E-2</v>
      </c>
      <c r="M948" s="33">
        <f t="shared" si="265"/>
        <v>7.3696063550184793E-2</v>
      </c>
      <c r="N948" s="8">
        <v>0</v>
      </c>
      <c r="O948" s="9">
        <v>1</v>
      </c>
      <c r="P948" s="8">
        <v>0</v>
      </c>
      <c r="Q948" s="9">
        <v>0</v>
      </c>
      <c r="R948" s="9">
        <v>0</v>
      </c>
      <c r="S948" s="9">
        <v>1</v>
      </c>
      <c r="T948" s="9">
        <v>0</v>
      </c>
      <c r="U948" s="8">
        <v>47336</v>
      </c>
      <c r="V948" s="9">
        <v>19</v>
      </c>
      <c r="W948" s="9">
        <f t="shared" si="266"/>
        <v>47316</v>
      </c>
      <c r="X948" s="9">
        <f t="shared" si="267"/>
        <v>24</v>
      </c>
      <c r="Y948" s="7">
        <v>13.154999999999999</v>
      </c>
      <c r="Z948" s="7">
        <f t="shared" si="278"/>
        <v>11.055</v>
      </c>
      <c r="AA948" s="9">
        <v>1</v>
      </c>
      <c r="AB948" s="9">
        <v>0</v>
      </c>
      <c r="AC948" s="9">
        <v>0</v>
      </c>
      <c r="AD948" s="9">
        <v>0</v>
      </c>
      <c r="AE948" s="9">
        <v>0</v>
      </c>
      <c r="AF948" s="9">
        <v>1</v>
      </c>
      <c r="AG948" s="8">
        <v>0</v>
      </c>
      <c r="AH948" s="9">
        <v>1</v>
      </c>
      <c r="AI948" s="30">
        <v>0</v>
      </c>
      <c r="AJ948" s="9">
        <v>0</v>
      </c>
      <c r="AK948" s="30">
        <v>1</v>
      </c>
      <c r="AL948" s="21">
        <v>1981</v>
      </c>
      <c r="AM948" s="23">
        <f t="shared" si="268"/>
        <v>7.5913570466985512</v>
      </c>
      <c r="AN948" s="33" t="s">
        <v>104</v>
      </c>
      <c r="AO948" s="33" t="s">
        <v>104</v>
      </c>
      <c r="AP948" s="33" t="s">
        <v>104</v>
      </c>
      <c r="AQ948" s="43" t="s">
        <v>104</v>
      </c>
      <c r="AR948" s="42">
        <v>0</v>
      </c>
      <c r="AS948" s="18">
        <v>1</v>
      </c>
      <c r="AT948">
        <v>0.63300000000000001</v>
      </c>
      <c r="AU948" s="40">
        <f t="shared" si="274"/>
        <v>0.36699999999999999</v>
      </c>
      <c r="AV948" t="s">
        <v>104</v>
      </c>
      <c r="AW948" s="40" t="s">
        <v>104</v>
      </c>
      <c r="AX948">
        <v>0</v>
      </c>
      <c r="AY948" s="18">
        <v>1</v>
      </c>
      <c r="AZ948" t="s">
        <v>104</v>
      </c>
      <c r="BA948" s="18" t="s">
        <v>104</v>
      </c>
      <c r="BB948" s="18" t="s">
        <v>239</v>
      </c>
      <c r="BC948">
        <v>1</v>
      </c>
      <c r="BD948">
        <v>0</v>
      </c>
      <c r="BE948">
        <v>0</v>
      </c>
      <c r="BF948">
        <v>0</v>
      </c>
      <c r="BG948">
        <v>0</v>
      </c>
      <c r="BH948" s="18">
        <v>0</v>
      </c>
      <c r="BI948">
        <v>1</v>
      </c>
      <c r="BJ948">
        <v>0</v>
      </c>
      <c r="BK948" s="18">
        <v>0</v>
      </c>
      <c r="BL948">
        <v>3697.166666666667</v>
      </c>
      <c r="BM948">
        <v>824</v>
      </c>
      <c r="BN948" s="25">
        <v>30.21</v>
      </c>
      <c r="BO948">
        <v>0</v>
      </c>
      <c r="BP948">
        <v>0</v>
      </c>
      <c r="BQ948">
        <v>0</v>
      </c>
      <c r="BR948">
        <v>1</v>
      </c>
      <c r="BS948">
        <v>0</v>
      </c>
      <c r="BT948">
        <v>0</v>
      </c>
      <c r="BU948">
        <v>0</v>
      </c>
      <c r="BV948" s="18">
        <v>0</v>
      </c>
      <c r="BW948">
        <v>1</v>
      </c>
      <c r="BX948">
        <v>0</v>
      </c>
      <c r="BY948">
        <v>0</v>
      </c>
      <c r="BZ948" s="18">
        <v>0</v>
      </c>
      <c r="CA948">
        <v>0</v>
      </c>
      <c r="CB948">
        <v>0</v>
      </c>
      <c r="CC948">
        <v>0</v>
      </c>
      <c r="CD948">
        <v>0</v>
      </c>
      <c r="CE948">
        <v>0</v>
      </c>
      <c r="CF948" s="18">
        <v>0</v>
      </c>
      <c r="CG948">
        <v>1</v>
      </c>
      <c r="CH948">
        <v>0</v>
      </c>
      <c r="CI948">
        <v>0</v>
      </c>
      <c r="CJ948">
        <v>0</v>
      </c>
      <c r="CK948">
        <v>1</v>
      </c>
      <c r="CL948">
        <v>1</v>
      </c>
      <c r="CM948">
        <v>1</v>
      </c>
      <c r="CN948">
        <v>0</v>
      </c>
      <c r="CO948">
        <v>0</v>
      </c>
      <c r="CP948">
        <v>1</v>
      </c>
      <c r="CQ948" s="18">
        <v>0</v>
      </c>
      <c r="CR948">
        <v>0.19600000000000001</v>
      </c>
      <c r="CS948">
        <v>166</v>
      </c>
      <c r="CT948">
        <v>1</v>
      </c>
      <c r="CU948">
        <v>0</v>
      </c>
      <c r="CV948">
        <v>17</v>
      </c>
      <c r="DB948" s="34"/>
    </row>
    <row r="949" spans="1:106" x14ac:dyDescent="0.25">
      <c r="A949">
        <v>948</v>
      </c>
      <c r="B949">
        <v>65</v>
      </c>
      <c r="C949" s="25" t="s">
        <v>4115</v>
      </c>
      <c r="D949" s="12">
        <v>4.43</v>
      </c>
      <c r="E949" s="14">
        <v>0.27</v>
      </c>
      <c r="F949" s="7">
        <f t="shared" si="277"/>
        <v>16.407407407407405</v>
      </c>
      <c r="G949" s="7">
        <f t="shared" si="259"/>
        <v>4.16</v>
      </c>
      <c r="H949" s="16">
        <f t="shared" si="260"/>
        <v>4.6999999999999993</v>
      </c>
      <c r="I949" s="11">
        <f t="shared" si="261"/>
        <v>7.2872020659854361E-2</v>
      </c>
      <c r="J949" s="33">
        <f t="shared" si="262"/>
        <v>4.4414098370565867E-3</v>
      </c>
      <c r="K949" s="33">
        <f t="shared" si="263"/>
        <v>225.15373196514565</v>
      </c>
      <c r="L949" s="33">
        <f t="shared" si="264"/>
        <v>6.8430610822797777E-2</v>
      </c>
      <c r="M949" s="33">
        <f t="shared" si="265"/>
        <v>7.7313430496910945E-2</v>
      </c>
      <c r="N949" s="8">
        <v>0</v>
      </c>
      <c r="O949" s="9">
        <v>1</v>
      </c>
      <c r="P949" s="8">
        <v>0</v>
      </c>
      <c r="Q949" s="9">
        <v>0</v>
      </c>
      <c r="R949" s="9">
        <v>0</v>
      </c>
      <c r="S949" s="9">
        <v>1</v>
      </c>
      <c r="T949" s="9">
        <v>0</v>
      </c>
      <c r="U949" s="8">
        <v>50445</v>
      </c>
      <c r="V949" s="9">
        <v>19</v>
      </c>
      <c r="W949" s="9">
        <f t="shared" si="266"/>
        <v>50425</v>
      </c>
      <c r="X949" s="9">
        <f t="shared" si="267"/>
        <v>24</v>
      </c>
      <c r="Y949" s="7">
        <v>13.153</v>
      </c>
      <c r="Z949" s="7">
        <f t="shared" si="278"/>
        <v>8.9969999999999981</v>
      </c>
      <c r="AA949" s="9">
        <v>1</v>
      </c>
      <c r="AB949" s="9">
        <v>0</v>
      </c>
      <c r="AC949" s="9">
        <v>0</v>
      </c>
      <c r="AD949" s="9">
        <v>0</v>
      </c>
      <c r="AE949" s="9">
        <v>0</v>
      </c>
      <c r="AF949" s="9">
        <v>1</v>
      </c>
      <c r="AG949" s="8">
        <v>0</v>
      </c>
      <c r="AH949" s="9">
        <v>1</v>
      </c>
      <c r="AI949" s="30">
        <v>0</v>
      </c>
      <c r="AJ949" s="9">
        <v>0</v>
      </c>
      <c r="AK949" s="30">
        <v>1</v>
      </c>
      <c r="AL949" s="21">
        <v>1981</v>
      </c>
      <c r="AM949" s="23">
        <f t="shared" si="268"/>
        <v>7.5913570466985512</v>
      </c>
      <c r="AN949" s="33" t="s">
        <v>104</v>
      </c>
      <c r="AO949" s="33" t="s">
        <v>104</v>
      </c>
      <c r="AP949" s="33" t="s">
        <v>104</v>
      </c>
      <c r="AQ949" s="43" t="s">
        <v>104</v>
      </c>
      <c r="AR949" s="42">
        <v>1</v>
      </c>
      <c r="AS949" s="18">
        <v>0</v>
      </c>
      <c r="AT949">
        <v>0.51700000000000002</v>
      </c>
      <c r="AU949" s="40">
        <f t="shared" si="274"/>
        <v>0.48299999999999998</v>
      </c>
      <c r="AV949" t="s">
        <v>104</v>
      </c>
      <c r="AW949" s="40" t="s">
        <v>104</v>
      </c>
      <c r="AX949">
        <v>0</v>
      </c>
      <c r="AY949" s="18">
        <v>1</v>
      </c>
      <c r="AZ949" t="s">
        <v>104</v>
      </c>
      <c r="BA949" s="18" t="s">
        <v>104</v>
      </c>
      <c r="BB949" s="18" t="s">
        <v>239</v>
      </c>
      <c r="BC949">
        <v>1</v>
      </c>
      <c r="BD949">
        <v>0</v>
      </c>
      <c r="BE949">
        <v>0</v>
      </c>
      <c r="BF949">
        <v>0</v>
      </c>
      <c r="BG949">
        <v>0</v>
      </c>
      <c r="BH949" s="18">
        <v>0</v>
      </c>
      <c r="BI949">
        <v>1</v>
      </c>
      <c r="BJ949">
        <v>0</v>
      </c>
      <c r="BK949" s="18">
        <v>0</v>
      </c>
      <c r="BL949">
        <v>3697.166666666667</v>
      </c>
      <c r="BM949">
        <v>824</v>
      </c>
      <c r="BN949" s="25">
        <v>28.15</v>
      </c>
      <c r="BO949">
        <v>0</v>
      </c>
      <c r="BP949">
        <v>0</v>
      </c>
      <c r="BQ949">
        <v>0</v>
      </c>
      <c r="BR949">
        <v>1</v>
      </c>
      <c r="BS949">
        <v>0</v>
      </c>
      <c r="BT949">
        <v>0</v>
      </c>
      <c r="BU949">
        <v>0</v>
      </c>
      <c r="BV949" s="18">
        <v>0</v>
      </c>
      <c r="BW949">
        <v>1</v>
      </c>
      <c r="BX949">
        <v>0</v>
      </c>
      <c r="BY949">
        <v>0</v>
      </c>
      <c r="BZ949" s="18">
        <v>0</v>
      </c>
      <c r="CA949">
        <v>0</v>
      </c>
      <c r="CB949">
        <v>0</v>
      </c>
      <c r="CC949">
        <v>0</v>
      </c>
      <c r="CD949">
        <v>0</v>
      </c>
      <c r="CE949">
        <v>0</v>
      </c>
      <c r="CF949" s="18">
        <v>0</v>
      </c>
      <c r="CG949">
        <v>1</v>
      </c>
      <c r="CH949">
        <v>0</v>
      </c>
      <c r="CI949">
        <v>0</v>
      </c>
      <c r="CJ949">
        <v>0</v>
      </c>
      <c r="CK949">
        <v>1</v>
      </c>
      <c r="CL949">
        <v>1</v>
      </c>
      <c r="CM949">
        <v>1</v>
      </c>
      <c r="CN949">
        <v>0</v>
      </c>
      <c r="CO949">
        <v>0</v>
      </c>
      <c r="CP949">
        <v>1</v>
      </c>
      <c r="CQ949" s="18">
        <v>0</v>
      </c>
      <c r="CR949">
        <v>0.19600000000000001</v>
      </c>
      <c r="CS949">
        <v>166</v>
      </c>
      <c r="CT949">
        <v>1</v>
      </c>
      <c r="CU949">
        <v>0</v>
      </c>
      <c r="CV949">
        <v>17</v>
      </c>
      <c r="DB949" s="34"/>
    </row>
    <row r="950" spans="1:106" x14ac:dyDescent="0.25">
      <c r="A950">
        <v>949</v>
      </c>
      <c r="B950">
        <v>65</v>
      </c>
      <c r="C950" s="25" t="s">
        <v>4115</v>
      </c>
      <c r="D950" s="12">
        <v>17.64</v>
      </c>
      <c r="E950" s="14">
        <v>5.52</v>
      </c>
      <c r="F950" s="7">
        <f t="shared" si="277"/>
        <v>3.1956521739130439</v>
      </c>
      <c r="G950" s="7">
        <f t="shared" si="259"/>
        <v>12.120000000000001</v>
      </c>
      <c r="H950" s="16">
        <f t="shared" si="260"/>
        <v>23.16</v>
      </c>
      <c r="I950" s="11">
        <f t="shared" si="261"/>
        <v>5.591615566090917E-2</v>
      </c>
      <c r="J950" s="33">
        <f t="shared" si="262"/>
        <v>1.7497572519740285E-2</v>
      </c>
      <c r="K950" s="33">
        <f t="shared" si="263"/>
        <v>57.150784708669001</v>
      </c>
      <c r="L950" s="33">
        <f t="shared" si="264"/>
        <v>3.8418583141168888E-2</v>
      </c>
      <c r="M950" s="33">
        <f t="shared" si="265"/>
        <v>7.3413728180649451E-2</v>
      </c>
      <c r="N950" s="8">
        <v>0</v>
      </c>
      <c r="O950" s="9">
        <v>1</v>
      </c>
      <c r="P950" s="8">
        <v>0</v>
      </c>
      <c r="Q950" s="9">
        <v>0</v>
      </c>
      <c r="R950" s="9">
        <v>0</v>
      </c>
      <c r="S950" s="9">
        <v>1</v>
      </c>
      <c r="T950" s="9">
        <v>0</v>
      </c>
      <c r="U950" s="8">
        <v>3275</v>
      </c>
      <c r="V950" s="9">
        <v>18</v>
      </c>
      <c r="W950" s="9">
        <f t="shared" si="266"/>
        <v>3256</v>
      </c>
      <c r="X950" s="9">
        <f t="shared" si="267"/>
        <v>24</v>
      </c>
      <c r="Y950" s="7">
        <v>13.131</v>
      </c>
      <c r="Z950" s="7">
        <f t="shared" si="278"/>
        <v>9.1490000000000009</v>
      </c>
      <c r="AA950" s="9">
        <v>1</v>
      </c>
      <c r="AB950" s="9">
        <v>0</v>
      </c>
      <c r="AC950" s="9">
        <v>0</v>
      </c>
      <c r="AD950" s="9">
        <v>0</v>
      </c>
      <c r="AE950" s="9">
        <v>0</v>
      </c>
      <c r="AF950" s="9">
        <v>1</v>
      </c>
      <c r="AG950" s="8">
        <v>0</v>
      </c>
      <c r="AH950" s="9">
        <v>1</v>
      </c>
      <c r="AI950" s="30">
        <v>0</v>
      </c>
      <c r="AJ950" s="9">
        <v>0</v>
      </c>
      <c r="AK950" s="30">
        <v>1</v>
      </c>
      <c r="AL950" s="21">
        <v>1981</v>
      </c>
      <c r="AM950" s="23">
        <f t="shared" si="268"/>
        <v>7.5913570466985512</v>
      </c>
      <c r="AN950" s="33" t="s">
        <v>104</v>
      </c>
      <c r="AO950" s="33" t="s">
        <v>104</v>
      </c>
      <c r="AP950" s="33" t="s">
        <v>104</v>
      </c>
      <c r="AQ950" s="43" t="s">
        <v>104</v>
      </c>
      <c r="AR950" s="42">
        <f>1-AS950</f>
        <v>0.93799999999999994</v>
      </c>
      <c r="AS950" s="18">
        <v>6.2E-2</v>
      </c>
      <c r="AT950">
        <v>0.52400000000000002</v>
      </c>
      <c r="AU950" s="40">
        <f t="shared" si="274"/>
        <v>0.47599999999999998</v>
      </c>
      <c r="AV950" t="s">
        <v>104</v>
      </c>
      <c r="AW950" s="40" t="s">
        <v>104</v>
      </c>
      <c r="AX950">
        <v>0</v>
      </c>
      <c r="AY950" s="18">
        <v>1</v>
      </c>
      <c r="AZ950" t="s">
        <v>104</v>
      </c>
      <c r="BA950" s="18" t="s">
        <v>104</v>
      </c>
      <c r="BB950" s="18" t="s">
        <v>239</v>
      </c>
      <c r="BC950">
        <v>1</v>
      </c>
      <c r="BD950">
        <v>0</v>
      </c>
      <c r="BE950">
        <v>0</v>
      </c>
      <c r="BF950">
        <v>0</v>
      </c>
      <c r="BG950">
        <v>0</v>
      </c>
      <c r="BH950" s="18">
        <v>0</v>
      </c>
      <c r="BI950">
        <v>1</v>
      </c>
      <c r="BJ950">
        <v>0</v>
      </c>
      <c r="BK950" s="18">
        <v>0</v>
      </c>
      <c r="BL950">
        <v>3697.166666666667</v>
      </c>
      <c r="BM950">
        <v>824</v>
      </c>
      <c r="BN950" s="25">
        <v>28.28</v>
      </c>
      <c r="BO950">
        <v>0</v>
      </c>
      <c r="BP950">
        <v>0</v>
      </c>
      <c r="BQ950">
        <v>0</v>
      </c>
      <c r="BR950">
        <v>0</v>
      </c>
      <c r="BS950">
        <v>0</v>
      </c>
      <c r="BT950">
        <v>0</v>
      </c>
      <c r="BU950">
        <v>0</v>
      </c>
      <c r="BV950" s="18">
        <v>1</v>
      </c>
      <c r="BW950">
        <v>0</v>
      </c>
      <c r="BX950">
        <v>1</v>
      </c>
      <c r="BY950">
        <v>0</v>
      </c>
      <c r="BZ950" s="18">
        <v>0</v>
      </c>
      <c r="CA950">
        <v>0</v>
      </c>
      <c r="CB950">
        <v>0</v>
      </c>
      <c r="CC950">
        <v>0</v>
      </c>
      <c r="CD950">
        <v>0</v>
      </c>
      <c r="CE950">
        <v>0</v>
      </c>
      <c r="CF950" s="18">
        <v>0</v>
      </c>
      <c r="CG950">
        <v>1</v>
      </c>
      <c r="CH950">
        <v>0</v>
      </c>
      <c r="CI950">
        <v>0</v>
      </c>
      <c r="CJ950">
        <v>0</v>
      </c>
      <c r="CK950">
        <v>1</v>
      </c>
      <c r="CL950">
        <v>1</v>
      </c>
      <c r="CM950">
        <v>1</v>
      </c>
      <c r="CN950">
        <v>0</v>
      </c>
      <c r="CO950">
        <v>0</v>
      </c>
      <c r="CP950">
        <v>1</v>
      </c>
      <c r="CQ950" s="18">
        <v>0</v>
      </c>
      <c r="CR950">
        <v>0.19600000000000001</v>
      </c>
      <c r="CS950">
        <v>166</v>
      </c>
      <c r="CT950">
        <v>1</v>
      </c>
      <c r="CU950">
        <v>0</v>
      </c>
      <c r="CV950">
        <v>17</v>
      </c>
      <c r="DB950" s="34"/>
    </row>
    <row r="951" spans="1:106" x14ac:dyDescent="0.25">
      <c r="A951">
        <v>950</v>
      </c>
      <c r="B951">
        <v>65</v>
      </c>
      <c r="C951" s="25" t="s">
        <v>4115</v>
      </c>
      <c r="D951" s="12">
        <v>12.73</v>
      </c>
      <c r="E951" s="14">
        <v>1.18</v>
      </c>
      <c r="F951" s="7">
        <f t="shared" si="277"/>
        <v>10.788135593220339</v>
      </c>
      <c r="G951" s="7">
        <f t="shared" si="259"/>
        <v>11.55</v>
      </c>
      <c r="H951" s="16">
        <f t="shared" si="260"/>
        <v>13.91</v>
      </c>
      <c r="I951" s="11">
        <f t="shared" si="261"/>
        <v>4.8479082851631536E-2</v>
      </c>
      <c r="J951" s="33">
        <f t="shared" si="262"/>
        <v>4.4937405942596393E-3</v>
      </c>
      <c r="K951" s="33">
        <f t="shared" si="263"/>
        <v>222.53175923804159</v>
      </c>
      <c r="L951" s="33">
        <f t="shared" si="264"/>
        <v>4.3985342257371898E-2</v>
      </c>
      <c r="M951" s="33">
        <f t="shared" si="265"/>
        <v>5.2972823445891173E-2</v>
      </c>
      <c r="N951" s="8">
        <v>0</v>
      </c>
      <c r="O951" s="9">
        <v>1</v>
      </c>
      <c r="P951" s="8">
        <v>0</v>
      </c>
      <c r="Q951" s="9">
        <v>0</v>
      </c>
      <c r="R951" s="9">
        <v>0</v>
      </c>
      <c r="S951" s="9">
        <v>1</v>
      </c>
      <c r="T951" s="9">
        <v>0</v>
      </c>
      <c r="U951" s="8">
        <v>49423</v>
      </c>
      <c r="V951" s="9">
        <v>18</v>
      </c>
      <c r="W951" s="9">
        <f t="shared" si="266"/>
        <v>49404</v>
      </c>
      <c r="X951" s="9">
        <f t="shared" si="267"/>
        <v>24</v>
      </c>
      <c r="Y951" s="7">
        <v>13.154999999999999</v>
      </c>
      <c r="Z951" s="7">
        <f t="shared" si="278"/>
        <v>11.055</v>
      </c>
      <c r="AA951" s="9">
        <v>1</v>
      </c>
      <c r="AB951" s="9">
        <v>0</v>
      </c>
      <c r="AC951" s="9">
        <v>0</v>
      </c>
      <c r="AD951" s="9">
        <v>0</v>
      </c>
      <c r="AE951" s="9">
        <v>0</v>
      </c>
      <c r="AF951" s="9">
        <v>1</v>
      </c>
      <c r="AG951" s="8">
        <v>0</v>
      </c>
      <c r="AH951" s="9">
        <v>1</v>
      </c>
      <c r="AI951" s="30">
        <v>0</v>
      </c>
      <c r="AJ951" s="9">
        <v>0</v>
      </c>
      <c r="AK951" s="30">
        <v>1</v>
      </c>
      <c r="AL951" s="21">
        <v>1981</v>
      </c>
      <c r="AM951" s="23">
        <f t="shared" si="268"/>
        <v>7.5913570466985512</v>
      </c>
      <c r="AN951" s="33" t="s">
        <v>104</v>
      </c>
      <c r="AO951" s="33" t="s">
        <v>104</v>
      </c>
      <c r="AP951" s="33" t="s">
        <v>104</v>
      </c>
      <c r="AQ951" s="43" t="s">
        <v>104</v>
      </c>
      <c r="AR951" s="42">
        <v>0</v>
      </c>
      <c r="AS951" s="18">
        <v>1</v>
      </c>
      <c r="AT951">
        <v>0.63300000000000001</v>
      </c>
      <c r="AU951" s="40">
        <f t="shared" si="274"/>
        <v>0.36699999999999999</v>
      </c>
      <c r="AV951" t="s">
        <v>104</v>
      </c>
      <c r="AW951" s="40" t="s">
        <v>104</v>
      </c>
      <c r="AX951">
        <v>0</v>
      </c>
      <c r="AY951" s="18">
        <v>1</v>
      </c>
      <c r="AZ951" t="s">
        <v>104</v>
      </c>
      <c r="BA951" s="18" t="s">
        <v>104</v>
      </c>
      <c r="BB951" s="18" t="s">
        <v>239</v>
      </c>
      <c r="BC951">
        <v>1</v>
      </c>
      <c r="BD951">
        <v>0</v>
      </c>
      <c r="BE951">
        <v>0</v>
      </c>
      <c r="BF951">
        <v>0</v>
      </c>
      <c r="BG951">
        <v>0</v>
      </c>
      <c r="BH951" s="18">
        <v>0</v>
      </c>
      <c r="BI951">
        <v>1</v>
      </c>
      <c r="BJ951">
        <v>0</v>
      </c>
      <c r="BK951" s="18">
        <v>0</v>
      </c>
      <c r="BL951">
        <v>3697.166666666667</v>
      </c>
      <c r="BM951">
        <v>824</v>
      </c>
      <c r="BN951" s="25">
        <v>30.21</v>
      </c>
      <c r="BO951">
        <v>0</v>
      </c>
      <c r="BP951">
        <v>0</v>
      </c>
      <c r="BQ951">
        <v>0</v>
      </c>
      <c r="BR951">
        <v>0</v>
      </c>
      <c r="BS951">
        <v>0</v>
      </c>
      <c r="BT951">
        <v>0</v>
      </c>
      <c r="BU951">
        <v>0</v>
      </c>
      <c r="BV951" s="18">
        <v>1</v>
      </c>
      <c r="BW951">
        <v>0</v>
      </c>
      <c r="BX951">
        <v>1</v>
      </c>
      <c r="BY951">
        <v>0</v>
      </c>
      <c r="BZ951" s="18">
        <v>0</v>
      </c>
      <c r="CA951">
        <v>0</v>
      </c>
      <c r="CB951">
        <v>0</v>
      </c>
      <c r="CC951">
        <v>0</v>
      </c>
      <c r="CD951">
        <v>0</v>
      </c>
      <c r="CE951">
        <v>0</v>
      </c>
      <c r="CF951" s="18">
        <v>0</v>
      </c>
      <c r="CG951">
        <v>1</v>
      </c>
      <c r="CH951">
        <v>0</v>
      </c>
      <c r="CI951">
        <v>0</v>
      </c>
      <c r="CJ951">
        <v>0</v>
      </c>
      <c r="CK951">
        <v>1</v>
      </c>
      <c r="CL951">
        <v>1</v>
      </c>
      <c r="CM951">
        <v>1</v>
      </c>
      <c r="CN951">
        <v>0</v>
      </c>
      <c r="CO951">
        <v>0</v>
      </c>
      <c r="CP951">
        <v>1</v>
      </c>
      <c r="CQ951" s="18">
        <v>0</v>
      </c>
      <c r="CR951">
        <v>0.19600000000000001</v>
      </c>
      <c r="CS951">
        <v>166</v>
      </c>
      <c r="CT951">
        <v>1</v>
      </c>
      <c r="CU951">
        <v>0</v>
      </c>
      <c r="CV951">
        <v>17</v>
      </c>
      <c r="DB951" s="34"/>
    </row>
    <row r="952" spans="1:106" x14ac:dyDescent="0.25">
      <c r="A952">
        <v>951</v>
      </c>
      <c r="B952">
        <v>65</v>
      </c>
      <c r="C952" s="25" t="s">
        <v>4115</v>
      </c>
      <c r="D952" s="12">
        <v>11.27</v>
      </c>
      <c r="E952" s="14">
        <v>1.07</v>
      </c>
      <c r="F952" s="7">
        <f t="shared" si="277"/>
        <v>10.532710280373831</v>
      </c>
      <c r="G952" s="7">
        <f t="shared" si="259"/>
        <v>10.199999999999999</v>
      </c>
      <c r="H952" s="16">
        <f t="shared" si="260"/>
        <v>12.34</v>
      </c>
      <c r="I952" s="11">
        <f t="shared" si="261"/>
        <v>4.5842106149373264E-2</v>
      </c>
      <c r="J952" s="33">
        <f t="shared" si="262"/>
        <v>4.3523561295323336E-3</v>
      </c>
      <c r="K952" s="33">
        <f t="shared" si="263"/>
        <v>229.76061017034729</v>
      </c>
      <c r="L952" s="33">
        <f t="shared" si="264"/>
        <v>4.1489750019840933E-2</v>
      </c>
      <c r="M952" s="33">
        <f t="shared" si="265"/>
        <v>5.0194462278905595E-2</v>
      </c>
      <c r="N952" s="8">
        <v>0</v>
      </c>
      <c r="O952" s="9">
        <v>1</v>
      </c>
      <c r="P952" s="8">
        <v>0</v>
      </c>
      <c r="Q952" s="9">
        <v>0</v>
      </c>
      <c r="R952" s="9">
        <v>0</v>
      </c>
      <c r="S952" s="9">
        <v>1</v>
      </c>
      <c r="T952" s="9">
        <v>0</v>
      </c>
      <c r="U952" s="8">
        <v>52698</v>
      </c>
      <c r="V952" s="9">
        <v>18</v>
      </c>
      <c r="W952" s="9">
        <f t="shared" si="266"/>
        <v>52679</v>
      </c>
      <c r="X952" s="9">
        <f t="shared" si="267"/>
        <v>24</v>
      </c>
      <c r="Y952" s="7">
        <v>13.153</v>
      </c>
      <c r="Z952" s="7">
        <f t="shared" si="278"/>
        <v>8.9969999999999981</v>
      </c>
      <c r="AA952" s="9">
        <v>1</v>
      </c>
      <c r="AB952" s="9">
        <v>0</v>
      </c>
      <c r="AC952" s="9">
        <v>0</v>
      </c>
      <c r="AD952" s="9">
        <v>0</v>
      </c>
      <c r="AE952" s="9">
        <v>0</v>
      </c>
      <c r="AF952" s="9">
        <v>1</v>
      </c>
      <c r="AG952" s="8">
        <v>0</v>
      </c>
      <c r="AH952" s="9">
        <v>1</v>
      </c>
      <c r="AI952" s="30">
        <v>0</v>
      </c>
      <c r="AJ952" s="9">
        <v>0</v>
      </c>
      <c r="AK952" s="30">
        <v>1</v>
      </c>
      <c r="AL952" s="21">
        <v>1981</v>
      </c>
      <c r="AM952" s="23">
        <f t="shared" si="268"/>
        <v>7.5913570466985512</v>
      </c>
      <c r="AN952" s="33" t="s">
        <v>104</v>
      </c>
      <c r="AO952" s="33" t="s">
        <v>104</v>
      </c>
      <c r="AP952" s="33" t="s">
        <v>104</v>
      </c>
      <c r="AQ952" s="43" t="s">
        <v>104</v>
      </c>
      <c r="AR952" s="42">
        <v>1</v>
      </c>
      <c r="AS952" s="18">
        <v>0</v>
      </c>
      <c r="AT952">
        <v>0.51700000000000002</v>
      </c>
      <c r="AU952" s="40">
        <f t="shared" si="274"/>
        <v>0.48299999999999998</v>
      </c>
      <c r="AV952" t="s">
        <v>104</v>
      </c>
      <c r="AW952" s="40" t="s">
        <v>104</v>
      </c>
      <c r="AX952">
        <v>0</v>
      </c>
      <c r="AY952" s="18">
        <v>1</v>
      </c>
      <c r="AZ952" t="s">
        <v>104</v>
      </c>
      <c r="BA952" s="18" t="s">
        <v>104</v>
      </c>
      <c r="BB952" s="18" t="s">
        <v>239</v>
      </c>
      <c r="BC952">
        <v>1</v>
      </c>
      <c r="BD952">
        <v>0</v>
      </c>
      <c r="BE952">
        <v>0</v>
      </c>
      <c r="BF952">
        <v>0</v>
      </c>
      <c r="BG952">
        <v>0</v>
      </c>
      <c r="BH952" s="18">
        <v>0</v>
      </c>
      <c r="BI952">
        <v>1</v>
      </c>
      <c r="BJ952">
        <v>0</v>
      </c>
      <c r="BK952" s="18">
        <v>0</v>
      </c>
      <c r="BL952">
        <v>3697.166666666667</v>
      </c>
      <c r="BM952">
        <v>824</v>
      </c>
      <c r="BN952" s="25">
        <v>28.15</v>
      </c>
      <c r="BO952">
        <v>0</v>
      </c>
      <c r="BP952">
        <v>0</v>
      </c>
      <c r="BQ952">
        <v>0</v>
      </c>
      <c r="BR952">
        <v>0</v>
      </c>
      <c r="BS952">
        <v>0</v>
      </c>
      <c r="BT952">
        <v>0</v>
      </c>
      <c r="BU952">
        <v>0</v>
      </c>
      <c r="BV952" s="18">
        <v>1</v>
      </c>
      <c r="BW952">
        <v>0</v>
      </c>
      <c r="BX952">
        <v>1</v>
      </c>
      <c r="BY952">
        <v>0</v>
      </c>
      <c r="BZ952" s="18">
        <v>0</v>
      </c>
      <c r="CA952">
        <v>0</v>
      </c>
      <c r="CB952">
        <v>0</v>
      </c>
      <c r="CC952">
        <v>0</v>
      </c>
      <c r="CD952">
        <v>0</v>
      </c>
      <c r="CE952">
        <v>0</v>
      </c>
      <c r="CF952" s="18">
        <v>0</v>
      </c>
      <c r="CG952">
        <v>1</v>
      </c>
      <c r="CH952">
        <v>0</v>
      </c>
      <c r="CI952">
        <v>0</v>
      </c>
      <c r="CJ952">
        <v>0</v>
      </c>
      <c r="CK952">
        <v>1</v>
      </c>
      <c r="CL952">
        <v>1</v>
      </c>
      <c r="CM952">
        <v>1</v>
      </c>
      <c r="CN952">
        <v>0</v>
      </c>
      <c r="CO952">
        <v>0</v>
      </c>
      <c r="CP952">
        <v>1</v>
      </c>
      <c r="CQ952" s="18">
        <v>0</v>
      </c>
      <c r="CR952">
        <v>0.19600000000000001</v>
      </c>
      <c r="CS952">
        <v>166</v>
      </c>
      <c r="CT952">
        <v>1</v>
      </c>
      <c r="CU952">
        <v>0</v>
      </c>
      <c r="CV952">
        <v>17</v>
      </c>
      <c r="DB952" s="34"/>
    </row>
    <row r="953" spans="1:106" x14ac:dyDescent="0.25">
      <c r="A953">
        <v>952</v>
      </c>
      <c r="B953">
        <v>65</v>
      </c>
      <c r="C953" s="25" t="s">
        <v>4115</v>
      </c>
      <c r="D953" s="12">
        <v>21.23</v>
      </c>
      <c r="E953" s="14">
        <v>5.52</v>
      </c>
      <c r="F953" s="7">
        <f t="shared" si="277"/>
        <v>3.8460144927536235</v>
      </c>
      <c r="G953" s="7">
        <f t="shared" si="259"/>
        <v>15.71</v>
      </c>
      <c r="H953" s="16">
        <f t="shared" si="260"/>
        <v>26.75</v>
      </c>
      <c r="I953" s="11">
        <f t="shared" si="261"/>
        <v>6.9034252041442867E-2</v>
      </c>
      <c r="J953" s="33">
        <f t="shared" si="262"/>
        <v>1.7949555877002574E-2</v>
      </c>
      <c r="K953" s="33">
        <f t="shared" si="263"/>
        <v>55.711684837908741</v>
      </c>
      <c r="L953" s="33">
        <f t="shared" si="264"/>
        <v>5.1084696164440294E-2</v>
      </c>
      <c r="M953" s="33">
        <f t="shared" si="265"/>
        <v>8.6983807918445441E-2</v>
      </c>
      <c r="N953" s="8">
        <v>0</v>
      </c>
      <c r="O953" s="9">
        <v>1</v>
      </c>
      <c r="P953" s="8">
        <v>0</v>
      </c>
      <c r="Q953" s="9">
        <v>0</v>
      </c>
      <c r="R953" s="9">
        <v>0</v>
      </c>
      <c r="S953" s="9">
        <v>1</v>
      </c>
      <c r="T953" s="9">
        <v>0</v>
      </c>
      <c r="U953" s="8">
        <v>3109</v>
      </c>
      <c r="V953" s="9">
        <v>19</v>
      </c>
      <c r="W953" s="9">
        <f t="shared" si="266"/>
        <v>3089</v>
      </c>
      <c r="X953" s="9">
        <f t="shared" si="267"/>
        <v>24</v>
      </c>
      <c r="Y953" s="7">
        <v>13.131</v>
      </c>
      <c r="Z953" s="7">
        <f t="shared" si="278"/>
        <v>9.1490000000000009</v>
      </c>
      <c r="AA953" s="9">
        <v>1</v>
      </c>
      <c r="AB953" s="9">
        <v>0</v>
      </c>
      <c r="AC953" s="9">
        <v>0</v>
      </c>
      <c r="AD953" s="9">
        <v>0</v>
      </c>
      <c r="AE953" s="9">
        <v>0</v>
      </c>
      <c r="AF953" s="9">
        <v>1</v>
      </c>
      <c r="AG953" s="8">
        <v>0</v>
      </c>
      <c r="AH953" s="9">
        <v>1</v>
      </c>
      <c r="AI953" s="30">
        <v>0</v>
      </c>
      <c r="AJ953" s="9">
        <v>0</v>
      </c>
      <c r="AK953" s="30">
        <v>1</v>
      </c>
      <c r="AL953" s="21">
        <v>1981</v>
      </c>
      <c r="AM953" s="23">
        <f t="shared" si="268"/>
        <v>7.5913570466985512</v>
      </c>
      <c r="AN953" s="33" t="s">
        <v>104</v>
      </c>
      <c r="AO953" s="33" t="s">
        <v>104</v>
      </c>
      <c r="AP953" s="33" t="s">
        <v>104</v>
      </c>
      <c r="AQ953" s="43" t="s">
        <v>104</v>
      </c>
      <c r="AR953" s="42">
        <f>1-AS953</f>
        <v>0.93799999999999994</v>
      </c>
      <c r="AS953" s="18">
        <v>6.2E-2</v>
      </c>
      <c r="AT953">
        <v>0.52400000000000002</v>
      </c>
      <c r="AU953" s="40">
        <f t="shared" si="274"/>
        <v>0.47599999999999998</v>
      </c>
      <c r="AV953" t="s">
        <v>104</v>
      </c>
      <c r="AW953" s="40" t="s">
        <v>104</v>
      </c>
      <c r="AX953">
        <v>0</v>
      </c>
      <c r="AY953" s="18">
        <v>1</v>
      </c>
      <c r="AZ953" t="s">
        <v>104</v>
      </c>
      <c r="BA953" s="18" t="s">
        <v>104</v>
      </c>
      <c r="BB953" s="18" t="s">
        <v>239</v>
      </c>
      <c r="BC953">
        <v>1</v>
      </c>
      <c r="BD953">
        <v>0</v>
      </c>
      <c r="BE953">
        <v>0</v>
      </c>
      <c r="BF953">
        <v>0</v>
      </c>
      <c r="BG953">
        <v>0</v>
      </c>
      <c r="BH953" s="18">
        <v>0</v>
      </c>
      <c r="BI953">
        <v>1</v>
      </c>
      <c r="BJ953">
        <v>0</v>
      </c>
      <c r="BK953" s="18">
        <v>0</v>
      </c>
      <c r="BL953">
        <v>3697.166666666667</v>
      </c>
      <c r="BM953">
        <v>824</v>
      </c>
      <c r="BN953" s="25">
        <v>28.28</v>
      </c>
      <c r="BO953">
        <v>0</v>
      </c>
      <c r="BP953">
        <v>0</v>
      </c>
      <c r="BQ953">
        <v>0</v>
      </c>
      <c r="BR953">
        <v>0</v>
      </c>
      <c r="BS953">
        <v>0</v>
      </c>
      <c r="BT953">
        <v>0</v>
      </c>
      <c r="BU953">
        <v>0</v>
      </c>
      <c r="BV953" s="18">
        <v>1</v>
      </c>
      <c r="BW953">
        <v>1</v>
      </c>
      <c r="BX953">
        <v>0</v>
      </c>
      <c r="BY953">
        <v>0</v>
      </c>
      <c r="BZ953" s="18">
        <v>0</v>
      </c>
      <c r="CA953">
        <v>0</v>
      </c>
      <c r="CB953">
        <v>0</v>
      </c>
      <c r="CC953">
        <v>0</v>
      </c>
      <c r="CD953">
        <v>0</v>
      </c>
      <c r="CE953">
        <v>0</v>
      </c>
      <c r="CF953" s="18">
        <v>0</v>
      </c>
      <c r="CG953">
        <v>1</v>
      </c>
      <c r="CH953">
        <v>0</v>
      </c>
      <c r="CI953">
        <v>0</v>
      </c>
      <c r="CJ953">
        <v>0</v>
      </c>
      <c r="CK953">
        <v>1</v>
      </c>
      <c r="CL953">
        <v>1</v>
      </c>
      <c r="CM953">
        <v>1</v>
      </c>
      <c r="CN953">
        <v>0</v>
      </c>
      <c r="CO953">
        <v>0</v>
      </c>
      <c r="CP953">
        <v>1</v>
      </c>
      <c r="CQ953" s="18">
        <v>0</v>
      </c>
      <c r="CR953">
        <v>0.19600000000000001</v>
      </c>
      <c r="CS953">
        <v>166</v>
      </c>
      <c r="CT953">
        <v>1</v>
      </c>
      <c r="CU953">
        <v>0</v>
      </c>
      <c r="CV953">
        <v>17</v>
      </c>
      <c r="DB953" s="34"/>
    </row>
    <row r="954" spans="1:106" x14ac:dyDescent="0.25">
      <c r="A954">
        <v>953</v>
      </c>
      <c r="B954">
        <v>65</v>
      </c>
      <c r="C954" s="25" t="s">
        <v>4115</v>
      </c>
      <c r="D954" s="12">
        <v>11.81</v>
      </c>
      <c r="E954" s="14">
        <v>1.63</v>
      </c>
      <c r="F954" s="7">
        <f t="shared" si="277"/>
        <v>7.2453987730061353</v>
      </c>
      <c r="G954" s="7">
        <f t="shared" si="259"/>
        <v>10.18</v>
      </c>
      <c r="H954" s="16">
        <f t="shared" si="260"/>
        <v>13.440000000000001</v>
      </c>
      <c r="I954" s="11">
        <f t="shared" si="261"/>
        <v>3.3290283704605919E-2</v>
      </c>
      <c r="J954" s="33">
        <f t="shared" si="262"/>
        <v>4.5946792919989545E-3</v>
      </c>
      <c r="K954" s="33">
        <f t="shared" si="263"/>
        <v>217.64304676092888</v>
      </c>
      <c r="L954" s="33">
        <f t="shared" si="264"/>
        <v>2.8695604412606966E-2</v>
      </c>
      <c r="M954" s="33">
        <f t="shared" si="265"/>
        <v>3.7884962996604876E-2</v>
      </c>
      <c r="N954" s="8">
        <v>0</v>
      </c>
      <c r="O954" s="9">
        <v>1</v>
      </c>
      <c r="P954" s="8">
        <v>0</v>
      </c>
      <c r="Q954" s="9">
        <v>0</v>
      </c>
      <c r="R954" s="9">
        <v>0</v>
      </c>
      <c r="S954" s="9">
        <v>1</v>
      </c>
      <c r="T954" s="9">
        <v>0</v>
      </c>
      <c r="U954" s="8">
        <v>47336</v>
      </c>
      <c r="V954" s="9">
        <v>19</v>
      </c>
      <c r="W954" s="9">
        <f t="shared" si="266"/>
        <v>47316</v>
      </c>
      <c r="X954" s="9">
        <f t="shared" si="267"/>
        <v>24</v>
      </c>
      <c r="Y954" s="7">
        <v>13.154999999999999</v>
      </c>
      <c r="Z954" s="7">
        <f t="shared" si="278"/>
        <v>11.055</v>
      </c>
      <c r="AA954" s="9">
        <v>1</v>
      </c>
      <c r="AB954" s="9">
        <v>0</v>
      </c>
      <c r="AC954" s="9">
        <v>0</v>
      </c>
      <c r="AD954" s="9">
        <v>0</v>
      </c>
      <c r="AE954" s="9">
        <v>0</v>
      </c>
      <c r="AF954" s="9">
        <v>1</v>
      </c>
      <c r="AG954" s="8">
        <v>0</v>
      </c>
      <c r="AH954" s="9">
        <v>1</v>
      </c>
      <c r="AI954" s="30">
        <v>0</v>
      </c>
      <c r="AJ954" s="9">
        <v>0</v>
      </c>
      <c r="AK954" s="30">
        <v>1</v>
      </c>
      <c r="AL954" s="21">
        <v>1981</v>
      </c>
      <c r="AM954" s="23">
        <f t="shared" si="268"/>
        <v>7.5913570466985512</v>
      </c>
      <c r="AN954" s="33" t="s">
        <v>104</v>
      </c>
      <c r="AO954" s="33" t="s">
        <v>104</v>
      </c>
      <c r="AP954" s="33" t="s">
        <v>104</v>
      </c>
      <c r="AQ954" s="43" t="s">
        <v>104</v>
      </c>
      <c r="AR954" s="42">
        <v>0</v>
      </c>
      <c r="AS954" s="18">
        <v>1</v>
      </c>
      <c r="AT954">
        <v>0.63300000000000001</v>
      </c>
      <c r="AU954" s="40">
        <f t="shared" si="274"/>
        <v>0.36699999999999999</v>
      </c>
      <c r="AV954" t="s">
        <v>104</v>
      </c>
      <c r="AW954" s="40" t="s">
        <v>104</v>
      </c>
      <c r="AX954">
        <v>0</v>
      </c>
      <c r="AY954" s="18">
        <v>1</v>
      </c>
      <c r="AZ954" t="s">
        <v>104</v>
      </c>
      <c r="BA954" s="18" t="s">
        <v>104</v>
      </c>
      <c r="BB954" s="18" t="s">
        <v>239</v>
      </c>
      <c r="BC954">
        <v>1</v>
      </c>
      <c r="BD954">
        <v>0</v>
      </c>
      <c r="BE954">
        <v>0</v>
      </c>
      <c r="BF954">
        <v>0</v>
      </c>
      <c r="BG954">
        <v>0</v>
      </c>
      <c r="BH954" s="18">
        <v>0</v>
      </c>
      <c r="BI954">
        <v>1</v>
      </c>
      <c r="BJ954">
        <v>0</v>
      </c>
      <c r="BK954" s="18">
        <v>0</v>
      </c>
      <c r="BL954">
        <v>3697.166666666667</v>
      </c>
      <c r="BM954">
        <v>824</v>
      </c>
      <c r="BN954" s="25">
        <v>30.21</v>
      </c>
      <c r="BO954">
        <v>0</v>
      </c>
      <c r="BP954">
        <v>0</v>
      </c>
      <c r="BQ954">
        <v>0</v>
      </c>
      <c r="BR954">
        <v>0</v>
      </c>
      <c r="BS954">
        <v>0</v>
      </c>
      <c r="BT954">
        <v>0</v>
      </c>
      <c r="BU954">
        <v>0</v>
      </c>
      <c r="BV954" s="18">
        <v>1</v>
      </c>
      <c r="BW954">
        <v>1</v>
      </c>
      <c r="BX954">
        <v>0</v>
      </c>
      <c r="BY954">
        <v>0</v>
      </c>
      <c r="BZ954" s="18">
        <v>0</v>
      </c>
      <c r="CA954">
        <v>0</v>
      </c>
      <c r="CB954">
        <v>0</v>
      </c>
      <c r="CC954">
        <v>0</v>
      </c>
      <c r="CD954">
        <v>0</v>
      </c>
      <c r="CE954">
        <v>0</v>
      </c>
      <c r="CF954" s="18">
        <v>0</v>
      </c>
      <c r="CG954">
        <v>1</v>
      </c>
      <c r="CH954">
        <v>0</v>
      </c>
      <c r="CI954">
        <v>0</v>
      </c>
      <c r="CJ954">
        <v>0</v>
      </c>
      <c r="CK954">
        <v>1</v>
      </c>
      <c r="CL954">
        <v>1</v>
      </c>
      <c r="CM954">
        <v>1</v>
      </c>
      <c r="CN954">
        <v>0</v>
      </c>
      <c r="CO954">
        <v>0</v>
      </c>
      <c r="CP954">
        <v>1</v>
      </c>
      <c r="CQ954" s="18">
        <v>0</v>
      </c>
      <c r="CR954">
        <v>0.19600000000000001</v>
      </c>
      <c r="CS954">
        <v>166</v>
      </c>
      <c r="CT954">
        <v>1</v>
      </c>
      <c r="CU954">
        <v>0</v>
      </c>
      <c r="CV954">
        <v>17</v>
      </c>
      <c r="DB954" s="34"/>
    </row>
    <row r="955" spans="1:106" x14ac:dyDescent="0.25">
      <c r="A955">
        <v>954</v>
      </c>
      <c r="B955">
        <v>65</v>
      </c>
      <c r="C955" s="25" t="s">
        <v>4115</v>
      </c>
      <c r="D955" s="12">
        <v>9.99</v>
      </c>
      <c r="E955" s="14">
        <v>1.46</v>
      </c>
      <c r="F955" s="7">
        <f t="shared" si="277"/>
        <v>6.8424657534246576</v>
      </c>
      <c r="G955" s="7">
        <f t="shared" si="259"/>
        <v>8.5300000000000011</v>
      </c>
      <c r="H955" s="16">
        <f t="shared" si="260"/>
        <v>11.45</v>
      </c>
      <c r="I955" s="11">
        <f t="shared" si="261"/>
        <v>3.0457072178164363E-2</v>
      </c>
      <c r="J955" s="33">
        <f t="shared" si="262"/>
        <v>4.451183721733731E-3</v>
      </c>
      <c r="K955" s="33">
        <f t="shared" si="263"/>
        <v>224.65934064175207</v>
      </c>
      <c r="L955" s="33">
        <f t="shared" si="264"/>
        <v>2.6005888456430634E-2</v>
      </c>
      <c r="M955" s="33">
        <f t="shared" si="265"/>
        <v>3.4908255899898093E-2</v>
      </c>
      <c r="N955" s="8">
        <v>0</v>
      </c>
      <c r="O955" s="9">
        <v>1</v>
      </c>
      <c r="P955" s="8">
        <v>0</v>
      </c>
      <c r="Q955" s="9">
        <v>0</v>
      </c>
      <c r="R955" s="9">
        <v>0</v>
      </c>
      <c r="S955" s="9">
        <v>1</v>
      </c>
      <c r="T955" s="9">
        <v>0</v>
      </c>
      <c r="U955" s="8">
        <v>50445</v>
      </c>
      <c r="V955" s="9">
        <v>19</v>
      </c>
      <c r="W955" s="9">
        <f t="shared" si="266"/>
        <v>50425</v>
      </c>
      <c r="X955" s="9">
        <f t="shared" si="267"/>
        <v>24</v>
      </c>
      <c r="Y955" s="7">
        <v>13.153</v>
      </c>
      <c r="Z955" s="7">
        <f t="shared" si="278"/>
        <v>8.9969999999999981</v>
      </c>
      <c r="AA955" s="9">
        <v>1</v>
      </c>
      <c r="AB955" s="9">
        <v>0</v>
      </c>
      <c r="AC955" s="9">
        <v>0</v>
      </c>
      <c r="AD955" s="9">
        <v>0</v>
      </c>
      <c r="AE955" s="9">
        <v>0</v>
      </c>
      <c r="AF955" s="9">
        <v>1</v>
      </c>
      <c r="AG955" s="8">
        <v>0</v>
      </c>
      <c r="AH955" s="9">
        <v>1</v>
      </c>
      <c r="AI955" s="30">
        <v>0</v>
      </c>
      <c r="AJ955" s="9">
        <v>0</v>
      </c>
      <c r="AK955" s="30">
        <v>1</v>
      </c>
      <c r="AL955" s="21">
        <v>1981</v>
      </c>
      <c r="AM955" s="23">
        <f t="shared" si="268"/>
        <v>7.5913570466985512</v>
      </c>
      <c r="AN955" s="33" t="s">
        <v>104</v>
      </c>
      <c r="AO955" s="33" t="s">
        <v>104</v>
      </c>
      <c r="AP955" s="33" t="s">
        <v>104</v>
      </c>
      <c r="AQ955" s="43" t="s">
        <v>104</v>
      </c>
      <c r="AR955" s="42">
        <v>1</v>
      </c>
      <c r="AS955" s="18">
        <v>0</v>
      </c>
      <c r="AT955">
        <v>0.51700000000000002</v>
      </c>
      <c r="AU955" s="40">
        <f t="shared" si="274"/>
        <v>0.48299999999999998</v>
      </c>
      <c r="AV955" t="s">
        <v>104</v>
      </c>
      <c r="AW955" s="40" t="s">
        <v>104</v>
      </c>
      <c r="AX955">
        <v>0</v>
      </c>
      <c r="AY955" s="18">
        <v>1</v>
      </c>
      <c r="AZ955" t="s">
        <v>104</v>
      </c>
      <c r="BA955" s="18" t="s">
        <v>104</v>
      </c>
      <c r="BB955" s="18" t="s">
        <v>239</v>
      </c>
      <c r="BC955">
        <v>1</v>
      </c>
      <c r="BD955">
        <v>0</v>
      </c>
      <c r="BE955">
        <v>0</v>
      </c>
      <c r="BF955">
        <v>0</v>
      </c>
      <c r="BG955">
        <v>0</v>
      </c>
      <c r="BH955" s="18">
        <v>0</v>
      </c>
      <c r="BI955">
        <v>1</v>
      </c>
      <c r="BJ955">
        <v>0</v>
      </c>
      <c r="BK955" s="18">
        <v>0</v>
      </c>
      <c r="BL955">
        <v>3697.166666666667</v>
      </c>
      <c r="BM955">
        <v>824</v>
      </c>
      <c r="BN955" s="25">
        <v>28.15</v>
      </c>
      <c r="BO955">
        <v>0</v>
      </c>
      <c r="BP955">
        <v>0</v>
      </c>
      <c r="BQ955">
        <v>0</v>
      </c>
      <c r="BR955">
        <v>0</v>
      </c>
      <c r="BS955">
        <v>0</v>
      </c>
      <c r="BT955">
        <v>0</v>
      </c>
      <c r="BU955">
        <v>0</v>
      </c>
      <c r="BV955" s="18">
        <v>1</v>
      </c>
      <c r="BW955">
        <v>1</v>
      </c>
      <c r="BX955">
        <v>0</v>
      </c>
      <c r="BY955">
        <v>0</v>
      </c>
      <c r="BZ955" s="18">
        <v>0</v>
      </c>
      <c r="CA955">
        <v>0</v>
      </c>
      <c r="CB955">
        <v>0</v>
      </c>
      <c r="CC955">
        <v>0</v>
      </c>
      <c r="CD955">
        <v>0</v>
      </c>
      <c r="CE955">
        <v>0</v>
      </c>
      <c r="CF955" s="18">
        <v>0</v>
      </c>
      <c r="CG955">
        <v>1</v>
      </c>
      <c r="CH955">
        <v>0</v>
      </c>
      <c r="CI955">
        <v>0</v>
      </c>
      <c r="CJ955">
        <v>0</v>
      </c>
      <c r="CK955">
        <v>1</v>
      </c>
      <c r="CL955">
        <v>1</v>
      </c>
      <c r="CM955">
        <v>1</v>
      </c>
      <c r="CN955">
        <v>0</v>
      </c>
      <c r="CO955">
        <v>0</v>
      </c>
      <c r="CP955">
        <v>1</v>
      </c>
      <c r="CQ955" s="18">
        <v>0</v>
      </c>
      <c r="CR955">
        <v>0.19600000000000001</v>
      </c>
      <c r="CS955">
        <v>166</v>
      </c>
      <c r="CT955">
        <v>1</v>
      </c>
      <c r="CU955">
        <v>0</v>
      </c>
      <c r="CV955">
        <v>17</v>
      </c>
      <c r="DB955" s="34"/>
    </row>
    <row r="956" spans="1:106" x14ac:dyDescent="0.25">
      <c r="A956">
        <v>955</v>
      </c>
      <c r="B956">
        <v>65</v>
      </c>
      <c r="C956" s="25" t="s">
        <v>4115</v>
      </c>
      <c r="D956" s="12">
        <v>5.94</v>
      </c>
      <c r="E956" s="14">
        <v>1.23</v>
      </c>
      <c r="F956" s="7">
        <f t="shared" si="277"/>
        <v>4.8292682926829276</v>
      </c>
      <c r="G956" s="7">
        <f t="shared" si="259"/>
        <v>4.7100000000000009</v>
      </c>
      <c r="H956" s="16">
        <f t="shared" si="260"/>
        <v>7.17</v>
      </c>
      <c r="I956" s="11">
        <f t="shared" si="261"/>
        <v>8.4850476295895663E-2</v>
      </c>
      <c r="J956" s="33">
        <f t="shared" si="262"/>
        <v>1.7570048121877384E-2</v>
      </c>
      <c r="K956" s="33">
        <f t="shared" si="263"/>
        <v>56.915040474752473</v>
      </c>
      <c r="L956" s="33">
        <f t="shared" si="264"/>
        <v>6.7280428174018275E-2</v>
      </c>
      <c r="M956" s="33">
        <f t="shared" si="265"/>
        <v>0.10242052441777305</v>
      </c>
      <c r="N956" s="8">
        <v>0</v>
      </c>
      <c r="O956" s="9">
        <v>1</v>
      </c>
      <c r="P956" s="8">
        <v>0</v>
      </c>
      <c r="Q956" s="9">
        <v>0</v>
      </c>
      <c r="R956" s="9">
        <v>0</v>
      </c>
      <c r="S956" s="9">
        <v>1</v>
      </c>
      <c r="T956" s="9">
        <v>0</v>
      </c>
      <c r="U956" s="8">
        <v>3235</v>
      </c>
      <c r="V956" s="9">
        <v>18</v>
      </c>
      <c r="W956" s="9">
        <f t="shared" si="266"/>
        <v>3216</v>
      </c>
      <c r="X956" s="9">
        <f t="shared" si="267"/>
        <v>24</v>
      </c>
      <c r="Y956" s="7">
        <v>13.131</v>
      </c>
      <c r="Z956" s="7">
        <f t="shared" si="278"/>
        <v>9.1490000000000009</v>
      </c>
      <c r="AA956" s="9">
        <v>1</v>
      </c>
      <c r="AB956" s="9">
        <v>0</v>
      </c>
      <c r="AC956" s="9">
        <v>0</v>
      </c>
      <c r="AD956" s="9">
        <v>0</v>
      </c>
      <c r="AE956" s="9">
        <v>0</v>
      </c>
      <c r="AF956" s="9">
        <v>1</v>
      </c>
      <c r="AG956" s="8">
        <v>0</v>
      </c>
      <c r="AH956" s="9">
        <v>1</v>
      </c>
      <c r="AI956" s="30">
        <v>0</v>
      </c>
      <c r="AJ956" s="9">
        <v>0</v>
      </c>
      <c r="AK956" s="30">
        <v>1</v>
      </c>
      <c r="AL956" s="21">
        <v>1981</v>
      </c>
      <c r="AM956" s="23">
        <f t="shared" si="268"/>
        <v>7.5913570466985512</v>
      </c>
      <c r="AN956" s="33" t="s">
        <v>104</v>
      </c>
      <c r="AO956" s="33" t="s">
        <v>104</v>
      </c>
      <c r="AP956" s="33" t="s">
        <v>104</v>
      </c>
      <c r="AQ956" s="43" t="s">
        <v>104</v>
      </c>
      <c r="AR956" s="42">
        <f>1-AS956</f>
        <v>0.93799999999999994</v>
      </c>
      <c r="AS956" s="18">
        <v>6.2E-2</v>
      </c>
      <c r="AT956">
        <v>0.52400000000000002</v>
      </c>
      <c r="AU956" s="40">
        <f t="shared" si="274"/>
        <v>0.47599999999999998</v>
      </c>
      <c r="AV956" t="s">
        <v>104</v>
      </c>
      <c r="AW956" s="40" t="s">
        <v>104</v>
      </c>
      <c r="AX956">
        <v>0</v>
      </c>
      <c r="AY956" s="18">
        <v>1</v>
      </c>
      <c r="AZ956" t="s">
        <v>104</v>
      </c>
      <c r="BA956" s="18" t="s">
        <v>104</v>
      </c>
      <c r="BB956" s="18" t="s">
        <v>239</v>
      </c>
      <c r="BC956">
        <v>1</v>
      </c>
      <c r="BD956">
        <v>0</v>
      </c>
      <c r="BE956">
        <v>0</v>
      </c>
      <c r="BF956">
        <v>0</v>
      </c>
      <c r="BG956">
        <v>0</v>
      </c>
      <c r="BH956" s="18">
        <v>0</v>
      </c>
      <c r="BI956">
        <v>1</v>
      </c>
      <c r="BJ956">
        <v>0</v>
      </c>
      <c r="BK956" s="18">
        <v>0</v>
      </c>
      <c r="BL956">
        <v>3697.166666666667</v>
      </c>
      <c r="BM956">
        <v>824</v>
      </c>
      <c r="BN956" s="25">
        <v>28.28</v>
      </c>
      <c r="BO956">
        <v>0</v>
      </c>
      <c r="BP956">
        <v>0</v>
      </c>
      <c r="BQ956">
        <v>0</v>
      </c>
      <c r="BR956">
        <v>1</v>
      </c>
      <c r="BS956">
        <v>0</v>
      </c>
      <c r="BT956">
        <v>0</v>
      </c>
      <c r="BU956">
        <v>0</v>
      </c>
      <c r="BV956" s="18">
        <v>0</v>
      </c>
      <c r="BW956">
        <v>0</v>
      </c>
      <c r="BX956">
        <v>0</v>
      </c>
      <c r="BY956">
        <v>1</v>
      </c>
      <c r="BZ956" s="18">
        <v>0</v>
      </c>
      <c r="CA956">
        <v>0</v>
      </c>
      <c r="CB956">
        <v>0</v>
      </c>
      <c r="CC956">
        <v>0</v>
      </c>
      <c r="CD956">
        <v>0</v>
      </c>
      <c r="CE956">
        <v>0</v>
      </c>
      <c r="CF956" s="18">
        <v>0</v>
      </c>
      <c r="CG956">
        <v>1</v>
      </c>
      <c r="CH956">
        <v>0</v>
      </c>
      <c r="CI956">
        <v>0</v>
      </c>
      <c r="CJ956">
        <v>0</v>
      </c>
      <c r="CK956">
        <v>1</v>
      </c>
      <c r="CL956">
        <v>1</v>
      </c>
      <c r="CM956">
        <v>1</v>
      </c>
      <c r="CN956">
        <v>0</v>
      </c>
      <c r="CO956">
        <v>0</v>
      </c>
      <c r="CP956">
        <v>1</v>
      </c>
      <c r="CQ956" s="18">
        <v>0</v>
      </c>
      <c r="CR956">
        <v>0.19600000000000001</v>
      </c>
      <c r="CS956">
        <v>166</v>
      </c>
      <c r="CT956">
        <v>1</v>
      </c>
      <c r="CU956">
        <v>0</v>
      </c>
      <c r="CV956">
        <v>17</v>
      </c>
      <c r="DB956" s="34"/>
    </row>
    <row r="957" spans="1:106" x14ac:dyDescent="0.25">
      <c r="A957">
        <v>956</v>
      </c>
      <c r="B957">
        <v>65</v>
      </c>
      <c r="C957" s="25" t="s">
        <v>4115</v>
      </c>
      <c r="D957" s="12">
        <v>5.25</v>
      </c>
      <c r="E957" s="14">
        <v>2.7</v>
      </c>
      <c r="F957" s="7">
        <f t="shared" si="277"/>
        <v>1.9444444444444444</v>
      </c>
      <c r="G957" s="7">
        <f t="shared" si="259"/>
        <v>2.5499999999999998</v>
      </c>
      <c r="H957" s="16">
        <f t="shared" si="260"/>
        <v>7.95</v>
      </c>
      <c r="I957" s="11">
        <f t="shared" si="261"/>
        <v>8.7677669757510405E-3</v>
      </c>
      <c r="J957" s="33">
        <f t="shared" si="262"/>
        <v>4.5091373018148204E-3</v>
      </c>
      <c r="K957" s="33">
        <f t="shared" si="263"/>
        <v>221.77191180173728</v>
      </c>
      <c r="L957" s="33">
        <f t="shared" si="264"/>
        <v>4.2586296739362201E-3</v>
      </c>
      <c r="M957" s="33">
        <f t="shared" si="265"/>
        <v>1.3276904277565862E-2</v>
      </c>
      <c r="N957" s="8">
        <v>0</v>
      </c>
      <c r="O957" s="9">
        <v>1</v>
      </c>
      <c r="P957" s="8">
        <v>0</v>
      </c>
      <c r="Q957" s="9">
        <v>0</v>
      </c>
      <c r="R957" s="9">
        <v>0</v>
      </c>
      <c r="S957" s="9">
        <v>1</v>
      </c>
      <c r="T957" s="9">
        <v>0</v>
      </c>
      <c r="U957" s="8">
        <v>49198</v>
      </c>
      <c r="V957" s="9">
        <v>18</v>
      </c>
      <c r="W957" s="9">
        <f t="shared" si="266"/>
        <v>49179</v>
      </c>
      <c r="X957" s="9">
        <f t="shared" si="267"/>
        <v>24</v>
      </c>
      <c r="Y957" s="7">
        <v>13.154999999999999</v>
      </c>
      <c r="Z957" s="7">
        <f t="shared" si="278"/>
        <v>11.055</v>
      </c>
      <c r="AA957" s="9">
        <v>1</v>
      </c>
      <c r="AB957" s="9">
        <v>0</v>
      </c>
      <c r="AC957" s="9">
        <v>0</v>
      </c>
      <c r="AD957" s="9">
        <v>0</v>
      </c>
      <c r="AE957" s="9">
        <v>0</v>
      </c>
      <c r="AF957" s="9">
        <v>1</v>
      </c>
      <c r="AG957" s="8">
        <v>0</v>
      </c>
      <c r="AH957" s="9">
        <v>1</v>
      </c>
      <c r="AI957" s="30">
        <v>0</v>
      </c>
      <c r="AJ957" s="9">
        <v>0</v>
      </c>
      <c r="AK957" s="30">
        <v>1</v>
      </c>
      <c r="AL957" s="21">
        <v>1981</v>
      </c>
      <c r="AM957" s="23">
        <f t="shared" si="268"/>
        <v>7.5913570466985512</v>
      </c>
      <c r="AN957" s="33" t="s">
        <v>104</v>
      </c>
      <c r="AO957" s="33" t="s">
        <v>104</v>
      </c>
      <c r="AP957" s="33" t="s">
        <v>104</v>
      </c>
      <c r="AQ957" s="43" t="s">
        <v>104</v>
      </c>
      <c r="AR957" s="42">
        <v>0</v>
      </c>
      <c r="AS957" s="18">
        <v>1</v>
      </c>
      <c r="AT957">
        <v>0.63300000000000001</v>
      </c>
      <c r="AU957" s="40">
        <f t="shared" si="274"/>
        <v>0.36699999999999999</v>
      </c>
      <c r="AV957" t="s">
        <v>104</v>
      </c>
      <c r="AW957" s="40" t="s">
        <v>104</v>
      </c>
      <c r="AX957">
        <v>0</v>
      </c>
      <c r="AY957" s="18">
        <v>1</v>
      </c>
      <c r="AZ957" t="s">
        <v>104</v>
      </c>
      <c r="BA957" s="18" t="s">
        <v>104</v>
      </c>
      <c r="BB957" s="18" t="s">
        <v>239</v>
      </c>
      <c r="BC957">
        <v>1</v>
      </c>
      <c r="BD957">
        <v>0</v>
      </c>
      <c r="BE957">
        <v>0</v>
      </c>
      <c r="BF957">
        <v>0</v>
      </c>
      <c r="BG957">
        <v>0</v>
      </c>
      <c r="BH957" s="18">
        <v>0</v>
      </c>
      <c r="BI957">
        <v>1</v>
      </c>
      <c r="BJ957">
        <v>0</v>
      </c>
      <c r="BK957" s="18">
        <v>0</v>
      </c>
      <c r="BL957">
        <v>3697.166666666667</v>
      </c>
      <c r="BM957">
        <v>824</v>
      </c>
      <c r="BN957" s="25">
        <v>30.21</v>
      </c>
      <c r="BO957">
        <v>0</v>
      </c>
      <c r="BP957">
        <v>0</v>
      </c>
      <c r="BQ957">
        <v>0</v>
      </c>
      <c r="BR957">
        <v>1</v>
      </c>
      <c r="BS957">
        <v>0</v>
      </c>
      <c r="BT957">
        <v>0</v>
      </c>
      <c r="BU957">
        <v>0</v>
      </c>
      <c r="BV957" s="18">
        <v>0</v>
      </c>
      <c r="BW957">
        <v>0</v>
      </c>
      <c r="BX957">
        <v>0</v>
      </c>
      <c r="BY957">
        <v>1</v>
      </c>
      <c r="BZ957" s="18">
        <v>0</v>
      </c>
      <c r="CA957">
        <v>0</v>
      </c>
      <c r="CB957">
        <v>0</v>
      </c>
      <c r="CC957">
        <v>0</v>
      </c>
      <c r="CD957">
        <v>0</v>
      </c>
      <c r="CE957">
        <v>0</v>
      </c>
      <c r="CF957" s="18">
        <v>0</v>
      </c>
      <c r="CG957">
        <v>1</v>
      </c>
      <c r="CH957">
        <v>0</v>
      </c>
      <c r="CI957">
        <v>0</v>
      </c>
      <c r="CJ957">
        <v>0</v>
      </c>
      <c r="CK957">
        <v>1</v>
      </c>
      <c r="CL957">
        <v>1</v>
      </c>
      <c r="CM957">
        <v>1</v>
      </c>
      <c r="CN957">
        <v>0</v>
      </c>
      <c r="CO957">
        <v>0</v>
      </c>
      <c r="CP957">
        <v>1</v>
      </c>
      <c r="CQ957" s="18">
        <v>0</v>
      </c>
      <c r="CR957">
        <v>0.19600000000000001</v>
      </c>
      <c r="CS957">
        <v>166</v>
      </c>
      <c r="CT957">
        <v>1</v>
      </c>
      <c r="CU957">
        <v>0</v>
      </c>
      <c r="CV957">
        <v>17</v>
      </c>
      <c r="DB957" s="34"/>
    </row>
    <row r="958" spans="1:106" x14ac:dyDescent="0.25">
      <c r="A958">
        <v>957</v>
      </c>
      <c r="B958">
        <v>65</v>
      </c>
      <c r="C958" s="25" t="s">
        <v>4115</v>
      </c>
      <c r="D958" s="12">
        <v>5.23</v>
      </c>
      <c r="E958" s="14">
        <v>2.5</v>
      </c>
      <c r="F958" s="7">
        <f t="shared" si="277"/>
        <v>2.0920000000000001</v>
      </c>
      <c r="G958" s="7">
        <f t="shared" si="259"/>
        <v>2.7300000000000004</v>
      </c>
      <c r="H958" s="16">
        <f t="shared" si="260"/>
        <v>7.73</v>
      </c>
      <c r="I958" s="11">
        <f t="shared" si="261"/>
        <v>9.1373423589723498E-3</v>
      </c>
      <c r="J958" s="33">
        <f t="shared" si="262"/>
        <v>4.3677544736961515E-3</v>
      </c>
      <c r="K958" s="33">
        <f t="shared" si="263"/>
        <v>228.9505983045251</v>
      </c>
      <c r="L958" s="33">
        <f t="shared" si="264"/>
        <v>4.7695878852761983E-3</v>
      </c>
      <c r="M958" s="33">
        <f t="shared" si="265"/>
        <v>1.3505096832668501E-2</v>
      </c>
      <c r="N958" s="8">
        <v>0</v>
      </c>
      <c r="O958" s="9">
        <v>1</v>
      </c>
      <c r="P958" s="8">
        <v>0</v>
      </c>
      <c r="Q958" s="9">
        <v>0</v>
      </c>
      <c r="R958" s="9">
        <v>0</v>
      </c>
      <c r="S958" s="9">
        <v>1</v>
      </c>
      <c r="T958" s="9">
        <v>0</v>
      </c>
      <c r="U958" s="8">
        <v>52433</v>
      </c>
      <c r="V958" s="9">
        <v>18</v>
      </c>
      <c r="W958" s="9">
        <f t="shared" si="266"/>
        <v>52414</v>
      </c>
      <c r="X958" s="9">
        <f t="shared" si="267"/>
        <v>24</v>
      </c>
      <c r="Y958" s="7">
        <v>13.153</v>
      </c>
      <c r="Z958" s="7">
        <f t="shared" si="278"/>
        <v>8.9969999999999981</v>
      </c>
      <c r="AA958" s="9">
        <v>1</v>
      </c>
      <c r="AB958" s="9">
        <v>0</v>
      </c>
      <c r="AC958" s="9">
        <v>0</v>
      </c>
      <c r="AD958" s="9">
        <v>0</v>
      </c>
      <c r="AE958" s="9">
        <v>0</v>
      </c>
      <c r="AF958" s="9">
        <v>1</v>
      </c>
      <c r="AG958" s="8">
        <v>0</v>
      </c>
      <c r="AH958" s="9">
        <v>1</v>
      </c>
      <c r="AI958" s="30">
        <v>0</v>
      </c>
      <c r="AJ958" s="9">
        <v>0</v>
      </c>
      <c r="AK958" s="30">
        <v>1</v>
      </c>
      <c r="AL958" s="21">
        <v>1981</v>
      </c>
      <c r="AM958" s="23">
        <f t="shared" si="268"/>
        <v>7.5913570466985512</v>
      </c>
      <c r="AN958" s="33" t="s">
        <v>104</v>
      </c>
      <c r="AO958" s="33" t="s">
        <v>104</v>
      </c>
      <c r="AP958" s="33" t="s">
        <v>104</v>
      </c>
      <c r="AQ958" s="43" t="s">
        <v>104</v>
      </c>
      <c r="AR958" s="42">
        <v>1</v>
      </c>
      <c r="AS958" s="18">
        <v>0</v>
      </c>
      <c r="AT958">
        <v>0.51700000000000002</v>
      </c>
      <c r="AU958" s="40">
        <f t="shared" si="274"/>
        <v>0.48299999999999998</v>
      </c>
      <c r="AV958" t="s">
        <v>104</v>
      </c>
      <c r="AW958" s="40" t="s">
        <v>104</v>
      </c>
      <c r="AX958">
        <v>0</v>
      </c>
      <c r="AY958" s="18">
        <v>1</v>
      </c>
      <c r="AZ958" t="s">
        <v>104</v>
      </c>
      <c r="BA958" s="18" t="s">
        <v>104</v>
      </c>
      <c r="BB958" s="18" t="s">
        <v>239</v>
      </c>
      <c r="BC958">
        <v>1</v>
      </c>
      <c r="BD958">
        <v>0</v>
      </c>
      <c r="BE958">
        <v>0</v>
      </c>
      <c r="BF958">
        <v>0</v>
      </c>
      <c r="BG958">
        <v>0</v>
      </c>
      <c r="BH958" s="18">
        <v>0</v>
      </c>
      <c r="BI958">
        <v>1</v>
      </c>
      <c r="BJ958">
        <v>0</v>
      </c>
      <c r="BK958" s="18">
        <v>0</v>
      </c>
      <c r="BL958">
        <v>3697.166666666667</v>
      </c>
      <c r="BM958">
        <v>824</v>
      </c>
      <c r="BN958" s="25">
        <v>28.15</v>
      </c>
      <c r="BO958">
        <v>0</v>
      </c>
      <c r="BP958">
        <v>0</v>
      </c>
      <c r="BQ958">
        <v>0</v>
      </c>
      <c r="BR958">
        <v>1</v>
      </c>
      <c r="BS958">
        <v>0</v>
      </c>
      <c r="BT958">
        <v>0</v>
      </c>
      <c r="BU958">
        <v>0</v>
      </c>
      <c r="BV958" s="18">
        <v>0</v>
      </c>
      <c r="BW958">
        <v>0</v>
      </c>
      <c r="BX958">
        <v>0</v>
      </c>
      <c r="BY958">
        <v>1</v>
      </c>
      <c r="BZ958" s="18">
        <v>0</v>
      </c>
      <c r="CA958">
        <v>0</v>
      </c>
      <c r="CB958">
        <v>0</v>
      </c>
      <c r="CC958">
        <v>0</v>
      </c>
      <c r="CD958">
        <v>0</v>
      </c>
      <c r="CE958">
        <v>0</v>
      </c>
      <c r="CF958" s="18">
        <v>0</v>
      </c>
      <c r="CG958">
        <v>1</v>
      </c>
      <c r="CH958">
        <v>0</v>
      </c>
      <c r="CI958">
        <v>0</v>
      </c>
      <c r="CJ958">
        <v>0</v>
      </c>
      <c r="CK958">
        <v>1</v>
      </c>
      <c r="CL958">
        <v>1</v>
      </c>
      <c r="CM958">
        <v>1</v>
      </c>
      <c r="CN958">
        <v>0</v>
      </c>
      <c r="CO958">
        <v>0</v>
      </c>
      <c r="CP958">
        <v>1</v>
      </c>
      <c r="CQ958" s="18">
        <v>0</v>
      </c>
      <c r="CR958">
        <v>0.19600000000000001</v>
      </c>
      <c r="CS958">
        <v>166</v>
      </c>
      <c r="CT958">
        <v>1</v>
      </c>
      <c r="CU958">
        <v>0</v>
      </c>
      <c r="CV958">
        <v>17</v>
      </c>
      <c r="DB958" s="34"/>
    </row>
    <row r="959" spans="1:106" x14ac:dyDescent="0.25">
      <c r="A959">
        <v>958</v>
      </c>
      <c r="B959">
        <v>65</v>
      </c>
      <c r="C959" s="25" t="s">
        <v>4115</v>
      </c>
      <c r="D959" s="12">
        <v>5.29</v>
      </c>
      <c r="E959" s="14">
        <v>1.34</v>
      </c>
      <c r="F959" s="7">
        <f t="shared" si="277"/>
        <v>3.9477611940298507</v>
      </c>
      <c r="G959" s="7">
        <f t="shared" si="259"/>
        <v>3.95</v>
      </c>
      <c r="H959" s="16">
        <f t="shared" si="260"/>
        <v>6.63</v>
      </c>
      <c r="I959" s="11">
        <f t="shared" si="261"/>
        <v>7.1312399672231297E-2</v>
      </c>
      <c r="J959" s="33">
        <f t="shared" si="262"/>
        <v>1.8064010502984867E-2</v>
      </c>
      <c r="K959" s="33">
        <f t="shared" si="263"/>
        <v>55.358692347680027</v>
      </c>
      <c r="L959" s="33">
        <f t="shared" si="264"/>
        <v>5.324838916924643E-2</v>
      </c>
      <c r="M959" s="33">
        <f t="shared" si="265"/>
        <v>8.9376410175216164E-2</v>
      </c>
      <c r="N959" s="8">
        <v>0</v>
      </c>
      <c r="O959" s="9">
        <v>1</v>
      </c>
      <c r="P959" s="8">
        <v>0</v>
      </c>
      <c r="Q959" s="9">
        <v>0</v>
      </c>
      <c r="R959" s="9">
        <v>0</v>
      </c>
      <c r="S959" s="9">
        <v>1</v>
      </c>
      <c r="T959" s="9">
        <v>0</v>
      </c>
      <c r="U959" s="8">
        <v>3069</v>
      </c>
      <c r="V959" s="9">
        <v>19</v>
      </c>
      <c r="W959" s="9">
        <f t="shared" si="266"/>
        <v>3049</v>
      </c>
      <c r="X959" s="9">
        <f t="shared" si="267"/>
        <v>24</v>
      </c>
      <c r="Y959" s="7">
        <v>13.131</v>
      </c>
      <c r="Z959" s="7">
        <f t="shared" si="278"/>
        <v>9.1490000000000009</v>
      </c>
      <c r="AA959" s="9">
        <v>1</v>
      </c>
      <c r="AB959" s="9">
        <v>0</v>
      </c>
      <c r="AC959" s="9">
        <v>0</v>
      </c>
      <c r="AD959" s="9">
        <v>0</v>
      </c>
      <c r="AE959" s="9">
        <v>0</v>
      </c>
      <c r="AF959" s="9">
        <v>1</v>
      </c>
      <c r="AG959" s="8">
        <v>0</v>
      </c>
      <c r="AH959" s="9">
        <v>1</v>
      </c>
      <c r="AI959" s="30">
        <v>0</v>
      </c>
      <c r="AJ959" s="9">
        <v>0</v>
      </c>
      <c r="AK959" s="30">
        <v>1</v>
      </c>
      <c r="AL959" s="21">
        <v>1981</v>
      </c>
      <c r="AM959" s="23">
        <f t="shared" si="268"/>
        <v>7.5913570466985512</v>
      </c>
      <c r="AN959" s="33" t="s">
        <v>104</v>
      </c>
      <c r="AO959" s="33" t="s">
        <v>104</v>
      </c>
      <c r="AP959" s="33" t="s">
        <v>104</v>
      </c>
      <c r="AQ959" s="43" t="s">
        <v>104</v>
      </c>
      <c r="AR959" s="42">
        <f>1-AS959</f>
        <v>0.93799999999999994</v>
      </c>
      <c r="AS959" s="18">
        <v>6.2E-2</v>
      </c>
      <c r="AT959">
        <v>0.52400000000000002</v>
      </c>
      <c r="AU959" s="40">
        <f t="shared" si="274"/>
        <v>0.47599999999999998</v>
      </c>
      <c r="AV959" t="s">
        <v>104</v>
      </c>
      <c r="AW959" s="40" t="s">
        <v>104</v>
      </c>
      <c r="AX959">
        <v>0</v>
      </c>
      <c r="AY959" s="18">
        <v>1</v>
      </c>
      <c r="AZ959" t="s">
        <v>104</v>
      </c>
      <c r="BA959" s="18" t="s">
        <v>104</v>
      </c>
      <c r="BB959" s="18" t="s">
        <v>239</v>
      </c>
      <c r="BC959">
        <v>1</v>
      </c>
      <c r="BD959">
        <v>0</v>
      </c>
      <c r="BE959">
        <v>0</v>
      </c>
      <c r="BF959">
        <v>0</v>
      </c>
      <c r="BG959">
        <v>0</v>
      </c>
      <c r="BH959" s="18">
        <v>0</v>
      </c>
      <c r="BI959">
        <v>1</v>
      </c>
      <c r="BJ959">
        <v>0</v>
      </c>
      <c r="BK959" s="18">
        <v>0</v>
      </c>
      <c r="BL959">
        <v>3697.166666666667</v>
      </c>
      <c r="BM959">
        <v>824</v>
      </c>
      <c r="BN959" s="25">
        <v>28.28</v>
      </c>
      <c r="BO959">
        <v>0</v>
      </c>
      <c r="BP959">
        <v>0</v>
      </c>
      <c r="BQ959">
        <v>0</v>
      </c>
      <c r="BR959">
        <v>1</v>
      </c>
      <c r="BS959">
        <v>0</v>
      </c>
      <c r="BT959">
        <v>0</v>
      </c>
      <c r="BU959">
        <v>0</v>
      </c>
      <c r="BV959" s="18">
        <v>0</v>
      </c>
      <c r="BW959">
        <v>1</v>
      </c>
      <c r="BX959">
        <v>0</v>
      </c>
      <c r="BY959">
        <v>0</v>
      </c>
      <c r="BZ959" s="18">
        <v>0</v>
      </c>
      <c r="CA959">
        <v>0</v>
      </c>
      <c r="CB959">
        <v>0</v>
      </c>
      <c r="CC959">
        <v>0</v>
      </c>
      <c r="CD959">
        <v>0</v>
      </c>
      <c r="CE959">
        <v>0</v>
      </c>
      <c r="CF959" s="18">
        <v>0</v>
      </c>
      <c r="CG959">
        <v>1</v>
      </c>
      <c r="CH959">
        <v>0</v>
      </c>
      <c r="CI959">
        <v>0</v>
      </c>
      <c r="CJ959">
        <v>0</v>
      </c>
      <c r="CK959">
        <v>1</v>
      </c>
      <c r="CL959">
        <v>1</v>
      </c>
      <c r="CM959">
        <v>1</v>
      </c>
      <c r="CN959">
        <v>0</v>
      </c>
      <c r="CO959">
        <v>0</v>
      </c>
      <c r="CP959">
        <v>1</v>
      </c>
      <c r="CQ959" s="18">
        <v>0</v>
      </c>
      <c r="CR959">
        <v>0.19600000000000001</v>
      </c>
      <c r="CS959">
        <v>166</v>
      </c>
      <c r="CT959">
        <v>1</v>
      </c>
      <c r="CU959">
        <v>0</v>
      </c>
      <c r="CV959">
        <v>17</v>
      </c>
      <c r="DB959" s="34"/>
    </row>
    <row r="960" spans="1:106" x14ac:dyDescent="0.25">
      <c r="A960">
        <v>959</v>
      </c>
      <c r="B960">
        <v>65</v>
      </c>
      <c r="C960" s="25" t="s">
        <v>4115</v>
      </c>
      <c r="D960" s="12">
        <v>4.28</v>
      </c>
      <c r="E960" s="14">
        <v>2.9</v>
      </c>
      <c r="F960" s="7">
        <f t="shared" si="277"/>
        <v>1.4758620689655173</v>
      </c>
      <c r="G960" s="7">
        <f t="shared" si="259"/>
        <v>1.3800000000000003</v>
      </c>
      <c r="H960" s="16">
        <f t="shared" si="260"/>
        <v>7.18</v>
      </c>
      <c r="I960" s="11">
        <f t="shared" si="261"/>
        <v>6.7985965340321289E-3</v>
      </c>
      <c r="J960" s="33">
        <f t="shared" si="262"/>
        <v>4.6065256889470038E-3</v>
      </c>
      <c r="K960" s="33">
        <f t="shared" si="263"/>
        <v>217.0833438309964</v>
      </c>
      <c r="L960" s="33">
        <f t="shared" si="264"/>
        <v>2.1920708450851251E-3</v>
      </c>
      <c r="M960" s="33">
        <f t="shared" si="265"/>
        <v>1.1405122222979132E-2</v>
      </c>
      <c r="N960" s="8">
        <v>0</v>
      </c>
      <c r="O960" s="9">
        <v>1</v>
      </c>
      <c r="P960" s="8">
        <v>0</v>
      </c>
      <c r="Q960" s="9">
        <v>0</v>
      </c>
      <c r="R960" s="9">
        <v>0</v>
      </c>
      <c r="S960" s="9">
        <v>1</v>
      </c>
      <c r="T960" s="9">
        <v>0</v>
      </c>
      <c r="U960" s="8">
        <v>47143</v>
      </c>
      <c r="V960" s="9">
        <v>19</v>
      </c>
      <c r="W960" s="9">
        <f t="shared" si="266"/>
        <v>47123</v>
      </c>
      <c r="X960" s="9">
        <f t="shared" si="267"/>
        <v>24</v>
      </c>
      <c r="Y960" s="7">
        <v>13.154999999999999</v>
      </c>
      <c r="Z960" s="7">
        <f t="shared" si="278"/>
        <v>11.055</v>
      </c>
      <c r="AA960" s="9">
        <v>1</v>
      </c>
      <c r="AB960" s="9">
        <v>0</v>
      </c>
      <c r="AC960" s="9">
        <v>0</v>
      </c>
      <c r="AD960" s="9">
        <v>0</v>
      </c>
      <c r="AE960" s="9">
        <v>0</v>
      </c>
      <c r="AF960" s="9">
        <v>1</v>
      </c>
      <c r="AG960" s="8">
        <v>0</v>
      </c>
      <c r="AH960" s="9">
        <v>1</v>
      </c>
      <c r="AI960" s="30">
        <v>0</v>
      </c>
      <c r="AJ960" s="9">
        <v>0</v>
      </c>
      <c r="AK960" s="30">
        <v>1</v>
      </c>
      <c r="AL960" s="21">
        <v>1981</v>
      </c>
      <c r="AM960" s="23">
        <f t="shared" si="268"/>
        <v>7.5913570466985512</v>
      </c>
      <c r="AN960" s="33" t="s">
        <v>104</v>
      </c>
      <c r="AO960" s="33" t="s">
        <v>104</v>
      </c>
      <c r="AP960" s="33" t="s">
        <v>104</v>
      </c>
      <c r="AQ960" s="43" t="s">
        <v>104</v>
      </c>
      <c r="AR960" s="42">
        <v>0</v>
      </c>
      <c r="AS960" s="18">
        <v>1</v>
      </c>
      <c r="AT960">
        <v>0.63300000000000001</v>
      </c>
      <c r="AU960" s="40">
        <f t="shared" si="274"/>
        <v>0.36699999999999999</v>
      </c>
      <c r="AV960" t="s">
        <v>104</v>
      </c>
      <c r="AW960" s="40" t="s">
        <v>104</v>
      </c>
      <c r="AX960">
        <v>0</v>
      </c>
      <c r="AY960" s="18">
        <v>1</v>
      </c>
      <c r="AZ960" t="s">
        <v>104</v>
      </c>
      <c r="BA960" s="18" t="s">
        <v>104</v>
      </c>
      <c r="BB960" s="18" t="s">
        <v>239</v>
      </c>
      <c r="BC960">
        <v>1</v>
      </c>
      <c r="BD960">
        <v>0</v>
      </c>
      <c r="BE960">
        <v>0</v>
      </c>
      <c r="BF960">
        <v>0</v>
      </c>
      <c r="BG960">
        <v>0</v>
      </c>
      <c r="BH960" s="18">
        <v>0</v>
      </c>
      <c r="BI960">
        <v>1</v>
      </c>
      <c r="BJ960">
        <v>0</v>
      </c>
      <c r="BK960" s="18">
        <v>0</v>
      </c>
      <c r="BL960">
        <v>3697.166666666667</v>
      </c>
      <c r="BM960">
        <v>824</v>
      </c>
      <c r="BN960" s="25">
        <v>30.21</v>
      </c>
      <c r="BO960">
        <v>0</v>
      </c>
      <c r="BP960">
        <v>0</v>
      </c>
      <c r="BQ960">
        <v>0</v>
      </c>
      <c r="BR960">
        <v>1</v>
      </c>
      <c r="BS960">
        <v>0</v>
      </c>
      <c r="BT960">
        <v>0</v>
      </c>
      <c r="BU960">
        <v>0</v>
      </c>
      <c r="BV960" s="18">
        <v>0</v>
      </c>
      <c r="BW960">
        <v>1</v>
      </c>
      <c r="BX960">
        <v>0</v>
      </c>
      <c r="BY960">
        <v>0</v>
      </c>
      <c r="BZ960" s="18">
        <v>0</v>
      </c>
      <c r="CA960">
        <v>0</v>
      </c>
      <c r="CB960">
        <v>0</v>
      </c>
      <c r="CC960">
        <v>0</v>
      </c>
      <c r="CD960">
        <v>0</v>
      </c>
      <c r="CE960">
        <v>0</v>
      </c>
      <c r="CF960" s="18">
        <v>0</v>
      </c>
      <c r="CG960">
        <v>1</v>
      </c>
      <c r="CH960">
        <v>0</v>
      </c>
      <c r="CI960">
        <v>0</v>
      </c>
      <c r="CJ960">
        <v>0</v>
      </c>
      <c r="CK960">
        <v>1</v>
      </c>
      <c r="CL960">
        <v>1</v>
      </c>
      <c r="CM960">
        <v>1</v>
      </c>
      <c r="CN960">
        <v>0</v>
      </c>
      <c r="CO960">
        <v>0</v>
      </c>
      <c r="CP960">
        <v>1</v>
      </c>
      <c r="CQ960" s="18">
        <v>0</v>
      </c>
      <c r="CR960">
        <v>0.19600000000000001</v>
      </c>
      <c r="CS960">
        <v>166</v>
      </c>
      <c r="CT960">
        <v>1</v>
      </c>
      <c r="CU960">
        <v>0</v>
      </c>
      <c r="CV960">
        <v>17</v>
      </c>
      <c r="DB960" s="34"/>
    </row>
    <row r="961" spans="1:106" x14ac:dyDescent="0.25">
      <c r="A961">
        <v>960</v>
      </c>
      <c r="B961">
        <v>65</v>
      </c>
      <c r="C961" s="25" t="s">
        <v>4115</v>
      </c>
      <c r="D961" s="12">
        <v>4.25</v>
      </c>
      <c r="E961" s="14">
        <v>2.7</v>
      </c>
      <c r="F961" s="7">
        <f t="shared" si="277"/>
        <v>1.574074074074074</v>
      </c>
      <c r="G961" s="7">
        <f t="shared" si="259"/>
        <v>1.5499999999999998</v>
      </c>
      <c r="H961" s="16">
        <f t="shared" si="260"/>
        <v>6.95</v>
      </c>
      <c r="I961" s="11">
        <f t="shared" si="261"/>
        <v>7.0258228637515583E-3</v>
      </c>
      <c r="J961" s="33">
        <f t="shared" si="262"/>
        <v>4.4634639369715784E-3</v>
      </c>
      <c r="K961" s="33">
        <f t="shared" si="263"/>
        <v>224.04124109009635</v>
      </c>
      <c r="L961" s="33">
        <f t="shared" si="264"/>
        <v>2.5623589267799798E-3</v>
      </c>
      <c r="M961" s="33">
        <f t="shared" si="265"/>
        <v>1.1489286800723137E-2</v>
      </c>
      <c r="N961" s="8">
        <v>0</v>
      </c>
      <c r="O961" s="9">
        <v>1</v>
      </c>
      <c r="P961" s="8">
        <v>0</v>
      </c>
      <c r="Q961" s="9">
        <v>0</v>
      </c>
      <c r="R961" s="9">
        <v>0</v>
      </c>
      <c r="S961" s="9">
        <v>1</v>
      </c>
      <c r="T961" s="9">
        <v>0</v>
      </c>
      <c r="U961" s="8">
        <v>50212</v>
      </c>
      <c r="V961" s="9">
        <v>19</v>
      </c>
      <c r="W961" s="9">
        <f t="shared" si="266"/>
        <v>50192</v>
      </c>
      <c r="X961" s="9">
        <f t="shared" si="267"/>
        <v>24</v>
      </c>
      <c r="Y961" s="7">
        <v>13.153</v>
      </c>
      <c r="Z961" s="7">
        <f t="shared" si="278"/>
        <v>8.9969999999999981</v>
      </c>
      <c r="AA961" s="9">
        <v>1</v>
      </c>
      <c r="AB961" s="9">
        <v>0</v>
      </c>
      <c r="AC961" s="9">
        <v>0</v>
      </c>
      <c r="AD961" s="9">
        <v>0</v>
      </c>
      <c r="AE961" s="9">
        <v>0</v>
      </c>
      <c r="AF961" s="9">
        <v>1</v>
      </c>
      <c r="AG961" s="8">
        <v>0</v>
      </c>
      <c r="AH961" s="9">
        <v>1</v>
      </c>
      <c r="AI961" s="30">
        <v>0</v>
      </c>
      <c r="AJ961" s="9">
        <v>0</v>
      </c>
      <c r="AK961" s="30">
        <v>1</v>
      </c>
      <c r="AL961" s="21">
        <v>1981</v>
      </c>
      <c r="AM961" s="23">
        <f t="shared" si="268"/>
        <v>7.5913570466985512</v>
      </c>
      <c r="AN961" s="33" t="s">
        <v>104</v>
      </c>
      <c r="AO961" s="33" t="s">
        <v>104</v>
      </c>
      <c r="AP961" s="33" t="s">
        <v>104</v>
      </c>
      <c r="AQ961" s="43" t="s">
        <v>104</v>
      </c>
      <c r="AR961" s="42">
        <v>1</v>
      </c>
      <c r="AS961" s="18">
        <v>0</v>
      </c>
      <c r="AT961">
        <v>0.51700000000000002</v>
      </c>
      <c r="AU961" s="40">
        <f t="shared" si="274"/>
        <v>0.48299999999999998</v>
      </c>
      <c r="AV961" t="s">
        <v>104</v>
      </c>
      <c r="AW961" s="40" t="s">
        <v>104</v>
      </c>
      <c r="AX961">
        <v>0</v>
      </c>
      <c r="AY961" s="18">
        <v>1</v>
      </c>
      <c r="AZ961" t="s">
        <v>104</v>
      </c>
      <c r="BA961" s="18" t="s">
        <v>104</v>
      </c>
      <c r="BB961" s="18" t="s">
        <v>239</v>
      </c>
      <c r="BC961">
        <v>1</v>
      </c>
      <c r="BD961">
        <v>0</v>
      </c>
      <c r="BE961">
        <v>0</v>
      </c>
      <c r="BF961">
        <v>0</v>
      </c>
      <c r="BG961">
        <v>0</v>
      </c>
      <c r="BH961" s="18">
        <v>0</v>
      </c>
      <c r="BI961">
        <v>1</v>
      </c>
      <c r="BJ961">
        <v>0</v>
      </c>
      <c r="BK961" s="18">
        <v>0</v>
      </c>
      <c r="BL961">
        <v>3697.166666666667</v>
      </c>
      <c r="BM961">
        <v>824</v>
      </c>
      <c r="BN961" s="25">
        <v>28.15</v>
      </c>
      <c r="BO961">
        <v>0</v>
      </c>
      <c r="BP961">
        <v>0</v>
      </c>
      <c r="BQ961">
        <v>0</v>
      </c>
      <c r="BR961">
        <v>1</v>
      </c>
      <c r="BS961">
        <v>0</v>
      </c>
      <c r="BT961">
        <v>0</v>
      </c>
      <c r="BU961">
        <v>0</v>
      </c>
      <c r="BV961" s="18">
        <v>0</v>
      </c>
      <c r="BW961">
        <v>1</v>
      </c>
      <c r="BX961">
        <v>0</v>
      </c>
      <c r="BY961">
        <v>0</v>
      </c>
      <c r="BZ961" s="18">
        <v>0</v>
      </c>
      <c r="CA961">
        <v>0</v>
      </c>
      <c r="CB961">
        <v>0</v>
      </c>
      <c r="CC961">
        <v>0</v>
      </c>
      <c r="CD961">
        <v>0</v>
      </c>
      <c r="CE961">
        <v>0</v>
      </c>
      <c r="CF961" s="18">
        <v>0</v>
      </c>
      <c r="CG961">
        <v>1</v>
      </c>
      <c r="CH961">
        <v>0</v>
      </c>
      <c r="CI961">
        <v>0</v>
      </c>
      <c r="CJ961">
        <v>0</v>
      </c>
      <c r="CK961">
        <v>1</v>
      </c>
      <c r="CL961">
        <v>1</v>
      </c>
      <c r="CM961">
        <v>1</v>
      </c>
      <c r="CN961">
        <v>0</v>
      </c>
      <c r="CO961">
        <v>0</v>
      </c>
      <c r="CP961">
        <v>1</v>
      </c>
      <c r="CQ961" s="18">
        <v>0</v>
      </c>
      <c r="CR961">
        <v>0.19600000000000001</v>
      </c>
      <c r="CS961">
        <v>166</v>
      </c>
      <c r="CT961">
        <v>1</v>
      </c>
      <c r="CU961">
        <v>0</v>
      </c>
      <c r="CV961">
        <v>17</v>
      </c>
      <c r="DB961" s="34"/>
    </row>
    <row r="962" spans="1:106" x14ac:dyDescent="0.25">
      <c r="A962">
        <v>961</v>
      </c>
      <c r="B962">
        <v>66</v>
      </c>
      <c r="C962" s="25" t="s">
        <v>4123</v>
      </c>
      <c r="D962" s="12">
        <v>6.4</v>
      </c>
      <c r="E962" s="14">
        <v>1</v>
      </c>
      <c r="F962" s="7">
        <f t="shared" si="277"/>
        <v>6.4</v>
      </c>
      <c r="G962" s="7">
        <f t="shared" ref="G962:G1025" si="279">D962-E962</f>
        <v>5.4</v>
      </c>
      <c r="H962" s="16">
        <f t="shared" ref="H962:H1025" si="280">D962+E962</f>
        <v>7.4</v>
      </c>
      <c r="I962" s="11">
        <f t="shared" ref="I962:I1025" si="281">IFERROR(F962/SQRT(F962^2+W962), "X")</f>
        <v>0.26973742357178704</v>
      </c>
      <c r="J962" s="33">
        <f t="shared" ref="J962:J1025" si="282">IFERROR(SQRT((1-I962^2)/W962), "X")</f>
        <v>4.2146472433091726E-2</v>
      </c>
      <c r="K962" s="33">
        <f t="shared" ref="K962:K1025" si="283">IFERROR(1/J962, "X")</f>
        <v>23.726778120933318</v>
      </c>
      <c r="L962" s="33">
        <f t="shared" ref="L962:L1025" si="284">IFERROR(I962-J962, "X")</f>
        <v>0.22759095113869532</v>
      </c>
      <c r="M962" s="33">
        <f t="shared" ref="M962:M1025" si="285">IFERROR(I962+J962, "X")</f>
        <v>0.31188389600487876</v>
      </c>
      <c r="N962" s="8">
        <v>0</v>
      </c>
      <c r="O962" s="9">
        <v>1</v>
      </c>
      <c r="P962" s="8">
        <v>1</v>
      </c>
      <c r="Q962" s="9">
        <v>0</v>
      </c>
      <c r="R962" s="9">
        <v>0</v>
      </c>
      <c r="S962" s="9">
        <v>0</v>
      </c>
      <c r="T962" s="9">
        <v>0</v>
      </c>
      <c r="U962" s="8">
        <v>526</v>
      </c>
      <c r="V962" s="9">
        <v>3</v>
      </c>
      <c r="W962" s="9">
        <f t="shared" ref="W962:W1025" si="286">U962-V962-1</f>
        <v>522</v>
      </c>
      <c r="X962" s="9">
        <f t="shared" ref="X962:X1025" si="287">COUNTIF(B:B,B962)</f>
        <v>8</v>
      </c>
      <c r="Y962" s="7">
        <v>11.6</v>
      </c>
      <c r="Z962" s="7">
        <f t="shared" si="278"/>
        <v>10.399999999999999</v>
      </c>
      <c r="AA962" s="9">
        <v>1</v>
      </c>
      <c r="AB962" s="9">
        <v>0</v>
      </c>
      <c r="AC962" s="9">
        <v>0</v>
      </c>
      <c r="AD962" s="9">
        <v>1</v>
      </c>
      <c r="AE962" s="9">
        <v>0</v>
      </c>
      <c r="AF962" s="9">
        <v>0</v>
      </c>
      <c r="AG962" s="8">
        <v>0</v>
      </c>
      <c r="AH962" s="9">
        <v>1</v>
      </c>
      <c r="AI962" s="30">
        <v>0</v>
      </c>
      <c r="AJ962" s="9">
        <v>0</v>
      </c>
      <c r="AK962" s="30">
        <v>1</v>
      </c>
      <c r="AL962" s="21">
        <v>1983</v>
      </c>
      <c r="AM962" s="23">
        <f t="shared" ref="AM962:AM1025" si="288">LN(AL962)</f>
        <v>7.5923661285197959</v>
      </c>
      <c r="AN962" s="33" t="s">
        <v>104</v>
      </c>
      <c r="AO962" s="33" t="s">
        <v>104</v>
      </c>
      <c r="AP962" s="33" t="s">
        <v>104</v>
      </c>
      <c r="AQ962" s="43" t="s">
        <v>104</v>
      </c>
      <c r="AR962" s="42">
        <v>1</v>
      </c>
      <c r="AS962" s="18">
        <v>0</v>
      </c>
      <c r="AT962">
        <v>1</v>
      </c>
      <c r="AU962" s="40">
        <f t="shared" si="274"/>
        <v>0</v>
      </c>
      <c r="AV962">
        <v>0.45400000000000001</v>
      </c>
      <c r="AW962" s="40">
        <f t="shared" ref="AW962:AW976" si="289">1-AV962</f>
        <v>0.54600000000000004</v>
      </c>
      <c r="AX962">
        <v>0</v>
      </c>
      <c r="AY962" s="18">
        <v>1</v>
      </c>
      <c r="AZ962">
        <v>0</v>
      </c>
      <c r="BA962" s="18">
        <v>1</v>
      </c>
      <c r="BB962" s="18" t="s">
        <v>19</v>
      </c>
      <c r="BC962">
        <v>0</v>
      </c>
      <c r="BD962">
        <v>0</v>
      </c>
      <c r="BE962">
        <v>0</v>
      </c>
      <c r="BF962">
        <v>0</v>
      </c>
      <c r="BG962">
        <v>0</v>
      </c>
      <c r="BH962" s="18">
        <v>1</v>
      </c>
      <c r="BI962">
        <v>0</v>
      </c>
      <c r="BJ962">
        <v>1</v>
      </c>
      <c r="BK962" s="18">
        <v>0</v>
      </c>
      <c r="BL962">
        <v>100</v>
      </c>
      <c r="BM962">
        <v>53.91</v>
      </c>
      <c r="BN962" s="25">
        <v>28</v>
      </c>
      <c r="BO962">
        <v>0</v>
      </c>
      <c r="BP962">
        <v>0</v>
      </c>
      <c r="BQ962">
        <v>1</v>
      </c>
      <c r="BR962">
        <v>0</v>
      </c>
      <c r="BS962">
        <v>0</v>
      </c>
      <c r="BT962">
        <v>0</v>
      </c>
      <c r="BU962">
        <v>0</v>
      </c>
      <c r="BV962" s="18">
        <v>0</v>
      </c>
      <c r="BW962">
        <v>0</v>
      </c>
      <c r="BX962">
        <v>0</v>
      </c>
      <c r="BY962">
        <v>0</v>
      </c>
      <c r="BZ962" s="18">
        <v>0</v>
      </c>
      <c r="CA962">
        <v>0</v>
      </c>
      <c r="CB962">
        <v>0</v>
      </c>
      <c r="CC962">
        <v>0</v>
      </c>
      <c r="CD962">
        <v>0</v>
      </c>
      <c r="CE962">
        <v>0</v>
      </c>
      <c r="CF962" s="18">
        <v>0</v>
      </c>
      <c r="CG962">
        <v>0</v>
      </c>
      <c r="CH962">
        <v>0</v>
      </c>
      <c r="CI962">
        <v>0</v>
      </c>
      <c r="CJ962">
        <v>0</v>
      </c>
      <c r="CK962">
        <v>0</v>
      </c>
      <c r="CL962">
        <v>0</v>
      </c>
      <c r="CM962">
        <v>0</v>
      </c>
      <c r="CN962">
        <v>1</v>
      </c>
      <c r="CO962">
        <v>1</v>
      </c>
      <c r="CP962">
        <v>0</v>
      </c>
      <c r="CQ962" s="18">
        <v>0</v>
      </c>
      <c r="CR962">
        <v>0.14599999999999999</v>
      </c>
      <c r="CS962">
        <v>6</v>
      </c>
      <c r="CT962">
        <v>1</v>
      </c>
      <c r="CU962">
        <v>0</v>
      </c>
      <c r="CV962">
        <v>2</v>
      </c>
      <c r="DB962" s="34"/>
    </row>
    <row r="963" spans="1:106" x14ac:dyDescent="0.25">
      <c r="A963">
        <v>962</v>
      </c>
      <c r="B963">
        <v>66</v>
      </c>
      <c r="C963" s="25" t="s">
        <v>4123</v>
      </c>
      <c r="D963" s="12">
        <v>5.8</v>
      </c>
      <c r="E963" s="14">
        <v>1.2</v>
      </c>
      <c r="F963" s="7">
        <f t="shared" si="277"/>
        <v>4.833333333333333</v>
      </c>
      <c r="G963" s="7">
        <f t="shared" si="279"/>
        <v>4.5999999999999996</v>
      </c>
      <c r="H963" s="16">
        <f t="shared" si="280"/>
        <v>7</v>
      </c>
      <c r="I963" s="11">
        <f t="shared" si="281"/>
        <v>0.20948049241473998</v>
      </c>
      <c r="J963" s="33">
        <f t="shared" si="282"/>
        <v>4.3340791534084135E-2</v>
      </c>
      <c r="K963" s="33">
        <f t="shared" si="283"/>
        <v>23.07295193752007</v>
      </c>
      <c r="L963" s="33">
        <f t="shared" si="284"/>
        <v>0.16613970088065586</v>
      </c>
      <c r="M963" s="33">
        <f t="shared" si="285"/>
        <v>0.25282128394882414</v>
      </c>
      <c r="N963" s="8">
        <v>0</v>
      </c>
      <c r="O963" s="9">
        <v>1</v>
      </c>
      <c r="P963" s="8">
        <v>1</v>
      </c>
      <c r="Q963" s="9">
        <v>0</v>
      </c>
      <c r="R963" s="9">
        <v>0</v>
      </c>
      <c r="S963" s="9">
        <v>0</v>
      </c>
      <c r="T963" s="9">
        <v>0</v>
      </c>
      <c r="U963" s="8">
        <v>515</v>
      </c>
      <c r="V963" s="9">
        <v>5</v>
      </c>
      <c r="W963" s="9">
        <f t="shared" si="286"/>
        <v>509</v>
      </c>
      <c r="X963" s="9">
        <f t="shared" si="287"/>
        <v>8</v>
      </c>
      <c r="Y963" s="7">
        <v>11.6</v>
      </c>
      <c r="Z963" s="7">
        <f t="shared" si="278"/>
        <v>10.399999999999999</v>
      </c>
      <c r="AA963" s="9">
        <v>1</v>
      </c>
      <c r="AB963" s="9">
        <v>0</v>
      </c>
      <c r="AC963" s="9">
        <v>0</v>
      </c>
      <c r="AD963" s="9">
        <v>1</v>
      </c>
      <c r="AE963" s="9">
        <v>0</v>
      </c>
      <c r="AF963" s="9">
        <v>0</v>
      </c>
      <c r="AG963" s="8">
        <v>0</v>
      </c>
      <c r="AH963" s="9">
        <v>1</v>
      </c>
      <c r="AI963" s="30">
        <v>0</v>
      </c>
      <c r="AJ963" s="9">
        <v>0</v>
      </c>
      <c r="AK963" s="30">
        <v>1</v>
      </c>
      <c r="AL963" s="21">
        <v>1983</v>
      </c>
      <c r="AM963" s="23">
        <f t="shared" si="288"/>
        <v>7.5923661285197959</v>
      </c>
      <c r="AN963" s="33" t="s">
        <v>104</v>
      </c>
      <c r="AO963" s="33" t="s">
        <v>104</v>
      </c>
      <c r="AP963" s="33" t="s">
        <v>104</v>
      </c>
      <c r="AQ963" s="43" t="s">
        <v>104</v>
      </c>
      <c r="AR963" s="42">
        <v>1</v>
      </c>
      <c r="AS963" s="18">
        <v>0</v>
      </c>
      <c r="AT963">
        <v>1</v>
      </c>
      <c r="AU963" s="40">
        <f t="shared" si="274"/>
        <v>0</v>
      </c>
      <c r="AV963">
        <v>0.45400000000000001</v>
      </c>
      <c r="AW963" s="40">
        <f t="shared" si="289"/>
        <v>0.54600000000000004</v>
      </c>
      <c r="AX963">
        <v>0</v>
      </c>
      <c r="AY963" s="18">
        <v>1</v>
      </c>
      <c r="AZ963">
        <v>0</v>
      </c>
      <c r="BA963" s="18">
        <v>1</v>
      </c>
      <c r="BB963" s="18" t="s">
        <v>19</v>
      </c>
      <c r="BC963">
        <v>0</v>
      </c>
      <c r="BD963">
        <v>0</v>
      </c>
      <c r="BE963">
        <v>0</v>
      </c>
      <c r="BF963">
        <v>0</v>
      </c>
      <c r="BG963">
        <v>0</v>
      </c>
      <c r="BH963" s="18">
        <v>1</v>
      </c>
      <c r="BI963">
        <v>0</v>
      </c>
      <c r="BJ963">
        <v>1</v>
      </c>
      <c r="BK963" s="18">
        <v>0</v>
      </c>
      <c r="BL963">
        <v>100</v>
      </c>
      <c r="BM963">
        <v>53.91</v>
      </c>
      <c r="BN963" s="25">
        <v>28</v>
      </c>
      <c r="BO963">
        <v>0</v>
      </c>
      <c r="BP963">
        <v>0</v>
      </c>
      <c r="BQ963">
        <v>1</v>
      </c>
      <c r="BR963">
        <v>0</v>
      </c>
      <c r="BS963">
        <v>0</v>
      </c>
      <c r="BT963">
        <v>0</v>
      </c>
      <c r="BU963">
        <v>0</v>
      </c>
      <c r="BV963" s="18">
        <v>0</v>
      </c>
      <c r="BW963">
        <v>0</v>
      </c>
      <c r="BX963">
        <v>0</v>
      </c>
      <c r="BY963">
        <v>0</v>
      </c>
      <c r="BZ963" s="18">
        <v>0</v>
      </c>
      <c r="CA963">
        <v>0</v>
      </c>
      <c r="CB963">
        <v>0</v>
      </c>
      <c r="CC963">
        <v>0</v>
      </c>
      <c r="CD963">
        <v>0</v>
      </c>
      <c r="CE963">
        <v>0</v>
      </c>
      <c r="CF963" s="18">
        <v>0</v>
      </c>
      <c r="CG963">
        <v>0</v>
      </c>
      <c r="CH963">
        <v>0</v>
      </c>
      <c r="CI963">
        <v>0</v>
      </c>
      <c r="CJ963">
        <v>0</v>
      </c>
      <c r="CK963">
        <v>0</v>
      </c>
      <c r="CL963">
        <v>0</v>
      </c>
      <c r="CM963">
        <v>0</v>
      </c>
      <c r="CN963">
        <v>1</v>
      </c>
      <c r="CO963">
        <v>1</v>
      </c>
      <c r="CP963">
        <v>0</v>
      </c>
      <c r="CQ963" s="18">
        <v>0</v>
      </c>
      <c r="CR963">
        <v>0.14599999999999999</v>
      </c>
      <c r="CS963">
        <v>6</v>
      </c>
      <c r="CT963">
        <v>1</v>
      </c>
      <c r="CU963">
        <v>0</v>
      </c>
      <c r="CV963">
        <v>2</v>
      </c>
      <c r="DB963" s="34"/>
    </row>
    <row r="964" spans="1:106" x14ac:dyDescent="0.25">
      <c r="A964">
        <v>963</v>
      </c>
      <c r="B964">
        <v>66</v>
      </c>
      <c r="C964" s="25" t="s">
        <v>4123</v>
      </c>
      <c r="D964" s="12">
        <v>8.8000000000000007</v>
      </c>
      <c r="E964" s="14">
        <v>1.6</v>
      </c>
      <c r="F964" s="7">
        <f t="shared" si="277"/>
        <v>5.5</v>
      </c>
      <c r="G964" s="7">
        <f t="shared" si="279"/>
        <v>7.2000000000000011</v>
      </c>
      <c r="H964" s="16">
        <f t="shared" si="280"/>
        <v>10.4</v>
      </c>
      <c r="I964" s="11">
        <f t="shared" si="281"/>
        <v>0.2368468497303001</v>
      </c>
      <c r="J964" s="33">
        <f t="shared" si="282"/>
        <v>4.306306358732729E-2</v>
      </c>
      <c r="K964" s="33">
        <f t="shared" si="283"/>
        <v>23.221757039466244</v>
      </c>
      <c r="L964" s="33">
        <f t="shared" si="284"/>
        <v>0.19378378614297281</v>
      </c>
      <c r="M964" s="33">
        <f t="shared" si="285"/>
        <v>0.27990991331762738</v>
      </c>
      <c r="N964" s="8">
        <v>0</v>
      </c>
      <c r="O964" s="9">
        <v>1</v>
      </c>
      <c r="P964" s="8">
        <v>1</v>
      </c>
      <c r="Q964" s="9">
        <v>0</v>
      </c>
      <c r="R964" s="9">
        <v>0</v>
      </c>
      <c r="S964" s="9">
        <v>0</v>
      </c>
      <c r="T964" s="9">
        <v>0</v>
      </c>
      <c r="U964" s="8">
        <v>515</v>
      </c>
      <c r="V964" s="9">
        <v>5</v>
      </c>
      <c r="W964" s="9">
        <f t="shared" si="286"/>
        <v>509</v>
      </c>
      <c r="X964" s="9">
        <f t="shared" si="287"/>
        <v>8</v>
      </c>
      <c r="Y964" s="7">
        <v>11.6</v>
      </c>
      <c r="Z964" s="7">
        <f t="shared" si="278"/>
        <v>10.399999999999999</v>
      </c>
      <c r="AA964" s="9">
        <v>1</v>
      </c>
      <c r="AB964" s="9">
        <v>0</v>
      </c>
      <c r="AC964" s="9">
        <v>0</v>
      </c>
      <c r="AD964" s="9">
        <v>1</v>
      </c>
      <c r="AE964" s="9">
        <v>0</v>
      </c>
      <c r="AF964" s="9">
        <v>0</v>
      </c>
      <c r="AG964" s="8">
        <v>0</v>
      </c>
      <c r="AH964" s="9">
        <v>1</v>
      </c>
      <c r="AI964" s="30">
        <v>0</v>
      </c>
      <c r="AJ964" s="9">
        <v>0</v>
      </c>
      <c r="AK964" s="30">
        <v>1</v>
      </c>
      <c r="AL964" s="21">
        <v>1983</v>
      </c>
      <c r="AM964" s="23">
        <f t="shared" si="288"/>
        <v>7.5923661285197959</v>
      </c>
      <c r="AN964" s="33" t="s">
        <v>104</v>
      </c>
      <c r="AO964" s="33" t="s">
        <v>104</v>
      </c>
      <c r="AP964" s="33" t="s">
        <v>104</v>
      </c>
      <c r="AQ964" s="43" t="s">
        <v>104</v>
      </c>
      <c r="AR964" s="42">
        <v>1</v>
      </c>
      <c r="AS964" s="18">
        <v>0</v>
      </c>
      <c r="AT964">
        <v>1</v>
      </c>
      <c r="AU964" s="40">
        <f t="shared" si="274"/>
        <v>0</v>
      </c>
      <c r="AV964">
        <v>0.45400000000000001</v>
      </c>
      <c r="AW964" s="40">
        <f t="shared" si="289"/>
        <v>0.54600000000000004</v>
      </c>
      <c r="AX964">
        <v>0</v>
      </c>
      <c r="AY964" s="18">
        <v>1</v>
      </c>
      <c r="AZ964">
        <v>0</v>
      </c>
      <c r="BA964" s="18">
        <v>1</v>
      </c>
      <c r="BB964" s="18" t="s">
        <v>19</v>
      </c>
      <c r="BC964">
        <v>0</v>
      </c>
      <c r="BD964">
        <v>0</v>
      </c>
      <c r="BE964">
        <v>0</v>
      </c>
      <c r="BF964">
        <v>0</v>
      </c>
      <c r="BG964">
        <v>0</v>
      </c>
      <c r="BH964" s="18">
        <v>1</v>
      </c>
      <c r="BI964">
        <v>0</v>
      </c>
      <c r="BJ964">
        <v>1</v>
      </c>
      <c r="BK964" s="18">
        <v>0</v>
      </c>
      <c r="BL964">
        <v>100</v>
      </c>
      <c r="BM964">
        <v>53.91</v>
      </c>
      <c r="BN964" s="25">
        <v>28</v>
      </c>
      <c r="BO964">
        <v>0</v>
      </c>
      <c r="BP964">
        <v>0</v>
      </c>
      <c r="BQ964">
        <v>1</v>
      </c>
      <c r="BR964">
        <v>0</v>
      </c>
      <c r="BS964">
        <v>0</v>
      </c>
      <c r="BT964">
        <v>0</v>
      </c>
      <c r="BU964">
        <v>0</v>
      </c>
      <c r="BV964" s="18">
        <v>0</v>
      </c>
      <c r="BW964">
        <v>0</v>
      </c>
      <c r="BX964">
        <v>0</v>
      </c>
      <c r="BY964">
        <v>0</v>
      </c>
      <c r="BZ964" s="18">
        <v>0</v>
      </c>
      <c r="CA964">
        <v>0</v>
      </c>
      <c r="CB964">
        <v>0</v>
      </c>
      <c r="CC964">
        <v>0</v>
      </c>
      <c r="CD964">
        <v>0</v>
      </c>
      <c r="CE964">
        <v>0</v>
      </c>
      <c r="CF964" s="18">
        <v>0</v>
      </c>
      <c r="CG964">
        <v>0</v>
      </c>
      <c r="CH964">
        <v>0</v>
      </c>
      <c r="CI964">
        <v>0</v>
      </c>
      <c r="CJ964">
        <v>0</v>
      </c>
      <c r="CK964">
        <v>0</v>
      </c>
      <c r="CL964">
        <v>0</v>
      </c>
      <c r="CM964">
        <v>0</v>
      </c>
      <c r="CN964">
        <v>1</v>
      </c>
      <c r="CO964">
        <v>1</v>
      </c>
      <c r="CP964">
        <v>0</v>
      </c>
      <c r="CQ964" s="18">
        <v>0</v>
      </c>
      <c r="CR964">
        <v>0.14599999999999999</v>
      </c>
      <c r="CS964">
        <v>6</v>
      </c>
      <c r="CT964">
        <v>1</v>
      </c>
      <c r="CU964">
        <v>0</v>
      </c>
      <c r="CV964">
        <v>2</v>
      </c>
      <c r="DB964" s="34"/>
    </row>
    <row r="965" spans="1:106" x14ac:dyDescent="0.25">
      <c r="A965">
        <v>964</v>
      </c>
      <c r="B965">
        <v>66</v>
      </c>
      <c r="C965" s="25" t="s">
        <v>4123</v>
      </c>
      <c r="D965" s="12">
        <v>8.1999999999999993</v>
      </c>
      <c r="E965" s="14">
        <v>2</v>
      </c>
      <c r="F965" s="7">
        <f t="shared" si="277"/>
        <v>4.0999999999999996</v>
      </c>
      <c r="G965" s="7">
        <f t="shared" si="279"/>
        <v>6.1999999999999993</v>
      </c>
      <c r="H965" s="16">
        <f t="shared" si="280"/>
        <v>10.199999999999999</v>
      </c>
      <c r="I965" s="11">
        <f t="shared" si="281"/>
        <v>0.18017670483805717</v>
      </c>
      <c r="J965" s="33">
        <f t="shared" si="282"/>
        <v>4.3945537765379801E-2</v>
      </c>
      <c r="K965" s="33">
        <f t="shared" si="283"/>
        <v>22.755438910291314</v>
      </c>
      <c r="L965" s="33">
        <f t="shared" si="284"/>
        <v>0.13623116707267738</v>
      </c>
      <c r="M965" s="33">
        <f t="shared" si="285"/>
        <v>0.22412224260343697</v>
      </c>
      <c r="N965" s="8">
        <v>0</v>
      </c>
      <c r="O965" s="9">
        <v>1</v>
      </c>
      <c r="P965" s="8">
        <v>1</v>
      </c>
      <c r="Q965" s="9">
        <v>0</v>
      </c>
      <c r="R965" s="9">
        <v>0</v>
      </c>
      <c r="S965" s="9">
        <v>0</v>
      </c>
      <c r="T965" s="9">
        <v>0</v>
      </c>
      <c r="U965" s="8">
        <v>515</v>
      </c>
      <c r="V965" s="9">
        <v>13</v>
      </c>
      <c r="W965" s="9">
        <f t="shared" si="286"/>
        <v>501</v>
      </c>
      <c r="X965" s="9">
        <f t="shared" si="287"/>
        <v>8</v>
      </c>
      <c r="Y965" s="7">
        <v>11.6</v>
      </c>
      <c r="Z965" s="7">
        <f t="shared" si="278"/>
        <v>10.399999999999999</v>
      </c>
      <c r="AA965" s="9">
        <v>1</v>
      </c>
      <c r="AB965" s="9">
        <v>0</v>
      </c>
      <c r="AC965" s="9">
        <v>0</v>
      </c>
      <c r="AD965" s="9">
        <v>1</v>
      </c>
      <c r="AE965" s="9">
        <v>0</v>
      </c>
      <c r="AF965" s="9">
        <v>0</v>
      </c>
      <c r="AG965" s="8">
        <v>0</v>
      </c>
      <c r="AH965" s="9">
        <v>1</v>
      </c>
      <c r="AI965" s="30">
        <v>0</v>
      </c>
      <c r="AJ965" s="9">
        <v>0</v>
      </c>
      <c r="AK965" s="30">
        <v>1</v>
      </c>
      <c r="AL965" s="21">
        <v>1983</v>
      </c>
      <c r="AM965" s="23">
        <f t="shared" si="288"/>
        <v>7.5923661285197959</v>
      </c>
      <c r="AN965" s="33" t="s">
        <v>104</v>
      </c>
      <c r="AO965" s="33" t="s">
        <v>104</v>
      </c>
      <c r="AP965" s="33" t="s">
        <v>104</v>
      </c>
      <c r="AQ965" s="43" t="s">
        <v>104</v>
      </c>
      <c r="AR965" s="42">
        <v>1</v>
      </c>
      <c r="AS965" s="18">
        <v>0</v>
      </c>
      <c r="AT965">
        <v>1</v>
      </c>
      <c r="AU965" s="40">
        <f t="shared" si="274"/>
        <v>0</v>
      </c>
      <c r="AV965">
        <v>0.45400000000000001</v>
      </c>
      <c r="AW965" s="40">
        <f t="shared" si="289"/>
        <v>0.54600000000000004</v>
      </c>
      <c r="AX965">
        <v>0</v>
      </c>
      <c r="AY965" s="18">
        <v>1</v>
      </c>
      <c r="AZ965">
        <v>0</v>
      </c>
      <c r="BA965" s="18">
        <v>1</v>
      </c>
      <c r="BB965" s="18" t="s">
        <v>19</v>
      </c>
      <c r="BC965">
        <v>0</v>
      </c>
      <c r="BD965">
        <v>0</v>
      </c>
      <c r="BE965">
        <v>0</v>
      </c>
      <c r="BF965">
        <v>0</v>
      </c>
      <c r="BG965">
        <v>0</v>
      </c>
      <c r="BH965" s="18">
        <v>1</v>
      </c>
      <c r="BI965">
        <v>0</v>
      </c>
      <c r="BJ965">
        <v>1</v>
      </c>
      <c r="BK965" s="18">
        <v>0</v>
      </c>
      <c r="BL965">
        <v>100</v>
      </c>
      <c r="BM965">
        <v>53.91</v>
      </c>
      <c r="BN965" s="25">
        <v>28</v>
      </c>
      <c r="BO965">
        <v>0</v>
      </c>
      <c r="BP965">
        <v>0</v>
      </c>
      <c r="BQ965">
        <v>1</v>
      </c>
      <c r="BR965">
        <v>0</v>
      </c>
      <c r="BS965">
        <v>0</v>
      </c>
      <c r="BT965">
        <v>0</v>
      </c>
      <c r="BU965">
        <v>0</v>
      </c>
      <c r="BV965" s="18">
        <v>0</v>
      </c>
      <c r="BW965">
        <v>0</v>
      </c>
      <c r="BX965">
        <v>0</v>
      </c>
      <c r="BY965">
        <v>0</v>
      </c>
      <c r="BZ965" s="18">
        <v>0</v>
      </c>
      <c r="CA965">
        <v>0</v>
      </c>
      <c r="CB965">
        <v>0</v>
      </c>
      <c r="CC965">
        <v>0</v>
      </c>
      <c r="CD965">
        <v>0</v>
      </c>
      <c r="CE965">
        <v>0</v>
      </c>
      <c r="CF965" s="18">
        <v>0</v>
      </c>
      <c r="CG965">
        <v>0</v>
      </c>
      <c r="CH965">
        <v>0</v>
      </c>
      <c r="CI965">
        <v>0</v>
      </c>
      <c r="CJ965">
        <v>0</v>
      </c>
      <c r="CK965">
        <v>0</v>
      </c>
      <c r="CL965">
        <v>0</v>
      </c>
      <c r="CM965">
        <v>0</v>
      </c>
      <c r="CN965">
        <v>1</v>
      </c>
      <c r="CO965">
        <v>1</v>
      </c>
      <c r="CP965">
        <v>0</v>
      </c>
      <c r="CQ965" s="18">
        <v>0</v>
      </c>
      <c r="CR965">
        <v>0.14599999999999999</v>
      </c>
      <c r="CS965">
        <v>6</v>
      </c>
      <c r="CT965">
        <v>1</v>
      </c>
      <c r="CU965">
        <v>0</v>
      </c>
      <c r="CV965">
        <v>2</v>
      </c>
      <c r="DB965" s="34"/>
    </row>
    <row r="966" spans="1:106" x14ac:dyDescent="0.25">
      <c r="A966">
        <v>965</v>
      </c>
      <c r="B966">
        <v>66</v>
      </c>
      <c r="C966" s="25" t="s">
        <v>4123</v>
      </c>
      <c r="D966" s="12">
        <v>7.4</v>
      </c>
      <c r="E966" s="14">
        <v>0.8</v>
      </c>
      <c r="F966" s="7">
        <f t="shared" si="277"/>
        <v>9.25</v>
      </c>
      <c r="G966" s="7">
        <f t="shared" si="279"/>
        <v>6.6000000000000005</v>
      </c>
      <c r="H966" s="16">
        <f t="shared" si="280"/>
        <v>8.2000000000000011</v>
      </c>
      <c r="I966" s="11">
        <f t="shared" si="281"/>
        <v>0.37527207837150228</v>
      </c>
      <c r="J966" s="33">
        <f t="shared" si="282"/>
        <v>4.0569954418540784E-2</v>
      </c>
      <c r="K966" s="33">
        <f t="shared" si="283"/>
        <v>24.64878293141469</v>
      </c>
      <c r="L966" s="33">
        <f t="shared" si="284"/>
        <v>0.33470212395296151</v>
      </c>
      <c r="M966" s="33">
        <f t="shared" si="285"/>
        <v>0.41584203279004306</v>
      </c>
      <c r="N966" s="8">
        <v>0</v>
      </c>
      <c r="O966" s="9">
        <v>1</v>
      </c>
      <c r="P966" s="8">
        <v>1</v>
      </c>
      <c r="Q966" s="9">
        <v>0</v>
      </c>
      <c r="R966" s="9">
        <v>0</v>
      </c>
      <c r="S966" s="9">
        <v>0</v>
      </c>
      <c r="T966" s="9">
        <v>0</v>
      </c>
      <c r="U966" s="8">
        <v>526</v>
      </c>
      <c r="V966" s="9">
        <v>3</v>
      </c>
      <c r="W966" s="9">
        <f t="shared" si="286"/>
        <v>522</v>
      </c>
      <c r="X966" s="9">
        <f t="shared" si="287"/>
        <v>8</v>
      </c>
      <c r="Y966" s="7">
        <v>11.6</v>
      </c>
      <c r="Z966" s="7">
        <f t="shared" si="278"/>
        <v>10.399999999999999</v>
      </c>
      <c r="AA966" s="9">
        <v>1</v>
      </c>
      <c r="AB966" s="9">
        <v>0</v>
      </c>
      <c r="AC966" s="9">
        <v>0</v>
      </c>
      <c r="AD966" s="9">
        <v>1</v>
      </c>
      <c r="AE966" s="9">
        <v>0</v>
      </c>
      <c r="AF966" s="9">
        <v>0</v>
      </c>
      <c r="AG966" s="8">
        <v>0</v>
      </c>
      <c r="AH966" s="9">
        <v>1</v>
      </c>
      <c r="AI966" s="30">
        <v>0</v>
      </c>
      <c r="AJ966" s="9">
        <v>0</v>
      </c>
      <c r="AK966" s="30">
        <v>1</v>
      </c>
      <c r="AL966" s="21">
        <v>1983</v>
      </c>
      <c r="AM966" s="23">
        <f t="shared" si="288"/>
        <v>7.5923661285197959</v>
      </c>
      <c r="AN966" s="33" t="s">
        <v>104</v>
      </c>
      <c r="AO966" s="33" t="s">
        <v>104</v>
      </c>
      <c r="AP966" s="33" t="s">
        <v>104</v>
      </c>
      <c r="AQ966" s="43" t="s">
        <v>104</v>
      </c>
      <c r="AR966" s="42">
        <v>1</v>
      </c>
      <c r="AS966" s="18">
        <v>0</v>
      </c>
      <c r="AT966">
        <v>1</v>
      </c>
      <c r="AU966" s="40">
        <f t="shared" si="274"/>
        <v>0</v>
      </c>
      <c r="AV966">
        <v>0.45400000000000001</v>
      </c>
      <c r="AW966" s="40">
        <f t="shared" si="289"/>
        <v>0.54600000000000004</v>
      </c>
      <c r="AX966">
        <v>0</v>
      </c>
      <c r="AY966" s="18">
        <v>1</v>
      </c>
      <c r="AZ966">
        <v>0</v>
      </c>
      <c r="BA966" s="18">
        <v>1</v>
      </c>
      <c r="BB966" s="18" t="s">
        <v>19</v>
      </c>
      <c r="BC966">
        <v>0</v>
      </c>
      <c r="BD966">
        <v>0</v>
      </c>
      <c r="BE966">
        <v>0</v>
      </c>
      <c r="BF966">
        <v>0</v>
      </c>
      <c r="BG966">
        <v>0</v>
      </c>
      <c r="BH966" s="18">
        <v>1</v>
      </c>
      <c r="BI966">
        <v>0</v>
      </c>
      <c r="BJ966">
        <v>1</v>
      </c>
      <c r="BK966" s="18">
        <v>0</v>
      </c>
      <c r="BL966">
        <v>100</v>
      </c>
      <c r="BM966">
        <v>53.91</v>
      </c>
      <c r="BN966" s="25">
        <v>28</v>
      </c>
      <c r="BO966">
        <v>0</v>
      </c>
      <c r="BP966">
        <v>0</v>
      </c>
      <c r="BQ966">
        <v>1</v>
      </c>
      <c r="BR966">
        <v>0</v>
      </c>
      <c r="BS966">
        <v>0</v>
      </c>
      <c r="BT966">
        <v>0</v>
      </c>
      <c r="BU966">
        <v>0</v>
      </c>
      <c r="BV966" s="18">
        <v>0</v>
      </c>
      <c r="BW966">
        <v>0</v>
      </c>
      <c r="BX966">
        <v>0</v>
      </c>
      <c r="BY966">
        <v>0</v>
      </c>
      <c r="BZ966" s="18">
        <v>0</v>
      </c>
      <c r="CA966">
        <v>0</v>
      </c>
      <c r="CB966">
        <v>0</v>
      </c>
      <c r="CC966">
        <v>0</v>
      </c>
      <c r="CD966">
        <v>0</v>
      </c>
      <c r="CE966">
        <v>0</v>
      </c>
      <c r="CF966" s="18">
        <v>0</v>
      </c>
      <c r="CG966">
        <v>0</v>
      </c>
      <c r="CH966">
        <v>0</v>
      </c>
      <c r="CI966">
        <v>0</v>
      </c>
      <c r="CJ966">
        <v>0</v>
      </c>
      <c r="CK966">
        <v>0</v>
      </c>
      <c r="CL966">
        <v>0</v>
      </c>
      <c r="CM966">
        <v>0</v>
      </c>
      <c r="CN966">
        <v>1</v>
      </c>
      <c r="CO966">
        <v>1</v>
      </c>
      <c r="CP966">
        <v>0</v>
      </c>
      <c r="CQ966" s="18">
        <v>0</v>
      </c>
      <c r="CR966">
        <v>0.14599999999999999</v>
      </c>
      <c r="CS966">
        <v>6</v>
      </c>
      <c r="CT966">
        <v>1</v>
      </c>
      <c r="CU966">
        <v>0</v>
      </c>
      <c r="CV966">
        <v>2</v>
      </c>
      <c r="DB966" s="34"/>
    </row>
    <row r="967" spans="1:106" x14ac:dyDescent="0.25">
      <c r="A967">
        <v>966</v>
      </c>
      <c r="B967">
        <v>66</v>
      </c>
      <c r="C967" s="25" t="s">
        <v>4123</v>
      </c>
      <c r="D967" s="12">
        <v>7.1</v>
      </c>
      <c r="E967" s="14">
        <v>0.9</v>
      </c>
      <c r="F967" s="7">
        <f t="shared" si="277"/>
        <v>7.8888888888888884</v>
      </c>
      <c r="G967" s="7">
        <f t="shared" si="279"/>
        <v>6.1999999999999993</v>
      </c>
      <c r="H967" s="16">
        <f t="shared" si="280"/>
        <v>8</v>
      </c>
      <c r="I967" s="11">
        <f t="shared" si="281"/>
        <v>0.33007193484128955</v>
      </c>
      <c r="J967" s="33">
        <f t="shared" si="282"/>
        <v>4.1840104416501489E-2</v>
      </c>
      <c r="K967" s="33">
        <f t="shared" si="283"/>
        <v>23.900513967302768</v>
      </c>
      <c r="L967" s="33">
        <f t="shared" si="284"/>
        <v>0.28823183042478806</v>
      </c>
      <c r="M967" s="33">
        <f t="shared" si="285"/>
        <v>0.37191203925779104</v>
      </c>
      <c r="N967" s="8">
        <v>0</v>
      </c>
      <c r="O967" s="9">
        <v>1</v>
      </c>
      <c r="P967" s="8">
        <v>1</v>
      </c>
      <c r="Q967" s="9">
        <v>0</v>
      </c>
      <c r="R967" s="9">
        <v>0</v>
      </c>
      <c r="S967" s="9">
        <v>0</v>
      </c>
      <c r="T967" s="9">
        <v>0</v>
      </c>
      <c r="U967" s="8">
        <v>515</v>
      </c>
      <c r="V967" s="9">
        <v>5</v>
      </c>
      <c r="W967" s="9">
        <f t="shared" si="286"/>
        <v>509</v>
      </c>
      <c r="X967" s="9">
        <f t="shared" si="287"/>
        <v>8</v>
      </c>
      <c r="Y967" s="7">
        <v>11.6</v>
      </c>
      <c r="Z967" s="7">
        <f t="shared" si="278"/>
        <v>10.399999999999999</v>
      </c>
      <c r="AA967" s="9">
        <v>1</v>
      </c>
      <c r="AB967" s="9">
        <v>0</v>
      </c>
      <c r="AC967" s="9">
        <v>0</v>
      </c>
      <c r="AD967" s="9">
        <v>1</v>
      </c>
      <c r="AE967" s="9">
        <v>0</v>
      </c>
      <c r="AF967" s="9">
        <v>0</v>
      </c>
      <c r="AG967" s="8">
        <v>0</v>
      </c>
      <c r="AH967" s="9">
        <v>1</v>
      </c>
      <c r="AI967" s="30">
        <v>0</v>
      </c>
      <c r="AJ967" s="9">
        <v>0</v>
      </c>
      <c r="AK967" s="30">
        <v>1</v>
      </c>
      <c r="AL967" s="21">
        <v>1983</v>
      </c>
      <c r="AM967" s="23">
        <f t="shared" si="288"/>
        <v>7.5923661285197959</v>
      </c>
      <c r="AN967" s="33" t="s">
        <v>104</v>
      </c>
      <c r="AO967" s="33" t="s">
        <v>104</v>
      </c>
      <c r="AP967" s="33" t="s">
        <v>104</v>
      </c>
      <c r="AQ967" s="43" t="s">
        <v>104</v>
      </c>
      <c r="AR967" s="42">
        <v>1</v>
      </c>
      <c r="AS967" s="18">
        <v>0</v>
      </c>
      <c r="AT967">
        <v>1</v>
      </c>
      <c r="AU967" s="40">
        <f t="shared" si="274"/>
        <v>0</v>
      </c>
      <c r="AV967">
        <v>0.45400000000000001</v>
      </c>
      <c r="AW967" s="40">
        <f t="shared" si="289"/>
        <v>0.54600000000000004</v>
      </c>
      <c r="AX967">
        <v>0</v>
      </c>
      <c r="AY967" s="18">
        <v>1</v>
      </c>
      <c r="AZ967">
        <v>0</v>
      </c>
      <c r="BA967" s="18">
        <v>1</v>
      </c>
      <c r="BB967" s="18" t="s">
        <v>19</v>
      </c>
      <c r="BC967">
        <v>0</v>
      </c>
      <c r="BD967">
        <v>0</v>
      </c>
      <c r="BE967">
        <v>0</v>
      </c>
      <c r="BF967">
        <v>0</v>
      </c>
      <c r="BG967">
        <v>0</v>
      </c>
      <c r="BH967" s="18">
        <v>1</v>
      </c>
      <c r="BI967">
        <v>0</v>
      </c>
      <c r="BJ967">
        <v>1</v>
      </c>
      <c r="BK967" s="18">
        <v>0</v>
      </c>
      <c r="BL967">
        <v>100</v>
      </c>
      <c r="BM967">
        <v>53.91</v>
      </c>
      <c r="BN967" s="25">
        <v>28</v>
      </c>
      <c r="BO967">
        <v>0</v>
      </c>
      <c r="BP967">
        <v>0</v>
      </c>
      <c r="BQ967">
        <v>1</v>
      </c>
      <c r="BR967">
        <v>0</v>
      </c>
      <c r="BS967">
        <v>0</v>
      </c>
      <c r="BT967">
        <v>0</v>
      </c>
      <c r="BU967">
        <v>0</v>
      </c>
      <c r="BV967" s="18">
        <v>0</v>
      </c>
      <c r="BW967">
        <v>0</v>
      </c>
      <c r="BX967">
        <v>0</v>
      </c>
      <c r="BY967">
        <v>0</v>
      </c>
      <c r="BZ967" s="18">
        <v>0</v>
      </c>
      <c r="CA967">
        <v>0</v>
      </c>
      <c r="CB967">
        <v>0</v>
      </c>
      <c r="CC967">
        <v>0</v>
      </c>
      <c r="CD967">
        <v>0</v>
      </c>
      <c r="CE967">
        <v>0</v>
      </c>
      <c r="CF967" s="18">
        <v>0</v>
      </c>
      <c r="CG967">
        <v>0</v>
      </c>
      <c r="CH967">
        <v>0</v>
      </c>
      <c r="CI967">
        <v>0</v>
      </c>
      <c r="CJ967">
        <v>0</v>
      </c>
      <c r="CK967">
        <v>0</v>
      </c>
      <c r="CL967">
        <v>0</v>
      </c>
      <c r="CM967">
        <v>0</v>
      </c>
      <c r="CN967">
        <v>1</v>
      </c>
      <c r="CO967">
        <v>1</v>
      </c>
      <c r="CP967">
        <v>0</v>
      </c>
      <c r="CQ967" s="18">
        <v>0</v>
      </c>
      <c r="CR967">
        <v>0.14599999999999999</v>
      </c>
      <c r="CS967">
        <v>6</v>
      </c>
      <c r="CT967">
        <v>1</v>
      </c>
      <c r="CU967">
        <v>0</v>
      </c>
      <c r="CV967">
        <v>2</v>
      </c>
      <c r="DB967" s="34"/>
    </row>
    <row r="968" spans="1:106" x14ac:dyDescent="0.25">
      <c r="A968">
        <v>967</v>
      </c>
      <c r="B968">
        <v>66</v>
      </c>
      <c r="C968" s="25" t="s">
        <v>4123</v>
      </c>
      <c r="D968" s="12">
        <v>8.4</v>
      </c>
      <c r="E968" s="14">
        <v>1.3</v>
      </c>
      <c r="F968" s="7">
        <f t="shared" si="277"/>
        <v>6.4615384615384617</v>
      </c>
      <c r="G968" s="7">
        <f t="shared" si="279"/>
        <v>7.1000000000000005</v>
      </c>
      <c r="H968" s="16">
        <f t="shared" si="280"/>
        <v>9.7000000000000011</v>
      </c>
      <c r="I968" s="11">
        <f t="shared" si="281"/>
        <v>0.27735463364540874</v>
      </c>
      <c r="J968" s="33">
        <f t="shared" si="282"/>
        <v>4.2923931397503737E-2</v>
      </c>
      <c r="K968" s="33">
        <f t="shared" si="283"/>
        <v>23.297027262935089</v>
      </c>
      <c r="L968" s="33">
        <f t="shared" si="284"/>
        <v>0.23443070224790502</v>
      </c>
      <c r="M968" s="33">
        <f t="shared" si="285"/>
        <v>0.32027856504291247</v>
      </c>
      <c r="N968" s="8">
        <v>0</v>
      </c>
      <c r="O968" s="9">
        <v>1</v>
      </c>
      <c r="P968" s="8">
        <v>1</v>
      </c>
      <c r="Q968" s="9">
        <v>0</v>
      </c>
      <c r="R968" s="9">
        <v>0</v>
      </c>
      <c r="S968" s="9">
        <v>0</v>
      </c>
      <c r="T968" s="9">
        <v>0</v>
      </c>
      <c r="U968" s="8">
        <v>515</v>
      </c>
      <c r="V968" s="9">
        <v>13</v>
      </c>
      <c r="W968" s="9">
        <f t="shared" si="286"/>
        <v>501</v>
      </c>
      <c r="X968" s="9">
        <f t="shared" si="287"/>
        <v>8</v>
      </c>
      <c r="Y968" s="7">
        <v>11.6</v>
      </c>
      <c r="Z968" s="7">
        <f t="shared" si="278"/>
        <v>10.399999999999999</v>
      </c>
      <c r="AA968" s="9">
        <v>1</v>
      </c>
      <c r="AB968" s="9">
        <v>0</v>
      </c>
      <c r="AC968" s="9">
        <v>0</v>
      </c>
      <c r="AD968" s="9">
        <v>1</v>
      </c>
      <c r="AE968" s="9">
        <v>0</v>
      </c>
      <c r="AF968" s="9">
        <v>0</v>
      </c>
      <c r="AG968" s="8">
        <v>0</v>
      </c>
      <c r="AH968" s="9">
        <v>1</v>
      </c>
      <c r="AI968" s="30">
        <v>0</v>
      </c>
      <c r="AJ968" s="9">
        <v>0</v>
      </c>
      <c r="AK968" s="30">
        <v>1</v>
      </c>
      <c r="AL968" s="21">
        <v>1983</v>
      </c>
      <c r="AM968" s="23">
        <f t="shared" si="288"/>
        <v>7.5923661285197959</v>
      </c>
      <c r="AN968" s="33" t="s">
        <v>104</v>
      </c>
      <c r="AO968" s="33" t="s">
        <v>104</v>
      </c>
      <c r="AP968" s="33" t="s">
        <v>104</v>
      </c>
      <c r="AQ968" s="43" t="s">
        <v>104</v>
      </c>
      <c r="AR968" s="42">
        <v>1</v>
      </c>
      <c r="AS968" s="18">
        <v>0</v>
      </c>
      <c r="AT968">
        <v>1</v>
      </c>
      <c r="AU968" s="40">
        <f t="shared" si="274"/>
        <v>0</v>
      </c>
      <c r="AV968">
        <v>0.45400000000000001</v>
      </c>
      <c r="AW968" s="40">
        <f t="shared" si="289"/>
        <v>0.54600000000000004</v>
      </c>
      <c r="AX968">
        <v>0</v>
      </c>
      <c r="AY968" s="18">
        <v>1</v>
      </c>
      <c r="AZ968">
        <v>0</v>
      </c>
      <c r="BA968" s="18">
        <v>1</v>
      </c>
      <c r="BB968" s="18" t="s">
        <v>19</v>
      </c>
      <c r="BC968">
        <v>0</v>
      </c>
      <c r="BD968">
        <v>0</v>
      </c>
      <c r="BE968">
        <v>0</v>
      </c>
      <c r="BF968">
        <v>0</v>
      </c>
      <c r="BG968">
        <v>0</v>
      </c>
      <c r="BH968" s="18">
        <v>1</v>
      </c>
      <c r="BI968">
        <v>0</v>
      </c>
      <c r="BJ968">
        <v>1</v>
      </c>
      <c r="BK968" s="18">
        <v>0</v>
      </c>
      <c r="BL968">
        <v>100</v>
      </c>
      <c r="BM968">
        <v>53.91</v>
      </c>
      <c r="BN968" s="25">
        <v>28</v>
      </c>
      <c r="BO968">
        <v>0</v>
      </c>
      <c r="BP968">
        <v>0</v>
      </c>
      <c r="BQ968">
        <v>1</v>
      </c>
      <c r="BR968">
        <v>0</v>
      </c>
      <c r="BS968">
        <v>0</v>
      </c>
      <c r="BT968">
        <v>0</v>
      </c>
      <c r="BU968">
        <v>0</v>
      </c>
      <c r="BV968" s="18">
        <v>0</v>
      </c>
      <c r="BW968">
        <v>0</v>
      </c>
      <c r="BX968">
        <v>0</v>
      </c>
      <c r="BY968">
        <v>0</v>
      </c>
      <c r="BZ968" s="18">
        <v>0</v>
      </c>
      <c r="CA968">
        <v>0</v>
      </c>
      <c r="CB968">
        <v>0</v>
      </c>
      <c r="CC968">
        <v>0</v>
      </c>
      <c r="CD968">
        <v>0</v>
      </c>
      <c r="CE968">
        <v>0</v>
      </c>
      <c r="CF968" s="18">
        <v>0</v>
      </c>
      <c r="CG968">
        <v>0</v>
      </c>
      <c r="CH968">
        <v>0</v>
      </c>
      <c r="CI968">
        <v>0</v>
      </c>
      <c r="CJ968">
        <v>0</v>
      </c>
      <c r="CK968">
        <v>0</v>
      </c>
      <c r="CL968">
        <v>0</v>
      </c>
      <c r="CM968">
        <v>0</v>
      </c>
      <c r="CN968">
        <v>1</v>
      </c>
      <c r="CO968">
        <v>1</v>
      </c>
      <c r="CP968">
        <v>0</v>
      </c>
      <c r="CQ968" s="18">
        <v>0</v>
      </c>
      <c r="CR968">
        <v>0.14599999999999999</v>
      </c>
      <c r="CS968">
        <v>6</v>
      </c>
      <c r="CT968">
        <v>1</v>
      </c>
      <c r="CU968">
        <v>0</v>
      </c>
      <c r="CV968">
        <v>2</v>
      </c>
      <c r="DB968" s="34"/>
    </row>
    <row r="969" spans="1:106" x14ac:dyDescent="0.25">
      <c r="A969">
        <v>968</v>
      </c>
      <c r="B969">
        <v>66</v>
      </c>
      <c r="C969" s="25" t="s">
        <v>4123</v>
      </c>
      <c r="D969" s="12">
        <v>8.8000000000000007</v>
      </c>
      <c r="E969" s="14">
        <v>1.5</v>
      </c>
      <c r="F969" s="7">
        <f t="shared" si="277"/>
        <v>5.8666666666666671</v>
      </c>
      <c r="G969" s="7">
        <f t="shared" si="279"/>
        <v>7.3000000000000007</v>
      </c>
      <c r="H969" s="16">
        <f t="shared" si="280"/>
        <v>10.3</v>
      </c>
      <c r="I969" s="11">
        <f t="shared" si="281"/>
        <v>0.25353914385959897</v>
      </c>
      <c r="J969" s="33">
        <f t="shared" si="282"/>
        <v>4.3216899521522557E-2</v>
      </c>
      <c r="K969" s="33">
        <f t="shared" si="283"/>
        <v>23.139096304259112</v>
      </c>
      <c r="L969" s="33">
        <f t="shared" si="284"/>
        <v>0.21032224433807642</v>
      </c>
      <c r="M969" s="33">
        <f t="shared" si="285"/>
        <v>0.29675604338112155</v>
      </c>
      <c r="N969" s="8">
        <v>0</v>
      </c>
      <c r="O969" s="9">
        <v>1</v>
      </c>
      <c r="P969" s="8">
        <v>1</v>
      </c>
      <c r="Q969" s="9">
        <v>0</v>
      </c>
      <c r="R969" s="9">
        <v>0</v>
      </c>
      <c r="S969" s="9">
        <v>0</v>
      </c>
      <c r="T969" s="9">
        <v>0</v>
      </c>
      <c r="U969" s="8">
        <v>515</v>
      </c>
      <c r="V969" s="9">
        <v>13</v>
      </c>
      <c r="W969" s="9">
        <f t="shared" si="286"/>
        <v>501</v>
      </c>
      <c r="X969" s="9">
        <f t="shared" si="287"/>
        <v>8</v>
      </c>
      <c r="Y969" s="7">
        <v>11.6</v>
      </c>
      <c r="Z969" s="7">
        <f t="shared" si="278"/>
        <v>10.399999999999999</v>
      </c>
      <c r="AA969" s="9">
        <v>1</v>
      </c>
      <c r="AB969" s="9">
        <v>0</v>
      </c>
      <c r="AC969" s="9">
        <v>0</v>
      </c>
      <c r="AD969" s="9">
        <v>1</v>
      </c>
      <c r="AE969" s="9">
        <v>0</v>
      </c>
      <c r="AF969" s="9">
        <v>0</v>
      </c>
      <c r="AG969" s="8">
        <v>0</v>
      </c>
      <c r="AH969" s="9">
        <v>1</v>
      </c>
      <c r="AI969" s="30">
        <v>0</v>
      </c>
      <c r="AJ969" s="9">
        <v>0</v>
      </c>
      <c r="AK969" s="30">
        <v>1</v>
      </c>
      <c r="AL969" s="21">
        <v>1983</v>
      </c>
      <c r="AM969" s="23">
        <f t="shared" si="288"/>
        <v>7.5923661285197959</v>
      </c>
      <c r="AN969" s="33" t="s">
        <v>104</v>
      </c>
      <c r="AO969" s="33" t="s">
        <v>104</v>
      </c>
      <c r="AP969" s="33" t="s">
        <v>104</v>
      </c>
      <c r="AQ969" s="43" t="s">
        <v>104</v>
      </c>
      <c r="AR969" s="42">
        <v>1</v>
      </c>
      <c r="AS969" s="18">
        <v>0</v>
      </c>
      <c r="AT969">
        <v>1</v>
      </c>
      <c r="AU969" s="40">
        <f t="shared" si="274"/>
        <v>0</v>
      </c>
      <c r="AV969">
        <v>0.45400000000000001</v>
      </c>
      <c r="AW969" s="40">
        <f t="shared" si="289"/>
        <v>0.54600000000000004</v>
      </c>
      <c r="AX969">
        <v>0</v>
      </c>
      <c r="AY969" s="18">
        <v>1</v>
      </c>
      <c r="AZ969">
        <v>0</v>
      </c>
      <c r="BA969" s="18">
        <v>1</v>
      </c>
      <c r="BB969" s="18" t="s">
        <v>19</v>
      </c>
      <c r="BC969">
        <v>0</v>
      </c>
      <c r="BD969">
        <v>0</v>
      </c>
      <c r="BE969">
        <v>0</v>
      </c>
      <c r="BF969">
        <v>0</v>
      </c>
      <c r="BG969">
        <v>0</v>
      </c>
      <c r="BH969" s="18">
        <v>1</v>
      </c>
      <c r="BI969">
        <v>0</v>
      </c>
      <c r="BJ969">
        <v>1</v>
      </c>
      <c r="BK969" s="18">
        <v>0</v>
      </c>
      <c r="BL969">
        <v>100</v>
      </c>
      <c r="BM969">
        <v>53.91</v>
      </c>
      <c r="BN969" s="25">
        <v>28</v>
      </c>
      <c r="BO969">
        <v>0</v>
      </c>
      <c r="BP969">
        <v>0</v>
      </c>
      <c r="BQ969">
        <v>1</v>
      </c>
      <c r="BR969">
        <v>0</v>
      </c>
      <c r="BS969">
        <v>0</v>
      </c>
      <c r="BT969">
        <v>0</v>
      </c>
      <c r="BU969">
        <v>0</v>
      </c>
      <c r="BV969" s="18">
        <v>0</v>
      </c>
      <c r="BW969">
        <v>0</v>
      </c>
      <c r="BX969">
        <v>0</v>
      </c>
      <c r="BY969">
        <v>0</v>
      </c>
      <c r="BZ969" s="18">
        <v>0</v>
      </c>
      <c r="CA969">
        <v>0</v>
      </c>
      <c r="CB969">
        <v>0</v>
      </c>
      <c r="CC969">
        <v>0</v>
      </c>
      <c r="CD969">
        <v>0</v>
      </c>
      <c r="CE969">
        <v>0</v>
      </c>
      <c r="CF969" s="18">
        <v>0</v>
      </c>
      <c r="CG969">
        <v>0</v>
      </c>
      <c r="CH969">
        <v>0</v>
      </c>
      <c r="CI969">
        <v>0</v>
      </c>
      <c r="CJ969">
        <v>0</v>
      </c>
      <c r="CK969">
        <v>0</v>
      </c>
      <c r="CL969">
        <v>0</v>
      </c>
      <c r="CM969">
        <v>0</v>
      </c>
      <c r="CN969">
        <v>1</v>
      </c>
      <c r="CO969">
        <v>1</v>
      </c>
      <c r="CP969">
        <v>0</v>
      </c>
      <c r="CQ969" s="18">
        <v>0</v>
      </c>
      <c r="CR969">
        <v>0.14599999999999999</v>
      </c>
      <c r="CS969">
        <v>6</v>
      </c>
      <c r="CT969">
        <v>1</v>
      </c>
      <c r="CU969">
        <v>0</v>
      </c>
      <c r="CV969">
        <v>2</v>
      </c>
      <c r="DB969" s="34"/>
    </row>
    <row r="970" spans="1:106" x14ac:dyDescent="0.25">
      <c r="A970">
        <v>969</v>
      </c>
      <c r="B970">
        <v>67</v>
      </c>
      <c r="C970" s="25" t="s">
        <v>4137</v>
      </c>
      <c r="D970" s="12">
        <v>21.4</v>
      </c>
      <c r="E970" s="14">
        <v>12</v>
      </c>
      <c r="F970" s="7">
        <f t="shared" si="277"/>
        <v>1.7833333333333332</v>
      </c>
      <c r="G970" s="7">
        <f t="shared" si="279"/>
        <v>9.3999999999999986</v>
      </c>
      <c r="H970" s="16">
        <f t="shared" si="280"/>
        <v>33.4</v>
      </c>
      <c r="I970" s="11">
        <f t="shared" si="281"/>
        <v>4.1007761425582795E-2</v>
      </c>
      <c r="J970" s="33">
        <f t="shared" si="282"/>
        <v>2.299500640686886E-2</v>
      </c>
      <c r="K970" s="33">
        <f t="shared" si="283"/>
        <v>43.487702604044024</v>
      </c>
      <c r="L970" s="33">
        <f t="shared" si="284"/>
        <v>1.8012755018713935E-2</v>
      </c>
      <c r="M970" s="33">
        <f t="shared" si="285"/>
        <v>6.4002767832451651E-2</v>
      </c>
      <c r="N970" s="8">
        <v>1</v>
      </c>
      <c r="O970" s="9">
        <v>0</v>
      </c>
      <c r="P970" s="8">
        <v>0</v>
      </c>
      <c r="Q970" s="9">
        <v>0</v>
      </c>
      <c r="R970" s="9">
        <v>1</v>
      </c>
      <c r="S970" s="9">
        <v>0</v>
      </c>
      <c r="T970" s="9">
        <v>0</v>
      </c>
      <c r="U970" s="8">
        <v>1900</v>
      </c>
      <c r="V970" s="9">
        <v>11</v>
      </c>
      <c r="W970" s="9">
        <f t="shared" si="286"/>
        <v>1888</v>
      </c>
      <c r="X970" s="9">
        <f t="shared" si="287"/>
        <v>7</v>
      </c>
      <c r="Y970" s="7">
        <v>4.6900000000000004</v>
      </c>
      <c r="Z970" s="7">
        <f t="shared" si="278"/>
        <v>28.330000000000005</v>
      </c>
      <c r="AA970" s="9">
        <v>1</v>
      </c>
      <c r="AB970" s="9">
        <v>0</v>
      </c>
      <c r="AC970" s="9">
        <v>0</v>
      </c>
      <c r="AD970" s="9">
        <v>0</v>
      </c>
      <c r="AE970" s="9">
        <v>1</v>
      </c>
      <c r="AF970" s="9">
        <v>0</v>
      </c>
      <c r="AG970" s="8">
        <v>0</v>
      </c>
      <c r="AH970" s="9">
        <v>1</v>
      </c>
      <c r="AI970" s="30">
        <v>0</v>
      </c>
      <c r="AJ970" s="9">
        <v>1</v>
      </c>
      <c r="AK970" s="30">
        <v>0</v>
      </c>
      <c r="AL970" s="21">
        <v>2005</v>
      </c>
      <c r="AM970" s="23">
        <f t="shared" si="288"/>
        <v>7.6033993397406698</v>
      </c>
      <c r="AN970" s="7">
        <f t="shared" ref="AN970:AN976" si="290">0.57</f>
        <v>0.56999999999999995</v>
      </c>
      <c r="AO970" s="33">
        <v>0.25</v>
      </c>
      <c r="AP970" s="33">
        <v>0.17</v>
      </c>
      <c r="AQ970" s="43">
        <v>0.01</v>
      </c>
      <c r="AR970" s="42">
        <v>0</v>
      </c>
      <c r="AS970" s="18">
        <v>1</v>
      </c>
      <c r="AT970">
        <v>0.55000000000000004</v>
      </c>
      <c r="AU970" s="40">
        <v>0.45</v>
      </c>
      <c r="AV970">
        <v>1</v>
      </c>
      <c r="AW970" s="40">
        <f t="shared" si="289"/>
        <v>0</v>
      </c>
      <c r="AX970">
        <v>0</v>
      </c>
      <c r="AY970" s="18">
        <v>1</v>
      </c>
      <c r="AZ970">
        <v>0.85</v>
      </c>
      <c r="BA970" s="18">
        <v>0.15</v>
      </c>
      <c r="BB970" s="18" t="s">
        <v>554</v>
      </c>
      <c r="BC970">
        <v>0</v>
      </c>
      <c r="BD970">
        <v>0</v>
      </c>
      <c r="BE970">
        <v>0</v>
      </c>
      <c r="BF970">
        <v>0</v>
      </c>
      <c r="BG970">
        <v>0</v>
      </c>
      <c r="BH970" s="18">
        <v>1</v>
      </c>
      <c r="BI970">
        <v>0</v>
      </c>
      <c r="BJ970">
        <v>0</v>
      </c>
      <c r="BK970" s="18">
        <v>1</v>
      </c>
      <c r="BL970">
        <v>13.55</v>
      </c>
      <c r="BM970">
        <v>38.35</v>
      </c>
      <c r="BN970" s="25">
        <v>39.020000000000003</v>
      </c>
      <c r="BO970">
        <v>0</v>
      </c>
      <c r="BP970">
        <v>0</v>
      </c>
      <c r="BQ970">
        <v>0</v>
      </c>
      <c r="BR970">
        <v>0</v>
      </c>
      <c r="BS970">
        <v>1</v>
      </c>
      <c r="BT970">
        <v>0</v>
      </c>
      <c r="BU970">
        <v>0</v>
      </c>
      <c r="BV970" s="18">
        <v>0</v>
      </c>
      <c r="BW970">
        <v>0</v>
      </c>
      <c r="BX970">
        <v>0</v>
      </c>
      <c r="BY970">
        <v>1</v>
      </c>
      <c r="BZ970" s="18">
        <v>0</v>
      </c>
      <c r="CA970">
        <v>0</v>
      </c>
      <c r="CB970">
        <v>0</v>
      </c>
      <c r="CC970">
        <v>0</v>
      </c>
      <c r="CD970">
        <v>0</v>
      </c>
      <c r="CE970">
        <v>0</v>
      </c>
      <c r="CF970" s="18">
        <v>0</v>
      </c>
      <c r="CG970">
        <v>1</v>
      </c>
      <c r="CH970">
        <v>1</v>
      </c>
      <c r="CI970">
        <v>0</v>
      </c>
      <c r="CJ970">
        <v>0</v>
      </c>
      <c r="CK970">
        <v>0</v>
      </c>
      <c r="CL970">
        <v>1</v>
      </c>
      <c r="CM970">
        <v>1</v>
      </c>
      <c r="CN970">
        <v>0</v>
      </c>
      <c r="CO970">
        <v>1</v>
      </c>
      <c r="CP970">
        <v>1</v>
      </c>
      <c r="CQ970" s="18">
        <v>0</v>
      </c>
      <c r="CR970">
        <v>0.19600000000000001</v>
      </c>
      <c r="CS970">
        <v>118</v>
      </c>
      <c r="CT970">
        <v>1</v>
      </c>
      <c r="CU970">
        <v>0</v>
      </c>
      <c r="CV970">
        <v>19</v>
      </c>
      <c r="DB970" s="34"/>
    </row>
    <row r="971" spans="1:106" x14ac:dyDescent="0.25">
      <c r="A971">
        <v>970</v>
      </c>
      <c r="B971">
        <v>67</v>
      </c>
      <c r="C971" s="25" t="s">
        <v>4137</v>
      </c>
      <c r="D971" s="12">
        <v>6</v>
      </c>
      <c r="E971" s="14">
        <v>1</v>
      </c>
      <c r="F971" s="7">
        <f t="shared" si="277"/>
        <v>6</v>
      </c>
      <c r="G971" s="7">
        <f t="shared" si="279"/>
        <v>5</v>
      </c>
      <c r="H971" s="16">
        <f t="shared" si="280"/>
        <v>7</v>
      </c>
      <c r="I971" s="11">
        <f t="shared" si="281"/>
        <v>0.13678822577626595</v>
      </c>
      <c r="J971" s="33">
        <f t="shared" si="282"/>
        <v>2.2798037629377661E-2</v>
      </c>
      <c r="K971" s="33">
        <f t="shared" si="283"/>
        <v>43.863424398922618</v>
      </c>
      <c r="L971" s="33">
        <f t="shared" si="284"/>
        <v>0.1139901881468883</v>
      </c>
      <c r="M971" s="33">
        <f t="shared" si="285"/>
        <v>0.15958626340564361</v>
      </c>
      <c r="N971" s="8">
        <v>1</v>
      </c>
      <c r="O971" s="9">
        <v>0</v>
      </c>
      <c r="P971" s="8">
        <v>0</v>
      </c>
      <c r="Q971" s="9">
        <v>0</v>
      </c>
      <c r="R971" s="9">
        <v>1</v>
      </c>
      <c r="S971" s="9">
        <v>0</v>
      </c>
      <c r="T971" s="9">
        <v>0</v>
      </c>
      <c r="U971" s="8">
        <v>1900</v>
      </c>
      <c r="V971" s="9">
        <v>11</v>
      </c>
      <c r="W971" s="9">
        <f t="shared" si="286"/>
        <v>1888</v>
      </c>
      <c r="X971" s="9">
        <f t="shared" si="287"/>
        <v>7</v>
      </c>
      <c r="Y971" s="7">
        <v>4.6900000000000004</v>
      </c>
      <c r="Z971" s="7">
        <f t="shared" si="278"/>
        <v>28.330000000000005</v>
      </c>
      <c r="AA971" s="9">
        <v>1</v>
      </c>
      <c r="AB971" s="9">
        <v>0</v>
      </c>
      <c r="AC971" s="9">
        <v>0</v>
      </c>
      <c r="AD971" s="9">
        <v>0</v>
      </c>
      <c r="AE971" s="9">
        <v>1</v>
      </c>
      <c r="AF971" s="9">
        <v>0</v>
      </c>
      <c r="AG971" s="8">
        <v>0</v>
      </c>
      <c r="AH971" s="9">
        <v>1</v>
      </c>
      <c r="AI971" s="30">
        <v>0</v>
      </c>
      <c r="AJ971" s="9">
        <v>1</v>
      </c>
      <c r="AK971" s="30">
        <v>0</v>
      </c>
      <c r="AL971" s="21">
        <v>2005</v>
      </c>
      <c r="AM971" s="23">
        <f t="shared" si="288"/>
        <v>7.6033993397406698</v>
      </c>
      <c r="AN971" s="7">
        <f t="shared" si="290"/>
        <v>0.56999999999999995</v>
      </c>
      <c r="AO971" s="33">
        <v>0.25</v>
      </c>
      <c r="AP971" s="33">
        <v>0.17</v>
      </c>
      <c r="AQ971" s="43">
        <v>0.01</v>
      </c>
      <c r="AR971" s="42">
        <v>0</v>
      </c>
      <c r="AS971" s="18">
        <v>1</v>
      </c>
      <c r="AT971">
        <v>0.55000000000000004</v>
      </c>
      <c r="AU971" s="40">
        <v>0.45</v>
      </c>
      <c r="AV971">
        <v>1</v>
      </c>
      <c r="AW971" s="40">
        <f t="shared" si="289"/>
        <v>0</v>
      </c>
      <c r="AX971">
        <v>0</v>
      </c>
      <c r="AY971" s="18">
        <v>1</v>
      </c>
      <c r="AZ971">
        <v>0.85</v>
      </c>
      <c r="BA971" s="18">
        <v>0.15</v>
      </c>
      <c r="BB971" s="18" t="s">
        <v>554</v>
      </c>
      <c r="BC971">
        <v>0</v>
      </c>
      <c r="BD971">
        <v>0</v>
      </c>
      <c r="BE971">
        <v>0</v>
      </c>
      <c r="BF971">
        <v>0</v>
      </c>
      <c r="BG971">
        <v>0</v>
      </c>
      <c r="BH971" s="18">
        <v>1</v>
      </c>
      <c r="BI971">
        <v>0</v>
      </c>
      <c r="BJ971">
        <v>0</v>
      </c>
      <c r="BK971" s="18">
        <v>1</v>
      </c>
      <c r="BL971">
        <v>13.55</v>
      </c>
      <c r="BM971">
        <v>38.35</v>
      </c>
      <c r="BN971" s="25">
        <v>39.020000000000003</v>
      </c>
      <c r="BO971">
        <v>1</v>
      </c>
      <c r="BP971">
        <v>0</v>
      </c>
      <c r="BQ971">
        <v>0</v>
      </c>
      <c r="BR971">
        <v>0</v>
      </c>
      <c r="BS971">
        <v>0</v>
      </c>
      <c r="BT971">
        <v>0</v>
      </c>
      <c r="BU971">
        <v>0</v>
      </c>
      <c r="BV971" s="18">
        <v>0</v>
      </c>
      <c r="BW971">
        <v>0</v>
      </c>
      <c r="BX971">
        <v>0</v>
      </c>
      <c r="BY971">
        <v>1</v>
      </c>
      <c r="BZ971" s="18">
        <v>0</v>
      </c>
      <c r="CA971">
        <v>0</v>
      </c>
      <c r="CB971">
        <v>0</v>
      </c>
      <c r="CC971">
        <v>0</v>
      </c>
      <c r="CD971">
        <v>0</v>
      </c>
      <c r="CE971">
        <v>0</v>
      </c>
      <c r="CF971" s="18">
        <v>0</v>
      </c>
      <c r="CG971">
        <v>1</v>
      </c>
      <c r="CH971">
        <v>1</v>
      </c>
      <c r="CI971">
        <v>0</v>
      </c>
      <c r="CJ971">
        <v>0</v>
      </c>
      <c r="CK971">
        <v>0</v>
      </c>
      <c r="CL971">
        <v>1</v>
      </c>
      <c r="CM971">
        <v>1</v>
      </c>
      <c r="CN971">
        <v>0</v>
      </c>
      <c r="CO971">
        <v>1</v>
      </c>
      <c r="CP971">
        <v>1</v>
      </c>
      <c r="CQ971" s="18">
        <v>0</v>
      </c>
      <c r="CR971">
        <v>0.19600000000000001</v>
      </c>
      <c r="CS971">
        <v>118</v>
      </c>
      <c r="CT971">
        <v>1</v>
      </c>
      <c r="CU971">
        <v>0</v>
      </c>
      <c r="CV971">
        <v>19</v>
      </c>
      <c r="DB971" s="34"/>
    </row>
    <row r="972" spans="1:106" x14ac:dyDescent="0.25">
      <c r="A972">
        <v>971</v>
      </c>
      <c r="B972">
        <v>67</v>
      </c>
      <c r="C972" s="25" t="s">
        <v>4137</v>
      </c>
      <c r="D972" s="12">
        <v>-4.0999999999999996</v>
      </c>
      <c r="E972" s="14">
        <v>1.2</v>
      </c>
      <c r="F972" s="7">
        <f t="shared" si="277"/>
        <v>-3.4166666666666665</v>
      </c>
      <c r="G972" s="7">
        <f t="shared" si="279"/>
        <v>-5.3</v>
      </c>
      <c r="H972" s="16">
        <f t="shared" si="280"/>
        <v>-2.8999999999999995</v>
      </c>
      <c r="I972" s="11">
        <f t="shared" si="281"/>
        <v>-6.316691593984583E-2</v>
      </c>
      <c r="J972" s="33">
        <f t="shared" si="282"/>
        <v>1.8487877836052439E-2</v>
      </c>
      <c r="K972" s="33">
        <f t="shared" si="283"/>
        <v>54.089496310384618</v>
      </c>
      <c r="L972" s="33">
        <f t="shared" si="284"/>
        <v>-8.1654793775898266E-2</v>
      </c>
      <c r="M972" s="33">
        <f t="shared" si="285"/>
        <v>-4.4679038103793395E-2</v>
      </c>
      <c r="N972" s="8">
        <v>1</v>
      </c>
      <c r="O972" s="9">
        <v>0</v>
      </c>
      <c r="P972" s="8">
        <v>0</v>
      </c>
      <c r="Q972" s="9">
        <v>0</v>
      </c>
      <c r="R972" s="9">
        <v>1</v>
      </c>
      <c r="S972" s="9">
        <v>0</v>
      </c>
      <c r="T972" s="9">
        <v>0</v>
      </c>
      <c r="U972" s="8">
        <v>2926</v>
      </c>
      <c r="V972" s="9">
        <v>11</v>
      </c>
      <c r="W972" s="9">
        <f t="shared" si="286"/>
        <v>2914</v>
      </c>
      <c r="X972" s="9">
        <f t="shared" si="287"/>
        <v>7</v>
      </c>
      <c r="Y972" s="7">
        <v>4.6900000000000004</v>
      </c>
      <c r="Z972" s="7">
        <f t="shared" si="278"/>
        <v>28.330000000000005</v>
      </c>
      <c r="AA972" s="9">
        <v>1</v>
      </c>
      <c r="AB972" s="9">
        <v>0</v>
      </c>
      <c r="AC972" s="9">
        <v>0</v>
      </c>
      <c r="AD972" s="9">
        <v>0</v>
      </c>
      <c r="AE972" s="9">
        <v>1</v>
      </c>
      <c r="AF972" s="9">
        <v>0</v>
      </c>
      <c r="AG972" s="8">
        <v>0</v>
      </c>
      <c r="AH972" s="9">
        <v>1</v>
      </c>
      <c r="AI972" s="30">
        <v>0</v>
      </c>
      <c r="AJ972" s="9">
        <v>1</v>
      </c>
      <c r="AK972" s="30">
        <v>0</v>
      </c>
      <c r="AL972" s="21">
        <v>2005</v>
      </c>
      <c r="AM972" s="23">
        <f t="shared" si="288"/>
        <v>7.6033993397406698</v>
      </c>
      <c r="AN972" s="7">
        <f t="shared" si="290"/>
        <v>0.56999999999999995</v>
      </c>
      <c r="AO972" s="33">
        <v>0.25</v>
      </c>
      <c r="AP972" s="33">
        <v>0.17</v>
      </c>
      <c r="AQ972" s="43">
        <v>0.01</v>
      </c>
      <c r="AR972" s="42">
        <v>0</v>
      </c>
      <c r="AS972" s="18">
        <v>1</v>
      </c>
      <c r="AT972">
        <v>0.55000000000000004</v>
      </c>
      <c r="AU972" s="40">
        <v>0.45</v>
      </c>
      <c r="AV972">
        <v>1</v>
      </c>
      <c r="AW972" s="40">
        <f t="shared" si="289"/>
        <v>0</v>
      </c>
      <c r="AX972">
        <v>0</v>
      </c>
      <c r="AY972" s="18">
        <v>1</v>
      </c>
      <c r="AZ972">
        <v>0.85</v>
      </c>
      <c r="BA972" s="18">
        <v>0.15</v>
      </c>
      <c r="BB972" s="18" t="s">
        <v>554</v>
      </c>
      <c r="BC972">
        <v>0</v>
      </c>
      <c r="BD972">
        <v>0</v>
      </c>
      <c r="BE972">
        <v>0</v>
      </c>
      <c r="BF972">
        <v>0</v>
      </c>
      <c r="BG972">
        <v>0</v>
      </c>
      <c r="BH972" s="18">
        <v>1</v>
      </c>
      <c r="BI972">
        <v>0</v>
      </c>
      <c r="BJ972">
        <v>0</v>
      </c>
      <c r="BK972" s="18">
        <v>1</v>
      </c>
      <c r="BL972">
        <v>13.55</v>
      </c>
      <c r="BM972">
        <v>38.35</v>
      </c>
      <c r="BN972" s="25">
        <v>39.020000000000003</v>
      </c>
      <c r="BO972">
        <v>0</v>
      </c>
      <c r="BP972">
        <v>0</v>
      </c>
      <c r="BQ972">
        <v>0</v>
      </c>
      <c r="BR972">
        <v>0</v>
      </c>
      <c r="BS972">
        <v>1</v>
      </c>
      <c r="BT972">
        <v>0</v>
      </c>
      <c r="BU972">
        <v>0</v>
      </c>
      <c r="BV972" s="18">
        <v>0</v>
      </c>
      <c r="BW972">
        <v>0</v>
      </c>
      <c r="BX972">
        <v>0</v>
      </c>
      <c r="BY972">
        <v>1</v>
      </c>
      <c r="BZ972" s="18">
        <v>0</v>
      </c>
      <c r="CA972">
        <v>0</v>
      </c>
      <c r="CB972">
        <v>0</v>
      </c>
      <c r="CC972">
        <v>0</v>
      </c>
      <c r="CD972">
        <v>0</v>
      </c>
      <c r="CE972">
        <v>0</v>
      </c>
      <c r="CF972" s="18">
        <v>0</v>
      </c>
      <c r="CG972">
        <v>1</v>
      </c>
      <c r="CH972">
        <v>1</v>
      </c>
      <c r="CI972">
        <v>0</v>
      </c>
      <c r="CJ972">
        <v>0</v>
      </c>
      <c r="CK972">
        <v>0</v>
      </c>
      <c r="CL972">
        <v>1</v>
      </c>
      <c r="CM972">
        <v>1</v>
      </c>
      <c r="CN972">
        <v>0</v>
      </c>
      <c r="CO972">
        <v>1</v>
      </c>
      <c r="CP972">
        <v>1</v>
      </c>
      <c r="CQ972" s="18">
        <v>0</v>
      </c>
      <c r="CR972">
        <v>0.19600000000000001</v>
      </c>
      <c r="CS972">
        <v>118</v>
      </c>
      <c r="CT972">
        <v>1</v>
      </c>
      <c r="CU972">
        <v>0</v>
      </c>
      <c r="CV972">
        <v>19</v>
      </c>
      <c r="DB972" s="34"/>
    </row>
    <row r="973" spans="1:106" x14ac:dyDescent="0.25">
      <c r="A973">
        <v>972</v>
      </c>
      <c r="B973">
        <v>67</v>
      </c>
      <c r="C973" s="25" t="s">
        <v>4137</v>
      </c>
      <c r="D973" s="12">
        <v>20</v>
      </c>
      <c r="E973" s="14">
        <v>9</v>
      </c>
      <c r="F973" s="7">
        <f t="shared" si="277"/>
        <v>2.2222222222222223</v>
      </c>
      <c r="G973" s="7">
        <f t="shared" si="279"/>
        <v>11</v>
      </c>
      <c r="H973" s="16">
        <f t="shared" si="280"/>
        <v>29</v>
      </c>
      <c r="I973" s="11">
        <f t="shared" si="281"/>
        <v>6.9582582319649325E-2</v>
      </c>
      <c r="J973" s="33">
        <f t="shared" si="282"/>
        <v>3.1312162043842191E-2</v>
      </c>
      <c r="K973" s="33">
        <f t="shared" si="283"/>
        <v>31.93647243521016</v>
      </c>
      <c r="L973" s="33">
        <f t="shared" si="284"/>
        <v>3.8270420275807134E-2</v>
      </c>
      <c r="M973" s="33">
        <f t="shared" si="285"/>
        <v>0.10089474436349152</v>
      </c>
      <c r="N973" s="8">
        <v>1</v>
      </c>
      <c r="O973" s="9">
        <v>0</v>
      </c>
      <c r="P973" s="8">
        <v>0</v>
      </c>
      <c r="Q973" s="9">
        <v>0</v>
      </c>
      <c r="R973" s="9">
        <v>1</v>
      </c>
      <c r="S973" s="9">
        <v>0</v>
      </c>
      <c r="T973" s="9">
        <v>0</v>
      </c>
      <c r="U973" s="8">
        <v>1027</v>
      </c>
      <c r="V973" s="9">
        <v>11</v>
      </c>
      <c r="W973" s="9">
        <f t="shared" si="286"/>
        <v>1015</v>
      </c>
      <c r="X973" s="9">
        <f t="shared" si="287"/>
        <v>7</v>
      </c>
      <c r="Y973" s="7">
        <v>4.6900000000000004</v>
      </c>
      <c r="Z973" s="7">
        <f t="shared" si="278"/>
        <v>28.330000000000005</v>
      </c>
      <c r="AA973" s="9">
        <v>1</v>
      </c>
      <c r="AB973" s="9">
        <v>0</v>
      </c>
      <c r="AC973" s="9">
        <v>0</v>
      </c>
      <c r="AD973" s="9">
        <v>0</v>
      </c>
      <c r="AE973" s="9">
        <v>1</v>
      </c>
      <c r="AF973" s="9">
        <v>0</v>
      </c>
      <c r="AG973" s="8">
        <v>0</v>
      </c>
      <c r="AH973" s="9">
        <v>1</v>
      </c>
      <c r="AI973" s="30">
        <v>0</v>
      </c>
      <c r="AJ973" s="9">
        <v>1</v>
      </c>
      <c r="AK973" s="30">
        <v>0</v>
      </c>
      <c r="AL973" s="21">
        <v>2005</v>
      </c>
      <c r="AM973" s="23">
        <f t="shared" si="288"/>
        <v>7.6033993397406698</v>
      </c>
      <c r="AN973" s="7">
        <f t="shared" si="290"/>
        <v>0.56999999999999995</v>
      </c>
      <c r="AO973" s="33">
        <v>0.25</v>
      </c>
      <c r="AP973" s="33">
        <v>0.17</v>
      </c>
      <c r="AQ973" s="43">
        <v>0.01</v>
      </c>
      <c r="AR973" s="42">
        <v>0</v>
      </c>
      <c r="AS973" s="18">
        <v>1</v>
      </c>
      <c r="AT973">
        <v>0.55000000000000004</v>
      </c>
      <c r="AU973" s="40">
        <v>0.45</v>
      </c>
      <c r="AV973">
        <v>1</v>
      </c>
      <c r="AW973" s="40">
        <f t="shared" si="289"/>
        <v>0</v>
      </c>
      <c r="AX973">
        <v>0</v>
      </c>
      <c r="AY973" s="18">
        <v>1</v>
      </c>
      <c r="AZ973">
        <v>0.85</v>
      </c>
      <c r="BA973" s="18">
        <v>0.15</v>
      </c>
      <c r="BB973" s="18" t="s">
        <v>554</v>
      </c>
      <c r="BC973">
        <v>0</v>
      </c>
      <c r="BD973">
        <v>0</v>
      </c>
      <c r="BE973">
        <v>0</v>
      </c>
      <c r="BF973">
        <v>0</v>
      </c>
      <c r="BG973">
        <v>0</v>
      </c>
      <c r="BH973" s="18">
        <v>1</v>
      </c>
      <c r="BI973">
        <v>0</v>
      </c>
      <c r="BJ973">
        <v>0</v>
      </c>
      <c r="BK973" s="18">
        <v>1</v>
      </c>
      <c r="BL973">
        <v>13.55</v>
      </c>
      <c r="BM973">
        <v>38.35</v>
      </c>
      <c r="BN973" s="25">
        <v>39.020000000000003</v>
      </c>
      <c r="BO973">
        <v>0</v>
      </c>
      <c r="BP973">
        <v>0</v>
      </c>
      <c r="BQ973">
        <v>0</v>
      </c>
      <c r="BR973">
        <v>0</v>
      </c>
      <c r="BS973">
        <v>0</v>
      </c>
      <c r="BT973">
        <v>0</v>
      </c>
      <c r="BU973">
        <v>0</v>
      </c>
      <c r="BV973" s="18">
        <v>1</v>
      </c>
      <c r="BW973">
        <v>0</v>
      </c>
      <c r="BX973">
        <v>1</v>
      </c>
      <c r="BY973">
        <v>0</v>
      </c>
      <c r="BZ973" s="18">
        <v>0</v>
      </c>
      <c r="CA973">
        <v>0</v>
      </c>
      <c r="CB973">
        <v>0</v>
      </c>
      <c r="CC973">
        <v>0</v>
      </c>
      <c r="CD973">
        <v>0</v>
      </c>
      <c r="CE973">
        <v>0</v>
      </c>
      <c r="CF973" s="18">
        <v>0</v>
      </c>
      <c r="CG973">
        <v>1</v>
      </c>
      <c r="CH973">
        <v>1</v>
      </c>
      <c r="CI973">
        <v>0</v>
      </c>
      <c r="CJ973">
        <v>0</v>
      </c>
      <c r="CK973">
        <v>0</v>
      </c>
      <c r="CL973">
        <v>1</v>
      </c>
      <c r="CM973">
        <v>1</v>
      </c>
      <c r="CN973">
        <v>0</v>
      </c>
      <c r="CO973">
        <v>1</v>
      </c>
      <c r="CP973">
        <v>1</v>
      </c>
      <c r="CQ973" s="18">
        <v>0</v>
      </c>
      <c r="CR973">
        <v>0.19600000000000001</v>
      </c>
      <c r="CS973">
        <v>118</v>
      </c>
      <c r="CT973">
        <v>1</v>
      </c>
      <c r="CU973">
        <v>0</v>
      </c>
      <c r="CV973">
        <v>19</v>
      </c>
      <c r="DB973" s="34"/>
    </row>
    <row r="974" spans="1:106" x14ac:dyDescent="0.25">
      <c r="A974">
        <v>973</v>
      </c>
      <c r="B974">
        <v>67</v>
      </c>
      <c r="C974" s="25" t="s">
        <v>4137</v>
      </c>
      <c r="D974" s="12">
        <v>20.399999999999999</v>
      </c>
      <c r="E974" s="14">
        <v>9</v>
      </c>
      <c r="F974" s="7">
        <f t="shared" si="277"/>
        <v>2.2666666666666666</v>
      </c>
      <c r="G974" s="7">
        <f t="shared" si="279"/>
        <v>11.399999999999999</v>
      </c>
      <c r="H974" s="16">
        <f t="shared" si="280"/>
        <v>29.4</v>
      </c>
      <c r="I974" s="11">
        <f t="shared" si="281"/>
        <v>7.1889318935879881E-2</v>
      </c>
      <c r="J974" s="33">
        <f t="shared" si="282"/>
        <v>3.171587600112348E-2</v>
      </c>
      <c r="K974" s="33">
        <f t="shared" si="283"/>
        <v>31.529950488032451</v>
      </c>
      <c r="L974" s="33">
        <f t="shared" si="284"/>
        <v>4.0173442934756401E-2</v>
      </c>
      <c r="M974" s="33">
        <f t="shared" si="285"/>
        <v>0.10360519493700336</v>
      </c>
      <c r="N974" s="8">
        <v>1</v>
      </c>
      <c r="O974" s="9">
        <v>0</v>
      </c>
      <c r="P974" s="8">
        <v>0</v>
      </c>
      <c r="Q974" s="9">
        <v>0</v>
      </c>
      <c r="R974" s="9">
        <v>1</v>
      </c>
      <c r="S974" s="9">
        <v>0</v>
      </c>
      <c r="T974" s="9">
        <v>0</v>
      </c>
      <c r="U974" s="8">
        <v>1001</v>
      </c>
      <c r="V974" s="9">
        <v>11</v>
      </c>
      <c r="W974" s="9">
        <f t="shared" si="286"/>
        <v>989</v>
      </c>
      <c r="X974" s="9">
        <f t="shared" si="287"/>
        <v>7</v>
      </c>
      <c r="Y974" s="7">
        <v>4.6900000000000004</v>
      </c>
      <c r="Z974" s="7">
        <f t="shared" si="278"/>
        <v>28.330000000000005</v>
      </c>
      <c r="AA974" s="9">
        <v>1</v>
      </c>
      <c r="AB974" s="9">
        <v>0</v>
      </c>
      <c r="AC974" s="9">
        <v>0</v>
      </c>
      <c r="AD974" s="9">
        <v>0</v>
      </c>
      <c r="AE974" s="9">
        <v>1</v>
      </c>
      <c r="AF974" s="9">
        <v>0</v>
      </c>
      <c r="AG974" s="8">
        <v>0</v>
      </c>
      <c r="AH974" s="9">
        <v>1</v>
      </c>
      <c r="AI974" s="30">
        <v>0</v>
      </c>
      <c r="AJ974" s="9">
        <v>1</v>
      </c>
      <c r="AK974" s="30">
        <v>0</v>
      </c>
      <c r="AL974" s="21">
        <v>2005</v>
      </c>
      <c r="AM974" s="23">
        <f t="shared" si="288"/>
        <v>7.6033993397406698</v>
      </c>
      <c r="AN974" s="7">
        <f t="shared" si="290"/>
        <v>0.56999999999999995</v>
      </c>
      <c r="AO974" s="33">
        <v>0.25</v>
      </c>
      <c r="AP974" s="33">
        <v>0.17</v>
      </c>
      <c r="AQ974" s="43">
        <v>0.01</v>
      </c>
      <c r="AR974" s="42">
        <v>0</v>
      </c>
      <c r="AS974" s="18">
        <v>1</v>
      </c>
      <c r="AT974">
        <v>0.55000000000000004</v>
      </c>
      <c r="AU974" s="40">
        <v>0.45</v>
      </c>
      <c r="AV974">
        <v>1</v>
      </c>
      <c r="AW974" s="40">
        <f t="shared" si="289"/>
        <v>0</v>
      </c>
      <c r="AX974">
        <v>0</v>
      </c>
      <c r="AY974" s="18">
        <v>1</v>
      </c>
      <c r="AZ974">
        <v>0.85</v>
      </c>
      <c r="BA974" s="18">
        <v>0.15</v>
      </c>
      <c r="BB974" s="18" t="s">
        <v>554</v>
      </c>
      <c r="BC974">
        <v>0</v>
      </c>
      <c r="BD974">
        <v>0</v>
      </c>
      <c r="BE974">
        <v>0</v>
      </c>
      <c r="BF974">
        <v>0</v>
      </c>
      <c r="BG974">
        <v>0</v>
      </c>
      <c r="BH974" s="18">
        <v>1</v>
      </c>
      <c r="BI974">
        <v>0</v>
      </c>
      <c r="BJ974">
        <v>0</v>
      </c>
      <c r="BK974" s="18">
        <v>1</v>
      </c>
      <c r="BL974">
        <v>13.55</v>
      </c>
      <c r="BM974">
        <v>38.35</v>
      </c>
      <c r="BN974" s="25">
        <v>39.020000000000003</v>
      </c>
      <c r="BO974">
        <v>0</v>
      </c>
      <c r="BP974">
        <v>0</v>
      </c>
      <c r="BQ974">
        <v>0</v>
      </c>
      <c r="BR974">
        <v>0</v>
      </c>
      <c r="BS974">
        <v>0</v>
      </c>
      <c r="BT974">
        <v>0</v>
      </c>
      <c r="BU974">
        <v>0</v>
      </c>
      <c r="BV974" s="18">
        <v>1</v>
      </c>
      <c r="BW974">
        <v>0</v>
      </c>
      <c r="BX974">
        <v>1</v>
      </c>
      <c r="BY974">
        <v>0</v>
      </c>
      <c r="BZ974" s="18">
        <v>0</v>
      </c>
      <c r="CA974">
        <v>0</v>
      </c>
      <c r="CB974">
        <v>0</v>
      </c>
      <c r="CC974">
        <v>0</v>
      </c>
      <c r="CD974">
        <v>0</v>
      </c>
      <c r="CE974">
        <v>0</v>
      </c>
      <c r="CF974" s="18">
        <v>0</v>
      </c>
      <c r="CG974">
        <v>1</v>
      </c>
      <c r="CH974">
        <v>1</v>
      </c>
      <c r="CI974">
        <v>0</v>
      </c>
      <c r="CJ974">
        <v>0</v>
      </c>
      <c r="CK974">
        <v>0</v>
      </c>
      <c r="CL974">
        <v>1</v>
      </c>
      <c r="CM974">
        <v>1</v>
      </c>
      <c r="CN974">
        <v>0</v>
      </c>
      <c r="CO974">
        <v>1</v>
      </c>
      <c r="CP974">
        <v>1</v>
      </c>
      <c r="CQ974" s="18">
        <v>0</v>
      </c>
      <c r="CR974">
        <v>0.19600000000000001</v>
      </c>
      <c r="CS974">
        <v>118</v>
      </c>
      <c r="CT974">
        <v>1</v>
      </c>
      <c r="CU974">
        <v>0</v>
      </c>
      <c r="CV974">
        <v>19</v>
      </c>
      <c r="DB974" s="34"/>
    </row>
    <row r="975" spans="1:106" x14ac:dyDescent="0.25">
      <c r="A975">
        <v>974</v>
      </c>
      <c r="B975">
        <v>67</v>
      </c>
      <c r="C975" s="25" t="s">
        <v>4137</v>
      </c>
      <c r="D975" s="12">
        <v>2.4</v>
      </c>
      <c r="E975" s="14">
        <v>14</v>
      </c>
      <c r="F975" s="7">
        <f t="shared" si="277"/>
        <v>0.17142857142857143</v>
      </c>
      <c r="G975" s="7">
        <f t="shared" si="279"/>
        <v>-11.6</v>
      </c>
      <c r="H975" s="16">
        <f t="shared" si="280"/>
        <v>16.399999999999999</v>
      </c>
      <c r="I975" s="11">
        <f t="shared" si="281"/>
        <v>7.8162312730669422E-3</v>
      </c>
      <c r="J975" s="33">
        <f t="shared" si="282"/>
        <v>4.5594682426223825E-2</v>
      </c>
      <c r="K975" s="33">
        <f t="shared" si="283"/>
        <v>21.932382172374755</v>
      </c>
      <c r="L975" s="33">
        <f t="shared" si="284"/>
        <v>-3.7778451153156881E-2</v>
      </c>
      <c r="M975" s="33">
        <f t="shared" si="285"/>
        <v>5.3410913699290768E-2</v>
      </c>
      <c r="N975" s="8">
        <v>1</v>
      </c>
      <c r="O975" s="9">
        <v>0</v>
      </c>
      <c r="P975" s="8">
        <v>0</v>
      </c>
      <c r="Q975" s="9">
        <v>0</v>
      </c>
      <c r="R975" s="9">
        <v>1</v>
      </c>
      <c r="S975" s="9">
        <v>0</v>
      </c>
      <c r="T975" s="9">
        <v>0</v>
      </c>
      <c r="U975" s="8">
        <v>493</v>
      </c>
      <c r="V975" s="9">
        <v>11</v>
      </c>
      <c r="W975" s="9">
        <f t="shared" si="286"/>
        <v>481</v>
      </c>
      <c r="X975" s="9">
        <f t="shared" si="287"/>
        <v>7</v>
      </c>
      <c r="Y975" s="7">
        <v>4.6900000000000004</v>
      </c>
      <c r="Z975" s="7">
        <f t="shared" si="278"/>
        <v>28.330000000000005</v>
      </c>
      <c r="AA975" s="9">
        <v>1</v>
      </c>
      <c r="AB975" s="9">
        <v>0</v>
      </c>
      <c r="AC975" s="9">
        <v>0</v>
      </c>
      <c r="AD975" s="9">
        <v>0</v>
      </c>
      <c r="AE975" s="9">
        <v>1</v>
      </c>
      <c r="AF975" s="9">
        <v>0</v>
      </c>
      <c r="AG975" s="8">
        <v>0</v>
      </c>
      <c r="AH975" s="9">
        <v>1</v>
      </c>
      <c r="AI975" s="30">
        <v>0</v>
      </c>
      <c r="AJ975" s="9">
        <v>1</v>
      </c>
      <c r="AK975" s="30">
        <v>0</v>
      </c>
      <c r="AL975" s="21">
        <v>2005</v>
      </c>
      <c r="AM975" s="23">
        <f t="shared" si="288"/>
        <v>7.6033993397406698</v>
      </c>
      <c r="AN975" s="7">
        <f t="shared" si="290"/>
        <v>0.56999999999999995</v>
      </c>
      <c r="AO975" s="33">
        <v>0.25</v>
      </c>
      <c r="AP975" s="33">
        <v>0.17</v>
      </c>
      <c r="AQ975" s="43">
        <v>0.01</v>
      </c>
      <c r="AR975" s="42">
        <v>0</v>
      </c>
      <c r="AS975" s="18">
        <v>1</v>
      </c>
      <c r="AT975">
        <v>0.55000000000000004</v>
      </c>
      <c r="AU975" s="40">
        <v>0.45</v>
      </c>
      <c r="AV975">
        <v>1</v>
      </c>
      <c r="AW975" s="40">
        <f t="shared" si="289"/>
        <v>0</v>
      </c>
      <c r="AX975">
        <v>0</v>
      </c>
      <c r="AY975" s="18">
        <v>1</v>
      </c>
      <c r="AZ975">
        <v>0.85</v>
      </c>
      <c r="BA975" s="18">
        <v>0.15</v>
      </c>
      <c r="BB975" s="18" t="s">
        <v>554</v>
      </c>
      <c r="BC975">
        <v>0</v>
      </c>
      <c r="BD975">
        <v>0</v>
      </c>
      <c r="BE975">
        <v>0</v>
      </c>
      <c r="BF975">
        <v>0</v>
      </c>
      <c r="BG975">
        <v>0</v>
      </c>
      <c r="BH975" s="18">
        <v>1</v>
      </c>
      <c r="BI975">
        <v>0</v>
      </c>
      <c r="BJ975">
        <v>0</v>
      </c>
      <c r="BK975" s="18">
        <v>1</v>
      </c>
      <c r="BL975">
        <v>13.55</v>
      </c>
      <c r="BM975">
        <v>38.35</v>
      </c>
      <c r="BN975" s="25">
        <v>39.020000000000003</v>
      </c>
      <c r="BO975">
        <v>0</v>
      </c>
      <c r="BP975">
        <v>0</v>
      </c>
      <c r="BQ975">
        <v>0</v>
      </c>
      <c r="BR975">
        <v>0</v>
      </c>
      <c r="BS975">
        <v>0</v>
      </c>
      <c r="BT975">
        <v>0</v>
      </c>
      <c r="BU975">
        <v>0</v>
      </c>
      <c r="BV975" s="18">
        <v>1</v>
      </c>
      <c r="BW975">
        <v>0</v>
      </c>
      <c r="BX975">
        <v>1</v>
      </c>
      <c r="BY975">
        <v>0</v>
      </c>
      <c r="BZ975" s="18">
        <v>0</v>
      </c>
      <c r="CA975">
        <v>0</v>
      </c>
      <c r="CB975">
        <v>0</v>
      </c>
      <c r="CC975">
        <v>0</v>
      </c>
      <c r="CD975">
        <v>0</v>
      </c>
      <c r="CE975">
        <v>0</v>
      </c>
      <c r="CF975" s="18">
        <v>0</v>
      </c>
      <c r="CG975">
        <v>1</v>
      </c>
      <c r="CH975">
        <v>1</v>
      </c>
      <c r="CI975">
        <v>0</v>
      </c>
      <c r="CJ975">
        <v>0</v>
      </c>
      <c r="CK975">
        <v>0</v>
      </c>
      <c r="CL975">
        <v>1</v>
      </c>
      <c r="CM975">
        <v>1</v>
      </c>
      <c r="CN975">
        <v>0</v>
      </c>
      <c r="CO975">
        <v>1</v>
      </c>
      <c r="CP975">
        <v>1</v>
      </c>
      <c r="CQ975" s="18">
        <v>0</v>
      </c>
      <c r="CR975">
        <v>0.19600000000000001</v>
      </c>
      <c r="CS975">
        <v>118</v>
      </c>
      <c r="CT975">
        <v>1</v>
      </c>
      <c r="CU975">
        <v>0</v>
      </c>
      <c r="CV975">
        <v>19</v>
      </c>
      <c r="DB975" s="34"/>
    </row>
    <row r="976" spans="1:106" x14ac:dyDescent="0.25">
      <c r="A976">
        <v>975</v>
      </c>
      <c r="B976">
        <v>67</v>
      </c>
      <c r="C976" s="25" t="s">
        <v>4137</v>
      </c>
      <c r="D976" s="12">
        <v>21.6</v>
      </c>
      <c r="E976" s="14">
        <v>4</v>
      </c>
      <c r="F976" s="7">
        <f t="shared" si="277"/>
        <v>5.4</v>
      </c>
      <c r="G976" s="7">
        <f t="shared" si="279"/>
        <v>17.600000000000001</v>
      </c>
      <c r="H976" s="16">
        <f t="shared" si="280"/>
        <v>25.6</v>
      </c>
      <c r="I976" s="11">
        <f t="shared" si="281"/>
        <v>0.11316105469835643</v>
      </c>
      <c r="J976" s="33">
        <f t="shared" si="282"/>
        <v>2.0955750870066004E-2</v>
      </c>
      <c r="K976" s="33">
        <f t="shared" si="283"/>
        <v>47.7195976512795</v>
      </c>
      <c r="L976" s="33">
        <f t="shared" si="284"/>
        <v>9.2205303828290425E-2</v>
      </c>
      <c r="M976" s="33">
        <f t="shared" si="285"/>
        <v>0.13411680556842243</v>
      </c>
      <c r="N976" s="8">
        <v>1</v>
      </c>
      <c r="O976" s="9">
        <v>0</v>
      </c>
      <c r="P976" s="8">
        <v>0</v>
      </c>
      <c r="Q976" s="9">
        <v>0</v>
      </c>
      <c r="R976" s="9">
        <v>1</v>
      </c>
      <c r="S976" s="9">
        <v>0</v>
      </c>
      <c r="T976" s="9">
        <v>0</v>
      </c>
      <c r="U976" s="8">
        <v>2260</v>
      </c>
      <c r="V976" s="9">
        <v>11</v>
      </c>
      <c r="W976" s="9">
        <f t="shared" si="286"/>
        <v>2248</v>
      </c>
      <c r="X976" s="9">
        <f t="shared" si="287"/>
        <v>7</v>
      </c>
      <c r="Y976" s="7">
        <v>4.6900000000000004</v>
      </c>
      <c r="Z976" s="7">
        <f t="shared" si="278"/>
        <v>28.330000000000005</v>
      </c>
      <c r="AA976" s="9">
        <v>1</v>
      </c>
      <c r="AB976" s="9">
        <v>0</v>
      </c>
      <c r="AC976" s="9">
        <v>0</v>
      </c>
      <c r="AD976" s="9">
        <v>0</v>
      </c>
      <c r="AE976" s="9">
        <v>1</v>
      </c>
      <c r="AF976" s="9">
        <v>0</v>
      </c>
      <c r="AG976" s="8">
        <v>0</v>
      </c>
      <c r="AH976" s="9">
        <v>1</v>
      </c>
      <c r="AI976" s="30">
        <v>0</v>
      </c>
      <c r="AJ976" s="9">
        <v>1</v>
      </c>
      <c r="AK976" s="30">
        <v>0</v>
      </c>
      <c r="AL976" s="21">
        <v>2005</v>
      </c>
      <c r="AM976" s="23">
        <f t="shared" si="288"/>
        <v>7.6033993397406698</v>
      </c>
      <c r="AN976" s="7">
        <f t="shared" si="290"/>
        <v>0.56999999999999995</v>
      </c>
      <c r="AO976" s="33">
        <v>0.25</v>
      </c>
      <c r="AP976" s="33">
        <v>0.17</v>
      </c>
      <c r="AQ976" s="43">
        <v>0.01</v>
      </c>
      <c r="AR976" s="42">
        <v>0</v>
      </c>
      <c r="AS976" s="18">
        <v>1</v>
      </c>
      <c r="AT976">
        <v>0.55000000000000004</v>
      </c>
      <c r="AU976" s="40">
        <v>0.45</v>
      </c>
      <c r="AV976">
        <v>1</v>
      </c>
      <c r="AW976" s="40">
        <f t="shared" si="289"/>
        <v>0</v>
      </c>
      <c r="AX976">
        <v>0</v>
      </c>
      <c r="AY976" s="18">
        <v>1</v>
      </c>
      <c r="AZ976">
        <v>0.85</v>
      </c>
      <c r="BA976" s="18">
        <v>0.15</v>
      </c>
      <c r="BB976" s="18" t="s">
        <v>554</v>
      </c>
      <c r="BC976">
        <v>0</v>
      </c>
      <c r="BD976">
        <v>0</v>
      </c>
      <c r="BE976">
        <v>0</v>
      </c>
      <c r="BF976">
        <v>0</v>
      </c>
      <c r="BG976">
        <v>0</v>
      </c>
      <c r="BH976" s="18">
        <v>1</v>
      </c>
      <c r="BI976">
        <v>0</v>
      </c>
      <c r="BJ976">
        <v>0</v>
      </c>
      <c r="BK976" s="18">
        <v>1</v>
      </c>
      <c r="BL976">
        <v>13.55</v>
      </c>
      <c r="BM976">
        <v>38.35</v>
      </c>
      <c r="BN976" s="25">
        <v>39.020000000000003</v>
      </c>
      <c r="BO976">
        <v>0</v>
      </c>
      <c r="BP976">
        <v>0</v>
      </c>
      <c r="BQ976">
        <v>0</v>
      </c>
      <c r="BR976">
        <v>0</v>
      </c>
      <c r="BS976">
        <v>0</v>
      </c>
      <c r="BT976">
        <v>0</v>
      </c>
      <c r="BU976">
        <v>0</v>
      </c>
      <c r="BV976" s="18">
        <v>1</v>
      </c>
      <c r="BW976">
        <v>0</v>
      </c>
      <c r="BX976">
        <v>1</v>
      </c>
      <c r="BY976">
        <v>0</v>
      </c>
      <c r="BZ976" s="18">
        <v>0</v>
      </c>
      <c r="CA976">
        <v>0</v>
      </c>
      <c r="CB976">
        <v>0</v>
      </c>
      <c r="CC976">
        <v>0</v>
      </c>
      <c r="CD976">
        <v>0</v>
      </c>
      <c r="CE976">
        <v>0</v>
      </c>
      <c r="CF976" s="18">
        <v>0</v>
      </c>
      <c r="CG976">
        <v>1</v>
      </c>
      <c r="CH976">
        <v>1</v>
      </c>
      <c r="CI976">
        <v>0</v>
      </c>
      <c r="CJ976">
        <v>0</v>
      </c>
      <c r="CK976">
        <v>0</v>
      </c>
      <c r="CL976">
        <v>1</v>
      </c>
      <c r="CM976">
        <v>1</v>
      </c>
      <c r="CN976">
        <v>0</v>
      </c>
      <c r="CO976">
        <v>1</v>
      </c>
      <c r="CP976">
        <v>1</v>
      </c>
      <c r="CQ976" s="18">
        <v>0</v>
      </c>
      <c r="CR976">
        <v>0.19600000000000001</v>
      </c>
      <c r="CS976">
        <v>118</v>
      </c>
      <c r="CT976">
        <v>1</v>
      </c>
      <c r="CU976">
        <v>0</v>
      </c>
      <c r="CV976">
        <v>19</v>
      </c>
      <c r="DB976" s="34"/>
    </row>
    <row r="977" spans="1:106" x14ac:dyDescent="0.25">
      <c r="A977">
        <v>976</v>
      </c>
      <c r="B977">
        <v>68</v>
      </c>
      <c r="C977" s="25" t="s">
        <v>4145</v>
      </c>
      <c r="D977" s="12">
        <v>9</v>
      </c>
      <c r="E977" s="14">
        <v>0.4</v>
      </c>
      <c r="F977" s="7">
        <f t="shared" si="277"/>
        <v>22.5</v>
      </c>
      <c r="G977" s="7">
        <f t="shared" si="279"/>
        <v>8.6</v>
      </c>
      <c r="H977" s="16">
        <f t="shared" si="280"/>
        <v>9.4</v>
      </c>
      <c r="I977" s="11">
        <f t="shared" si="281"/>
        <v>0.2075319928180912</v>
      </c>
      <c r="J977" s="33">
        <f t="shared" si="282"/>
        <v>9.2236441252484987E-3</v>
      </c>
      <c r="K977" s="33">
        <f t="shared" si="283"/>
        <v>108.41701895920215</v>
      </c>
      <c r="L977" s="33">
        <f t="shared" si="284"/>
        <v>0.1983083486928427</v>
      </c>
      <c r="M977" s="33">
        <f t="shared" si="285"/>
        <v>0.21675563694333971</v>
      </c>
      <c r="N977" s="8">
        <v>0</v>
      </c>
      <c r="O977" s="9">
        <v>1</v>
      </c>
      <c r="P977" s="8">
        <v>0</v>
      </c>
      <c r="Q977" s="9">
        <v>0</v>
      </c>
      <c r="R977" s="9">
        <v>1</v>
      </c>
      <c r="S977" s="9">
        <v>0</v>
      </c>
      <c r="T977" s="9">
        <v>0</v>
      </c>
      <c r="U977" s="8">
        <v>11271</v>
      </c>
      <c r="V977" s="9">
        <v>22</v>
      </c>
      <c r="W977" s="9">
        <f t="shared" si="286"/>
        <v>11248</v>
      </c>
      <c r="X977" s="9">
        <f t="shared" si="287"/>
        <v>20</v>
      </c>
      <c r="Y977" s="7">
        <v>8.8800000000000008</v>
      </c>
      <c r="Z977" s="7">
        <f t="shared" si="278"/>
        <v>16.949999999999996</v>
      </c>
      <c r="AA977" s="9">
        <v>1</v>
      </c>
      <c r="AB977" s="9">
        <v>0</v>
      </c>
      <c r="AC977" s="9">
        <v>0</v>
      </c>
      <c r="AD977" s="9">
        <v>0</v>
      </c>
      <c r="AE977" s="9">
        <v>0</v>
      </c>
      <c r="AF977" s="9">
        <v>1</v>
      </c>
      <c r="AG977" s="8">
        <v>1</v>
      </c>
      <c r="AH977" s="9">
        <v>0</v>
      </c>
      <c r="AI977" s="30">
        <v>0</v>
      </c>
      <c r="AJ977" s="9">
        <v>0</v>
      </c>
      <c r="AK977" s="30">
        <v>1</v>
      </c>
      <c r="AL977" s="21">
        <v>2002</v>
      </c>
      <c r="AM977" s="23">
        <f t="shared" si="288"/>
        <v>7.6019019598751658</v>
      </c>
      <c r="AN977" s="33" t="s">
        <v>104</v>
      </c>
      <c r="AO977" s="33" t="s">
        <v>104</v>
      </c>
      <c r="AP977" s="33" t="s">
        <v>104</v>
      </c>
      <c r="AQ977" s="43" t="s">
        <v>104</v>
      </c>
      <c r="AR977" s="42" t="s">
        <v>104</v>
      </c>
      <c r="AS977" s="18" t="s">
        <v>104</v>
      </c>
      <c r="AT977">
        <v>0.51</v>
      </c>
      <c r="AU977" s="40">
        <f t="shared" ref="AU977:AU984" si="291">1-AT977</f>
        <v>0.49</v>
      </c>
      <c r="AV977" t="s">
        <v>104</v>
      </c>
      <c r="AW977" s="40" t="s">
        <v>104</v>
      </c>
      <c r="AX977">
        <v>0</v>
      </c>
      <c r="AY977" s="18">
        <v>1</v>
      </c>
      <c r="AZ977">
        <v>0.75</v>
      </c>
      <c r="BA977" s="18">
        <f t="shared" ref="BA977:BA986" si="292">1-AZ977</f>
        <v>0.25</v>
      </c>
      <c r="BB977" s="18" t="s">
        <v>5</v>
      </c>
      <c r="BC977">
        <v>0</v>
      </c>
      <c r="BD977">
        <v>1</v>
      </c>
      <c r="BE977">
        <v>0</v>
      </c>
      <c r="BF977">
        <v>0</v>
      </c>
      <c r="BG977">
        <v>0</v>
      </c>
      <c r="BH977" s="18">
        <v>0</v>
      </c>
      <c r="BI977">
        <v>0</v>
      </c>
      <c r="BJ977">
        <v>1</v>
      </c>
      <c r="BK977" s="18">
        <v>0</v>
      </c>
      <c r="BL977">
        <v>127.1666666666667</v>
      </c>
      <c r="BM977">
        <v>27</v>
      </c>
      <c r="BN977" s="25">
        <v>31.83</v>
      </c>
      <c r="BO977">
        <v>1</v>
      </c>
      <c r="BP977">
        <v>0</v>
      </c>
      <c r="BQ977">
        <v>0</v>
      </c>
      <c r="BR977">
        <v>0</v>
      </c>
      <c r="BS977">
        <v>0</v>
      </c>
      <c r="BT977">
        <v>0</v>
      </c>
      <c r="BU977">
        <v>0</v>
      </c>
      <c r="BV977" s="18">
        <v>0</v>
      </c>
      <c r="BW977">
        <v>0</v>
      </c>
      <c r="BX977">
        <v>0</v>
      </c>
      <c r="BY977">
        <v>1</v>
      </c>
      <c r="BZ977" s="18">
        <v>0</v>
      </c>
      <c r="CA977">
        <v>0</v>
      </c>
      <c r="CB977">
        <v>0</v>
      </c>
      <c r="CC977">
        <v>0</v>
      </c>
      <c r="CD977">
        <v>0</v>
      </c>
      <c r="CE977">
        <v>0</v>
      </c>
      <c r="CF977" s="18">
        <v>0</v>
      </c>
      <c r="CG977">
        <v>1</v>
      </c>
      <c r="CH977">
        <v>1</v>
      </c>
      <c r="CI977">
        <v>0</v>
      </c>
      <c r="CJ977">
        <v>0</v>
      </c>
      <c r="CK977">
        <v>1</v>
      </c>
      <c r="CL977">
        <v>1</v>
      </c>
      <c r="CM977">
        <v>1</v>
      </c>
      <c r="CN977">
        <v>0</v>
      </c>
      <c r="CO977">
        <v>0</v>
      </c>
      <c r="CP977">
        <v>1</v>
      </c>
      <c r="CQ977" s="18">
        <v>1</v>
      </c>
      <c r="CR977">
        <v>0.14599999999999999</v>
      </c>
      <c r="CS977">
        <v>149</v>
      </c>
      <c r="CT977">
        <v>1</v>
      </c>
      <c r="CU977">
        <v>0</v>
      </c>
      <c r="CV977">
        <v>16</v>
      </c>
      <c r="DB977" s="34"/>
    </row>
    <row r="978" spans="1:106" x14ac:dyDescent="0.25">
      <c r="A978">
        <v>977</v>
      </c>
      <c r="B978">
        <v>68</v>
      </c>
      <c r="C978" s="25" t="s">
        <v>4145</v>
      </c>
      <c r="D978" s="12">
        <v>20</v>
      </c>
      <c r="E978" s="14">
        <v>6</v>
      </c>
      <c r="F978" s="7">
        <f t="shared" si="277"/>
        <v>3.3333333333333335</v>
      </c>
      <c r="G978" s="7">
        <f t="shared" si="279"/>
        <v>14</v>
      </c>
      <c r="H978" s="16">
        <f t="shared" si="280"/>
        <v>26</v>
      </c>
      <c r="I978" s="11">
        <f t="shared" si="281"/>
        <v>3.1414249795253035E-2</v>
      </c>
      <c r="J978" s="33">
        <f t="shared" si="282"/>
        <v>9.4242749385759095E-3</v>
      </c>
      <c r="K978" s="33">
        <f t="shared" si="283"/>
        <v>106.10895867508601</v>
      </c>
      <c r="L978" s="33">
        <f t="shared" si="284"/>
        <v>2.1989974856677127E-2</v>
      </c>
      <c r="M978" s="33">
        <f t="shared" si="285"/>
        <v>4.0838524733828943E-2</v>
      </c>
      <c r="N978" s="8">
        <v>0</v>
      </c>
      <c r="O978" s="9">
        <v>1</v>
      </c>
      <c r="P978" s="8">
        <v>0</v>
      </c>
      <c r="Q978" s="9">
        <v>0</v>
      </c>
      <c r="R978" s="9">
        <v>1</v>
      </c>
      <c r="S978" s="9">
        <v>0</v>
      </c>
      <c r="T978" s="9">
        <v>0</v>
      </c>
      <c r="U978" s="8">
        <v>11271</v>
      </c>
      <c r="V978" s="9">
        <v>22</v>
      </c>
      <c r="W978" s="9">
        <f t="shared" si="286"/>
        <v>11248</v>
      </c>
      <c r="X978" s="9">
        <f t="shared" si="287"/>
        <v>20</v>
      </c>
      <c r="Y978" s="7">
        <v>8.8800000000000008</v>
      </c>
      <c r="Z978" s="7">
        <f t="shared" si="278"/>
        <v>16.949999999999996</v>
      </c>
      <c r="AA978" s="9">
        <v>1</v>
      </c>
      <c r="AB978" s="9">
        <v>0</v>
      </c>
      <c r="AC978" s="9">
        <v>0</v>
      </c>
      <c r="AD978" s="9">
        <v>0</v>
      </c>
      <c r="AE978" s="9">
        <v>0</v>
      </c>
      <c r="AF978" s="9">
        <v>0</v>
      </c>
      <c r="AG978" s="8">
        <v>1</v>
      </c>
      <c r="AH978" s="9">
        <v>0</v>
      </c>
      <c r="AI978" s="30">
        <v>0</v>
      </c>
      <c r="AJ978" s="9">
        <v>0</v>
      </c>
      <c r="AK978" s="30">
        <v>1</v>
      </c>
      <c r="AL978" s="21">
        <v>2002</v>
      </c>
      <c r="AM978" s="23">
        <f t="shared" si="288"/>
        <v>7.6019019598751658</v>
      </c>
      <c r="AN978" s="33" t="s">
        <v>104</v>
      </c>
      <c r="AO978" s="33" t="s">
        <v>104</v>
      </c>
      <c r="AP978" s="33" t="s">
        <v>104</v>
      </c>
      <c r="AQ978" s="43" t="s">
        <v>104</v>
      </c>
      <c r="AR978" s="42" t="s">
        <v>104</v>
      </c>
      <c r="AS978" s="18" t="s">
        <v>104</v>
      </c>
      <c r="AT978">
        <v>0.51</v>
      </c>
      <c r="AU978" s="40">
        <f t="shared" si="291"/>
        <v>0.49</v>
      </c>
      <c r="AV978" t="s">
        <v>104</v>
      </c>
      <c r="AW978" s="40" t="s">
        <v>104</v>
      </c>
      <c r="AX978">
        <v>0</v>
      </c>
      <c r="AY978" s="18">
        <v>1</v>
      </c>
      <c r="AZ978">
        <v>0.75</v>
      </c>
      <c r="BA978" s="18">
        <f t="shared" si="292"/>
        <v>0.25</v>
      </c>
      <c r="BB978" s="18" t="s">
        <v>5</v>
      </c>
      <c r="BC978">
        <v>0</v>
      </c>
      <c r="BD978">
        <v>1</v>
      </c>
      <c r="BE978">
        <v>0</v>
      </c>
      <c r="BF978">
        <v>0</v>
      </c>
      <c r="BG978">
        <v>0</v>
      </c>
      <c r="BH978" s="18">
        <v>0</v>
      </c>
      <c r="BI978">
        <v>0</v>
      </c>
      <c r="BJ978">
        <v>1</v>
      </c>
      <c r="BK978" s="18">
        <v>0</v>
      </c>
      <c r="BL978">
        <v>127.1666666666667</v>
      </c>
      <c r="BM978">
        <v>27</v>
      </c>
      <c r="BN978" s="25">
        <v>31.83</v>
      </c>
      <c r="BO978">
        <v>0</v>
      </c>
      <c r="BP978">
        <v>0</v>
      </c>
      <c r="BQ978">
        <v>0</v>
      </c>
      <c r="BR978">
        <v>0</v>
      </c>
      <c r="BS978">
        <v>1</v>
      </c>
      <c r="BT978">
        <v>0</v>
      </c>
      <c r="BU978">
        <v>0</v>
      </c>
      <c r="BV978" s="18">
        <v>0</v>
      </c>
      <c r="BW978">
        <v>0</v>
      </c>
      <c r="BX978">
        <v>0</v>
      </c>
      <c r="BY978">
        <v>1</v>
      </c>
      <c r="BZ978" s="18">
        <v>0</v>
      </c>
      <c r="CA978">
        <v>0</v>
      </c>
      <c r="CB978">
        <v>0</v>
      </c>
      <c r="CC978">
        <v>0</v>
      </c>
      <c r="CD978">
        <v>0</v>
      </c>
      <c r="CE978">
        <v>0</v>
      </c>
      <c r="CF978" s="18">
        <v>0</v>
      </c>
      <c r="CG978">
        <v>1</v>
      </c>
      <c r="CH978">
        <v>1</v>
      </c>
      <c r="CI978">
        <v>0</v>
      </c>
      <c r="CJ978">
        <v>0</v>
      </c>
      <c r="CK978">
        <v>1</v>
      </c>
      <c r="CL978">
        <v>1</v>
      </c>
      <c r="CM978">
        <v>1</v>
      </c>
      <c r="CN978">
        <v>0</v>
      </c>
      <c r="CO978">
        <v>0</v>
      </c>
      <c r="CP978">
        <v>1</v>
      </c>
      <c r="CQ978" s="18">
        <v>1</v>
      </c>
      <c r="CR978">
        <v>0.14599999999999999</v>
      </c>
      <c r="CS978">
        <v>149</v>
      </c>
      <c r="CT978">
        <v>1</v>
      </c>
      <c r="CU978">
        <v>0</v>
      </c>
      <c r="CV978">
        <v>16</v>
      </c>
      <c r="DB978" s="34"/>
    </row>
    <row r="979" spans="1:106" x14ac:dyDescent="0.25">
      <c r="A979">
        <v>978</v>
      </c>
      <c r="B979">
        <v>68</v>
      </c>
      <c r="C979" s="25" t="s">
        <v>4145</v>
      </c>
      <c r="D979" s="12">
        <v>9</v>
      </c>
      <c r="E979" s="14">
        <v>1</v>
      </c>
      <c r="F979" s="7">
        <f t="shared" si="277"/>
        <v>9</v>
      </c>
      <c r="G979" s="7">
        <f t="shared" si="279"/>
        <v>8</v>
      </c>
      <c r="H979" s="16">
        <f t="shared" si="280"/>
        <v>10</v>
      </c>
      <c r="I979" s="11">
        <f t="shared" si="281"/>
        <v>8.4556446044914232E-2</v>
      </c>
      <c r="J979" s="33">
        <f t="shared" si="282"/>
        <v>9.3951606716571358E-3</v>
      </c>
      <c r="K979" s="33">
        <f t="shared" si="283"/>
        <v>106.43777524920371</v>
      </c>
      <c r="L979" s="33">
        <f t="shared" si="284"/>
        <v>7.51612853732571E-2</v>
      </c>
      <c r="M979" s="33">
        <f t="shared" si="285"/>
        <v>9.3951606716571365E-2</v>
      </c>
      <c r="N979" s="8">
        <v>0</v>
      </c>
      <c r="O979" s="9">
        <v>1</v>
      </c>
      <c r="P979" s="8">
        <v>0</v>
      </c>
      <c r="Q979" s="9">
        <v>0</v>
      </c>
      <c r="R979" s="9">
        <v>1</v>
      </c>
      <c r="S979" s="9">
        <v>0</v>
      </c>
      <c r="T979" s="9">
        <v>0</v>
      </c>
      <c r="U979" s="8">
        <v>11271</v>
      </c>
      <c r="V979" s="9">
        <v>22</v>
      </c>
      <c r="W979" s="9">
        <f t="shared" si="286"/>
        <v>11248</v>
      </c>
      <c r="X979" s="9">
        <f t="shared" si="287"/>
        <v>20</v>
      </c>
      <c r="Y979" s="7">
        <v>8.8800000000000008</v>
      </c>
      <c r="Z979" s="7">
        <f t="shared" si="278"/>
        <v>16.949999999999996</v>
      </c>
      <c r="AA979" s="9">
        <v>1</v>
      </c>
      <c r="AB979" s="9">
        <v>0</v>
      </c>
      <c r="AC979" s="9">
        <v>0</v>
      </c>
      <c r="AD979" s="9">
        <v>0</v>
      </c>
      <c r="AE979" s="9">
        <v>0</v>
      </c>
      <c r="AF979" s="9">
        <v>1</v>
      </c>
      <c r="AG979" s="8">
        <v>1</v>
      </c>
      <c r="AH979" s="9">
        <v>0</v>
      </c>
      <c r="AI979" s="30">
        <v>0</v>
      </c>
      <c r="AJ979" s="9">
        <v>0</v>
      </c>
      <c r="AK979" s="30">
        <v>1</v>
      </c>
      <c r="AL979" s="21">
        <v>2002</v>
      </c>
      <c r="AM979" s="23">
        <f t="shared" si="288"/>
        <v>7.6019019598751658</v>
      </c>
      <c r="AN979" s="33" t="s">
        <v>104</v>
      </c>
      <c r="AO979" s="33" t="s">
        <v>104</v>
      </c>
      <c r="AP979" s="33" t="s">
        <v>104</v>
      </c>
      <c r="AQ979" s="43" t="s">
        <v>104</v>
      </c>
      <c r="AR979" s="42" t="s">
        <v>104</v>
      </c>
      <c r="AS979" s="18" t="s">
        <v>104</v>
      </c>
      <c r="AT979">
        <v>0.51</v>
      </c>
      <c r="AU979" s="40">
        <f t="shared" si="291"/>
        <v>0.49</v>
      </c>
      <c r="AV979" t="s">
        <v>104</v>
      </c>
      <c r="AW979" s="40" t="s">
        <v>104</v>
      </c>
      <c r="AX979">
        <v>0</v>
      </c>
      <c r="AY979" s="18">
        <v>1</v>
      </c>
      <c r="AZ979">
        <v>0.75</v>
      </c>
      <c r="BA979" s="18">
        <f t="shared" si="292"/>
        <v>0.25</v>
      </c>
      <c r="BB979" s="18" t="s">
        <v>5</v>
      </c>
      <c r="BC979">
        <v>0</v>
      </c>
      <c r="BD979">
        <v>1</v>
      </c>
      <c r="BE979">
        <v>0</v>
      </c>
      <c r="BF979">
        <v>0</v>
      </c>
      <c r="BG979">
        <v>0</v>
      </c>
      <c r="BH979" s="18">
        <v>0</v>
      </c>
      <c r="BI979">
        <v>0</v>
      </c>
      <c r="BJ979">
        <v>1</v>
      </c>
      <c r="BK979" s="18">
        <v>0</v>
      </c>
      <c r="BL979">
        <v>127.1666666666667</v>
      </c>
      <c r="BM979">
        <v>27</v>
      </c>
      <c r="BN979" s="25">
        <v>31.83</v>
      </c>
      <c r="BO979">
        <v>0</v>
      </c>
      <c r="BP979">
        <v>0</v>
      </c>
      <c r="BQ979">
        <v>1</v>
      </c>
      <c r="BR979">
        <v>0</v>
      </c>
      <c r="BS979">
        <v>0</v>
      </c>
      <c r="BT979">
        <v>0</v>
      </c>
      <c r="BU979">
        <v>0</v>
      </c>
      <c r="BV979" s="18">
        <v>0</v>
      </c>
      <c r="BW979">
        <v>0</v>
      </c>
      <c r="BX979">
        <v>0</v>
      </c>
      <c r="BY979">
        <v>1</v>
      </c>
      <c r="BZ979" s="18">
        <v>0</v>
      </c>
      <c r="CA979">
        <v>0</v>
      </c>
      <c r="CB979">
        <v>0</v>
      </c>
      <c r="CC979">
        <v>0</v>
      </c>
      <c r="CD979">
        <v>0</v>
      </c>
      <c r="CE979">
        <v>0</v>
      </c>
      <c r="CF979" s="18">
        <v>0</v>
      </c>
      <c r="CG979">
        <v>1</v>
      </c>
      <c r="CH979">
        <v>1</v>
      </c>
      <c r="CI979">
        <v>0</v>
      </c>
      <c r="CJ979">
        <v>0</v>
      </c>
      <c r="CK979">
        <v>1</v>
      </c>
      <c r="CL979">
        <v>1</v>
      </c>
      <c r="CM979">
        <v>1</v>
      </c>
      <c r="CN979">
        <v>0</v>
      </c>
      <c r="CO979">
        <v>0</v>
      </c>
      <c r="CP979">
        <v>1</v>
      </c>
      <c r="CQ979" s="18">
        <v>1</v>
      </c>
      <c r="CR979">
        <v>0.14599999999999999</v>
      </c>
      <c r="CS979">
        <v>149</v>
      </c>
      <c r="CT979">
        <v>1</v>
      </c>
      <c r="CU979">
        <v>0</v>
      </c>
      <c r="CV979">
        <v>16</v>
      </c>
      <c r="DB979" s="34"/>
    </row>
    <row r="980" spans="1:106" x14ac:dyDescent="0.25">
      <c r="A980">
        <v>979</v>
      </c>
      <c r="B980">
        <v>68</v>
      </c>
      <c r="C980" s="25" t="s">
        <v>4145</v>
      </c>
      <c r="D980" s="12">
        <v>26</v>
      </c>
      <c r="E980" s="14">
        <v>9</v>
      </c>
      <c r="F980" s="7">
        <f t="shared" si="277"/>
        <v>2.8888888888888888</v>
      </c>
      <c r="G980" s="7">
        <f t="shared" si="279"/>
        <v>17</v>
      </c>
      <c r="H980" s="16">
        <f t="shared" si="280"/>
        <v>35</v>
      </c>
      <c r="I980" s="11">
        <f t="shared" si="281"/>
        <v>2.7229027320880107E-2</v>
      </c>
      <c r="J980" s="33">
        <f t="shared" si="282"/>
        <v>9.4254325341508061E-3</v>
      </c>
      <c r="K980" s="33">
        <f t="shared" si="283"/>
        <v>106.0959267786108</v>
      </c>
      <c r="L980" s="33">
        <f t="shared" si="284"/>
        <v>1.7803594786729299E-2</v>
      </c>
      <c r="M980" s="33">
        <f t="shared" si="285"/>
        <v>3.6654459855030914E-2</v>
      </c>
      <c r="N980" s="8">
        <v>0</v>
      </c>
      <c r="O980" s="9">
        <v>1</v>
      </c>
      <c r="P980" s="8">
        <v>0</v>
      </c>
      <c r="Q980" s="9">
        <v>0</v>
      </c>
      <c r="R980" s="9">
        <v>1</v>
      </c>
      <c r="S980" s="9">
        <v>0</v>
      </c>
      <c r="T980" s="9">
        <v>0</v>
      </c>
      <c r="U980" s="8">
        <v>11271</v>
      </c>
      <c r="V980" s="9">
        <v>22</v>
      </c>
      <c r="W980" s="9">
        <f t="shared" si="286"/>
        <v>11248</v>
      </c>
      <c r="X980" s="9">
        <f t="shared" si="287"/>
        <v>20</v>
      </c>
      <c r="Y980" s="7">
        <v>8.8800000000000008</v>
      </c>
      <c r="Z980" s="7">
        <f t="shared" si="278"/>
        <v>16.949999999999996</v>
      </c>
      <c r="AA980" s="9">
        <v>1</v>
      </c>
      <c r="AB980" s="9">
        <v>0</v>
      </c>
      <c r="AC980" s="9">
        <v>0</v>
      </c>
      <c r="AD980" s="9">
        <v>0</v>
      </c>
      <c r="AE980" s="9">
        <v>0</v>
      </c>
      <c r="AF980" s="9">
        <v>1</v>
      </c>
      <c r="AG980" s="8">
        <v>1</v>
      </c>
      <c r="AH980" s="9">
        <v>0</v>
      </c>
      <c r="AI980" s="30">
        <v>0</v>
      </c>
      <c r="AJ980" s="9">
        <v>0</v>
      </c>
      <c r="AK980" s="30">
        <v>1</v>
      </c>
      <c r="AL980" s="21">
        <v>2002</v>
      </c>
      <c r="AM980" s="23">
        <f t="shared" si="288"/>
        <v>7.6019019598751658</v>
      </c>
      <c r="AN980" s="33" t="s">
        <v>104</v>
      </c>
      <c r="AO980" s="33" t="s">
        <v>104</v>
      </c>
      <c r="AP980" s="33" t="s">
        <v>104</v>
      </c>
      <c r="AQ980" s="43" t="s">
        <v>104</v>
      </c>
      <c r="AR980" s="42" t="s">
        <v>104</v>
      </c>
      <c r="AS980" s="18" t="s">
        <v>104</v>
      </c>
      <c r="AT980">
        <v>0.51</v>
      </c>
      <c r="AU980" s="40">
        <f t="shared" si="291"/>
        <v>0.49</v>
      </c>
      <c r="AV980" t="s">
        <v>104</v>
      </c>
      <c r="AW980" s="40" t="s">
        <v>104</v>
      </c>
      <c r="AX980">
        <v>0</v>
      </c>
      <c r="AY980" s="18">
        <v>1</v>
      </c>
      <c r="AZ980">
        <v>0.75</v>
      </c>
      <c r="BA980" s="18">
        <f t="shared" si="292"/>
        <v>0.25</v>
      </c>
      <c r="BB980" s="18" t="s">
        <v>5</v>
      </c>
      <c r="BC980">
        <v>0</v>
      </c>
      <c r="BD980">
        <v>1</v>
      </c>
      <c r="BE980">
        <v>0</v>
      </c>
      <c r="BF980">
        <v>0</v>
      </c>
      <c r="BG980">
        <v>0</v>
      </c>
      <c r="BH980" s="18">
        <v>0</v>
      </c>
      <c r="BI980">
        <v>0</v>
      </c>
      <c r="BJ980">
        <v>1</v>
      </c>
      <c r="BK980" s="18">
        <v>0</v>
      </c>
      <c r="BL980">
        <v>127.1666666666667</v>
      </c>
      <c r="BM980">
        <v>27</v>
      </c>
      <c r="BN980" s="25">
        <v>31.83</v>
      </c>
      <c r="BO980">
        <v>0</v>
      </c>
      <c r="BP980">
        <v>0</v>
      </c>
      <c r="BQ980">
        <v>0</v>
      </c>
      <c r="BR980">
        <v>0</v>
      </c>
      <c r="BS980">
        <v>1</v>
      </c>
      <c r="BT980">
        <v>0</v>
      </c>
      <c r="BU980">
        <v>0</v>
      </c>
      <c r="BV980" s="18">
        <v>0</v>
      </c>
      <c r="BW980">
        <v>0</v>
      </c>
      <c r="BX980">
        <v>0</v>
      </c>
      <c r="BY980">
        <v>1</v>
      </c>
      <c r="BZ980" s="18">
        <v>0</v>
      </c>
      <c r="CA980">
        <v>0</v>
      </c>
      <c r="CB980">
        <v>0</v>
      </c>
      <c r="CC980">
        <v>0</v>
      </c>
      <c r="CD980">
        <v>0</v>
      </c>
      <c r="CE980">
        <v>0</v>
      </c>
      <c r="CF980" s="18">
        <v>0</v>
      </c>
      <c r="CG980">
        <v>1</v>
      </c>
      <c r="CH980">
        <v>1</v>
      </c>
      <c r="CI980">
        <v>0</v>
      </c>
      <c r="CJ980">
        <v>0</v>
      </c>
      <c r="CK980">
        <v>1</v>
      </c>
      <c r="CL980">
        <v>1</v>
      </c>
      <c r="CM980">
        <v>1</v>
      </c>
      <c r="CN980">
        <v>0</v>
      </c>
      <c r="CO980">
        <v>0</v>
      </c>
      <c r="CP980">
        <v>1</v>
      </c>
      <c r="CQ980" s="18">
        <v>1</v>
      </c>
      <c r="CR980">
        <v>0.14599999999999999</v>
      </c>
      <c r="CS980">
        <v>149</v>
      </c>
      <c r="CT980">
        <v>1</v>
      </c>
      <c r="CU980">
        <v>0</v>
      </c>
      <c r="CV980">
        <v>16</v>
      </c>
      <c r="DB980" s="34"/>
    </row>
    <row r="981" spans="1:106" x14ac:dyDescent="0.25">
      <c r="A981">
        <v>980</v>
      </c>
      <c r="B981">
        <v>68</v>
      </c>
      <c r="C981" s="25" t="s">
        <v>4145</v>
      </c>
      <c r="D981" s="12">
        <v>9</v>
      </c>
      <c r="E981" s="14">
        <v>1</v>
      </c>
      <c r="F981" s="7">
        <f t="shared" si="277"/>
        <v>9</v>
      </c>
      <c r="G981" s="7">
        <f t="shared" si="279"/>
        <v>8</v>
      </c>
      <c r="H981" s="16">
        <f t="shared" si="280"/>
        <v>10</v>
      </c>
      <c r="I981" s="11">
        <f t="shared" si="281"/>
        <v>0.10435527873593063</v>
      </c>
      <c r="J981" s="33">
        <f t="shared" si="282"/>
        <v>1.159503097065896E-2</v>
      </c>
      <c r="K981" s="33">
        <f t="shared" si="283"/>
        <v>86.24384035976135</v>
      </c>
      <c r="L981" s="33">
        <f t="shared" si="284"/>
        <v>9.2760247765271669E-2</v>
      </c>
      <c r="M981" s="33">
        <f t="shared" si="285"/>
        <v>0.11595030970658959</v>
      </c>
      <c r="N981" s="8">
        <v>0</v>
      </c>
      <c r="O981" s="9">
        <v>1</v>
      </c>
      <c r="P981" s="8">
        <v>0</v>
      </c>
      <c r="Q981" s="9">
        <v>0</v>
      </c>
      <c r="R981" s="9">
        <v>1</v>
      </c>
      <c r="S981" s="9">
        <v>0</v>
      </c>
      <c r="T981" s="9">
        <v>0</v>
      </c>
      <c r="U981" s="8">
        <v>7380</v>
      </c>
      <c r="V981" s="9">
        <v>22</v>
      </c>
      <c r="W981" s="9">
        <f t="shared" si="286"/>
        <v>7357</v>
      </c>
      <c r="X981" s="9">
        <f t="shared" si="287"/>
        <v>20</v>
      </c>
      <c r="Y981" s="7">
        <v>8.66</v>
      </c>
      <c r="Z981" s="7">
        <f t="shared" si="278"/>
        <v>20.91</v>
      </c>
      <c r="AA981" s="9">
        <v>1</v>
      </c>
      <c r="AB981" s="9">
        <v>0</v>
      </c>
      <c r="AC981" s="9">
        <v>0</v>
      </c>
      <c r="AD981" s="9">
        <v>0</v>
      </c>
      <c r="AE981" s="9">
        <v>0</v>
      </c>
      <c r="AF981" s="9">
        <v>1</v>
      </c>
      <c r="AG981" s="8">
        <v>1</v>
      </c>
      <c r="AH981" s="9">
        <v>0</v>
      </c>
      <c r="AI981" s="30">
        <v>0</v>
      </c>
      <c r="AJ981" s="9">
        <v>0</v>
      </c>
      <c r="AK981" s="30">
        <v>1</v>
      </c>
      <c r="AL981" s="21">
        <v>2002</v>
      </c>
      <c r="AM981" s="23">
        <f t="shared" si="288"/>
        <v>7.6019019598751658</v>
      </c>
      <c r="AN981" s="33" t="s">
        <v>104</v>
      </c>
      <c r="AO981" s="33" t="s">
        <v>104</v>
      </c>
      <c r="AP981" s="33" t="s">
        <v>104</v>
      </c>
      <c r="AQ981" s="43" t="s">
        <v>104</v>
      </c>
      <c r="AR981" s="42" t="s">
        <v>104</v>
      </c>
      <c r="AS981" s="18" t="s">
        <v>104</v>
      </c>
      <c r="AT981">
        <v>0.5</v>
      </c>
      <c r="AU981" s="40">
        <f t="shared" si="291"/>
        <v>0.5</v>
      </c>
      <c r="AV981" t="s">
        <v>104</v>
      </c>
      <c r="AW981" s="40" t="s">
        <v>104</v>
      </c>
      <c r="AX981">
        <v>0</v>
      </c>
      <c r="AY981" s="18">
        <v>1</v>
      </c>
      <c r="AZ981">
        <v>0.73</v>
      </c>
      <c r="BA981" s="18">
        <f t="shared" si="292"/>
        <v>0.27</v>
      </c>
      <c r="BB981" s="18" t="s">
        <v>5</v>
      </c>
      <c r="BC981">
        <v>0</v>
      </c>
      <c r="BD981">
        <v>1</v>
      </c>
      <c r="BE981">
        <v>0</v>
      </c>
      <c r="BF981">
        <v>0</v>
      </c>
      <c r="BG981">
        <v>0</v>
      </c>
      <c r="BH981" s="18">
        <v>0</v>
      </c>
      <c r="BI981">
        <v>0</v>
      </c>
      <c r="BJ981">
        <v>1</v>
      </c>
      <c r="BK981" s="18">
        <v>0</v>
      </c>
      <c r="BL981">
        <v>127.1666666666667</v>
      </c>
      <c r="BM981">
        <v>27</v>
      </c>
      <c r="BN981" s="25">
        <v>35.57</v>
      </c>
      <c r="BO981">
        <v>0</v>
      </c>
      <c r="BP981">
        <v>0</v>
      </c>
      <c r="BQ981">
        <v>1</v>
      </c>
      <c r="BR981">
        <v>0</v>
      </c>
      <c r="BS981">
        <v>0</v>
      </c>
      <c r="BT981">
        <v>0</v>
      </c>
      <c r="BU981">
        <v>0</v>
      </c>
      <c r="BV981" s="18">
        <v>0</v>
      </c>
      <c r="BW981">
        <v>0</v>
      </c>
      <c r="BX981">
        <v>0</v>
      </c>
      <c r="BY981">
        <v>1</v>
      </c>
      <c r="BZ981" s="18">
        <v>0</v>
      </c>
      <c r="CA981">
        <v>0</v>
      </c>
      <c r="CB981">
        <v>0</v>
      </c>
      <c r="CC981">
        <v>0</v>
      </c>
      <c r="CD981">
        <v>0</v>
      </c>
      <c r="CE981">
        <v>0</v>
      </c>
      <c r="CF981" s="18">
        <v>0</v>
      </c>
      <c r="CG981">
        <v>1</v>
      </c>
      <c r="CH981">
        <v>1</v>
      </c>
      <c r="CI981">
        <v>0</v>
      </c>
      <c r="CJ981">
        <v>0</v>
      </c>
      <c r="CK981">
        <v>1</v>
      </c>
      <c r="CL981">
        <v>1</v>
      </c>
      <c r="CM981">
        <v>1</v>
      </c>
      <c r="CN981">
        <v>0</v>
      </c>
      <c r="CO981">
        <v>0</v>
      </c>
      <c r="CP981">
        <v>1</v>
      </c>
      <c r="CQ981" s="18">
        <v>1</v>
      </c>
      <c r="CR981">
        <v>0.14599999999999999</v>
      </c>
      <c r="CS981">
        <v>149</v>
      </c>
      <c r="CT981">
        <v>1</v>
      </c>
      <c r="CU981">
        <v>0</v>
      </c>
      <c r="CV981">
        <v>16</v>
      </c>
      <c r="DB981" s="34"/>
    </row>
    <row r="982" spans="1:106" x14ac:dyDescent="0.25">
      <c r="A982">
        <v>981</v>
      </c>
      <c r="B982">
        <v>68</v>
      </c>
      <c r="C982" s="25" t="s">
        <v>4145</v>
      </c>
      <c r="D982" s="12">
        <v>54</v>
      </c>
      <c r="E982" s="14">
        <v>111</v>
      </c>
      <c r="F982" s="7">
        <f t="shared" si="277"/>
        <v>0.48648648648648651</v>
      </c>
      <c r="G982" s="7">
        <f t="shared" si="279"/>
        <v>-57</v>
      </c>
      <c r="H982" s="16">
        <f t="shared" si="280"/>
        <v>165</v>
      </c>
      <c r="I982" s="11">
        <f t="shared" si="281"/>
        <v>5.6717021749372338E-3</v>
      </c>
      <c r="J982" s="33">
        <f t="shared" si="282"/>
        <v>1.1658498915148759E-2</v>
      </c>
      <c r="K982" s="33">
        <f t="shared" si="283"/>
        <v>85.774335725212893</v>
      </c>
      <c r="L982" s="33">
        <f t="shared" si="284"/>
        <v>-5.9867967402115248E-3</v>
      </c>
      <c r="M982" s="33">
        <f t="shared" si="285"/>
        <v>1.7330201090085991E-2</v>
      </c>
      <c r="N982" s="8">
        <v>0</v>
      </c>
      <c r="O982" s="9">
        <v>1</v>
      </c>
      <c r="P982" s="8">
        <v>0</v>
      </c>
      <c r="Q982" s="9">
        <v>0</v>
      </c>
      <c r="R982" s="9">
        <v>1</v>
      </c>
      <c r="S982" s="9">
        <v>0</v>
      </c>
      <c r="T982" s="9">
        <v>0</v>
      </c>
      <c r="U982" s="8">
        <v>7380</v>
      </c>
      <c r="V982" s="9">
        <v>22</v>
      </c>
      <c r="W982" s="9">
        <f t="shared" si="286"/>
        <v>7357</v>
      </c>
      <c r="X982" s="9">
        <f t="shared" si="287"/>
        <v>20</v>
      </c>
      <c r="Y982" s="7">
        <v>8.66</v>
      </c>
      <c r="Z982" s="7">
        <f t="shared" si="278"/>
        <v>20.91</v>
      </c>
      <c r="AA982" s="9">
        <v>1</v>
      </c>
      <c r="AB982" s="9">
        <v>0</v>
      </c>
      <c r="AC982" s="9">
        <v>0</v>
      </c>
      <c r="AD982" s="9">
        <v>0</v>
      </c>
      <c r="AE982" s="9">
        <v>0</v>
      </c>
      <c r="AF982" s="9">
        <v>1</v>
      </c>
      <c r="AG982" s="8">
        <v>1</v>
      </c>
      <c r="AH982" s="9">
        <v>0</v>
      </c>
      <c r="AI982" s="30">
        <v>0</v>
      </c>
      <c r="AJ982" s="9">
        <v>0</v>
      </c>
      <c r="AK982" s="30">
        <v>1</v>
      </c>
      <c r="AL982" s="21">
        <v>2002</v>
      </c>
      <c r="AM982" s="23">
        <f t="shared" si="288"/>
        <v>7.6019019598751658</v>
      </c>
      <c r="AN982" s="33" t="s">
        <v>104</v>
      </c>
      <c r="AO982" s="33" t="s">
        <v>104</v>
      </c>
      <c r="AP982" s="33" t="s">
        <v>104</v>
      </c>
      <c r="AQ982" s="43" t="s">
        <v>104</v>
      </c>
      <c r="AR982" s="42" t="s">
        <v>104</v>
      </c>
      <c r="AS982" s="18" t="s">
        <v>104</v>
      </c>
      <c r="AT982">
        <v>0.5</v>
      </c>
      <c r="AU982" s="40">
        <f t="shared" si="291"/>
        <v>0.5</v>
      </c>
      <c r="AV982" t="s">
        <v>104</v>
      </c>
      <c r="AW982" s="40" t="s">
        <v>104</v>
      </c>
      <c r="AX982">
        <v>0</v>
      </c>
      <c r="AY982" s="18">
        <v>1</v>
      </c>
      <c r="AZ982">
        <v>0.73</v>
      </c>
      <c r="BA982" s="18">
        <f t="shared" si="292"/>
        <v>0.27</v>
      </c>
      <c r="BB982" s="18" t="s">
        <v>5</v>
      </c>
      <c r="BC982">
        <v>0</v>
      </c>
      <c r="BD982">
        <v>1</v>
      </c>
      <c r="BE982">
        <v>0</v>
      </c>
      <c r="BF982">
        <v>0</v>
      </c>
      <c r="BG982">
        <v>0</v>
      </c>
      <c r="BH982" s="18">
        <v>0</v>
      </c>
      <c r="BI982">
        <v>0</v>
      </c>
      <c r="BJ982">
        <v>1</v>
      </c>
      <c r="BK982" s="18">
        <v>0</v>
      </c>
      <c r="BL982">
        <v>127.1666666666667</v>
      </c>
      <c r="BM982">
        <v>27</v>
      </c>
      <c r="BN982" s="25">
        <v>35.57</v>
      </c>
      <c r="BO982">
        <v>0</v>
      </c>
      <c r="BP982">
        <v>0</v>
      </c>
      <c r="BQ982">
        <v>0</v>
      </c>
      <c r="BR982">
        <v>0</v>
      </c>
      <c r="BS982">
        <v>1</v>
      </c>
      <c r="BT982">
        <v>0</v>
      </c>
      <c r="BU982">
        <v>0</v>
      </c>
      <c r="BV982" s="18">
        <v>0</v>
      </c>
      <c r="BW982">
        <v>0</v>
      </c>
      <c r="BX982">
        <v>0</v>
      </c>
      <c r="BY982">
        <v>1</v>
      </c>
      <c r="BZ982" s="18">
        <v>0</v>
      </c>
      <c r="CA982">
        <v>0</v>
      </c>
      <c r="CB982">
        <v>0</v>
      </c>
      <c r="CC982">
        <v>0</v>
      </c>
      <c r="CD982">
        <v>0</v>
      </c>
      <c r="CE982">
        <v>0</v>
      </c>
      <c r="CF982" s="18">
        <v>0</v>
      </c>
      <c r="CG982">
        <v>1</v>
      </c>
      <c r="CH982">
        <v>1</v>
      </c>
      <c r="CI982">
        <v>0</v>
      </c>
      <c r="CJ982">
        <v>0</v>
      </c>
      <c r="CK982">
        <v>1</v>
      </c>
      <c r="CL982">
        <v>1</v>
      </c>
      <c r="CM982">
        <v>1</v>
      </c>
      <c r="CN982">
        <v>0</v>
      </c>
      <c r="CO982">
        <v>0</v>
      </c>
      <c r="CP982">
        <v>1</v>
      </c>
      <c r="CQ982" s="18">
        <v>1</v>
      </c>
      <c r="CR982">
        <v>0.14599999999999999</v>
      </c>
      <c r="CS982">
        <v>149</v>
      </c>
      <c r="CT982">
        <v>1</v>
      </c>
      <c r="CU982">
        <v>0</v>
      </c>
      <c r="CV982">
        <v>16</v>
      </c>
      <c r="DB982" s="34"/>
    </row>
    <row r="983" spans="1:106" x14ac:dyDescent="0.25">
      <c r="A983">
        <v>982</v>
      </c>
      <c r="B983">
        <v>68</v>
      </c>
      <c r="C983" s="25" t="s">
        <v>4145</v>
      </c>
      <c r="D983" s="12">
        <v>1</v>
      </c>
      <c r="E983" s="14">
        <v>2</v>
      </c>
      <c r="F983" s="7">
        <f t="shared" si="277"/>
        <v>0.5</v>
      </c>
      <c r="G983" s="7">
        <f t="shared" si="279"/>
        <v>-1</v>
      </c>
      <c r="H983" s="16">
        <f t="shared" si="280"/>
        <v>3</v>
      </c>
      <c r="I983" s="11">
        <f t="shared" si="281"/>
        <v>8.0391982232139066E-3</v>
      </c>
      <c r="J983" s="33">
        <f t="shared" si="282"/>
        <v>1.6078396446427813E-2</v>
      </c>
      <c r="K983" s="33">
        <f t="shared" si="283"/>
        <v>62.195257053894395</v>
      </c>
      <c r="L983" s="33">
        <f t="shared" si="284"/>
        <v>-8.0391982232139066E-3</v>
      </c>
      <c r="M983" s="33">
        <f t="shared" si="285"/>
        <v>2.411759466964172E-2</v>
      </c>
      <c r="N983" s="8">
        <v>0</v>
      </c>
      <c r="O983" s="9">
        <v>1</v>
      </c>
      <c r="P983" s="8">
        <v>0</v>
      </c>
      <c r="Q983" s="9">
        <v>0</v>
      </c>
      <c r="R983" s="9">
        <v>1</v>
      </c>
      <c r="S983" s="9">
        <v>0</v>
      </c>
      <c r="T983" s="9">
        <v>0</v>
      </c>
      <c r="U983" s="8">
        <v>3891</v>
      </c>
      <c r="V983" s="9">
        <v>22</v>
      </c>
      <c r="W983" s="9">
        <f t="shared" si="286"/>
        <v>3868</v>
      </c>
      <c r="X983" s="9">
        <f t="shared" si="287"/>
        <v>20</v>
      </c>
      <c r="Y983" s="7">
        <v>9.2799999999999994</v>
      </c>
      <c r="Z983" s="7">
        <f t="shared" si="278"/>
        <v>9.4599999999999991</v>
      </c>
      <c r="AA983" s="9">
        <v>1</v>
      </c>
      <c r="AB983" s="9">
        <v>0</v>
      </c>
      <c r="AC983" s="9">
        <v>0</v>
      </c>
      <c r="AD983" s="9">
        <v>0</v>
      </c>
      <c r="AE983" s="9">
        <v>0</v>
      </c>
      <c r="AF983" s="9">
        <v>1</v>
      </c>
      <c r="AG983" s="8">
        <v>1</v>
      </c>
      <c r="AH983" s="9">
        <v>0</v>
      </c>
      <c r="AI983" s="30">
        <v>0</v>
      </c>
      <c r="AJ983" s="9">
        <v>0</v>
      </c>
      <c r="AK983" s="30">
        <v>1</v>
      </c>
      <c r="AL983" s="21">
        <v>2002</v>
      </c>
      <c r="AM983" s="23">
        <f t="shared" si="288"/>
        <v>7.6019019598751658</v>
      </c>
      <c r="AN983" s="33" t="s">
        <v>104</v>
      </c>
      <c r="AO983" s="33" t="s">
        <v>104</v>
      </c>
      <c r="AP983" s="33" t="s">
        <v>104</v>
      </c>
      <c r="AQ983" s="43" t="s">
        <v>104</v>
      </c>
      <c r="AR983" s="42" t="s">
        <v>104</v>
      </c>
      <c r="AS983" s="18" t="s">
        <v>104</v>
      </c>
      <c r="AT983">
        <v>0.52</v>
      </c>
      <c r="AU983" s="40">
        <f t="shared" si="291"/>
        <v>0.48</v>
      </c>
      <c r="AV983" t="s">
        <v>104</v>
      </c>
      <c r="AW983" s="40" t="s">
        <v>104</v>
      </c>
      <c r="AX983">
        <v>0</v>
      </c>
      <c r="AY983" s="18">
        <v>1</v>
      </c>
      <c r="AZ983">
        <v>0.79</v>
      </c>
      <c r="BA983" s="18">
        <f t="shared" si="292"/>
        <v>0.20999999999999996</v>
      </c>
      <c r="BB983" s="18" t="s">
        <v>5</v>
      </c>
      <c r="BC983">
        <v>0</v>
      </c>
      <c r="BD983">
        <v>1</v>
      </c>
      <c r="BE983">
        <v>0</v>
      </c>
      <c r="BF983">
        <v>0</v>
      </c>
      <c r="BG983">
        <v>0</v>
      </c>
      <c r="BH983" s="18">
        <v>0</v>
      </c>
      <c r="BI983">
        <v>0</v>
      </c>
      <c r="BJ983">
        <v>1</v>
      </c>
      <c r="BK983" s="18">
        <v>0</v>
      </c>
      <c r="BL983">
        <v>127.1666666666667</v>
      </c>
      <c r="BM983">
        <v>27</v>
      </c>
      <c r="BN983" s="25">
        <v>24.74</v>
      </c>
      <c r="BO983">
        <v>0</v>
      </c>
      <c r="BP983">
        <v>0</v>
      </c>
      <c r="BQ983">
        <v>1</v>
      </c>
      <c r="BR983">
        <v>0</v>
      </c>
      <c r="BS983">
        <v>0</v>
      </c>
      <c r="BT983">
        <v>0</v>
      </c>
      <c r="BU983">
        <v>0</v>
      </c>
      <c r="BV983" s="18">
        <v>0</v>
      </c>
      <c r="BW983">
        <v>0</v>
      </c>
      <c r="BX983">
        <v>0</v>
      </c>
      <c r="BY983">
        <v>1</v>
      </c>
      <c r="BZ983" s="18">
        <v>0</v>
      </c>
      <c r="CA983">
        <v>0</v>
      </c>
      <c r="CB983">
        <v>0</v>
      </c>
      <c r="CC983">
        <v>0</v>
      </c>
      <c r="CD983">
        <v>0</v>
      </c>
      <c r="CE983">
        <v>0</v>
      </c>
      <c r="CF983" s="18">
        <v>0</v>
      </c>
      <c r="CG983">
        <v>1</v>
      </c>
      <c r="CH983">
        <v>1</v>
      </c>
      <c r="CI983">
        <v>0</v>
      </c>
      <c r="CJ983">
        <v>0</v>
      </c>
      <c r="CK983">
        <v>1</v>
      </c>
      <c r="CL983">
        <v>1</v>
      </c>
      <c r="CM983">
        <v>1</v>
      </c>
      <c r="CN983">
        <v>0</v>
      </c>
      <c r="CO983">
        <v>0</v>
      </c>
      <c r="CP983">
        <v>1</v>
      </c>
      <c r="CQ983" s="18">
        <v>1</v>
      </c>
      <c r="CR983">
        <v>0.14599999999999999</v>
      </c>
      <c r="CS983">
        <v>149</v>
      </c>
      <c r="CT983">
        <v>1</v>
      </c>
      <c r="CU983">
        <v>0</v>
      </c>
      <c r="CV983">
        <v>16</v>
      </c>
      <c r="DB983" s="34"/>
    </row>
    <row r="984" spans="1:106" x14ac:dyDescent="0.25">
      <c r="A984">
        <v>983</v>
      </c>
      <c r="B984">
        <v>68</v>
      </c>
      <c r="C984" s="25" t="s">
        <v>4145</v>
      </c>
      <c r="D984" s="12">
        <v>4</v>
      </c>
      <c r="E984" s="14">
        <v>22</v>
      </c>
      <c r="F984" s="7">
        <f t="shared" si="277"/>
        <v>0.18181818181818182</v>
      </c>
      <c r="G984" s="7">
        <f t="shared" si="279"/>
        <v>-18</v>
      </c>
      <c r="H984" s="16">
        <f t="shared" si="280"/>
        <v>26</v>
      </c>
      <c r="I984" s="11">
        <f t="shared" si="281"/>
        <v>2.9234267865169308E-3</v>
      </c>
      <c r="J984" s="33">
        <f t="shared" si="282"/>
        <v>1.607884732584312E-2</v>
      </c>
      <c r="K984" s="33">
        <f t="shared" si="283"/>
        <v>62.193512988504196</v>
      </c>
      <c r="L984" s="33">
        <f t="shared" si="284"/>
        <v>-1.3155420539326189E-2</v>
      </c>
      <c r="M984" s="33">
        <f t="shared" si="285"/>
        <v>1.9002274112360051E-2</v>
      </c>
      <c r="N984" s="8">
        <v>0</v>
      </c>
      <c r="O984" s="9">
        <v>1</v>
      </c>
      <c r="P984" s="8">
        <v>0</v>
      </c>
      <c r="Q984" s="9">
        <v>0</v>
      </c>
      <c r="R984" s="9">
        <v>1</v>
      </c>
      <c r="S984" s="9">
        <v>0</v>
      </c>
      <c r="T984" s="9">
        <v>0</v>
      </c>
      <c r="U984" s="8">
        <v>3891</v>
      </c>
      <c r="V984" s="9">
        <v>22</v>
      </c>
      <c r="W984" s="9">
        <f t="shared" si="286"/>
        <v>3868</v>
      </c>
      <c r="X984" s="9">
        <f t="shared" si="287"/>
        <v>20</v>
      </c>
      <c r="Y984" s="7">
        <v>9.2799999999999994</v>
      </c>
      <c r="Z984" s="7">
        <f t="shared" si="278"/>
        <v>9.4599999999999991</v>
      </c>
      <c r="AA984" s="9">
        <v>1</v>
      </c>
      <c r="AB984" s="9">
        <v>0</v>
      </c>
      <c r="AC984" s="9">
        <v>0</v>
      </c>
      <c r="AD984" s="9">
        <v>0</v>
      </c>
      <c r="AE984" s="9">
        <v>0</v>
      </c>
      <c r="AF984" s="9">
        <v>1</v>
      </c>
      <c r="AG984" s="8">
        <v>1</v>
      </c>
      <c r="AH984" s="9">
        <v>0</v>
      </c>
      <c r="AI984" s="30">
        <v>0</v>
      </c>
      <c r="AJ984" s="9">
        <v>0</v>
      </c>
      <c r="AK984" s="30">
        <v>1</v>
      </c>
      <c r="AL984" s="21">
        <v>2002</v>
      </c>
      <c r="AM984" s="23">
        <f t="shared" si="288"/>
        <v>7.6019019598751658</v>
      </c>
      <c r="AN984" s="33" t="s">
        <v>104</v>
      </c>
      <c r="AO984" s="33" t="s">
        <v>104</v>
      </c>
      <c r="AP984" s="33" t="s">
        <v>104</v>
      </c>
      <c r="AQ984" s="43" t="s">
        <v>104</v>
      </c>
      <c r="AR984" s="42" t="s">
        <v>104</v>
      </c>
      <c r="AS984" s="18" t="s">
        <v>104</v>
      </c>
      <c r="AT984">
        <v>0.52</v>
      </c>
      <c r="AU984" s="40">
        <f t="shared" si="291"/>
        <v>0.48</v>
      </c>
      <c r="AV984" t="s">
        <v>104</v>
      </c>
      <c r="AW984" s="40" t="s">
        <v>104</v>
      </c>
      <c r="AX984">
        <v>0</v>
      </c>
      <c r="AY984" s="18">
        <v>1</v>
      </c>
      <c r="AZ984">
        <v>0.79</v>
      </c>
      <c r="BA984" s="18">
        <f t="shared" si="292"/>
        <v>0.20999999999999996</v>
      </c>
      <c r="BB984" s="18" t="s">
        <v>5</v>
      </c>
      <c r="BC984">
        <v>0</v>
      </c>
      <c r="BD984">
        <v>1</v>
      </c>
      <c r="BE984">
        <v>0</v>
      </c>
      <c r="BF984">
        <v>0</v>
      </c>
      <c r="BG984">
        <v>0</v>
      </c>
      <c r="BH984" s="18">
        <v>0</v>
      </c>
      <c r="BI984">
        <v>0</v>
      </c>
      <c r="BJ984">
        <v>1</v>
      </c>
      <c r="BK984" s="18">
        <v>0</v>
      </c>
      <c r="BL984">
        <v>127.1666666666667</v>
      </c>
      <c r="BM984">
        <v>27</v>
      </c>
      <c r="BN984" s="25">
        <v>24.74</v>
      </c>
      <c r="BO984">
        <v>0</v>
      </c>
      <c r="BP984">
        <v>0</v>
      </c>
      <c r="BQ984">
        <v>0</v>
      </c>
      <c r="BR984">
        <v>0</v>
      </c>
      <c r="BS984">
        <v>1</v>
      </c>
      <c r="BT984">
        <v>0</v>
      </c>
      <c r="BU984">
        <v>0</v>
      </c>
      <c r="BV984" s="18">
        <v>0</v>
      </c>
      <c r="BW984">
        <v>0</v>
      </c>
      <c r="BX984">
        <v>0</v>
      </c>
      <c r="BY984">
        <v>1</v>
      </c>
      <c r="BZ984" s="18">
        <v>0</v>
      </c>
      <c r="CA984">
        <v>0</v>
      </c>
      <c r="CB984">
        <v>0</v>
      </c>
      <c r="CC984">
        <v>0</v>
      </c>
      <c r="CD984">
        <v>0</v>
      </c>
      <c r="CE984">
        <v>0</v>
      </c>
      <c r="CF984" s="18">
        <v>0</v>
      </c>
      <c r="CG984">
        <v>1</v>
      </c>
      <c r="CH984">
        <v>1</v>
      </c>
      <c r="CI984">
        <v>0</v>
      </c>
      <c r="CJ984">
        <v>0</v>
      </c>
      <c r="CK984">
        <v>1</v>
      </c>
      <c r="CL984">
        <v>1</v>
      </c>
      <c r="CM984">
        <v>1</v>
      </c>
      <c r="CN984">
        <v>0</v>
      </c>
      <c r="CO984">
        <v>0</v>
      </c>
      <c r="CP984">
        <v>1</v>
      </c>
      <c r="CQ984" s="18">
        <v>1</v>
      </c>
      <c r="CR984">
        <v>0.14599999999999999</v>
      </c>
      <c r="CS984">
        <v>149</v>
      </c>
      <c r="CT984">
        <v>1</v>
      </c>
      <c r="CU984">
        <v>0</v>
      </c>
      <c r="CV984">
        <v>16</v>
      </c>
      <c r="DB984" s="34"/>
    </row>
    <row r="985" spans="1:106" x14ac:dyDescent="0.25">
      <c r="A985">
        <v>984</v>
      </c>
      <c r="B985">
        <v>68</v>
      </c>
      <c r="C985" s="25" t="s">
        <v>4145</v>
      </c>
      <c r="D985" s="12">
        <v>9</v>
      </c>
      <c r="E985" s="14">
        <v>1</v>
      </c>
      <c r="F985" s="7">
        <f t="shared" si="277"/>
        <v>9</v>
      </c>
      <c r="G985" s="7">
        <f t="shared" si="279"/>
        <v>8</v>
      </c>
      <c r="H985" s="16">
        <f t="shared" si="280"/>
        <v>10</v>
      </c>
      <c r="I985" s="11">
        <f t="shared" si="281"/>
        <v>8.4556446044914232E-2</v>
      </c>
      <c r="J985" s="33">
        <f t="shared" si="282"/>
        <v>9.3951606716571358E-3</v>
      </c>
      <c r="K985" s="33">
        <f t="shared" si="283"/>
        <v>106.43777524920371</v>
      </c>
      <c r="L985" s="33">
        <f t="shared" si="284"/>
        <v>7.51612853732571E-2</v>
      </c>
      <c r="M985" s="33">
        <f t="shared" si="285"/>
        <v>9.3951606716571365E-2</v>
      </c>
      <c r="N985" s="8">
        <v>0</v>
      </c>
      <c r="O985" s="9">
        <v>1</v>
      </c>
      <c r="P985" s="8">
        <v>0</v>
      </c>
      <c r="Q985" s="9">
        <v>0</v>
      </c>
      <c r="R985" s="9">
        <v>1</v>
      </c>
      <c r="S985" s="9">
        <v>0</v>
      </c>
      <c r="T985" s="9">
        <v>0</v>
      </c>
      <c r="U985" s="8">
        <v>11271</v>
      </c>
      <c r="V985" s="9">
        <v>22</v>
      </c>
      <c r="W985" s="9">
        <f t="shared" si="286"/>
        <v>11248</v>
      </c>
      <c r="X985" s="9">
        <f t="shared" si="287"/>
        <v>20</v>
      </c>
      <c r="Y985" s="7">
        <v>8.4600000000000009</v>
      </c>
      <c r="Z985" s="7">
        <f t="shared" si="278"/>
        <v>17.659999999999997</v>
      </c>
      <c r="AA985" s="9">
        <v>1</v>
      </c>
      <c r="AB985" s="9">
        <v>0</v>
      </c>
      <c r="AC985" s="9">
        <v>0</v>
      </c>
      <c r="AD985" s="9">
        <v>0</v>
      </c>
      <c r="AE985" s="9">
        <v>0</v>
      </c>
      <c r="AF985" s="9">
        <v>1</v>
      </c>
      <c r="AG985" s="8">
        <v>1</v>
      </c>
      <c r="AH985" s="9">
        <v>0</v>
      </c>
      <c r="AI985" s="30">
        <v>0</v>
      </c>
      <c r="AJ985" s="9">
        <v>0</v>
      </c>
      <c r="AK985" s="30">
        <v>1</v>
      </c>
      <c r="AL985" s="21">
        <v>2002</v>
      </c>
      <c r="AM985" s="23">
        <f t="shared" si="288"/>
        <v>7.6019019598751658</v>
      </c>
      <c r="AN985" s="33" t="s">
        <v>104</v>
      </c>
      <c r="AO985" s="33" t="s">
        <v>104</v>
      </c>
      <c r="AP985" s="33" t="s">
        <v>104</v>
      </c>
      <c r="AQ985" s="43" t="s">
        <v>104</v>
      </c>
      <c r="AR985" s="42" t="s">
        <v>104</v>
      </c>
      <c r="AS985" s="18" t="s">
        <v>104</v>
      </c>
      <c r="AT985">
        <v>0</v>
      </c>
      <c r="AU985" s="40">
        <v>1</v>
      </c>
      <c r="AV985" t="s">
        <v>104</v>
      </c>
      <c r="AW985" s="40" t="s">
        <v>104</v>
      </c>
      <c r="AX985">
        <v>0</v>
      </c>
      <c r="AY985" s="18">
        <v>1</v>
      </c>
      <c r="AZ985">
        <v>0.75</v>
      </c>
      <c r="BA985" s="18">
        <f t="shared" si="292"/>
        <v>0.25</v>
      </c>
      <c r="BB985" s="18" t="s">
        <v>5</v>
      </c>
      <c r="BC985">
        <v>0</v>
      </c>
      <c r="BD985">
        <v>1</v>
      </c>
      <c r="BE985">
        <v>0</v>
      </c>
      <c r="BF985">
        <v>0</v>
      </c>
      <c r="BG985">
        <v>0</v>
      </c>
      <c r="BH985" s="18">
        <v>0</v>
      </c>
      <c r="BI985">
        <v>0</v>
      </c>
      <c r="BJ985">
        <v>1</v>
      </c>
      <c r="BK985" s="18">
        <v>0</v>
      </c>
      <c r="BL985">
        <v>127.1666666666667</v>
      </c>
      <c r="BM985">
        <v>27</v>
      </c>
      <c r="BN985" s="25">
        <v>32.119999999999997</v>
      </c>
      <c r="BO985">
        <v>1</v>
      </c>
      <c r="BP985">
        <v>0</v>
      </c>
      <c r="BQ985">
        <v>0</v>
      </c>
      <c r="BR985">
        <v>0</v>
      </c>
      <c r="BS985">
        <v>0</v>
      </c>
      <c r="BT985">
        <v>0</v>
      </c>
      <c r="BU985">
        <v>0</v>
      </c>
      <c r="BV985" s="18">
        <v>0</v>
      </c>
      <c r="BW985">
        <v>0</v>
      </c>
      <c r="BX985">
        <v>0</v>
      </c>
      <c r="BY985">
        <v>1</v>
      </c>
      <c r="BZ985" s="18">
        <v>0</v>
      </c>
      <c r="CA985">
        <v>0</v>
      </c>
      <c r="CB985">
        <v>0</v>
      </c>
      <c r="CC985">
        <v>0</v>
      </c>
      <c r="CD985">
        <v>0</v>
      </c>
      <c r="CE985">
        <v>0</v>
      </c>
      <c r="CF985" s="18">
        <v>0</v>
      </c>
      <c r="CG985">
        <v>1</v>
      </c>
      <c r="CH985">
        <v>1</v>
      </c>
      <c r="CI985">
        <v>0</v>
      </c>
      <c r="CJ985">
        <v>0</v>
      </c>
      <c r="CK985">
        <v>1</v>
      </c>
      <c r="CL985">
        <v>1</v>
      </c>
      <c r="CM985">
        <v>1</v>
      </c>
      <c r="CN985">
        <v>0</v>
      </c>
      <c r="CO985">
        <v>0</v>
      </c>
      <c r="CP985">
        <v>1</v>
      </c>
      <c r="CQ985" s="18">
        <v>1</v>
      </c>
      <c r="CR985">
        <v>0.14599999999999999</v>
      </c>
      <c r="CS985">
        <v>149</v>
      </c>
      <c r="CT985">
        <v>1</v>
      </c>
      <c r="CU985">
        <v>0</v>
      </c>
      <c r="CV985">
        <v>16</v>
      </c>
      <c r="DB985" s="34"/>
    </row>
    <row r="986" spans="1:106" x14ac:dyDescent="0.25">
      <c r="A986">
        <v>985</v>
      </c>
      <c r="B986">
        <v>68</v>
      </c>
      <c r="C986" s="25" t="s">
        <v>4145</v>
      </c>
      <c r="D986" s="12">
        <v>9</v>
      </c>
      <c r="E986" s="14">
        <v>1</v>
      </c>
      <c r="F986" s="7">
        <f t="shared" si="277"/>
        <v>9</v>
      </c>
      <c r="G986" s="7">
        <f t="shared" si="279"/>
        <v>8</v>
      </c>
      <c r="H986" s="16">
        <f t="shared" si="280"/>
        <v>10</v>
      </c>
      <c r="I986" s="11">
        <f t="shared" si="281"/>
        <v>8.4556446044914232E-2</v>
      </c>
      <c r="J986" s="33">
        <f t="shared" si="282"/>
        <v>9.3951606716571358E-3</v>
      </c>
      <c r="K986" s="33">
        <f t="shared" si="283"/>
        <v>106.43777524920371</v>
      </c>
      <c r="L986" s="33">
        <f t="shared" si="284"/>
        <v>7.51612853732571E-2</v>
      </c>
      <c r="M986" s="33">
        <f t="shared" si="285"/>
        <v>9.3951606716571365E-2</v>
      </c>
      <c r="N986" s="8">
        <v>0</v>
      </c>
      <c r="O986" s="9">
        <v>1</v>
      </c>
      <c r="P986" s="8">
        <v>0</v>
      </c>
      <c r="Q986" s="9">
        <v>0</v>
      </c>
      <c r="R986" s="9">
        <v>1</v>
      </c>
      <c r="S986" s="9">
        <v>0</v>
      </c>
      <c r="T986" s="9">
        <v>0</v>
      </c>
      <c r="U986" s="8">
        <v>11271</v>
      </c>
      <c r="V986" s="9">
        <v>22</v>
      </c>
      <c r="W986" s="9">
        <f t="shared" si="286"/>
        <v>11248</v>
      </c>
      <c r="X986" s="9">
        <f t="shared" si="287"/>
        <v>20</v>
      </c>
      <c r="Y986" s="7">
        <v>9.2899999999999991</v>
      </c>
      <c r="Z986" s="7">
        <f t="shared" si="278"/>
        <v>16.25</v>
      </c>
      <c r="AA986" s="9">
        <v>1</v>
      </c>
      <c r="AB986" s="9">
        <v>0</v>
      </c>
      <c r="AC986" s="9">
        <v>0</v>
      </c>
      <c r="AD986" s="9">
        <v>0</v>
      </c>
      <c r="AE986" s="9">
        <v>0</v>
      </c>
      <c r="AF986" s="9">
        <v>1</v>
      </c>
      <c r="AG986" s="8">
        <v>1</v>
      </c>
      <c r="AH986" s="9">
        <v>0</v>
      </c>
      <c r="AI986" s="30">
        <v>0</v>
      </c>
      <c r="AJ986" s="9">
        <v>0</v>
      </c>
      <c r="AK986" s="30">
        <v>1</v>
      </c>
      <c r="AL986" s="21">
        <v>2002</v>
      </c>
      <c r="AM986" s="23">
        <f t="shared" si="288"/>
        <v>7.6019019598751658</v>
      </c>
      <c r="AN986" s="33" t="s">
        <v>104</v>
      </c>
      <c r="AO986" s="33" t="s">
        <v>104</v>
      </c>
      <c r="AP986" s="33" t="s">
        <v>104</v>
      </c>
      <c r="AQ986" s="43" t="s">
        <v>104</v>
      </c>
      <c r="AR986" s="42" t="s">
        <v>104</v>
      </c>
      <c r="AS986" s="18" t="s">
        <v>104</v>
      </c>
      <c r="AT986">
        <v>1</v>
      </c>
      <c r="AU986" s="40">
        <v>0</v>
      </c>
      <c r="AV986" t="s">
        <v>104</v>
      </c>
      <c r="AW986" s="40" t="s">
        <v>104</v>
      </c>
      <c r="AX986">
        <v>0</v>
      </c>
      <c r="AY986" s="18">
        <v>1</v>
      </c>
      <c r="AZ986">
        <v>0.75</v>
      </c>
      <c r="BA986" s="18">
        <f t="shared" si="292"/>
        <v>0.25</v>
      </c>
      <c r="BB986" s="18" t="s">
        <v>5</v>
      </c>
      <c r="BC986">
        <v>0</v>
      </c>
      <c r="BD986">
        <v>1</v>
      </c>
      <c r="BE986">
        <v>0</v>
      </c>
      <c r="BF986">
        <v>0</v>
      </c>
      <c r="BG986">
        <v>0</v>
      </c>
      <c r="BH986" s="18">
        <v>0</v>
      </c>
      <c r="BI986">
        <v>0</v>
      </c>
      <c r="BJ986">
        <v>1</v>
      </c>
      <c r="BK986" s="18">
        <v>0</v>
      </c>
      <c r="BL986">
        <v>127.1666666666667</v>
      </c>
      <c r="BM986">
        <v>27</v>
      </c>
      <c r="BN986" s="25">
        <v>31.54</v>
      </c>
      <c r="BO986">
        <v>0</v>
      </c>
      <c r="BP986">
        <v>0</v>
      </c>
      <c r="BQ986">
        <v>0</v>
      </c>
      <c r="BR986">
        <v>0</v>
      </c>
      <c r="BS986">
        <v>1</v>
      </c>
      <c r="BT986">
        <v>0</v>
      </c>
      <c r="BU986">
        <v>0</v>
      </c>
      <c r="BV986" s="18">
        <v>0</v>
      </c>
      <c r="BW986">
        <v>0</v>
      </c>
      <c r="BX986">
        <v>0</v>
      </c>
      <c r="BY986">
        <v>1</v>
      </c>
      <c r="BZ986" s="18">
        <v>0</v>
      </c>
      <c r="CA986">
        <v>0</v>
      </c>
      <c r="CB986">
        <v>0</v>
      </c>
      <c r="CC986">
        <v>0</v>
      </c>
      <c r="CD986">
        <v>0</v>
      </c>
      <c r="CE986">
        <v>0</v>
      </c>
      <c r="CF986" s="18">
        <v>0</v>
      </c>
      <c r="CG986">
        <v>1</v>
      </c>
      <c r="CH986">
        <v>1</v>
      </c>
      <c r="CI986">
        <v>0</v>
      </c>
      <c r="CJ986">
        <v>0</v>
      </c>
      <c r="CK986">
        <v>1</v>
      </c>
      <c r="CL986">
        <v>1</v>
      </c>
      <c r="CM986">
        <v>1</v>
      </c>
      <c r="CN986">
        <v>0</v>
      </c>
      <c r="CO986">
        <v>0</v>
      </c>
      <c r="CP986">
        <v>1</v>
      </c>
      <c r="CQ986" s="18">
        <v>1</v>
      </c>
      <c r="CR986">
        <v>0.14599999999999999</v>
      </c>
      <c r="CS986">
        <v>149</v>
      </c>
      <c r="CT986">
        <v>1</v>
      </c>
      <c r="CU986">
        <v>0</v>
      </c>
      <c r="CV986">
        <v>16</v>
      </c>
      <c r="DB986" s="34"/>
    </row>
    <row r="987" spans="1:106" x14ac:dyDescent="0.25">
      <c r="A987">
        <v>986</v>
      </c>
      <c r="B987">
        <v>68</v>
      </c>
      <c r="C987" s="25" t="s">
        <v>4145</v>
      </c>
      <c r="D987" s="12">
        <v>9</v>
      </c>
      <c r="E987" s="14">
        <v>1</v>
      </c>
      <c r="F987" s="7">
        <f t="shared" si="277"/>
        <v>9</v>
      </c>
      <c r="G987" s="7">
        <f t="shared" si="279"/>
        <v>8</v>
      </c>
      <c r="H987" s="16">
        <f t="shared" si="280"/>
        <v>10</v>
      </c>
      <c r="I987" s="11">
        <f t="shared" si="281"/>
        <v>8.4556446044914232E-2</v>
      </c>
      <c r="J987" s="33">
        <f t="shared" si="282"/>
        <v>9.3951606716571358E-3</v>
      </c>
      <c r="K987" s="33">
        <f t="shared" si="283"/>
        <v>106.43777524920371</v>
      </c>
      <c r="L987" s="33">
        <f t="shared" si="284"/>
        <v>7.51612853732571E-2</v>
      </c>
      <c r="M987" s="33">
        <f t="shared" si="285"/>
        <v>9.3951606716571365E-2</v>
      </c>
      <c r="N987" s="8">
        <v>0</v>
      </c>
      <c r="O987" s="9">
        <v>1</v>
      </c>
      <c r="P987" s="8">
        <v>0</v>
      </c>
      <c r="Q987" s="9">
        <v>0</v>
      </c>
      <c r="R987" s="9">
        <v>1</v>
      </c>
      <c r="S987" s="9">
        <v>0</v>
      </c>
      <c r="T987" s="9">
        <v>0</v>
      </c>
      <c r="U987" s="8">
        <v>11271</v>
      </c>
      <c r="V987" s="9">
        <v>22</v>
      </c>
      <c r="W987" s="9">
        <f t="shared" si="286"/>
        <v>11248</v>
      </c>
      <c r="X987" s="9">
        <f t="shared" si="287"/>
        <v>20</v>
      </c>
      <c r="Y987" s="7">
        <v>8.14</v>
      </c>
      <c r="Z987" s="7">
        <f t="shared" si="278"/>
        <v>17.22</v>
      </c>
      <c r="AA987" s="9">
        <v>1</v>
      </c>
      <c r="AB987" s="9">
        <v>0</v>
      </c>
      <c r="AC987" s="9">
        <v>0</v>
      </c>
      <c r="AD987" s="9">
        <v>0</v>
      </c>
      <c r="AE987" s="9">
        <v>0</v>
      </c>
      <c r="AF987" s="9">
        <v>1</v>
      </c>
      <c r="AG987" s="8">
        <v>1</v>
      </c>
      <c r="AH987" s="9">
        <v>0</v>
      </c>
      <c r="AI987" s="30">
        <v>0</v>
      </c>
      <c r="AJ987" s="9">
        <v>0</v>
      </c>
      <c r="AK987" s="30">
        <v>1</v>
      </c>
      <c r="AL987" s="21">
        <v>2002</v>
      </c>
      <c r="AM987" s="23">
        <f t="shared" si="288"/>
        <v>7.6019019598751658</v>
      </c>
      <c r="AN987" s="33" t="s">
        <v>104</v>
      </c>
      <c r="AO987" s="33" t="s">
        <v>104</v>
      </c>
      <c r="AP987" s="33" t="s">
        <v>104</v>
      </c>
      <c r="AQ987" s="43" t="s">
        <v>104</v>
      </c>
      <c r="AR987" s="42" t="s">
        <v>104</v>
      </c>
      <c r="AS987" s="18" t="s">
        <v>104</v>
      </c>
      <c r="AT987">
        <v>0.51</v>
      </c>
      <c r="AU987" s="40">
        <f>1-AT987</f>
        <v>0.49</v>
      </c>
      <c r="AV987" t="s">
        <v>104</v>
      </c>
      <c r="AW987" s="40" t="s">
        <v>104</v>
      </c>
      <c r="AX987">
        <v>0</v>
      </c>
      <c r="AY987" s="18">
        <v>1</v>
      </c>
      <c r="AZ987">
        <v>1</v>
      </c>
      <c r="BA987" s="18">
        <v>0</v>
      </c>
      <c r="BB987" s="18" t="s">
        <v>5</v>
      </c>
      <c r="BC987">
        <v>0</v>
      </c>
      <c r="BD987">
        <v>1</v>
      </c>
      <c r="BE987">
        <v>0</v>
      </c>
      <c r="BF987">
        <v>0</v>
      </c>
      <c r="BG987">
        <v>0</v>
      </c>
      <c r="BH987" s="18">
        <v>0</v>
      </c>
      <c r="BI987">
        <v>0</v>
      </c>
      <c r="BJ987">
        <v>1</v>
      </c>
      <c r="BK987" s="18">
        <v>0</v>
      </c>
      <c r="BL987">
        <v>127.1666666666667</v>
      </c>
      <c r="BM987">
        <v>27</v>
      </c>
      <c r="BN987" s="25">
        <v>31.36</v>
      </c>
      <c r="BO987">
        <v>1</v>
      </c>
      <c r="BP987">
        <v>0</v>
      </c>
      <c r="BQ987">
        <v>0</v>
      </c>
      <c r="BR987">
        <v>0</v>
      </c>
      <c r="BS987">
        <v>0</v>
      </c>
      <c r="BT987">
        <v>0</v>
      </c>
      <c r="BU987">
        <v>0</v>
      </c>
      <c r="BV987" s="18">
        <v>0</v>
      </c>
      <c r="BW987">
        <v>0</v>
      </c>
      <c r="BX987">
        <v>0</v>
      </c>
      <c r="BY987">
        <v>1</v>
      </c>
      <c r="BZ987" s="18">
        <v>0</v>
      </c>
      <c r="CA987">
        <v>0</v>
      </c>
      <c r="CB987">
        <v>0</v>
      </c>
      <c r="CC987">
        <v>0</v>
      </c>
      <c r="CD987">
        <v>0</v>
      </c>
      <c r="CE987">
        <v>0</v>
      </c>
      <c r="CF987" s="18">
        <v>0</v>
      </c>
      <c r="CG987">
        <v>1</v>
      </c>
      <c r="CH987">
        <v>1</v>
      </c>
      <c r="CI987">
        <v>0</v>
      </c>
      <c r="CJ987">
        <v>0</v>
      </c>
      <c r="CK987">
        <v>1</v>
      </c>
      <c r="CL987">
        <v>1</v>
      </c>
      <c r="CM987">
        <v>1</v>
      </c>
      <c r="CN987">
        <v>0</v>
      </c>
      <c r="CO987">
        <v>0</v>
      </c>
      <c r="CP987">
        <v>1</v>
      </c>
      <c r="CQ987" s="18">
        <v>1</v>
      </c>
      <c r="CR987">
        <v>0.14599999999999999</v>
      </c>
      <c r="CS987">
        <v>149</v>
      </c>
      <c r="CT987">
        <v>1</v>
      </c>
      <c r="CU987">
        <v>0</v>
      </c>
      <c r="CV987">
        <v>16</v>
      </c>
      <c r="DB987" s="34"/>
    </row>
    <row r="988" spans="1:106" x14ac:dyDescent="0.25">
      <c r="A988">
        <v>987</v>
      </c>
      <c r="B988">
        <v>68</v>
      </c>
      <c r="C988" s="25" t="s">
        <v>4145</v>
      </c>
      <c r="D988" s="12">
        <v>8</v>
      </c>
      <c r="E988" s="14">
        <v>1</v>
      </c>
      <c r="F988" s="7">
        <f t="shared" si="277"/>
        <v>8</v>
      </c>
      <c r="G988" s="7">
        <f t="shared" si="279"/>
        <v>7</v>
      </c>
      <c r="H988" s="16">
        <f t="shared" si="280"/>
        <v>9</v>
      </c>
      <c r="I988" s="11">
        <f t="shared" si="281"/>
        <v>7.5217741444460154E-2</v>
      </c>
      <c r="J988" s="33">
        <f t="shared" si="282"/>
        <v>9.4022176805575192E-3</v>
      </c>
      <c r="K988" s="33">
        <f t="shared" si="283"/>
        <v>106.35788640246663</v>
      </c>
      <c r="L988" s="33">
        <f t="shared" si="284"/>
        <v>6.5815523763902636E-2</v>
      </c>
      <c r="M988" s="33">
        <f t="shared" si="285"/>
        <v>8.4619959125017671E-2</v>
      </c>
      <c r="N988" s="8">
        <v>0</v>
      </c>
      <c r="O988" s="9">
        <v>1</v>
      </c>
      <c r="P988" s="8">
        <v>0</v>
      </c>
      <c r="Q988" s="9">
        <v>0</v>
      </c>
      <c r="R988" s="9">
        <v>1</v>
      </c>
      <c r="S988" s="9">
        <v>0</v>
      </c>
      <c r="T988" s="9">
        <v>0</v>
      </c>
      <c r="U988" s="8">
        <v>11271</v>
      </c>
      <c r="V988" s="9">
        <v>22</v>
      </c>
      <c r="W988" s="9">
        <f t="shared" si="286"/>
        <v>11248</v>
      </c>
      <c r="X988" s="9">
        <f t="shared" si="287"/>
        <v>20</v>
      </c>
      <c r="Y988" s="7">
        <v>11.09</v>
      </c>
      <c r="Z988" s="7">
        <f t="shared" si="278"/>
        <v>16.139999999999997</v>
      </c>
      <c r="AA988" s="9">
        <v>1</v>
      </c>
      <c r="AB988" s="9">
        <v>0</v>
      </c>
      <c r="AC988" s="9">
        <v>0</v>
      </c>
      <c r="AD988" s="9">
        <v>0</v>
      </c>
      <c r="AE988" s="9">
        <v>0</v>
      </c>
      <c r="AF988" s="9">
        <v>1</v>
      </c>
      <c r="AG988" s="8">
        <v>1</v>
      </c>
      <c r="AH988" s="9">
        <v>0</v>
      </c>
      <c r="AI988" s="30">
        <v>0</v>
      </c>
      <c r="AJ988" s="9">
        <v>0</v>
      </c>
      <c r="AK988" s="30">
        <v>1</v>
      </c>
      <c r="AL988" s="21">
        <v>2002</v>
      </c>
      <c r="AM988" s="23">
        <f t="shared" si="288"/>
        <v>7.6019019598751658</v>
      </c>
      <c r="AN988" s="33" t="s">
        <v>104</v>
      </c>
      <c r="AO988" s="33" t="s">
        <v>104</v>
      </c>
      <c r="AP988" s="33" t="s">
        <v>104</v>
      </c>
      <c r="AQ988" s="43" t="s">
        <v>104</v>
      </c>
      <c r="AR988" s="42" t="s">
        <v>104</v>
      </c>
      <c r="AS988" s="18" t="s">
        <v>104</v>
      </c>
      <c r="AT988">
        <v>0.51</v>
      </c>
      <c r="AU988" s="40">
        <f>1-AT988</f>
        <v>0.49</v>
      </c>
      <c r="AV988" t="s">
        <v>104</v>
      </c>
      <c r="AW988" s="40" t="s">
        <v>104</v>
      </c>
      <c r="AX988">
        <v>0</v>
      </c>
      <c r="AY988" s="18">
        <v>1</v>
      </c>
      <c r="AZ988">
        <v>0</v>
      </c>
      <c r="BA988" s="18">
        <v>1</v>
      </c>
      <c r="BB988" s="18" t="s">
        <v>5</v>
      </c>
      <c r="BC988">
        <v>0</v>
      </c>
      <c r="BD988">
        <v>1</v>
      </c>
      <c r="BE988">
        <v>0</v>
      </c>
      <c r="BF988">
        <v>0</v>
      </c>
      <c r="BG988">
        <v>0</v>
      </c>
      <c r="BH988" s="18">
        <v>0</v>
      </c>
      <c r="BI988">
        <v>0</v>
      </c>
      <c r="BJ988">
        <v>1</v>
      </c>
      <c r="BK988" s="18">
        <v>0</v>
      </c>
      <c r="BL988">
        <v>127.1666666666667</v>
      </c>
      <c r="BM988">
        <v>27</v>
      </c>
      <c r="BN988" s="25">
        <v>33.229999999999997</v>
      </c>
      <c r="BO988">
        <v>0</v>
      </c>
      <c r="BP988">
        <v>0</v>
      </c>
      <c r="BQ988">
        <v>0</v>
      </c>
      <c r="BR988">
        <v>0</v>
      </c>
      <c r="BS988">
        <v>1</v>
      </c>
      <c r="BT988">
        <v>0</v>
      </c>
      <c r="BU988">
        <v>0</v>
      </c>
      <c r="BV988" s="18">
        <v>0</v>
      </c>
      <c r="BW988">
        <v>0</v>
      </c>
      <c r="BX988">
        <v>0</v>
      </c>
      <c r="BY988">
        <v>1</v>
      </c>
      <c r="BZ988" s="18">
        <v>0</v>
      </c>
      <c r="CA988">
        <v>0</v>
      </c>
      <c r="CB988">
        <v>0</v>
      </c>
      <c r="CC988">
        <v>0</v>
      </c>
      <c r="CD988">
        <v>0</v>
      </c>
      <c r="CE988">
        <v>0</v>
      </c>
      <c r="CF988" s="18">
        <v>0</v>
      </c>
      <c r="CG988">
        <v>1</v>
      </c>
      <c r="CH988">
        <v>1</v>
      </c>
      <c r="CI988">
        <v>0</v>
      </c>
      <c r="CJ988">
        <v>0</v>
      </c>
      <c r="CK988">
        <v>1</v>
      </c>
      <c r="CL988">
        <v>1</v>
      </c>
      <c r="CM988">
        <v>1</v>
      </c>
      <c r="CN988">
        <v>0</v>
      </c>
      <c r="CO988">
        <v>0</v>
      </c>
      <c r="CP988">
        <v>1</v>
      </c>
      <c r="CQ988" s="18">
        <v>1</v>
      </c>
      <c r="CR988">
        <v>0.14599999999999999</v>
      </c>
      <c r="CS988">
        <v>149</v>
      </c>
      <c r="CT988">
        <v>1</v>
      </c>
      <c r="CU988">
        <v>0</v>
      </c>
      <c r="CV988">
        <v>16</v>
      </c>
      <c r="DB988" s="34"/>
    </row>
    <row r="989" spans="1:106" x14ac:dyDescent="0.25">
      <c r="A989">
        <v>988</v>
      </c>
      <c r="B989">
        <v>68</v>
      </c>
      <c r="C989" s="25" t="s">
        <v>4145</v>
      </c>
      <c r="D989" s="12">
        <v>9</v>
      </c>
      <c r="E989" s="14">
        <v>1</v>
      </c>
      <c r="F989" s="7">
        <f t="shared" si="277"/>
        <v>9</v>
      </c>
      <c r="G989" s="7">
        <f t="shared" si="279"/>
        <v>8</v>
      </c>
      <c r="H989" s="16">
        <f t="shared" si="280"/>
        <v>10</v>
      </c>
      <c r="I989" s="11">
        <f t="shared" si="281"/>
        <v>8.4556446044914232E-2</v>
      </c>
      <c r="J989" s="33">
        <f t="shared" si="282"/>
        <v>9.3951606716571358E-3</v>
      </c>
      <c r="K989" s="33">
        <f t="shared" si="283"/>
        <v>106.43777524920371</v>
      </c>
      <c r="L989" s="33">
        <f t="shared" si="284"/>
        <v>7.51612853732571E-2</v>
      </c>
      <c r="M989" s="33">
        <f t="shared" si="285"/>
        <v>9.3951606716571365E-2</v>
      </c>
      <c r="N989" s="8">
        <v>0</v>
      </c>
      <c r="O989" s="9">
        <v>1</v>
      </c>
      <c r="P989" s="8">
        <v>0</v>
      </c>
      <c r="Q989" s="9">
        <v>0</v>
      </c>
      <c r="R989" s="9">
        <v>1</v>
      </c>
      <c r="S989" s="9">
        <v>0</v>
      </c>
      <c r="T989" s="9">
        <v>0</v>
      </c>
      <c r="U989" s="8">
        <v>11271</v>
      </c>
      <c r="V989" s="9">
        <v>22</v>
      </c>
      <c r="W989" s="9">
        <f t="shared" si="286"/>
        <v>11248</v>
      </c>
      <c r="X989" s="9">
        <f t="shared" si="287"/>
        <v>20</v>
      </c>
      <c r="Y989" s="7">
        <v>8.73</v>
      </c>
      <c r="Z989" s="7">
        <f t="shared" si="278"/>
        <v>16.72</v>
      </c>
      <c r="AA989" s="9">
        <v>1</v>
      </c>
      <c r="AB989" s="9">
        <v>0</v>
      </c>
      <c r="AC989" s="9">
        <v>0</v>
      </c>
      <c r="AD989" s="9">
        <v>0</v>
      </c>
      <c r="AE989" s="9">
        <v>0</v>
      </c>
      <c r="AF989" s="9">
        <v>1</v>
      </c>
      <c r="AG989" s="8">
        <v>1</v>
      </c>
      <c r="AH989" s="9">
        <v>0</v>
      </c>
      <c r="AI989" s="30">
        <v>0</v>
      </c>
      <c r="AJ989" s="9">
        <v>0</v>
      </c>
      <c r="AK989" s="30">
        <v>1</v>
      </c>
      <c r="AL989" s="21">
        <v>2002</v>
      </c>
      <c r="AM989" s="23">
        <f t="shared" si="288"/>
        <v>7.6019019598751658</v>
      </c>
      <c r="AN989" s="33" t="s">
        <v>104</v>
      </c>
      <c r="AO989" s="33" t="s">
        <v>104</v>
      </c>
      <c r="AP989" s="33" t="s">
        <v>104</v>
      </c>
      <c r="AQ989" s="43" t="s">
        <v>104</v>
      </c>
      <c r="AR989" s="42" t="s">
        <v>104</v>
      </c>
      <c r="AS989" s="18" t="s">
        <v>104</v>
      </c>
      <c r="AT989">
        <v>0.51</v>
      </c>
      <c r="AU989" s="40">
        <f>1-AT989</f>
        <v>0.49</v>
      </c>
      <c r="AV989" t="s">
        <v>104</v>
      </c>
      <c r="AW989" s="40" t="s">
        <v>104</v>
      </c>
      <c r="AX989">
        <v>0</v>
      </c>
      <c r="AY989" s="18">
        <v>1</v>
      </c>
      <c r="AZ989">
        <v>0.75</v>
      </c>
      <c r="BA989" s="18">
        <f>1-AZ989</f>
        <v>0.25</v>
      </c>
      <c r="BB989" s="18" t="s">
        <v>5</v>
      </c>
      <c r="BC989">
        <v>0</v>
      </c>
      <c r="BD989">
        <v>1</v>
      </c>
      <c r="BE989">
        <v>0</v>
      </c>
      <c r="BF989">
        <v>0</v>
      </c>
      <c r="BG989">
        <v>0</v>
      </c>
      <c r="BH989" s="18">
        <v>0</v>
      </c>
      <c r="BI989">
        <v>0</v>
      </c>
      <c r="BJ989">
        <v>1</v>
      </c>
      <c r="BK989" s="18">
        <v>0</v>
      </c>
      <c r="BL989">
        <v>127.1666666666667</v>
      </c>
      <c r="BM989">
        <v>27</v>
      </c>
      <c r="BN989" s="25">
        <v>31.45</v>
      </c>
      <c r="BO989">
        <v>1</v>
      </c>
      <c r="BP989">
        <v>0</v>
      </c>
      <c r="BQ989">
        <v>0</v>
      </c>
      <c r="BR989">
        <v>0</v>
      </c>
      <c r="BS989">
        <v>0</v>
      </c>
      <c r="BT989">
        <v>0</v>
      </c>
      <c r="BU989">
        <v>0</v>
      </c>
      <c r="BV989" s="18">
        <v>0</v>
      </c>
      <c r="BW989">
        <v>0</v>
      </c>
      <c r="BX989">
        <v>0</v>
      </c>
      <c r="BY989">
        <v>1</v>
      </c>
      <c r="BZ989" s="18">
        <v>0</v>
      </c>
      <c r="CA989">
        <v>0</v>
      </c>
      <c r="CB989">
        <v>0</v>
      </c>
      <c r="CC989">
        <v>0</v>
      </c>
      <c r="CD989">
        <v>0</v>
      </c>
      <c r="CE989">
        <v>0</v>
      </c>
      <c r="CF989" s="18">
        <v>0</v>
      </c>
      <c r="CG989">
        <v>1</v>
      </c>
      <c r="CH989">
        <v>1</v>
      </c>
      <c r="CI989">
        <v>0</v>
      </c>
      <c r="CJ989">
        <v>0</v>
      </c>
      <c r="CK989">
        <v>1</v>
      </c>
      <c r="CL989">
        <v>1</v>
      </c>
      <c r="CM989">
        <v>1</v>
      </c>
      <c r="CN989">
        <v>0</v>
      </c>
      <c r="CO989">
        <v>0</v>
      </c>
      <c r="CP989">
        <v>1</v>
      </c>
      <c r="CQ989" s="18">
        <v>1</v>
      </c>
      <c r="CR989">
        <v>0.14599999999999999</v>
      </c>
      <c r="CS989">
        <v>149</v>
      </c>
      <c r="CT989">
        <v>1</v>
      </c>
      <c r="CU989">
        <v>0</v>
      </c>
      <c r="CV989">
        <v>16</v>
      </c>
      <c r="DB989" s="34"/>
    </row>
    <row r="990" spans="1:106" x14ac:dyDescent="0.25">
      <c r="A990">
        <v>989</v>
      </c>
      <c r="B990">
        <v>68</v>
      </c>
      <c r="C990" s="25" t="s">
        <v>4145</v>
      </c>
      <c r="D990" s="12">
        <v>9</v>
      </c>
      <c r="E990" s="14">
        <v>1</v>
      </c>
      <c r="F990" s="7">
        <f t="shared" si="277"/>
        <v>9</v>
      </c>
      <c r="G990" s="7">
        <f t="shared" si="279"/>
        <v>8</v>
      </c>
      <c r="H990" s="16">
        <f t="shared" si="280"/>
        <v>10</v>
      </c>
      <c r="I990" s="11">
        <f t="shared" si="281"/>
        <v>8.4556446044914232E-2</v>
      </c>
      <c r="J990" s="33">
        <f t="shared" si="282"/>
        <v>9.3951606716571358E-3</v>
      </c>
      <c r="K990" s="33">
        <f t="shared" si="283"/>
        <v>106.43777524920371</v>
      </c>
      <c r="L990" s="33">
        <f t="shared" si="284"/>
        <v>7.51612853732571E-2</v>
      </c>
      <c r="M990" s="33">
        <f t="shared" si="285"/>
        <v>9.3951606716571365E-2</v>
      </c>
      <c r="N990" s="8">
        <v>0</v>
      </c>
      <c r="O990" s="9">
        <v>1</v>
      </c>
      <c r="P990" s="8">
        <v>0</v>
      </c>
      <c r="Q990" s="9">
        <v>0</v>
      </c>
      <c r="R990" s="9">
        <v>1</v>
      </c>
      <c r="S990" s="9">
        <v>0</v>
      </c>
      <c r="T990" s="9">
        <v>0</v>
      </c>
      <c r="U990" s="8">
        <v>11271</v>
      </c>
      <c r="V990" s="9">
        <v>22</v>
      </c>
      <c r="W990" s="9">
        <f t="shared" si="286"/>
        <v>11248</v>
      </c>
      <c r="X990" s="9">
        <f t="shared" si="287"/>
        <v>20</v>
      </c>
      <c r="Y990" s="7">
        <v>9.24</v>
      </c>
      <c r="Z990" s="7">
        <f t="shared" si="278"/>
        <v>17.5</v>
      </c>
      <c r="AA990" s="9">
        <v>1</v>
      </c>
      <c r="AB990" s="9">
        <v>0</v>
      </c>
      <c r="AC990" s="9">
        <v>0</v>
      </c>
      <c r="AD990" s="9">
        <v>0</v>
      </c>
      <c r="AE990" s="9">
        <v>0</v>
      </c>
      <c r="AF990" s="9">
        <v>1</v>
      </c>
      <c r="AG990" s="8">
        <v>1</v>
      </c>
      <c r="AH990" s="9">
        <v>0</v>
      </c>
      <c r="AI990" s="30">
        <v>0</v>
      </c>
      <c r="AJ990" s="9">
        <v>0</v>
      </c>
      <c r="AK990" s="30">
        <v>1</v>
      </c>
      <c r="AL990" s="21">
        <v>2002</v>
      </c>
      <c r="AM990" s="23">
        <f t="shared" si="288"/>
        <v>7.6019019598751658</v>
      </c>
      <c r="AN990" s="33" t="s">
        <v>104</v>
      </c>
      <c r="AO990" s="33" t="s">
        <v>104</v>
      </c>
      <c r="AP990" s="33" t="s">
        <v>104</v>
      </c>
      <c r="AQ990" s="43" t="s">
        <v>104</v>
      </c>
      <c r="AR990" s="42" t="s">
        <v>104</v>
      </c>
      <c r="AS990" s="18" t="s">
        <v>104</v>
      </c>
      <c r="AT990">
        <v>0.49</v>
      </c>
      <c r="AU990" s="40">
        <f>1-AT990</f>
        <v>0.51</v>
      </c>
      <c r="AV990" t="s">
        <v>104</v>
      </c>
      <c r="AW990" s="40" t="s">
        <v>104</v>
      </c>
      <c r="AX990">
        <v>0</v>
      </c>
      <c r="AY990" s="18">
        <v>1</v>
      </c>
      <c r="AZ990">
        <v>0.76</v>
      </c>
      <c r="BA990" s="18">
        <f>1-AZ990</f>
        <v>0.24</v>
      </c>
      <c r="BB990" s="18" t="s">
        <v>5</v>
      </c>
      <c r="BC990">
        <v>0</v>
      </c>
      <c r="BD990">
        <v>1</v>
      </c>
      <c r="BE990">
        <v>0</v>
      </c>
      <c r="BF990">
        <v>0</v>
      </c>
      <c r="BG990">
        <v>0</v>
      </c>
      <c r="BH990" s="18">
        <v>0</v>
      </c>
      <c r="BI990">
        <v>0</v>
      </c>
      <c r="BJ990">
        <v>1</v>
      </c>
      <c r="BK990" s="18">
        <v>0</v>
      </c>
      <c r="BL990">
        <v>127.1666666666667</v>
      </c>
      <c r="BM990">
        <v>27</v>
      </c>
      <c r="BN990" s="25">
        <v>32.74</v>
      </c>
      <c r="BO990">
        <v>0</v>
      </c>
      <c r="BP990">
        <v>0</v>
      </c>
      <c r="BQ990">
        <v>0</v>
      </c>
      <c r="BR990">
        <v>0</v>
      </c>
      <c r="BS990">
        <v>1</v>
      </c>
      <c r="BT990">
        <v>0</v>
      </c>
      <c r="BU990">
        <v>0</v>
      </c>
      <c r="BV990" s="18">
        <v>0</v>
      </c>
      <c r="BW990">
        <v>0</v>
      </c>
      <c r="BX990">
        <v>0</v>
      </c>
      <c r="BY990">
        <v>1</v>
      </c>
      <c r="BZ990" s="18">
        <v>0</v>
      </c>
      <c r="CA990">
        <v>0</v>
      </c>
      <c r="CB990">
        <v>0</v>
      </c>
      <c r="CC990">
        <v>0</v>
      </c>
      <c r="CD990">
        <v>0</v>
      </c>
      <c r="CE990">
        <v>0</v>
      </c>
      <c r="CF990" s="18">
        <v>0</v>
      </c>
      <c r="CG990">
        <v>1</v>
      </c>
      <c r="CH990">
        <v>1</v>
      </c>
      <c r="CI990">
        <v>0</v>
      </c>
      <c r="CJ990">
        <v>0</v>
      </c>
      <c r="CK990">
        <v>1</v>
      </c>
      <c r="CL990">
        <v>1</v>
      </c>
      <c r="CM990">
        <v>1</v>
      </c>
      <c r="CN990">
        <v>0</v>
      </c>
      <c r="CO990">
        <v>0</v>
      </c>
      <c r="CP990">
        <v>1</v>
      </c>
      <c r="CQ990" s="18">
        <v>1</v>
      </c>
      <c r="CR990">
        <v>0.14599999999999999</v>
      </c>
      <c r="CS990">
        <v>149</v>
      </c>
      <c r="CT990">
        <v>1</v>
      </c>
      <c r="CU990">
        <v>0</v>
      </c>
      <c r="CV990">
        <v>16</v>
      </c>
      <c r="DB990" s="34"/>
    </row>
    <row r="991" spans="1:106" x14ac:dyDescent="0.25">
      <c r="A991">
        <v>990</v>
      </c>
      <c r="B991">
        <v>68</v>
      </c>
      <c r="C991" s="25" t="s">
        <v>4145</v>
      </c>
      <c r="D991" s="12">
        <v>10</v>
      </c>
      <c r="E991" s="14">
        <v>5</v>
      </c>
      <c r="F991" s="7">
        <f t="shared" si="277"/>
        <v>2</v>
      </c>
      <c r="G991" s="7">
        <f t="shared" si="279"/>
        <v>5</v>
      </c>
      <c r="H991" s="16">
        <f t="shared" si="280"/>
        <v>15</v>
      </c>
      <c r="I991" s="11">
        <f t="shared" si="281"/>
        <v>1.8854504950126014E-2</v>
      </c>
      <c r="J991" s="33">
        <f t="shared" si="282"/>
        <v>9.4272524750630068E-3</v>
      </c>
      <c r="K991" s="33">
        <f t="shared" si="283"/>
        <v>106.07544484940895</v>
      </c>
      <c r="L991" s="33">
        <f t="shared" si="284"/>
        <v>9.4272524750630068E-3</v>
      </c>
      <c r="M991" s="33">
        <f t="shared" si="285"/>
        <v>2.8281757425189021E-2</v>
      </c>
      <c r="N991" s="8">
        <v>0</v>
      </c>
      <c r="O991" s="9">
        <v>1</v>
      </c>
      <c r="P991" s="8">
        <v>0</v>
      </c>
      <c r="Q991" s="9">
        <v>0</v>
      </c>
      <c r="R991" s="9">
        <v>1</v>
      </c>
      <c r="S991" s="9">
        <v>0</v>
      </c>
      <c r="T991" s="9">
        <v>0</v>
      </c>
      <c r="U991" s="8">
        <v>11271</v>
      </c>
      <c r="V991" s="9">
        <v>22</v>
      </c>
      <c r="W991" s="9">
        <f t="shared" si="286"/>
        <v>11248</v>
      </c>
      <c r="X991" s="9">
        <f t="shared" si="287"/>
        <v>20</v>
      </c>
      <c r="Y991" s="7">
        <v>8.4600000000000009</v>
      </c>
      <c r="Z991" s="7">
        <f t="shared" si="278"/>
        <v>17.659999999999997</v>
      </c>
      <c r="AA991" s="9">
        <v>1</v>
      </c>
      <c r="AB991" s="9">
        <v>0</v>
      </c>
      <c r="AC991" s="9">
        <v>0</v>
      </c>
      <c r="AD991" s="9">
        <v>0</v>
      </c>
      <c r="AE991" s="9">
        <v>0</v>
      </c>
      <c r="AF991" s="9">
        <v>1</v>
      </c>
      <c r="AG991" s="8">
        <v>1</v>
      </c>
      <c r="AH991" s="9">
        <v>0</v>
      </c>
      <c r="AI991" s="30">
        <v>0</v>
      </c>
      <c r="AJ991" s="9">
        <v>0</v>
      </c>
      <c r="AK991" s="30">
        <v>1</v>
      </c>
      <c r="AL991" s="21">
        <v>2002</v>
      </c>
      <c r="AM991" s="23">
        <f t="shared" si="288"/>
        <v>7.6019019598751658</v>
      </c>
      <c r="AN991" s="33" t="s">
        <v>104</v>
      </c>
      <c r="AO991" s="33" t="s">
        <v>104</v>
      </c>
      <c r="AP991" s="33" t="s">
        <v>104</v>
      </c>
      <c r="AQ991" s="43" t="s">
        <v>104</v>
      </c>
      <c r="AR991" s="42" t="s">
        <v>104</v>
      </c>
      <c r="AS991" s="18" t="s">
        <v>104</v>
      </c>
      <c r="AT991">
        <v>0</v>
      </c>
      <c r="AU991" s="40">
        <v>1</v>
      </c>
      <c r="AV991" t="s">
        <v>104</v>
      </c>
      <c r="AW991" s="40" t="s">
        <v>104</v>
      </c>
      <c r="AX991">
        <v>0</v>
      </c>
      <c r="AY991" s="18">
        <v>1</v>
      </c>
      <c r="AZ991">
        <v>0.75</v>
      </c>
      <c r="BA991" s="18">
        <f>1-AZ991</f>
        <v>0.25</v>
      </c>
      <c r="BB991" s="18" t="s">
        <v>5</v>
      </c>
      <c r="BC991">
        <v>0</v>
      </c>
      <c r="BD991">
        <v>1</v>
      </c>
      <c r="BE991">
        <v>0</v>
      </c>
      <c r="BF991">
        <v>0</v>
      </c>
      <c r="BG991">
        <v>0</v>
      </c>
      <c r="BH991" s="18">
        <v>0</v>
      </c>
      <c r="BI991">
        <v>0</v>
      </c>
      <c r="BJ991">
        <v>1</v>
      </c>
      <c r="BK991" s="18">
        <v>0</v>
      </c>
      <c r="BL991">
        <v>127.1666666666667</v>
      </c>
      <c r="BM991">
        <v>27</v>
      </c>
      <c r="BN991" s="25">
        <v>32.119999999999997</v>
      </c>
      <c r="BO991">
        <v>1</v>
      </c>
      <c r="BP991">
        <v>0</v>
      </c>
      <c r="BQ991">
        <v>0</v>
      </c>
      <c r="BR991">
        <v>0</v>
      </c>
      <c r="BS991">
        <v>0</v>
      </c>
      <c r="BT991">
        <v>0</v>
      </c>
      <c r="BU991">
        <v>0</v>
      </c>
      <c r="BV991" s="18">
        <v>0</v>
      </c>
      <c r="BW991">
        <v>0</v>
      </c>
      <c r="BX991">
        <v>0</v>
      </c>
      <c r="BY991">
        <v>1</v>
      </c>
      <c r="BZ991" s="18">
        <v>0</v>
      </c>
      <c r="CA991">
        <v>0</v>
      </c>
      <c r="CB991">
        <v>0</v>
      </c>
      <c r="CC991">
        <v>0</v>
      </c>
      <c r="CD991">
        <v>0</v>
      </c>
      <c r="CE991">
        <v>0</v>
      </c>
      <c r="CF991" s="18">
        <v>0</v>
      </c>
      <c r="CG991">
        <v>1</v>
      </c>
      <c r="CH991">
        <v>1</v>
      </c>
      <c r="CI991">
        <v>0</v>
      </c>
      <c r="CJ991">
        <v>0</v>
      </c>
      <c r="CK991">
        <v>1</v>
      </c>
      <c r="CL991">
        <v>1</v>
      </c>
      <c r="CM991">
        <v>1</v>
      </c>
      <c r="CN991">
        <v>0</v>
      </c>
      <c r="CO991">
        <v>0</v>
      </c>
      <c r="CP991">
        <v>1</v>
      </c>
      <c r="CQ991" s="18">
        <v>1</v>
      </c>
      <c r="CR991">
        <v>0.14599999999999999</v>
      </c>
      <c r="CS991">
        <v>149</v>
      </c>
      <c r="CT991">
        <v>1</v>
      </c>
      <c r="CU991">
        <v>0</v>
      </c>
      <c r="CV991">
        <v>16</v>
      </c>
      <c r="DB991" s="34"/>
    </row>
    <row r="992" spans="1:106" x14ac:dyDescent="0.25">
      <c r="A992">
        <v>991</v>
      </c>
      <c r="B992">
        <v>68</v>
      </c>
      <c r="C992" s="25" t="s">
        <v>4145</v>
      </c>
      <c r="D992" s="12">
        <v>51</v>
      </c>
      <c r="E992" s="14">
        <v>23</v>
      </c>
      <c r="F992" s="7">
        <f t="shared" si="277"/>
        <v>2.2173913043478262</v>
      </c>
      <c r="G992" s="7">
        <f t="shared" si="279"/>
        <v>28</v>
      </c>
      <c r="H992" s="16">
        <f t="shared" si="280"/>
        <v>74</v>
      </c>
      <c r="I992" s="11">
        <f t="shared" si="281"/>
        <v>2.090305607850099E-2</v>
      </c>
      <c r="J992" s="33">
        <f t="shared" si="282"/>
        <v>9.4268684275592707E-3</v>
      </c>
      <c r="K992" s="33">
        <f t="shared" si="283"/>
        <v>106.07976632796942</v>
      </c>
      <c r="L992" s="33">
        <f t="shared" si="284"/>
        <v>1.1476187650941719E-2</v>
      </c>
      <c r="M992" s="33">
        <f t="shared" si="285"/>
        <v>3.0329924506060261E-2</v>
      </c>
      <c r="N992" s="8">
        <v>0</v>
      </c>
      <c r="O992" s="9">
        <v>1</v>
      </c>
      <c r="P992" s="8">
        <v>0</v>
      </c>
      <c r="Q992" s="9">
        <v>0</v>
      </c>
      <c r="R992" s="9">
        <v>1</v>
      </c>
      <c r="S992" s="9">
        <v>0</v>
      </c>
      <c r="T992" s="9">
        <v>0</v>
      </c>
      <c r="U992" s="8">
        <v>11271</v>
      </c>
      <c r="V992" s="9">
        <v>22</v>
      </c>
      <c r="W992" s="9">
        <f t="shared" si="286"/>
        <v>11248</v>
      </c>
      <c r="X992" s="9">
        <f t="shared" si="287"/>
        <v>20</v>
      </c>
      <c r="Y992" s="7">
        <v>9.2899999999999991</v>
      </c>
      <c r="Z992" s="7">
        <f t="shared" si="278"/>
        <v>16.25</v>
      </c>
      <c r="AA992" s="9">
        <v>1</v>
      </c>
      <c r="AB992" s="9">
        <v>0</v>
      </c>
      <c r="AC992" s="9">
        <v>0</v>
      </c>
      <c r="AD992" s="9">
        <v>0</v>
      </c>
      <c r="AE992" s="9">
        <v>0</v>
      </c>
      <c r="AF992" s="9">
        <v>1</v>
      </c>
      <c r="AG992" s="8">
        <v>1</v>
      </c>
      <c r="AH992" s="9">
        <v>0</v>
      </c>
      <c r="AI992" s="30">
        <v>0</v>
      </c>
      <c r="AJ992" s="9">
        <v>0</v>
      </c>
      <c r="AK992" s="30">
        <v>1</v>
      </c>
      <c r="AL992" s="21">
        <v>2002</v>
      </c>
      <c r="AM992" s="23">
        <f t="shared" si="288"/>
        <v>7.6019019598751658</v>
      </c>
      <c r="AN992" s="33" t="s">
        <v>104</v>
      </c>
      <c r="AO992" s="33" t="s">
        <v>104</v>
      </c>
      <c r="AP992" s="33" t="s">
        <v>104</v>
      </c>
      <c r="AQ992" s="43" t="s">
        <v>104</v>
      </c>
      <c r="AR992" s="42" t="s">
        <v>104</v>
      </c>
      <c r="AS992" s="18" t="s">
        <v>104</v>
      </c>
      <c r="AT992">
        <v>1</v>
      </c>
      <c r="AU992" s="40">
        <v>0</v>
      </c>
      <c r="AV992" t="s">
        <v>104</v>
      </c>
      <c r="AW992" s="40" t="s">
        <v>104</v>
      </c>
      <c r="AX992">
        <v>0</v>
      </c>
      <c r="AY992" s="18">
        <v>1</v>
      </c>
      <c r="AZ992">
        <v>0.75</v>
      </c>
      <c r="BA992" s="18">
        <f>1-AZ992</f>
        <v>0.25</v>
      </c>
      <c r="BB992" s="18" t="s">
        <v>5</v>
      </c>
      <c r="BC992">
        <v>0</v>
      </c>
      <c r="BD992">
        <v>1</v>
      </c>
      <c r="BE992">
        <v>0</v>
      </c>
      <c r="BF992">
        <v>0</v>
      </c>
      <c r="BG992">
        <v>0</v>
      </c>
      <c r="BH992" s="18">
        <v>0</v>
      </c>
      <c r="BI992">
        <v>0</v>
      </c>
      <c r="BJ992">
        <v>1</v>
      </c>
      <c r="BK992" s="18">
        <v>0</v>
      </c>
      <c r="BL992">
        <v>127.1666666666667</v>
      </c>
      <c r="BM992">
        <v>27</v>
      </c>
      <c r="BN992" s="25">
        <v>31.54</v>
      </c>
      <c r="BO992">
        <v>0</v>
      </c>
      <c r="BP992">
        <v>0</v>
      </c>
      <c r="BQ992">
        <v>0</v>
      </c>
      <c r="BR992">
        <v>0</v>
      </c>
      <c r="BS992">
        <v>1</v>
      </c>
      <c r="BT992">
        <v>0</v>
      </c>
      <c r="BU992">
        <v>0</v>
      </c>
      <c r="BV992" s="18">
        <v>0</v>
      </c>
      <c r="BW992">
        <v>0</v>
      </c>
      <c r="BX992">
        <v>0</v>
      </c>
      <c r="BY992">
        <v>1</v>
      </c>
      <c r="BZ992" s="18">
        <v>0</v>
      </c>
      <c r="CA992">
        <v>0</v>
      </c>
      <c r="CB992">
        <v>0</v>
      </c>
      <c r="CC992">
        <v>0</v>
      </c>
      <c r="CD992">
        <v>0</v>
      </c>
      <c r="CE992">
        <v>0</v>
      </c>
      <c r="CF992" s="18">
        <v>0</v>
      </c>
      <c r="CG992">
        <v>1</v>
      </c>
      <c r="CH992">
        <v>1</v>
      </c>
      <c r="CI992">
        <v>0</v>
      </c>
      <c r="CJ992">
        <v>0</v>
      </c>
      <c r="CK992">
        <v>1</v>
      </c>
      <c r="CL992">
        <v>1</v>
      </c>
      <c r="CM992">
        <v>1</v>
      </c>
      <c r="CN992">
        <v>0</v>
      </c>
      <c r="CO992">
        <v>0</v>
      </c>
      <c r="CP992">
        <v>1</v>
      </c>
      <c r="CQ992" s="18">
        <v>1</v>
      </c>
      <c r="CR992">
        <v>0.14599999999999999</v>
      </c>
      <c r="CS992">
        <v>149</v>
      </c>
      <c r="CT992">
        <v>1</v>
      </c>
      <c r="CU992">
        <v>0</v>
      </c>
      <c r="CV992">
        <v>16</v>
      </c>
      <c r="DB992" s="34"/>
    </row>
    <row r="993" spans="1:106" x14ac:dyDescent="0.25">
      <c r="A993">
        <v>992</v>
      </c>
      <c r="B993">
        <v>68</v>
      </c>
      <c r="C993" s="25" t="s">
        <v>4145</v>
      </c>
      <c r="D993" s="12">
        <v>18</v>
      </c>
      <c r="E993" s="14">
        <v>7</v>
      </c>
      <c r="F993" s="7">
        <f t="shared" si="277"/>
        <v>2.5714285714285716</v>
      </c>
      <c r="G993" s="7">
        <f t="shared" si="279"/>
        <v>11</v>
      </c>
      <c r="H993" s="16">
        <f t="shared" si="280"/>
        <v>25</v>
      </c>
      <c r="I993" s="11">
        <f t="shared" si="281"/>
        <v>2.4238692921174167E-2</v>
      </c>
      <c r="J993" s="33">
        <f t="shared" si="282"/>
        <v>9.4261583582343975E-3</v>
      </c>
      <c r="K993" s="33">
        <f t="shared" si="283"/>
        <v>106.08775728093208</v>
      </c>
      <c r="L993" s="33">
        <f t="shared" si="284"/>
        <v>1.481253456293977E-2</v>
      </c>
      <c r="M993" s="33">
        <f t="shared" si="285"/>
        <v>3.3664851279408561E-2</v>
      </c>
      <c r="N993" s="8">
        <v>0</v>
      </c>
      <c r="O993" s="9">
        <v>1</v>
      </c>
      <c r="P993" s="8">
        <v>0</v>
      </c>
      <c r="Q993" s="9">
        <v>0</v>
      </c>
      <c r="R993" s="9">
        <v>1</v>
      </c>
      <c r="S993" s="9">
        <v>0</v>
      </c>
      <c r="T993" s="9">
        <v>0</v>
      </c>
      <c r="U993" s="8">
        <v>11271</v>
      </c>
      <c r="V993" s="9">
        <v>22</v>
      </c>
      <c r="W993" s="9">
        <f t="shared" si="286"/>
        <v>11248</v>
      </c>
      <c r="X993" s="9">
        <f t="shared" si="287"/>
        <v>20</v>
      </c>
      <c r="Y993" s="7">
        <v>8.14</v>
      </c>
      <c r="Z993" s="7">
        <f t="shared" si="278"/>
        <v>17.22</v>
      </c>
      <c r="AA993" s="9">
        <v>1</v>
      </c>
      <c r="AB993" s="9">
        <v>0</v>
      </c>
      <c r="AC993" s="9">
        <v>0</v>
      </c>
      <c r="AD993" s="9">
        <v>0</v>
      </c>
      <c r="AE993" s="9">
        <v>0</v>
      </c>
      <c r="AF993" s="9">
        <v>1</v>
      </c>
      <c r="AG993" s="8">
        <v>1</v>
      </c>
      <c r="AH993" s="9">
        <v>0</v>
      </c>
      <c r="AI993" s="30">
        <v>0</v>
      </c>
      <c r="AJ993" s="9">
        <v>0</v>
      </c>
      <c r="AK993" s="30">
        <v>1</v>
      </c>
      <c r="AL993" s="21">
        <v>2002</v>
      </c>
      <c r="AM993" s="23">
        <f t="shared" si="288"/>
        <v>7.6019019598751658</v>
      </c>
      <c r="AN993" s="33" t="s">
        <v>104</v>
      </c>
      <c r="AO993" s="33" t="s">
        <v>104</v>
      </c>
      <c r="AP993" s="33" t="s">
        <v>104</v>
      </c>
      <c r="AQ993" s="43" t="s">
        <v>104</v>
      </c>
      <c r="AR993" s="42" t="s">
        <v>104</v>
      </c>
      <c r="AS993" s="18" t="s">
        <v>104</v>
      </c>
      <c r="AT993">
        <v>0.51</v>
      </c>
      <c r="AU993" s="40">
        <f t="shared" ref="AU993:AU1023" si="293">1-AT993</f>
        <v>0.49</v>
      </c>
      <c r="AV993" t="s">
        <v>104</v>
      </c>
      <c r="AW993" s="40" t="s">
        <v>104</v>
      </c>
      <c r="AX993">
        <v>0</v>
      </c>
      <c r="AY993" s="18">
        <v>1</v>
      </c>
      <c r="AZ993">
        <v>1</v>
      </c>
      <c r="BA993" s="18">
        <v>0</v>
      </c>
      <c r="BB993" s="18" t="s">
        <v>5</v>
      </c>
      <c r="BC993">
        <v>0</v>
      </c>
      <c r="BD993">
        <v>1</v>
      </c>
      <c r="BE993">
        <v>0</v>
      </c>
      <c r="BF993">
        <v>0</v>
      </c>
      <c r="BG993">
        <v>0</v>
      </c>
      <c r="BH993" s="18">
        <v>0</v>
      </c>
      <c r="BI993">
        <v>0</v>
      </c>
      <c r="BJ993">
        <v>1</v>
      </c>
      <c r="BK993" s="18">
        <v>0</v>
      </c>
      <c r="BL993">
        <v>127.1666666666667</v>
      </c>
      <c r="BM993">
        <v>27</v>
      </c>
      <c r="BN993" s="25">
        <v>31.36</v>
      </c>
      <c r="BO993">
        <v>1</v>
      </c>
      <c r="BP993">
        <v>0</v>
      </c>
      <c r="BQ993">
        <v>0</v>
      </c>
      <c r="BR993">
        <v>0</v>
      </c>
      <c r="BS993">
        <v>0</v>
      </c>
      <c r="BT993">
        <v>0</v>
      </c>
      <c r="BU993">
        <v>0</v>
      </c>
      <c r="BV993" s="18">
        <v>0</v>
      </c>
      <c r="BW993">
        <v>0</v>
      </c>
      <c r="BX993">
        <v>0</v>
      </c>
      <c r="BY993">
        <v>1</v>
      </c>
      <c r="BZ993" s="18">
        <v>0</v>
      </c>
      <c r="CA993">
        <v>0</v>
      </c>
      <c r="CB993">
        <v>0</v>
      </c>
      <c r="CC993">
        <v>0</v>
      </c>
      <c r="CD993">
        <v>0</v>
      </c>
      <c r="CE993">
        <v>0</v>
      </c>
      <c r="CF993" s="18">
        <v>0</v>
      </c>
      <c r="CG993">
        <v>1</v>
      </c>
      <c r="CH993">
        <v>1</v>
      </c>
      <c r="CI993">
        <v>0</v>
      </c>
      <c r="CJ993">
        <v>0</v>
      </c>
      <c r="CK993">
        <v>1</v>
      </c>
      <c r="CL993">
        <v>1</v>
      </c>
      <c r="CM993">
        <v>1</v>
      </c>
      <c r="CN993">
        <v>0</v>
      </c>
      <c r="CO993">
        <v>0</v>
      </c>
      <c r="CP993">
        <v>1</v>
      </c>
      <c r="CQ993" s="18">
        <v>1</v>
      </c>
      <c r="CR993">
        <v>0.14599999999999999</v>
      </c>
      <c r="CS993">
        <v>149</v>
      </c>
      <c r="CT993">
        <v>1</v>
      </c>
      <c r="CU993">
        <v>0</v>
      </c>
      <c r="CV993">
        <v>16</v>
      </c>
      <c r="DB993" s="34"/>
    </row>
    <row r="994" spans="1:106" x14ac:dyDescent="0.25">
      <c r="A994">
        <v>993</v>
      </c>
      <c r="B994">
        <v>68</v>
      </c>
      <c r="C994" s="25" t="s">
        <v>4145</v>
      </c>
      <c r="D994" s="12">
        <v>14</v>
      </c>
      <c r="E994" s="14">
        <v>9</v>
      </c>
      <c r="F994" s="7">
        <f t="shared" si="277"/>
        <v>1.5555555555555556</v>
      </c>
      <c r="G994" s="7">
        <f t="shared" si="279"/>
        <v>5</v>
      </c>
      <c r="H994" s="16">
        <f t="shared" si="280"/>
        <v>23</v>
      </c>
      <c r="I994" s="11">
        <f t="shared" si="281"/>
        <v>1.4665644829398285E-2</v>
      </c>
      <c r="J994" s="33">
        <f t="shared" si="282"/>
        <v>9.4279145331846101E-3</v>
      </c>
      <c r="K994" s="33">
        <f t="shared" si="283"/>
        <v>106.06799589455069</v>
      </c>
      <c r="L994" s="33">
        <f t="shared" si="284"/>
        <v>5.2377302962136746E-3</v>
      </c>
      <c r="M994" s="33">
        <f t="shared" si="285"/>
        <v>2.4093559362582895E-2</v>
      </c>
      <c r="N994" s="8">
        <v>0</v>
      </c>
      <c r="O994" s="9">
        <v>1</v>
      </c>
      <c r="P994" s="8">
        <v>0</v>
      </c>
      <c r="Q994" s="9">
        <v>0</v>
      </c>
      <c r="R994" s="9">
        <v>1</v>
      </c>
      <c r="S994" s="9">
        <v>0</v>
      </c>
      <c r="T994" s="9">
        <v>0</v>
      </c>
      <c r="U994" s="8">
        <v>11271</v>
      </c>
      <c r="V994" s="9">
        <v>22</v>
      </c>
      <c r="W994" s="9">
        <f t="shared" si="286"/>
        <v>11248</v>
      </c>
      <c r="X994" s="9">
        <f t="shared" si="287"/>
        <v>20</v>
      </c>
      <c r="Y994" s="7">
        <v>11.09</v>
      </c>
      <c r="Z994" s="7">
        <f t="shared" si="278"/>
        <v>16.139999999999997</v>
      </c>
      <c r="AA994" s="9">
        <v>1</v>
      </c>
      <c r="AB994" s="9">
        <v>0</v>
      </c>
      <c r="AC994" s="9">
        <v>0</v>
      </c>
      <c r="AD994" s="9">
        <v>0</v>
      </c>
      <c r="AE994" s="9">
        <v>0</v>
      </c>
      <c r="AF994" s="9">
        <v>1</v>
      </c>
      <c r="AG994" s="8">
        <v>1</v>
      </c>
      <c r="AH994" s="9">
        <v>0</v>
      </c>
      <c r="AI994" s="30">
        <v>0</v>
      </c>
      <c r="AJ994" s="9">
        <v>0</v>
      </c>
      <c r="AK994" s="30">
        <v>1</v>
      </c>
      <c r="AL994" s="21">
        <v>2002</v>
      </c>
      <c r="AM994" s="23">
        <f t="shared" si="288"/>
        <v>7.6019019598751658</v>
      </c>
      <c r="AN994" s="33" t="s">
        <v>104</v>
      </c>
      <c r="AO994" s="33" t="s">
        <v>104</v>
      </c>
      <c r="AP994" s="33" t="s">
        <v>104</v>
      </c>
      <c r="AQ994" s="43" t="s">
        <v>104</v>
      </c>
      <c r="AR994" s="42" t="s">
        <v>104</v>
      </c>
      <c r="AS994" s="18" t="s">
        <v>104</v>
      </c>
      <c r="AT994">
        <v>0.51</v>
      </c>
      <c r="AU994" s="40">
        <f t="shared" si="293"/>
        <v>0.49</v>
      </c>
      <c r="AV994" t="s">
        <v>104</v>
      </c>
      <c r="AW994" s="40" t="s">
        <v>104</v>
      </c>
      <c r="AX994">
        <v>0</v>
      </c>
      <c r="AY994" s="18">
        <v>1</v>
      </c>
      <c r="AZ994">
        <v>0</v>
      </c>
      <c r="BA994" s="18">
        <v>1</v>
      </c>
      <c r="BB994" s="18" t="s">
        <v>5</v>
      </c>
      <c r="BC994">
        <v>0</v>
      </c>
      <c r="BD994">
        <v>1</v>
      </c>
      <c r="BE994">
        <v>0</v>
      </c>
      <c r="BF994">
        <v>0</v>
      </c>
      <c r="BG994">
        <v>0</v>
      </c>
      <c r="BH994" s="18">
        <v>0</v>
      </c>
      <c r="BI994">
        <v>0</v>
      </c>
      <c r="BJ994">
        <v>1</v>
      </c>
      <c r="BK994" s="18">
        <v>0</v>
      </c>
      <c r="BL994">
        <v>127.1666666666667</v>
      </c>
      <c r="BM994">
        <v>27</v>
      </c>
      <c r="BN994" s="25">
        <v>33.229999999999997</v>
      </c>
      <c r="BO994">
        <v>0</v>
      </c>
      <c r="BP994">
        <v>0</v>
      </c>
      <c r="BQ994">
        <v>0</v>
      </c>
      <c r="BR994">
        <v>0</v>
      </c>
      <c r="BS994">
        <v>1</v>
      </c>
      <c r="BT994">
        <v>0</v>
      </c>
      <c r="BU994">
        <v>0</v>
      </c>
      <c r="BV994" s="18">
        <v>0</v>
      </c>
      <c r="BW994">
        <v>0</v>
      </c>
      <c r="BX994">
        <v>0</v>
      </c>
      <c r="BY994">
        <v>1</v>
      </c>
      <c r="BZ994" s="18">
        <v>0</v>
      </c>
      <c r="CA994">
        <v>0</v>
      </c>
      <c r="CB994">
        <v>0</v>
      </c>
      <c r="CC994">
        <v>0</v>
      </c>
      <c r="CD994">
        <v>0</v>
      </c>
      <c r="CE994">
        <v>0</v>
      </c>
      <c r="CF994" s="18">
        <v>0</v>
      </c>
      <c r="CG994">
        <v>1</v>
      </c>
      <c r="CH994">
        <v>1</v>
      </c>
      <c r="CI994">
        <v>0</v>
      </c>
      <c r="CJ994">
        <v>0</v>
      </c>
      <c r="CK994">
        <v>1</v>
      </c>
      <c r="CL994">
        <v>1</v>
      </c>
      <c r="CM994">
        <v>1</v>
      </c>
      <c r="CN994">
        <v>0</v>
      </c>
      <c r="CO994">
        <v>0</v>
      </c>
      <c r="CP994">
        <v>1</v>
      </c>
      <c r="CQ994" s="18">
        <v>1</v>
      </c>
      <c r="CR994">
        <v>0.14599999999999999</v>
      </c>
      <c r="CS994">
        <v>149</v>
      </c>
      <c r="CT994">
        <v>1</v>
      </c>
      <c r="CU994">
        <v>0</v>
      </c>
      <c r="CV994">
        <v>16</v>
      </c>
      <c r="DB994" s="34"/>
    </row>
    <row r="995" spans="1:106" x14ac:dyDescent="0.25">
      <c r="A995">
        <v>994</v>
      </c>
      <c r="B995">
        <v>68</v>
      </c>
      <c r="C995" s="25" t="s">
        <v>4145</v>
      </c>
      <c r="D995" s="12">
        <v>12</v>
      </c>
      <c r="E995" s="14">
        <v>8</v>
      </c>
      <c r="F995" s="7">
        <f t="shared" si="277"/>
        <v>1.5</v>
      </c>
      <c r="G995" s="7">
        <f t="shared" si="279"/>
        <v>4</v>
      </c>
      <c r="H995" s="16">
        <f t="shared" si="280"/>
        <v>20</v>
      </c>
      <c r="I995" s="11">
        <f t="shared" si="281"/>
        <v>1.4141978491509553E-2</v>
      </c>
      <c r="J995" s="33">
        <f t="shared" si="282"/>
        <v>9.4279856610063675E-3</v>
      </c>
      <c r="K995" s="33">
        <f t="shared" si="283"/>
        <v>106.06719568273691</v>
      </c>
      <c r="L995" s="33">
        <f t="shared" si="284"/>
        <v>4.7139928305031855E-3</v>
      </c>
      <c r="M995" s="33">
        <f t="shared" si="285"/>
        <v>2.3569964152515922E-2</v>
      </c>
      <c r="N995" s="8">
        <v>0</v>
      </c>
      <c r="O995" s="9">
        <v>1</v>
      </c>
      <c r="P995" s="8">
        <v>0</v>
      </c>
      <c r="Q995" s="9">
        <v>0</v>
      </c>
      <c r="R995" s="9">
        <v>1</v>
      </c>
      <c r="S995" s="9">
        <v>0</v>
      </c>
      <c r="T995" s="9">
        <v>0</v>
      </c>
      <c r="U995" s="8">
        <v>11271</v>
      </c>
      <c r="V995" s="9">
        <v>22</v>
      </c>
      <c r="W995" s="9">
        <f t="shared" si="286"/>
        <v>11248</v>
      </c>
      <c r="X995" s="9">
        <f t="shared" si="287"/>
        <v>20</v>
      </c>
      <c r="Y995" s="7">
        <v>8.73</v>
      </c>
      <c r="Z995" s="7">
        <f t="shared" si="278"/>
        <v>16.72</v>
      </c>
      <c r="AA995" s="9">
        <v>1</v>
      </c>
      <c r="AB995" s="9">
        <v>0</v>
      </c>
      <c r="AC995" s="9">
        <v>0</v>
      </c>
      <c r="AD995" s="9">
        <v>0</v>
      </c>
      <c r="AE995" s="9">
        <v>0</v>
      </c>
      <c r="AF995" s="9">
        <v>1</v>
      </c>
      <c r="AG995" s="8">
        <v>1</v>
      </c>
      <c r="AH995" s="9">
        <v>0</v>
      </c>
      <c r="AI995" s="30">
        <v>0</v>
      </c>
      <c r="AJ995" s="9">
        <v>0</v>
      </c>
      <c r="AK995" s="30">
        <v>1</v>
      </c>
      <c r="AL995" s="21">
        <v>2002</v>
      </c>
      <c r="AM995" s="23">
        <f t="shared" si="288"/>
        <v>7.6019019598751658</v>
      </c>
      <c r="AN995" s="33" t="s">
        <v>104</v>
      </c>
      <c r="AO995" s="33" t="s">
        <v>104</v>
      </c>
      <c r="AP995" s="33" t="s">
        <v>104</v>
      </c>
      <c r="AQ995" s="43" t="s">
        <v>104</v>
      </c>
      <c r="AR995" s="42" t="s">
        <v>104</v>
      </c>
      <c r="AS995" s="18" t="s">
        <v>104</v>
      </c>
      <c r="AT995">
        <v>0.51</v>
      </c>
      <c r="AU995" s="40">
        <f t="shared" si="293"/>
        <v>0.49</v>
      </c>
      <c r="AV995" t="s">
        <v>104</v>
      </c>
      <c r="AW995" s="40" t="s">
        <v>104</v>
      </c>
      <c r="AX995">
        <v>0</v>
      </c>
      <c r="AY995" s="18">
        <v>1</v>
      </c>
      <c r="AZ995">
        <v>0.75</v>
      </c>
      <c r="BA995" s="18">
        <f>1-AZ995</f>
        <v>0.25</v>
      </c>
      <c r="BB995" s="18" t="s">
        <v>5</v>
      </c>
      <c r="BC995">
        <v>0</v>
      </c>
      <c r="BD995">
        <v>1</v>
      </c>
      <c r="BE995">
        <v>0</v>
      </c>
      <c r="BF995">
        <v>0</v>
      </c>
      <c r="BG995">
        <v>0</v>
      </c>
      <c r="BH995" s="18">
        <v>0</v>
      </c>
      <c r="BI995">
        <v>0</v>
      </c>
      <c r="BJ995">
        <v>1</v>
      </c>
      <c r="BK995" s="18">
        <v>0</v>
      </c>
      <c r="BL995">
        <v>127.1666666666667</v>
      </c>
      <c r="BM995">
        <v>27</v>
      </c>
      <c r="BN995" s="25">
        <v>31.45</v>
      </c>
      <c r="BO995">
        <v>1</v>
      </c>
      <c r="BP995">
        <v>0</v>
      </c>
      <c r="BQ995">
        <v>0</v>
      </c>
      <c r="BR995">
        <v>0</v>
      </c>
      <c r="BS995">
        <v>0</v>
      </c>
      <c r="BT995">
        <v>0</v>
      </c>
      <c r="BU995">
        <v>0</v>
      </c>
      <c r="BV995" s="18">
        <v>0</v>
      </c>
      <c r="BW995">
        <v>0</v>
      </c>
      <c r="BX995">
        <v>0</v>
      </c>
      <c r="BY995">
        <v>1</v>
      </c>
      <c r="BZ995" s="18">
        <v>0</v>
      </c>
      <c r="CA995">
        <v>0</v>
      </c>
      <c r="CB995">
        <v>0</v>
      </c>
      <c r="CC995">
        <v>0</v>
      </c>
      <c r="CD995">
        <v>0</v>
      </c>
      <c r="CE995">
        <v>0</v>
      </c>
      <c r="CF995" s="18">
        <v>0</v>
      </c>
      <c r="CG995">
        <v>1</v>
      </c>
      <c r="CH995">
        <v>1</v>
      </c>
      <c r="CI995">
        <v>0</v>
      </c>
      <c r="CJ995">
        <v>0</v>
      </c>
      <c r="CK995">
        <v>1</v>
      </c>
      <c r="CL995">
        <v>1</v>
      </c>
      <c r="CM995">
        <v>1</v>
      </c>
      <c r="CN995">
        <v>0</v>
      </c>
      <c r="CO995">
        <v>0</v>
      </c>
      <c r="CP995">
        <v>1</v>
      </c>
      <c r="CQ995" s="18">
        <v>1</v>
      </c>
      <c r="CR995">
        <v>0.14599999999999999</v>
      </c>
      <c r="CS995">
        <v>149</v>
      </c>
      <c r="CT995">
        <v>1</v>
      </c>
      <c r="CU995">
        <v>0</v>
      </c>
      <c r="CV995">
        <v>16</v>
      </c>
      <c r="DB995" s="34"/>
    </row>
    <row r="996" spans="1:106" x14ac:dyDescent="0.25">
      <c r="A996">
        <v>995</v>
      </c>
      <c r="B996">
        <v>68</v>
      </c>
      <c r="C996" s="25" t="s">
        <v>4145</v>
      </c>
      <c r="D996" s="12">
        <v>37</v>
      </c>
      <c r="E996" s="14">
        <v>12</v>
      </c>
      <c r="F996" s="7">
        <f t="shared" si="277"/>
        <v>3.0833333333333335</v>
      </c>
      <c r="G996" s="7">
        <f t="shared" si="279"/>
        <v>25</v>
      </c>
      <c r="H996" s="16">
        <f t="shared" si="280"/>
        <v>49</v>
      </c>
      <c r="I996" s="11">
        <f t="shared" si="281"/>
        <v>2.906025134602834E-2</v>
      </c>
      <c r="J996" s="33">
        <f t="shared" si="282"/>
        <v>9.4249463824956775E-3</v>
      </c>
      <c r="K996" s="33">
        <f t="shared" si="283"/>
        <v>106.10139935196163</v>
      </c>
      <c r="L996" s="33">
        <f t="shared" si="284"/>
        <v>1.9635304963532663E-2</v>
      </c>
      <c r="M996" s="33">
        <f t="shared" si="285"/>
        <v>3.8485197728524018E-2</v>
      </c>
      <c r="N996" s="8">
        <v>0</v>
      </c>
      <c r="O996" s="9">
        <v>1</v>
      </c>
      <c r="P996" s="8">
        <v>0</v>
      </c>
      <c r="Q996" s="9">
        <v>0</v>
      </c>
      <c r="R996" s="9">
        <v>1</v>
      </c>
      <c r="S996" s="9">
        <v>0</v>
      </c>
      <c r="T996" s="9">
        <v>0</v>
      </c>
      <c r="U996" s="8">
        <v>11271</v>
      </c>
      <c r="V996" s="9">
        <v>22</v>
      </c>
      <c r="W996" s="9">
        <f t="shared" si="286"/>
        <v>11248</v>
      </c>
      <c r="X996" s="9">
        <f t="shared" si="287"/>
        <v>20</v>
      </c>
      <c r="Y996" s="7">
        <v>9.24</v>
      </c>
      <c r="Z996" s="7">
        <f t="shared" si="278"/>
        <v>17.5</v>
      </c>
      <c r="AA996" s="9">
        <v>1</v>
      </c>
      <c r="AB996" s="9">
        <v>0</v>
      </c>
      <c r="AC996" s="9">
        <v>0</v>
      </c>
      <c r="AD996" s="9">
        <v>0</v>
      </c>
      <c r="AE996" s="9">
        <v>0</v>
      </c>
      <c r="AF996" s="9">
        <v>1</v>
      </c>
      <c r="AG996" s="8">
        <v>1</v>
      </c>
      <c r="AH996" s="9">
        <v>0</v>
      </c>
      <c r="AI996" s="30">
        <v>0</v>
      </c>
      <c r="AJ996" s="9">
        <v>0</v>
      </c>
      <c r="AK996" s="30">
        <v>1</v>
      </c>
      <c r="AL996" s="21">
        <v>2002</v>
      </c>
      <c r="AM996" s="23">
        <f t="shared" si="288"/>
        <v>7.6019019598751658</v>
      </c>
      <c r="AN996" s="33" t="s">
        <v>104</v>
      </c>
      <c r="AO996" s="33" t="s">
        <v>104</v>
      </c>
      <c r="AP996" s="33" t="s">
        <v>104</v>
      </c>
      <c r="AQ996" s="43" t="s">
        <v>104</v>
      </c>
      <c r="AR996" s="42" t="s">
        <v>104</v>
      </c>
      <c r="AS996" s="18" t="s">
        <v>104</v>
      </c>
      <c r="AT996">
        <v>0.49</v>
      </c>
      <c r="AU996" s="40">
        <f t="shared" si="293"/>
        <v>0.51</v>
      </c>
      <c r="AV996" t="s">
        <v>104</v>
      </c>
      <c r="AW996" s="40" t="s">
        <v>104</v>
      </c>
      <c r="AX996">
        <v>0</v>
      </c>
      <c r="AY996" s="18">
        <v>1</v>
      </c>
      <c r="AZ996">
        <v>0.76</v>
      </c>
      <c r="BA996" s="18">
        <f>1-AZ996</f>
        <v>0.24</v>
      </c>
      <c r="BB996" s="18" t="s">
        <v>5</v>
      </c>
      <c r="BC996">
        <v>0</v>
      </c>
      <c r="BD996">
        <v>1</v>
      </c>
      <c r="BE996">
        <v>0</v>
      </c>
      <c r="BF996">
        <v>0</v>
      </c>
      <c r="BG996">
        <v>0</v>
      </c>
      <c r="BH996" s="18">
        <v>0</v>
      </c>
      <c r="BI996">
        <v>0</v>
      </c>
      <c r="BJ996">
        <v>1</v>
      </c>
      <c r="BK996" s="18">
        <v>0</v>
      </c>
      <c r="BL996">
        <v>127.1666666666667</v>
      </c>
      <c r="BM996">
        <v>27</v>
      </c>
      <c r="BN996" s="25">
        <v>32.74</v>
      </c>
      <c r="BO996">
        <v>0</v>
      </c>
      <c r="BP996">
        <v>0</v>
      </c>
      <c r="BQ996">
        <v>0</v>
      </c>
      <c r="BR996">
        <v>0</v>
      </c>
      <c r="BS996">
        <v>1</v>
      </c>
      <c r="BT996">
        <v>0</v>
      </c>
      <c r="BU996">
        <v>0</v>
      </c>
      <c r="BV996" s="18">
        <v>0</v>
      </c>
      <c r="BW996">
        <v>0</v>
      </c>
      <c r="BX996">
        <v>0</v>
      </c>
      <c r="BY996">
        <v>1</v>
      </c>
      <c r="BZ996" s="18">
        <v>0</v>
      </c>
      <c r="CA996">
        <v>0</v>
      </c>
      <c r="CB996">
        <v>0</v>
      </c>
      <c r="CC996">
        <v>0</v>
      </c>
      <c r="CD996">
        <v>0</v>
      </c>
      <c r="CE996">
        <v>0</v>
      </c>
      <c r="CF996" s="18">
        <v>0</v>
      </c>
      <c r="CG996">
        <v>1</v>
      </c>
      <c r="CH996">
        <v>1</v>
      </c>
      <c r="CI996">
        <v>0</v>
      </c>
      <c r="CJ996">
        <v>0</v>
      </c>
      <c r="CK996">
        <v>1</v>
      </c>
      <c r="CL996">
        <v>1</v>
      </c>
      <c r="CM996">
        <v>1</v>
      </c>
      <c r="CN996">
        <v>0</v>
      </c>
      <c r="CO996">
        <v>0</v>
      </c>
      <c r="CP996">
        <v>1</v>
      </c>
      <c r="CQ996" s="18">
        <v>1</v>
      </c>
      <c r="CR996">
        <v>0.14599999999999999</v>
      </c>
      <c r="CS996">
        <v>149</v>
      </c>
      <c r="CT996">
        <v>1</v>
      </c>
      <c r="CU996">
        <v>0</v>
      </c>
      <c r="CV996">
        <v>16</v>
      </c>
      <c r="DB996" s="34"/>
    </row>
    <row r="997" spans="1:106" x14ac:dyDescent="0.25">
      <c r="A997">
        <v>996</v>
      </c>
      <c r="B997">
        <v>69</v>
      </c>
      <c r="C997" s="25" t="s">
        <v>4156</v>
      </c>
      <c r="D997" s="12">
        <v>6.08</v>
      </c>
      <c r="E997" s="14">
        <v>0.1</v>
      </c>
      <c r="F997" s="7">
        <f t="shared" si="277"/>
        <v>60.8</v>
      </c>
      <c r="G997" s="7">
        <f t="shared" si="279"/>
        <v>5.98</v>
      </c>
      <c r="H997" s="16">
        <f t="shared" si="280"/>
        <v>6.18</v>
      </c>
      <c r="I997" s="11">
        <f t="shared" si="281"/>
        <v>6.0981702242611277E-2</v>
      </c>
      <c r="J997" s="33">
        <f t="shared" si="282"/>
        <v>1.0029885237271593E-3</v>
      </c>
      <c r="K997" s="33">
        <f t="shared" si="283"/>
        <v>997.02038093511396</v>
      </c>
      <c r="L997" s="33">
        <f t="shared" si="284"/>
        <v>5.9978713718884115E-2</v>
      </c>
      <c r="M997" s="33">
        <f t="shared" si="285"/>
        <v>6.1984690766338439E-2</v>
      </c>
      <c r="N997" s="8">
        <v>0</v>
      </c>
      <c r="O997" s="9">
        <v>1</v>
      </c>
      <c r="P997" s="8">
        <v>0</v>
      </c>
      <c r="Q997" s="9">
        <v>0</v>
      </c>
      <c r="R997" s="9">
        <v>0</v>
      </c>
      <c r="S997" s="9">
        <v>1</v>
      </c>
      <c r="T997" s="9">
        <v>0</v>
      </c>
      <c r="U997" s="8">
        <v>990357</v>
      </c>
      <c r="V997" s="9">
        <v>3</v>
      </c>
      <c r="W997" s="9">
        <f t="shared" si="286"/>
        <v>990353</v>
      </c>
      <c r="X997" s="9">
        <f t="shared" si="287"/>
        <v>15</v>
      </c>
      <c r="Y997" s="7">
        <v>5.6</v>
      </c>
      <c r="Z997" s="7">
        <v>9.23</v>
      </c>
      <c r="AA997" s="9">
        <v>1</v>
      </c>
      <c r="AB997" s="9">
        <v>0</v>
      </c>
      <c r="AC997" s="9">
        <v>1</v>
      </c>
      <c r="AD997" s="9">
        <v>0</v>
      </c>
      <c r="AE997" s="9">
        <v>0</v>
      </c>
      <c r="AF997" s="9">
        <v>0</v>
      </c>
      <c r="AG997" s="8">
        <v>0</v>
      </c>
      <c r="AH997" s="9">
        <v>0</v>
      </c>
      <c r="AI997" s="30">
        <v>1</v>
      </c>
      <c r="AJ997" s="9">
        <v>0</v>
      </c>
      <c r="AK997" s="30">
        <v>1</v>
      </c>
      <c r="AL997" s="21">
        <v>1986</v>
      </c>
      <c r="AM997" s="23">
        <f t="shared" si="288"/>
        <v>7.5938778446051183</v>
      </c>
      <c r="AN997" s="33" t="s">
        <v>104</v>
      </c>
      <c r="AO997" s="33" t="s">
        <v>104</v>
      </c>
      <c r="AP997" s="33" t="s">
        <v>104</v>
      </c>
      <c r="AQ997" s="43" t="s">
        <v>104</v>
      </c>
      <c r="AR997" s="42">
        <v>1</v>
      </c>
      <c r="AS997" s="18">
        <v>0</v>
      </c>
      <c r="AT997">
        <v>0.66900000000000004</v>
      </c>
      <c r="AU997" s="40">
        <f t="shared" si="293"/>
        <v>0.33099999999999996</v>
      </c>
      <c r="AV997">
        <v>1</v>
      </c>
      <c r="AW997" s="40">
        <v>0</v>
      </c>
      <c r="AX997">
        <v>1</v>
      </c>
      <c r="AY997" s="18">
        <v>0</v>
      </c>
      <c r="AZ997" t="s">
        <v>104</v>
      </c>
      <c r="BA997" s="18" t="s">
        <v>104</v>
      </c>
      <c r="BB997" s="18" t="s">
        <v>541</v>
      </c>
      <c r="BC997">
        <v>1</v>
      </c>
      <c r="BD997">
        <v>0</v>
      </c>
      <c r="BE997">
        <v>0</v>
      </c>
      <c r="BF997">
        <v>0</v>
      </c>
      <c r="BG997">
        <v>0</v>
      </c>
      <c r="BH997" s="18">
        <v>0</v>
      </c>
      <c r="BI997">
        <v>1</v>
      </c>
      <c r="BJ997">
        <v>0</v>
      </c>
      <c r="BK997" s="18">
        <v>0</v>
      </c>
      <c r="BL997">
        <v>696.41666666666663</v>
      </c>
      <c r="BM997">
        <v>360</v>
      </c>
      <c r="BN997" s="25">
        <v>34.99</v>
      </c>
      <c r="BO997">
        <v>1</v>
      </c>
      <c r="BP997">
        <v>0</v>
      </c>
      <c r="BQ997">
        <v>0</v>
      </c>
      <c r="BR997">
        <v>0</v>
      </c>
      <c r="BS997">
        <v>0</v>
      </c>
      <c r="BT997">
        <v>0</v>
      </c>
      <c r="BU997">
        <v>0</v>
      </c>
      <c r="BV997" s="18">
        <v>0</v>
      </c>
      <c r="BW997">
        <v>0</v>
      </c>
      <c r="BX997">
        <v>0</v>
      </c>
      <c r="BY997">
        <v>1</v>
      </c>
      <c r="BZ997" s="18">
        <v>0</v>
      </c>
      <c r="CA997">
        <v>0</v>
      </c>
      <c r="CB997">
        <v>0</v>
      </c>
      <c r="CC997">
        <v>0</v>
      </c>
      <c r="CD997">
        <v>0</v>
      </c>
      <c r="CE997">
        <v>0</v>
      </c>
      <c r="CF997" s="18">
        <v>0</v>
      </c>
      <c r="CG997">
        <v>1</v>
      </c>
      <c r="CH997">
        <v>1</v>
      </c>
      <c r="CI997">
        <v>1</v>
      </c>
      <c r="CJ997">
        <v>1</v>
      </c>
      <c r="CK997">
        <v>0</v>
      </c>
      <c r="CL997">
        <v>0</v>
      </c>
      <c r="CM997">
        <v>1</v>
      </c>
      <c r="CN997">
        <v>0</v>
      </c>
      <c r="CO997">
        <v>1</v>
      </c>
      <c r="CP997">
        <v>0</v>
      </c>
      <c r="CQ997" s="18">
        <v>0</v>
      </c>
      <c r="CR997">
        <v>0.04</v>
      </c>
      <c r="CS997">
        <v>4</v>
      </c>
      <c r="CT997">
        <v>1</v>
      </c>
      <c r="CU997">
        <v>0</v>
      </c>
      <c r="CV997">
        <v>21</v>
      </c>
      <c r="DB997" s="34"/>
    </row>
    <row r="998" spans="1:106" x14ac:dyDescent="0.25">
      <c r="A998">
        <v>997</v>
      </c>
      <c r="B998">
        <v>69</v>
      </c>
      <c r="C998" s="25" t="s">
        <v>4156</v>
      </c>
      <c r="D998" s="12">
        <v>7.19</v>
      </c>
      <c r="E998" s="14">
        <v>0.1</v>
      </c>
      <c r="F998" s="7">
        <f t="shared" si="277"/>
        <v>71.900000000000006</v>
      </c>
      <c r="G998" s="7">
        <f t="shared" si="279"/>
        <v>7.0900000000000007</v>
      </c>
      <c r="H998" s="16">
        <f t="shared" si="280"/>
        <v>7.29</v>
      </c>
      <c r="I998" s="11">
        <f t="shared" si="281"/>
        <v>5.9304085037547423E-2</v>
      </c>
      <c r="J998" s="33">
        <f t="shared" si="282"/>
        <v>8.248134219408542E-4</v>
      </c>
      <c r="K998" s="33">
        <f t="shared" si="283"/>
        <v>1212.3954016738928</v>
      </c>
      <c r="L998" s="33">
        <f t="shared" si="284"/>
        <v>5.8479271615606572E-2</v>
      </c>
      <c r="M998" s="33">
        <f t="shared" si="285"/>
        <v>6.0128898459488274E-2</v>
      </c>
      <c r="N998" s="8">
        <v>0</v>
      </c>
      <c r="O998" s="9">
        <v>1</v>
      </c>
      <c r="P998" s="8">
        <v>0</v>
      </c>
      <c r="Q998" s="9">
        <v>0</v>
      </c>
      <c r="R998" s="9">
        <v>0</v>
      </c>
      <c r="S998" s="9">
        <v>1</v>
      </c>
      <c r="T998" s="9">
        <v>0</v>
      </c>
      <c r="U998" s="8">
        <v>1464737</v>
      </c>
      <c r="V998" s="9">
        <v>3</v>
      </c>
      <c r="W998" s="9">
        <f t="shared" si="286"/>
        <v>1464733</v>
      </c>
      <c r="X998" s="9">
        <f t="shared" si="287"/>
        <v>15</v>
      </c>
      <c r="Y998" s="7">
        <v>7.08</v>
      </c>
      <c r="Z998" s="7">
        <v>8.42</v>
      </c>
      <c r="AA998" s="9">
        <v>1</v>
      </c>
      <c r="AB998" s="9">
        <v>0</v>
      </c>
      <c r="AC998" s="9">
        <v>1</v>
      </c>
      <c r="AD998" s="9">
        <v>0</v>
      </c>
      <c r="AE998" s="9">
        <v>0</v>
      </c>
      <c r="AF998" s="9">
        <v>0</v>
      </c>
      <c r="AG998" s="8">
        <v>0</v>
      </c>
      <c r="AH998" s="9">
        <v>0</v>
      </c>
      <c r="AI998" s="30">
        <v>1</v>
      </c>
      <c r="AJ998" s="9">
        <v>0</v>
      </c>
      <c r="AK998" s="30">
        <v>1</v>
      </c>
      <c r="AL998" s="21">
        <v>1996</v>
      </c>
      <c r="AM998" s="23">
        <f t="shared" si="288"/>
        <v>7.5989004568714096</v>
      </c>
      <c r="AN998" s="33" t="s">
        <v>104</v>
      </c>
      <c r="AO998" s="33" t="s">
        <v>104</v>
      </c>
      <c r="AP998" s="33" t="s">
        <v>104</v>
      </c>
      <c r="AQ998" s="43" t="s">
        <v>104</v>
      </c>
      <c r="AR998" s="42">
        <v>1</v>
      </c>
      <c r="AS998" s="18">
        <v>0</v>
      </c>
      <c r="AT998">
        <v>0.60099999999999998</v>
      </c>
      <c r="AU998" s="40">
        <f t="shared" si="293"/>
        <v>0.39900000000000002</v>
      </c>
      <c r="AV998">
        <v>1</v>
      </c>
      <c r="AW998" s="40">
        <v>0</v>
      </c>
      <c r="AX998">
        <v>1</v>
      </c>
      <c r="AY998" s="18">
        <v>0</v>
      </c>
      <c r="AZ998" t="s">
        <v>104</v>
      </c>
      <c r="BA998" s="18" t="s">
        <v>104</v>
      </c>
      <c r="BB998" s="18" t="s">
        <v>541</v>
      </c>
      <c r="BC998">
        <v>1</v>
      </c>
      <c r="BD998">
        <v>0</v>
      </c>
      <c r="BE998">
        <v>0</v>
      </c>
      <c r="BF998">
        <v>0</v>
      </c>
      <c r="BG998">
        <v>0</v>
      </c>
      <c r="BH998" s="18">
        <v>0</v>
      </c>
      <c r="BI998">
        <v>1</v>
      </c>
      <c r="BJ998">
        <v>0</v>
      </c>
      <c r="BK998" s="18">
        <v>0</v>
      </c>
      <c r="BL998">
        <v>696.41666666666663</v>
      </c>
      <c r="BM998">
        <v>360</v>
      </c>
      <c r="BN998" s="25">
        <v>35.799999999999997</v>
      </c>
      <c r="BO998">
        <v>1</v>
      </c>
      <c r="BP998">
        <v>0</v>
      </c>
      <c r="BQ998">
        <v>0</v>
      </c>
      <c r="BR998">
        <v>0</v>
      </c>
      <c r="BS998">
        <v>0</v>
      </c>
      <c r="BT998">
        <v>0</v>
      </c>
      <c r="BU998">
        <v>0</v>
      </c>
      <c r="BV998" s="18">
        <v>0</v>
      </c>
      <c r="BW998">
        <v>0</v>
      </c>
      <c r="BX998">
        <v>0</v>
      </c>
      <c r="BY998">
        <v>1</v>
      </c>
      <c r="BZ998" s="18">
        <v>0</v>
      </c>
      <c r="CA998">
        <v>0</v>
      </c>
      <c r="CB998">
        <v>0</v>
      </c>
      <c r="CC998">
        <v>0</v>
      </c>
      <c r="CD998">
        <v>0</v>
      </c>
      <c r="CE998">
        <v>0</v>
      </c>
      <c r="CF998" s="18">
        <v>0</v>
      </c>
      <c r="CG998">
        <v>1</v>
      </c>
      <c r="CH998">
        <v>1</v>
      </c>
      <c r="CI998">
        <v>1</v>
      </c>
      <c r="CJ998">
        <v>1</v>
      </c>
      <c r="CK998">
        <v>0</v>
      </c>
      <c r="CL998">
        <v>0</v>
      </c>
      <c r="CM998">
        <v>1</v>
      </c>
      <c r="CN998">
        <v>0</v>
      </c>
      <c r="CO998">
        <v>1</v>
      </c>
      <c r="CP998">
        <v>0</v>
      </c>
      <c r="CQ998" s="18">
        <v>0</v>
      </c>
      <c r="CR998">
        <v>0.04</v>
      </c>
      <c r="CS998">
        <v>4</v>
      </c>
      <c r="CT998">
        <v>1</v>
      </c>
      <c r="CU998">
        <v>0</v>
      </c>
      <c r="CV998">
        <v>21</v>
      </c>
      <c r="DB998" s="34"/>
    </row>
    <row r="999" spans="1:106" x14ac:dyDescent="0.25">
      <c r="A999">
        <v>998</v>
      </c>
      <c r="B999">
        <v>69</v>
      </c>
      <c r="C999" s="25" t="s">
        <v>4156</v>
      </c>
      <c r="D999" s="12">
        <v>7.3</v>
      </c>
      <c r="E999" s="14">
        <v>0.1</v>
      </c>
      <c r="F999" s="7">
        <f t="shared" si="277"/>
        <v>73</v>
      </c>
      <c r="G999" s="7">
        <f t="shared" si="279"/>
        <v>7.2</v>
      </c>
      <c r="H999" s="16">
        <f t="shared" si="280"/>
        <v>7.3999999999999995</v>
      </c>
      <c r="I999" s="11">
        <f t="shared" si="281"/>
        <v>5.1794508130782013E-2</v>
      </c>
      <c r="J999" s="33">
        <f t="shared" si="282"/>
        <v>7.0951381001071252E-4</v>
      </c>
      <c r="K999" s="33">
        <f t="shared" si="283"/>
        <v>1409.4158364372099</v>
      </c>
      <c r="L999" s="33">
        <f t="shared" si="284"/>
        <v>5.10849943207713E-2</v>
      </c>
      <c r="M999" s="33">
        <f t="shared" si="285"/>
        <v>5.2504021940792726E-2</v>
      </c>
      <c r="N999" s="8">
        <v>0</v>
      </c>
      <c r="O999" s="9">
        <v>1</v>
      </c>
      <c r="P999" s="8">
        <v>0</v>
      </c>
      <c r="Q999" s="9">
        <v>0</v>
      </c>
      <c r="R999" s="9">
        <v>0</v>
      </c>
      <c r="S999" s="9">
        <v>1</v>
      </c>
      <c r="T999" s="9">
        <v>0</v>
      </c>
      <c r="U999" s="8">
        <v>1981128</v>
      </c>
      <c r="V999" s="9">
        <v>3</v>
      </c>
      <c r="W999" s="9">
        <f t="shared" si="286"/>
        <v>1981124</v>
      </c>
      <c r="X999" s="9">
        <f t="shared" si="287"/>
        <v>15</v>
      </c>
      <c r="Y999" s="7">
        <v>8.6</v>
      </c>
      <c r="Z999" s="7">
        <v>7.51</v>
      </c>
      <c r="AA999" s="9">
        <v>1</v>
      </c>
      <c r="AB999" s="9">
        <v>0</v>
      </c>
      <c r="AC999" s="9">
        <v>1</v>
      </c>
      <c r="AD999" s="9">
        <v>0</v>
      </c>
      <c r="AE999" s="9">
        <v>0</v>
      </c>
      <c r="AF999" s="9">
        <v>0</v>
      </c>
      <c r="AG999" s="8">
        <v>0</v>
      </c>
      <c r="AH999" s="9">
        <v>0</v>
      </c>
      <c r="AI999" s="30">
        <v>1</v>
      </c>
      <c r="AJ999" s="9">
        <v>0</v>
      </c>
      <c r="AK999" s="30">
        <v>1</v>
      </c>
      <c r="AL999" s="21">
        <v>2005</v>
      </c>
      <c r="AM999" s="23">
        <f t="shared" si="288"/>
        <v>7.6033993397406698</v>
      </c>
      <c r="AN999" s="33" t="s">
        <v>104</v>
      </c>
      <c r="AO999" s="33" t="s">
        <v>104</v>
      </c>
      <c r="AP999" s="33" t="s">
        <v>104</v>
      </c>
      <c r="AQ999" s="43" t="s">
        <v>104</v>
      </c>
      <c r="AR999" s="42">
        <v>1</v>
      </c>
      <c r="AS999" s="18">
        <v>0</v>
      </c>
      <c r="AT999">
        <v>0.57799999999999996</v>
      </c>
      <c r="AU999" s="40">
        <f t="shared" si="293"/>
        <v>0.42200000000000004</v>
      </c>
      <c r="AV999">
        <v>1</v>
      </c>
      <c r="AW999" s="40">
        <v>0</v>
      </c>
      <c r="AX999">
        <v>1</v>
      </c>
      <c r="AY999" s="18">
        <v>0</v>
      </c>
      <c r="AZ999" t="s">
        <v>104</v>
      </c>
      <c r="BA999" s="18" t="s">
        <v>104</v>
      </c>
      <c r="BB999" s="18" t="s">
        <v>541</v>
      </c>
      <c r="BC999">
        <v>1</v>
      </c>
      <c r="BD999">
        <v>0</v>
      </c>
      <c r="BE999">
        <v>0</v>
      </c>
      <c r="BF999">
        <v>0</v>
      </c>
      <c r="BG999">
        <v>0</v>
      </c>
      <c r="BH999" s="18">
        <v>0</v>
      </c>
      <c r="BI999">
        <v>1</v>
      </c>
      <c r="BJ999">
        <v>0</v>
      </c>
      <c r="BK999" s="18">
        <v>0</v>
      </c>
      <c r="BL999">
        <v>696.41666666666663</v>
      </c>
      <c r="BM999">
        <v>360</v>
      </c>
      <c r="BN999" s="25">
        <v>37.270000000000003</v>
      </c>
      <c r="BO999">
        <v>1</v>
      </c>
      <c r="BP999">
        <v>0</v>
      </c>
      <c r="BQ999">
        <v>0</v>
      </c>
      <c r="BR999">
        <v>0</v>
      </c>
      <c r="BS999">
        <v>0</v>
      </c>
      <c r="BT999">
        <v>0</v>
      </c>
      <c r="BU999">
        <v>0</v>
      </c>
      <c r="BV999" s="18">
        <v>0</v>
      </c>
      <c r="BW999">
        <v>0</v>
      </c>
      <c r="BX999">
        <v>0</v>
      </c>
      <c r="BY999">
        <v>1</v>
      </c>
      <c r="BZ999" s="18">
        <v>0</v>
      </c>
      <c r="CA999">
        <v>0</v>
      </c>
      <c r="CB999">
        <v>0</v>
      </c>
      <c r="CC999">
        <v>0</v>
      </c>
      <c r="CD999">
        <v>0</v>
      </c>
      <c r="CE999">
        <v>0</v>
      </c>
      <c r="CF999" s="18">
        <v>0</v>
      </c>
      <c r="CG999">
        <v>1</v>
      </c>
      <c r="CH999">
        <v>1</v>
      </c>
      <c r="CI999">
        <v>1</v>
      </c>
      <c r="CJ999">
        <v>1</v>
      </c>
      <c r="CK999">
        <v>0</v>
      </c>
      <c r="CL999">
        <v>0</v>
      </c>
      <c r="CM999">
        <v>1</v>
      </c>
      <c r="CN999">
        <v>0</v>
      </c>
      <c r="CO999">
        <v>1</v>
      </c>
      <c r="CP999">
        <v>0</v>
      </c>
      <c r="CQ999" s="18">
        <v>0</v>
      </c>
      <c r="CR999">
        <v>0.04</v>
      </c>
      <c r="CS999">
        <v>4</v>
      </c>
      <c r="CT999">
        <v>1</v>
      </c>
      <c r="CU999">
        <v>0</v>
      </c>
      <c r="CV999">
        <v>21</v>
      </c>
      <c r="DB999" s="34"/>
    </row>
    <row r="1000" spans="1:106" x14ac:dyDescent="0.25">
      <c r="A1000">
        <v>999</v>
      </c>
      <c r="B1000">
        <v>69</v>
      </c>
      <c r="C1000" s="25" t="s">
        <v>4156</v>
      </c>
      <c r="D1000" s="12">
        <v>7.15</v>
      </c>
      <c r="E1000" s="14">
        <v>0.1</v>
      </c>
      <c r="F1000" s="7">
        <f t="shared" si="277"/>
        <v>71.5</v>
      </c>
      <c r="G1000" s="7">
        <f t="shared" si="279"/>
        <v>7.0500000000000007</v>
      </c>
      <c r="H1000" s="16">
        <f t="shared" si="280"/>
        <v>7.25</v>
      </c>
      <c r="I1000" s="11">
        <f t="shared" si="281"/>
        <v>4.9971389312554342E-2</v>
      </c>
      <c r="J1000" s="33">
        <f t="shared" si="282"/>
        <v>6.9890054982593491E-4</v>
      </c>
      <c r="K1000" s="33">
        <f t="shared" si="283"/>
        <v>1430.8187341518842</v>
      </c>
      <c r="L1000" s="33">
        <f t="shared" si="284"/>
        <v>4.9272488762728404E-2</v>
      </c>
      <c r="M1000" s="33">
        <f t="shared" si="285"/>
        <v>5.0670289862380279E-2</v>
      </c>
      <c r="N1000" s="8">
        <v>0</v>
      </c>
      <c r="O1000" s="9">
        <v>1</v>
      </c>
      <c r="P1000" s="8">
        <v>0</v>
      </c>
      <c r="Q1000" s="9">
        <v>0</v>
      </c>
      <c r="R1000" s="9">
        <v>0</v>
      </c>
      <c r="S1000" s="9">
        <v>1</v>
      </c>
      <c r="T1000" s="9">
        <v>0</v>
      </c>
      <c r="U1000" s="8">
        <v>2042134</v>
      </c>
      <c r="V1000" s="9">
        <v>3</v>
      </c>
      <c r="W1000" s="9">
        <f t="shared" si="286"/>
        <v>2042130</v>
      </c>
      <c r="X1000" s="9">
        <f t="shared" si="287"/>
        <v>15</v>
      </c>
      <c r="Y1000" s="7">
        <v>9.51</v>
      </c>
      <c r="Z1000" s="7">
        <v>7.9</v>
      </c>
      <c r="AA1000" s="9">
        <v>1</v>
      </c>
      <c r="AB1000" s="9">
        <v>0</v>
      </c>
      <c r="AC1000" s="9">
        <v>1</v>
      </c>
      <c r="AD1000" s="9">
        <v>0</v>
      </c>
      <c r="AE1000" s="9">
        <v>0</v>
      </c>
      <c r="AF1000" s="9">
        <v>0</v>
      </c>
      <c r="AG1000" s="8">
        <v>0</v>
      </c>
      <c r="AH1000" s="9">
        <v>0</v>
      </c>
      <c r="AI1000" s="30">
        <v>1</v>
      </c>
      <c r="AJ1000" s="9">
        <v>0</v>
      </c>
      <c r="AK1000" s="30">
        <v>1</v>
      </c>
      <c r="AL1000" s="21">
        <v>2010</v>
      </c>
      <c r="AM1000" s="23">
        <f t="shared" si="288"/>
        <v>7.6058900010531216</v>
      </c>
      <c r="AN1000" s="33" t="s">
        <v>104</v>
      </c>
      <c r="AO1000" s="33" t="s">
        <v>104</v>
      </c>
      <c r="AP1000" s="33" t="s">
        <v>104</v>
      </c>
      <c r="AQ1000" s="43" t="s">
        <v>104</v>
      </c>
      <c r="AR1000" s="42">
        <v>1</v>
      </c>
      <c r="AS1000" s="18">
        <v>0</v>
      </c>
      <c r="AT1000">
        <v>0.54800000000000004</v>
      </c>
      <c r="AU1000" s="40">
        <f t="shared" si="293"/>
        <v>0.45199999999999996</v>
      </c>
      <c r="AV1000">
        <v>1</v>
      </c>
      <c r="AW1000" s="40">
        <v>0</v>
      </c>
      <c r="AX1000">
        <v>1</v>
      </c>
      <c r="AY1000" s="18">
        <v>0</v>
      </c>
      <c r="AZ1000" t="s">
        <v>104</v>
      </c>
      <c r="BA1000" s="18" t="s">
        <v>104</v>
      </c>
      <c r="BB1000" s="18" t="s">
        <v>541</v>
      </c>
      <c r="BC1000">
        <v>1</v>
      </c>
      <c r="BD1000">
        <v>0</v>
      </c>
      <c r="BE1000">
        <v>0</v>
      </c>
      <c r="BF1000">
        <v>0</v>
      </c>
      <c r="BG1000">
        <v>0</v>
      </c>
      <c r="BH1000" s="18">
        <v>0</v>
      </c>
      <c r="BI1000">
        <v>1</v>
      </c>
      <c r="BJ1000">
        <v>0</v>
      </c>
      <c r="BK1000" s="18">
        <v>0</v>
      </c>
      <c r="BL1000">
        <v>696.41666666666663</v>
      </c>
      <c r="BM1000">
        <v>360</v>
      </c>
      <c r="BN1000" s="25">
        <v>38.58</v>
      </c>
      <c r="BO1000">
        <v>1</v>
      </c>
      <c r="BP1000">
        <v>0</v>
      </c>
      <c r="BQ1000">
        <v>0</v>
      </c>
      <c r="BR1000">
        <v>0</v>
      </c>
      <c r="BS1000">
        <v>0</v>
      </c>
      <c r="BT1000">
        <v>0</v>
      </c>
      <c r="BU1000">
        <v>0</v>
      </c>
      <c r="BV1000" s="18">
        <v>0</v>
      </c>
      <c r="BW1000">
        <v>0</v>
      </c>
      <c r="BX1000">
        <v>0</v>
      </c>
      <c r="BY1000">
        <v>1</v>
      </c>
      <c r="BZ1000" s="18">
        <v>0</v>
      </c>
      <c r="CA1000">
        <v>0</v>
      </c>
      <c r="CB1000">
        <v>0</v>
      </c>
      <c r="CC1000">
        <v>0</v>
      </c>
      <c r="CD1000">
        <v>0</v>
      </c>
      <c r="CE1000">
        <v>0</v>
      </c>
      <c r="CF1000" s="18">
        <v>0</v>
      </c>
      <c r="CG1000">
        <v>1</v>
      </c>
      <c r="CH1000">
        <v>1</v>
      </c>
      <c r="CI1000">
        <v>1</v>
      </c>
      <c r="CJ1000">
        <v>1</v>
      </c>
      <c r="CK1000">
        <v>0</v>
      </c>
      <c r="CL1000">
        <v>0</v>
      </c>
      <c r="CM1000">
        <v>1</v>
      </c>
      <c r="CN1000">
        <v>0</v>
      </c>
      <c r="CO1000">
        <v>1</v>
      </c>
      <c r="CP1000">
        <v>0</v>
      </c>
      <c r="CQ1000" s="18">
        <v>0</v>
      </c>
      <c r="CR1000">
        <v>0.04</v>
      </c>
      <c r="CS1000">
        <v>4</v>
      </c>
      <c r="CT1000">
        <v>1</v>
      </c>
      <c r="CU1000">
        <v>0</v>
      </c>
      <c r="CV1000">
        <v>21</v>
      </c>
      <c r="DB1000" s="34"/>
    </row>
    <row r="1001" spans="1:106" x14ac:dyDescent="0.25">
      <c r="A1001">
        <v>1000</v>
      </c>
      <c r="B1001">
        <v>69</v>
      </c>
      <c r="C1001" s="25" t="s">
        <v>4156</v>
      </c>
      <c r="D1001" s="12">
        <v>7.06</v>
      </c>
      <c r="E1001" s="14">
        <v>0.1</v>
      </c>
      <c r="F1001" s="7">
        <f t="shared" si="277"/>
        <v>70.599999999999994</v>
      </c>
      <c r="G1001" s="7">
        <f t="shared" si="279"/>
        <v>6.96</v>
      </c>
      <c r="H1001" s="16">
        <f t="shared" si="280"/>
        <v>7.1599999999999993</v>
      </c>
      <c r="I1001" s="11">
        <f t="shared" si="281"/>
        <v>5.1087237728615377E-2</v>
      </c>
      <c r="J1001" s="33">
        <f t="shared" si="282"/>
        <v>7.2361526527783826E-4</v>
      </c>
      <c r="K1001" s="33">
        <f t="shared" si="283"/>
        <v>1381.9498399001318</v>
      </c>
      <c r="L1001" s="33">
        <f t="shared" si="284"/>
        <v>5.0363622463337539E-2</v>
      </c>
      <c r="M1001" s="33">
        <f t="shared" si="285"/>
        <v>5.1810852993893215E-2</v>
      </c>
      <c r="N1001" s="8">
        <v>0</v>
      </c>
      <c r="O1001" s="9">
        <v>1</v>
      </c>
      <c r="P1001" s="8">
        <v>0</v>
      </c>
      <c r="Q1001" s="9">
        <v>0</v>
      </c>
      <c r="R1001" s="9">
        <v>0</v>
      </c>
      <c r="S1001" s="9">
        <v>1</v>
      </c>
      <c r="T1001" s="9">
        <v>0</v>
      </c>
      <c r="U1001" s="8">
        <v>1904805</v>
      </c>
      <c r="V1001" s="9">
        <v>3</v>
      </c>
      <c r="W1001" s="9">
        <f t="shared" si="286"/>
        <v>1904801</v>
      </c>
      <c r="X1001" s="9">
        <f t="shared" si="287"/>
        <v>15</v>
      </c>
      <c r="Y1001" s="7">
        <v>9.9</v>
      </c>
      <c r="Z1001" s="7">
        <v>8.7200000000000006</v>
      </c>
      <c r="AA1001" s="9">
        <v>1</v>
      </c>
      <c r="AB1001" s="9">
        <v>0</v>
      </c>
      <c r="AC1001" s="9">
        <v>1</v>
      </c>
      <c r="AD1001" s="9">
        <v>0</v>
      </c>
      <c r="AE1001" s="9">
        <v>0</v>
      </c>
      <c r="AF1001" s="9">
        <v>0</v>
      </c>
      <c r="AG1001" s="8">
        <v>0</v>
      </c>
      <c r="AH1001" s="9">
        <v>0</v>
      </c>
      <c r="AI1001" s="30">
        <v>1</v>
      </c>
      <c r="AJ1001" s="9">
        <v>0</v>
      </c>
      <c r="AK1001" s="30">
        <v>1</v>
      </c>
      <c r="AL1001" s="21">
        <v>2013</v>
      </c>
      <c r="AM1001" s="23">
        <f t="shared" si="288"/>
        <v>7.6073814256397911</v>
      </c>
      <c r="AN1001" s="33" t="s">
        <v>104</v>
      </c>
      <c r="AO1001" s="33" t="s">
        <v>104</v>
      </c>
      <c r="AP1001" s="33" t="s">
        <v>104</v>
      </c>
      <c r="AQ1001" s="43" t="s">
        <v>104</v>
      </c>
      <c r="AR1001" s="42">
        <v>1</v>
      </c>
      <c r="AS1001" s="18">
        <v>0</v>
      </c>
      <c r="AT1001">
        <v>0.52700000000000002</v>
      </c>
      <c r="AU1001" s="40">
        <f t="shared" si="293"/>
        <v>0.47299999999999998</v>
      </c>
      <c r="AV1001">
        <v>1</v>
      </c>
      <c r="AW1001" s="40">
        <v>0</v>
      </c>
      <c r="AX1001">
        <v>1</v>
      </c>
      <c r="AY1001" s="18">
        <v>0</v>
      </c>
      <c r="AZ1001" t="s">
        <v>104</v>
      </c>
      <c r="BA1001" s="18" t="s">
        <v>104</v>
      </c>
      <c r="BB1001" s="18" t="s">
        <v>541</v>
      </c>
      <c r="BC1001">
        <v>1</v>
      </c>
      <c r="BD1001">
        <v>0</v>
      </c>
      <c r="BE1001">
        <v>0</v>
      </c>
      <c r="BF1001">
        <v>0</v>
      </c>
      <c r="BG1001">
        <v>0</v>
      </c>
      <c r="BH1001" s="18">
        <v>0</v>
      </c>
      <c r="BI1001">
        <v>1</v>
      </c>
      <c r="BJ1001">
        <v>0</v>
      </c>
      <c r="BK1001" s="18">
        <v>0</v>
      </c>
      <c r="BL1001">
        <v>696.41666666666663</v>
      </c>
      <c r="BM1001">
        <v>360</v>
      </c>
      <c r="BN1001" s="25">
        <v>39.659999999999997</v>
      </c>
      <c r="BO1001">
        <v>1</v>
      </c>
      <c r="BP1001">
        <v>0</v>
      </c>
      <c r="BQ1001">
        <v>0</v>
      </c>
      <c r="BR1001">
        <v>0</v>
      </c>
      <c r="BS1001">
        <v>0</v>
      </c>
      <c r="BT1001">
        <v>0</v>
      </c>
      <c r="BU1001">
        <v>0</v>
      </c>
      <c r="BV1001" s="18">
        <v>0</v>
      </c>
      <c r="BW1001">
        <v>0</v>
      </c>
      <c r="BX1001">
        <v>0</v>
      </c>
      <c r="BY1001">
        <v>1</v>
      </c>
      <c r="BZ1001" s="18">
        <v>0</v>
      </c>
      <c r="CA1001">
        <v>0</v>
      </c>
      <c r="CB1001">
        <v>0</v>
      </c>
      <c r="CC1001">
        <v>0</v>
      </c>
      <c r="CD1001">
        <v>0</v>
      </c>
      <c r="CE1001">
        <v>0</v>
      </c>
      <c r="CF1001" s="18">
        <v>0</v>
      </c>
      <c r="CG1001">
        <v>1</v>
      </c>
      <c r="CH1001">
        <v>1</v>
      </c>
      <c r="CI1001">
        <v>1</v>
      </c>
      <c r="CJ1001">
        <v>1</v>
      </c>
      <c r="CK1001">
        <v>0</v>
      </c>
      <c r="CL1001">
        <v>0</v>
      </c>
      <c r="CM1001">
        <v>1</v>
      </c>
      <c r="CN1001">
        <v>0</v>
      </c>
      <c r="CO1001">
        <v>1</v>
      </c>
      <c r="CP1001">
        <v>0</v>
      </c>
      <c r="CQ1001" s="18">
        <v>0</v>
      </c>
      <c r="CR1001">
        <v>0.04</v>
      </c>
      <c r="CS1001">
        <v>4</v>
      </c>
      <c r="CT1001">
        <v>1</v>
      </c>
      <c r="CU1001">
        <v>0</v>
      </c>
      <c r="CV1001">
        <v>21</v>
      </c>
      <c r="DB1001" s="34"/>
    </row>
    <row r="1002" spans="1:106" x14ac:dyDescent="0.25">
      <c r="A1002">
        <v>1001</v>
      </c>
      <c r="B1002">
        <v>69</v>
      </c>
      <c r="C1002" s="25" t="s">
        <v>4156</v>
      </c>
      <c r="D1002" s="12">
        <v>4.78</v>
      </c>
      <c r="E1002" s="14">
        <v>0.1</v>
      </c>
      <c r="F1002" s="7">
        <f t="shared" ref="F1002:F1011" si="294">D1002/E1002</f>
        <v>47.8</v>
      </c>
      <c r="G1002" s="7">
        <f t="shared" si="279"/>
        <v>4.6800000000000006</v>
      </c>
      <c r="H1002" s="16">
        <f t="shared" si="280"/>
        <v>4.88</v>
      </c>
      <c r="I1002" s="11">
        <f t="shared" si="281"/>
        <v>4.7976933183397304E-2</v>
      </c>
      <c r="J1002" s="33">
        <f t="shared" si="282"/>
        <v>1.0037015310334165E-3</v>
      </c>
      <c r="K1002" s="33">
        <f t="shared" si="283"/>
        <v>996.31211976970349</v>
      </c>
      <c r="L1002" s="33">
        <f t="shared" si="284"/>
        <v>4.6973231652363889E-2</v>
      </c>
      <c r="M1002" s="33">
        <f t="shared" si="285"/>
        <v>4.8980634714430718E-2</v>
      </c>
      <c r="N1002" s="8">
        <v>0</v>
      </c>
      <c r="O1002" s="9">
        <v>1</v>
      </c>
      <c r="P1002" s="8">
        <v>0</v>
      </c>
      <c r="Q1002" s="9">
        <v>0</v>
      </c>
      <c r="R1002" s="9">
        <v>0</v>
      </c>
      <c r="S1002" s="9">
        <v>1</v>
      </c>
      <c r="T1002" s="9">
        <v>0</v>
      </c>
      <c r="U1002" s="8">
        <v>990357</v>
      </c>
      <c r="V1002" s="9">
        <v>3</v>
      </c>
      <c r="W1002" s="9">
        <f t="shared" si="286"/>
        <v>990353</v>
      </c>
      <c r="X1002" s="9">
        <f t="shared" si="287"/>
        <v>15</v>
      </c>
      <c r="Y1002" s="7">
        <v>5.6</v>
      </c>
      <c r="Z1002" s="7">
        <v>9.23</v>
      </c>
      <c r="AA1002" s="9">
        <v>1</v>
      </c>
      <c r="AB1002" s="9">
        <v>0</v>
      </c>
      <c r="AC1002" s="9">
        <v>1</v>
      </c>
      <c r="AD1002" s="9">
        <v>0</v>
      </c>
      <c r="AE1002" s="9">
        <v>0</v>
      </c>
      <c r="AF1002" s="9">
        <v>0</v>
      </c>
      <c r="AG1002" s="8">
        <v>0</v>
      </c>
      <c r="AH1002" s="9">
        <v>0</v>
      </c>
      <c r="AI1002" s="30">
        <v>1</v>
      </c>
      <c r="AJ1002" s="9">
        <v>0</v>
      </c>
      <c r="AK1002" s="30">
        <v>1</v>
      </c>
      <c r="AL1002" s="21">
        <v>1986</v>
      </c>
      <c r="AM1002" s="23">
        <f t="shared" si="288"/>
        <v>7.5938778446051183</v>
      </c>
      <c r="AN1002" s="33" t="s">
        <v>104</v>
      </c>
      <c r="AO1002" s="33" t="s">
        <v>104</v>
      </c>
      <c r="AP1002" s="33" t="s">
        <v>104</v>
      </c>
      <c r="AQ1002" s="43" t="s">
        <v>104</v>
      </c>
      <c r="AR1002" s="42">
        <v>1</v>
      </c>
      <c r="AS1002" s="18">
        <v>0</v>
      </c>
      <c r="AT1002">
        <v>0.66900000000000004</v>
      </c>
      <c r="AU1002" s="40">
        <f t="shared" si="293"/>
        <v>0.33099999999999996</v>
      </c>
      <c r="AV1002">
        <v>1</v>
      </c>
      <c r="AW1002" s="40">
        <v>0</v>
      </c>
      <c r="AX1002">
        <v>1</v>
      </c>
      <c r="AY1002" s="18">
        <v>0</v>
      </c>
      <c r="AZ1002" t="s">
        <v>104</v>
      </c>
      <c r="BA1002" s="18" t="s">
        <v>104</v>
      </c>
      <c r="BB1002" s="18" t="s">
        <v>541</v>
      </c>
      <c r="BC1002">
        <v>1</v>
      </c>
      <c r="BD1002">
        <v>0</v>
      </c>
      <c r="BE1002">
        <v>0</v>
      </c>
      <c r="BF1002">
        <v>0</v>
      </c>
      <c r="BG1002">
        <v>0</v>
      </c>
      <c r="BH1002" s="18">
        <v>0</v>
      </c>
      <c r="BI1002">
        <v>1</v>
      </c>
      <c r="BJ1002">
        <v>0</v>
      </c>
      <c r="BK1002" s="18">
        <v>0</v>
      </c>
      <c r="BL1002">
        <v>696.41666666666663</v>
      </c>
      <c r="BM1002">
        <v>360</v>
      </c>
      <c r="BN1002" s="25">
        <v>34.99</v>
      </c>
      <c r="BO1002">
        <v>1</v>
      </c>
      <c r="BP1002">
        <v>0</v>
      </c>
      <c r="BQ1002">
        <v>0</v>
      </c>
      <c r="BR1002">
        <v>0</v>
      </c>
      <c r="BS1002">
        <v>0</v>
      </c>
      <c r="BT1002">
        <v>0</v>
      </c>
      <c r="BU1002">
        <v>0</v>
      </c>
      <c r="BV1002" s="18">
        <v>0</v>
      </c>
      <c r="BW1002">
        <v>0</v>
      </c>
      <c r="BX1002">
        <v>0</v>
      </c>
      <c r="BY1002">
        <v>1</v>
      </c>
      <c r="BZ1002" s="18">
        <v>0</v>
      </c>
      <c r="CA1002">
        <v>0</v>
      </c>
      <c r="CB1002">
        <v>0</v>
      </c>
      <c r="CC1002">
        <v>0</v>
      </c>
      <c r="CD1002">
        <v>0</v>
      </c>
      <c r="CE1002">
        <v>0</v>
      </c>
      <c r="CF1002" s="18">
        <v>0</v>
      </c>
      <c r="CG1002">
        <v>1</v>
      </c>
      <c r="CH1002">
        <v>1</v>
      </c>
      <c r="CI1002">
        <v>1</v>
      </c>
      <c r="CJ1002">
        <v>1</v>
      </c>
      <c r="CK1002">
        <v>0</v>
      </c>
      <c r="CL1002">
        <v>0</v>
      </c>
      <c r="CM1002">
        <v>1</v>
      </c>
      <c r="CN1002">
        <v>0</v>
      </c>
      <c r="CO1002">
        <v>1</v>
      </c>
      <c r="CP1002">
        <v>0</v>
      </c>
      <c r="CQ1002" s="18">
        <v>1</v>
      </c>
      <c r="CR1002">
        <v>0.04</v>
      </c>
      <c r="CS1002">
        <v>4</v>
      </c>
      <c r="CT1002">
        <v>1</v>
      </c>
      <c r="CU1002">
        <v>0</v>
      </c>
      <c r="CV1002">
        <v>21</v>
      </c>
      <c r="DB1002" s="34"/>
    </row>
    <row r="1003" spans="1:106" x14ac:dyDescent="0.25">
      <c r="A1003">
        <v>1002</v>
      </c>
      <c r="B1003">
        <v>69</v>
      </c>
      <c r="C1003" s="25" t="s">
        <v>4156</v>
      </c>
      <c r="D1003" s="12">
        <v>5.8</v>
      </c>
      <c r="E1003" s="14">
        <v>0.1</v>
      </c>
      <c r="F1003" s="7">
        <f t="shared" si="294"/>
        <v>57.999999999999993</v>
      </c>
      <c r="G1003" s="7">
        <f t="shared" si="279"/>
        <v>5.7</v>
      </c>
      <c r="H1003" s="16">
        <f t="shared" si="280"/>
        <v>5.8999999999999995</v>
      </c>
      <c r="I1003" s="11">
        <f t="shared" si="281"/>
        <v>4.7868588094701701E-2</v>
      </c>
      <c r="J1003" s="33">
        <f t="shared" si="282"/>
        <v>8.2532048439140876E-4</v>
      </c>
      <c r="K1003" s="33">
        <f t="shared" si="283"/>
        <v>1211.6505271735741</v>
      </c>
      <c r="L1003" s="33">
        <f t="shared" si="284"/>
        <v>4.7043267610310295E-2</v>
      </c>
      <c r="M1003" s="33">
        <f t="shared" si="285"/>
        <v>4.8693908579093108E-2</v>
      </c>
      <c r="N1003" s="8">
        <v>0</v>
      </c>
      <c r="O1003" s="9">
        <v>1</v>
      </c>
      <c r="P1003" s="8">
        <v>0</v>
      </c>
      <c r="Q1003" s="9">
        <v>0</v>
      </c>
      <c r="R1003" s="9">
        <v>0</v>
      </c>
      <c r="S1003" s="9">
        <v>1</v>
      </c>
      <c r="T1003" s="9">
        <v>0</v>
      </c>
      <c r="U1003" s="8">
        <v>1464737</v>
      </c>
      <c r="V1003" s="9">
        <v>3</v>
      </c>
      <c r="W1003" s="9">
        <f t="shared" si="286"/>
        <v>1464733</v>
      </c>
      <c r="X1003" s="9">
        <f t="shared" si="287"/>
        <v>15</v>
      </c>
      <c r="Y1003" s="7">
        <v>7.08</v>
      </c>
      <c r="Z1003" s="7">
        <v>8.42</v>
      </c>
      <c r="AA1003" s="9">
        <v>1</v>
      </c>
      <c r="AB1003" s="9">
        <v>0</v>
      </c>
      <c r="AC1003" s="9">
        <v>1</v>
      </c>
      <c r="AD1003" s="9">
        <v>0</v>
      </c>
      <c r="AE1003" s="9">
        <v>0</v>
      </c>
      <c r="AF1003" s="9">
        <v>0</v>
      </c>
      <c r="AG1003" s="8">
        <v>0</v>
      </c>
      <c r="AH1003" s="9">
        <v>0</v>
      </c>
      <c r="AI1003" s="30">
        <v>1</v>
      </c>
      <c r="AJ1003" s="9">
        <v>0</v>
      </c>
      <c r="AK1003" s="30">
        <v>1</v>
      </c>
      <c r="AL1003" s="21">
        <v>1996</v>
      </c>
      <c r="AM1003" s="23">
        <f t="shared" si="288"/>
        <v>7.5989004568714096</v>
      </c>
      <c r="AN1003" s="33" t="s">
        <v>104</v>
      </c>
      <c r="AO1003" s="33" t="s">
        <v>104</v>
      </c>
      <c r="AP1003" s="33" t="s">
        <v>104</v>
      </c>
      <c r="AQ1003" s="43" t="s">
        <v>104</v>
      </c>
      <c r="AR1003" s="42">
        <v>1</v>
      </c>
      <c r="AS1003" s="18">
        <v>0</v>
      </c>
      <c r="AT1003">
        <v>0.60099999999999998</v>
      </c>
      <c r="AU1003" s="40">
        <f t="shared" si="293"/>
        <v>0.39900000000000002</v>
      </c>
      <c r="AV1003">
        <v>1</v>
      </c>
      <c r="AW1003" s="40">
        <v>0</v>
      </c>
      <c r="AX1003">
        <v>1</v>
      </c>
      <c r="AY1003" s="18">
        <v>0</v>
      </c>
      <c r="AZ1003" t="s">
        <v>104</v>
      </c>
      <c r="BA1003" s="18" t="s">
        <v>104</v>
      </c>
      <c r="BB1003" s="18" t="s">
        <v>541</v>
      </c>
      <c r="BC1003">
        <v>1</v>
      </c>
      <c r="BD1003">
        <v>0</v>
      </c>
      <c r="BE1003">
        <v>0</v>
      </c>
      <c r="BF1003">
        <v>0</v>
      </c>
      <c r="BG1003">
        <v>0</v>
      </c>
      <c r="BH1003" s="18">
        <v>0</v>
      </c>
      <c r="BI1003">
        <v>1</v>
      </c>
      <c r="BJ1003">
        <v>0</v>
      </c>
      <c r="BK1003" s="18">
        <v>0</v>
      </c>
      <c r="BL1003">
        <v>696.41666666666663</v>
      </c>
      <c r="BM1003">
        <v>360</v>
      </c>
      <c r="BN1003" s="25">
        <v>35.799999999999997</v>
      </c>
      <c r="BO1003">
        <v>1</v>
      </c>
      <c r="BP1003">
        <v>0</v>
      </c>
      <c r="BQ1003">
        <v>0</v>
      </c>
      <c r="BR1003">
        <v>0</v>
      </c>
      <c r="BS1003">
        <v>0</v>
      </c>
      <c r="BT1003">
        <v>0</v>
      </c>
      <c r="BU1003">
        <v>0</v>
      </c>
      <c r="BV1003" s="18">
        <v>0</v>
      </c>
      <c r="BW1003">
        <v>0</v>
      </c>
      <c r="BX1003">
        <v>0</v>
      </c>
      <c r="BY1003">
        <v>1</v>
      </c>
      <c r="BZ1003" s="18">
        <v>0</v>
      </c>
      <c r="CA1003">
        <v>0</v>
      </c>
      <c r="CB1003">
        <v>0</v>
      </c>
      <c r="CC1003">
        <v>0</v>
      </c>
      <c r="CD1003">
        <v>0</v>
      </c>
      <c r="CE1003">
        <v>0</v>
      </c>
      <c r="CF1003" s="18">
        <v>0</v>
      </c>
      <c r="CG1003">
        <v>1</v>
      </c>
      <c r="CH1003">
        <v>1</v>
      </c>
      <c r="CI1003">
        <v>1</v>
      </c>
      <c r="CJ1003">
        <v>1</v>
      </c>
      <c r="CK1003">
        <v>0</v>
      </c>
      <c r="CL1003">
        <v>0</v>
      </c>
      <c r="CM1003">
        <v>1</v>
      </c>
      <c r="CN1003">
        <v>0</v>
      </c>
      <c r="CO1003">
        <v>1</v>
      </c>
      <c r="CP1003">
        <v>0</v>
      </c>
      <c r="CQ1003" s="18">
        <v>1</v>
      </c>
      <c r="CR1003">
        <v>0.04</v>
      </c>
      <c r="CS1003">
        <v>4</v>
      </c>
      <c r="CT1003">
        <v>1</v>
      </c>
      <c r="CU1003">
        <v>0</v>
      </c>
      <c r="CV1003">
        <v>21</v>
      </c>
      <c r="DB1003" s="34"/>
    </row>
    <row r="1004" spans="1:106" x14ac:dyDescent="0.25">
      <c r="A1004">
        <v>1003</v>
      </c>
      <c r="B1004">
        <v>69</v>
      </c>
      <c r="C1004" s="25" t="s">
        <v>4156</v>
      </c>
      <c r="D1004" s="12">
        <v>6.4</v>
      </c>
      <c r="E1004" s="14">
        <v>0.1</v>
      </c>
      <c r="F1004" s="7">
        <f t="shared" si="294"/>
        <v>64</v>
      </c>
      <c r="G1004" s="7">
        <f t="shared" si="279"/>
        <v>6.3000000000000007</v>
      </c>
      <c r="H1004" s="16">
        <f t="shared" si="280"/>
        <v>6.5</v>
      </c>
      <c r="I1004" s="11">
        <f t="shared" si="281"/>
        <v>4.5422983150308821E-2</v>
      </c>
      <c r="J1004" s="33">
        <f t="shared" si="282"/>
        <v>7.0973411172357533E-4</v>
      </c>
      <c r="K1004" s="33">
        <f t="shared" si="283"/>
        <v>1408.9783532758763</v>
      </c>
      <c r="L1004" s="33">
        <f t="shared" si="284"/>
        <v>4.4713249038585243E-2</v>
      </c>
      <c r="M1004" s="33">
        <f t="shared" si="285"/>
        <v>4.6132717262032399E-2</v>
      </c>
      <c r="N1004" s="8">
        <v>0</v>
      </c>
      <c r="O1004" s="9">
        <v>1</v>
      </c>
      <c r="P1004" s="8">
        <v>0</v>
      </c>
      <c r="Q1004" s="9">
        <v>0</v>
      </c>
      <c r="R1004" s="9">
        <v>0</v>
      </c>
      <c r="S1004" s="9">
        <v>1</v>
      </c>
      <c r="T1004" s="9">
        <v>0</v>
      </c>
      <c r="U1004" s="8">
        <v>1981128</v>
      </c>
      <c r="V1004" s="9">
        <v>3</v>
      </c>
      <c r="W1004" s="9">
        <f t="shared" si="286"/>
        <v>1981124</v>
      </c>
      <c r="X1004" s="9">
        <f t="shared" si="287"/>
        <v>15</v>
      </c>
      <c r="Y1004" s="7">
        <v>8.6</v>
      </c>
      <c r="Z1004" s="7">
        <v>7.51</v>
      </c>
      <c r="AA1004" s="9">
        <v>1</v>
      </c>
      <c r="AB1004" s="9">
        <v>0</v>
      </c>
      <c r="AC1004" s="9">
        <v>1</v>
      </c>
      <c r="AD1004" s="9">
        <v>0</v>
      </c>
      <c r="AE1004" s="9">
        <v>0</v>
      </c>
      <c r="AF1004" s="9">
        <v>0</v>
      </c>
      <c r="AG1004" s="8">
        <v>0</v>
      </c>
      <c r="AH1004" s="9">
        <v>0</v>
      </c>
      <c r="AI1004" s="30">
        <v>1</v>
      </c>
      <c r="AJ1004" s="9">
        <v>0</v>
      </c>
      <c r="AK1004" s="30">
        <v>1</v>
      </c>
      <c r="AL1004" s="21">
        <v>2005</v>
      </c>
      <c r="AM1004" s="23">
        <f t="shared" si="288"/>
        <v>7.6033993397406698</v>
      </c>
      <c r="AN1004" s="33" t="s">
        <v>104</v>
      </c>
      <c r="AO1004" s="33" t="s">
        <v>104</v>
      </c>
      <c r="AP1004" s="33" t="s">
        <v>104</v>
      </c>
      <c r="AQ1004" s="43" t="s">
        <v>104</v>
      </c>
      <c r="AR1004" s="42">
        <v>1</v>
      </c>
      <c r="AS1004" s="18">
        <v>0</v>
      </c>
      <c r="AT1004">
        <v>0.57799999999999996</v>
      </c>
      <c r="AU1004" s="40">
        <f t="shared" si="293"/>
        <v>0.42200000000000004</v>
      </c>
      <c r="AV1004">
        <v>1</v>
      </c>
      <c r="AW1004" s="40">
        <v>0</v>
      </c>
      <c r="AX1004">
        <v>1</v>
      </c>
      <c r="AY1004" s="18">
        <v>0</v>
      </c>
      <c r="AZ1004" t="s">
        <v>104</v>
      </c>
      <c r="BA1004" s="18" t="s">
        <v>104</v>
      </c>
      <c r="BB1004" s="18" t="s">
        <v>541</v>
      </c>
      <c r="BC1004">
        <v>1</v>
      </c>
      <c r="BD1004">
        <v>0</v>
      </c>
      <c r="BE1004">
        <v>0</v>
      </c>
      <c r="BF1004">
        <v>0</v>
      </c>
      <c r="BG1004">
        <v>0</v>
      </c>
      <c r="BH1004" s="18">
        <v>0</v>
      </c>
      <c r="BI1004">
        <v>1</v>
      </c>
      <c r="BJ1004">
        <v>0</v>
      </c>
      <c r="BK1004" s="18">
        <v>0</v>
      </c>
      <c r="BL1004">
        <v>696.41666666666663</v>
      </c>
      <c r="BM1004">
        <v>360</v>
      </c>
      <c r="BN1004" s="25">
        <v>37.270000000000003</v>
      </c>
      <c r="BO1004">
        <v>1</v>
      </c>
      <c r="BP1004">
        <v>0</v>
      </c>
      <c r="BQ1004">
        <v>0</v>
      </c>
      <c r="BR1004">
        <v>0</v>
      </c>
      <c r="BS1004">
        <v>0</v>
      </c>
      <c r="BT1004">
        <v>0</v>
      </c>
      <c r="BU1004">
        <v>0</v>
      </c>
      <c r="BV1004" s="18">
        <v>0</v>
      </c>
      <c r="BW1004">
        <v>0</v>
      </c>
      <c r="BX1004">
        <v>0</v>
      </c>
      <c r="BY1004">
        <v>1</v>
      </c>
      <c r="BZ1004" s="18">
        <v>0</v>
      </c>
      <c r="CA1004">
        <v>0</v>
      </c>
      <c r="CB1004">
        <v>0</v>
      </c>
      <c r="CC1004">
        <v>0</v>
      </c>
      <c r="CD1004">
        <v>0</v>
      </c>
      <c r="CE1004">
        <v>0</v>
      </c>
      <c r="CF1004" s="18">
        <v>0</v>
      </c>
      <c r="CG1004">
        <v>1</v>
      </c>
      <c r="CH1004">
        <v>1</v>
      </c>
      <c r="CI1004">
        <v>1</v>
      </c>
      <c r="CJ1004">
        <v>1</v>
      </c>
      <c r="CK1004">
        <v>0</v>
      </c>
      <c r="CL1004">
        <v>0</v>
      </c>
      <c r="CM1004">
        <v>1</v>
      </c>
      <c r="CN1004">
        <v>0</v>
      </c>
      <c r="CO1004">
        <v>1</v>
      </c>
      <c r="CP1004">
        <v>0</v>
      </c>
      <c r="CQ1004" s="18">
        <v>1</v>
      </c>
      <c r="CR1004">
        <v>0.04</v>
      </c>
      <c r="CS1004">
        <v>4</v>
      </c>
      <c r="CT1004">
        <v>1</v>
      </c>
      <c r="CU1004">
        <v>0</v>
      </c>
      <c r="CV1004">
        <v>21</v>
      </c>
      <c r="DB1004" s="34"/>
    </row>
    <row r="1005" spans="1:106" x14ac:dyDescent="0.25">
      <c r="A1005">
        <v>1004</v>
      </c>
      <c r="B1005">
        <v>69</v>
      </c>
      <c r="C1005" s="25" t="s">
        <v>4156</v>
      </c>
      <c r="D1005" s="12">
        <v>6.38</v>
      </c>
      <c r="E1005" s="14">
        <v>0.1</v>
      </c>
      <c r="F1005" s="7">
        <f t="shared" si="294"/>
        <v>63.8</v>
      </c>
      <c r="G1005" s="7">
        <f t="shared" si="279"/>
        <v>6.28</v>
      </c>
      <c r="H1005" s="16">
        <f t="shared" si="280"/>
        <v>6.4799999999999995</v>
      </c>
      <c r="I1005" s="11">
        <f t="shared" si="281"/>
        <v>4.4601204955611651E-2</v>
      </c>
      <c r="J1005" s="33">
        <f t="shared" si="282"/>
        <v>6.9907844758011989E-4</v>
      </c>
      <c r="K1005" s="33">
        <f t="shared" si="283"/>
        <v>1430.4546270329586</v>
      </c>
      <c r="L1005" s="33">
        <f t="shared" si="284"/>
        <v>4.3902126508031533E-2</v>
      </c>
      <c r="M1005" s="33">
        <f t="shared" si="285"/>
        <v>4.5300283403191768E-2</v>
      </c>
      <c r="N1005" s="8">
        <v>0</v>
      </c>
      <c r="O1005" s="9">
        <v>1</v>
      </c>
      <c r="P1005" s="8">
        <v>0</v>
      </c>
      <c r="Q1005" s="9">
        <v>0</v>
      </c>
      <c r="R1005" s="9">
        <v>0</v>
      </c>
      <c r="S1005" s="9">
        <v>1</v>
      </c>
      <c r="T1005" s="9">
        <v>0</v>
      </c>
      <c r="U1005" s="8">
        <v>2042134</v>
      </c>
      <c r="V1005" s="9">
        <v>3</v>
      </c>
      <c r="W1005" s="9">
        <f t="shared" si="286"/>
        <v>2042130</v>
      </c>
      <c r="X1005" s="9">
        <f t="shared" si="287"/>
        <v>15</v>
      </c>
      <c r="Y1005" s="7">
        <v>9.51</v>
      </c>
      <c r="Z1005" s="7">
        <v>7.9</v>
      </c>
      <c r="AA1005" s="9">
        <v>1</v>
      </c>
      <c r="AB1005" s="9">
        <v>0</v>
      </c>
      <c r="AC1005" s="9">
        <v>1</v>
      </c>
      <c r="AD1005" s="9">
        <v>0</v>
      </c>
      <c r="AE1005" s="9">
        <v>0</v>
      </c>
      <c r="AF1005" s="9">
        <v>0</v>
      </c>
      <c r="AG1005" s="8">
        <v>0</v>
      </c>
      <c r="AH1005" s="9">
        <v>0</v>
      </c>
      <c r="AI1005" s="30">
        <v>1</v>
      </c>
      <c r="AJ1005" s="9">
        <v>0</v>
      </c>
      <c r="AK1005" s="30">
        <v>1</v>
      </c>
      <c r="AL1005" s="21">
        <v>2010</v>
      </c>
      <c r="AM1005" s="23">
        <f t="shared" si="288"/>
        <v>7.6058900010531216</v>
      </c>
      <c r="AN1005" s="33" t="s">
        <v>104</v>
      </c>
      <c r="AO1005" s="33" t="s">
        <v>104</v>
      </c>
      <c r="AP1005" s="33" t="s">
        <v>104</v>
      </c>
      <c r="AQ1005" s="43" t="s">
        <v>104</v>
      </c>
      <c r="AR1005" s="42">
        <v>1</v>
      </c>
      <c r="AS1005" s="18">
        <v>0</v>
      </c>
      <c r="AT1005">
        <v>0.54800000000000004</v>
      </c>
      <c r="AU1005" s="40">
        <f t="shared" si="293"/>
        <v>0.45199999999999996</v>
      </c>
      <c r="AV1005">
        <v>1</v>
      </c>
      <c r="AW1005" s="40">
        <v>0</v>
      </c>
      <c r="AX1005">
        <v>1</v>
      </c>
      <c r="AY1005" s="18">
        <v>0</v>
      </c>
      <c r="AZ1005" t="s">
        <v>104</v>
      </c>
      <c r="BA1005" s="18" t="s">
        <v>104</v>
      </c>
      <c r="BB1005" s="18" t="s">
        <v>541</v>
      </c>
      <c r="BC1005">
        <v>1</v>
      </c>
      <c r="BD1005">
        <v>0</v>
      </c>
      <c r="BE1005">
        <v>0</v>
      </c>
      <c r="BF1005">
        <v>0</v>
      </c>
      <c r="BG1005">
        <v>0</v>
      </c>
      <c r="BH1005" s="18">
        <v>0</v>
      </c>
      <c r="BI1005">
        <v>1</v>
      </c>
      <c r="BJ1005">
        <v>0</v>
      </c>
      <c r="BK1005" s="18">
        <v>0</v>
      </c>
      <c r="BL1005">
        <v>696.41666666666663</v>
      </c>
      <c r="BM1005">
        <v>360</v>
      </c>
      <c r="BN1005" s="25">
        <v>38.58</v>
      </c>
      <c r="BO1005">
        <v>1</v>
      </c>
      <c r="BP1005">
        <v>0</v>
      </c>
      <c r="BQ1005">
        <v>0</v>
      </c>
      <c r="BR1005">
        <v>0</v>
      </c>
      <c r="BS1005">
        <v>0</v>
      </c>
      <c r="BT1005">
        <v>0</v>
      </c>
      <c r="BU1005">
        <v>0</v>
      </c>
      <c r="BV1005" s="18">
        <v>0</v>
      </c>
      <c r="BW1005">
        <v>0</v>
      </c>
      <c r="BX1005">
        <v>0</v>
      </c>
      <c r="BY1005">
        <v>1</v>
      </c>
      <c r="BZ1005" s="18">
        <v>0</v>
      </c>
      <c r="CA1005">
        <v>0</v>
      </c>
      <c r="CB1005">
        <v>0</v>
      </c>
      <c r="CC1005">
        <v>0</v>
      </c>
      <c r="CD1005">
        <v>0</v>
      </c>
      <c r="CE1005">
        <v>0</v>
      </c>
      <c r="CF1005" s="18">
        <v>0</v>
      </c>
      <c r="CG1005">
        <v>1</v>
      </c>
      <c r="CH1005">
        <v>1</v>
      </c>
      <c r="CI1005">
        <v>1</v>
      </c>
      <c r="CJ1005">
        <v>1</v>
      </c>
      <c r="CK1005">
        <v>0</v>
      </c>
      <c r="CL1005">
        <v>0</v>
      </c>
      <c r="CM1005">
        <v>1</v>
      </c>
      <c r="CN1005">
        <v>0</v>
      </c>
      <c r="CO1005">
        <v>1</v>
      </c>
      <c r="CP1005">
        <v>0</v>
      </c>
      <c r="CQ1005" s="18">
        <v>1</v>
      </c>
      <c r="CR1005">
        <v>0.04</v>
      </c>
      <c r="CS1005">
        <v>4</v>
      </c>
      <c r="CT1005">
        <v>1</v>
      </c>
      <c r="CU1005">
        <v>0</v>
      </c>
      <c r="CV1005">
        <v>21</v>
      </c>
      <c r="DB1005" s="34"/>
    </row>
    <row r="1006" spans="1:106" x14ac:dyDescent="0.25">
      <c r="A1006">
        <v>1005</v>
      </c>
      <c r="B1006">
        <v>69</v>
      </c>
      <c r="C1006" s="25" t="s">
        <v>4156</v>
      </c>
      <c r="D1006" s="12">
        <v>6.37</v>
      </c>
      <c r="E1006" s="14">
        <v>0.1</v>
      </c>
      <c r="F1006" s="7">
        <f t="shared" si="294"/>
        <v>63.699999999999996</v>
      </c>
      <c r="G1006" s="7">
        <f t="shared" si="279"/>
        <v>6.2700000000000005</v>
      </c>
      <c r="H1006" s="16">
        <f t="shared" si="280"/>
        <v>6.47</v>
      </c>
      <c r="I1006" s="11">
        <f t="shared" si="281"/>
        <v>4.6105479453435814E-2</v>
      </c>
      <c r="J1006" s="33">
        <f t="shared" si="282"/>
        <v>7.2379088623918087E-4</v>
      </c>
      <c r="K1006" s="33">
        <f t="shared" si="283"/>
        <v>1381.6145229404619</v>
      </c>
      <c r="L1006" s="33">
        <f t="shared" si="284"/>
        <v>4.5381688567196633E-2</v>
      </c>
      <c r="M1006" s="33">
        <f t="shared" si="285"/>
        <v>4.6829270339674996E-2</v>
      </c>
      <c r="N1006" s="8">
        <v>0</v>
      </c>
      <c r="O1006" s="9">
        <v>1</v>
      </c>
      <c r="P1006" s="8">
        <v>0</v>
      </c>
      <c r="Q1006" s="9">
        <v>0</v>
      </c>
      <c r="R1006" s="9">
        <v>0</v>
      </c>
      <c r="S1006" s="9">
        <v>1</v>
      </c>
      <c r="T1006" s="9">
        <v>0</v>
      </c>
      <c r="U1006" s="8">
        <v>1904805</v>
      </c>
      <c r="V1006" s="9">
        <v>3</v>
      </c>
      <c r="W1006" s="9">
        <f t="shared" si="286"/>
        <v>1904801</v>
      </c>
      <c r="X1006" s="9">
        <f t="shared" si="287"/>
        <v>15</v>
      </c>
      <c r="Y1006" s="7">
        <v>9.9</v>
      </c>
      <c r="Z1006" s="7">
        <v>8.7200000000000006</v>
      </c>
      <c r="AA1006" s="9">
        <v>1</v>
      </c>
      <c r="AB1006" s="9">
        <v>0</v>
      </c>
      <c r="AC1006" s="9">
        <v>1</v>
      </c>
      <c r="AD1006" s="9">
        <v>0</v>
      </c>
      <c r="AE1006" s="9">
        <v>0</v>
      </c>
      <c r="AF1006" s="9">
        <v>0</v>
      </c>
      <c r="AG1006" s="8">
        <v>0</v>
      </c>
      <c r="AH1006" s="9">
        <v>0</v>
      </c>
      <c r="AI1006" s="30">
        <v>1</v>
      </c>
      <c r="AJ1006" s="9">
        <v>0</v>
      </c>
      <c r="AK1006" s="30">
        <v>1</v>
      </c>
      <c r="AL1006" s="21">
        <v>2013</v>
      </c>
      <c r="AM1006" s="23">
        <f t="shared" si="288"/>
        <v>7.6073814256397911</v>
      </c>
      <c r="AN1006" s="33" t="s">
        <v>104</v>
      </c>
      <c r="AO1006" s="33" t="s">
        <v>104</v>
      </c>
      <c r="AP1006" s="33" t="s">
        <v>104</v>
      </c>
      <c r="AQ1006" s="43" t="s">
        <v>104</v>
      </c>
      <c r="AR1006" s="42">
        <v>1</v>
      </c>
      <c r="AS1006" s="18">
        <v>0</v>
      </c>
      <c r="AT1006">
        <v>0.52700000000000002</v>
      </c>
      <c r="AU1006" s="40">
        <f t="shared" si="293"/>
        <v>0.47299999999999998</v>
      </c>
      <c r="AV1006">
        <v>1</v>
      </c>
      <c r="AW1006" s="40">
        <v>0</v>
      </c>
      <c r="AX1006">
        <v>1</v>
      </c>
      <c r="AY1006" s="18">
        <v>0</v>
      </c>
      <c r="AZ1006" t="s">
        <v>104</v>
      </c>
      <c r="BA1006" s="18" t="s">
        <v>104</v>
      </c>
      <c r="BB1006" s="18" t="s">
        <v>541</v>
      </c>
      <c r="BC1006">
        <v>1</v>
      </c>
      <c r="BD1006">
        <v>0</v>
      </c>
      <c r="BE1006">
        <v>0</v>
      </c>
      <c r="BF1006">
        <v>0</v>
      </c>
      <c r="BG1006">
        <v>0</v>
      </c>
      <c r="BH1006" s="18">
        <v>0</v>
      </c>
      <c r="BI1006">
        <v>1</v>
      </c>
      <c r="BJ1006">
        <v>0</v>
      </c>
      <c r="BK1006" s="18">
        <v>0</v>
      </c>
      <c r="BL1006">
        <v>696.41666666666663</v>
      </c>
      <c r="BM1006">
        <v>360</v>
      </c>
      <c r="BN1006" s="25">
        <v>39.659999999999997</v>
      </c>
      <c r="BO1006">
        <v>1</v>
      </c>
      <c r="BP1006">
        <v>0</v>
      </c>
      <c r="BQ1006">
        <v>0</v>
      </c>
      <c r="BR1006">
        <v>0</v>
      </c>
      <c r="BS1006">
        <v>0</v>
      </c>
      <c r="BT1006">
        <v>0</v>
      </c>
      <c r="BU1006">
        <v>0</v>
      </c>
      <c r="BV1006" s="18">
        <v>0</v>
      </c>
      <c r="BW1006">
        <v>0</v>
      </c>
      <c r="BX1006">
        <v>0</v>
      </c>
      <c r="BY1006">
        <v>1</v>
      </c>
      <c r="BZ1006" s="18">
        <v>0</v>
      </c>
      <c r="CA1006">
        <v>0</v>
      </c>
      <c r="CB1006">
        <v>0</v>
      </c>
      <c r="CC1006">
        <v>0</v>
      </c>
      <c r="CD1006">
        <v>0</v>
      </c>
      <c r="CE1006">
        <v>0</v>
      </c>
      <c r="CF1006" s="18">
        <v>0</v>
      </c>
      <c r="CG1006">
        <v>1</v>
      </c>
      <c r="CH1006">
        <v>1</v>
      </c>
      <c r="CI1006">
        <v>1</v>
      </c>
      <c r="CJ1006">
        <v>1</v>
      </c>
      <c r="CK1006">
        <v>0</v>
      </c>
      <c r="CL1006">
        <v>0</v>
      </c>
      <c r="CM1006">
        <v>1</v>
      </c>
      <c r="CN1006">
        <v>0</v>
      </c>
      <c r="CO1006">
        <v>1</v>
      </c>
      <c r="CP1006">
        <v>0</v>
      </c>
      <c r="CQ1006" s="18">
        <v>1</v>
      </c>
      <c r="CR1006">
        <v>0.04</v>
      </c>
      <c r="CS1006">
        <v>4</v>
      </c>
      <c r="CT1006">
        <v>1</v>
      </c>
      <c r="CU1006">
        <v>0</v>
      </c>
      <c r="CV1006">
        <v>21</v>
      </c>
      <c r="DB1006" s="34"/>
    </row>
    <row r="1007" spans="1:106" x14ac:dyDescent="0.25">
      <c r="A1007">
        <v>1006</v>
      </c>
      <c r="B1007">
        <v>69</v>
      </c>
      <c r="C1007" s="25" t="s">
        <v>4156</v>
      </c>
      <c r="D1007" s="12">
        <v>6.11</v>
      </c>
      <c r="E1007" s="14">
        <v>0.1</v>
      </c>
      <c r="F1007" s="7">
        <f t="shared" si="294"/>
        <v>61.1</v>
      </c>
      <c r="G1007" s="7">
        <f t="shared" si="279"/>
        <v>6.0100000000000007</v>
      </c>
      <c r="H1007" s="16">
        <f t="shared" si="280"/>
        <v>6.21</v>
      </c>
      <c r="I1007" s="11">
        <f t="shared" si="281"/>
        <v>6.1281471570910073E-2</v>
      </c>
      <c r="J1007" s="33">
        <f t="shared" si="282"/>
        <v>1.002970074810312E-3</v>
      </c>
      <c r="K1007" s="33">
        <f t="shared" si="283"/>
        <v>997.0387204115998</v>
      </c>
      <c r="L1007" s="33">
        <f t="shared" si="284"/>
        <v>6.0278501496099764E-2</v>
      </c>
      <c r="M1007" s="33">
        <f t="shared" si="285"/>
        <v>6.2284441645720383E-2</v>
      </c>
      <c r="N1007" s="8">
        <v>0</v>
      </c>
      <c r="O1007" s="9">
        <v>1</v>
      </c>
      <c r="P1007" s="8">
        <v>0</v>
      </c>
      <c r="Q1007" s="9">
        <v>0</v>
      </c>
      <c r="R1007" s="9">
        <v>0</v>
      </c>
      <c r="S1007" s="9">
        <v>1</v>
      </c>
      <c r="T1007" s="9">
        <v>0</v>
      </c>
      <c r="U1007" s="8">
        <v>990357</v>
      </c>
      <c r="V1007" s="9">
        <v>3</v>
      </c>
      <c r="W1007" s="9">
        <f t="shared" si="286"/>
        <v>990353</v>
      </c>
      <c r="X1007" s="9">
        <f t="shared" si="287"/>
        <v>15</v>
      </c>
      <c r="Y1007" s="7">
        <v>5.6</v>
      </c>
      <c r="Z1007" s="7">
        <v>9.23</v>
      </c>
      <c r="AA1007" s="9">
        <v>1</v>
      </c>
      <c r="AB1007" s="9">
        <v>0</v>
      </c>
      <c r="AC1007" s="9">
        <v>1</v>
      </c>
      <c r="AD1007" s="9">
        <v>0</v>
      </c>
      <c r="AE1007" s="9">
        <v>0</v>
      </c>
      <c r="AF1007" s="9">
        <v>0</v>
      </c>
      <c r="AG1007" s="8">
        <v>0</v>
      </c>
      <c r="AH1007" s="9">
        <v>0</v>
      </c>
      <c r="AI1007" s="30">
        <v>1</v>
      </c>
      <c r="AJ1007" s="9">
        <v>0</v>
      </c>
      <c r="AK1007" s="30">
        <v>1</v>
      </c>
      <c r="AL1007" s="21">
        <v>1986</v>
      </c>
      <c r="AM1007" s="23">
        <f t="shared" si="288"/>
        <v>7.5938778446051183</v>
      </c>
      <c r="AN1007" s="33" t="s">
        <v>104</v>
      </c>
      <c r="AO1007" s="33" t="s">
        <v>104</v>
      </c>
      <c r="AP1007" s="33" t="s">
        <v>104</v>
      </c>
      <c r="AQ1007" s="43" t="s">
        <v>104</v>
      </c>
      <c r="AR1007" s="42">
        <v>1</v>
      </c>
      <c r="AS1007" s="18">
        <v>0</v>
      </c>
      <c r="AT1007">
        <v>0.66900000000000004</v>
      </c>
      <c r="AU1007" s="40">
        <f t="shared" si="293"/>
        <v>0.33099999999999996</v>
      </c>
      <c r="AV1007">
        <v>1</v>
      </c>
      <c r="AW1007" s="40">
        <v>0</v>
      </c>
      <c r="AX1007">
        <v>1</v>
      </c>
      <c r="AY1007" s="18">
        <v>0</v>
      </c>
      <c r="AZ1007" t="s">
        <v>104</v>
      </c>
      <c r="BA1007" s="18" t="s">
        <v>104</v>
      </c>
      <c r="BB1007" s="18" t="s">
        <v>541</v>
      </c>
      <c r="BC1007">
        <v>1</v>
      </c>
      <c r="BD1007">
        <v>0</v>
      </c>
      <c r="BE1007">
        <v>0</v>
      </c>
      <c r="BF1007">
        <v>0</v>
      </c>
      <c r="BG1007">
        <v>0</v>
      </c>
      <c r="BH1007" s="18">
        <v>0</v>
      </c>
      <c r="BI1007">
        <v>1</v>
      </c>
      <c r="BJ1007">
        <v>0</v>
      </c>
      <c r="BK1007" s="18">
        <v>0</v>
      </c>
      <c r="BL1007">
        <v>696.41666666666663</v>
      </c>
      <c r="BM1007">
        <v>360</v>
      </c>
      <c r="BN1007" s="25">
        <v>34.99</v>
      </c>
      <c r="BO1007">
        <v>1</v>
      </c>
      <c r="BP1007">
        <v>0</v>
      </c>
      <c r="BQ1007">
        <v>0</v>
      </c>
      <c r="BR1007">
        <v>0</v>
      </c>
      <c r="BS1007">
        <v>0</v>
      </c>
      <c r="BT1007">
        <v>0</v>
      </c>
      <c r="BU1007">
        <v>0</v>
      </c>
      <c r="BV1007" s="18">
        <v>0</v>
      </c>
      <c r="BW1007">
        <v>0</v>
      </c>
      <c r="BX1007">
        <v>0</v>
      </c>
      <c r="BY1007">
        <v>1</v>
      </c>
      <c r="BZ1007" s="18">
        <v>0</v>
      </c>
      <c r="CA1007">
        <v>0</v>
      </c>
      <c r="CB1007">
        <v>0</v>
      </c>
      <c r="CC1007">
        <v>0</v>
      </c>
      <c r="CD1007">
        <v>0</v>
      </c>
      <c r="CE1007">
        <v>0</v>
      </c>
      <c r="CF1007" s="18">
        <v>0</v>
      </c>
      <c r="CG1007">
        <v>1</v>
      </c>
      <c r="CH1007">
        <v>1</v>
      </c>
      <c r="CI1007">
        <v>1</v>
      </c>
      <c r="CJ1007">
        <v>1</v>
      </c>
      <c r="CK1007">
        <v>0</v>
      </c>
      <c r="CL1007">
        <v>0</v>
      </c>
      <c r="CM1007">
        <v>1</v>
      </c>
      <c r="CN1007">
        <v>0</v>
      </c>
      <c r="CO1007">
        <v>1</v>
      </c>
      <c r="CP1007">
        <v>0</v>
      </c>
      <c r="CQ1007" s="18">
        <v>0</v>
      </c>
      <c r="CR1007">
        <v>0.04</v>
      </c>
      <c r="CS1007">
        <v>4</v>
      </c>
      <c r="CT1007">
        <v>1</v>
      </c>
      <c r="CU1007">
        <v>0</v>
      </c>
      <c r="CV1007">
        <v>21</v>
      </c>
      <c r="DB1007" s="34"/>
    </row>
    <row r="1008" spans="1:106" x14ac:dyDescent="0.25">
      <c r="A1008">
        <v>1007</v>
      </c>
      <c r="B1008">
        <v>69</v>
      </c>
      <c r="C1008" s="25" t="s">
        <v>4156</v>
      </c>
      <c r="D1008" s="12">
        <v>7.19</v>
      </c>
      <c r="E1008" s="14">
        <v>0.1</v>
      </c>
      <c r="F1008" s="7">
        <f t="shared" si="294"/>
        <v>71.900000000000006</v>
      </c>
      <c r="G1008" s="7">
        <f t="shared" si="279"/>
        <v>7.0900000000000007</v>
      </c>
      <c r="H1008" s="16">
        <f t="shared" si="280"/>
        <v>7.29</v>
      </c>
      <c r="I1008" s="11">
        <f t="shared" si="281"/>
        <v>5.9304085037547423E-2</v>
      </c>
      <c r="J1008" s="33">
        <f t="shared" si="282"/>
        <v>8.248134219408542E-4</v>
      </c>
      <c r="K1008" s="33">
        <f t="shared" si="283"/>
        <v>1212.3954016738928</v>
      </c>
      <c r="L1008" s="33">
        <f t="shared" si="284"/>
        <v>5.8479271615606572E-2</v>
      </c>
      <c r="M1008" s="33">
        <f t="shared" si="285"/>
        <v>6.0128898459488274E-2</v>
      </c>
      <c r="N1008" s="8">
        <v>0</v>
      </c>
      <c r="O1008" s="9">
        <v>1</v>
      </c>
      <c r="P1008" s="8">
        <v>0</v>
      </c>
      <c r="Q1008" s="9">
        <v>0</v>
      </c>
      <c r="R1008" s="9">
        <v>0</v>
      </c>
      <c r="S1008" s="9">
        <v>1</v>
      </c>
      <c r="T1008" s="9">
        <v>0</v>
      </c>
      <c r="U1008" s="8">
        <v>1464737</v>
      </c>
      <c r="V1008" s="9">
        <v>3</v>
      </c>
      <c r="W1008" s="9">
        <f t="shared" si="286"/>
        <v>1464733</v>
      </c>
      <c r="X1008" s="9">
        <f t="shared" si="287"/>
        <v>15</v>
      </c>
      <c r="Y1008" s="7">
        <v>7.08</v>
      </c>
      <c r="Z1008" s="7">
        <v>8.42</v>
      </c>
      <c r="AA1008" s="9">
        <v>1</v>
      </c>
      <c r="AB1008" s="9">
        <v>0</v>
      </c>
      <c r="AC1008" s="9">
        <v>1</v>
      </c>
      <c r="AD1008" s="9">
        <v>0</v>
      </c>
      <c r="AE1008" s="9">
        <v>0</v>
      </c>
      <c r="AF1008" s="9">
        <v>0</v>
      </c>
      <c r="AG1008" s="8">
        <v>0</v>
      </c>
      <c r="AH1008" s="9">
        <v>0</v>
      </c>
      <c r="AI1008" s="30">
        <v>1</v>
      </c>
      <c r="AJ1008" s="9">
        <v>0</v>
      </c>
      <c r="AK1008" s="30">
        <v>1</v>
      </c>
      <c r="AL1008" s="21">
        <v>1996</v>
      </c>
      <c r="AM1008" s="23">
        <f t="shared" si="288"/>
        <v>7.5989004568714096</v>
      </c>
      <c r="AN1008" s="33" t="s">
        <v>104</v>
      </c>
      <c r="AO1008" s="33" t="s">
        <v>104</v>
      </c>
      <c r="AP1008" s="33" t="s">
        <v>104</v>
      </c>
      <c r="AQ1008" s="43" t="s">
        <v>104</v>
      </c>
      <c r="AR1008" s="42">
        <v>1</v>
      </c>
      <c r="AS1008" s="18">
        <v>0</v>
      </c>
      <c r="AT1008">
        <v>0.60099999999999998</v>
      </c>
      <c r="AU1008" s="40">
        <f t="shared" si="293"/>
        <v>0.39900000000000002</v>
      </c>
      <c r="AV1008">
        <v>1</v>
      </c>
      <c r="AW1008" s="40">
        <v>0</v>
      </c>
      <c r="AX1008">
        <v>1</v>
      </c>
      <c r="AY1008" s="18">
        <v>0</v>
      </c>
      <c r="AZ1008" t="s">
        <v>104</v>
      </c>
      <c r="BA1008" s="18" t="s">
        <v>104</v>
      </c>
      <c r="BB1008" s="18" t="s">
        <v>541</v>
      </c>
      <c r="BC1008">
        <v>1</v>
      </c>
      <c r="BD1008">
        <v>0</v>
      </c>
      <c r="BE1008">
        <v>0</v>
      </c>
      <c r="BF1008">
        <v>0</v>
      </c>
      <c r="BG1008">
        <v>0</v>
      </c>
      <c r="BH1008" s="18">
        <v>0</v>
      </c>
      <c r="BI1008">
        <v>1</v>
      </c>
      <c r="BJ1008">
        <v>0</v>
      </c>
      <c r="BK1008" s="18">
        <v>0</v>
      </c>
      <c r="BL1008">
        <v>696.41666666666663</v>
      </c>
      <c r="BM1008">
        <v>360</v>
      </c>
      <c r="BN1008" s="25">
        <v>35.799999999999997</v>
      </c>
      <c r="BO1008">
        <v>1</v>
      </c>
      <c r="BP1008">
        <v>0</v>
      </c>
      <c r="BQ1008">
        <v>0</v>
      </c>
      <c r="BR1008">
        <v>0</v>
      </c>
      <c r="BS1008">
        <v>0</v>
      </c>
      <c r="BT1008">
        <v>0</v>
      </c>
      <c r="BU1008">
        <v>0</v>
      </c>
      <c r="BV1008" s="18">
        <v>0</v>
      </c>
      <c r="BW1008">
        <v>0</v>
      </c>
      <c r="BX1008">
        <v>0</v>
      </c>
      <c r="BY1008">
        <v>1</v>
      </c>
      <c r="BZ1008" s="18">
        <v>0</v>
      </c>
      <c r="CA1008">
        <v>0</v>
      </c>
      <c r="CB1008">
        <v>0</v>
      </c>
      <c r="CC1008">
        <v>0</v>
      </c>
      <c r="CD1008">
        <v>0</v>
      </c>
      <c r="CE1008">
        <v>0</v>
      </c>
      <c r="CF1008" s="18">
        <v>0</v>
      </c>
      <c r="CG1008">
        <v>1</v>
      </c>
      <c r="CH1008">
        <v>1</v>
      </c>
      <c r="CI1008">
        <v>1</v>
      </c>
      <c r="CJ1008">
        <v>1</v>
      </c>
      <c r="CK1008">
        <v>0</v>
      </c>
      <c r="CL1008">
        <v>0</v>
      </c>
      <c r="CM1008">
        <v>1</v>
      </c>
      <c r="CN1008">
        <v>0</v>
      </c>
      <c r="CO1008">
        <v>1</v>
      </c>
      <c r="CP1008">
        <v>0</v>
      </c>
      <c r="CQ1008" s="18">
        <v>0</v>
      </c>
      <c r="CR1008">
        <v>0.04</v>
      </c>
      <c r="CS1008">
        <v>4</v>
      </c>
      <c r="CT1008">
        <v>1</v>
      </c>
      <c r="CU1008">
        <v>0</v>
      </c>
      <c r="CV1008">
        <v>21</v>
      </c>
      <c r="DB1008" s="34"/>
    </row>
    <row r="1009" spans="1:106" x14ac:dyDescent="0.25">
      <c r="A1009">
        <v>1008</v>
      </c>
      <c r="B1009">
        <v>69</v>
      </c>
      <c r="C1009" s="25" t="s">
        <v>4156</v>
      </c>
      <c r="D1009" s="12">
        <v>7.32</v>
      </c>
      <c r="E1009" s="14">
        <v>0.1</v>
      </c>
      <c r="F1009" s="7">
        <f t="shared" si="294"/>
        <v>73.2</v>
      </c>
      <c r="G1009" s="7">
        <f t="shared" si="279"/>
        <v>7.2200000000000006</v>
      </c>
      <c r="H1009" s="16">
        <f t="shared" si="280"/>
        <v>7.42</v>
      </c>
      <c r="I1009" s="11">
        <f t="shared" si="281"/>
        <v>5.1936028652708639E-2</v>
      </c>
      <c r="J1009" s="33">
        <f t="shared" si="282"/>
        <v>7.095085881517573E-4</v>
      </c>
      <c r="K1009" s="33">
        <f t="shared" si="283"/>
        <v>1409.4262094909404</v>
      </c>
      <c r="L1009" s="33">
        <f t="shared" si="284"/>
        <v>5.1226520064556885E-2</v>
      </c>
      <c r="M1009" s="33">
        <f t="shared" si="285"/>
        <v>5.2645537240860393E-2</v>
      </c>
      <c r="N1009" s="8">
        <v>0</v>
      </c>
      <c r="O1009" s="9">
        <v>1</v>
      </c>
      <c r="P1009" s="8">
        <v>0</v>
      </c>
      <c r="Q1009" s="9">
        <v>0</v>
      </c>
      <c r="R1009" s="9">
        <v>0</v>
      </c>
      <c r="S1009" s="9">
        <v>1</v>
      </c>
      <c r="T1009" s="9">
        <v>0</v>
      </c>
      <c r="U1009" s="8">
        <v>1981128</v>
      </c>
      <c r="V1009" s="9">
        <v>3</v>
      </c>
      <c r="W1009" s="9">
        <f t="shared" si="286"/>
        <v>1981124</v>
      </c>
      <c r="X1009" s="9">
        <f t="shared" si="287"/>
        <v>15</v>
      </c>
      <c r="Y1009" s="7">
        <v>8.6</v>
      </c>
      <c r="Z1009" s="7">
        <v>7.51</v>
      </c>
      <c r="AA1009" s="9">
        <v>1</v>
      </c>
      <c r="AB1009" s="9">
        <v>0</v>
      </c>
      <c r="AC1009" s="9">
        <v>1</v>
      </c>
      <c r="AD1009" s="9">
        <v>0</v>
      </c>
      <c r="AE1009" s="9">
        <v>0</v>
      </c>
      <c r="AF1009" s="9">
        <v>0</v>
      </c>
      <c r="AG1009" s="8">
        <v>0</v>
      </c>
      <c r="AH1009" s="9">
        <v>0</v>
      </c>
      <c r="AI1009" s="30">
        <v>1</v>
      </c>
      <c r="AJ1009" s="9">
        <v>0</v>
      </c>
      <c r="AK1009" s="30">
        <v>1</v>
      </c>
      <c r="AL1009" s="21">
        <v>2005</v>
      </c>
      <c r="AM1009" s="23">
        <f t="shared" si="288"/>
        <v>7.6033993397406698</v>
      </c>
      <c r="AN1009" s="33" t="s">
        <v>104</v>
      </c>
      <c r="AO1009" s="33" t="s">
        <v>104</v>
      </c>
      <c r="AP1009" s="33" t="s">
        <v>104</v>
      </c>
      <c r="AQ1009" s="43" t="s">
        <v>104</v>
      </c>
      <c r="AR1009" s="42">
        <v>1</v>
      </c>
      <c r="AS1009" s="18">
        <v>0</v>
      </c>
      <c r="AT1009">
        <v>0.57799999999999996</v>
      </c>
      <c r="AU1009" s="40">
        <f t="shared" si="293"/>
        <v>0.42200000000000004</v>
      </c>
      <c r="AV1009">
        <v>1</v>
      </c>
      <c r="AW1009" s="40">
        <v>0</v>
      </c>
      <c r="AX1009">
        <v>1</v>
      </c>
      <c r="AY1009" s="18">
        <v>0</v>
      </c>
      <c r="AZ1009" t="s">
        <v>104</v>
      </c>
      <c r="BA1009" s="18" t="s">
        <v>104</v>
      </c>
      <c r="BB1009" s="18" t="s">
        <v>541</v>
      </c>
      <c r="BC1009">
        <v>1</v>
      </c>
      <c r="BD1009">
        <v>0</v>
      </c>
      <c r="BE1009">
        <v>0</v>
      </c>
      <c r="BF1009">
        <v>0</v>
      </c>
      <c r="BG1009">
        <v>0</v>
      </c>
      <c r="BH1009" s="18">
        <v>0</v>
      </c>
      <c r="BI1009">
        <v>1</v>
      </c>
      <c r="BJ1009">
        <v>0</v>
      </c>
      <c r="BK1009" s="18">
        <v>0</v>
      </c>
      <c r="BL1009">
        <v>696.41666666666663</v>
      </c>
      <c r="BM1009">
        <v>360</v>
      </c>
      <c r="BN1009" s="25">
        <v>37.270000000000003</v>
      </c>
      <c r="BO1009">
        <v>1</v>
      </c>
      <c r="BP1009">
        <v>0</v>
      </c>
      <c r="BQ1009">
        <v>0</v>
      </c>
      <c r="BR1009">
        <v>0</v>
      </c>
      <c r="BS1009">
        <v>0</v>
      </c>
      <c r="BT1009">
        <v>0</v>
      </c>
      <c r="BU1009">
        <v>0</v>
      </c>
      <c r="BV1009" s="18">
        <v>0</v>
      </c>
      <c r="BW1009">
        <v>0</v>
      </c>
      <c r="BX1009">
        <v>0</v>
      </c>
      <c r="BY1009">
        <v>1</v>
      </c>
      <c r="BZ1009" s="18">
        <v>0</v>
      </c>
      <c r="CA1009">
        <v>0</v>
      </c>
      <c r="CB1009">
        <v>0</v>
      </c>
      <c r="CC1009">
        <v>0</v>
      </c>
      <c r="CD1009">
        <v>0</v>
      </c>
      <c r="CE1009">
        <v>0</v>
      </c>
      <c r="CF1009" s="18">
        <v>0</v>
      </c>
      <c r="CG1009">
        <v>1</v>
      </c>
      <c r="CH1009">
        <v>1</v>
      </c>
      <c r="CI1009">
        <v>1</v>
      </c>
      <c r="CJ1009">
        <v>1</v>
      </c>
      <c r="CK1009">
        <v>0</v>
      </c>
      <c r="CL1009">
        <v>0</v>
      </c>
      <c r="CM1009">
        <v>1</v>
      </c>
      <c r="CN1009">
        <v>0</v>
      </c>
      <c r="CO1009">
        <v>1</v>
      </c>
      <c r="CP1009">
        <v>0</v>
      </c>
      <c r="CQ1009" s="18">
        <v>0</v>
      </c>
      <c r="CR1009">
        <v>0.04</v>
      </c>
      <c r="CS1009">
        <v>4</v>
      </c>
      <c r="CT1009">
        <v>1</v>
      </c>
      <c r="CU1009">
        <v>0</v>
      </c>
      <c r="CV1009">
        <v>21</v>
      </c>
      <c r="DB1009" s="34"/>
    </row>
    <row r="1010" spans="1:106" x14ac:dyDescent="0.25">
      <c r="A1010">
        <v>1009</v>
      </c>
      <c r="B1010">
        <v>69</v>
      </c>
      <c r="C1010" s="25" t="s">
        <v>4156</v>
      </c>
      <c r="D1010" s="12">
        <v>7.16</v>
      </c>
      <c r="E1010" s="14">
        <v>0.1</v>
      </c>
      <c r="F1010" s="7">
        <f t="shared" si="294"/>
        <v>71.599999999999994</v>
      </c>
      <c r="G1010" s="7">
        <f t="shared" si="279"/>
        <v>7.0600000000000005</v>
      </c>
      <c r="H1010" s="16">
        <f t="shared" si="280"/>
        <v>7.26</v>
      </c>
      <c r="I1010" s="11">
        <f t="shared" si="281"/>
        <v>5.0041104476911825E-2</v>
      </c>
      <c r="J1010" s="33">
        <f t="shared" si="282"/>
        <v>6.9889810721943883E-4</v>
      </c>
      <c r="K1010" s="33">
        <f t="shared" si="283"/>
        <v>1430.8237347765798</v>
      </c>
      <c r="L1010" s="33">
        <f t="shared" si="284"/>
        <v>4.9342206369692387E-2</v>
      </c>
      <c r="M1010" s="33">
        <f t="shared" si="285"/>
        <v>5.0740002584131264E-2</v>
      </c>
      <c r="N1010" s="8">
        <v>0</v>
      </c>
      <c r="O1010" s="9">
        <v>1</v>
      </c>
      <c r="P1010" s="8">
        <v>0</v>
      </c>
      <c r="Q1010" s="9">
        <v>0</v>
      </c>
      <c r="R1010" s="9">
        <v>0</v>
      </c>
      <c r="S1010" s="9">
        <v>1</v>
      </c>
      <c r="T1010" s="9">
        <v>0</v>
      </c>
      <c r="U1010" s="8">
        <v>2042134</v>
      </c>
      <c r="V1010" s="9">
        <v>3</v>
      </c>
      <c r="W1010" s="9">
        <f t="shared" si="286"/>
        <v>2042130</v>
      </c>
      <c r="X1010" s="9">
        <f t="shared" si="287"/>
        <v>15</v>
      </c>
      <c r="Y1010" s="7">
        <v>9.51</v>
      </c>
      <c r="Z1010" s="7">
        <v>7.9</v>
      </c>
      <c r="AA1010" s="9">
        <v>1</v>
      </c>
      <c r="AB1010" s="9">
        <v>0</v>
      </c>
      <c r="AC1010" s="9">
        <v>1</v>
      </c>
      <c r="AD1010" s="9">
        <v>0</v>
      </c>
      <c r="AE1010" s="9">
        <v>0</v>
      </c>
      <c r="AF1010" s="9">
        <v>0</v>
      </c>
      <c r="AG1010" s="8">
        <v>0</v>
      </c>
      <c r="AH1010" s="9">
        <v>0</v>
      </c>
      <c r="AI1010" s="30">
        <v>1</v>
      </c>
      <c r="AJ1010" s="9">
        <v>0</v>
      </c>
      <c r="AK1010" s="30">
        <v>1</v>
      </c>
      <c r="AL1010" s="21">
        <v>2010</v>
      </c>
      <c r="AM1010" s="23">
        <f t="shared" si="288"/>
        <v>7.6058900010531216</v>
      </c>
      <c r="AN1010" s="33" t="s">
        <v>104</v>
      </c>
      <c r="AO1010" s="33" t="s">
        <v>104</v>
      </c>
      <c r="AP1010" s="33" t="s">
        <v>104</v>
      </c>
      <c r="AQ1010" s="43" t="s">
        <v>104</v>
      </c>
      <c r="AR1010" s="42">
        <v>1</v>
      </c>
      <c r="AS1010" s="18">
        <v>0</v>
      </c>
      <c r="AT1010">
        <v>0.54800000000000004</v>
      </c>
      <c r="AU1010" s="40">
        <f t="shared" si="293"/>
        <v>0.45199999999999996</v>
      </c>
      <c r="AV1010">
        <v>1</v>
      </c>
      <c r="AW1010" s="40">
        <v>0</v>
      </c>
      <c r="AX1010">
        <v>1</v>
      </c>
      <c r="AY1010" s="18">
        <v>0</v>
      </c>
      <c r="AZ1010" t="s">
        <v>104</v>
      </c>
      <c r="BA1010" s="18" t="s">
        <v>104</v>
      </c>
      <c r="BB1010" s="18" t="s">
        <v>541</v>
      </c>
      <c r="BC1010">
        <v>1</v>
      </c>
      <c r="BD1010">
        <v>0</v>
      </c>
      <c r="BE1010">
        <v>0</v>
      </c>
      <c r="BF1010">
        <v>0</v>
      </c>
      <c r="BG1010">
        <v>0</v>
      </c>
      <c r="BH1010" s="18">
        <v>0</v>
      </c>
      <c r="BI1010">
        <v>1</v>
      </c>
      <c r="BJ1010">
        <v>0</v>
      </c>
      <c r="BK1010" s="18">
        <v>0</v>
      </c>
      <c r="BL1010">
        <v>696.41666666666663</v>
      </c>
      <c r="BM1010">
        <v>360</v>
      </c>
      <c r="BN1010" s="25">
        <v>38.58</v>
      </c>
      <c r="BO1010">
        <v>1</v>
      </c>
      <c r="BP1010">
        <v>0</v>
      </c>
      <c r="BQ1010">
        <v>0</v>
      </c>
      <c r="BR1010">
        <v>0</v>
      </c>
      <c r="BS1010">
        <v>0</v>
      </c>
      <c r="BT1010">
        <v>0</v>
      </c>
      <c r="BU1010">
        <v>0</v>
      </c>
      <c r="BV1010" s="18">
        <v>0</v>
      </c>
      <c r="BW1010">
        <v>0</v>
      </c>
      <c r="BX1010">
        <v>0</v>
      </c>
      <c r="BY1010">
        <v>1</v>
      </c>
      <c r="BZ1010" s="18">
        <v>0</v>
      </c>
      <c r="CA1010">
        <v>0</v>
      </c>
      <c r="CB1010">
        <v>0</v>
      </c>
      <c r="CC1010">
        <v>0</v>
      </c>
      <c r="CD1010">
        <v>0</v>
      </c>
      <c r="CE1010">
        <v>0</v>
      </c>
      <c r="CF1010" s="18">
        <v>0</v>
      </c>
      <c r="CG1010">
        <v>1</v>
      </c>
      <c r="CH1010">
        <v>1</v>
      </c>
      <c r="CI1010">
        <v>1</v>
      </c>
      <c r="CJ1010">
        <v>1</v>
      </c>
      <c r="CK1010">
        <v>0</v>
      </c>
      <c r="CL1010">
        <v>0</v>
      </c>
      <c r="CM1010">
        <v>1</v>
      </c>
      <c r="CN1010">
        <v>0</v>
      </c>
      <c r="CO1010">
        <v>1</v>
      </c>
      <c r="CP1010">
        <v>0</v>
      </c>
      <c r="CQ1010" s="18">
        <v>0</v>
      </c>
      <c r="CR1010">
        <v>0.04</v>
      </c>
      <c r="CS1010">
        <v>4</v>
      </c>
      <c r="CT1010">
        <v>1</v>
      </c>
      <c r="CU1010">
        <v>0</v>
      </c>
      <c r="CV1010">
        <v>21</v>
      </c>
      <c r="DB1010" s="34"/>
    </row>
    <row r="1011" spans="1:106" x14ac:dyDescent="0.25">
      <c r="A1011">
        <v>1010</v>
      </c>
      <c r="B1011">
        <v>69</v>
      </c>
      <c r="C1011" s="25" t="s">
        <v>4156</v>
      </c>
      <c r="D1011" s="12">
        <v>7.09</v>
      </c>
      <c r="E1011" s="14">
        <v>0.1</v>
      </c>
      <c r="F1011" s="7">
        <f t="shared" si="294"/>
        <v>70.899999999999991</v>
      </c>
      <c r="G1011" s="7">
        <f t="shared" si="279"/>
        <v>6.99</v>
      </c>
      <c r="H1011" s="16">
        <f t="shared" si="280"/>
        <v>7.1899999999999995</v>
      </c>
      <c r="I1011" s="11">
        <f t="shared" si="281"/>
        <v>5.130375213098886E-2</v>
      </c>
      <c r="J1011" s="33">
        <f t="shared" si="282"/>
        <v>7.2360722328616172E-4</v>
      </c>
      <c r="K1011" s="33">
        <f t="shared" si="283"/>
        <v>1381.9651985487912</v>
      </c>
      <c r="L1011" s="33">
        <f t="shared" si="284"/>
        <v>5.0580144907702698E-2</v>
      </c>
      <c r="M1011" s="33">
        <f t="shared" si="285"/>
        <v>5.2027359354275021E-2</v>
      </c>
      <c r="N1011" s="8">
        <v>0</v>
      </c>
      <c r="O1011" s="9">
        <v>1</v>
      </c>
      <c r="P1011" s="8">
        <v>0</v>
      </c>
      <c r="Q1011" s="9">
        <v>0</v>
      </c>
      <c r="R1011" s="9">
        <v>0</v>
      </c>
      <c r="S1011" s="9">
        <v>1</v>
      </c>
      <c r="T1011" s="9">
        <v>0</v>
      </c>
      <c r="U1011" s="8">
        <v>1904805</v>
      </c>
      <c r="V1011" s="9">
        <v>3</v>
      </c>
      <c r="W1011" s="9">
        <f t="shared" si="286"/>
        <v>1904801</v>
      </c>
      <c r="X1011" s="9">
        <f t="shared" si="287"/>
        <v>15</v>
      </c>
      <c r="Y1011" s="7">
        <v>9.9</v>
      </c>
      <c r="Z1011" s="7">
        <v>8.7200000000000006</v>
      </c>
      <c r="AA1011" s="9">
        <v>1</v>
      </c>
      <c r="AB1011" s="9">
        <v>0</v>
      </c>
      <c r="AC1011" s="9">
        <v>1</v>
      </c>
      <c r="AD1011" s="9">
        <v>0</v>
      </c>
      <c r="AE1011" s="9">
        <v>0</v>
      </c>
      <c r="AF1011" s="9">
        <v>0</v>
      </c>
      <c r="AG1011" s="8">
        <v>0</v>
      </c>
      <c r="AH1011" s="9">
        <v>0</v>
      </c>
      <c r="AI1011" s="30">
        <v>1</v>
      </c>
      <c r="AJ1011" s="9">
        <v>0</v>
      </c>
      <c r="AK1011" s="30">
        <v>1</v>
      </c>
      <c r="AL1011" s="21">
        <v>2013</v>
      </c>
      <c r="AM1011" s="23">
        <f t="shared" si="288"/>
        <v>7.6073814256397911</v>
      </c>
      <c r="AN1011" s="33" t="s">
        <v>104</v>
      </c>
      <c r="AO1011" s="33" t="s">
        <v>104</v>
      </c>
      <c r="AP1011" s="33" t="s">
        <v>104</v>
      </c>
      <c r="AQ1011" s="43" t="s">
        <v>104</v>
      </c>
      <c r="AR1011" s="42">
        <v>1</v>
      </c>
      <c r="AS1011" s="18">
        <v>0</v>
      </c>
      <c r="AT1011">
        <v>0.52700000000000002</v>
      </c>
      <c r="AU1011" s="40">
        <f t="shared" si="293"/>
        <v>0.47299999999999998</v>
      </c>
      <c r="AV1011">
        <v>1</v>
      </c>
      <c r="AW1011" s="40">
        <v>0</v>
      </c>
      <c r="AX1011">
        <v>1</v>
      </c>
      <c r="AY1011" s="18">
        <v>0</v>
      </c>
      <c r="AZ1011" t="s">
        <v>104</v>
      </c>
      <c r="BA1011" s="18" t="s">
        <v>104</v>
      </c>
      <c r="BB1011" s="18" t="s">
        <v>541</v>
      </c>
      <c r="BC1011">
        <v>1</v>
      </c>
      <c r="BD1011">
        <v>0</v>
      </c>
      <c r="BE1011">
        <v>0</v>
      </c>
      <c r="BF1011">
        <v>0</v>
      </c>
      <c r="BG1011">
        <v>0</v>
      </c>
      <c r="BH1011" s="18">
        <v>0</v>
      </c>
      <c r="BI1011">
        <v>1</v>
      </c>
      <c r="BJ1011">
        <v>0</v>
      </c>
      <c r="BK1011" s="18">
        <v>0</v>
      </c>
      <c r="BL1011">
        <v>696.41666666666663</v>
      </c>
      <c r="BM1011">
        <v>360</v>
      </c>
      <c r="BN1011" s="25">
        <v>39.659999999999997</v>
      </c>
      <c r="BO1011">
        <v>1</v>
      </c>
      <c r="BP1011">
        <v>0</v>
      </c>
      <c r="BQ1011">
        <v>0</v>
      </c>
      <c r="BR1011">
        <v>0</v>
      </c>
      <c r="BS1011">
        <v>0</v>
      </c>
      <c r="BT1011">
        <v>0</v>
      </c>
      <c r="BU1011">
        <v>0</v>
      </c>
      <c r="BV1011" s="18">
        <v>0</v>
      </c>
      <c r="BW1011">
        <v>0</v>
      </c>
      <c r="BX1011">
        <v>0</v>
      </c>
      <c r="BY1011">
        <v>1</v>
      </c>
      <c r="BZ1011" s="18">
        <v>0</v>
      </c>
      <c r="CA1011">
        <v>0</v>
      </c>
      <c r="CB1011">
        <v>0</v>
      </c>
      <c r="CC1011">
        <v>0</v>
      </c>
      <c r="CD1011">
        <v>0</v>
      </c>
      <c r="CE1011">
        <v>0</v>
      </c>
      <c r="CF1011" s="18">
        <v>0</v>
      </c>
      <c r="CG1011">
        <v>1</v>
      </c>
      <c r="CH1011">
        <v>1</v>
      </c>
      <c r="CI1011">
        <v>1</v>
      </c>
      <c r="CJ1011">
        <v>1</v>
      </c>
      <c r="CK1011">
        <v>0</v>
      </c>
      <c r="CL1011">
        <v>0</v>
      </c>
      <c r="CM1011">
        <v>1</v>
      </c>
      <c r="CN1011">
        <v>0</v>
      </c>
      <c r="CO1011">
        <v>1</v>
      </c>
      <c r="CP1011">
        <v>0</v>
      </c>
      <c r="CQ1011" s="18">
        <v>0</v>
      </c>
      <c r="CR1011">
        <v>0.04</v>
      </c>
      <c r="CS1011">
        <v>4</v>
      </c>
      <c r="CT1011">
        <v>1</v>
      </c>
      <c r="CU1011">
        <v>0</v>
      </c>
      <c r="CV1011">
        <v>21</v>
      </c>
      <c r="DB1011" s="34"/>
    </row>
    <row r="1012" spans="1:106" x14ac:dyDescent="0.25">
      <c r="A1012">
        <v>1011</v>
      </c>
      <c r="B1012">
        <v>70</v>
      </c>
      <c r="C1012" s="25" t="s">
        <v>4170</v>
      </c>
      <c r="D1012" s="12">
        <v>7.39</v>
      </c>
      <c r="E1012" s="14">
        <f t="shared" ref="E1012:E1047" si="295">D1012/F1012</f>
        <v>0.79147477776587771</v>
      </c>
      <c r="F1012" s="7">
        <v>9.3369999999999997</v>
      </c>
      <c r="G1012" s="7">
        <f t="shared" si="279"/>
        <v>6.5985252222341222</v>
      </c>
      <c r="H1012" s="16">
        <f t="shared" si="280"/>
        <v>8.1814747777658781</v>
      </c>
      <c r="I1012" s="11">
        <f t="shared" si="281"/>
        <v>0.35185655694543444</v>
      </c>
      <c r="J1012" s="33">
        <f t="shared" si="282"/>
        <v>3.7684112342876136E-2</v>
      </c>
      <c r="K1012" s="33">
        <f t="shared" si="283"/>
        <v>26.536381987754094</v>
      </c>
      <c r="L1012" s="33">
        <f t="shared" si="284"/>
        <v>0.31417244460255833</v>
      </c>
      <c r="M1012" s="33">
        <f t="shared" si="285"/>
        <v>0.38954066928831055</v>
      </c>
      <c r="N1012" s="8">
        <v>1</v>
      </c>
      <c r="O1012" s="9">
        <v>0</v>
      </c>
      <c r="P1012" s="8">
        <v>1</v>
      </c>
      <c r="Q1012" s="9">
        <v>0</v>
      </c>
      <c r="R1012" s="9">
        <v>0</v>
      </c>
      <c r="S1012" s="9">
        <v>0</v>
      </c>
      <c r="T1012" s="9">
        <v>0</v>
      </c>
      <c r="U1012" s="8">
        <v>628</v>
      </c>
      <c r="V1012" s="9">
        <v>10</v>
      </c>
      <c r="W1012" s="9">
        <f t="shared" si="286"/>
        <v>617</v>
      </c>
      <c r="X1012" s="9">
        <f t="shared" si="287"/>
        <v>36</v>
      </c>
      <c r="Y1012" s="7">
        <v>11.32</v>
      </c>
      <c r="Z1012" s="7">
        <v>16.41</v>
      </c>
      <c r="AA1012" s="9">
        <v>1</v>
      </c>
      <c r="AB1012" s="9">
        <v>0</v>
      </c>
      <c r="AC1012" s="9">
        <v>1</v>
      </c>
      <c r="AD1012" s="9">
        <v>0</v>
      </c>
      <c r="AE1012" s="9">
        <v>0</v>
      </c>
      <c r="AF1012" s="9">
        <v>0</v>
      </c>
      <c r="AG1012" s="8">
        <v>1</v>
      </c>
      <c r="AH1012" s="9">
        <v>0</v>
      </c>
      <c r="AI1012" s="30">
        <v>0</v>
      </c>
      <c r="AJ1012" s="9">
        <v>1</v>
      </c>
      <c r="AK1012" s="30">
        <v>0</v>
      </c>
      <c r="AL1012" s="21">
        <v>2007</v>
      </c>
      <c r="AM1012" s="23">
        <f t="shared" si="288"/>
        <v>7.604396348796338</v>
      </c>
      <c r="AN1012" s="33" t="s">
        <v>104</v>
      </c>
      <c r="AO1012" s="33" t="s">
        <v>104</v>
      </c>
      <c r="AP1012" s="33" t="s">
        <v>104</v>
      </c>
      <c r="AQ1012" s="43" t="s">
        <v>104</v>
      </c>
      <c r="AR1012" s="42">
        <v>1</v>
      </c>
      <c r="AS1012" s="18">
        <v>0</v>
      </c>
      <c r="AT1012">
        <v>0.55249999999999999</v>
      </c>
      <c r="AU1012" s="40">
        <f t="shared" si="293"/>
        <v>0.44750000000000001</v>
      </c>
      <c r="AV1012">
        <v>56.05</v>
      </c>
      <c r="AW1012" s="40">
        <v>43.05</v>
      </c>
      <c r="AX1012">
        <v>0</v>
      </c>
      <c r="AY1012" s="18">
        <v>1</v>
      </c>
      <c r="AZ1012">
        <v>0</v>
      </c>
      <c r="BA1012" s="18">
        <v>1</v>
      </c>
      <c r="BB1012" s="18" t="s">
        <v>5</v>
      </c>
      <c r="BC1012">
        <v>0</v>
      </c>
      <c r="BD1012">
        <v>1</v>
      </c>
      <c r="BE1012">
        <v>0</v>
      </c>
      <c r="BF1012">
        <v>0</v>
      </c>
      <c r="BG1012">
        <v>0</v>
      </c>
      <c r="BH1012" s="18">
        <v>0</v>
      </c>
      <c r="BI1012">
        <v>0</v>
      </c>
      <c r="BJ1012">
        <v>1</v>
      </c>
      <c r="BK1012" s="18">
        <v>0</v>
      </c>
      <c r="BL1012">
        <v>127.1666666666667</v>
      </c>
      <c r="BM1012">
        <v>27</v>
      </c>
      <c r="BN1012" s="94">
        <f t="shared" ref="BN1012:BN1047" si="296">Y1012+Z1012+6</f>
        <v>33.730000000000004</v>
      </c>
      <c r="BO1012">
        <v>1</v>
      </c>
      <c r="BP1012">
        <v>0</v>
      </c>
      <c r="BQ1012">
        <v>0</v>
      </c>
      <c r="BR1012">
        <v>0</v>
      </c>
      <c r="BS1012">
        <v>0</v>
      </c>
      <c r="BT1012">
        <v>0</v>
      </c>
      <c r="BU1012">
        <v>0</v>
      </c>
      <c r="BV1012" s="18">
        <v>0</v>
      </c>
      <c r="BW1012">
        <v>0</v>
      </c>
      <c r="BX1012">
        <v>0</v>
      </c>
      <c r="BY1012">
        <v>1</v>
      </c>
      <c r="BZ1012" s="18">
        <v>0</v>
      </c>
      <c r="CA1012">
        <v>0</v>
      </c>
      <c r="CB1012">
        <v>0</v>
      </c>
      <c r="CC1012">
        <v>0</v>
      </c>
      <c r="CD1012">
        <v>0</v>
      </c>
      <c r="CE1012">
        <v>0</v>
      </c>
      <c r="CF1012" s="18">
        <v>0</v>
      </c>
      <c r="CG1012">
        <v>0</v>
      </c>
      <c r="CH1012">
        <v>0</v>
      </c>
      <c r="CI1012">
        <v>1</v>
      </c>
      <c r="CJ1012">
        <v>1</v>
      </c>
      <c r="CK1012">
        <v>0</v>
      </c>
      <c r="CL1012">
        <v>1</v>
      </c>
      <c r="CM1012">
        <v>1</v>
      </c>
      <c r="CN1012">
        <v>0</v>
      </c>
      <c r="CO1012">
        <v>0</v>
      </c>
      <c r="CP1012">
        <v>1</v>
      </c>
      <c r="CQ1012" s="18">
        <v>0</v>
      </c>
      <c r="CR1012">
        <v>0</v>
      </c>
      <c r="CS1012">
        <v>2</v>
      </c>
      <c r="CT1012">
        <v>0</v>
      </c>
      <c r="CU1012">
        <v>1</v>
      </c>
      <c r="CV1012">
        <v>16</v>
      </c>
      <c r="DB1012" s="34"/>
    </row>
    <row r="1013" spans="1:106" x14ac:dyDescent="0.25">
      <c r="A1013">
        <v>1012</v>
      </c>
      <c r="B1013">
        <v>70</v>
      </c>
      <c r="C1013" s="25" t="s">
        <v>4170</v>
      </c>
      <c r="D1013" s="12">
        <v>7.43</v>
      </c>
      <c r="E1013" s="14">
        <f t="shared" si="295"/>
        <v>0.79067787591784611</v>
      </c>
      <c r="F1013" s="7">
        <v>9.3970000000000002</v>
      </c>
      <c r="G1013" s="7">
        <f t="shared" si="279"/>
        <v>6.6393221240821534</v>
      </c>
      <c r="H1013" s="16">
        <f t="shared" si="280"/>
        <v>8.2206778759178452</v>
      </c>
      <c r="I1013" s="11">
        <f t="shared" si="281"/>
        <v>0.35535001823810058</v>
      </c>
      <c r="J1013" s="33">
        <f t="shared" si="282"/>
        <v>3.7815262130265044E-2</v>
      </c>
      <c r="K1013" s="33">
        <f t="shared" si="283"/>
        <v>26.444349282975367</v>
      </c>
      <c r="L1013" s="33">
        <f t="shared" si="284"/>
        <v>0.31753475610783555</v>
      </c>
      <c r="M1013" s="33">
        <f t="shared" si="285"/>
        <v>0.39316528036836562</v>
      </c>
      <c r="N1013" s="8">
        <v>1</v>
      </c>
      <c r="O1013" s="9">
        <v>0</v>
      </c>
      <c r="P1013" s="8">
        <v>1</v>
      </c>
      <c r="Q1013" s="9">
        <v>0</v>
      </c>
      <c r="R1013" s="9">
        <v>0</v>
      </c>
      <c r="S1013" s="9">
        <v>0</v>
      </c>
      <c r="T1013" s="9">
        <v>0</v>
      </c>
      <c r="U1013" s="8">
        <v>628</v>
      </c>
      <c r="V1013" s="9">
        <v>16</v>
      </c>
      <c r="W1013" s="9">
        <f t="shared" si="286"/>
        <v>611</v>
      </c>
      <c r="X1013" s="9">
        <f t="shared" si="287"/>
        <v>36</v>
      </c>
      <c r="Y1013" s="7">
        <v>11.32</v>
      </c>
      <c r="Z1013" s="7">
        <v>16.41</v>
      </c>
      <c r="AA1013" s="9">
        <v>1</v>
      </c>
      <c r="AB1013" s="9">
        <v>0</v>
      </c>
      <c r="AC1013" s="9">
        <v>1</v>
      </c>
      <c r="AD1013" s="9">
        <v>0</v>
      </c>
      <c r="AE1013" s="9">
        <v>0</v>
      </c>
      <c r="AF1013" s="9">
        <v>0</v>
      </c>
      <c r="AG1013" s="8">
        <v>1</v>
      </c>
      <c r="AH1013" s="9">
        <v>0</v>
      </c>
      <c r="AI1013" s="30">
        <v>0</v>
      </c>
      <c r="AJ1013" s="9">
        <v>1</v>
      </c>
      <c r="AK1013" s="30">
        <v>0</v>
      </c>
      <c r="AL1013" s="21">
        <v>2007</v>
      </c>
      <c r="AM1013" s="23">
        <f t="shared" si="288"/>
        <v>7.604396348796338</v>
      </c>
      <c r="AN1013" s="33" t="s">
        <v>104</v>
      </c>
      <c r="AO1013" s="33" t="s">
        <v>104</v>
      </c>
      <c r="AP1013" s="33" t="s">
        <v>104</v>
      </c>
      <c r="AQ1013" s="43" t="s">
        <v>104</v>
      </c>
      <c r="AR1013" s="42">
        <v>1</v>
      </c>
      <c r="AS1013" s="18">
        <v>0</v>
      </c>
      <c r="AT1013">
        <v>0.55249999999999999</v>
      </c>
      <c r="AU1013" s="40">
        <f t="shared" si="293"/>
        <v>0.44750000000000001</v>
      </c>
      <c r="AV1013">
        <v>56.05</v>
      </c>
      <c r="AW1013" s="40">
        <v>43.05</v>
      </c>
      <c r="AX1013">
        <v>0</v>
      </c>
      <c r="AY1013" s="18">
        <v>1</v>
      </c>
      <c r="AZ1013">
        <v>0</v>
      </c>
      <c r="BA1013" s="18">
        <v>1</v>
      </c>
      <c r="BB1013" s="18" t="s">
        <v>5</v>
      </c>
      <c r="BC1013">
        <v>0</v>
      </c>
      <c r="BD1013">
        <v>1</v>
      </c>
      <c r="BE1013">
        <v>0</v>
      </c>
      <c r="BF1013">
        <v>0</v>
      </c>
      <c r="BG1013">
        <v>0</v>
      </c>
      <c r="BH1013" s="18">
        <v>0</v>
      </c>
      <c r="BI1013">
        <v>0</v>
      </c>
      <c r="BJ1013">
        <v>1</v>
      </c>
      <c r="BK1013" s="18">
        <v>0</v>
      </c>
      <c r="BL1013">
        <v>127.1666666666667</v>
      </c>
      <c r="BM1013">
        <v>27</v>
      </c>
      <c r="BN1013" s="94">
        <f t="shared" si="296"/>
        <v>33.730000000000004</v>
      </c>
      <c r="BO1013">
        <v>1</v>
      </c>
      <c r="BP1013">
        <v>0</v>
      </c>
      <c r="BQ1013">
        <v>0</v>
      </c>
      <c r="BR1013">
        <v>0</v>
      </c>
      <c r="BS1013">
        <v>0</v>
      </c>
      <c r="BT1013">
        <v>0</v>
      </c>
      <c r="BU1013">
        <v>0</v>
      </c>
      <c r="BV1013" s="18">
        <v>0</v>
      </c>
      <c r="BW1013">
        <v>0</v>
      </c>
      <c r="BX1013">
        <v>0</v>
      </c>
      <c r="BY1013">
        <v>1</v>
      </c>
      <c r="BZ1013" s="18">
        <v>0</v>
      </c>
      <c r="CA1013">
        <v>0</v>
      </c>
      <c r="CB1013">
        <v>0</v>
      </c>
      <c r="CC1013">
        <v>0</v>
      </c>
      <c r="CD1013">
        <v>0</v>
      </c>
      <c r="CE1013">
        <v>0</v>
      </c>
      <c r="CF1013" s="18">
        <v>0</v>
      </c>
      <c r="CG1013">
        <v>0</v>
      </c>
      <c r="CH1013">
        <v>0</v>
      </c>
      <c r="CI1013">
        <v>1</v>
      </c>
      <c r="CJ1013">
        <v>1</v>
      </c>
      <c r="CK1013">
        <v>0</v>
      </c>
      <c r="CL1013">
        <v>1</v>
      </c>
      <c r="CM1013">
        <v>1</v>
      </c>
      <c r="CN1013">
        <v>0</v>
      </c>
      <c r="CO1013">
        <v>1</v>
      </c>
      <c r="CP1013">
        <v>1</v>
      </c>
      <c r="CQ1013" s="18">
        <v>0</v>
      </c>
      <c r="CR1013">
        <v>0</v>
      </c>
      <c r="CS1013">
        <v>2</v>
      </c>
      <c r="CT1013">
        <v>0</v>
      </c>
      <c r="CU1013">
        <v>1</v>
      </c>
      <c r="CV1013">
        <v>16</v>
      </c>
      <c r="DB1013" s="34"/>
    </row>
    <row r="1014" spans="1:106" x14ac:dyDescent="0.25">
      <c r="A1014">
        <v>1013</v>
      </c>
      <c r="B1014">
        <v>70</v>
      </c>
      <c r="C1014" s="25" t="s">
        <v>4170</v>
      </c>
      <c r="D1014" s="12">
        <v>7.37</v>
      </c>
      <c r="E1014" s="14">
        <f t="shared" si="295"/>
        <v>0.79392437789507708</v>
      </c>
      <c r="F1014" s="7">
        <v>9.2829999999999995</v>
      </c>
      <c r="G1014" s="7">
        <f t="shared" si="279"/>
        <v>6.5760756221049235</v>
      </c>
      <c r="H1014" s="16">
        <f t="shared" si="280"/>
        <v>8.1639243778950767</v>
      </c>
      <c r="I1014" s="11">
        <f t="shared" si="281"/>
        <v>0.35182720878246931</v>
      </c>
      <c r="J1014" s="33">
        <f t="shared" si="282"/>
        <v>3.7900162531775222E-2</v>
      </c>
      <c r="K1014" s="33">
        <f t="shared" si="283"/>
        <v>26.385111123510544</v>
      </c>
      <c r="L1014" s="33">
        <f t="shared" si="284"/>
        <v>0.31392704625069412</v>
      </c>
      <c r="M1014" s="33">
        <f t="shared" si="285"/>
        <v>0.38972737131424451</v>
      </c>
      <c r="N1014" s="8">
        <v>1</v>
      </c>
      <c r="O1014" s="9">
        <v>0</v>
      </c>
      <c r="P1014" s="8">
        <v>1</v>
      </c>
      <c r="Q1014" s="9">
        <v>0</v>
      </c>
      <c r="R1014" s="9">
        <v>0</v>
      </c>
      <c r="S1014" s="9">
        <v>0</v>
      </c>
      <c r="T1014" s="9">
        <v>0</v>
      </c>
      <c r="U1014" s="8">
        <v>628</v>
      </c>
      <c r="V1014" s="9">
        <v>17</v>
      </c>
      <c r="W1014" s="9">
        <f t="shared" si="286"/>
        <v>610</v>
      </c>
      <c r="X1014" s="9">
        <f t="shared" si="287"/>
        <v>36</v>
      </c>
      <c r="Y1014" s="7">
        <v>11.32</v>
      </c>
      <c r="Z1014" s="7">
        <v>16.41</v>
      </c>
      <c r="AA1014" s="9">
        <v>1</v>
      </c>
      <c r="AB1014" s="9">
        <v>0</v>
      </c>
      <c r="AC1014" s="9">
        <v>1</v>
      </c>
      <c r="AD1014" s="9">
        <v>0</v>
      </c>
      <c r="AE1014" s="9">
        <v>0</v>
      </c>
      <c r="AF1014" s="9">
        <v>0</v>
      </c>
      <c r="AG1014" s="8">
        <v>1</v>
      </c>
      <c r="AH1014" s="9">
        <v>0</v>
      </c>
      <c r="AI1014" s="30">
        <v>0</v>
      </c>
      <c r="AJ1014" s="9">
        <v>1</v>
      </c>
      <c r="AK1014" s="30">
        <v>0</v>
      </c>
      <c r="AL1014" s="21">
        <v>2007</v>
      </c>
      <c r="AM1014" s="23">
        <f t="shared" si="288"/>
        <v>7.604396348796338</v>
      </c>
      <c r="AN1014" s="33" t="s">
        <v>104</v>
      </c>
      <c r="AO1014" s="33" t="s">
        <v>104</v>
      </c>
      <c r="AP1014" s="33" t="s">
        <v>104</v>
      </c>
      <c r="AQ1014" s="43" t="s">
        <v>104</v>
      </c>
      <c r="AR1014" s="42">
        <v>1</v>
      </c>
      <c r="AS1014" s="18">
        <v>0</v>
      </c>
      <c r="AT1014">
        <v>0.55249999999999999</v>
      </c>
      <c r="AU1014" s="40">
        <f t="shared" si="293"/>
        <v>0.44750000000000001</v>
      </c>
      <c r="AV1014">
        <v>56.05</v>
      </c>
      <c r="AW1014" s="40">
        <v>43.05</v>
      </c>
      <c r="AX1014">
        <v>0</v>
      </c>
      <c r="AY1014" s="18">
        <v>1</v>
      </c>
      <c r="AZ1014">
        <v>0</v>
      </c>
      <c r="BA1014" s="18">
        <v>1</v>
      </c>
      <c r="BB1014" s="18" t="s">
        <v>5</v>
      </c>
      <c r="BC1014">
        <v>0</v>
      </c>
      <c r="BD1014">
        <v>1</v>
      </c>
      <c r="BE1014">
        <v>0</v>
      </c>
      <c r="BF1014">
        <v>0</v>
      </c>
      <c r="BG1014">
        <v>0</v>
      </c>
      <c r="BH1014" s="18">
        <v>0</v>
      </c>
      <c r="BI1014">
        <v>0</v>
      </c>
      <c r="BJ1014">
        <v>1</v>
      </c>
      <c r="BK1014" s="18">
        <v>0</v>
      </c>
      <c r="BL1014">
        <v>127.1666666666667</v>
      </c>
      <c r="BM1014">
        <v>27</v>
      </c>
      <c r="BN1014" s="94">
        <f t="shared" si="296"/>
        <v>33.730000000000004</v>
      </c>
      <c r="BO1014">
        <v>1</v>
      </c>
      <c r="BP1014">
        <v>0</v>
      </c>
      <c r="BQ1014">
        <v>0</v>
      </c>
      <c r="BR1014">
        <v>0</v>
      </c>
      <c r="BS1014">
        <v>0</v>
      </c>
      <c r="BT1014">
        <v>0</v>
      </c>
      <c r="BU1014">
        <v>0</v>
      </c>
      <c r="BV1014" s="18">
        <v>0</v>
      </c>
      <c r="BW1014">
        <v>0</v>
      </c>
      <c r="BX1014">
        <v>0</v>
      </c>
      <c r="BY1014">
        <v>1</v>
      </c>
      <c r="BZ1014" s="18">
        <v>0</v>
      </c>
      <c r="CA1014">
        <v>0</v>
      </c>
      <c r="CB1014">
        <v>0</v>
      </c>
      <c r="CC1014">
        <v>0</v>
      </c>
      <c r="CD1014">
        <v>0</v>
      </c>
      <c r="CE1014">
        <v>0</v>
      </c>
      <c r="CF1014" s="18">
        <v>0</v>
      </c>
      <c r="CG1014">
        <v>0</v>
      </c>
      <c r="CH1014">
        <v>0</v>
      </c>
      <c r="CI1014">
        <v>1</v>
      </c>
      <c r="CJ1014">
        <v>1</v>
      </c>
      <c r="CK1014">
        <v>0</v>
      </c>
      <c r="CL1014">
        <v>1</v>
      </c>
      <c r="CM1014">
        <v>1</v>
      </c>
      <c r="CN1014">
        <v>1</v>
      </c>
      <c r="CO1014">
        <v>1</v>
      </c>
      <c r="CP1014">
        <v>1</v>
      </c>
      <c r="CQ1014" s="18">
        <v>0</v>
      </c>
      <c r="CR1014">
        <v>0</v>
      </c>
      <c r="CS1014">
        <v>2</v>
      </c>
      <c r="CT1014">
        <v>0</v>
      </c>
      <c r="CU1014">
        <v>1</v>
      </c>
      <c r="CV1014">
        <v>16</v>
      </c>
      <c r="DB1014" s="34"/>
    </row>
    <row r="1015" spans="1:106" x14ac:dyDescent="0.25">
      <c r="A1015">
        <v>1014</v>
      </c>
      <c r="B1015">
        <v>70</v>
      </c>
      <c r="C1015" s="25" t="s">
        <v>4170</v>
      </c>
      <c r="D1015" s="12">
        <v>6.99</v>
      </c>
      <c r="E1015" s="14">
        <f t="shared" si="295"/>
        <v>0.79721715328467146</v>
      </c>
      <c r="F1015" s="7">
        <v>8.7680000000000007</v>
      </c>
      <c r="G1015" s="7">
        <f t="shared" si="279"/>
        <v>6.1927828467153283</v>
      </c>
      <c r="H1015" s="16">
        <f t="shared" si="280"/>
        <v>7.7872171532846721</v>
      </c>
      <c r="I1015" s="11">
        <f t="shared" si="281"/>
        <v>0.33479361013613657</v>
      </c>
      <c r="J1015" s="33">
        <f t="shared" si="282"/>
        <v>3.8183577798373232E-2</v>
      </c>
      <c r="K1015" s="33">
        <f t="shared" si="283"/>
        <v>26.189269252882948</v>
      </c>
      <c r="L1015" s="33">
        <f t="shared" si="284"/>
        <v>0.29661003233776334</v>
      </c>
      <c r="M1015" s="33">
        <f t="shared" si="285"/>
        <v>0.37297718793450979</v>
      </c>
      <c r="N1015" s="8">
        <v>1</v>
      </c>
      <c r="O1015" s="9">
        <v>0</v>
      </c>
      <c r="P1015" s="8">
        <v>1</v>
      </c>
      <c r="Q1015" s="9">
        <v>0</v>
      </c>
      <c r="R1015" s="9">
        <v>0</v>
      </c>
      <c r="S1015" s="9">
        <v>0</v>
      </c>
      <c r="T1015" s="9">
        <v>0</v>
      </c>
      <c r="U1015" s="8">
        <v>628</v>
      </c>
      <c r="V1015" s="9">
        <v>18</v>
      </c>
      <c r="W1015" s="9">
        <f t="shared" si="286"/>
        <v>609</v>
      </c>
      <c r="X1015" s="9">
        <f t="shared" si="287"/>
        <v>36</v>
      </c>
      <c r="Y1015" s="7">
        <v>11.32</v>
      </c>
      <c r="Z1015" s="7">
        <v>16.41</v>
      </c>
      <c r="AA1015" s="9">
        <v>1</v>
      </c>
      <c r="AB1015" s="9">
        <v>0</v>
      </c>
      <c r="AC1015" s="9">
        <v>1</v>
      </c>
      <c r="AD1015" s="9">
        <v>0</v>
      </c>
      <c r="AE1015" s="9">
        <v>0</v>
      </c>
      <c r="AF1015" s="9">
        <v>0</v>
      </c>
      <c r="AG1015" s="8">
        <v>1</v>
      </c>
      <c r="AH1015" s="9">
        <v>0</v>
      </c>
      <c r="AI1015" s="30">
        <v>0</v>
      </c>
      <c r="AJ1015" s="9">
        <v>1</v>
      </c>
      <c r="AK1015" s="30">
        <v>0</v>
      </c>
      <c r="AL1015" s="21">
        <v>2007</v>
      </c>
      <c r="AM1015" s="23">
        <f t="shared" si="288"/>
        <v>7.604396348796338</v>
      </c>
      <c r="AN1015" s="33" t="s">
        <v>104</v>
      </c>
      <c r="AO1015" s="33" t="s">
        <v>104</v>
      </c>
      <c r="AP1015" s="33" t="s">
        <v>104</v>
      </c>
      <c r="AQ1015" s="43" t="s">
        <v>104</v>
      </c>
      <c r="AR1015" s="42">
        <v>1</v>
      </c>
      <c r="AS1015" s="18">
        <v>0</v>
      </c>
      <c r="AT1015">
        <v>0.55249999999999999</v>
      </c>
      <c r="AU1015" s="40">
        <f t="shared" si="293"/>
        <v>0.44750000000000001</v>
      </c>
      <c r="AV1015">
        <v>56.05</v>
      </c>
      <c r="AW1015" s="40">
        <v>43.05</v>
      </c>
      <c r="AX1015">
        <v>0</v>
      </c>
      <c r="AY1015" s="18">
        <v>1</v>
      </c>
      <c r="AZ1015">
        <v>0</v>
      </c>
      <c r="BA1015" s="18">
        <v>1</v>
      </c>
      <c r="BB1015" s="18" t="s">
        <v>5</v>
      </c>
      <c r="BC1015">
        <v>0</v>
      </c>
      <c r="BD1015">
        <v>1</v>
      </c>
      <c r="BE1015">
        <v>0</v>
      </c>
      <c r="BF1015">
        <v>0</v>
      </c>
      <c r="BG1015">
        <v>0</v>
      </c>
      <c r="BH1015" s="18">
        <v>0</v>
      </c>
      <c r="BI1015">
        <v>0</v>
      </c>
      <c r="BJ1015">
        <v>1</v>
      </c>
      <c r="BK1015" s="18">
        <v>0</v>
      </c>
      <c r="BL1015">
        <v>127.1666666666667</v>
      </c>
      <c r="BM1015">
        <v>27</v>
      </c>
      <c r="BN1015" s="94">
        <f t="shared" si="296"/>
        <v>33.730000000000004</v>
      </c>
      <c r="BO1015">
        <v>1</v>
      </c>
      <c r="BP1015">
        <v>0</v>
      </c>
      <c r="BQ1015">
        <v>0</v>
      </c>
      <c r="BR1015">
        <v>0</v>
      </c>
      <c r="BS1015">
        <v>0</v>
      </c>
      <c r="BT1015">
        <v>0</v>
      </c>
      <c r="BU1015">
        <v>0</v>
      </c>
      <c r="BV1015" s="18">
        <v>0</v>
      </c>
      <c r="BW1015">
        <v>0</v>
      </c>
      <c r="BX1015">
        <v>0</v>
      </c>
      <c r="BY1015">
        <v>1</v>
      </c>
      <c r="BZ1015" s="18">
        <v>0</v>
      </c>
      <c r="CA1015">
        <v>0</v>
      </c>
      <c r="CB1015">
        <v>0</v>
      </c>
      <c r="CC1015">
        <v>0</v>
      </c>
      <c r="CD1015">
        <v>0</v>
      </c>
      <c r="CE1015">
        <v>0</v>
      </c>
      <c r="CF1015" s="18">
        <v>0</v>
      </c>
      <c r="CG1015">
        <v>0</v>
      </c>
      <c r="CH1015">
        <v>0</v>
      </c>
      <c r="CI1015">
        <v>1</v>
      </c>
      <c r="CJ1015">
        <v>1</v>
      </c>
      <c r="CK1015">
        <v>0</v>
      </c>
      <c r="CL1015">
        <v>1</v>
      </c>
      <c r="CM1015">
        <v>1</v>
      </c>
      <c r="CN1015">
        <v>1</v>
      </c>
      <c r="CO1015">
        <v>1</v>
      </c>
      <c r="CP1015">
        <v>1</v>
      </c>
      <c r="CQ1015" s="18">
        <v>0</v>
      </c>
      <c r="CR1015">
        <v>0</v>
      </c>
      <c r="CS1015">
        <v>2</v>
      </c>
      <c r="CT1015">
        <v>0</v>
      </c>
      <c r="CU1015">
        <v>1</v>
      </c>
      <c r="CV1015">
        <v>16</v>
      </c>
      <c r="DB1015" s="34"/>
    </row>
    <row r="1016" spans="1:106" x14ac:dyDescent="0.25">
      <c r="A1016">
        <v>1015</v>
      </c>
      <c r="B1016">
        <v>70</v>
      </c>
      <c r="C1016" s="25" t="s">
        <v>4170</v>
      </c>
      <c r="D1016" s="12">
        <v>25.3</v>
      </c>
      <c r="E1016" s="14">
        <f t="shared" si="295"/>
        <v>4.7780925401322003</v>
      </c>
      <c r="F1016" s="7">
        <v>5.2949999999999999</v>
      </c>
      <c r="G1016" s="7">
        <f t="shared" si="279"/>
        <v>20.521907459867801</v>
      </c>
      <c r="H1016" s="16">
        <f t="shared" si="280"/>
        <v>30.0780925401322</v>
      </c>
      <c r="I1016" s="11">
        <f t="shared" si="281"/>
        <v>0.20848443765544997</v>
      </c>
      <c r="J1016" s="33">
        <f t="shared" si="282"/>
        <v>3.9373831474117084E-2</v>
      </c>
      <c r="K1016" s="33">
        <f t="shared" si="283"/>
        <v>25.39757911691585</v>
      </c>
      <c r="L1016" s="33">
        <f t="shared" si="284"/>
        <v>0.16911060618133289</v>
      </c>
      <c r="M1016" s="33">
        <f t="shared" si="285"/>
        <v>0.24785826912956704</v>
      </c>
      <c r="N1016" s="8">
        <v>1</v>
      </c>
      <c r="O1016" s="9">
        <v>0</v>
      </c>
      <c r="P1016" s="8">
        <v>1</v>
      </c>
      <c r="Q1016" s="9">
        <v>0</v>
      </c>
      <c r="R1016" s="9">
        <v>0</v>
      </c>
      <c r="S1016" s="9">
        <v>0</v>
      </c>
      <c r="T1016" s="9">
        <v>0</v>
      </c>
      <c r="U1016" s="8">
        <v>628</v>
      </c>
      <c r="V1016" s="9">
        <v>10</v>
      </c>
      <c r="W1016" s="9">
        <f t="shared" si="286"/>
        <v>617</v>
      </c>
      <c r="X1016" s="9">
        <f t="shared" si="287"/>
        <v>36</v>
      </c>
      <c r="Y1016" s="7">
        <v>11.32</v>
      </c>
      <c r="Z1016" s="7">
        <v>16.41</v>
      </c>
      <c r="AA1016" s="9">
        <v>1</v>
      </c>
      <c r="AB1016" s="9">
        <v>0</v>
      </c>
      <c r="AC1016" s="9">
        <v>1</v>
      </c>
      <c r="AD1016" s="9">
        <v>0</v>
      </c>
      <c r="AE1016" s="9">
        <v>0</v>
      </c>
      <c r="AF1016" s="9">
        <v>0</v>
      </c>
      <c r="AG1016" s="8">
        <v>1</v>
      </c>
      <c r="AH1016" s="9">
        <v>0</v>
      </c>
      <c r="AI1016" s="30">
        <v>0</v>
      </c>
      <c r="AJ1016" s="9">
        <v>1</v>
      </c>
      <c r="AK1016" s="30">
        <v>0</v>
      </c>
      <c r="AL1016" s="21">
        <v>2007</v>
      </c>
      <c r="AM1016" s="23">
        <f t="shared" si="288"/>
        <v>7.604396348796338</v>
      </c>
      <c r="AN1016" s="33" t="s">
        <v>104</v>
      </c>
      <c r="AO1016" s="33" t="s">
        <v>104</v>
      </c>
      <c r="AP1016" s="33" t="s">
        <v>104</v>
      </c>
      <c r="AQ1016" s="43" t="s">
        <v>104</v>
      </c>
      <c r="AR1016" s="42">
        <v>1</v>
      </c>
      <c r="AS1016" s="18">
        <v>0</v>
      </c>
      <c r="AT1016">
        <v>0.55249999999999999</v>
      </c>
      <c r="AU1016" s="40">
        <f t="shared" si="293"/>
        <v>0.44750000000000001</v>
      </c>
      <c r="AV1016">
        <v>56.05</v>
      </c>
      <c r="AW1016" s="40">
        <v>43.05</v>
      </c>
      <c r="AX1016">
        <v>0</v>
      </c>
      <c r="AY1016" s="18">
        <v>1</v>
      </c>
      <c r="AZ1016">
        <v>0</v>
      </c>
      <c r="BA1016" s="18">
        <v>1</v>
      </c>
      <c r="BB1016" s="18" t="s">
        <v>5</v>
      </c>
      <c r="BC1016">
        <v>0</v>
      </c>
      <c r="BD1016">
        <v>1</v>
      </c>
      <c r="BE1016">
        <v>0</v>
      </c>
      <c r="BF1016">
        <v>0</v>
      </c>
      <c r="BG1016">
        <v>0</v>
      </c>
      <c r="BH1016" s="18">
        <v>0</v>
      </c>
      <c r="BI1016">
        <v>0</v>
      </c>
      <c r="BJ1016">
        <v>1</v>
      </c>
      <c r="BK1016" s="18">
        <v>0</v>
      </c>
      <c r="BL1016">
        <v>127.1666666666667</v>
      </c>
      <c r="BM1016">
        <v>27</v>
      </c>
      <c r="BN1016" s="94">
        <f t="shared" si="296"/>
        <v>33.730000000000004</v>
      </c>
      <c r="BO1016">
        <v>0</v>
      </c>
      <c r="BP1016">
        <v>0</v>
      </c>
      <c r="BQ1016">
        <v>0</v>
      </c>
      <c r="BR1016">
        <v>0</v>
      </c>
      <c r="BS1016">
        <v>1</v>
      </c>
      <c r="BT1016">
        <v>0</v>
      </c>
      <c r="BU1016">
        <v>0</v>
      </c>
      <c r="BV1016" s="18">
        <v>0</v>
      </c>
      <c r="BW1016">
        <v>0</v>
      </c>
      <c r="BX1016">
        <v>1</v>
      </c>
      <c r="BY1016">
        <v>0</v>
      </c>
      <c r="BZ1016" s="18">
        <v>0</v>
      </c>
      <c r="CA1016">
        <v>0</v>
      </c>
      <c r="CB1016">
        <v>0</v>
      </c>
      <c r="CC1016">
        <v>0</v>
      </c>
      <c r="CD1016">
        <v>0</v>
      </c>
      <c r="CE1016">
        <v>0</v>
      </c>
      <c r="CF1016" s="18">
        <v>0</v>
      </c>
      <c r="CG1016">
        <v>0</v>
      </c>
      <c r="CH1016">
        <v>0</v>
      </c>
      <c r="CI1016">
        <v>1</v>
      </c>
      <c r="CJ1016">
        <v>1</v>
      </c>
      <c r="CK1016">
        <v>0</v>
      </c>
      <c r="CL1016">
        <v>1</v>
      </c>
      <c r="CM1016">
        <v>1</v>
      </c>
      <c r="CN1016">
        <v>0</v>
      </c>
      <c r="CO1016">
        <v>0</v>
      </c>
      <c r="CP1016">
        <v>1</v>
      </c>
      <c r="CQ1016" s="18">
        <v>0</v>
      </c>
      <c r="CR1016">
        <v>0</v>
      </c>
      <c r="CS1016">
        <v>2</v>
      </c>
      <c r="CT1016">
        <v>0</v>
      </c>
      <c r="CU1016">
        <v>1</v>
      </c>
      <c r="CV1016">
        <v>16</v>
      </c>
      <c r="DB1016" s="34"/>
    </row>
    <row r="1017" spans="1:106" x14ac:dyDescent="0.25">
      <c r="A1017">
        <v>1016</v>
      </c>
      <c r="B1017">
        <v>70</v>
      </c>
      <c r="C1017" s="25" t="s">
        <v>4170</v>
      </c>
      <c r="D1017" s="12">
        <v>29</v>
      </c>
      <c r="E1017" s="14">
        <f t="shared" si="295"/>
        <v>6.2634989200863931</v>
      </c>
      <c r="F1017" s="7">
        <v>4.63</v>
      </c>
      <c r="G1017" s="7">
        <f t="shared" si="279"/>
        <v>22.736501079913609</v>
      </c>
      <c r="H1017" s="16">
        <f t="shared" si="280"/>
        <v>35.263498920086391</v>
      </c>
      <c r="I1017" s="11">
        <f t="shared" si="281"/>
        <v>0.18324072479867753</v>
      </c>
      <c r="J1017" s="33">
        <f t="shared" si="282"/>
        <v>3.9576830410081545E-2</v>
      </c>
      <c r="K1017" s="33">
        <f t="shared" si="283"/>
        <v>25.267308918838193</v>
      </c>
      <c r="L1017" s="33">
        <f t="shared" si="284"/>
        <v>0.143663894388596</v>
      </c>
      <c r="M1017" s="33">
        <f t="shared" si="285"/>
        <v>0.22281755520875907</v>
      </c>
      <c r="N1017" s="8">
        <v>1</v>
      </c>
      <c r="O1017" s="9">
        <v>0</v>
      </c>
      <c r="P1017" s="8">
        <v>1</v>
      </c>
      <c r="Q1017" s="9">
        <v>0</v>
      </c>
      <c r="R1017" s="9">
        <v>0</v>
      </c>
      <c r="S1017" s="9">
        <v>0</v>
      </c>
      <c r="T1017" s="9">
        <v>0</v>
      </c>
      <c r="U1017" s="8">
        <v>628</v>
      </c>
      <c r="V1017" s="9">
        <v>10</v>
      </c>
      <c r="W1017" s="9">
        <f t="shared" si="286"/>
        <v>617</v>
      </c>
      <c r="X1017" s="9">
        <f t="shared" si="287"/>
        <v>36</v>
      </c>
      <c r="Y1017" s="7">
        <v>11.32</v>
      </c>
      <c r="Z1017" s="7">
        <v>16.41</v>
      </c>
      <c r="AA1017" s="9">
        <v>1</v>
      </c>
      <c r="AB1017" s="9">
        <v>0</v>
      </c>
      <c r="AC1017" s="9">
        <v>1</v>
      </c>
      <c r="AD1017" s="9">
        <v>0</v>
      </c>
      <c r="AE1017" s="9">
        <v>0</v>
      </c>
      <c r="AF1017" s="9">
        <v>0</v>
      </c>
      <c r="AG1017" s="8">
        <v>1</v>
      </c>
      <c r="AH1017" s="9">
        <v>0</v>
      </c>
      <c r="AI1017" s="30">
        <v>0</v>
      </c>
      <c r="AJ1017" s="9">
        <v>1</v>
      </c>
      <c r="AK1017" s="30">
        <v>0</v>
      </c>
      <c r="AL1017" s="21">
        <v>2007</v>
      </c>
      <c r="AM1017" s="23">
        <f t="shared" si="288"/>
        <v>7.604396348796338</v>
      </c>
      <c r="AN1017" s="33" t="s">
        <v>104</v>
      </c>
      <c r="AO1017" s="33" t="s">
        <v>104</v>
      </c>
      <c r="AP1017" s="33" t="s">
        <v>104</v>
      </c>
      <c r="AQ1017" s="43" t="s">
        <v>104</v>
      </c>
      <c r="AR1017" s="42">
        <v>1</v>
      </c>
      <c r="AS1017" s="18">
        <v>0</v>
      </c>
      <c r="AT1017">
        <v>0.55249999999999999</v>
      </c>
      <c r="AU1017" s="40">
        <f t="shared" si="293"/>
        <v>0.44750000000000001</v>
      </c>
      <c r="AV1017">
        <v>56.05</v>
      </c>
      <c r="AW1017" s="40">
        <v>43.05</v>
      </c>
      <c r="AX1017">
        <v>0</v>
      </c>
      <c r="AY1017" s="18">
        <v>1</v>
      </c>
      <c r="AZ1017">
        <v>0</v>
      </c>
      <c r="BA1017" s="18">
        <v>1</v>
      </c>
      <c r="BB1017" s="18" t="s">
        <v>5</v>
      </c>
      <c r="BC1017">
        <v>0</v>
      </c>
      <c r="BD1017">
        <v>1</v>
      </c>
      <c r="BE1017">
        <v>0</v>
      </c>
      <c r="BF1017">
        <v>0</v>
      </c>
      <c r="BG1017">
        <v>0</v>
      </c>
      <c r="BH1017" s="18">
        <v>0</v>
      </c>
      <c r="BI1017">
        <v>0</v>
      </c>
      <c r="BJ1017">
        <v>1</v>
      </c>
      <c r="BK1017" s="18">
        <v>0</v>
      </c>
      <c r="BL1017">
        <v>127.1666666666667</v>
      </c>
      <c r="BM1017">
        <v>27</v>
      </c>
      <c r="BN1017" s="94">
        <f t="shared" si="296"/>
        <v>33.730000000000004</v>
      </c>
      <c r="BO1017">
        <v>0</v>
      </c>
      <c r="BP1017">
        <v>0</v>
      </c>
      <c r="BQ1017">
        <v>0</v>
      </c>
      <c r="BR1017">
        <v>0</v>
      </c>
      <c r="BS1017">
        <v>1</v>
      </c>
      <c r="BT1017">
        <v>0</v>
      </c>
      <c r="BU1017">
        <v>0</v>
      </c>
      <c r="BV1017" s="18">
        <v>0</v>
      </c>
      <c r="BW1017">
        <v>0</v>
      </c>
      <c r="BX1017">
        <v>1</v>
      </c>
      <c r="BY1017">
        <v>0</v>
      </c>
      <c r="BZ1017" s="18">
        <v>0</v>
      </c>
      <c r="CA1017">
        <v>0</v>
      </c>
      <c r="CB1017">
        <v>0</v>
      </c>
      <c r="CC1017">
        <v>0</v>
      </c>
      <c r="CD1017">
        <v>0</v>
      </c>
      <c r="CE1017">
        <v>0</v>
      </c>
      <c r="CF1017" s="18">
        <v>0</v>
      </c>
      <c r="CG1017">
        <v>0</v>
      </c>
      <c r="CH1017">
        <v>0</v>
      </c>
      <c r="CI1017">
        <v>1</v>
      </c>
      <c r="CJ1017">
        <v>1</v>
      </c>
      <c r="CK1017">
        <v>0</v>
      </c>
      <c r="CL1017">
        <v>1</v>
      </c>
      <c r="CM1017">
        <v>1</v>
      </c>
      <c r="CN1017">
        <v>0</v>
      </c>
      <c r="CO1017">
        <v>0</v>
      </c>
      <c r="CP1017">
        <v>1</v>
      </c>
      <c r="CQ1017" s="18">
        <v>0</v>
      </c>
      <c r="CR1017">
        <v>0</v>
      </c>
      <c r="CS1017">
        <v>2</v>
      </c>
      <c r="CT1017">
        <v>0</v>
      </c>
      <c r="CU1017">
        <v>1</v>
      </c>
      <c r="CV1017">
        <v>16</v>
      </c>
      <c r="DB1017" s="34"/>
    </row>
    <row r="1018" spans="1:106" x14ac:dyDescent="0.25">
      <c r="A1018">
        <v>1017</v>
      </c>
      <c r="B1018">
        <v>70</v>
      </c>
      <c r="C1018" s="25" t="s">
        <v>4170</v>
      </c>
      <c r="D1018" s="12">
        <v>25.7</v>
      </c>
      <c r="E1018" s="14">
        <f t="shared" si="295"/>
        <v>3.9919229574401989</v>
      </c>
      <c r="F1018" s="7">
        <v>6.4379999999999997</v>
      </c>
      <c r="G1018" s="7">
        <f t="shared" si="279"/>
        <v>21.7080770425598</v>
      </c>
      <c r="H1018" s="16">
        <f t="shared" si="280"/>
        <v>29.691922957440198</v>
      </c>
      <c r="I1018" s="11">
        <f t="shared" si="281"/>
        <v>0.25204499171861505</v>
      </c>
      <c r="J1018" s="33">
        <f t="shared" si="282"/>
        <v>3.9149579328769037E-2</v>
      </c>
      <c r="K1018" s="33">
        <f t="shared" si="283"/>
        <v>25.543058626562324</v>
      </c>
      <c r="L1018" s="33">
        <f t="shared" si="284"/>
        <v>0.21289541238984602</v>
      </c>
      <c r="M1018" s="33">
        <f t="shared" si="285"/>
        <v>0.29119457104738411</v>
      </c>
      <c r="N1018" s="8">
        <v>1</v>
      </c>
      <c r="O1018" s="9">
        <v>0</v>
      </c>
      <c r="P1018" s="8">
        <v>1</v>
      </c>
      <c r="Q1018" s="9">
        <v>0</v>
      </c>
      <c r="R1018" s="9">
        <v>0</v>
      </c>
      <c r="S1018" s="9">
        <v>0</v>
      </c>
      <c r="T1018" s="9">
        <v>0</v>
      </c>
      <c r="U1018" s="8">
        <v>628</v>
      </c>
      <c r="V1018" s="9">
        <v>16</v>
      </c>
      <c r="W1018" s="9">
        <f t="shared" si="286"/>
        <v>611</v>
      </c>
      <c r="X1018" s="9">
        <f t="shared" si="287"/>
        <v>36</v>
      </c>
      <c r="Y1018" s="7">
        <v>11.32</v>
      </c>
      <c r="Z1018" s="7">
        <v>16.41</v>
      </c>
      <c r="AA1018" s="9">
        <v>1</v>
      </c>
      <c r="AB1018" s="9">
        <v>0</v>
      </c>
      <c r="AC1018" s="9">
        <v>1</v>
      </c>
      <c r="AD1018" s="9">
        <v>0</v>
      </c>
      <c r="AE1018" s="9">
        <v>0</v>
      </c>
      <c r="AF1018" s="9">
        <v>0</v>
      </c>
      <c r="AG1018" s="8">
        <v>1</v>
      </c>
      <c r="AH1018" s="9">
        <v>0</v>
      </c>
      <c r="AI1018" s="30">
        <v>0</v>
      </c>
      <c r="AJ1018" s="9">
        <v>1</v>
      </c>
      <c r="AK1018" s="30">
        <v>0</v>
      </c>
      <c r="AL1018" s="21">
        <v>2007</v>
      </c>
      <c r="AM1018" s="23">
        <f t="shared" si="288"/>
        <v>7.604396348796338</v>
      </c>
      <c r="AN1018" s="33" t="s">
        <v>104</v>
      </c>
      <c r="AO1018" s="33" t="s">
        <v>104</v>
      </c>
      <c r="AP1018" s="33" t="s">
        <v>104</v>
      </c>
      <c r="AQ1018" s="43" t="s">
        <v>104</v>
      </c>
      <c r="AR1018" s="42">
        <v>1</v>
      </c>
      <c r="AS1018" s="18">
        <v>0</v>
      </c>
      <c r="AT1018">
        <v>0.55249999999999999</v>
      </c>
      <c r="AU1018" s="40">
        <f t="shared" si="293"/>
        <v>0.44750000000000001</v>
      </c>
      <c r="AV1018">
        <v>56.05</v>
      </c>
      <c r="AW1018" s="40">
        <v>43.05</v>
      </c>
      <c r="AX1018">
        <v>0</v>
      </c>
      <c r="AY1018" s="18">
        <v>1</v>
      </c>
      <c r="AZ1018">
        <v>0</v>
      </c>
      <c r="BA1018" s="18">
        <v>1</v>
      </c>
      <c r="BB1018" s="18" t="s">
        <v>5</v>
      </c>
      <c r="BC1018">
        <v>0</v>
      </c>
      <c r="BD1018">
        <v>1</v>
      </c>
      <c r="BE1018">
        <v>0</v>
      </c>
      <c r="BF1018">
        <v>0</v>
      </c>
      <c r="BG1018">
        <v>0</v>
      </c>
      <c r="BH1018" s="18">
        <v>0</v>
      </c>
      <c r="BI1018">
        <v>0</v>
      </c>
      <c r="BJ1018">
        <v>1</v>
      </c>
      <c r="BK1018" s="18">
        <v>0</v>
      </c>
      <c r="BL1018">
        <v>127.1666666666667</v>
      </c>
      <c r="BM1018">
        <v>27</v>
      </c>
      <c r="BN1018" s="94">
        <f t="shared" si="296"/>
        <v>33.730000000000004</v>
      </c>
      <c r="BO1018">
        <v>0</v>
      </c>
      <c r="BP1018">
        <v>0</v>
      </c>
      <c r="BQ1018">
        <v>0</v>
      </c>
      <c r="BR1018">
        <v>0</v>
      </c>
      <c r="BS1018">
        <v>1</v>
      </c>
      <c r="BT1018">
        <v>0</v>
      </c>
      <c r="BU1018">
        <v>0</v>
      </c>
      <c r="BV1018" s="18">
        <v>0</v>
      </c>
      <c r="BW1018">
        <v>0</v>
      </c>
      <c r="BX1018">
        <v>1</v>
      </c>
      <c r="BY1018">
        <v>0</v>
      </c>
      <c r="BZ1018" s="18">
        <v>0</v>
      </c>
      <c r="CA1018">
        <v>0</v>
      </c>
      <c r="CB1018">
        <v>0</v>
      </c>
      <c r="CC1018">
        <v>0</v>
      </c>
      <c r="CD1018">
        <v>0</v>
      </c>
      <c r="CE1018">
        <v>0</v>
      </c>
      <c r="CF1018" s="18">
        <v>0</v>
      </c>
      <c r="CG1018">
        <v>0</v>
      </c>
      <c r="CH1018">
        <v>0</v>
      </c>
      <c r="CI1018">
        <v>1</v>
      </c>
      <c r="CJ1018">
        <v>1</v>
      </c>
      <c r="CK1018">
        <v>0</v>
      </c>
      <c r="CL1018">
        <v>1</v>
      </c>
      <c r="CM1018">
        <v>1</v>
      </c>
      <c r="CN1018">
        <v>0</v>
      </c>
      <c r="CO1018">
        <v>1</v>
      </c>
      <c r="CP1018">
        <v>1</v>
      </c>
      <c r="CQ1018" s="18">
        <v>0</v>
      </c>
      <c r="CR1018">
        <v>0</v>
      </c>
      <c r="CS1018">
        <v>2</v>
      </c>
      <c r="CT1018">
        <v>0</v>
      </c>
      <c r="CU1018">
        <v>1</v>
      </c>
      <c r="CV1018">
        <v>16</v>
      </c>
      <c r="DB1018" s="34"/>
    </row>
    <row r="1019" spans="1:106" x14ac:dyDescent="0.25">
      <c r="A1019">
        <v>1018</v>
      </c>
      <c r="B1019">
        <v>70</v>
      </c>
      <c r="C1019" s="25" t="s">
        <v>4170</v>
      </c>
      <c r="D1019" s="12">
        <v>28.9</v>
      </c>
      <c r="E1019" s="14">
        <f t="shared" si="295"/>
        <v>4.0211492973424239</v>
      </c>
      <c r="F1019" s="7">
        <v>7.1870000000000003</v>
      </c>
      <c r="G1019" s="7">
        <f t="shared" si="279"/>
        <v>24.878850702657573</v>
      </c>
      <c r="H1019" s="16">
        <f t="shared" si="280"/>
        <v>32.921149297342424</v>
      </c>
      <c r="I1019" s="11">
        <f t="shared" si="281"/>
        <v>0.27919302920971634</v>
      </c>
      <c r="J1019" s="33">
        <f t="shared" si="282"/>
        <v>3.8846949938738877E-2</v>
      </c>
      <c r="K1019" s="33">
        <f t="shared" si="283"/>
        <v>25.742046713499686</v>
      </c>
      <c r="L1019" s="33">
        <f t="shared" si="284"/>
        <v>0.24034607927097745</v>
      </c>
      <c r="M1019" s="33">
        <f t="shared" si="285"/>
        <v>0.31803997914845522</v>
      </c>
      <c r="N1019" s="8">
        <v>1</v>
      </c>
      <c r="O1019" s="9">
        <v>0</v>
      </c>
      <c r="P1019" s="8">
        <v>1</v>
      </c>
      <c r="Q1019" s="9">
        <v>0</v>
      </c>
      <c r="R1019" s="9">
        <v>0</v>
      </c>
      <c r="S1019" s="9">
        <v>0</v>
      </c>
      <c r="T1019" s="9">
        <v>0</v>
      </c>
      <c r="U1019" s="8">
        <v>628</v>
      </c>
      <c r="V1019" s="9">
        <v>16</v>
      </c>
      <c r="W1019" s="9">
        <f t="shared" si="286"/>
        <v>611</v>
      </c>
      <c r="X1019" s="9">
        <f t="shared" si="287"/>
        <v>36</v>
      </c>
      <c r="Y1019" s="7">
        <v>11.32</v>
      </c>
      <c r="Z1019" s="7">
        <v>16.41</v>
      </c>
      <c r="AA1019" s="9">
        <v>1</v>
      </c>
      <c r="AB1019" s="9">
        <v>0</v>
      </c>
      <c r="AC1019" s="9">
        <v>1</v>
      </c>
      <c r="AD1019" s="9">
        <v>0</v>
      </c>
      <c r="AE1019" s="9">
        <v>0</v>
      </c>
      <c r="AF1019" s="9">
        <v>0</v>
      </c>
      <c r="AG1019" s="8">
        <v>1</v>
      </c>
      <c r="AH1019" s="9">
        <v>0</v>
      </c>
      <c r="AI1019" s="30">
        <v>0</v>
      </c>
      <c r="AJ1019" s="9">
        <v>1</v>
      </c>
      <c r="AK1019" s="30">
        <v>0</v>
      </c>
      <c r="AL1019" s="21">
        <v>2007</v>
      </c>
      <c r="AM1019" s="23">
        <f t="shared" si="288"/>
        <v>7.604396348796338</v>
      </c>
      <c r="AN1019" s="33" t="s">
        <v>104</v>
      </c>
      <c r="AO1019" s="33" t="s">
        <v>104</v>
      </c>
      <c r="AP1019" s="33" t="s">
        <v>104</v>
      </c>
      <c r="AQ1019" s="43" t="s">
        <v>104</v>
      </c>
      <c r="AR1019" s="42">
        <v>1</v>
      </c>
      <c r="AS1019" s="18">
        <v>0</v>
      </c>
      <c r="AT1019">
        <v>0.55249999999999999</v>
      </c>
      <c r="AU1019" s="40">
        <f t="shared" si="293"/>
        <v>0.44750000000000001</v>
      </c>
      <c r="AV1019">
        <v>56.05</v>
      </c>
      <c r="AW1019" s="40">
        <v>43.05</v>
      </c>
      <c r="AX1019">
        <v>0</v>
      </c>
      <c r="AY1019" s="18">
        <v>1</v>
      </c>
      <c r="AZ1019">
        <v>0</v>
      </c>
      <c r="BA1019" s="18">
        <v>1</v>
      </c>
      <c r="BB1019" s="18" t="s">
        <v>5</v>
      </c>
      <c r="BC1019">
        <v>0</v>
      </c>
      <c r="BD1019">
        <v>1</v>
      </c>
      <c r="BE1019">
        <v>0</v>
      </c>
      <c r="BF1019">
        <v>0</v>
      </c>
      <c r="BG1019">
        <v>0</v>
      </c>
      <c r="BH1019" s="18">
        <v>0</v>
      </c>
      <c r="BI1019">
        <v>0</v>
      </c>
      <c r="BJ1019">
        <v>1</v>
      </c>
      <c r="BK1019" s="18">
        <v>0</v>
      </c>
      <c r="BL1019">
        <v>127.1666666666667</v>
      </c>
      <c r="BM1019">
        <v>27</v>
      </c>
      <c r="BN1019" s="94">
        <f t="shared" si="296"/>
        <v>33.730000000000004</v>
      </c>
      <c r="BO1019">
        <v>0</v>
      </c>
      <c r="BP1019">
        <v>0</v>
      </c>
      <c r="BQ1019">
        <v>0</v>
      </c>
      <c r="BR1019">
        <v>0</v>
      </c>
      <c r="BS1019">
        <v>1</v>
      </c>
      <c r="BT1019">
        <v>0</v>
      </c>
      <c r="BU1019">
        <v>0</v>
      </c>
      <c r="BV1019" s="18">
        <v>0</v>
      </c>
      <c r="BW1019">
        <v>0</v>
      </c>
      <c r="BX1019">
        <v>1</v>
      </c>
      <c r="BY1019">
        <v>0</v>
      </c>
      <c r="BZ1019" s="18">
        <v>0</v>
      </c>
      <c r="CA1019">
        <v>0</v>
      </c>
      <c r="CB1019">
        <v>0</v>
      </c>
      <c r="CC1019">
        <v>0</v>
      </c>
      <c r="CD1019">
        <v>0</v>
      </c>
      <c r="CE1019">
        <v>0</v>
      </c>
      <c r="CF1019" s="18">
        <v>0</v>
      </c>
      <c r="CG1019">
        <v>0</v>
      </c>
      <c r="CH1019">
        <v>0</v>
      </c>
      <c r="CI1019">
        <v>1</v>
      </c>
      <c r="CJ1019">
        <v>1</v>
      </c>
      <c r="CK1019">
        <v>0</v>
      </c>
      <c r="CL1019">
        <v>1</v>
      </c>
      <c r="CM1019">
        <v>1</v>
      </c>
      <c r="CN1019">
        <v>0</v>
      </c>
      <c r="CO1019">
        <v>1</v>
      </c>
      <c r="CP1019">
        <v>1</v>
      </c>
      <c r="CQ1019" s="18">
        <v>0</v>
      </c>
      <c r="CR1019">
        <v>0</v>
      </c>
      <c r="CS1019">
        <v>2</v>
      </c>
      <c r="CT1019">
        <v>0</v>
      </c>
      <c r="CU1019">
        <v>1</v>
      </c>
      <c r="CV1019">
        <v>16</v>
      </c>
      <c r="DB1019" s="34"/>
    </row>
    <row r="1020" spans="1:106" x14ac:dyDescent="0.25">
      <c r="A1020">
        <v>1019</v>
      </c>
      <c r="B1020">
        <v>70</v>
      </c>
      <c r="C1020" s="25" t="s">
        <v>4170</v>
      </c>
      <c r="D1020" s="12">
        <v>26.8</v>
      </c>
      <c r="E1020" s="14">
        <f t="shared" si="295"/>
        <v>3.9592258827005464</v>
      </c>
      <c r="F1020" s="7">
        <v>6.7690000000000001</v>
      </c>
      <c r="G1020" s="7">
        <f t="shared" si="279"/>
        <v>22.840774117299453</v>
      </c>
      <c r="H1020" s="16">
        <f t="shared" si="280"/>
        <v>30.759225882700548</v>
      </c>
      <c r="I1020" s="11">
        <f t="shared" si="281"/>
        <v>0.26432144341011521</v>
      </c>
      <c r="J1020" s="33">
        <f t="shared" si="282"/>
        <v>3.9048817167988657E-2</v>
      </c>
      <c r="K1020" s="33">
        <f t="shared" si="283"/>
        <v>25.608970322916147</v>
      </c>
      <c r="L1020" s="33">
        <f t="shared" si="284"/>
        <v>0.22527262624212654</v>
      </c>
      <c r="M1020" s="33">
        <f t="shared" si="285"/>
        <v>0.30337026057810385</v>
      </c>
      <c r="N1020" s="8">
        <v>1</v>
      </c>
      <c r="O1020" s="9">
        <v>0</v>
      </c>
      <c r="P1020" s="8">
        <v>1</v>
      </c>
      <c r="Q1020" s="9">
        <v>0</v>
      </c>
      <c r="R1020" s="9">
        <v>0</v>
      </c>
      <c r="S1020" s="9">
        <v>0</v>
      </c>
      <c r="T1020" s="9">
        <v>0</v>
      </c>
      <c r="U1020" s="8">
        <v>628</v>
      </c>
      <c r="V1020" s="9">
        <v>17</v>
      </c>
      <c r="W1020" s="9">
        <f t="shared" si="286"/>
        <v>610</v>
      </c>
      <c r="X1020" s="9">
        <f t="shared" si="287"/>
        <v>36</v>
      </c>
      <c r="Y1020" s="7">
        <v>11.32</v>
      </c>
      <c r="Z1020" s="7">
        <v>16.41</v>
      </c>
      <c r="AA1020" s="9">
        <v>1</v>
      </c>
      <c r="AB1020" s="9">
        <v>0</v>
      </c>
      <c r="AC1020" s="9">
        <v>1</v>
      </c>
      <c r="AD1020" s="9">
        <v>0</v>
      </c>
      <c r="AE1020" s="9">
        <v>0</v>
      </c>
      <c r="AF1020" s="9">
        <v>0</v>
      </c>
      <c r="AG1020" s="8">
        <v>1</v>
      </c>
      <c r="AH1020" s="9">
        <v>0</v>
      </c>
      <c r="AI1020" s="30">
        <v>0</v>
      </c>
      <c r="AJ1020" s="9">
        <v>1</v>
      </c>
      <c r="AK1020" s="30">
        <v>0</v>
      </c>
      <c r="AL1020" s="21">
        <v>2007</v>
      </c>
      <c r="AM1020" s="23">
        <f t="shared" si="288"/>
        <v>7.604396348796338</v>
      </c>
      <c r="AN1020" s="33" t="s">
        <v>104</v>
      </c>
      <c r="AO1020" s="33" t="s">
        <v>104</v>
      </c>
      <c r="AP1020" s="33" t="s">
        <v>104</v>
      </c>
      <c r="AQ1020" s="43" t="s">
        <v>104</v>
      </c>
      <c r="AR1020" s="42">
        <v>1</v>
      </c>
      <c r="AS1020" s="18">
        <v>0</v>
      </c>
      <c r="AT1020">
        <v>0.55249999999999999</v>
      </c>
      <c r="AU1020" s="40">
        <f t="shared" si="293"/>
        <v>0.44750000000000001</v>
      </c>
      <c r="AV1020">
        <v>56.05</v>
      </c>
      <c r="AW1020" s="40">
        <v>43.05</v>
      </c>
      <c r="AX1020">
        <v>0</v>
      </c>
      <c r="AY1020" s="18">
        <v>1</v>
      </c>
      <c r="AZ1020">
        <v>0</v>
      </c>
      <c r="BA1020" s="18">
        <v>1</v>
      </c>
      <c r="BB1020" s="18" t="s">
        <v>5</v>
      </c>
      <c r="BC1020">
        <v>0</v>
      </c>
      <c r="BD1020">
        <v>1</v>
      </c>
      <c r="BE1020">
        <v>0</v>
      </c>
      <c r="BF1020">
        <v>0</v>
      </c>
      <c r="BG1020">
        <v>0</v>
      </c>
      <c r="BH1020" s="18">
        <v>0</v>
      </c>
      <c r="BI1020">
        <v>0</v>
      </c>
      <c r="BJ1020">
        <v>1</v>
      </c>
      <c r="BK1020" s="18">
        <v>0</v>
      </c>
      <c r="BL1020">
        <v>127.1666666666667</v>
      </c>
      <c r="BM1020">
        <v>27</v>
      </c>
      <c r="BN1020" s="94">
        <f t="shared" si="296"/>
        <v>33.730000000000004</v>
      </c>
      <c r="BO1020">
        <v>0</v>
      </c>
      <c r="BP1020">
        <v>0</v>
      </c>
      <c r="BQ1020">
        <v>0</v>
      </c>
      <c r="BR1020">
        <v>0</v>
      </c>
      <c r="BS1020">
        <v>1</v>
      </c>
      <c r="BT1020">
        <v>0</v>
      </c>
      <c r="BU1020">
        <v>0</v>
      </c>
      <c r="BV1020" s="18">
        <v>0</v>
      </c>
      <c r="BW1020">
        <v>0</v>
      </c>
      <c r="BX1020">
        <v>1</v>
      </c>
      <c r="BY1020">
        <v>0</v>
      </c>
      <c r="BZ1020" s="18">
        <v>0</v>
      </c>
      <c r="CA1020">
        <v>0</v>
      </c>
      <c r="CB1020">
        <v>0</v>
      </c>
      <c r="CC1020">
        <v>0</v>
      </c>
      <c r="CD1020">
        <v>0</v>
      </c>
      <c r="CE1020">
        <v>0</v>
      </c>
      <c r="CF1020" s="18">
        <v>0</v>
      </c>
      <c r="CG1020">
        <v>0</v>
      </c>
      <c r="CH1020">
        <v>0</v>
      </c>
      <c r="CI1020">
        <v>1</v>
      </c>
      <c r="CJ1020">
        <v>1</v>
      </c>
      <c r="CK1020">
        <v>0</v>
      </c>
      <c r="CL1020">
        <v>1</v>
      </c>
      <c r="CM1020">
        <v>1</v>
      </c>
      <c r="CN1020">
        <v>1</v>
      </c>
      <c r="CO1020">
        <v>1</v>
      </c>
      <c r="CP1020">
        <v>1</v>
      </c>
      <c r="CQ1020" s="18">
        <v>0</v>
      </c>
      <c r="CR1020">
        <v>0</v>
      </c>
      <c r="CS1020">
        <v>2</v>
      </c>
      <c r="CT1020">
        <v>0</v>
      </c>
      <c r="CU1020">
        <v>1</v>
      </c>
      <c r="CV1020">
        <v>16</v>
      </c>
      <c r="DB1020" s="34"/>
    </row>
    <row r="1021" spans="1:106" x14ac:dyDescent="0.25">
      <c r="A1021">
        <v>1020</v>
      </c>
      <c r="B1021">
        <v>70</v>
      </c>
      <c r="C1021" s="25" t="s">
        <v>4170</v>
      </c>
      <c r="D1021" s="12">
        <v>30</v>
      </c>
      <c r="E1021" s="14">
        <f t="shared" si="295"/>
        <v>3.8510911424903722</v>
      </c>
      <c r="F1021" s="7">
        <v>7.79</v>
      </c>
      <c r="G1021" s="7">
        <f t="shared" si="279"/>
        <v>26.148908857509628</v>
      </c>
      <c r="H1021" s="16">
        <f t="shared" si="280"/>
        <v>33.851091142490375</v>
      </c>
      <c r="I1021" s="11">
        <f t="shared" si="281"/>
        <v>0.30080042974255133</v>
      </c>
      <c r="J1021" s="33">
        <f t="shared" si="282"/>
        <v>3.861366235462789E-2</v>
      </c>
      <c r="K1021" s="33">
        <f t="shared" si="283"/>
        <v>25.897569384017491</v>
      </c>
      <c r="L1021" s="33">
        <f t="shared" si="284"/>
        <v>0.26218676738792346</v>
      </c>
      <c r="M1021" s="33">
        <f t="shared" si="285"/>
        <v>0.33941409209717921</v>
      </c>
      <c r="N1021" s="8">
        <v>1</v>
      </c>
      <c r="O1021" s="9">
        <v>0</v>
      </c>
      <c r="P1021" s="8">
        <v>1</v>
      </c>
      <c r="Q1021" s="9">
        <v>0</v>
      </c>
      <c r="R1021" s="9">
        <v>0</v>
      </c>
      <c r="S1021" s="9">
        <v>0</v>
      </c>
      <c r="T1021" s="9">
        <v>0</v>
      </c>
      <c r="U1021" s="8">
        <v>628</v>
      </c>
      <c r="V1021" s="9">
        <v>17</v>
      </c>
      <c r="W1021" s="9">
        <f t="shared" si="286"/>
        <v>610</v>
      </c>
      <c r="X1021" s="9">
        <f t="shared" si="287"/>
        <v>36</v>
      </c>
      <c r="Y1021" s="7">
        <v>11.32</v>
      </c>
      <c r="Z1021" s="7">
        <v>16.41</v>
      </c>
      <c r="AA1021" s="9">
        <v>1</v>
      </c>
      <c r="AB1021" s="9">
        <v>0</v>
      </c>
      <c r="AC1021" s="9">
        <v>1</v>
      </c>
      <c r="AD1021" s="9">
        <v>0</v>
      </c>
      <c r="AE1021" s="9">
        <v>0</v>
      </c>
      <c r="AF1021" s="9">
        <v>0</v>
      </c>
      <c r="AG1021" s="8">
        <v>1</v>
      </c>
      <c r="AH1021" s="9">
        <v>0</v>
      </c>
      <c r="AI1021" s="30">
        <v>0</v>
      </c>
      <c r="AJ1021" s="9">
        <v>1</v>
      </c>
      <c r="AK1021" s="30">
        <v>0</v>
      </c>
      <c r="AL1021" s="21">
        <v>2007</v>
      </c>
      <c r="AM1021" s="23">
        <f t="shared" si="288"/>
        <v>7.604396348796338</v>
      </c>
      <c r="AN1021" s="33" t="s">
        <v>104</v>
      </c>
      <c r="AO1021" s="33" t="s">
        <v>104</v>
      </c>
      <c r="AP1021" s="33" t="s">
        <v>104</v>
      </c>
      <c r="AQ1021" s="43" t="s">
        <v>104</v>
      </c>
      <c r="AR1021" s="42">
        <v>1</v>
      </c>
      <c r="AS1021" s="18">
        <v>0</v>
      </c>
      <c r="AT1021">
        <v>0.55249999999999999</v>
      </c>
      <c r="AU1021" s="40">
        <f t="shared" si="293"/>
        <v>0.44750000000000001</v>
      </c>
      <c r="AV1021">
        <v>56.05</v>
      </c>
      <c r="AW1021" s="40">
        <v>43.05</v>
      </c>
      <c r="AX1021">
        <v>0</v>
      </c>
      <c r="AY1021" s="18">
        <v>1</v>
      </c>
      <c r="AZ1021">
        <v>0</v>
      </c>
      <c r="BA1021" s="18">
        <v>1</v>
      </c>
      <c r="BB1021" s="18" t="s">
        <v>5</v>
      </c>
      <c r="BC1021">
        <v>0</v>
      </c>
      <c r="BD1021">
        <v>1</v>
      </c>
      <c r="BE1021">
        <v>0</v>
      </c>
      <c r="BF1021">
        <v>0</v>
      </c>
      <c r="BG1021">
        <v>0</v>
      </c>
      <c r="BH1021" s="18">
        <v>0</v>
      </c>
      <c r="BI1021">
        <v>0</v>
      </c>
      <c r="BJ1021">
        <v>1</v>
      </c>
      <c r="BK1021" s="18">
        <v>0</v>
      </c>
      <c r="BL1021">
        <v>127.1666666666667</v>
      </c>
      <c r="BM1021">
        <v>27</v>
      </c>
      <c r="BN1021" s="94">
        <f t="shared" si="296"/>
        <v>33.730000000000004</v>
      </c>
      <c r="BO1021">
        <v>0</v>
      </c>
      <c r="BP1021">
        <v>0</v>
      </c>
      <c r="BQ1021">
        <v>0</v>
      </c>
      <c r="BR1021">
        <v>0</v>
      </c>
      <c r="BS1021">
        <v>1</v>
      </c>
      <c r="BT1021">
        <v>0</v>
      </c>
      <c r="BU1021">
        <v>0</v>
      </c>
      <c r="BV1021" s="18">
        <v>0</v>
      </c>
      <c r="BW1021">
        <v>0</v>
      </c>
      <c r="BX1021">
        <v>1</v>
      </c>
      <c r="BY1021">
        <v>0</v>
      </c>
      <c r="BZ1021" s="18">
        <v>0</v>
      </c>
      <c r="CA1021">
        <v>0</v>
      </c>
      <c r="CB1021">
        <v>0</v>
      </c>
      <c r="CC1021">
        <v>0</v>
      </c>
      <c r="CD1021">
        <v>0</v>
      </c>
      <c r="CE1021">
        <v>0</v>
      </c>
      <c r="CF1021" s="18">
        <v>0</v>
      </c>
      <c r="CG1021">
        <v>0</v>
      </c>
      <c r="CH1021">
        <v>0</v>
      </c>
      <c r="CI1021">
        <v>1</v>
      </c>
      <c r="CJ1021">
        <v>1</v>
      </c>
      <c r="CK1021">
        <v>0</v>
      </c>
      <c r="CL1021">
        <v>1</v>
      </c>
      <c r="CM1021">
        <v>1</v>
      </c>
      <c r="CN1021">
        <v>1</v>
      </c>
      <c r="CO1021">
        <v>1</v>
      </c>
      <c r="CP1021">
        <v>1</v>
      </c>
      <c r="CQ1021" s="18">
        <v>0</v>
      </c>
      <c r="CR1021">
        <v>0</v>
      </c>
      <c r="CS1021">
        <v>2</v>
      </c>
      <c r="CT1021">
        <v>0</v>
      </c>
      <c r="CU1021">
        <v>1</v>
      </c>
      <c r="CV1021">
        <v>16</v>
      </c>
      <c r="DB1021" s="34"/>
    </row>
    <row r="1022" spans="1:106" x14ac:dyDescent="0.25">
      <c r="A1022">
        <v>1021</v>
      </c>
      <c r="B1022">
        <v>70</v>
      </c>
      <c r="C1022" s="25" t="s">
        <v>4170</v>
      </c>
      <c r="D1022" s="12">
        <v>22.6</v>
      </c>
      <c r="E1022" s="14">
        <f t="shared" si="295"/>
        <v>3.53125</v>
      </c>
      <c r="F1022" s="7">
        <v>6.4</v>
      </c>
      <c r="G1022" s="7">
        <f t="shared" si="279"/>
        <v>19.068750000000001</v>
      </c>
      <c r="H1022" s="16">
        <f t="shared" si="280"/>
        <v>26.131250000000001</v>
      </c>
      <c r="I1022" s="11">
        <f t="shared" si="281"/>
        <v>0.2510363772919374</v>
      </c>
      <c r="J1022" s="33">
        <f t="shared" si="282"/>
        <v>3.9224433951865215E-2</v>
      </c>
      <c r="K1022" s="33">
        <f t="shared" si="283"/>
        <v>25.494313091354314</v>
      </c>
      <c r="L1022" s="33">
        <f t="shared" si="284"/>
        <v>0.2118119433400722</v>
      </c>
      <c r="M1022" s="33">
        <f t="shared" si="285"/>
        <v>0.2902608112438026</v>
      </c>
      <c r="N1022" s="8">
        <v>1</v>
      </c>
      <c r="O1022" s="9">
        <v>0</v>
      </c>
      <c r="P1022" s="8">
        <v>1</v>
      </c>
      <c r="Q1022" s="9">
        <v>0</v>
      </c>
      <c r="R1022" s="9">
        <v>0</v>
      </c>
      <c r="S1022" s="9">
        <v>0</v>
      </c>
      <c r="T1022" s="9">
        <v>0</v>
      </c>
      <c r="U1022" s="8">
        <v>628</v>
      </c>
      <c r="V1022" s="9">
        <v>18</v>
      </c>
      <c r="W1022" s="9">
        <f t="shared" si="286"/>
        <v>609</v>
      </c>
      <c r="X1022" s="9">
        <f t="shared" si="287"/>
        <v>36</v>
      </c>
      <c r="Y1022" s="7">
        <v>11.32</v>
      </c>
      <c r="Z1022" s="7">
        <v>16.41</v>
      </c>
      <c r="AA1022" s="9">
        <v>1</v>
      </c>
      <c r="AB1022" s="9">
        <v>0</v>
      </c>
      <c r="AC1022" s="9">
        <v>1</v>
      </c>
      <c r="AD1022" s="9">
        <v>0</v>
      </c>
      <c r="AE1022" s="9">
        <v>0</v>
      </c>
      <c r="AF1022" s="9">
        <v>0</v>
      </c>
      <c r="AG1022" s="8">
        <v>1</v>
      </c>
      <c r="AH1022" s="9">
        <v>0</v>
      </c>
      <c r="AI1022" s="30">
        <v>0</v>
      </c>
      <c r="AJ1022" s="9">
        <v>1</v>
      </c>
      <c r="AK1022" s="30">
        <v>0</v>
      </c>
      <c r="AL1022" s="21">
        <v>2007</v>
      </c>
      <c r="AM1022" s="23">
        <f t="shared" si="288"/>
        <v>7.604396348796338</v>
      </c>
      <c r="AN1022" s="33" t="s">
        <v>104</v>
      </c>
      <c r="AO1022" s="33" t="s">
        <v>104</v>
      </c>
      <c r="AP1022" s="33" t="s">
        <v>104</v>
      </c>
      <c r="AQ1022" s="43" t="s">
        <v>104</v>
      </c>
      <c r="AR1022" s="42">
        <v>1</v>
      </c>
      <c r="AS1022" s="18">
        <v>0</v>
      </c>
      <c r="AT1022">
        <v>0.55249999999999999</v>
      </c>
      <c r="AU1022" s="40">
        <f t="shared" si="293"/>
        <v>0.44750000000000001</v>
      </c>
      <c r="AV1022">
        <v>56.05</v>
      </c>
      <c r="AW1022" s="40">
        <v>43.05</v>
      </c>
      <c r="AX1022">
        <v>0</v>
      </c>
      <c r="AY1022" s="18">
        <v>1</v>
      </c>
      <c r="AZ1022">
        <v>0</v>
      </c>
      <c r="BA1022" s="18">
        <v>1</v>
      </c>
      <c r="BB1022" s="18" t="s">
        <v>5</v>
      </c>
      <c r="BC1022">
        <v>0</v>
      </c>
      <c r="BD1022">
        <v>1</v>
      </c>
      <c r="BE1022">
        <v>0</v>
      </c>
      <c r="BF1022">
        <v>0</v>
      </c>
      <c r="BG1022">
        <v>0</v>
      </c>
      <c r="BH1022" s="18">
        <v>0</v>
      </c>
      <c r="BI1022">
        <v>0</v>
      </c>
      <c r="BJ1022">
        <v>1</v>
      </c>
      <c r="BK1022" s="18">
        <v>0</v>
      </c>
      <c r="BL1022">
        <v>127.1666666666667</v>
      </c>
      <c r="BM1022">
        <v>27</v>
      </c>
      <c r="BN1022" s="94">
        <f t="shared" si="296"/>
        <v>33.730000000000004</v>
      </c>
      <c r="BO1022">
        <v>0</v>
      </c>
      <c r="BP1022">
        <v>0</v>
      </c>
      <c r="BQ1022">
        <v>0</v>
      </c>
      <c r="BR1022">
        <v>0</v>
      </c>
      <c r="BS1022">
        <v>1</v>
      </c>
      <c r="BT1022">
        <v>0</v>
      </c>
      <c r="BU1022">
        <v>0</v>
      </c>
      <c r="BV1022" s="18">
        <v>0</v>
      </c>
      <c r="BW1022">
        <v>0</v>
      </c>
      <c r="BX1022">
        <v>1</v>
      </c>
      <c r="BY1022">
        <v>0</v>
      </c>
      <c r="BZ1022" s="18">
        <v>0</v>
      </c>
      <c r="CA1022">
        <v>0</v>
      </c>
      <c r="CB1022">
        <v>0</v>
      </c>
      <c r="CC1022">
        <v>0</v>
      </c>
      <c r="CD1022">
        <v>0</v>
      </c>
      <c r="CE1022">
        <v>0</v>
      </c>
      <c r="CF1022" s="18">
        <v>0</v>
      </c>
      <c r="CG1022">
        <v>0</v>
      </c>
      <c r="CH1022">
        <v>0</v>
      </c>
      <c r="CI1022">
        <v>1</v>
      </c>
      <c r="CJ1022">
        <v>1</v>
      </c>
      <c r="CK1022">
        <v>0</v>
      </c>
      <c r="CL1022">
        <v>1</v>
      </c>
      <c r="CM1022">
        <v>1</v>
      </c>
      <c r="CN1022">
        <v>1</v>
      </c>
      <c r="CO1022">
        <v>1</v>
      </c>
      <c r="CP1022">
        <v>1</v>
      </c>
      <c r="CQ1022" s="18">
        <v>0</v>
      </c>
      <c r="CR1022">
        <v>0</v>
      </c>
      <c r="CS1022">
        <v>2</v>
      </c>
      <c r="CT1022">
        <v>0</v>
      </c>
      <c r="CU1022">
        <v>1</v>
      </c>
      <c r="CV1022">
        <v>16</v>
      </c>
      <c r="DB1022" s="34"/>
    </row>
    <row r="1023" spans="1:106" x14ac:dyDescent="0.25">
      <c r="A1023">
        <v>1022</v>
      </c>
      <c r="B1023">
        <v>70</v>
      </c>
      <c r="C1023" s="25" t="s">
        <v>4170</v>
      </c>
      <c r="D1023" s="12">
        <v>22.3</v>
      </c>
      <c r="E1023" s="14">
        <f t="shared" si="295"/>
        <v>3.8911184784505326</v>
      </c>
      <c r="F1023" s="7">
        <v>5.7309999999999999</v>
      </c>
      <c r="G1023" s="7">
        <f t="shared" si="279"/>
        <v>18.408881521549468</v>
      </c>
      <c r="H1023" s="16">
        <f t="shared" si="280"/>
        <v>26.191118478450534</v>
      </c>
      <c r="I1023" s="11">
        <f t="shared" si="281"/>
        <v>0.22621194998536645</v>
      </c>
      <c r="J1023" s="33">
        <f t="shared" si="282"/>
        <v>3.9471636710062201E-2</v>
      </c>
      <c r="K1023" s="33">
        <f t="shared" si="283"/>
        <v>25.334647441794012</v>
      </c>
      <c r="L1023" s="33">
        <f t="shared" si="284"/>
        <v>0.18674031327530424</v>
      </c>
      <c r="M1023" s="33">
        <f t="shared" si="285"/>
        <v>0.26568358669542863</v>
      </c>
      <c r="N1023" s="8">
        <v>1</v>
      </c>
      <c r="O1023" s="9">
        <v>0</v>
      </c>
      <c r="P1023" s="8">
        <v>1</v>
      </c>
      <c r="Q1023" s="9">
        <v>0</v>
      </c>
      <c r="R1023" s="9">
        <v>0</v>
      </c>
      <c r="S1023" s="9">
        <v>0</v>
      </c>
      <c r="T1023" s="9">
        <v>0</v>
      </c>
      <c r="U1023" s="8">
        <v>628</v>
      </c>
      <c r="V1023" s="9">
        <v>18</v>
      </c>
      <c r="W1023" s="9">
        <f t="shared" si="286"/>
        <v>609</v>
      </c>
      <c r="X1023" s="9">
        <f t="shared" si="287"/>
        <v>36</v>
      </c>
      <c r="Y1023" s="7">
        <v>11.32</v>
      </c>
      <c r="Z1023" s="7">
        <v>16.41</v>
      </c>
      <c r="AA1023" s="9">
        <v>1</v>
      </c>
      <c r="AB1023" s="9">
        <v>0</v>
      </c>
      <c r="AC1023" s="9">
        <v>1</v>
      </c>
      <c r="AD1023" s="9">
        <v>0</v>
      </c>
      <c r="AE1023" s="9">
        <v>0</v>
      </c>
      <c r="AF1023" s="9">
        <v>0</v>
      </c>
      <c r="AG1023" s="8">
        <v>1</v>
      </c>
      <c r="AH1023" s="9">
        <v>0</v>
      </c>
      <c r="AI1023" s="30">
        <v>0</v>
      </c>
      <c r="AJ1023" s="9">
        <v>1</v>
      </c>
      <c r="AK1023" s="30">
        <v>0</v>
      </c>
      <c r="AL1023" s="21">
        <v>2007</v>
      </c>
      <c r="AM1023" s="23">
        <f t="shared" si="288"/>
        <v>7.604396348796338</v>
      </c>
      <c r="AN1023" s="33" t="s">
        <v>104</v>
      </c>
      <c r="AO1023" s="33" t="s">
        <v>104</v>
      </c>
      <c r="AP1023" s="33" t="s">
        <v>104</v>
      </c>
      <c r="AQ1023" s="43" t="s">
        <v>104</v>
      </c>
      <c r="AR1023" s="42">
        <v>1</v>
      </c>
      <c r="AS1023" s="18">
        <v>0</v>
      </c>
      <c r="AT1023">
        <v>0.55249999999999999</v>
      </c>
      <c r="AU1023" s="40">
        <f t="shared" si="293"/>
        <v>0.44750000000000001</v>
      </c>
      <c r="AV1023">
        <v>56.05</v>
      </c>
      <c r="AW1023" s="40">
        <v>43.05</v>
      </c>
      <c r="AX1023">
        <v>0</v>
      </c>
      <c r="AY1023" s="18">
        <v>1</v>
      </c>
      <c r="AZ1023">
        <v>0</v>
      </c>
      <c r="BA1023" s="18">
        <v>1</v>
      </c>
      <c r="BB1023" s="18" t="s">
        <v>5</v>
      </c>
      <c r="BC1023">
        <v>0</v>
      </c>
      <c r="BD1023">
        <v>1</v>
      </c>
      <c r="BE1023">
        <v>0</v>
      </c>
      <c r="BF1023">
        <v>0</v>
      </c>
      <c r="BG1023">
        <v>0</v>
      </c>
      <c r="BH1023" s="18">
        <v>0</v>
      </c>
      <c r="BI1023">
        <v>0</v>
      </c>
      <c r="BJ1023">
        <v>1</v>
      </c>
      <c r="BK1023" s="18">
        <v>0</v>
      </c>
      <c r="BL1023">
        <v>127.1666666666667</v>
      </c>
      <c r="BM1023">
        <v>27</v>
      </c>
      <c r="BN1023" s="94">
        <f t="shared" si="296"/>
        <v>33.730000000000004</v>
      </c>
      <c r="BO1023">
        <v>0</v>
      </c>
      <c r="BP1023">
        <v>0</v>
      </c>
      <c r="BQ1023">
        <v>0</v>
      </c>
      <c r="BR1023">
        <v>0</v>
      </c>
      <c r="BS1023">
        <v>1</v>
      </c>
      <c r="BT1023">
        <v>0</v>
      </c>
      <c r="BU1023">
        <v>0</v>
      </c>
      <c r="BV1023" s="18">
        <v>0</v>
      </c>
      <c r="BW1023">
        <v>0</v>
      </c>
      <c r="BX1023">
        <v>1</v>
      </c>
      <c r="BY1023">
        <v>0</v>
      </c>
      <c r="BZ1023" s="18">
        <v>0</v>
      </c>
      <c r="CA1023">
        <v>0</v>
      </c>
      <c r="CB1023">
        <v>0</v>
      </c>
      <c r="CC1023">
        <v>0</v>
      </c>
      <c r="CD1023">
        <v>0</v>
      </c>
      <c r="CE1023">
        <v>0</v>
      </c>
      <c r="CF1023" s="18">
        <v>0</v>
      </c>
      <c r="CG1023">
        <v>0</v>
      </c>
      <c r="CH1023">
        <v>0</v>
      </c>
      <c r="CI1023">
        <v>1</v>
      </c>
      <c r="CJ1023">
        <v>1</v>
      </c>
      <c r="CK1023">
        <v>0</v>
      </c>
      <c r="CL1023">
        <v>1</v>
      </c>
      <c r="CM1023">
        <v>1</v>
      </c>
      <c r="CN1023">
        <v>1</v>
      </c>
      <c r="CO1023">
        <v>1</v>
      </c>
      <c r="CP1023">
        <v>1</v>
      </c>
      <c r="CQ1023" s="18">
        <v>0</v>
      </c>
      <c r="CR1023">
        <v>0</v>
      </c>
      <c r="CS1023">
        <v>2</v>
      </c>
      <c r="CT1023">
        <v>0</v>
      </c>
      <c r="CU1023">
        <v>1</v>
      </c>
      <c r="CV1023">
        <v>16</v>
      </c>
      <c r="DB1023" s="34"/>
    </row>
    <row r="1024" spans="1:106" x14ac:dyDescent="0.25">
      <c r="A1024">
        <v>1023</v>
      </c>
      <c r="B1024">
        <v>70</v>
      </c>
      <c r="C1024" s="25" t="s">
        <v>4170</v>
      </c>
      <c r="D1024" s="12">
        <v>6.37</v>
      </c>
      <c r="E1024" s="14">
        <f t="shared" si="295"/>
        <v>1.1200984701951819</v>
      </c>
      <c r="F1024" s="7">
        <v>5.6870000000000003</v>
      </c>
      <c r="G1024" s="7">
        <f t="shared" si="279"/>
        <v>5.2499015298048182</v>
      </c>
      <c r="H1024" s="16">
        <f t="shared" si="280"/>
        <v>7.490098470195182</v>
      </c>
      <c r="I1024" s="11">
        <f t="shared" si="281"/>
        <v>0.29631772152133901</v>
      </c>
      <c r="J1024" s="33">
        <f t="shared" si="282"/>
        <v>5.2104399775160716E-2</v>
      </c>
      <c r="K1024" s="33">
        <f t="shared" si="283"/>
        <v>19.192237206745858</v>
      </c>
      <c r="L1024" s="33">
        <f t="shared" si="284"/>
        <v>0.2442133217461783</v>
      </c>
      <c r="M1024" s="33">
        <f t="shared" si="285"/>
        <v>0.34842212129649974</v>
      </c>
      <c r="N1024" s="8">
        <v>1</v>
      </c>
      <c r="O1024" s="9">
        <v>0</v>
      </c>
      <c r="P1024" s="8">
        <v>1</v>
      </c>
      <c r="Q1024" s="9">
        <v>0</v>
      </c>
      <c r="R1024" s="9">
        <v>0</v>
      </c>
      <c r="S1024" s="9">
        <v>0</v>
      </c>
      <c r="T1024" s="9">
        <v>0</v>
      </c>
      <c r="U1024" s="8">
        <v>347</v>
      </c>
      <c r="V1024" s="9">
        <v>10</v>
      </c>
      <c r="W1024" s="9">
        <f t="shared" si="286"/>
        <v>336</v>
      </c>
      <c r="X1024" s="9">
        <f t="shared" si="287"/>
        <v>36</v>
      </c>
      <c r="Y1024" s="7">
        <v>11.32</v>
      </c>
      <c r="Z1024" s="7">
        <v>16.41</v>
      </c>
      <c r="AA1024" s="9">
        <v>1</v>
      </c>
      <c r="AB1024" s="9">
        <v>0</v>
      </c>
      <c r="AC1024" s="9">
        <v>1</v>
      </c>
      <c r="AD1024" s="9">
        <v>0</v>
      </c>
      <c r="AE1024" s="9">
        <v>0</v>
      </c>
      <c r="AF1024" s="9">
        <v>0</v>
      </c>
      <c r="AG1024" s="8">
        <v>1</v>
      </c>
      <c r="AH1024" s="9">
        <v>0</v>
      </c>
      <c r="AI1024" s="30">
        <v>0</v>
      </c>
      <c r="AJ1024" s="9">
        <v>1</v>
      </c>
      <c r="AK1024" s="30">
        <v>0</v>
      </c>
      <c r="AL1024" s="21">
        <v>2007</v>
      </c>
      <c r="AM1024" s="23">
        <f t="shared" si="288"/>
        <v>7.604396348796338</v>
      </c>
      <c r="AN1024" s="33" t="s">
        <v>104</v>
      </c>
      <c r="AO1024" s="33" t="s">
        <v>104</v>
      </c>
      <c r="AP1024" s="33" t="s">
        <v>104</v>
      </c>
      <c r="AQ1024" s="43" t="s">
        <v>104</v>
      </c>
      <c r="AR1024" s="42">
        <v>1</v>
      </c>
      <c r="AS1024" s="18">
        <v>0</v>
      </c>
      <c r="AT1024">
        <v>1</v>
      </c>
      <c r="AU1024" s="40">
        <v>0</v>
      </c>
      <c r="AV1024">
        <v>56.05</v>
      </c>
      <c r="AW1024" s="40">
        <v>43.05</v>
      </c>
      <c r="AX1024">
        <v>0</v>
      </c>
      <c r="AY1024" s="18">
        <v>1</v>
      </c>
      <c r="AZ1024">
        <v>0</v>
      </c>
      <c r="BA1024" s="18">
        <v>1</v>
      </c>
      <c r="BB1024" s="18" t="s">
        <v>5</v>
      </c>
      <c r="BC1024">
        <v>0</v>
      </c>
      <c r="BD1024">
        <v>1</v>
      </c>
      <c r="BE1024">
        <v>0</v>
      </c>
      <c r="BF1024">
        <v>0</v>
      </c>
      <c r="BG1024">
        <v>0</v>
      </c>
      <c r="BH1024" s="18">
        <v>0</v>
      </c>
      <c r="BI1024">
        <v>0</v>
      </c>
      <c r="BJ1024">
        <v>1</v>
      </c>
      <c r="BK1024" s="18">
        <v>0</v>
      </c>
      <c r="BL1024">
        <v>127.1666666666667</v>
      </c>
      <c r="BM1024">
        <v>27</v>
      </c>
      <c r="BN1024" s="94">
        <f t="shared" si="296"/>
        <v>33.730000000000004</v>
      </c>
      <c r="BO1024">
        <v>1</v>
      </c>
      <c r="BP1024">
        <v>0</v>
      </c>
      <c r="BQ1024">
        <v>0</v>
      </c>
      <c r="BR1024">
        <v>0</v>
      </c>
      <c r="BS1024">
        <v>0</v>
      </c>
      <c r="BT1024">
        <v>0</v>
      </c>
      <c r="BU1024">
        <v>0</v>
      </c>
      <c r="BV1024" s="18">
        <v>0</v>
      </c>
      <c r="BW1024">
        <v>0</v>
      </c>
      <c r="BX1024">
        <v>0</v>
      </c>
      <c r="BY1024">
        <v>1</v>
      </c>
      <c r="BZ1024" s="18">
        <v>0</v>
      </c>
      <c r="CA1024">
        <v>0</v>
      </c>
      <c r="CB1024">
        <v>0</v>
      </c>
      <c r="CC1024">
        <v>0</v>
      </c>
      <c r="CD1024">
        <v>0</v>
      </c>
      <c r="CE1024">
        <v>0</v>
      </c>
      <c r="CF1024" s="18">
        <v>0</v>
      </c>
      <c r="CG1024">
        <v>0</v>
      </c>
      <c r="CH1024">
        <v>0</v>
      </c>
      <c r="CI1024">
        <v>1</v>
      </c>
      <c r="CJ1024">
        <v>1</v>
      </c>
      <c r="CK1024">
        <v>0</v>
      </c>
      <c r="CL1024">
        <v>1</v>
      </c>
      <c r="CM1024">
        <v>1</v>
      </c>
      <c r="CN1024">
        <v>0</v>
      </c>
      <c r="CO1024">
        <v>0</v>
      </c>
      <c r="CP1024">
        <v>1</v>
      </c>
      <c r="CQ1024" s="18">
        <v>0</v>
      </c>
      <c r="CR1024">
        <v>0</v>
      </c>
      <c r="CS1024">
        <v>2</v>
      </c>
      <c r="CT1024">
        <v>0</v>
      </c>
      <c r="CU1024">
        <v>1</v>
      </c>
      <c r="CV1024">
        <v>16</v>
      </c>
      <c r="DB1024" s="34"/>
    </row>
    <row r="1025" spans="1:106" x14ac:dyDescent="0.25">
      <c r="A1025">
        <v>1024</v>
      </c>
      <c r="B1025">
        <v>70</v>
      </c>
      <c r="C1025" s="25" t="s">
        <v>4170</v>
      </c>
      <c r="D1025" s="12">
        <v>8.89</v>
      </c>
      <c r="E1025" s="14">
        <f t="shared" si="295"/>
        <v>1.1154328732747805</v>
      </c>
      <c r="F1025" s="7">
        <v>7.97</v>
      </c>
      <c r="G1025" s="7">
        <f t="shared" si="279"/>
        <v>7.7745671267252199</v>
      </c>
      <c r="H1025" s="16">
        <f t="shared" si="280"/>
        <v>10.005432873274781</v>
      </c>
      <c r="I1025" s="11">
        <f t="shared" si="281"/>
        <v>0.43641211105203109</v>
      </c>
      <c r="J1025" s="33">
        <f t="shared" si="282"/>
        <v>5.4756852076791866E-2</v>
      </c>
      <c r="K1025" s="33">
        <f t="shared" si="283"/>
        <v>18.262554585818489</v>
      </c>
      <c r="L1025" s="33">
        <f t="shared" si="284"/>
        <v>0.38165525897523922</v>
      </c>
      <c r="M1025" s="33">
        <f t="shared" si="285"/>
        <v>0.49116896312882297</v>
      </c>
      <c r="N1025" s="8">
        <v>1</v>
      </c>
      <c r="O1025" s="9">
        <v>0</v>
      </c>
      <c r="P1025" s="8">
        <v>1</v>
      </c>
      <c r="Q1025" s="9">
        <v>0</v>
      </c>
      <c r="R1025" s="9">
        <v>0</v>
      </c>
      <c r="S1025" s="9">
        <v>0</v>
      </c>
      <c r="T1025" s="9">
        <v>0</v>
      </c>
      <c r="U1025" s="8">
        <v>281</v>
      </c>
      <c r="V1025" s="9">
        <v>10</v>
      </c>
      <c r="W1025" s="9">
        <f t="shared" si="286"/>
        <v>270</v>
      </c>
      <c r="X1025" s="9">
        <f t="shared" si="287"/>
        <v>36</v>
      </c>
      <c r="Y1025" s="7">
        <v>11.32</v>
      </c>
      <c r="Z1025" s="7">
        <v>16.41</v>
      </c>
      <c r="AA1025" s="9">
        <v>1</v>
      </c>
      <c r="AB1025" s="9">
        <v>0</v>
      </c>
      <c r="AC1025" s="9">
        <v>1</v>
      </c>
      <c r="AD1025" s="9">
        <v>0</v>
      </c>
      <c r="AE1025" s="9">
        <v>0</v>
      </c>
      <c r="AF1025" s="9">
        <v>0</v>
      </c>
      <c r="AG1025" s="8">
        <v>1</v>
      </c>
      <c r="AH1025" s="9">
        <v>0</v>
      </c>
      <c r="AI1025" s="30">
        <v>0</v>
      </c>
      <c r="AJ1025" s="9">
        <v>1</v>
      </c>
      <c r="AK1025" s="30">
        <v>0</v>
      </c>
      <c r="AL1025" s="21">
        <v>2007</v>
      </c>
      <c r="AM1025" s="23">
        <f t="shared" si="288"/>
        <v>7.604396348796338</v>
      </c>
      <c r="AN1025" s="33" t="s">
        <v>104</v>
      </c>
      <c r="AO1025" s="33" t="s">
        <v>104</v>
      </c>
      <c r="AP1025" s="33" t="s">
        <v>104</v>
      </c>
      <c r="AQ1025" s="43" t="s">
        <v>104</v>
      </c>
      <c r="AR1025" s="42">
        <v>1</v>
      </c>
      <c r="AS1025" s="18">
        <v>0</v>
      </c>
      <c r="AT1025">
        <v>0</v>
      </c>
      <c r="AU1025" s="40">
        <v>1</v>
      </c>
      <c r="AV1025">
        <v>56.05</v>
      </c>
      <c r="AW1025" s="40">
        <v>43.05</v>
      </c>
      <c r="AX1025">
        <v>0</v>
      </c>
      <c r="AY1025" s="18">
        <v>1</v>
      </c>
      <c r="AZ1025">
        <v>0</v>
      </c>
      <c r="BA1025" s="18">
        <v>1</v>
      </c>
      <c r="BB1025" s="18" t="s">
        <v>5</v>
      </c>
      <c r="BC1025">
        <v>0</v>
      </c>
      <c r="BD1025">
        <v>1</v>
      </c>
      <c r="BE1025">
        <v>0</v>
      </c>
      <c r="BF1025">
        <v>0</v>
      </c>
      <c r="BG1025">
        <v>0</v>
      </c>
      <c r="BH1025" s="18">
        <v>0</v>
      </c>
      <c r="BI1025">
        <v>0</v>
      </c>
      <c r="BJ1025">
        <v>1</v>
      </c>
      <c r="BK1025" s="18">
        <v>0</v>
      </c>
      <c r="BL1025">
        <v>127.1666666666667</v>
      </c>
      <c r="BM1025">
        <v>27</v>
      </c>
      <c r="BN1025" s="94">
        <f t="shared" si="296"/>
        <v>33.730000000000004</v>
      </c>
      <c r="BO1025">
        <v>1</v>
      </c>
      <c r="BP1025">
        <v>0</v>
      </c>
      <c r="BQ1025">
        <v>0</v>
      </c>
      <c r="BR1025">
        <v>0</v>
      </c>
      <c r="BS1025">
        <v>0</v>
      </c>
      <c r="BT1025">
        <v>0</v>
      </c>
      <c r="BU1025">
        <v>0</v>
      </c>
      <c r="BV1025" s="18">
        <v>0</v>
      </c>
      <c r="BW1025">
        <v>0</v>
      </c>
      <c r="BX1025">
        <v>0</v>
      </c>
      <c r="BY1025">
        <v>1</v>
      </c>
      <c r="BZ1025" s="18">
        <v>0</v>
      </c>
      <c r="CA1025">
        <v>0</v>
      </c>
      <c r="CB1025">
        <v>0</v>
      </c>
      <c r="CC1025">
        <v>0</v>
      </c>
      <c r="CD1025">
        <v>0</v>
      </c>
      <c r="CE1025">
        <v>0</v>
      </c>
      <c r="CF1025" s="18">
        <v>0</v>
      </c>
      <c r="CG1025">
        <v>0</v>
      </c>
      <c r="CH1025">
        <v>0</v>
      </c>
      <c r="CI1025">
        <v>1</v>
      </c>
      <c r="CJ1025">
        <v>1</v>
      </c>
      <c r="CK1025">
        <v>0</v>
      </c>
      <c r="CL1025">
        <v>1</v>
      </c>
      <c r="CM1025">
        <v>1</v>
      </c>
      <c r="CN1025">
        <v>0</v>
      </c>
      <c r="CO1025">
        <v>0</v>
      </c>
      <c r="CP1025">
        <v>1</v>
      </c>
      <c r="CQ1025" s="18">
        <v>0</v>
      </c>
      <c r="CR1025">
        <v>0</v>
      </c>
      <c r="CS1025">
        <v>2</v>
      </c>
      <c r="CT1025">
        <v>0</v>
      </c>
      <c r="CU1025">
        <v>1</v>
      </c>
      <c r="CV1025">
        <v>16</v>
      </c>
      <c r="DB1025" s="34"/>
    </row>
    <row r="1026" spans="1:106" x14ac:dyDescent="0.25">
      <c r="A1026">
        <v>1025</v>
      </c>
      <c r="B1026">
        <v>70</v>
      </c>
      <c r="C1026" s="25" t="s">
        <v>4170</v>
      </c>
      <c r="D1026" s="12">
        <v>16.399999999999999</v>
      </c>
      <c r="E1026" s="14">
        <f t="shared" si="295"/>
        <v>5.8217962371316991</v>
      </c>
      <c r="F1026" s="7">
        <v>2.8170000000000002</v>
      </c>
      <c r="G1026" s="7">
        <f t="shared" ref="G1026:G1089" si="297">D1026-E1026</f>
        <v>10.578203762868299</v>
      </c>
      <c r="H1026" s="16">
        <f t="shared" ref="H1026:H1089" si="298">D1026+E1026</f>
        <v>22.221796237131699</v>
      </c>
      <c r="I1026" s="11">
        <f t="shared" ref="I1026:I1089" si="299">IFERROR(F1026/SQRT(F1026^2+W1026), "X")</f>
        <v>0.1518967044694732</v>
      </c>
      <c r="J1026" s="33">
        <f t="shared" ref="J1026:J1089" si="300">IFERROR(SQRT((1-I1026^2)/W1026), "X")</f>
        <v>5.3921442836163715E-2</v>
      </c>
      <c r="K1026" s="33">
        <f t="shared" ref="K1026:K1089" si="301">IFERROR(1/J1026, "X")</f>
        <v>18.545497809441514</v>
      </c>
      <c r="L1026" s="33">
        <f t="shared" ref="L1026:L1089" si="302">IFERROR(I1026-J1026, "X")</f>
        <v>9.7975261633309496E-2</v>
      </c>
      <c r="M1026" s="33">
        <f t="shared" ref="M1026:M1089" si="303">IFERROR(I1026+J1026, "X")</f>
        <v>0.20581814730563691</v>
      </c>
      <c r="N1026" s="8">
        <v>1</v>
      </c>
      <c r="O1026" s="9">
        <v>0</v>
      </c>
      <c r="P1026" s="8">
        <v>1</v>
      </c>
      <c r="Q1026" s="9">
        <v>0</v>
      </c>
      <c r="R1026" s="9">
        <v>0</v>
      </c>
      <c r="S1026" s="9">
        <v>0</v>
      </c>
      <c r="T1026" s="9">
        <v>0</v>
      </c>
      <c r="U1026" s="8">
        <v>347</v>
      </c>
      <c r="V1026" s="9">
        <v>10</v>
      </c>
      <c r="W1026" s="9">
        <f t="shared" ref="W1026:W1089" si="304">U1026-V1026-1</f>
        <v>336</v>
      </c>
      <c r="X1026" s="9">
        <f t="shared" ref="X1026:X1089" si="305">COUNTIF(B:B,B1026)</f>
        <v>36</v>
      </c>
      <c r="Y1026" s="7">
        <v>11.32</v>
      </c>
      <c r="Z1026" s="7">
        <v>16.41</v>
      </c>
      <c r="AA1026" s="9">
        <v>1</v>
      </c>
      <c r="AB1026" s="9">
        <v>0</v>
      </c>
      <c r="AC1026" s="9">
        <v>1</v>
      </c>
      <c r="AD1026" s="9">
        <v>0</v>
      </c>
      <c r="AE1026" s="9">
        <v>0</v>
      </c>
      <c r="AF1026" s="9">
        <v>0</v>
      </c>
      <c r="AG1026" s="8">
        <v>1</v>
      </c>
      <c r="AH1026" s="9">
        <v>0</v>
      </c>
      <c r="AI1026" s="30">
        <v>0</v>
      </c>
      <c r="AJ1026" s="9">
        <v>1</v>
      </c>
      <c r="AK1026" s="30">
        <v>0</v>
      </c>
      <c r="AL1026" s="21">
        <v>2007</v>
      </c>
      <c r="AM1026" s="23">
        <f t="shared" ref="AM1026:AM1089" si="306">LN(AL1026)</f>
        <v>7.604396348796338</v>
      </c>
      <c r="AN1026" s="33" t="s">
        <v>104</v>
      </c>
      <c r="AO1026" s="33" t="s">
        <v>104</v>
      </c>
      <c r="AP1026" s="33" t="s">
        <v>104</v>
      </c>
      <c r="AQ1026" s="43" t="s">
        <v>104</v>
      </c>
      <c r="AR1026" s="42">
        <v>1</v>
      </c>
      <c r="AS1026" s="18">
        <v>0</v>
      </c>
      <c r="AT1026">
        <v>1</v>
      </c>
      <c r="AU1026" s="40">
        <v>0</v>
      </c>
      <c r="AV1026">
        <v>56.05</v>
      </c>
      <c r="AW1026" s="40">
        <v>43.05</v>
      </c>
      <c r="AX1026">
        <v>0</v>
      </c>
      <c r="AY1026" s="18">
        <v>1</v>
      </c>
      <c r="AZ1026">
        <v>0</v>
      </c>
      <c r="BA1026" s="18">
        <v>1</v>
      </c>
      <c r="BB1026" s="18" t="s">
        <v>5</v>
      </c>
      <c r="BC1026">
        <v>0</v>
      </c>
      <c r="BD1026">
        <v>1</v>
      </c>
      <c r="BE1026">
        <v>0</v>
      </c>
      <c r="BF1026">
        <v>0</v>
      </c>
      <c r="BG1026">
        <v>0</v>
      </c>
      <c r="BH1026" s="18">
        <v>0</v>
      </c>
      <c r="BI1026">
        <v>0</v>
      </c>
      <c r="BJ1026">
        <v>1</v>
      </c>
      <c r="BK1026" s="18">
        <v>0</v>
      </c>
      <c r="BL1026">
        <v>127.1666666666667</v>
      </c>
      <c r="BM1026">
        <v>27</v>
      </c>
      <c r="BN1026" s="94">
        <f t="shared" si="296"/>
        <v>33.730000000000004</v>
      </c>
      <c r="BO1026">
        <v>0</v>
      </c>
      <c r="BP1026">
        <v>0</v>
      </c>
      <c r="BQ1026">
        <v>0</v>
      </c>
      <c r="BR1026">
        <v>0</v>
      </c>
      <c r="BS1026">
        <v>1</v>
      </c>
      <c r="BT1026">
        <v>0</v>
      </c>
      <c r="BU1026">
        <v>0</v>
      </c>
      <c r="BV1026" s="18">
        <v>0</v>
      </c>
      <c r="BW1026">
        <v>0</v>
      </c>
      <c r="BX1026">
        <v>1</v>
      </c>
      <c r="BY1026">
        <v>0</v>
      </c>
      <c r="BZ1026" s="18">
        <v>0</v>
      </c>
      <c r="CA1026">
        <v>0</v>
      </c>
      <c r="CB1026">
        <v>0</v>
      </c>
      <c r="CC1026">
        <v>0</v>
      </c>
      <c r="CD1026">
        <v>0</v>
      </c>
      <c r="CE1026">
        <v>0</v>
      </c>
      <c r="CF1026" s="18">
        <v>0</v>
      </c>
      <c r="CG1026">
        <v>0</v>
      </c>
      <c r="CH1026">
        <v>0</v>
      </c>
      <c r="CI1026">
        <v>1</v>
      </c>
      <c r="CJ1026">
        <v>1</v>
      </c>
      <c r="CK1026">
        <v>0</v>
      </c>
      <c r="CL1026">
        <v>1</v>
      </c>
      <c r="CM1026">
        <v>1</v>
      </c>
      <c r="CN1026">
        <v>0</v>
      </c>
      <c r="CO1026">
        <v>0</v>
      </c>
      <c r="CP1026">
        <v>1</v>
      </c>
      <c r="CQ1026" s="18">
        <v>0</v>
      </c>
      <c r="CR1026">
        <v>0</v>
      </c>
      <c r="CS1026">
        <v>2</v>
      </c>
      <c r="CT1026">
        <v>0</v>
      </c>
      <c r="CU1026">
        <v>1</v>
      </c>
      <c r="CV1026">
        <v>16</v>
      </c>
      <c r="DB1026" s="34"/>
    </row>
    <row r="1027" spans="1:106" x14ac:dyDescent="0.25">
      <c r="A1027">
        <v>1026</v>
      </c>
      <c r="B1027">
        <v>70</v>
      </c>
      <c r="C1027" s="25" t="s">
        <v>4170</v>
      </c>
      <c r="D1027" s="12">
        <v>27.5</v>
      </c>
      <c r="E1027" s="14">
        <f t="shared" si="295"/>
        <v>5.1162790697674421</v>
      </c>
      <c r="F1027" s="7">
        <v>5.375</v>
      </c>
      <c r="G1027" s="7">
        <f t="shared" si="297"/>
        <v>22.383720930232556</v>
      </c>
      <c r="H1027" s="16">
        <f t="shared" si="298"/>
        <v>32.616279069767444</v>
      </c>
      <c r="I1027" s="11">
        <f t="shared" si="299"/>
        <v>0.31090114536848695</v>
      </c>
      <c r="J1027" s="33">
        <f t="shared" si="300"/>
        <v>5.7842073556927817E-2</v>
      </c>
      <c r="K1027" s="33">
        <f t="shared" si="301"/>
        <v>17.288453516726126</v>
      </c>
      <c r="L1027" s="33">
        <f t="shared" si="302"/>
        <v>0.25305907181155912</v>
      </c>
      <c r="M1027" s="33">
        <f t="shared" si="303"/>
        <v>0.36874321892541478</v>
      </c>
      <c r="N1027" s="8">
        <v>1</v>
      </c>
      <c r="O1027" s="9">
        <v>0</v>
      </c>
      <c r="P1027" s="8">
        <v>1</v>
      </c>
      <c r="Q1027" s="9">
        <v>0</v>
      </c>
      <c r="R1027" s="9">
        <v>0</v>
      </c>
      <c r="S1027" s="9">
        <v>0</v>
      </c>
      <c r="T1027" s="9">
        <v>0</v>
      </c>
      <c r="U1027" s="8">
        <v>281</v>
      </c>
      <c r="V1027" s="9">
        <v>10</v>
      </c>
      <c r="W1027" s="9">
        <f t="shared" si="304"/>
        <v>270</v>
      </c>
      <c r="X1027" s="9">
        <f t="shared" si="305"/>
        <v>36</v>
      </c>
      <c r="Y1027" s="7">
        <v>11.32</v>
      </c>
      <c r="Z1027" s="7">
        <v>16.41</v>
      </c>
      <c r="AA1027" s="9">
        <v>1</v>
      </c>
      <c r="AB1027" s="9">
        <v>0</v>
      </c>
      <c r="AC1027" s="9">
        <v>1</v>
      </c>
      <c r="AD1027" s="9">
        <v>0</v>
      </c>
      <c r="AE1027" s="9">
        <v>0</v>
      </c>
      <c r="AF1027" s="9">
        <v>0</v>
      </c>
      <c r="AG1027" s="8">
        <v>1</v>
      </c>
      <c r="AH1027" s="9">
        <v>0</v>
      </c>
      <c r="AI1027" s="30">
        <v>0</v>
      </c>
      <c r="AJ1027" s="9">
        <v>1</v>
      </c>
      <c r="AK1027" s="30">
        <v>0</v>
      </c>
      <c r="AL1027" s="21">
        <v>2007</v>
      </c>
      <c r="AM1027" s="23">
        <f t="shared" si="306"/>
        <v>7.604396348796338</v>
      </c>
      <c r="AN1027" s="33" t="s">
        <v>104</v>
      </c>
      <c r="AO1027" s="33" t="s">
        <v>104</v>
      </c>
      <c r="AP1027" s="33" t="s">
        <v>104</v>
      </c>
      <c r="AQ1027" s="43" t="s">
        <v>104</v>
      </c>
      <c r="AR1027" s="42">
        <v>1</v>
      </c>
      <c r="AS1027" s="18">
        <v>0</v>
      </c>
      <c r="AT1027">
        <v>0</v>
      </c>
      <c r="AU1027" s="40">
        <v>1</v>
      </c>
      <c r="AV1027">
        <v>56.05</v>
      </c>
      <c r="AW1027" s="40">
        <v>43.05</v>
      </c>
      <c r="AX1027">
        <v>0</v>
      </c>
      <c r="AY1027" s="18">
        <v>1</v>
      </c>
      <c r="AZ1027">
        <v>0</v>
      </c>
      <c r="BA1027" s="18">
        <v>1</v>
      </c>
      <c r="BB1027" s="18" t="s">
        <v>5</v>
      </c>
      <c r="BC1027">
        <v>0</v>
      </c>
      <c r="BD1027">
        <v>1</v>
      </c>
      <c r="BE1027">
        <v>0</v>
      </c>
      <c r="BF1027">
        <v>0</v>
      </c>
      <c r="BG1027">
        <v>0</v>
      </c>
      <c r="BH1027" s="18">
        <v>0</v>
      </c>
      <c r="BI1027">
        <v>0</v>
      </c>
      <c r="BJ1027">
        <v>1</v>
      </c>
      <c r="BK1027" s="18">
        <v>0</v>
      </c>
      <c r="BL1027">
        <v>127.1666666666667</v>
      </c>
      <c r="BM1027">
        <v>27</v>
      </c>
      <c r="BN1027" s="94">
        <f t="shared" si="296"/>
        <v>33.730000000000004</v>
      </c>
      <c r="BO1027">
        <v>0</v>
      </c>
      <c r="BP1027">
        <v>0</v>
      </c>
      <c r="BQ1027">
        <v>0</v>
      </c>
      <c r="BR1027">
        <v>0</v>
      </c>
      <c r="BS1027">
        <v>1</v>
      </c>
      <c r="BT1027">
        <v>0</v>
      </c>
      <c r="BU1027">
        <v>0</v>
      </c>
      <c r="BV1027" s="18">
        <v>0</v>
      </c>
      <c r="BW1027">
        <v>0</v>
      </c>
      <c r="BX1027">
        <v>1</v>
      </c>
      <c r="BY1027">
        <v>0</v>
      </c>
      <c r="BZ1027" s="18">
        <v>0</v>
      </c>
      <c r="CA1027">
        <v>0</v>
      </c>
      <c r="CB1027">
        <v>0</v>
      </c>
      <c r="CC1027">
        <v>0</v>
      </c>
      <c r="CD1027">
        <v>0</v>
      </c>
      <c r="CE1027">
        <v>0</v>
      </c>
      <c r="CF1027" s="18">
        <v>0</v>
      </c>
      <c r="CG1027">
        <v>0</v>
      </c>
      <c r="CH1027">
        <v>0</v>
      </c>
      <c r="CI1027">
        <v>1</v>
      </c>
      <c r="CJ1027">
        <v>1</v>
      </c>
      <c r="CK1027">
        <v>0</v>
      </c>
      <c r="CL1027">
        <v>1</v>
      </c>
      <c r="CM1027">
        <v>1</v>
      </c>
      <c r="CN1027">
        <v>0</v>
      </c>
      <c r="CO1027">
        <v>0</v>
      </c>
      <c r="CP1027">
        <v>1</v>
      </c>
      <c r="CQ1027" s="18">
        <v>0</v>
      </c>
      <c r="CR1027">
        <v>0</v>
      </c>
      <c r="CS1027">
        <v>2</v>
      </c>
      <c r="CT1027">
        <v>0</v>
      </c>
      <c r="CU1027">
        <v>1</v>
      </c>
      <c r="CV1027">
        <v>16</v>
      </c>
      <c r="DB1027" s="34"/>
    </row>
    <row r="1028" spans="1:106" x14ac:dyDescent="0.25">
      <c r="A1028">
        <v>1027</v>
      </c>
      <c r="B1028">
        <v>70</v>
      </c>
      <c r="C1028" s="25" t="s">
        <v>4170</v>
      </c>
      <c r="D1028" s="12">
        <v>12.1</v>
      </c>
      <c r="E1028" s="14">
        <f t="shared" si="295"/>
        <v>11.329588014981272</v>
      </c>
      <c r="F1028" s="7">
        <v>1.0680000000000001</v>
      </c>
      <c r="G1028" s="7">
        <f t="shared" si="297"/>
        <v>0.77041198501872721</v>
      </c>
      <c r="H1028" s="16">
        <f t="shared" si="298"/>
        <v>23.42958801498127</v>
      </c>
      <c r="I1028" s="11">
        <f t="shared" si="299"/>
        <v>5.8165532656837944E-2</v>
      </c>
      <c r="J1028" s="33">
        <f t="shared" si="300"/>
        <v>5.4462109229249003E-2</v>
      </c>
      <c r="K1028" s="33">
        <f t="shared" si="301"/>
        <v>18.361389489905172</v>
      </c>
      <c r="L1028" s="33">
        <f t="shared" si="302"/>
        <v>3.7034234275889408E-3</v>
      </c>
      <c r="M1028" s="33">
        <f t="shared" si="303"/>
        <v>0.11262764188608695</v>
      </c>
      <c r="N1028" s="8">
        <v>1</v>
      </c>
      <c r="O1028" s="9">
        <v>0</v>
      </c>
      <c r="P1028" s="8">
        <v>1</v>
      </c>
      <c r="Q1028" s="9">
        <v>0</v>
      </c>
      <c r="R1028" s="9">
        <v>0</v>
      </c>
      <c r="S1028" s="9">
        <v>0</v>
      </c>
      <c r="T1028" s="9">
        <v>0</v>
      </c>
      <c r="U1028" s="8">
        <v>347</v>
      </c>
      <c r="V1028" s="9">
        <v>10</v>
      </c>
      <c r="W1028" s="9">
        <f t="shared" si="304"/>
        <v>336</v>
      </c>
      <c r="X1028" s="9">
        <f t="shared" si="305"/>
        <v>36</v>
      </c>
      <c r="Y1028" s="7">
        <v>11.32</v>
      </c>
      <c r="Z1028" s="7">
        <v>16.41</v>
      </c>
      <c r="AA1028" s="9">
        <v>1</v>
      </c>
      <c r="AB1028" s="9">
        <v>0</v>
      </c>
      <c r="AC1028" s="9">
        <v>1</v>
      </c>
      <c r="AD1028" s="9">
        <v>0</v>
      </c>
      <c r="AE1028" s="9">
        <v>0</v>
      </c>
      <c r="AF1028" s="9">
        <v>0</v>
      </c>
      <c r="AG1028" s="8">
        <v>1</v>
      </c>
      <c r="AH1028" s="9">
        <v>0</v>
      </c>
      <c r="AI1028" s="30">
        <v>0</v>
      </c>
      <c r="AJ1028" s="9">
        <v>1</v>
      </c>
      <c r="AK1028" s="30">
        <v>0</v>
      </c>
      <c r="AL1028" s="21">
        <v>2007</v>
      </c>
      <c r="AM1028" s="23">
        <f t="shared" si="306"/>
        <v>7.604396348796338</v>
      </c>
      <c r="AN1028" s="33" t="s">
        <v>104</v>
      </c>
      <c r="AO1028" s="33" t="s">
        <v>104</v>
      </c>
      <c r="AP1028" s="33" t="s">
        <v>104</v>
      </c>
      <c r="AQ1028" s="43" t="s">
        <v>104</v>
      </c>
      <c r="AR1028" s="42">
        <v>1</v>
      </c>
      <c r="AS1028" s="18">
        <v>0</v>
      </c>
      <c r="AT1028">
        <v>1</v>
      </c>
      <c r="AU1028" s="40">
        <v>0</v>
      </c>
      <c r="AV1028">
        <v>56.05</v>
      </c>
      <c r="AW1028" s="40">
        <v>43.05</v>
      </c>
      <c r="AX1028">
        <v>0</v>
      </c>
      <c r="AY1028" s="18">
        <v>1</v>
      </c>
      <c r="AZ1028">
        <v>0</v>
      </c>
      <c r="BA1028" s="18">
        <v>1</v>
      </c>
      <c r="BB1028" s="18" t="s">
        <v>5</v>
      </c>
      <c r="BC1028">
        <v>0</v>
      </c>
      <c r="BD1028">
        <v>1</v>
      </c>
      <c r="BE1028">
        <v>0</v>
      </c>
      <c r="BF1028">
        <v>0</v>
      </c>
      <c r="BG1028">
        <v>0</v>
      </c>
      <c r="BH1028" s="18">
        <v>0</v>
      </c>
      <c r="BI1028">
        <v>0</v>
      </c>
      <c r="BJ1028">
        <v>1</v>
      </c>
      <c r="BK1028" s="18">
        <v>0</v>
      </c>
      <c r="BL1028">
        <v>127.1666666666667</v>
      </c>
      <c r="BM1028">
        <v>27</v>
      </c>
      <c r="BN1028" s="94">
        <f t="shared" si="296"/>
        <v>33.730000000000004</v>
      </c>
      <c r="BO1028">
        <v>0</v>
      </c>
      <c r="BP1028">
        <v>0</v>
      </c>
      <c r="BQ1028">
        <v>0</v>
      </c>
      <c r="BR1028">
        <v>0</v>
      </c>
      <c r="BS1028">
        <v>1</v>
      </c>
      <c r="BT1028">
        <v>0</v>
      </c>
      <c r="BU1028">
        <v>0</v>
      </c>
      <c r="BV1028" s="18">
        <v>0</v>
      </c>
      <c r="BW1028">
        <v>0</v>
      </c>
      <c r="BX1028">
        <v>1</v>
      </c>
      <c r="BY1028">
        <v>0</v>
      </c>
      <c r="BZ1028" s="18">
        <v>0</v>
      </c>
      <c r="CA1028">
        <v>0</v>
      </c>
      <c r="CB1028">
        <v>0</v>
      </c>
      <c r="CC1028">
        <v>0</v>
      </c>
      <c r="CD1028">
        <v>0</v>
      </c>
      <c r="CE1028">
        <v>0</v>
      </c>
      <c r="CF1028" s="18">
        <v>0</v>
      </c>
      <c r="CG1028">
        <v>0</v>
      </c>
      <c r="CH1028">
        <v>0</v>
      </c>
      <c r="CI1028">
        <v>1</v>
      </c>
      <c r="CJ1028">
        <v>1</v>
      </c>
      <c r="CK1028">
        <v>0</v>
      </c>
      <c r="CL1028">
        <v>1</v>
      </c>
      <c r="CM1028">
        <v>1</v>
      </c>
      <c r="CN1028">
        <v>0</v>
      </c>
      <c r="CO1028">
        <v>0</v>
      </c>
      <c r="CP1028">
        <v>1</v>
      </c>
      <c r="CQ1028" s="18">
        <v>0</v>
      </c>
      <c r="CR1028">
        <v>0</v>
      </c>
      <c r="CS1028">
        <v>2</v>
      </c>
      <c r="CT1028">
        <v>0</v>
      </c>
      <c r="CU1028">
        <v>1</v>
      </c>
      <c r="CV1028">
        <v>16</v>
      </c>
      <c r="DB1028" s="34"/>
    </row>
    <row r="1029" spans="1:106" x14ac:dyDescent="0.25">
      <c r="A1029">
        <v>1028</v>
      </c>
      <c r="B1029">
        <v>70</v>
      </c>
      <c r="C1029" s="25" t="s">
        <v>4170</v>
      </c>
      <c r="D1029" s="12">
        <v>31.6</v>
      </c>
      <c r="E1029" s="14">
        <f t="shared" si="295"/>
        <v>4.394381866221666</v>
      </c>
      <c r="F1029" s="7">
        <v>7.1909999999999998</v>
      </c>
      <c r="G1029" s="7">
        <f t="shared" si="297"/>
        <v>27.205618133778337</v>
      </c>
      <c r="H1029" s="16">
        <f t="shared" si="298"/>
        <v>35.994381866221666</v>
      </c>
      <c r="I1029" s="11">
        <f t="shared" si="299"/>
        <v>0.4009190418291817</v>
      </c>
      <c r="J1029" s="33">
        <f t="shared" si="300"/>
        <v>5.5752891368263349E-2</v>
      </c>
      <c r="K1029" s="33">
        <f t="shared" si="301"/>
        <v>17.936289499224749</v>
      </c>
      <c r="L1029" s="33">
        <f t="shared" si="302"/>
        <v>0.34516615046091836</v>
      </c>
      <c r="M1029" s="33">
        <f t="shared" si="303"/>
        <v>0.45667193319744503</v>
      </c>
      <c r="N1029" s="8">
        <v>1</v>
      </c>
      <c r="O1029" s="9">
        <v>0</v>
      </c>
      <c r="P1029" s="8">
        <v>1</v>
      </c>
      <c r="Q1029" s="9">
        <v>0</v>
      </c>
      <c r="R1029" s="9">
        <v>0</v>
      </c>
      <c r="S1029" s="9">
        <v>0</v>
      </c>
      <c r="T1029" s="9">
        <v>0</v>
      </c>
      <c r="U1029" s="8">
        <v>281</v>
      </c>
      <c r="V1029" s="9">
        <v>10</v>
      </c>
      <c r="W1029" s="9">
        <f t="shared" si="304"/>
        <v>270</v>
      </c>
      <c r="X1029" s="9">
        <f t="shared" si="305"/>
        <v>36</v>
      </c>
      <c r="Y1029" s="7">
        <v>11.32</v>
      </c>
      <c r="Z1029" s="7">
        <v>16.41</v>
      </c>
      <c r="AA1029" s="9">
        <v>1</v>
      </c>
      <c r="AB1029" s="9">
        <v>0</v>
      </c>
      <c r="AC1029" s="9">
        <v>1</v>
      </c>
      <c r="AD1029" s="9">
        <v>0</v>
      </c>
      <c r="AE1029" s="9">
        <v>0</v>
      </c>
      <c r="AF1029" s="9">
        <v>0</v>
      </c>
      <c r="AG1029" s="8">
        <v>1</v>
      </c>
      <c r="AH1029" s="9">
        <v>0</v>
      </c>
      <c r="AI1029" s="30">
        <v>0</v>
      </c>
      <c r="AJ1029" s="9">
        <v>1</v>
      </c>
      <c r="AK1029" s="30">
        <v>0</v>
      </c>
      <c r="AL1029" s="21">
        <v>2007</v>
      </c>
      <c r="AM1029" s="23">
        <f t="shared" si="306"/>
        <v>7.604396348796338</v>
      </c>
      <c r="AN1029" s="33" t="s">
        <v>104</v>
      </c>
      <c r="AO1029" s="33" t="s">
        <v>104</v>
      </c>
      <c r="AP1029" s="33" t="s">
        <v>104</v>
      </c>
      <c r="AQ1029" s="43" t="s">
        <v>104</v>
      </c>
      <c r="AR1029" s="42">
        <v>1</v>
      </c>
      <c r="AS1029" s="18">
        <v>0</v>
      </c>
      <c r="AT1029">
        <v>0</v>
      </c>
      <c r="AU1029" s="40">
        <v>1</v>
      </c>
      <c r="AV1029">
        <v>56.05</v>
      </c>
      <c r="AW1029" s="40">
        <v>43.05</v>
      </c>
      <c r="AX1029">
        <v>0</v>
      </c>
      <c r="AY1029" s="18">
        <v>1</v>
      </c>
      <c r="AZ1029">
        <v>0</v>
      </c>
      <c r="BA1029" s="18">
        <v>1</v>
      </c>
      <c r="BB1029" s="18" t="s">
        <v>5</v>
      </c>
      <c r="BC1029">
        <v>0</v>
      </c>
      <c r="BD1029">
        <v>1</v>
      </c>
      <c r="BE1029">
        <v>0</v>
      </c>
      <c r="BF1029">
        <v>0</v>
      </c>
      <c r="BG1029">
        <v>0</v>
      </c>
      <c r="BH1029" s="18">
        <v>0</v>
      </c>
      <c r="BI1029">
        <v>0</v>
      </c>
      <c r="BJ1029">
        <v>1</v>
      </c>
      <c r="BK1029" s="18">
        <v>0</v>
      </c>
      <c r="BL1029">
        <v>127.1666666666667</v>
      </c>
      <c r="BM1029">
        <v>27</v>
      </c>
      <c r="BN1029" s="94">
        <f t="shared" si="296"/>
        <v>33.730000000000004</v>
      </c>
      <c r="BO1029">
        <v>0</v>
      </c>
      <c r="BP1029">
        <v>0</v>
      </c>
      <c r="BQ1029">
        <v>0</v>
      </c>
      <c r="BR1029">
        <v>0</v>
      </c>
      <c r="BS1029">
        <v>1</v>
      </c>
      <c r="BT1029">
        <v>0</v>
      </c>
      <c r="BU1029">
        <v>0</v>
      </c>
      <c r="BV1029" s="18">
        <v>0</v>
      </c>
      <c r="BW1029">
        <v>0</v>
      </c>
      <c r="BX1029">
        <v>1</v>
      </c>
      <c r="BY1029">
        <v>0</v>
      </c>
      <c r="BZ1029" s="18">
        <v>0</v>
      </c>
      <c r="CA1029">
        <v>0</v>
      </c>
      <c r="CB1029">
        <v>0</v>
      </c>
      <c r="CC1029">
        <v>0</v>
      </c>
      <c r="CD1029">
        <v>0</v>
      </c>
      <c r="CE1029">
        <v>0</v>
      </c>
      <c r="CF1029" s="18">
        <v>0</v>
      </c>
      <c r="CG1029">
        <v>0</v>
      </c>
      <c r="CH1029">
        <v>0</v>
      </c>
      <c r="CI1029">
        <v>1</v>
      </c>
      <c r="CJ1029">
        <v>1</v>
      </c>
      <c r="CK1029">
        <v>0</v>
      </c>
      <c r="CL1029">
        <v>1</v>
      </c>
      <c r="CM1029">
        <v>1</v>
      </c>
      <c r="CN1029">
        <v>0</v>
      </c>
      <c r="CO1029">
        <v>0</v>
      </c>
      <c r="CP1029">
        <v>1</v>
      </c>
      <c r="CQ1029" s="18">
        <v>0</v>
      </c>
      <c r="CR1029">
        <v>0</v>
      </c>
      <c r="CS1029">
        <v>2</v>
      </c>
      <c r="CT1029">
        <v>0</v>
      </c>
      <c r="CU1029">
        <v>1</v>
      </c>
      <c r="CV1029">
        <v>16</v>
      </c>
      <c r="DB1029" s="34"/>
    </row>
    <row r="1030" spans="1:106" x14ac:dyDescent="0.25">
      <c r="A1030">
        <v>1029</v>
      </c>
      <c r="B1030">
        <v>70</v>
      </c>
      <c r="C1030" s="25" t="s">
        <v>4170</v>
      </c>
      <c r="D1030" s="12">
        <v>6.66</v>
      </c>
      <c r="E1030" s="14">
        <f t="shared" si="295"/>
        <v>1.1388508891928866</v>
      </c>
      <c r="F1030" s="7">
        <v>5.8479999999999999</v>
      </c>
      <c r="G1030" s="7">
        <f t="shared" si="297"/>
        <v>5.521149110807114</v>
      </c>
      <c r="H1030" s="16">
        <f t="shared" si="298"/>
        <v>7.7988508891928863</v>
      </c>
      <c r="I1030" s="11">
        <f t="shared" si="299"/>
        <v>0.30643468951102304</v>
      </c>
      <c r="J1030" s="33">
        <f t="shared" si="300"/>
        <v>5.2399912707083281E-2</v>
      </c>
      <c r="K1030" s="33">
        <f t="shared" si="301"/>
        <v>19.084001257597947</v>
      </c>
      <c r="L1030" s="33">
        <f t="shared" si="302"/>
        <v>0.25403477680393977</v>
      </c>
      <c r="M1030" s="33">
        <f t="shared" si="303"/>
        <v>0.35883460221810631</v>
      </c>
      <c r="N1030" s="8">
        <v>1</v>
      </c>
      <c r="O1030" s="9">
        <v>0</v>
      </c>
      <c r="P1030" s="8">
        <v>1</v>
      </c>
      <c r="Q1030" s="9">
        <v>0</v>
      </c>
      <c r="R1030" s="9">
        <v>0</v>
      </c>
      <c r="S1030" s="9">
        <v>0</v>
      </c>
      <c r="T1030" s="9">
        <v>0</v>
      </c>
      <c r="U1030" s="8">
        <v>347</v>
      </c>
      <c r="V1030" s="9">
        <v>16</v>
      </c>
      <c r="W1030" s="9">
        <f t="shared" si="304"/>
        <v>330</v>
      </c>
      <c r="X1030" s="9">
        <f t="shared" si="305"/>
        <v>36</v>
      </c>
      <c r="Y1030" s="7">
        <v>11.32</v>
      </c>
      <c r="Z1030" s="7">
        <v>16.41</v>
      </c>
      <c r="AA1030" s="9">
        <v>1</v>
      </c>
      <c r="AB1030" s="9">
        <v>0</v>
      </c>
      <c r="AC1030" s="9">
        <v>1</v>
      </c>
      <c r="AD1030" s="9">
        <v>0</v>
      </c>
      <c r="AE1030" s="9">
        <v>0</v>
      </c>
      <c r="AF1030" s="9">
        <v>0</v>
      </c>
      <c r="AG1030" s="8">
        <v>1</v>
      </c>
      <c r="AH1030" s="9">
        <v>0</v>
      </c>
      <c r="AI1030" s="30">
        <v>0</v>
      </c>
      <c r="AJ1030" s="9">
        <v>1</v>
      </c>
      <c r="AK1030" s="30">
        <v>0</v>
      </c>
      <c r="AL1030" s="21">
        <v>2007</v>
      </c>
      <c r="AM1030" s="23">
        <f t="shared" si="306"/>
        <v>7.604396348796338</v>
      </c>
      <c r="AN1030" s="33" t="s">
        <v>104</v>
      </c>
      <c r="AO1030" s="33" t="s">
        <v>104</v>
      </c>
      <c r="AP1030" s="33" t="s">
        <v>104</v>
      </c>
      <c r="AQ1030" s="43" t="s">
        <v>104</v>
      </c>
      <c r="AR1030" s="42">
        <v>1</v>
      </c>
      <c r="AS1030" s="18">
        <v>0</v>
      </c>
      <c r="AT1030">
        <v>1</v>
      </c>
      <c r="AU1030" s="40">
        <v>0</v>
      </c>
      <c r="AV1030">
        <v>56.05</v>
      </c>
      <c r="AW1030" s="40">
        <v>43.05</v>
      </c>
      <c r="AX1030">
        <v>0</v>
      </c>
      <c r="AY1030" s="18">
        <v>1</v>
      </c>
      <c r="AZ1030">
        <v>0</v>
      </c>
      <c r="BA1030" s="18">
        <v>1</v>
      </c>
      <c r="BB1030" s="18" t="s">
        <v>5</v>
      </c>
      <c r="BC1030">
        <v>0</v>
      </c>
      <c r="BD1030">
        <v>1</v>
      </c>
      <c r="BE1030">
        <v>0</v>
      </c>
      <c r="BF1030">
        <v>0</v>
      </c>
      <c r="BG1030">
        <v>0</v>
      </c>
      <c r="BH1030" s="18">
        <v>0</v>
      </c>
      <c r="BI1030">
        <v>0</v>
      </c>
      <c r="BJ1030">
        <v>1</v>
      </c>
      <c r="BK1030" s="18">
        <v>0</v>
      </c>
      <c r="BL1030">
        <v>127.1666666666667</v>
      </c>
      <c r="BM1030">
        <v>27</v>
      </c>
      <c r="BN1030" s="94">
        <f t="shared" si="296"/>
        <v>33.730000000000004</v>
      </c>
      <c r="BO1030">
        <v>1</v>
      </c>
      <c r="BP1030">
        <v>0</v>
      </c>
      <c r="BQ1030">
        <v>0</v>
      </c>
      <c r="BR1030">
        <v>0</v>
      </c>
      <c r="BS1030">
        <v>0</v>
      </c>
      <c r="BT1030">
        <v>0</v>
      </c>
      <c r="BU1030">
        <v>0</v>
      </c>
      <c r="BV1030" s="18">
        <v>0</v>
      </c>
      <c r="BW1030">
        <v>0</v>
      </c>
      <c r="BX1030">
        <v>0</v>
      </c>
      <c r="BY1030">
        <v>1</v>
      </c>
      <c r="BZ1030" s="18">
        <v>0</v>
      </c>
      <c r="CA1030">
        <v>0</v>
      </c>
      <c r="CB1030">
        <v>0</v>
      </c>
      <c r="CC1030">
        <v>0</v>
      </c>
      <c r="CD1030">
        <v>0</v>
      </c>
      <c r="CE1030">
        <v>0</v>
      </c>
      <c r="CF1030" s="18">
        <v>0</v>
      </c>
      <c r="CG1030">
        <v>0</v>
      </c>
      <c r="CH1030">
        <v>0</v>
      </c>
      <c r="CI1030">
        <v>1</v>
      </c>
      <c r="CJ1030">
        <v>1</v>
      </c>
      <c r="CK1030">
        <v>0</v>
      </c>
      <c r="CL1030">
        <v>1</v>
      </c>
      <c r="CM1030">
        <v>1</v>
      </c>
      <c r="CN1030">
        <v>0</v>
      </c>
      <c r="CO1030">
        <v>1</v>
      </c>
      <c r="CP1030">
        <v>1</v>
      </c>
      <c r="CQ1030" s="18">
        <v>0</v>
      </c>
      <c r="CR1030">
        <v>0</v>
      </c>
      <c r="CS1030">
        <v>2</v>
      </c>
      <c r="CT1030">
        <v>0</v>
      </c>
      <c r="CU1030">
        <v>1</v>
      </c>
      <c r="CV1030">
        <v>16</v>
      </c>
      <c r="DB1030" s="34"/>
    </row>
    <row r="1031" spans="1:106" x14ac:dyDescent="0.25">
      <c r="A1031">
        <v>1030</v>
      </c>
      <c r="B1031">
        <v>70</v>
      </c>
      <c r="C1031" s="25" t="s">
        <v>4170</v>
      </c>
      <c r="D1031" s="12">
        <v>9.08</v>
      </c>
      <c r="E1031" s="14">
        <f t="shared" si="295"/>
        <v>1.1167138113393187</v>
      </c>
      <c r="F1031" s="7">
        <v>8.1310000000000002</v>
      </c>
      <c r="G1031" s="7">
        <f t="shared" si="297"/>
        <v>7.9632861886606818</v>
      </c>
      <c r="H1031" s="16">
        <f t="shared" si="298"/>
        <v>10.196713811339318</v>
      </c>
      <c r="I1031" s="11">
        <f t="shared" si="299"/>
        <v>0.44752009525633424</v>
      </c>
      <c r="J1031" s="33">
        <f t="shared" si="300"/>
        <v>5.5038752337514964E-2</v>
      </c>
      <c r="K1031" s="33">
        <f t="shared" si="301"/>
        <v>18.169016511633206</v>
      </c>
      <c r="L1031" s="33">
        <f t="shared" si="302"/>
        <v>0.39248134291881925</v>
      </c>
      <c r="M1031" s="33">
        <f t="shared" si="303"/>
        <v>0.50255884759384917</v>
      </c>
      <c r="N1031" s="8">
        <v>1</v>
      </c>
      <c r="O1031" s="9">
        <v>0</v>
      </c>
      <c r="P1031" s="8">
        <v>1</v>
      </c>
      <c r="Q1031" s="9">
        <v>0</v>
      </c>
      <c r="R1031" s="9">
        <v>0</v>
      </c>
      <c r="S1031" s="9">
        <v>0</v>
      </c>
      <c r="T1031" s="9">
        <v>0</v>
      </c>
      <c r="U1031" s="8">
        <v>281</v>
      </c>
      <c r="V1031" s="9">
        <v>16</v>
      </c>
      <c r="W1031" s="9">
        <f t="shared" si="304"/>
        <v>264</v>
      </c>
      <c r="X1031" s="9">
        <f t="shared" si="305"/>
        <v>36</v>
      </c>
      <c r="Y1031" s="7">
        <v>11.32</v>
      </c>
      <c r="Z1031" s="7">
        <v>16.41</v>
      </c>
      <c r="AA1031" s="9">
        <v>1</v>
      </c>
      <c r="AB1031" s="9">
        <v>0</v>
      </c>
      <c r="AC1031" s="9">
        <v>1</v>
      </c>
      <c r="AD1031" s="9">
        <v>0</v>
      </c>
      <c r="AE1031" s="9">
        <v>0</v>
      </c>
      <c r="AF1031" s="9">
        <v>0</v>
      </c>
      <c r="AG1031" s="8">
        <v>1</v>
      </c>
      <c r="AH1031" s="9">
        <v>0</v>
      </c>
      <c r="AI1031" s="30">
        <v>0</v>
      </c>
      <c r="AJ1031" s="9">
        <v>1</v>
      </c>
      <c r="AK1031" s="30">
        <v>0</v>
      </c>
      <c r="AL1031" s="21">
        <v>2007</v>
      </c>
      <c r="AM1031" s="23">
        <f t="shared" si="306"/>
        <v>7.604396348796338</v>
      </c>
      <c r="AN1031" s="33" t="s">
        <v>104</v>
      </c>
      <c r="AO1031" s="33" t="s">
        <v>104</v>
      </c>
      <c r="AP1031" s="33" t="s">
        <v>104</v>
      </c>
      <c r="AQ1031" s="43" t="s">
        <v>104</v>
      </c>
      <c r="AR1031" s="42">
        <v>1</v>
      </c>
      <c r="AS1031" s="18">
        <v>0</v>
      </c>
      <c r="AT1031">
        <v>0</v>
      </c>
      <c r="AU1031" s="40">
        <v>1</v>
      </c>
      <c r="AV1031">
        <v>56.05</v>
      </c>
      <c r="AW1031" s="40">
        <v>43.05</v>
      </c>
      <c r="AX1031">
        <v>0</v>
      </c>
      <c r="AY1031" s="18">
        <v>1</v>
      </c>
      <c r="AZ1031">
        <v>0</v>
      </c>
      <c r="BA1031" s="18">
        <v>1</v>
      </c>
      <c r="BB1031" s="18" t="s">
        <v>5</v>
      </c>
      <c r="BC1031">
        <v>0</v>
      </c>
      <c r="BD1031">
        <v>1</v>
      </c>
      <c r="BE1031">
        <v>0</v>
      </c>
      <c r="BF1031">
        <v>0</v>
      </c>
      <c r="BG1031">
        <v>0</v>
      </c>
      <c r="BH1031" s="18">
        <v>0</v>
      </c>
      <c r="BI1031">
        <v>0</v>
      </c>
      <c r="BJ1031">
        <v>1</v>
      </c>
      <c r="BK1031" s="18">
        <v>0</v>
      </c>
      <c r="BL1031">
        <v>127.1666666666667</v>
      </c>
      <c r="BM1031">
        <v>27</v>
      </c>
      <c r="BN1031" s="94">
        <f t="shared" si="296"/>
        <v>33.730000000000004</v>
      </c>
      <c r="BO1031">
        <v>1</v>
      </c>
      <c r="BP1031">
        <v>0</v>
      </c>
      <c r="BQ1031">
        <v>0</v>
      </c>
      <c r="BR1031">
        <v>0</v>
      </c>
      <c r="BS1031">
        <v>0</v>
      </c>
      <c r="BT1031">
        <v>0</v>
      </c>
      <c r="BU1031">
        <v>0</v>
      </c>
      <c r="BV1031" s="18">
        <v>0</v>
      </c>
      <c r="BW1031">
        <v>0</v>
      </c>
      <c r="BX1031">
        <v>0</v>
      </c>
      <c r="BY1031">
        <v>1</v>
      </c>
      <c r="BZ1031" s="18">
        <v>0</v>
      </c>
      <c r="CA1031">
        <v>0</v>
      </c>
      <c r="CB1031">
        <v>0</v>
      </c>
      <c r="CC1031">
        <v>0</v>
      </c>
      <c r="CD1031">
        <v>0</v>
      </c>
      <c r="CE1031">
        <v>0</v>
      </c>
      <c r="CF1031" s="18">
        <v>0</v>
      </c>
      <c r="CG1031">
        <v>0</v>
      </c>
      <c r="CH1031">
        <v>0</v>
      </c>
      <c r="CI1031">
        <v>1</v>
      </c>
      <c r="CJ1031">
        <v>1</v>
      </c>
      <c r="CK1031">
        <v>0</v>
      </c>
      <c r="CL1031">
        <v>1</v>
      </c>
      <c r="CM1031">
        <v>1</v>
      </c>
      <c r="CN1031">
        <v>0</v>
      </c>
      <c r="CO1031">
        <v>1</v>
      </c>
      <c r="CP1031">
        <v>1</v>
      </c>
      <c r="CQ1031" s="18">
        <v>0</v>
      </c>
      <c r="CR1031">
        <v>0</v>
      </c>
      <c r="CS1031">
        <v>2</v>
      </c>
      <c r="CT1031">
        <v>0</v>
      </c>
      <c r="CU1031">
        <v>1</v>
      </c>
      <c r="CV1031">
        <v>16</v>
      </c>
      <c r="DB1031" s="34"/>
    </row>
    <row r="1032" spans="1:106" x14ac:dyDescent="0.25">
      <c r="A1032">
        <v>1031</v>
      </c>
      <c r="B1032">
        <v>70</v>
      </c>
      <c r="C1032" s="25" t="s">
        <v>4170</v>
      </c>
      <c r="D1032" s="12">
        <v>18.7</v>
      </c>
      <c r="E1032" s="14">
        <f t="shared" si="295"/>
        <v>5.3125</v>
      </c>
      <c r="F1032" s="7">
        <v>3.52</v>
      </c>
      <c r="G1032" s="7">
        <f t="shared" si="297"/>
        <v>13.387499999999999</v>
      </c>
      <c r="H1032" s="16">
        <f t="shared" si="298"/>
        <v>24.012499999999999</v>
      </c>
      <c r="I1032" s="11">
        <f t="shared" si="299"/>
        <v>0.19023125532552315</v>
      </c>
      <c r="J1032" s="33">
        <f t="shared" si="300"/>
        <v>5.4042970262932713E-2</v>
      </c>
      <c r="K1032" s="33">
        <f t="shared" si="301"/>
        <v>18.503794205513636</v>
      </c>
      <c r="L1032" s="33">
        <f t="shared" si="302"/>
        <v>0.13618828506259045</v>
      </c>
      <c r="M1032" s="33">
        <f t="shared" si="303"/>
        <v>0.24427422558845585</v>
      </c>
      <c r="N1032" s="8">
        <v>1</v>
      </c>
      <c r="O1032" s="9">
        <v>0</v>
      </c>
      <c r="P1032" s="8">
        <v>1</v>
      </c>
      <c r="Q1032" s="9">
        <v>0</v>
      </c>
      <c r="R1032" s="9">
        <v>0</v>
      </c>
      <c r="S1032" s="9">
        <v>0</v>
      </c>
      <c r="T1032" s="9">
        <v>0</v>
      </c>
      <c r="U1032" s="8">
        <v>347</v>
      </c>
      <c r="V1032" s="9">
        <v>16</v>
      </c>
      <c r="W1032" s="9">
        <f t="shared" si="304"/>
        <v>330</v>
      </c>
      <c r="X1032" s="9">
        <f t="shared" si="305"/>
        <v>36</v>
      </c>
      <c r="Y1032" s="7">
        <v>11.32</v>
      </c>
      <c r="Z1032" s="7">
        <v>16.41</v>
      </c>
      <c r="AA1032" s="9">
        <v>1</v>
      </c>
      <c r="AB1032" s="9">
        <v>0</v>
      </c>
      <c r="AC1032" s="9">
        <v>1</v>
      </c>
      <c r="AD1032" s="9">
        <v>0</v>
      </c>
      <c r="AE1032" s="9">
        <v>0</v>
      </c>
      <c r="AF1032" s="9">
        <v>0</v>
      </c>
      <c r="AG1032" s="8">
        <v>1</v>
      </c>
      <c r="AH1032" s="9">
        <v>0</v>
      </c>
      <c r="AI1032" s="30">
        <v>0</v>
      </c>
      <c r="AJ1032" s="9">
        <v>1</v>
      </c>
      <c r="AK1032" s="30">
        <v>0</v>
      </c>
      <c r="AL1032" s="21">
        <v>2007</v>
      </c>
      <c r="AM1032" s="23">
        <f t="shared" si="306"/>
        <v>7.604396348796338</v>
      </c>
      <c r="AN1032" s="33" t="s">
        <v>104</v>
      </c>
      <c r="AO1032" s="33" t="s">
        <v>104</v>
      </c>
      <c r="AP1032" s="33" t="s">
        <v>104</v>
      </c>
      <c r="AQ1032" s="43" t="s">
        <v>104</v>
      </c>
      <c r="AR1032" s="42">
        <v>1</v>
      </c>
      <c r="AS1032" s="18">
        <v>0</v>
      </c>
      <c r="AT1032">
        <v>1</v>
      </c>
      <c r="AU1032" s="40">
        <v>0</v>
      </c>
      <c r="AV1032">
        <v>56.05</v>
      </c>
      <c r="AW1032" s="40">
        <v>43.05</v>
      </c>
      <c r="AX1032">
        <v>0</v>
      </c>
      <c r="AY1032" s="18">
        <v>1</v>
      </c>
      <c r="AZ1032">
        <v>0</v>
      </c>
      <c r="BA1032" s="18">
        <v>1</v>
      </c>
      <c r="BB1032" s="18" t="s">
        <v>5</v>
      </c>
      <c r="BC1032">
        <v>0</v>
      </c>
      <c r="BD1032">
        <v>1</v>
      </c>
      <c r="BE1032">
        <v>0</v>
      </c>
      <c r="BF1032">
        <v>0</v>
      </c>
      <c r="BG1032">
        <v>0</v>
      </c>
      <c r="BH1032" s="18">
        <v>0</v>
      </c>
      <c r="BI1032">
        <v>0</v>
      </c>
      <c r="BJ1032">
        <v>1</v>
      </c>
      <c r="BK1032" s="18">
        <v>0</v>
      </c>
      <c r="BL1032">
        <v>127.1666666666667</v>
      </c>
      <c r="BM1032">
        <v>27</v>
      </c>
      <c r="BN1032" s="94">
        <f t="shared" si="296"/>
        <v>33.730000000000004</v>
      </c>
      <c r="BO1032">
        <v>0</v>
      </c>
      <c r="BP1032">
        <v>0</v>
      </c>
      <c r="BQ1032">
        <v>0</v>
      </c>
      <c r="BR1032">
        <v>0</v>
      </c>
      <c r="BS1032">
        <v>1</v>
      </c>
      <c r="BT1032">
        <v>0</v>
      </c>
      <c r="BU1032">
        <v>0</v>
      </c>
      <c r="BV1032" s="18">
        <v>0</v>
      </c>
      <c r="BW1032">
        <v>0</v>
      </c>
      <c r="BX1032">
        <v>1</v>
      </c>
      <c r="BY1032">
        <v>0</v>
      </c>
      <c r="BZ1032" s="18">
        <v>0</v>
      </c>
      <c r="CA1032">
        <v>0</v>
      </c>
      <c r="CB1032">
        <v>0</v>
      </c>
      <c r="CC1032">
        <v>0</v>
      </c>
      <c r="CD1032">
        <v>0</v>
      </c>
      <c r="CE1032">
        <v>0</v>
      </c>
      <c r="CF1032" s="18">
        <v>0</v>
      </c>
      <c r="CG1032">
        <v>0</v>
      </c>
      <c r="CH1032">
        <v>0</v>
      </c>
      <c r="CI1032">
        <v>1</v>
      </c>
      <c r="CJ1032">
        <v>1</v>
      </c>
      <c r="CK1032">
        <v>0</v>
      </c>
      <c r="CL1032">
        <v>1</v>
      </c>
      <c r="CM1032">
        <v>1</v>
      </c>
      <c r="CN1032">
        <v>0</v>
      </c>
      <c r="CO1032">
        <v>1</v>
      </c>
      <c r="CP1032">
        <v>1</v>
      </c>
      <c r="CQ1032" s="18">
        <v>0</v>
      </c>
      <c r="CR1032">
        <v>0</v>
      </c>
      <c r="CS1032">
        <v>2</v>
      </c>
      <c r="CT1032">
        <v>0</v>
      </c>
      <c r="CU1032">
        <v>1</v>
      </c>
      <c r="CV1032">
        <v>16</v>
      </c>
      <c r="DB1032" s="34"/>
    </row>
    <row r="1033" spans="1:106" x14ac:dyDescent="0.25">
      <c r="A1033">
        <v>1032</v>
      </c>
      <c r="B1033">
        <v>70</v>
      </c>
      <c r="C1033" s="25" t="s">
        <v>4170</v>
      </c>
      <c r="D1033" s="12">
        <v>24.4</v>
      </c>
      <c r="E1033" s="14">
        <f t="shared" si="295"/>
        <v>3.8607594936708858</v>
      </c>
      <c r="F1033" s="7">
        <v>6.32</v>
      </c>
      <c r="G1033" s="7">
        <f t="shared" si="297"/>
        <v>20.539240506329111</v>
      </c>
      <c r="H1033" s="16">
        <f t="shared" si="298"/>
        <v>28.260759493670886</v>
      </c>
      <c r="I1033" s="11">
        <f t="shared" si="299"/>
        <v>0.36251120430914735</v>
      </c>
      <c r="J1033" s="33">
        <f t="shared" si="300"/>
        <v>5.7359367770434704E-2</v>
      </c>
      <c r="K1033" s="33">
        <f t="shared" si="301"/>
        <v>17.433943902628574</v>
      </c>
      <c r="L1033" s="33">
        <f t="shared" si="302"/>
        <v>0.30515183653871264</v>
      </c>
      <c r="M1033" s="33">
        <f t="shared" si="303"/>
        <v>0.41987057207958206</v>
      </c>
      <c r="N1033" s="8">
        <v>1</v>
      </c>
      <c r="O1033" s="9">
        <v>0</v>
      </c>
      <c r="P1033" s="8">
        <v>1</v>
      </c>
      <c r="Q1033" s="9">
        <v>0</v>
      </c>
      <c r="R1033" s="9">
        <v>0</v>
      </c>
      <c r="S1033" s="9">
        <v>0</v>
      </c>
      <c r="T1033" s="9">
        <v>0</v>
      </c>
      <c r="U1033" s="8">
        <v>281</v>
      </c>
      <c r="V1033" s="9">
        <v>16</v>
      </c>
      <c r="W1033" s="9">
        <f t="shared" si="304"/>
        <v>264</v>
      </c>
      <c r="X1033" s="9">
        <f t="shared" si="305"/>
        <v>36</v>
      </c>
      <c r="Y1033" s="7">
        <v>11.32</v>
      </c>
      <c r="Z1033" s="7">
        <v>16.41</v>
      </c>
      <c r="AA1033" s="9">
        <v>1</v>
      </c>
      <c r="AB1033" s="9">
        <v>0</v>
      </c>
      <c r="AC1033" s="9">
        <v>1</v>
      </c>
      <c r="AD1033" s="9">
        <v>0</v>
      </c>
      <c r="AE1033" s="9">
        <v>0</v>
      </c>
      <c r="AF1033" s="9">
        <v>0</v>
      </c>
      <c r="AG1033" s="8">
        <v>1</v>
      </c>
      <c r="AH1033" s="9">
        <v>0</v>
      </c>
      <c r="AI1033" s="30">
        <v>0</v>
      </c>
      <c r="AJ1033" s="9">
        <v>1</v>
      </c>
      <c r="AK1033" s="30">
        <v>0</v>
      </c>
      <c r="AL1033" s="21">
        <v>2007</v>
      </c>
      <c r="AM1033" s="23">
        <f t="shared" si="306"/>
        <v>7.604396348796338</v>
      </c>
      <c r="AN1033" s="33" t="s">
        <v>104</v>
      </c>
      <c r="AO1033" s="33" t="s">
        <v>104</v>
      </c>
      <c r="AP1033" s="33" t="s">
        <v>104</v>
      </c>
      <c r="AQ1033" s="43" t="s">
        <v>104</v>
      </c>
      <c r="AR1033" s="42">
        <v>1</v>
      </c>
      <c r="AS1033" s="18">
        <v>0</v>
      </c>
      <c r="AT1033">
        <v>0</v>
      </c>
      <c r="AU1033" s="40">
        <v>1</v>
      </c>
      <c r="AV1033">
        <v>56.05</v>
      </c>
      <c r="AW1033" s="40">
        <v>43.05</v>
      </c>
      <c r="AX1033">
        <v>0</v>
      </c>
      <c r="AY1033" s="18">
        <v>1</v>
      </c>
      <c r="AZ1033">
        <v>0</v>
      </c>
      <c r="BA1033" s="18">
        <v>1</v>
      </c>
      <c r="BB1033" s="18" t="s">
        <v>5</v>
      </c>
      <c r="BC1033">
        <v>0</v>
      </c>
      <c r="BD1033">
        <v>1</v>
      </c>
      <c r="BE1033">
        <v>0</v>
      </c>
      <c r="BF1033">
        <v>0</v>
      </c>
      <c r="BG1033">
        <v>0</v>
      </c>
      <c r="BH1033" s="18">
        <v>0</v>
      </c>
      <c r="BI1033">
        <v>0</v>
      </c>
      <c r="BJ1033">
        <v>1</v>
      </c>
      <c r="BK1033" s="18">
        <v>0</v>
      </c>
      <c r="BL1033">
        <v>127.1666666666667</v>
      </c>
      <c r="BM1033">
        <v>27</v>
      </c>
      <c r="BN1033" s="94">
        <f t="shared" si="296"/>
        <v>33.730000000000004</v>
      </c>
      <c r="BO1033">
        <v>0</v>
      </c>
      <c r="BP1033">
        <v>0</v>
      </c>
      <c r="BQ1033">
        <v>0</v>
      </c>
      <c r="BR1033">
        <v>0</v>
      </c>
      <c r="BS1033">
        <v>1</v>
      </c>
      <c r="BT1033">
        <v>0</v>
      </c>
      <c r="BU1033">
        <v>0</v>
      </c>
      <c r="BV1033" s="18">
        <v>0</v>
      </c>
      <c r="BW1033">
        <v>0</v>
      </c>
      <c r="BX1033">
        <v>1</v>
      </c>
      <c r="BY1033">
        <v>0</v>
      </c>
      <c r="BZ1033" s="18">
        <v>0</v>
      </c>
      <c r="CA1033">
        <v>0</v>
      </c>
      <c r="CB1033">
        <v>0</v>
      </c>
      <c r="CC1033">
        <v>0</v>
      </c>
      <c r="CD1033">
        <v>0</v>
      </c>
      <c r="CE1033">
        <v>0</v>
      </c>
      <c r="CF1033" s="18">
        <v>0</v>
      </c>
      <c r="CG1033">
        <v>0</v>
      </c>
      <c r="CH1033">
        <v>0</v>
      </c>
      <c r="CI1033">
        <v>1</v>
      </c>
      <c r="CJ1033">
        <v>1</v>
      </c>
      <c r="CK1033">
        <v>0</v>
      </c>
      <c r="CL1033">
        <v>1</v>
      </c>
      <c r="CM1033">
        <v>1</v>
      </c>
      <c r="CN1033">
        <v>0</v>
      </c>
      <c r="CO1033">
        <v>1</v>
      </c>
      <c r="CP1033">
        <v>1</v>
      </c>
      <c r="CQ1033" s="18">
        <v>0</v>
      </c>
      <c r="CR1033">
        <v>0</v>
      </c>
      <c r="CS1033">
        <v>2</v>
      </c>
      <c r="CT1033">
        <v>0</v>
      </c>
      <c r="CU1033">
        <v>1</v>
      </c>
      <c r="CV1033">
        <v>16</v>
      </c>
      <c r="DB1033" s="34"/>
    </row>
    <row r="1034" spans="1:106" x14ac:dyDescent="0.25">
      <c r="A1034">
        <v>1033</v>
      </c>
      <c r="B1034">
        <v>70</v>
      </c>
      <c r="C1034" s="25" t="s">
        <v>4170</v>
      </c>
      <c r="D1034" s="12">
        <v>26.2</v>
      </c>
      <c r="E1034" s="14">
        <f t="shared" si="295"/>
        <v>7.3512906846240176</v>
      </c>
      <c r="F1034" s="7">
        <v>3.5640000000000001</v>
      </c>
      <c r="G1034" s="7">
        <f t="shared" si="297"/>
        <v>18.848709315375981</v>
      </c>
      <c r="H1034" s="16">
        <f t="shared" si="298"/>
        <v>33.551290684624014</v>
      </c>
      <c r="I1034" s="11">
        <f t="shared" si="299"/>
        <v>0.19252153470944192</v>
      </c>
      <c r="J1034" s="33">
        <f t="shared" si="300"/>
        <v>5.4018387965612202E-2</v>
      </c>
      <c r="K1034" s="33">
        <f t="shared" si="301"/>
        <v>18.51221477835648</v>
      </c>
      <c r="L1034" s="33">
        <f t="shared" si="302"/>
        <v>0.13850314674382971</v>
      </c>
      <c r="M1034" s="33">
        <f t="shared" si="303"/>
        <v>0.24653992267505412</v>
      </c>
      <c r="N1034" s="8">
        <v>1</v>
      </c>
      <c r="O1034" s="9">
        <v>0</v>
      </c>
      <c r="P1034" s="8">
        <v>1</v>
      </c>
      <c r="Q1034" s="9">
        <v>0</v>
      </c>
      <c r="R1034" s="9">
        <v>0</v>
      </c>
      <c r="S1034" s="9">
        <v>0</v>
      </c>
      <c r="T1034" s="9">
        <v>0</v>
      </c>
      <c r="U1034" s="8">
        <v>347</v>
      </c>
      <c r="V1034" s="9">
        <v>16</v>
      </c>
      <c r="W1034" s="9">
        <f t="shared" si="304"/>
        <v>330</v>
      </c>
      <c r="X1034" s="9">
        <f t="shared" si="305"/>
        <v>36</v>
      </c>
      <c r="Y1034" s="7">
        <v>11.32</v>
      </c>
      <c r="Z1034" s="7">
        <v>16.41</v>
      </c>
      <c r="AA1034" s="9">
        <v>1</v>
      </c>
      <c r="AB1034" s="9">
        <v>0</v>
      </c>
      <c r="AC1034" s="9">
        <v>1</v>
      </c>
      <c r="AD1034" s="9">
        <v>0</v>
      </c>
      <c r="AE1034" s="9">
        <v>0</v>
      </c>
      <c r="AF1034" s="9">
        <v>0</v>
      </c>
      <c r="AG1034" s="8">
        <v>1</v>
      </c>
      <c r="AH1034" s="9">
        <v>0</v>
      </c>
      <c r="AI1034" s="30">
        <v>0</v>
      </c>
      <c r="AJ1034" s="9">
        <v>1</v>
      </c>
      <c r="AK1034" s="30">
        <v>0</v>
      </c>
      <c r="AL1034" s="21">
        <v>2007</v>
      </c>
      <c r="AM1034" s="23">
        <f t="shared" si="306"/>
        <v>7.604396348796338</v>
      </c>
      <c r="AN1034" s="33" t="s">
        <v>104</v>
      </c>
      <c r="AO1034" s="33" t="s">
        <v>104</v>
      </c>
      <c r="AP1034" s="33" t="s">
        <v>104</v>
      </c>
      <c r="AQ1034" s="43" t="s">
        <v>104</v>
      </c>
      <c r="AR1034" s="42">
        <v>1</v>
      </c>
      <c r="AS1034" s="18">
        <v>0</v>
      </c>
      <c r="AT1034">
        <v>1</v>
      </c>
      <c r="AU1034" s="40">
        <v>0</v>
      </c>
      <c r="AV1034">
        <v>56.05</v>
      </c>
      <c r="AW1034" s="40">
        <v>43.05</v>
      </c>
      <c r="AX1034">
        <v>0</v>
      </c>
      <c r="AY1034" s="18">
        <v>1</v>
      </c>
      <c r="AZ1034">
        <v>0</v>
      </c>
      <c r="BA1034" s="18">
        <v>1</v>
      </c>
      <c r="BB1034" s="18" t="s">
        <v>5</v>
      </c>
      <c r="BC1034">
        <v>0</v>
      </c>
      <c r="BD1034">
        <v>1</v>
      </c>
      <c r="BE1034">
        <v>0</v>
      </c>
      <c r="BF1034">
        <v>0</v>
      </c>
      <c r="BG1034">
        <v>0</v>
      </c>
      <c r="BH1034" s="18">
        <v>0</v>
      </c>
      <c r="BI1034">
        <v>0</v>
      </c>
      <c r="BJ1034">
        <v>1</v>
      </c>
      <c r="BK1034" s="18">
        <v>0</v>
      </c>
      <c r="BL1034">
        <v>127.1666666666667</v>
      </c>
      <c r="BM1034">
        <v>27</v>
      </c>
      <c r="BN1034" s="94">
        <f t="shared" si="296"/>
        <v>33.730000000000004</v>
      </c>
      <c r="BO1034">
        <v>0</v>
      </c>
      <c r="BP1034">
        <v>0</v>
      </c>
      <c r="BQ1034">
        <v>0</v>
      </c>
      <c r="BR1034">
        <v>0</v>
      </c>
      <c r="BS1034">
        <v>1</v>
      </c>
      <c r="BT1034">
        <v>0</v>
      </c>
      <c r="BU1034">
        <v>0</v>
      </c>
      <c r="BV1034" s="18">
        <v>0</v>
      </c>
      <c r="BW1034">
        <v>0</v>
      </c>
      <c r="BX1034">
        <v>1</v>
      </c>
      <c r="BY1034">
        <v>0</v>
      </c>
      <c r="BZ1034" s="18">
        <v>0</v>
      </c>
      <c r="CA1034">
        <v>0</v>
      </c>
      <c r="CB1034">
        <v>0</v>
      </c>
      <c r="CC1034">
        <v>0</v>
      </c>
      <c r="CD1034">
        <v>0</v>
      </c>
      <c r="CE1034">
        <v>0</v>
      </c>
      <c r="CF1034" s="18">
        <v>0</v>
      </c>
      <c r="CG1034">
        <v>0</v>
      </c>
      <c r="CH1034">
        <v>0</v>
      </c>
      <c r="CI1034">
        <v>1</v>
      </c>
      <c r="CJ1034">
        <v>1</v>
      </c>
      <c r="CK1034">
        <v>0</v>
      </c>
      <c r="CL1034">
        <v>1</v>
      </c>
      <c r="CM1034">
        <v>1</v>
      </c>
      <c r="CN1034">
        <v>0</v>
      </c>
      <c r="CO1034">
        <v>1</v>
      </c>
      <c r="CP1034">
        <v>1</v>
      </c>
      <c r="CQ1034" s="18">
        <v>0</v>
      </c>
      <c r="CR1034">
        <v>0</v>
      </c>
      <c r="CS1034">
        <v>2</v>
      </c>
      <c r="CT1034">
        <v>0</v>
      </c>
      <c r="CU1034">
        <v>1</v>
      </c>
      <c r="CV1034">
        <v>16</v>
      </c>
      <c r="DB1034" s="34"/>
    </row>
    <row r="1035" spans="1:106" x14ac:dyDescent="0.25">
      <c r="A1035">
        <v>1034</v>
      </c>
      <c r="B1035">
        <v>70</v>
      </c>
      <c r="C1035" s="25" t="s">
        <v>4170</v>
      </c>
      <c r="D1035" s="12">
        <v>28.6</v>
      </c>
      <c r="E1035" s="14">
        <f t="shared" si="295"/>
        <v>3.232368896925859</v>
      </c>
      <c r="F1035" s="7">
        <v>8.8480000000000008</v>
      </c>
      <c r="G1035" s="7">
        <f t="shared" si="297"/>
        <v>25.367631103074142</v>
      </c>
      <c r="H1035" s="16">
        <f t="shared" si="298"/>
        <v>31.83236889692586</v>
      </c>
      <c r="I1035" s="11">
        <f t="shared" si="299"/>
        <v>0.47824434726464526</v>
      </c>
      <c r="J1035" s="33">
        <f t="shared" si="300"/>
        <v>5.4051124238770933E-2</v>
      </c>
      <c r="K1035" s="33">
        <f t="shared" si="301"/>
        <v>18.501002783633108</v>
      </c>
      <c r="L1035" s="33">
        <f t="shared" si="302"/>
        <v>0.42419322302587431</v>
      </c>
      <c r="M1035" s="33">
        <f t="shared" si="303"/>
        <v>0.53229547150341616</v>
      </c>
      <c r="N1035" s="8">
        <v>1</v>
      </c>
      <c r="O1035" s="9">
        <v>0</v>
      </c>
      <c r="P1035" s="8">
        <v>1</v>
      </c>
      <c r="Q1035" s="9">
        <v>0</v>
      </c>
      <c r="R1035" s="9">
        <v>0</v>
      </c>
      <c r="S1035" s="9">
        <v>0</v>
      </c>
      <c r="T1035" s="9">
        <v>0</v>
      </c>
      <c r="U1035" s="8">
        <v>281</v>
      </c>
      <c r="V1035" s="9">
        <v>16</v>
      </c>
      <c r="W1035" s="9">
        <f t="shared" si="304"/>
        <v>264</v>
      </c>
      <c r="X1035" s="9">
        <f t="shared" si="305"/>
        <v>36</v>
      </c>
      <c r="Y1035" s="7">
        <v>11.32</v>
      </c>
      <c r="Z1035" s="7">
        <v>16.41</v>
      </c>
      <c r="AA1035" s="9">
        <v>1</v>
      </c>
      <c r="AB1035" s="9">
        <v>0</v>
      </c>
      <c r="AC1035" s="9">
        <v>1</v>
      </c>
      <c r="AD1035" s="9">
        <v>0</v>
      </c>
      <c r="AE1035" s="9">
        <v>0</v>
      </c>
      <c r="AF1035" s="9">
        <v>0</v>
      </c>
      <c r="AG1035" s="8">
        <v>1</v>
      </c>
      <c r="AH1035" s="9">
        <v>0</v>
      </c>
      <c r="AI1035" s="30">
        <v>0</v>
      </c>
      <c r="AJ1035" s="9">
        <v>1</v>
      </c>
      <c r="AK1035" s="30">
        <v>0</v>
      </c>
      <c r="AL1035" s="21">
        <v>2007</v>
      </c>
      <c r="AM1035" s="23">
        <f t="shared" si="306"/>
        <v>7.604396348796338</v>
      </c>
      <c r="AN1035" s="33" t="s">
        <v>104</v>
      </c>
      <c r="AO1035" s="33" t="s">
        <v>104</v>
      </c>
      <c r="AP1035" s="33" t="s">
        <v>104</v>
      </c>
      <c r="AQ1035" s="43" t="s">
        <v>104</v>
      </c>
      <c r="AR1035" s="42">
        <v>1</v>
      </c>
      <c r="AS1035" s="18">
        <v>0</v>
      </c>
      <c r="AT1035">
        <v>0</v>
      </c>
      <c r="AU1035" s="40">
        <v>1</v>
      </c>
      <c r="AV1035">
        <v>56.05</v>
      </c>
      <c r="AW1035" s="40">
        <v>43.05</v>
      </c>
      <c r="AX1035">
        <v>0</v>
      </c>
      <c r="AY1035" s="18">
        <v>1</v>
      </c>
      <c r="AZ1035">
        <v>0</v>
      </c>
      <c r="BA1035" s="18">
        <v>1</v>
      </c>
      <c r="BB1035" s="18" t="s">
        <v>5</v>
      </c>
      <c r="BC1035">
        <v>0</v>
      </c>
      <c r="BD1035">
        <v>1</v>
      </c>
      <c r="BE1035">
        <v>0</v>
      </c>
      <c r="BF1035">
        <v>0</v>
      </c>
      <c r="BG1035">
        <v>0</v>
      </c>
      <c r="BH1035" s="18">
        <v>0</v>
      </c>
      <c r="BI1035">
        <v>0</v>
      </c>
      <c r="BJ1035">
        <v>1</v>
      </c>
      <c r="BK1035" s="18">
        <v>0</v>
      </c>
      <c r="BL1035">
        <v>127.1666666666667</v>
      </c>
      <c r="BM1035">
        <v>27</v>
      </c>
      <c r="BN1035" s="94">
        <f t="shared" si="296"/>
        <v>33.730000000000004</v>
      </c>
      <c r="BO1035">
        <v>0</v>
      </c>
      <c r="BP1035">
        <v>0</v>
      </c>
      <c r="BQ1035">
        <v>0</v>
      </c>
      <c r="BR1035">
        <v>0</v>
      </c>
      <c r="BS1035">
        <v>1</v>
      </c>
      <c r="BT1035">
        <v>0</v>
      </c>
      <c r="BU1035">
        <v>0</v>
      </c>
      <c r="BV1035" s="18">
        <v>0</v>
      </c>
      <c r="BW1035">
        <v>0</v>
      </c>
      <c r="BX1035">
        <v>1</v>
      </c>
      <c r="BY1035">
        <v>0</v>
      </c>
      <c r="BZ1035" s="18">
        <v>0</v>
      </c>
      <c r="CA1035">
        <v>0</v>
      </c>
      <c r="CB1035">
        <v>0</v>
      </c>
      <c r="CC1035">
        <v>0</v>
      </c>
      <c r="CD1035">
        <v>0</v>
      </c>
      <c r="CE1035">
        <v>0</v>
      </c>
      <c r="CF1035" s="18">
        <v>0</v>
      </c>
      <c r="CG1035">
        <v>0</v>
      </c>
      <c r="CH1035">
        <v>0</v>
      </c>
      <c r="CI1035">
        <v>1</v>
      </c>
      <c r="CJ1035">
        <v>1</v>
      </c>
      <c r="CK1035">
        <v>0</v>
      </c>
      <c r="CL1035">
        <v>1</v>
      </c>
      <c r="CM1035">
        <v>1</v>
      </c>
      <c r="CN1035">
        <v>0</v>
      </c>
      <c r="CO1035">
        <v>1</v>
      </c>
      <c r="CP1035">
        <v>1</v>
      </c>
      <c r="CQ1035" s="18">
        <v>0</v>
      </c>
      <c r="CR1035">
        <v>0</v>
      </c>
      <c r="CS1035">
        <v>2</v>
      </c>
      <c r="CT1035">
        <v>0</v>
      </c>
      <c r="CU1035">
        <v>1</v>
      </c>
      <c r="CV1035">
        <v>16</v>
      </c>
      <c r="DB1035" s="34"/>
    </row>
    <row r="1036" spans="1:106" x14ac:dyDescent="0.25">
      <c r="A1036">
        <v>1035</v>
      </c>
      <c r="B1036">
        <v>70</v>
      </c>
      <c r="C1036" s="25" t="s">
        <v>4170</v>
      </c>
      <c r="D1036" s="12">
        <v>6.67</v>
      </c>
      <c r="E1036" s="14">
        <f t="shared" si="295"/>
        <v>1.1575841721624436</v>
      </c>
      <c r="F1036" s="7">
        <v>5.7619999999999996</v>
      </c>
      <c r="G1036" s="7">
        <f t="shared" si="297"/>
        <v>5.5124158278375566</v>
      </c>
      <c r="H1036" s="16">
        <f t="shared" si="298"/>
        <v>7.8275841721624433</v>
      </c>
      <c r="I1036" s="11">
        <f t="shared" si="299"/>
        <v>0.30276010338288295</v>
      </c>
      <c r="J1036" s="33">
        <f t="shared" si="300"/>
        <v>5.2544273409039055E-2</v>
      </c>
      <c r="K1036" s="33">
        <f t="shared" si="301"/>
        <v>19.031569667266016</v>
      </c>
      <c r="L1036" s="33">
        <f t="shared" si="302"/>
        <v>0.2502158299738439</v>
      </c>
      <c r="M1036" s="33">
        <f t="shared" si="303"/>
        <v>0.35530437679192201</v>
      </c>
      <c r="N1036" s="8">
        <v>1</v>
      </c>
      <c r="O1036" s="9">
        <v>0</v>
      </c>
      <c r="P1036" s="8">
        <v>1</v>
      </c>
      <c r="Q1036" s="9">
        <v>0</v>
      </c>
      <c r="R1036" s="9">
        <v>0</v>
      </c>
      <c r="S1036" s="9">
        <v>0</v>
      </c>
      <c r="T1036" s="9">
        <v>0</v>
      </c>
      <c r="U1036" s="8">
        <v>347</v>
      </c>
      <c r="V1036" s="9">
        <v>17</v>
      </c>
      <c r="W1036" s="9">
        <f t="shared" si="304"/>
        <v>329</v>
      </c>
      <c r="X1036" s="9">
        <f t="shared" si="305"/>
        <v>36</v>
      </c>
      <c r="Y1036" s="7">
        <v>11.32</v>
      </c>
      <c r="Z1036" s="7">
        <v>16.41</v>
      </c>
      <c r="AA1036" s="9">
        <v>1</v>
      </c>
      <c r="AB1036" s="9">
        <v>0</v>
      </c>
      <c r="AC1036" s="9">
        <v>1</v>
      </c>
      <c r="AD1036" s="9">
        <v>0</v>
      </c>
      <c r="AE1036" s="9">
        <v>0</v>
      </c>
      <c r="AF1036" s="9">
        <v>0</v>
      </c>
      <c r="AG1036" s="8">
        <v>1</v>
      </c>
      <c r="AH1036" s="9">
        <v>0</v>
      </c>
      <c r="AI1036" s="30">
        <v>0</v>
      </c>
      <c r="AJ1036" s="9">
        <v>1</v>
      </c>
      <c r="AK1036" s="30">
        <v>0</v>
      </c>
      <c r="AL1036" s="21">
        <v>2007</v>
      </c>
      <c r="AM1036" s="23">
        <f t="shared" si="306"/>
        <v>7.604396348796338</v>
      </c>
      <c r="AN1036" s="33" t="s">
        <v>104</v>
      </c>
      <c r="AO1036" s="33" t="s">
        <v>104</v>
      </c>
      <c r="AP1036" s="33" t="s">
        <v>104</v>
      </c>
      <c r="AQ1036" s="43" t="s">
        <v>104</v>
      </c>
      <c r="AR1036" s="42">
        <v>1</v>
      </c>
      <c r="AS1036" s="18">
        <v>0</v>
      </c>
      <c r="AT1036">
        <v>1</v>
      </c>
      <c r="AU1036" s="40">
        <v>0</v>
      </c>
      <c r="AV1036">
        <v>56.05</v>
      </c>
      <c r="AW1036" s="40">
        <v>43.05</v>
      </c>
      <c r="AX1036">
        <v>0</v>
      </c>
      <c r="AY1036" s="18">
        <v>1</v>
      </c>
      <c r="AZ1036">
        <v>0</v>
      </c>
      <c r="BA1036" s="18">
        <v>1</v>
      </c>
      <c r="BB1036" s="18" t="s">
        <v>5</v>
      </c>
      <c r="BC1036">
        <v>0</v>
      </c>
      <c r="BD1036">
        <v>1</v>
      </c>
      <c r="BE1036">
        <v>0</v>
      </c>
      <c r="BF1036">
        <v>0</v>
      </c>
      <c r="BG1036">
        <v>0</v>
      </c>
      <c r="BH1036" s="18">
        <v>0</v>
      </c>
      <c r="BI1036">
        <v>0</v>
      </c>
      <c r="BJ1036">
        <v>1</v>
      </c>
      <c r="BK1036" s="18">
        <v>0</v>
      </c>
      <c r="BL1036">
        <v>127.1666666666667</v>
      </c>
      <c r="BM1036">
        <v>27</v>
      </c>
      <c r="BN1036" s="94">
        <f t="shared" si="296"/>
        <v>33.730000000000004</v>
      </c>
      <c r="BO1036">
        <v>1</v>
      </c>
      <c r="BP1036">
        <v>0</v>
      </c>
      <c r="BQ1036">
        <v>0</v>
      </c>
      <c r="BR1036">
        <v>0</v>
      </c>
      <c r="BS1036">
        <v>0</v>
      </c>
      <c r="BT1036">
        <v>0</v>
      </c>
      <c r="BU1036">
        <v>0</v>
      </c>
      <c r="BV1036" s="18">
        <v>0</v>
      </c>
      <c r="BW1036">
        <v>0</v>
      </c>
      <c r="BX1036">
        <v>0</v>
      </c>
      <c r="BY1036">
        <v>1</v>
      </c>
      <c r="BZ1036" s="18">
        <v>0</v>
      </c>
      <c r="CA1036">
        <v>0</v>
      </c>
      <c r="CB1036">
        <v>0</v>
      </c>
      <c r="CC1036">
        <v>0</v>
      </c>
      <c r="CD1036">
        <v>0</v>
      </c>
      <c r="CE1036">
        <v>0</v>
      </c>
      <c r="CF1036" s="18">
        <v>0</v>
      </c>
      <c r="CG1036">
        <v>0</v>
      </c>
      <c r="CH1036">
        <v>0</v>
      </c>
      <c r="CI1036">
        <v>1</v>
      </c>
      <c r="CJ1036">
        <v>1</v>
      </c>
      <c r="CK1036">
        <v>0</v>
      </c>
      <c r="CL1036">
        <v>1</v>
      </c>
      <c r="CM1036">
        <v>1</v>
      </c>
      <c r="CN1036">
        <v>1</v>
      </c>
      <c r="CO1036">
        <v>1</v>
      </c>
      <c r="CP1036">
        <v>1</v>
      </c>
      <c r="CQ1036" s="18">
        <v>0</v>
      </c>
      <c r="CR1036">
        <v>0</v>
      </c>
      <c r="CS1036">
        <v>2</v>
      </c>
      <c r="CT1036">
        <v>0</v>
      </c>
      <c r="CU1036">
        <v>1</v>
      </c>
      <c r="CV1036">
        <v>16</v>
      </c>
      <c r="DB1036" s="34"/>
    </row>
    <row r="1037" spans="1:106" x14ac:dyDescent="0.25">
      <c r="A1037">
        <v>1036</v>
      </c>
      <c r="B1037">
        <v>70</v>
      </c>
      <c r="C1037" s="25" t="s">
        <v>4170</v>
      </c>
      <c r="D1037" s="12">
        <v>9.07</v>
      </c>
      <c r="E1037" s="14">
        <f t="shared" si="295"/>
        <v>1.1211372064276885</v>
      </c>
      <c r="F1037" s="7">
        <v>8.09</v>
      </c>
      <c r="G1037" s="7">
        <f t="shared" si="297"/>
        <v>7.948862793572312</v>
      </c>
      <c r="H1037" s="16">
        <f t="shared" si="298"/>
        <v>10.191137206427689</v>
      </c>
      <c r="I1037" s="11">
        <f t="shared" si="299"/>
        <v>0.44639070680664567</v>
      </c>
      <c r="J1037" s="33">
        <f t="shared" si="300"/>
        <v>5.5178084895753481E-2</v>
      </c>
      <c r="K1037" s="33">
        <f t="shared" si="301"/>
        <v>18.123137145648929</v>
      </c>
      <c r="L1037" s="33">
        <f t="shared" si="302"/>
        <v>0.39121262191089218</v>
      </c>
      <c r="M1037" s="33">
        <f t="shared" si="303"/>
        <v>0.5015687917023991</v>
      </c>
      <c r="N1037" s="8">
        <v>1</v>
      </c>
      <c r="O1037" s="9">
        <v>0</v>
      </c>
      <c r="P1037" s="8">
        <v>1</v>
      </c>
      <c r="Q1037" s="9">
        <v>0</v>
      </c>
      <c r="R1037" s="9">
        <v>0</v>
      </c>
      <c r="S1037" s="9">
        <v>0</v>
      </c>
      <c r="T1037" s="9">
        <v>0</v>
      </c>
      <c r="U1037" s="8">
        <v>281</v>
      </c>
      <c r="V1037" s="9">
        <v>17</v>
      </c>
      <c r="W1037" s="9">
        <f t="shared" si="304"/>
        <v>263</v>
      </c>
      <c r="X1037" s="9">
        <f t="shared" si="305"/>
        <v>36</v>
      </c>
      <c r="Y1037" s="7">
        <v>11.32</v>
      </c>
      <c r="Z1037" s="7">
        <v>16.41</v>
      </c>
      <c r="AA1037" s="9">
        <v>1</v>
      </c>
      <c r="AB1037" s="9">
        <v>0</v>
      </c>
      <c r="AC1037" s="9">
        <v>1</v>
      </c>
      <c r="AD1037" s="9">
        <v>0</v>
      </c>
      <c r="AE1037" s="9">
        <v>0</v>
      </c>
      <c r="AF1037" s="9">
        <v>0</v>
      </c>
      <c r="AG1037" s="8">
        <v>1</v>
      </c>
      <c r="AH1037" s="9">
        <v>0</v>
      </c>
      <c r="AI1037" s="30">
        <v>0</v>
      </c>
      <c r="AJ1037" s="9">
        <v>1</v>
      </c>
      <c r="AK1037" s="30">
        <v>0</v>
      </c>
      <c r="AL1037" s="21">
        <v>2007</v>
      </c>
      <c r="AM1037" s="23">
        <f t="shared" si="306"/>
        <v>7.604396348796338</v>
      </c>
      <c r="AN1037" s="33" t="s">
        <v>104</v>
      </c>
      <c r="AO1037" s="33" t="s">
        <v>104</v>
      </c>
      <c r="AP1037" s="33" t="s">
        <v>104</v>
      </c>
      <c r="AQ1037" s="43" t="s">
        <v>104</v>
      </c>
      <c r="AR1037" s="42">
        <v>1</v>
      </c>
      <c r="AS1037" s="18">
        <v>0</v>
      </c>
      <c r="AT1037">
        <v>0</v>
      </c>
      <c r="AU1037" s="40">
        <v>1</v>
      </c>
      <c r="AV1037">
        <v>56.05</v>
      </c>
      <c r="AW1037" s="40">
        <v>43.05</v>
      </c>
      <c r="AX1037">
        <v>0</v>
      </c>
      <c r="AY1037" s="18">
        <v>1</v>
      </c>
      <c r="AZ1037">
        <v>0</v>
      </c>
      <c r="BA1037" s="18">
        <v>1</v>
      </c>
      <c r="BB1037" s="18" t="s">
        <v>5</v>
      </c>
      <c r="BC1037">
        <v>0</v>
      </c>
      <c r="BD1037">
        <v>1</v>
      </c>
      <c r="BE1037">
        <v>0</v>
      </c>
      <c r="BF1037">
        <v>0</v>
      </c>
      <c r="BG1037">
        <v>0</v>
      </c>
      <c r="BH1037" s="18">
        <v>0</v>
      </c>
      <c r="BI1037">
        <v>0</v>
      </c>
      <c r="BJ1037">
        <v>1</v>
      </c>
      <c r="BK1037" s="18">
        <v>0</v>
      </c>
      <c r="BL1037">
        <v>127.1666666666667</v>
      </c>
      <c r="BM1037">
        <v>27</v>
      </c>
      <c r="BN1037" s="94">
        <f t="shared" si="296"/>
        <v>33.730000000000004</v>
      </c>
      <c r="BO1037">
        <v>1</v>
      </c>
      <c r="BP1037">
        <v>0</v>
      </c>
      <c r="BQ1037">
        <v>0</v>
      </c>
      <c r="BR1037">
        <v>0</v>
      </c>
      <c r="BS1037">
        <v>0</v>
      </c>
      <c r="BT1037">
        <v>0</v>
      </c>
      <c r="BU1037">
        <v>0</v>
      </c>
      <c r="BV1037" s="18">
        <v>0</v>
      </c>
      <c r="BW1037">
        <v>0</v>
      </c>
      <c r="BX1037">
        <v>0</v>
      </c>
      <c r="BY1037">
        <v>1</v>
      </c>
      <c r="BZ1037" s="18">
        <v>0</v>
      </c>
      <c r="CA1037">
        <v>0</v>
      </c>
      <c r="CB1037">
        <v>0</v>
      </c>
      <c r="CC1037">
        <v>0</v>
      </c>
      <c r="CD1037">
        <v>0</v>
      </c>
      <c r="CE1037">
        <v>0</v>
      </c>
      <c r="CF1037" s="18">
        <v>0</v>
      </c>
      <c r="CG1037">
        <v>0</v>
      </c>
      <c r="CH1037">
        <v>0</v>
      </c>
      <c r="CI1037">
        <v>1</v>
      </c>
      <c r="CJ1037">
        <v>1</v>
      </c>
      <c r="CK1037">
        <v>0</v>
      </c>
      <c r="CL1037">
        <v>1</v>
      </c>
      <c r="CM1037">
        <v>1</v>
      </c>
      <c r="CN1037">
        <v>1</v>
      </c>
      <c r="CO1037">
        <v>1</v>
      </c>
      <c r="CP1037">
        <v>1</v>
      </c>
      <c r="CQ1037" s="18">
        <v>0</v>
      </c>
      <c r="CR1037">
        <v>0</v>
      </c>
      <c r="CS1037">
        <v>2</v>
      </c>
      <c r="CT1037">
        <v>0</v>
      </c>
      <c r="CU1037">
        <v>1</v>
      </c>
      <c r="CV1037">
        <v>16</v>
      </c>
      <c r="DB1037" s="34"/>
    </row>
    <row r="1038" spans="1:106" x14ac:dyDescent="0.25">
      <c r="A1038">
        <v>1037</v>
      </c>
      <c r="B1038">
        <v>70</v>
      </c>
      <c r="C1038" s="25" t="s">
        <v>4170</v>
      </c>
      <c r="D1038" s="12">
        <v>14.4</v>
      </c>
      <c r="E1038" s="14">
        <f t="shared" si="295"/>
        <v>4.6346958480849691</v>
      </c>
      <c r="F1038" s="7">
        <v>3.1070000000000002</v>
      </c>
      <c r="G1038" s="7">
        <f t="shared" si="297"/>
        <v>9.7653041519150321</v>
      </c>
      <c r="H1038" s="16">
        <f t="shared" si="298"/>
        <v>19.034695848084969</v>
      </c>
      <c r="I1038" s="11">
        <f t="shared" si="299"/>
        <v>0.16883539636935391</v>
      </c>
      <c r="J1038" s="33">
        <f t="shared" si="300"/>
        <v>5.4340327122418375E-2</v>
      </c>
      <c r="K1038" s="33">
        <f t="shared" si="301"/>
        <v>18.402539199795228</v>
      </c>
      <c r="L1038" s="33">
        <f t="shared" si="302"/>
        <v>0.11449506924693553</v>
      </c>
      <c r="M1038" s="33">
        <f t="shared" si="303"/>
        <v>0.22317572349177228</v>
      </c>
      <c r="N1038" s="8">
        <v>1</v>
      </c>
      <c r="O1038" s="9">
        <v>0</v>
      </c>
      <c r="P1038" s="8">
        <v>1</v>
      </c>
      <c r="Q1038" s="9">
        <v>0</v>
      </c>
      <c r="R1038" s="9">
        <v>0</v>
      </c>
      <c r="S1038" s="9">
        <v>0</v>
      </c>
      <c r="T1038" s="9">
        <v>0</v>
      </c>
      <c r="U1038" s="8">
        <v>347</v>
      </c>
      <c r="V1038" s="9">
        <v>17</v>
      </c>
      <c r="W1038" s="9">
        <f t="shared" si="304"/>
        <v>329</v>
      </c>
      <c r="X1038" s="9">
        <f t="shared" si="305"/>
        <v>36</v>
      </c>
      <c r="Y1038" s="7">
        <v>11.32</v>
      </c>
      <c r="Z1038" s="7">
        <v>16.41</v>
      </c>
      <c r="AA1038" s="9">
        <v>1</v>
      </c>
      <c r="AB1038" s="9">
        <v>0</v>
      </c>
      <c r="AC1038" s="9">
        <v>1</v>
      </c>
      <c r="AD1038" s="9">
        <v>0</v>
      </c>
      <c r="AE1038" s="9">
        <v>0</v>
      </c>
      <c r="AF1038" s="9">
        <v>0</v>
      </c>
      <c r="AG1038" s="8">
        <v>1</v>
      </c>
      <c r="AH1038" s="9">
        <v>0</v>
      </c>
      <c r="AI1038" s="30">
        <v>0</v>
      </c>
      <c r="AJ1038" s="9">
        <v>1</v>
      </c>
      <c r="AK1038" s="30">
        <v>0</v>
      </c>
      <c r="AL1038" s="21">
        <v>2007</v>
      </c>
      <c r="AM1038" s="23">
        <f t="shared" si="306"/>
        <v>7.604396348796338</v>
      </c>
      <c r="AN1038" s="33" t="s">
        <v>104</v>
      </c>
      <c r="AO1038" s="33" t="s">
        <v>104</v>
      </c>
      <c r="AP1038" s="33" t="s">
        <v>104</v>
      </c>
      <c r="AQ1038" s="43" t="s">
        <v>104</v>
      </c>
      <c r="AR1038" s="42">
        <v>1</v>
      </c>
      <c r="AS1038" s="18">
        <v>0</v>
      </c>
      <c r="AT1038">
        <v>1</v>
      </c>
      <c r="AU1038" s="40">
        <v>0</v>
      </c>
      <c r="AV1038">
        <v>56.05</v>
      </c>
      <c r="AW1038" s="40">
        <v>43.05</v>
      </c>
      <c r="AX1038">
        <v>0</v>
      </c>
      <c r="AY1038" s="18">
        <v>1</v>
      </c>
      <c r="AZ1038">
        <v>0</v>
      </c>
      <c r="BA1038" s="18">
        <v>1</v>
      </c>
      <c r="BB1038" s="18" t="s">
        <v>5</v>
      </c>
      <c r="BC1038">
        <v>0</v>
      </c>
      <c r="BD1038">
        <v>1</v>
      </c>
      <c r="BE1038">
        <v>0</v>
      </c>
      <c r="BF1038">
        <v>0</v>
      </c>
      <c r="BG1038">
        <v>0</v>
      </c>
      <c r="BH1038" s="18">
        <v>0</v>
      </c>
      <c r="BI1038">
        <v>0</v>
      </c>
      <c r="BJ1038">
        <v>1</v>
      </c>
      <c r="BK1038" s="18">
        <v>0</v>
      </c>
      <c r="BL1038">
        <v>127.1666666666667</v>
      </c>
      <c r="BM1038">
        <v>27</v>
      </c>
      <c r="BN1038" s="94">
        <f t="shared" si="296"/>
        <v>33.730000000000004</v>
      </c>
      <c r="BO1038">
        <v>0</v>
      </c>
      <c r="BP1038">
        <v>0</v>
      </c>
      <c r="BQ1038">
        <v>0</v>
      </c>
      <c r="BR1038">
        <v>0</v>
      </c>
      <c r="BS1038">
        <v>1</v>
      </c>
      <c r="BT1038">
        <v>0</v>
      </c>
      <c r="BU1038">
        <v>0</v>
      </c>
      <c r="BV1038" s="18">
        <v>0</v>
      </c>
      <c r="BW1038">
        <v>0</v>
      </c>
      <c r="BX1038">
        <v>1</v>
      </c>
      <c r="BY1038">
        <v>0</v>
      </c>
      <c r="BZ1038" s="18">
        <v>0</v>
      </c>
      <c r="CA1038">
        <v>0</v>
      </c>
      <c r="CB1038">
        <v>0</v>
      </c>
      <c r="CC1038">
        <v>0</v>
      </c>
      <c r="CD1038">
        <v>0</v>
      </c>
      <c r="CE1038">
        <v>0</v>
      </c>
      <c r="CF1038" s="18">
        <v>0</v>
      </c>
      <c r="CG1038">
        <v>0</v>
      </c>
      <c r="CH1038">
        <v>0</v>
      </c>
      <c r="CI1038">
        <v>1</v>
      </c>
      <c r="CJ1038">
        <v>1</v>
      </c>
      <c r="CK1038">
        <v>0</v>
      </c>
      <c r="CL1038">
        <v>1</v>
      </c>
      <c r="CM1038">
        <v>1</v>
      </c>
      <c r="CN1038">
        <v>1</v>
      </c>
      <c r="CO1038">
        <v>1</v>
      </c>
      <c r="CP1038">
        <v>1</v>
      </c>
      <c r="CQ1038" s="18">
        <v>0</v>
      </c>
      <c r="CR1038">
        <v>0</v>
      </c>
      <c r="CS1038">
        <v>2</v>
      </c>
      <c r="CT1038">
        <v>0</v>
      </c>
      <c r="CU1038">
        <v>1</v>
      </c>
      <c r="CV1038">
        <v>16</v>
      </c>
      <c r="DB1038" s="34"/>
    </row>
    <row r="1039" spans="1:106" x14ac:dyDescent="0.25">
      <c r="A1039">
        <v>1038</v>
      </c>
      <c r="B1039">
        <v>70</v>
      </c>
      <c r="C1039" s="25" t="s">
        <v>4170</v>
      </c>
      <c r="D1039" s="12">
        <v>24.5</v>
      </c>
      <c r="E1039" s="14">
        <f t="shared" si="295"/>
        <v>3.7251026303785921</v>
      </c>
      <c r="F1039" s="7">
        <v>6.577</v>
      </c>
      <c r="G1039" s="7">
        <f t="shared" si="297"/>
        <v>20.774897369621407</v>
      </c>
      <c r="H1039" s="16">
        <f t="shared" si="298"/>
        <v>28.225102630378593</v>
      </c>
      <c r="I1039" s="11">
        <f t="shared" si="299"/>
        <v>0.37582431988247661</v>
      </c>
      <c r="J1039" s="33">
        <f t="shared" si="300"/>
        <v>5.7142210716508539E-2</v>
      </c>
      <c r="K1039" s="33">
        <f t="shared" si="301"/>
        <v>17.50019797030879</v>
      </c>
      <c r="L1039" s="33">
        <f t="shared" si="302"/>
        <v>0.31868210916596806</v>
      </c>
      <c r="M1039" s="33">
        <f t="shared" si="303"/>
        <v>0.43296653059898516</v>
      </c>
      <c r="N1039" s="8">
        <v>1</v>
      </c>
      <c r="O1039" s="9">
        <v>0</v>
      </c>
      <c r="P1039" s="8">
        <v>1</v>
      </c>
      <c r="Q1039" s="9">
        <v>0</v>
      </c>
      <c r="R1039" s="9">
        <v>0</v>
      </c>
      <c r="S1039" s="9">
        <v>0</v>
      </c>
      <c r="T1039" s="9">
        <v>0</v>
      </c>
      <c r="U1039" s="8">
        <v>281</v>
      </c>
      <c r="V1039" s="9">
        <v>17</v>
      </c>
      <c r="W1039" s="9">
        <f t="shared" si="304"/>
        <v>263</v>
      </c>
      <c r="X1039" s="9">
        <f t="shared" si="305"/>
        <v>36</v>
      </c>
      <c r="Y1039" s="7">
        <v>11.32</v>
      </c>
      <c r="Z1039" s="7">
        <v>16.41</v>
      </c>
      <c r="AA1039" s="9">
        <v>1</v>
      </c>
      <c r="AB1039" s="9">
        <v>0</v>
      </c>
      <c r="AC1039" s="9">
        <v>1</v>
      </c>
      <c r="AD1039" s="9">
        <v>0</v>
      </c>
      <c r="AE1039" s="9">
        <v>0</v>
      </c>
      <c r="AF1039" s="9">
        <v>0</v>
      </c>
      <c r="AG1039" s="8">
        <v>1</v>
      </c>
      <c r="AH1039" s="9">
        <v>0</v>
      </c>
      <c r="AI1039" s="30">
        <v>0</v>
      </c>
      <c r="AJ1039" s="9">
        <v>1</v>
      </c>
      <c r="AK1039" s="30">
        <v>0</v>
      </c>
      <c r="AL1039" s="21">
        <v>2007</v>
      </c>
      <c r="AM1039" s="23">
        <f t="shared" si="306"/>
        <v>7.604396348796338</v>
      </c>
      <c r="AN1039" s="33" t="s">
        <v>104</v>
      </c>
      <c r="AO1039" s="33" t="s">
        <v>104</v>
      </c>
      <c r="AP1039" s="33" t="s">
        <v>104</v>
      </c>
      <c r="AQ1039" s="43" t="s">
        <v>104</v>
      </c>
      <c r="AR1039" s="42">
        <v>1</v>
      </c>
      <c r="AS1039" s="18">
        <v>0</v>
      </c>
      <c r="AT1039">
        <v>0</v>
      </c>
      <c r="AU1039" s="40">
        <v>1</v>
      </c>
      <c r="AV1039">
        <v>56.05</v>
      </c>
      <c r="AW1039" s="40">
        <v>43.05</v>
      </c>
      <c r="AX1039">
        <v>0</v>
      </c>
      <c r="AY1039" s="18">
        <v>1</v>
      </c>
      <c r="AZ1039">
        <v>0</v>
      </c>
      <c r="BA1039" s="18">
        <v>1</v>
      </c>
      <c r="BB1039" s="18" t="s">
        <v>5</v>
      </c>
      <c r="BC1039">
        <v>0</v>
      </c>
      <c r="BD1039">
        <v>1</v>
      </c>
      <c r="BE1039">
        <v>0</v>
      </c>
      <c r="BF1039">
        <v>0</v>
      </c>
      <c r="BG1039">
        <v>0</v>
      </c>
      <c r="BH1039" s="18">
        <v>0</v>
      </c>
      <c r="BI1039">
        <v>0</v>
      </c>
      <c r="BJ1039">
        <v>1</v>
      </c>
      <c r="BK1039" s="18">
        <v>0</v>
      </c>
      <c r="BL1039">
        <v>127.1666666666667</v>
      </c>
      <c r="BM1039">
        <v>27</v>
      </c>
      <c r="BN1039" s="94">
        <f t="shared" si="296"/>
        <v>33.730000000000004</v>
      </c>
      <c r="BO1039">
        <v>0</v>
      </c>
      <c r="BP1039">
        <v>0</v>
      </c>
      <c r="BQ1039">
        <v>0</v>
      </c>
      <c r="BR1039">
        <v>0</v>
      </c>
      <c r="BS1039">
        <v>1</v>
      </c>
      <c r="BT1039">
        <v>0</v>
      </c>
      <c r="BU1039">
        <v>0</v>
      </c>
      <c r="BV1039" s="18">
        <v>0</v>
      </c>
      <c r="BW1039">
        <v>0</v>
      </c>
      <c r="BX1039">
        <v>1</v>
      </c>
      <c r="BY1039">
        <v>0</v>
      </c>
      <c r="BZ1039" s="18">
        <v>0</v>
      </c>
      <c r="CA1039">
        <v>0</v>
      </c>
      <c r="CB1039">
        <v>0</v>
      </c>
      <c r="CC1039">
        <v>0</v>
      </c>
      <c r="CD1039">
        <v>0</v>
      </c>
      <c r="CE1039">
        <v>0</v>
      </c>
      <c r="CF1039" s="18">
        <v>0</v>
      </c>
      <c r="CG1039">
        <v>0</v>
      </c>
      <c r="CH1039">
        <v>0</v>
      </c>
      <c r="CI1039">
        <v>1</v>
      </c>
      <c r="CJ1039">
        <v>1</v>
      </c>
      <c r="CK1039">
        <v>0</v>
      </c>
      <c r="CL1039">
        <v>1</v>
      </c>
      <c r="CM1039">
        <v>1</v>
      </c>
      <c r="CN1039">
        <v>1</v>
      </c>
      <c r="CO1039">
        <v>1</v>
      </c>
      <c r="CP1039">
        <v>1</v>
      </c>
      <c r="CQ1039" s="18">
        <v>0</v>
      </c>
      <c r="CR1039">
        <v>0</v>
      </c>
      <c r="CS1039">
        <v>2</v>
      </c>
      <c r="CT1039">
        <v>0</v>
      </c>
      <c r="CU1039">
        <v>1</v>
      </c>
      <c r="CV1039">
        <v>16</v>
      </c>
      <c r="DB1039" s="34"/>
    </row>
    <row r="1040" spans="1:106" x14ac:dyDescent="0.25">
      <c r="A1040">
        <v>1039</v>
      </c>
      <c r="B1040">
        <v>70</v>
      </c>
      <c r="C1040" s="25" t="s">
        <v>4170</v>
      </c>
      <c r="D1040" s="12">
        <v>20.7</v>
      </c>
      <c r="E1040" s="14">
        <f t="shared" si="295"/>
        <v>7.2478991596638656</v>
      </c>
      <c r="F1040" s="7">
        <v>2.8559999999999999</v>
      </c>
      <c r="G1040" s="7">
        <f t="shared" si="297"/>
        <v>13.452100840336133</v>
      </c>
      <c r="H1040" s="16">
        <f t="shared" si="298"/>
        <v>27.947899159663866</v>
      </c>
      <c r="I1040" s="11">
        <f t="shared" si="299"/>
        <v>0.15554006736179252</v>
      </c>
      <c r="J1040" s="33">
        <f t="shared" si="300"/>
        <v>5.44608078997873E-2</v>
      </c>
      <c r="K1040" s="33">
        <f t="shared" si="301"/>
        <v>18.361828231415302</v>
      </c>
      <c r="L1040" s="33">
        <f t="shared" si="302"/>
        <v>0.10107925946200522</v>
      </c>
      <c r="M1040" s="33">
        <f t="shared" si="303"/>
        <v>0.21000087526157982</v>
      </c>
      <c r="N1040" s="8">
        <v>1</v>
      </c>
      <c r="O1040" s="9">
        <v>0</v>
      </c>
      <c r="P1040" s="8">
        <v>1</v>
      </c>
      <c r="Q1040" s="9">
        <v>0</v>
      </c>
      <c r="R1040" s="9">
        <v>0</v>
      </c>
      <c r="S1040" s="9">
        <v>0</v>
      </c>
      <c r="T1040" s="9">
        <v>0</v>
      </c>
      <c r="U1040" s="8">
        <v>347</v>
      </c>
      <c r="V1040" s="9">
        <v>17</v>
      </c>
      <c r="W1040" s="9">
        <f t="shared" si="304"/>
        <v>329</v>
      </c>
      <c r="X1040" s="9">
        <f t="shared" si="305"/>
        <v>36</v>
      </c>
      <c r="Y1040" s="7">
        <v>11.32</v>
      </c>
      <c r="Z1040" s="7">
        <v>16.41</v>
      </c>
      <c r="AA1040" s="9">
        <v>1</v>
      </c>
      <c r="AB1040" s="9">
        <v>0</v>
      </c>
      <c r="AC1040" s="9">
        <v>1</v>
      </c>
      <c r="AD1040" s="9">
        <v>0</v>
      </c>
      <c r="AE1040" s="9">
        <v>0</v>
      </c>
      <c r="AF1040" s="9">
        <v>0</v>
      </c>
      <c r="AG1040" s="8">
        <v>1</v>
      </c>
      <c r="AH1040" s="9">
        <v>0</v>
      </c>
      <c r="AI1040" s="30">
        <v>0</v>
      </c>
      <c r="AJ1040" s="9">
        <v>1</v>
      </c>
      <c r="AK1040" s="30">
        <v>0</v>
      </c>
      <c r="AL1040" s="21">
        <v>2007</v>
      </c>
      <c r="AM1040" s="23">
        <f t="shared" si="306"/>
        <v>7.604396348796338</v>
      </c>
      <c r="AN1040" s="33" t="s">
        <v>104</v>
      </c>
      <c r="AO1040" s="33" t="s">
        <v>104</v>
      </c>
      <c r="AP1040" s="33" t="s">
        <v>104</v>
      </c>
      <c r="AQ1040" s="43" t="s">
        <v>104</v>
      </c>
      <c r="AR1040" s="42">
        <v>1</v>
      </c>
      <c r="AS1040" s="18">
        <v>0</v>
      </c>
      <c r="AT1040">
        <v>1</v>
      </c>
      <c r="AU1040" s="40">
        <v>0</v>
      </c>
      <c r="AV1040">
        <v>56.05</v>
      </c>
      <c r="AW1040" s="40">
        <v>43.05</v>
      </c>
      <c r="AX1040">
        <v>0</v>
      </c>
      <c r="AY1040" s="18">
        <v>1</v>
      </c>
      <c r="AZ1040">
        <v>0</v>
      </c>
      <c r="BA1040" s="18">
        <v>1</v>
      </c>
      <c r="BB1040" s="18" t="s">
        <v>5</v>
      </c>
      <c r="BC1040">
        <v>0</v>
      </c>
      <c r="BD1040">
        <v>1</v>
      </c>
      <c r="BE1040">
        <v>0</v>
      </c>
      <c r="BF1040">
        <v>0</v>
      </c>
      <c r="BG1040">
        <v>0</v>
      </c>
      <c r="BH1040" s="18">
        <v>0</v>
      </c>
      <c r="BI1040">
        <v>0</v>
      </c>
      <c r="BJ1040">
        <v>1</v>
      </c>
      <c r="BK1040" s="18">
        <v>0</v>
      </c>
      <c r="BL1040">
        <v>127.1666666666667</v>
      </c>
      <c r="BM1040">
        <v>27</v>
      </c>
      <c r="BN1040" s="94">
        <f t="shared" si="296"/>
        <v>33.730000000000004</v>
      </c>
      <c r="BO1040">
        <v>0</v>
      </c>
      <c r="BP1040">
        <v>0</v>
      </c>
      <c r="BQ1040">
        <v>0</v>
      </c>
      <c r="BR1040">
        <v>0</v>
      </c>
      <c r="BS1040">
        <v>1</v>
      </c>
      <c r="BT1040">
        <v>0</v>
      </c>
      <c r="BU1040">
        <v>0</v>
      </c>
      <c r="BV1040" s="18">
        <v>0</v>
      </c>
      <c r="BW1040">
        <v>0</v>
      </c>
      <c r="BX1040">
        <v>1</v>
      </c>
      <c r="BY1040">
        <v>0</v>
      </c>
      <c r="BZ1040" s="18">
        <v>0</v>
      </c>
      <c r="CA1040">
        <v>0</v>
      </c>
      <c r="CB1040">
        <v>0</v>
      </c>
      <c r="CC1040">
        <v>0</v>
      </c>
      <c r="CD1040">
        <v>0</v>
      </c>
      <c r="CE1040">
        <v>0</v>
      </c>
      <c r="CF1040" s="18">
        <v>0</v>
      </c>
      <c r="CG1040">
        <v>0</v>
      </c>
      <c r="CH1040">
        <v>0</v>
      </c>
      <c r="CI1040">
        <v>1</v>
      </c>
      <c r="CJ1040">
        <v>1</v>
      </c>
      <c r="CK1040">
        <v>0</v>
      </c>
      <c r="CL1040">
        <v>1</v>
      </c>
      <c r="CM1040">
        <v>1</v>
      </c>
      <c r="CN1040">
        <v>1</v>
      </c>
      <c r="CO1040">
        <v>1</v>
      </c>
      <c r="CP1040">
        <v>1</v>
      </c>
      <c r="CQ1040" s="18">
        <v>0</v>
      </c>
      <c r="CR1040">
        <v>0</v>
      </c>
      <c r="CS1040">
        <v>2</v>
      </c>
      <c r="CT1040">
        <v>0</v>
      </c>
      <c r="CU1040">
        <v>1</v>
      </c>
      <c r="CV1040">
        <v>16</v>
      </c>
      <c r="DB1040" s="34"/>
    </row>
    <row r="1041" spans="1:106" x14ac:dyDescent="0.25">
      <c r="A1041">
        <v>1040</v>
      </c>
      <c r="B1041">
        <v>70</v>
      </c>
      <c r="C1041" s="25" t="s">
        <v>4170</v>
      </c>
      <c r="D1041" s="12">
        <v>28</v>
      </c>
      <c r="E1041" s="14">
        <f t="shared" si="295"/>
        <v>3.1069684864624945</v>
      </c>
      <c r="F1041" s="7">
        <v>9.0120000000000005</v>
      </c>
      <c r="G1041" s="7">
        <f t="shared" si="297"/>
        <v>24.893031513537505</v>
      </c>
      <c r="H1041" s="16">
        <f t="shared" si="298"/>
        <v>31.106968486462495</v>
      </c>
      <c r="I1041" s="11">
        <f t="shared" si="299"/>
        <v>0.48574189798787487</v>
      </c>
      <c r="J1041" s="33">
        <f t="shared" si="300"/>
        <v>5.3899456057243104E-2</v>
      </c>
      <c r="K1041" s="33">
        <f t="shared" si="301"/>
        <v>18.553062927721665</v>
      </c>
      <c r="L1041" s="33">
        <f t="shared" si="302"/>
        <v>0.43184244193063176</v>
      </c>
      <c r="M1041" s="33">
        <f t="shared" si="303"/>
        <v>0.53964135404511793</v>
      </c>
      <c r="N1041" s="8">
        <v>1</v>
      </c>
      <c r="O1041" s="9">
        <v>0</v>
      </c>
      <c r="P1041" s="8">
        <v>1</v>
      </c>
      <c r="Q1041" s="9">
        <v>0</v>
      </c>
      <c r="R1041" s="9">
        <v>0</v>
      </c>
      <c r="S1041" s="9">
        <v>0</v>
      </c>
      <c r="T1041" s="9">
        <v>0</v>
      </c>
      <c r="U1041" s="8">
        <v>281</v>
      </c>
      <c r="V1041" s="9">
        <v>17</v>
      </c>
      <c r="W1041" s="9">
        <f t="shared" si="304"/>
        <v>263</v>
      </c>
      <c r="X1041" s="9">
        <f t="shared" si="305"/>
        <v>36</v>
      </c>
      <c r="Y1041" s="7">
        <v>11.32</v>
      </c>
      <c r="Z1041" s="7">
        <v>16.41</v>
      </c>
      <c r="AA1041" s="9">
        <v>1</v>
      </c>
      <c r="AB1041" s="9">
        <v>0</v>
      </c>
      <c r="AC1041" s="9">
        <v>1</v>
      </c>
      <c r="AD1041" s="9">
        <v>0</v>
      </c>
      <c r="AE1041" s="9">
        <v>0</v>
      </c>
      <c r="AF1041" s="9">
        <v>0</v>
      </c>
      <c r="AG1041" s="8">
        <v>1</v>
      </c>
      <c r="AH1041" s="9">
        <v>0</v>
      </c>
      <c r="AI1041" s="30">
        <v>0</v>
      </c>
      <c r="AJ1041" s="9">
        <v>1</v>
      </c>
      <c r="AK1041" s="30">
        <v>0</v>
      </c>
      <c r="AL1041" s="21">
        <v>2007</v>
      </c>
      <c r="AM1041" s="23">
        <f t="shared" si="306"/>
        <v>7.604396348796338</v>
      </c>
      <c r="AN1041" s="33" t="s">
        <v>104</v>
      </c>
      <c r="AO1041" s="33" t="s">
        <v>104</v>
      </c>
      <c r="AP1041" s="33" t="s">
        <v>104</v>
      </c>
      <c r="AQ1041" s="43" t="s">
        <v>104</v>
      </c>
      <c r="AR1041" s="42">
        <v>1</v>
      </c>
      <c r="AS1041" s="18">
        <v>0</v>
      </c>
      <c r="AT1041">
        <v>0</v>
      </c>
      <c r="AU1041" s="40">
        <v>1</v>
      </c>
      <c r="AV1041">
        <v>56.05</v>
      </c>
      <c r="AW1041" s="40">
        <v>43.05</v>
      </c>
      <c r="AX1041">
        <v>0</v>
      </c>
      <c r="AY1041" s="18">
        <v>1</v>
      </c>
      <c r="AZ1041">
        <v>0</v>
      </c>
      <c r="BA1041" s="18">
        <v>1</v>
      </c>
      <c r="BB1041" s="18" t="s">
        <v>5</v>
      </c>
      <c r="BC1041">
        <v>0</v>
      </c>
      <c r="BD1041">
        <v>1</v>
      </c>
      <c r="BE1041">
        <v>0</v>
      </c>
      <c r="BF1041">
        <v>0</v>
      </c>
      <c r="BG1041">
        <v>0</v>
      </c>
      <c r="BH1041" s="18">
        <v>0</v>
      </c>
      <c r="BI1041">
        <v>0</v>
      </c>
      <c r="BJ1041">
        <v>1</v>
      </c>
      <c r="BK1041" s="18">
        <v>0</v>
      </c>
      <c r="BL1041">
        <v>127.1666666666667</v>
      </c>
      <c r="BM1041">
        <v>27</v>
      </c>
      <c r="BN1041" s="94">
        <f t="shared" si="296"/>
        <v>33.730000000000004</v>
      </c>
      <c r="BO1041">
        <v>0</v>
      </c>
      <c r="BP1041">
        <v>0</v>
      </c>
      <c r="BQ1041">
        <v>0</v>
      </c>
      <c r="BR1041">
        <v>0</v>
      </c>
      <c r="BS1041">
        <v>1</v>
      </c>
      <c r="BT1041">
        <v>0</v>
      </c>
      <c r="BU1041">
        <v>0</v>
      </c>
      <c r="BV1041" s="18">
        <v>0</v>
      </c>
      <c r="BW1041">
        <v>0</v>
      </c>
      <c r="BX1041">
        <v>1</v>
      </c>
      <c r="BY1041">
        <v>0</v>
      </c>
      <c r="BZ1041" s="18">
        <v>0</v>
      </c>
      <c r="CA1041">
        <v>0</v>
      </c>
      <c r="CB1041">
        <v>0</v>
      </c>
      <c r="CC1041">
        <v>0</v>
      </c>
      <c r="CD1041">
        <v>0</v>
      </c>
      <c r="CE1041">
        <v>0</v>
      </c>
      <c r="CF1041" s="18">
        <v>0</v>
      </c>
      <c r="CG1041">
        <v>0</v>
      </c>
      <c r="CH1041">
        <v>0</v>
      </c>
      <c r="CI1041">
        <v>1</v>
      </c>
      <c r="CJ1041">
        <v>1</v>
      </c>
      <c r="CK1041">
        <v>0</v>
      </c>
      <c r="CL1041">
        <v>1</v>
      </c>
      <c r="CM1041">
        <v>1</v>
      </c>
      <c r="CN1041">
        <v>1</v>
      </c>
      <c r="CO1041">
        <v>1</v>
      </c>
      <c r="CP1041">
        <v>1</v>
      </c>
      <c r="CQ1041" s="18">
        <v>0</v>
      </c>
      <c r="CR1041">
        <v>0</v>
      </c>
      <c r="CS1041">
        <v>2</v>
      </c>
      <c r="CT1041">
        <v>0</v>
      </c>
      <c r="CU1041">
        <v>1</v>
      </c>
      <c r="CV1041">
        <v>16</v>
      </c>
      <c r="DB1041" s="34"/>
    </row>
    <row r="1042" spans="1:106" x14ac:dyDescent="0.25">
      <c r="A1042">
        <v>1041</v>
      </c>
      <c r="B1042">
        <v>70</v>
      </c>
      <c r="C1042" s="25" t="s">
        <v>4170</v>
      </c>
      <c r="D1042" s="12">
        <v>6.61</v>
      </c>
      <c r="E1042" s="14">
        <f t="shared" si="295"/>
        <v>1.1598526057203018</v>
      </c>
      <c r="F1042" s="7">
        <v>5.6989999999999998</v>
      </c>
      <c r="G1042" s="7">
        <f t="shared" si="297"/>
        <v>5.4501473942796981</v>
      </c>
      <c r="H1042" s="16">
        <f t="shared" si="298"/>
        <v>7.7698526057203026</v>
      </c>
      <c r="I1042" s="11">
        <f t="shared" si="299"/>
        <v>0.30016421311951225</v>
      </c>
      <c r="J1042" s="33">
        <f t="shared" si="300"/>
        <v>5.2669628552292021E-2</v>
      </c>
      <c r="K1042" s="33">
        <f t="shared" si="301"/>
        <v>18.986274015719882</v>
      </c>
      <c r="L1042" s="33">
        <f t="shared" si="302"/>
        <v>0.24749458456722023</v>
      </c>
      <c r="M1042" s="33">
        <f t="shared" si="303"/>
        <v>0.35283384167180426</v>
      </c>
      <c r="N1042" s="8">
        <v>1</v>
      </c>
      <c r="O1042" s="9">
        <v>0</v>
      </c>
      <c r="P1042" s="8">
        <v>1</v>
      </c>
      <c r="Q1042" s="9">
        <v>0</v>
      </c>
      <c r="R1042" s="9">
        <v>0</v>
      </c>
      <c r="S1042" s="9">
        <v>0</v>
      </c>
      <c r="T1042" s="9">
        <v>0</v>
      </c>
      <c r="U1042" s="8">
        <v>347</v>
      </c>
      <c r="V1042" s="9">
        <v>18</v>
      </c>
      <c r="W1042" s="9">
        <f t="shared" si="304"/>
        <v>328</v>
      </c>
      <c r="X1042" s="9">
        <f t="shared" si="305"/>
        <v>36</v>
      </c>
      <c r="Y1042" s="7">
        <v>11.32</v>
      </c>
      <c r="Z1042" s="7">
        <v>16.41</v>
      </c>
      <c r="AA1042" s="9">
        <v>1</v>
      </c>
      <c r="AB1042" s="9">
        <v>0</v>
      </c>
      <c r="AC1042" s="9">
        <v>1</v>
      </c>
      <c r="AD1042" s="9">
        <v>0</v>
      </c>
      <c r="AE1042" s="9">
        <v>0</v>
      </c>
      <c r="AF1042" s="9">
        <v>0</v>
      </c>
      <c r="AG1042" s="8">
        <v>1</v>
      </c>
      <c r="AH1042" s="9">
        <v>0</v>
      </c>
      <c r="AI1042" s="30">
        <v>0</v>
      </c>
      <c r="AJ1042" s="9">
        <v>1</v>
      </c>
      <c r="AK1042" s="30">
        <v>0</v>
      </c>
      <c r="AL1042" s="21">
        <v>2007</v>
      </c>
      <c r="AM1042" s="23">
        <f t="shared" si="306"/>
        <v>7.604396348796338</v>
      </c>
      <c r="AN1042" s="33" t="s">
        <v>104</v>
      </c>
      <c r="AO1042" s="33" t="s">
        <v>104</v>
      </c>
      <c r="AP1042" s="33" t="s">
        <v>104</v>
      </c>
      <c r="AQ1042" s="43" t="s">
        <v>104</v>
      </c>
      <c r="AR1042" s="42">
        <v>1</v>
      </c>
      <c r="AS1042" s="18">
        <v>0</v>
      </c>
      <c r="AT1042">
        <v>1</v>
      </c>
      <c r="AU1042" s="40">
        <v>0</v>
      </c>
      <c r="AV1042">
        <v>56.05</v>
      </c>
      <c r="AW1042" s="40">
        <v>43.05</v>
      </c>
      <c r="AX1042">
        <v>0</v>
      </c>
      <c r="AY1042" s="18">
        <v>1</v>
      </c>
      <c r="AZ1042">
        <v>0</v>
      </c>
      <c r="BA1042" s="18">
        <v>1</v>
      </c>
      <c r="BB1042" s="18" t="s">
        <v>5</v>
      </c>
      <c r="BC1042">
        <v>0</v>
      </c>
      <c r="BD1042">
        <v>1</v>
      </c>
      <c r="BE1042">
        <v>0</v>
      </c>
      <c r="BF1042">
        <v>0</v>
      </c>
      <c r="BG1042">
        <v>0</v>
      </c>
      <c r="BH1042" s="18">
        <v>0</v>
      </c>
      <c r="BI1042">
        <v>0</v>
      </c>
      <c r="BJ1042">
        <v>1</v>
      </c>
      <c r="BK1042" s="18">
        <v>0</v>
      </c>
      <c r="BL1042">
        <v>127.1666666666667</v>
      </c>
      <c r="BM1042">
        <v>27</v>
      </c>
      <c r="BN1042" s="94">
        <f t="shared" si="296"/>
        <v>33.730000000000004</v>
      </c>
      <c r="BO1042">
        <v>1</v>
      </c>
      <c r="BP1042">
        <v>0</v>
      </c>
      <c r="BQ1042">
        <v>0</v>
      </c>
      <c r="BR1042">
        <v>0</v>
      </c>
      <c r="BS1042">
        <v>0</v>
      </c>
      <c r="BT1042">
        <v>0</v>
      </c>
      <c r="BU1042">
        <v>0</v>
      </c>
      <c r="BV1042" s="18">
        <v>0</v>
      </c>
      <c r="BW1042">
        <v>0</v>
      </c>
      <c r="BX1042">
        <v>0</v>
      </c>
      <c r="BY1042">
        <v>1</v>
      </c>
      <c r="BZ1042" s="18">
        <v>0</v>
      </c>
      <c r="CA1042">
        <v>0</v>
      </c>
      <c r="CB1042">
        <v>0</v>
      </c>
      <c r="CC1042">
        <v>0</v>
      </c>
      <c r="CD1042">
        <v>0</v>
      </c>
      <c r="CE1042">
        <v>0</v>
      </c>
      <c r="CF1042" s="18">
        <v>0</v>
      </c>
      <c r="CG1042">
        <v>0</v>
      </c>
      <c r="CH1042">
        <v>0</v>
      </c>
      <c r="CI1042">
        <v>1</v>
      </c>
      <c r="CJ1042">
        <v>1</v>
      </c>
      <c r="CK1042">
        <v>0</v>
      </c>
      <c r="CL1042">
        <v>1</v>
      </c>
      <c r="CM1042">
        <v>1</v>
      </c>
      <c r="CN1042">
        <v>1</v>
      </c>
      <c r="CO1042">
        <v>1</v>
      </c>
      <c r="CP1042">
        <v>1</v>
      </c>
      <c r="CQ1042" s="18">
        <v>0</v>
      </c>
      <c r="CR1042">
        <v>0</v>
      </c>
      <c r="CS1042">
        <v>2</v>
      </c>
      <c r="CT1042">
        <v>0</v>
      </c>
      <c r="CU1042">
        <v>1</v>
      </c>
      <c r="CV1042">
        <v>16</v>
      </c>
      <c r="DB1042" s="34"/>
    </row>
    <row r="1043" spans="1:106" x14ac:dyDescent="0.25">
      <c r="A1043">
        <v>1042</v>
      </c>
      <c r="B1043">
        <v>70</v>
      </c>
      <c r="C1043" s="25" t="s">
        <v>4170</v>
      </c>
      <c r="D1043" s="12">
        <v>8.76</v>
      </c>
      <c r="E1043" s="14">
        <f t="shared" si="295"/>
        <v>1.1546065638592329</v>
      </c>
      <c r="F1043" s="7">
        <v>7.5869999999999997</v>
      </c>
      <c r="G1043" s="7">
        <f t="shared" si="297"/>
        <v>7.6053934361407673</v>
      </c>
      <c r="H1043" s="16">
        <f t="shared" si="298"/>
        <v>9.9146065638592322</v>
      </c>
      <c r="I1043" s="11">
        <f t="shared" si="299"/>
        <v>0.42441637545805455</v>
      </c>
      <c r="J1043" s="33">
        <f t="shared" si="300"/>
        <v>5.5939946679590687E-2</v>
      </c>
      <c r="K1043" s="33">
        <f t="shared" si="301"/>
        <v>17.876313070653019</v>
      </c>
      <c r="L1043" s="33">
        <f t="shared" si="302"/>
        <v>0.36847642877846387</v>
      </c>
      <c r="M1043" s="33">
        <f t="shared" si="303"/>
        <v>0.48035632213764523</v>
      </c>
      <c r="N1043" s="8">
        <v>1</v>
      </c>
      <c r="O1043" s="9">
        <v>0</v>
      </c>
      <c r="P1043" s="8">
        <v>1</v>
      </c>
      <c r="Q1043" s="9">
        <v>0</v>
      </c>
      <c r="R1043" s="9">
        <v>0</v>
      </c>
      <c r="S1043" s="9">
        <v>0</v>
      </c>
      <c r="T1043" s="9">
        <v>0</v>
      </c>
      <c r="U1043" s="8">
        <v>281</v>
      </c>
      <c r="V1043" s="9">
        <v>18</v>
      </c>
      <c r="W1043" s="9">
        <f t="shared" si="304"/>
        <v>262</v>
      </c>
      <c r="X1043" s="9">
        <f t="shared" si="305"/>
        <v>36</v>
      </c>
      <c r="Y1043" s="7">
        <v>11.32</v>
      </c>
      <c r="Z1043" s="7">
        <v>16.41</v>
      </c>
      <c r="AA1043" s="9">
        <v>1</v>
      </c>
      <c r="AB1043" s="9">
        <v>0</v>
      </c>
      <c r="AC1043" s="9">
        <v>1</v>
      </c>
      <c r="AD1043" s="9">
        <v>0</v>
      </c>
      <c r="AE1043" s="9">
        <v>0</v>
      </c>
      <c r="AF1043" s="9">
        <v>0</v>
      </c>
      <c r="AG1043" s="8">
        <v>1</v>
      </c>
      <c r="AH1043" s="9">
        <v>0</v>
      </c>
      <c r="AI1043" s="30">
        <v>0</v>
      </c>
      <c r="AJ1043" s="9">
        <v>1</v>
      </c>
      <c r="AK1043" s="30">
        <v>0</v>
      </c>
      <c r="AL1043" s="21">
        <v>2007</v>
      </c>
      <c r="AM1043" s="23">
        <f t="shared" si="306"/>
        <v>7.604396348796338</v>
      </c>
      <c r="AN1043" s="33" t="s">
        <v>104</v>
      </c>
      <c r="AO1043" s="33" t="s">
        <v>104</v>
      </c>
      <c r="AP1043" s="33" t="s">
        <v>104</v>
      </c>
      <c r="AQ1043" s="43" t="s">
        <v>104</v>
      </c>
      <c r="AR1043" s="42">
        <v>1</v>
      </c>
      <c r="AS1043" s="18">
        <v>0</v>
      </c>
      <c r="AT1043">
        <v>0</v>
      </c>
      <c r="AU1043" s="40">
        <v>1</v>
      </c>
      <c r="AV1043">
        <v>56.05</v>
      </c>
      <c r="AW1043" s="40">
        <v>43.05</v>
      </c>
      <c r="AX1043">
        <v>0</v>
      </c>
      <c r="AY1043" s="18">
        <v>1</v>
      </c>
      <c r="AZ1043">
        <v>0</v>
      </c>
      <c r="BA1043" s="18">
        <v>1</v>
      </c>
      <c r="BB1043" s="18" t="s">
        <v>5</v>
      </c>
      <c r="BC1043">
        <v>0</v>
      </c>
      <c r="BD1043">
        <v>1</v>
      </c>
      <c r="BE1043">
        <v>0</v>
      </c>
      <c r="BF1043">
        <v>0</v>
      </c>
      <c r="BG1043">
        <v>0</v>
      </c>
      <c r="BH1043" s="18">
        <v>0</v>
      </c>
      <c r="BI1043">
        <v>0</v>
      </c>
      <c r="BJ1043">
        <v>1</v>
      </c>
      <c r="BK1043" s="18">
        <v>0</v>
      </c>
      <c r="BL1043">
        <v>127.1666666666667</v>
      </c>
      <c r="BM1043">
        <v>27</v>
      </c>
      <c r="BN1043" s="94">
        <f t="shared" si="296"/>
        <v>33.730000000000004</v>
      </c>
      <c r="BO1043">
        <v>1</v>
      </c>
      <c r="BP1043">
        <v>0</v>
      </c>
      <c r="BQ1043">
        <v>0</v>
      </c>
      <c r="BR1043">
        <v>0</v>
      </c>
      <c r="BS1043">
        <v>0</v>
      </c>
      <c r="BT1043">
        <v>0</v>
      </c>
      <c r="BU1043">
        <v>0</v>
      </c>
      <c r="BV1043" s="18">
        <v>0</v>
      </c>
      <c r="BW1043">
        <v>0</v>
      </c>
      <c r="BX1043">
        <v>0</v>
      </c>
      <c r="BY1043">
        <v>1</v>
      </c>
      <c r="BZ1043" s="18">
        <v>0</v>
      </c>
      <c r="CA1043">
        <v>0</v>
      </c>
      <c r="CB1043">
        <v>0</v>
      </c>
      <c r="CC1043">
        <v>0</v>
      </c>
      <c r="CD1043">
        <v>0</v>
      </c>
      <c r="CE1043">
        <v>0</v>
      </c>
      <c r="CF1043" s="18">
        <v>0</v>
      </c>
      <c r="CG1043">
        <v>0</v>
      </c>
      <c r="CH1043">
        <v>0</v>
      </c>
      <c r="CI1043">
        <v>1</v>
      </c>
      <c r="CJ1043">
        <v>1</v>
      </c>
      <c r="CK1043">
        <v>0</v>
      </c>
      <c r="CL1043">
        <v>1</v>
      </c>
      <c r="CM1043">
        <v>1</v>
      </c>
      <c r="CN1043">
        <v>1</v>
      </c>
      <c r="CO1043">
        <v>1</v>
      </c>
      <c r="CP1043">
        <v>1</v>
      </c>
      <c r="CQ1043" s="18">
        <v>0</v>
      </c>
      <c r="CR1043">
        <v>0</v>
      </c>
      <c r="CS1043">
        <v>2</v>
      </c>
      <c r="CT1043">
        <v>0</v>
      </c>
      <c r="CU1043">
        <v>1</v>
      </c>
      <c r="CV1043">
        <v>16</v>
      </c>
      <c r="DB1043" s="34"/>
    </row>
    <row r="1044" spans="1:106" x14ac:dyDescent="0.25">
      <c r="A1044">
        <v>1043</v>
      </c>
      <c r="B1044">
        <v>70</v>
      </c>
      <c r="C1044" s="25" t="s">
        <v>4170</v>
      </c>
      <c r="D1044" s="12">
        <v>17.899999999999999</v>
      </c>
      <c r="E1044" s="14">
        <f t="shared" si="295"/>
        <v>3.9306104523495824</v>
      </c>
      <c r="F1044" s="7">
        <v>4.5540000000000003</v>
      </c>
      <c r="G1044" s="7">
        <f t="shared" si="297"/>
        <v>13.969389547650415</v>
      </c>
      <c r="H1044" s="16">
        <f t="shared" si="298"/>
        <v>21.830610452349582</v>
      </c>
      <c r="I1044" s="11">
        <f t="shared" si="299"/>
        <v>0.24386126349454249</v>
      </c>
      <c r="J1044" s="33">
        <f t="shared" si="300"/>
        <v>5.3548806213118687E-2</v>
      </c>
      <c r="K1044" s="33">
        <f t="shared" si="301"/>
        <v>18.674552631857075</v>
      </c>
      <c r="L1044" s="33">
        <f t="shared" si="302"/>
        <v>0.19031245728142379</v>
      </c>
      <c r="M1044" s="33">
        <f t="shared" si="303"/>
        <v>0.29741006970766115</v>
      </c>
      <c r="N1044" s="8">
        <v>1</v>
      </c>
      <c r="O1044" s="9">
        <v>0</v>
      </c>
      <c r="P1044" s="8">
        <v>1</v>
      </c>
      <c r="Q1044" s="9">
        <v>0</v>
      </c>
      <c r="R1044" s="9">
        <v>0</v>
      </c>
      <c r="S1044" s="9">
        <v>0</v>
      </c>
      <c r="T1044" s="9">
        <v>0</v>
      </c>
      <c r="U1044" s="8">
        <v>347</v>
      </c>
      <c r="V1044" s="9">
        <v>18</v>
      </c>
      <c r="W1044" s="9">
        <f t="shared" si="304"/>
        <v>328</v>
      </c>
      <c r="X1044" s="9">
        <f t="shared" si="305"/>
        <v>36</v>
      </c>
      <c r="Y1044" s="7">
        <v>11.32</v>
      </c>
      <c r="Z1044" s="7">
        <v>16.41</v>
      </c>
      <c r="AA1044" s="9">
        <v>1</v>
      </c>
      <c r="AB1044" s="9">
        <v>0</v>
      </c>
      <c r="AC1044" s="9">
        <v>1</v>
      </c>
      <c r="AD1044" s="9">
        <v>0</v>
      </c>
      <c r="AE1044" s="9">
        <v>0</v>
      </c>
      <c r="AF1044" s="9">
        <v>0</v>
      </c>
      <c r="AG1044" s="8">
        <v>1</v>
      </c>
      <c r="AH1044" s="9">
        <v>0</v>
      </c>
      <c r="AI1044" s="30">
        <v>0</v>
      </c>
      <c r="AJ1044" s="9">
        <v>1</v>
      </c>
      <c r="AK1044" s="30">
        <v>0</v>
      </c>
      <c r="AL1044" s="21">
        <v>2007</v>
      </c>
      <c r="AM1044" s="23">
        <f t="shared" si="306"/>
        <v>7.604396348796338</v>
      </c>
      <c r="AN1044" s="33" t="s">
        <v>104</v>
      </c>
      <c r="AO1044" s="33" t="s">
        <v>104</v>
      </c>
      <c r="AP1044" s="33" t="s">
        <v>104</v>
      </c>
      <c r="AQ1044" s="43" t="s">
        <v>104</v>
      </c>
      <c r="AR1044" s="42">
        <v>1</v>
      </c>
      <c r="AS1044" s="18">
        <v>0</v>
      </c>
      <c r="AT1044">
        <v>1</v>
      </c>
      <c r="AU1044" s="40">
        <v>0</v>
      </c>
      <c r="AV1044">
        <v>56.05</v>
      </c>
      <c r="AW1044" s="40">
        <v>43.05</v>
      </c>
      <c r="AX1044">
        <v>0</v>
      </c>
      <c r="AY1044" s="18">
        <v>1</v>
      </c>
      <c r="AZ1044">
        <v>0</v>
      </c>
      <c r="BA1044" s="18">
        <v>1</v>
      </c>
      <c r="BB1044" s="18" t="s">
        <v>5</v>
      </c>
      <c r="BC1044">
        <v>0</v>
      </c>
      <c r="BD1044">
        <v>1</v>
      </c>
      <c r="BE1044">
        <v>0</v>
      </c>
      <c r="BF1044">
        <v>0</v>
      </c>
      <c r="BG1044">
        <v>0</v>
      </c>
      <c r="BH1044" s="18">
        <v>0</v>
      </c>
      <c r="BI1044">
        <v>0</v>
      </c>
      <c r="BJ1044">
        <v>1</v>
      </c>
      <c r="BK1044" s="18">
        <v>0</v>
      </c>
      <c r="BL1044">
        <v>127.1666666666667</v>
      </c>
      <c r="BM1044">
        <v>27</v>
      </c>
      <c r="BN1044" s="94">
        <f t="shared" si="296"/>
        <v>33.730000000000004</v>
      </c>
      <c r="BO1044">
        <v>0</v>
      </c>
      <c r="BP1044">
        <v>0</v>
      </c>
      <c r="BQ1044">
        <v>0</v>
      </c>
      <c r="BR1044">
        <v>0</v>
      </c>
      <c r="BS1044">
        <v>1</v>
      </c>
      <c r="BT1044">
        <v>0</v>
      </c>
      <c r="BU1044">
        <v>0</v>
      </c>
      <c r="BV1044" s="18">
        <v>0</v>
      </c>
      <c r="BW1044">
        <v>0</v>
      </c>
      <c r="BX1044">
        <v>1</v>
      </c>
      <c r="BY1044">
        <v>0</v>
      </c>
      <c r="BZ1044" s="18">
        <v>0</v>
      </c>
      <c r="CA1044">
        <v>0</v>
      </c>
      <c r="CB1044">
        <v>0</v>
      </c>
      <c r="CC1044">
        <v>0</v>
      </c>
      <c r="CD1044">
        <v>0</v>
      </c>
      <c r="CE1044">
        <v>0</v>
      </c>
      <c r="CF1044" s="18">
        <v>0</v>
      </c>
      <c r="CG1044">
        <v>0</v>
      </c>
      <c r="CH1044">
        <v>0</v>
      </c>
      <c r="CI1044">
        <v>1</v>
      </c>
      <c r="CJ1044">
        <v>1</v>
      </c>
      <c r="CK1044">
        <v>0</v>
      </c>
      <c r="CL1044">
        <v>1</v>
      </c>
      <c r="CM1044">
        <v>1</v>
      </c>
      <c r="CN1044">
        <v>1</v>
      </c>
      <c r="CO1044">
        <v>1</v>
      </c>
      <c r="CP1044">
        <v>1</v>
      </c>
      <c r="CQ1044" s="18">
        <v>0</v>
      </c>
      <c r="CR1044">
        <v>0</v>
      </c>
      <c r="CS1044">
        <v>2</v>
      </c>
      <c r="CT1044">
        <v>0</v>
      </c>
      <c r="CU1044">
        <v>1</v>
      </c>
      <c r="CV1044">
        <v>16</v>
      </c>
      <c r="DB1044" s="34"/>
    </row>
    <row r="1045" spans="1:106" x14ac:dyDescent="0.25">
      <c r="A1045">
        <v>1044</v>
      </c>
      <c r="B1045">
        <v>70</v>
      </c>
      <c r="C1045" s="25" t="s">
        <v>4170</v>
      </c>
      <c r="D1045" s="12">
        <v>20.8</v>
      </c>
      <c r="E1045" s="14">
        <f t="shared" si="295"/>
        <v>3.3317315393240428</v>
      </c>
      <c r="F1045" s="7">
        <v>6.2430000000000003</v>
      </c>
      <c r="G1045" s="7">
        <f t="shared" si="297"/>
        <v>17.468268460675958</v>
      </c>
      <c r="H1045" s="16">
        <f t="shared" si="298"/>
        <v>24.131731539324043</v>
      </c>
      <c r="I1045" s="11">
        <f t="shared" si="299"/>
        <v>0.35985545295462251</v>
      </c>
      <c r="J1045" s="33">
        <f t="shared" si="300"/>
        <v>5.7641430875319949E-2</v>
      </c>
      <c r="K1045" s="33">
        <f t="shared" si="301"/>
        <v>17.348632482129535</v>
      </c>
      <c r="L1045" s="33">
        <f t="shared" si="302"/>
        <v>0.30221402207930259</v>
      </c>
      <c r="M1045" s="33">
        <f t="shared" si="303"/>
        <v>0.41749688382994243</v>
      </c>
      <c r="N1045" s="8">
        <v>1</v>
      </c>
      <c r="O1045" s="9">
        <v>0</v>
      </c>
      <c r="P1045" s="8">
        <v>1</v>
      </c>
      <c r="Q1045" s="9">
        <v>0</v>
      </c>
      <c r="R1045" s="9">
        <v>0</v>
      </c>
      <c r="S1045" s="9">
        <v>0</v>
      </c>
      <c r="T1045" s="9">
        <v>0</v>
      </c>
      <c r="U1045" s="8">
        <v>281</v>
      </c>
      <c r="V1045" s="9">
        <v>18</v>
      </c>
      <c r="W1045" s="9">
        <f t="shared" si="304"/>
        <v>262</v>
      </c>
      <c r="X1045" s="9">
        <f t="shared" si="305"/>
        <v>36</v>
      </c>
      <c r="Y1045" s="7">
        <v>11.32</v>
      </c>
      <c r="Z1045" s="7">
        <v>16.41</v>
      </c>
      <c r="AA1045" s="9">
        <v>1</v>
      </c>
      <c r="AB1045" s="9">
        <v>0</v>
      </c>
      <c r="AC1045" s="9">
        <v>1</v>
      </c>
      <c r="AD1045" s="9">
        <v>0</v>
      </c>
      <c r="AE1045" s="9">
        <v>0</v>
      </c>
      <c r="AF1045" s="9">
        <v>0</v>
      </c>
      <c r="AG1045" s="8">
        <v>1</v>
      </c>
      <c r="AH1045" s="9">
        <v>0</v>
      </c>
      <c r="AI1045" s="30">
        <v>0</v>
      </c>
      <c r="AJ1045" s="9">
        <v>1</v>
      </c>
      <c r="AK1045" s="30">
        <v>0</v>
      </c>
      <c r="AL1045" s="21">
        <v>2007</v>
      </c>
      <c r="AM1045" s="23">
        <f t="shared" si="306"/>
        <v>7.604396348796338</v>
      </c>
      <c r="AN1045" s="33" t="s">
        <v>104</v>
      </c>
      <c r="AO1045" s="33" t="s">
        <v>104</v>
      </c>
      <c r="AP1045" s="33" t="s">
        <v>104</v>
      </c>
      <c r="AQ1045" s="43" t="s">
        <v>104</v>
      </c>
      <c r="AR1045" s="42">
        <v>1</v>
      </c>
      <c r="AS1045" s="18">
        <v>0</v>
      </c>
      <c r="AT1045">
        <v>0</v>
      </c>
      <c r="AU1045" s="40">
        <v>1</v>
      </c>
      <c r="AV1045">
        <v>56.05</v>
      </c>
      <c r="AW1045" s="40">
        <v>43.05</v>
      </c>
      <c r="AX1045">
        <v>0</v>
      </c>
      <c r="AY1045" s="18">
        <v>1</v>
      </c>
      <c r="AZ1045">
        <v>0</v>
      </c>
      <c r="BA1045" s="18">
        <v>1</v>
      </c>
      <c r="BB1045" s="18" t="s">
        <v>5</v>
      </c>
      <c r="BC1045">
        <v>0</v>
      </c>
      <c r="BD1045">
        <v>1</v>
      </c>
      <c r="BE1045">
        <v>0</v>
      </c>
      <c r="BF1045">
        <v>0</v>
      </c>
      <c r="BG1045">
        <v>0</v>
      </c>
      <c r="BH1045" s="18">
        <v>0</v>
      </c>
      <c r="BI1045">
        <v>0</v>
      </c>
      <c r="BJ1045">
        <v>1</v>
      </c>
      <c r="BK1045" s="18">
        <v>0</v>
      </c>
      <c r="BL1045">
        <v>127.1666666666667</v>
      </c>
      <c r="BM1045">
        <v>27</v>
      </c>
      <c r="BN1045" s="94">
        <f t="shared" si="296"/>
        <v>33.730000000000004</v>
      </c>
      <c r="BO1045">
        <v>0</v>
      </c>
      <c r="BP1045">
        <v>0</v>
      </c>
      <c r="BQ1045">
        <v>0</v>
      </c>
      <c r="BR1045">
        <v>0</v>
      </c>
      <c r="BS1045">
        <v>1</v>
      </c>
      <c r="BT1045">
        <v>0</v>
      </c>
      <c r="BU1045">
        <v>0</v>
      </c>
      <c r="BV1045" s="18">
        <v>0</v>
      </c>
      <c r="BW1045">
        <v>0</v>
      </c>
      <c r="BX1045">
        <v>1</v>
      </c>
      <c r="BY1045">
        <v>0</v>
      </c>
      <c r="BZ1045" s="18">
        <v>0</v>
      </c>
      <c r="CA1045">
        <v>0</v>
      </c>
      <c r="CB1045">
        <v>0</v>
      </c>
      <c r="CC1045">
        <v>0</v>
      </c>
      <c r="CD1045">
        <v>0</v>
      </c>
      <c r="CE1045">
        <v>0</v>
      </c>
      <c r="CF1045" s="18">
        <v>0</v>
      </c>
      <c r="CG1045">
        <v>0</v>
      </c>
      <c r="CH1045">
        <v>0</v>
      </c>
      <c r="CI1045">
        <v>1</v>
      </c>
      <c r="CJ1045">
        <v>1</v>
      </c>
      <c r="CK1045">
        <v>0</v>
      </c>
      <c r="CL1045">
        <v>1</v>
      </c>
      <c r="CM1045">
        <v>1</v>
      </c>
      <c r="CN1045">
        <v>1</v>
      </c>
      <c r="CO1045">
        <v>1</v>
      </c>
      <c r="CP1045">
        <v>1</v>
      </c>
      <c r="CQ1045" s="18">
        <v>0</v>
      </c>
      <c r="CR1045">
        <v>0</v>
      </c>
      <c r="CS1045">
        <v>2</v>
      </c>
      <c r="CT1045">
        <v>0</v>
      </c>
      <c r="CU1045">
        <v>1</v>
      </c>
      <c r="CV1045">
        <v>16</v>
      </c>
      <c r="DB1045" s="34"/>
    </row>
    <row r="1046" spans="1:106" x14ac:dyDescent="0.25">
      <c r="A1046">
        <v>1045</v>
      </c>
      <c r="B1046">
        <v>70</v>
      </c>
      <c r="C1046" s="25" t="s">
        <v>4170</v>
      </c>
      <c r="D1046" s="12">
        <v>14.2</v>
      </c>
      <c r="E1046" s="14">
        <f t="shared" si="295"/>
        <v>4.3881334981458586</v>
      </c>
      <c r="F1046" s="7">
        <v>3.2360000000000002</v>
      </c>
      <c r="G1046" s="7">
        <f t="shared" si="297"/>
        <v>9.8118665018541407</v>
      </c>
      <c r="H1046" s="16">
        <f t="shared" si="298"/>
        <v>18.588133498145858</v>
      </c>
      <c r="I1046" s="11">
        <f t="shared" si="299"/>
        <v>0.17589250505770393</v>
      </c>
      <c r="J1046" s="33">
        <f t="shared" si="300"/>
        <v>5.4354915036373283E-2</v>
      </c>
      <c r="K1046" s="33">
        <f t="shared" si="301"/>
        <v>18.397600278297169</v>
      </c>
      <c r="L1046" s="33">
        <f t="shared" si="302"/>
        <v>0.12153759002133065</v>
      </c>
      <c r="M1046" s="33">
        <f t="shared" si="303"/>
        <v>0.23024742009407723</v>
      </c>
      <c r="N1046" s="8">
        <v>1</v>
      </c>
      <c r="O1046" s="9">
        <v>0</v>
      </c>
      <c r="P1046" s="8">
        <v>1</v>
      </c>
      <c r="Q1046" s="9">
        <v>0</v>
      </c>
      <c r="R1046" s="9">
        <v>0</v>
      </c>
      <c r="S1046" s="9">
        <v>0</v>
      </c>
      <c r="T1046" s="9">
        <v>0</v>
      </c>
      <c r="U1046" s="8">
        <v>347</v>
      </c>
      <c r="V1046" s="9">
        <v>18</v>
      </c>
      <c r="W1046" s="9">
        <f t="shared" si="304"/>
        <v>328</v>
      </c>
      <c r="X1046" s="9">
        <f t="shared" si="305"/>
        <v>36</v>
      </c>
      <c r="Y1046" s="7">
        <v>11.32</v>
      </c>
      <c r="Z1046" s="7">
        <v>16.41</v>
      </c>
      <c r="AA1046" s="9">
        <v>1</v>
      </c>
      <c r="AB1046" s="9">
        <v>0</v>
      </c>
      <c r="AC1046" s="9">
        <v>1</v>
      </c>
      <c r="AD1046" s="9">
        <v>0</v>
      </c>
      <c r="AE1046" s="9">
        <v>0</v>
      </c>
      <c r="AF1046" s="9">
        <v>0</v>
      </c>
      <c r="AG1046" s="8">
        <v>1</v>
      </c>
      <c r="AH1046" s="9">
        <v>0</v>
      </c>
      <c r="AI1046" s="30">
        <v>0</v>
      </c>
      <c r="AJ1046" s="9">
        <v>1</v>
      </c>
      <c r="AK1046" s="30">
        <v>0</v>
      </c>
      <c r="AL1046" s="21">
        <v>2007</v>
      </c>
      <c r="AM1046" s="23">
        <f t="shared" si="306"/>
        <v>7.604396348796338</v>
      </c>
      <c r="AN1046" s="33" t="s">
        <v>104</v>
      </c>
      <c r="AO1046" s="33" t="s">
        <v>104</v>
      </c>
      <c r="AP1046" s="33" t="s">
        <v>104</v>
      </c>
      <c r="AQ1046" s="43" t="s">
        <v>104</v>
      </c>
      <c r="AR1046" s="42">
        <v>1</v>
      </c>
      <c r="AS1046" s="18">
        <v>0</v>
      </c>
      <c r="AT1046">
        <v>1</v>
      </c>
      <c r="AU1046" s="40">
        <v>0</v>
      </c>
      <c r="AV1046">
        <v>56.05</v>
      </c>
      <c r="AW1046" s="40">
        <v>43.05</v>
      </c>
      <c r="AX1046">
        <v>0</v>
      </c>
      <c r="AY1046" s="18">
        <v>1</v>
      </c>
      <c r="AZ1046">
        <v>0</v>
      </c>
      <c r="BA1046" s="18">
        <v>1</v>
      </c>
      <c r="BB1046" s="18" t="s">
        <v>5</v>
      </c>
      <c r="BC1046">
        <v>0</v>
      </c>
      <c r="BD1046">
        <v>1</v>
      </c>
      <c r="BE1046">
        <v>0</v>
      </c>
      <c r="BF1046">
        <v>0</v>
      </c>
      <c r="BG1046">
        <v>0</v>
      </c>
      <c r="BH1046" s="18">
        <v>0</v>
      </c>
      <c r="BI1046">
        <v>0</v>
      </c>
      <c r="BJ1046">
        <v>1</v>
      </c>
      <c r="BK1046" s="18">
        <v>0</v>
      </c>
      <c r="BL1046">
        <v>127.1666666666667</v>
      </c>
      <c r="BM1046">
        <v>27</v>
      </c>
      <c r="BN1046" s="94">
        <f t="shared" si="296"/>
        <v>33.730000000000004</v>
      </c>
      <c r="BO1046">
        <v>0</v>
      </c>
      <c r="BP1046">
        <v>0</v>
      </c>
      <c r="BQ1046">
        <v>0</v>
      </c>
      <c r="BR1046">
        <v>0</v>
      </c>
      <c r="BS1046">
        <v>1</v>
      </c>
      <c r="BT1046">
        <v>0</v>
      </c>
      <c r="BU1046">
        <v>0</v>
      </c>
      <c r="BV1046" s="18">
        <v>0</v>
      </c>
      <c r="BW1046">
        <v>0</v>
      </c>
      <c r="BX1046">
        <v>1</v>
      </c>
      <c r="BY1046">
        <v>0</v>
      </c>
      <c r="BZ1046" s="18">
        <v>0</v>
      </c>
      <c r="CA1046">
        <v>0</v>
      </c>
      <c r="CB1046">
        <v>0</v>
      </c>
      <c r="CC1046">
        <v>0</v>
      </c>
      <c r="CD1046">
        <v>0</v>
      </c>
      <c r="CE1046">
        <v>0</v>
      </c>
      <c r="CF1046" s="18">
        <v>0</v>
      </c>
      <c r="CG1046">
        <v>0</v>
      </c>
      <c r="CH1046">
        <v>0</v>
      </c>
      <c r="CI1046">
        <v>1</v>
      </c>
      <c r="CJ1046">
        <v>1</v>
      </c>
      <c r="CK1046">
        <v>0</v>
      </c>
      <c r="CL1046">
        <v>1</v>
      </c>
      <c r="CM1046">
        <v>1</v>
      </c>
      <c r="CN1046">
        <v>1</v>
      </c>
      <c r="CO1046">
        <v>1</v>
      </c>
      <c r="CP1046">
        <v>1</v>
      </c>
      <c r="CQ1046" s="18">
        <v>0</v>
      </c>
      <c r="CR1046">
        <v>0</v>
      </c>
      <c r="CS1046">
        <v>2</v>
      </c>
      <c r="CT1046">
        <v>0</v>
      </c>
      <c r="CU1046">
        <v>1</v>
      </c>
      <c r="CV1046">
        <v>16</v>
      </c>
      <c r="DB1046" s="34"/>
    </row>
    <row r="1047" spans="1:106" x14ac:dyDescent="0.25">
      <c r="A1047">
        <v>1046</v>
      </c>
      <c r="B1047">
        <v>70</v>
      </c>
      <c r="C1047" s="25" t="s">
        <v>4170</v>
      </c>
      <c r="D1047" s="12">
        <v>23.5</v>
      </c>
      <c r="E1047" s="14">
        <f t="shared" si="295"/>
        <v>3.2525951557093427</v>
      </c>
      <c r="F1047" s="7">
        <v>7.2249999999999996</v>
      </c>
      <c r="G1047" s="7">
        <f t="shared" si="297"/>
        <v>20.247404844290656</v>
      </c>
      <c r="H1047" s="16">
        <f t="shared" si="298"/>
        <v>26.752595155709344</v>
      </c>
      <c r="I1047" s="11">
        <f t="shared" si="299"/>
        <v>0.40760014434457864</v>
      </c>
      <c r="J1047" s="33">
        <f t="shared" si="300"/>
        <v>5.6415244891983213E-2</v>
      </c>
      <c r="K1047" s="33">
        <f t="shared" si="301"/>
        <v>17.725705204589179</v>
      </c>
      <c r="L1047" s="33">
        <f t="shared" si="302"/>
        <v>0.35118489945259546</v>
      </c>
      <c r="M1047" s="33">
        <f t="shared" si="303"/>
        <v>0.46401538923656183</v>
      </c>
      <c r="N1047" s="8">
        <v>1</v>
      </c>
      <c r="O1047" s="9">
        <v>0</v>
      </c>
      <c r="P1047" s="8">
        <v>1</v>
      </c>
      <c r="Q1047" s="9">
        <v>0</v>
      </c>
      <c r="R1047" s="9">
        <v>0</v>
      </c>
      <c r="S1047" s="9">
        <v>0</v>
      </c>
      <c r="T1047" s="9">
        <v>0</v>
      </c>
      <c r="U1047" s="8">
        <v>281</v>
      </c>
      <c r="V1047" s="9">
        <v>18</v>
      </c>
      <c r="W1047" s="9">
        <f t="shared" si="304"/>
        <v>262</v>
      </c>
      <c r="X1047" s="9">
        <f t="shared" si="305"/>
        <v>36</v>
      </c>
      <c r="Y1047" s="7">
        <v>11.32</v>
      </c>
      <c r="Z1047" s="7">
        <v>16.41</v>
      </c>
      <c r="AA1047" s="9">
        <v>1</v>
      </c>
      <c r="AB1047" s="9">
        <v>0</v>
      </c>
      <c r="AC1047" s="9">
        <v>1</v>
      </c>
      <c r="AD1047" s="9">
        <v>0</v>
      </c>
      <c r="AE1047" s="9">
        <v>0</v>
      </c>
      <c r="AF1047" s="9">
        <v>0</v>
      </c>
      <c r="AG1047" s="8">
        <v>1</v>
      </c>
      <c r="AH1047" s="9">
        <v>0</v>
      </c>
      <c r="AI1047" s="30">
        <v>0</v>
      </c>
      <c r="AJ1047" s="9">
        <v>1</v>
      </c>
      <c r="AK1047" s="30">
        <v>0</v>
      </c>
      <c r="AL1047" s="21">
        <v>2007</v>
      </c>
      <c r="AM1047" s="23">
        <f t="shared" si="306"/>
        <v>7.604396348796338</v>
      </c>
      <c r="AN1047" s="33" t="s">
        <v>104</v>
      </c>
      <c r="AO1047" s="33" t="s">
        <v>104</v>
      </c>
      <c r="AP1047" s="33" t="s">
        <v>104</v>
      </c>
      <c r="AQ1047" s="43" t="s">
        <v>104</v>
      </c>
      <c r="AR1047" s="42">
        <v>1</v>
      </c>
      <c r="AS1047" s="18">
        <v>0</v>
      </c>
      <c r="AT1047">
        <v>0</v>
      </c>
      <c r="AU1047" s="40">
        <v>1</v>
      </c>
      <c r="AV1047">
        <v>56.05</v>
      </c>
      <c r="AW1047" s="40">
        <v>43.05</v>
      </c>
      <c r="AX1047">
        <v>0</v>
      </c>
      <c r="AY1047" s="18">
        <v>1</v>
      </c>
      <c r="AZ1047">
        <v>0</v>
      </c>
      <c r="BA1047" s="18">
        <v>1</v>
      </c>
      <c r="BB1047" s="18" t="s">
        <v>5</v>
      </c>
      <c r="BC1047">
        <v>0</v>
      </c>
      <c r="BD1047">
        <v>1</v>
      </c>
      <c r="BE1047">
        <v>0</v>
      </c>
      <c r="BF1047">
        <v>0</v>
      </c>
      <c r="BG1047">
        <v>0</v>
      </c>
      <c r="BH1047" s="18">
        <v>0</v>
      </c>
      <c r="BI1047">
        <v>0</v>
      </c>
      <c r="BJ1047">
        <v>1</v>
      </c>
      <c r="BK1047" s="18">
        <v>0</v>
      </c>
      <c r="BL1047">
        <v>127.1666666666667</v>
      </c>
      <c r="BM1047">
        <v>27</v>
      </c>
      <c r="BN1047" s="94">
        <f t="shared" si="296"/>
        <v>33.730000000000004</v>
      </c>
      <c r="BO1047">
        <v>0</v>
      </c>
      <c r="BP1047">
        <v>0</v>
      </c>
      <c r="BQ1047">
        <v>0</v>
      </c>
      <c r="BR1047">
        <v>0</v>
      </c>
      <c r="BS1047">
        <v>1</v>
      </c>
      <c r="BT1047">
        <v>0</v>
      </c>
      <c r="BU1047">
        <v>0</v>
      </c>
      <c r="BV1047" s="18">
        <v>0</v>
      </c>
      <c r="BW1047">
        <v>0</v>
      </c>
      <c r="BX1047">
        <v>1</v>
      </c>
      <c r="BY1047">
        <v>0</v>
      </c>
      <c r="BZ1047" s="18">
        <v>0</v>
      </c>
      <c r="CA1047">
        <v>0</v>
      </c>
      <c r="CB1047">
        <v>0</v>
      </c>
      <c r="CC1047">
        <v>0</v>
      </c>
      <c r="CD1047">
        <v>0</v>
      </c>
      <c r="CE1047">
        <v>0</v>
      </c>
      <c r="CF1047" s="18">
        <v>0</v>
      </c>
      <c r="CG1047">
        <v>0</v>
      </c>
      <c r="CH1047">
        <v>0</v>
      </c>
      <c r="CI1047">
        <v>1</v>
      </c>
      <c r="CJ1047">
        <v>1</v>
      </c>
      <c r="CK1047">
        <v>0</v>
      </c>
      <c r="CL1047">
        <v>1</v>
      </c>
      <c r="CM1047">
        <v>1</v>
      </c>
      <c r="CN1047">
        <v>1</v>
      </c>
      <c r="CO1047">
        <v>1</v>
      </c>
      <c r="CP1047">
        <v>1</v>
      </c>
      <c r="CQ1047" s="18">
        <v>0</v>
      </c>
      <c r="CR1047">
        <v>0</v>
      </c>
      <c r="CS1047">
        <v>2</v>
      </c>
      <c r="CT1047">
        <v>0</v>
      </c>
      <c r="CU1047">
        <v>1</v>
      </c>
      <c r="CV1047">
        <v>16</v>
      </c>
      <c r="DB1047" s="34"/>
    </row>
    <row r="1048" spans="1:106" x14ac:dyDescent="0.25">
      <c r="A1048">
        <v>1047</v>
      </c>
      <c r="B1048">
        <v>71</v>
      </c>
      <c r="C1048" s="25" t="s">
        <v>4176</v>
      </c>
      <c r="D1048" s="12">
        <v>4.5999999999999996</v>
      </c>
      <c r="E1048" s="14">
        <v>0.2</v>
      </c>
      <c r="F1048" s="7">
        <f>D1048/E1048</f>
        <v>22.999999999999996</v>
      </c>
      <c r="G1048" s="7">
        <f t="shared" si="297"/>
        <v>4.3999999999999995</v>
      </c>
      <c r="H1048" s="16">
        <f t="shared" si="298"/>
        <v>4.8</v>
      </c>
      <c r="I1048" s="11">
        <f t="shared" si="299"/>
        <v>0.23435250445752639</v>
      </c>
      <c r="J1048" s="33">
        <f t="shared" si="300"/>
        <v>1.018923932424028E-2</v>
      </c>
      <c r="K1048" s="33">
        <f t="shared" si="301"/>
        <v>98.142753171082376</v>
      </c>
      <c r="L1048" s="33">
        <f t="shared" si="302"/>
        <v>0.2241632651332861</v>
      </c>
      <c r="M1048" s="33">
        <f t="shared" si="303"/>
        <v>0.24454174378176669</v>
      </c>
      <c r="N1048" s="8">
        <v>1</v>
      </c>
      <c r="O1048" s="9">
        <v>0</v>
      </c>
      <c r="P1048" s="8">
        <v>0</v>
      </c>
      <c r="Q1048" s="9">
        <v>0</v>
      </c>
      <c r="R1048" s="9">
        <v>0</v>
      </c>
      <c r="S1048" s="9">
        <v>0</v>
      </c>
      <c r="T1048" s="9">
        <v>1</v>
      </c>
      <c r="U1048" s="8">
        <v>9107</v>
      </c>
      <c r="V1048" s="9">
        <v>3</v>
      </c>
      <c r="W1048" s="9">
        <f t="shared" si="304"/>
        <v>9103</v>
      </c>
      <c r="X1048" s="9">
        <f t="shared" si="305"/>
        <v>33</v>
      </c>
      <c r="Y1048" s="7">
        <v>9.6999999999999993</v>
      </c>
      <c r="Z1048" s="7">
        <v>16.16</v>
      </c>
      <c r="AA1048" s="9">
        <v>1</v>
      </c>
      <c r="AB1048" s="9">
        <v>0</v>
      </c>
      <c r="AC1048" s="9">
        <v>1</v>
      </c>
      <c r="AD1048" s="9">
        <v>0</v>
      </c>
      <c r="AE1048" s="9">
        <v>0</v>
      </c>
      <c r="AF1048" s="9">
        <v>0</v>
      </c>
      <c r="AG1048" s="8">
        <v>0</v>
      </c>
      <c r="AH1048" s="9">
        <v>1</v>
      </c>
      <c r="AI1048" s="30">
        <v>0</v>
      </c>
      <c r="AJ1048" s="9">
        <v>0</v>
      </c>
      <c r="AK1048" s="30">
        <v>1</v>
      </c>
      <c r="AL1048" s="21">
        <v>2012</v>
      </c>
      <c r="AM1048" s="23">
        <f t="shared" si="306"/>
        <v>7.60688453121963</v>
      </c>
      <c r="AN1048" s="33">
        <v>9.0999999999999998E-2</v>
      </c>
      <c r="AO1048" s="33">
        <v>0.29499999999999998</v>
      </c>
      <c r="AP1048" s="33">
        <v>0.47799999999999998</v>
      </c>
      <c r="AQ1048" s="43">
        <v>0.13600000000000001</v>
      </c>
      <c r="AR1048" s="42">
        <v>1</v>
      </c>
      <c r="AS1048" s="18">
        <v>0</v>
      </c>
      <c r="AT1048">
        <v>0.627</v>
      </c>
      <c r="AU1048" s="40">
        <v>0.373</v>
      </c>
      <c r="AV1048">
        <v>0.68600000000000005</v>
      </c>
      <c r="AW1048" s="40">
        <v>0.29299999999999998</v>
      </c>
      <c r="AX1048">
        <v>0</v>
      </c>
      <c r="AY1048" s="18">
        <v>1</v>
      </c>
      <c r="AZ1048">
        <v>0.42699999999999999</v>
      </c>
      <c r="BA1048" s="18">
        <v>0.57299999999999995</v>
      </c>
      <c r="BB1048" s="18" t="s">
        <v>6</v>
      </c>
      <c r="BC1048">
        <v>0</v>
      </c>
      <c r="BD1048">
        <v>0</v>
      </c>
      <c r="BE1048">
        <v>0</v>
      </c>
      <c r="BF1048">
        <v>1</v>
      </c>
      <c r="BG1048">
        <v>0</v>
      </c>
      <c r="BH1048" s="18">
        <v>0</v>
      </c>
      <c r="BI1048">
        <v>0</v>
      </c>
      <c r="BJ1048">
        <v>1</v>
      </c>
      <c r="BK1048" s="18">
        <v>0</v>
      </c>
      <c r="BL1048">
        <v>39.083333333333343</v>
      </c>
      <c r="BM1048">
        <v>9.01</v>
      </c>
      <c r="BN1048" s="25">
        <v>35.6</v>
      </c>
      <c r="BO1048">
        <v>1</v>
      </c>
      <c r="BP1048">
        <v>0</v>
      </c>
      <c r="BQ1048">
        <v>0</v>
      </c>
      <c r="BR1048">
        <v>0</v>
      </c>
      <c r="BS1048">
        <v>0</v>
      </c>
      <c r="BT1048">
        <v>0</v>
      </c>
      <c r="BU1048">
        <v>0</v>
      </c>
      <c r="BV1048" s="18">
        <v>0</v>
      </c>
      <c r="BW1048">
        <v>0</v>
      </c>
      <c r="BX1048">
        <v>0</v>
      </c>
      <c r="BY1048">
        <v>1</v>
      </c>
      <c r="BZ1048" s="18">
        <v>0</v>
      </c>
      <c r="CA1048">
        <v>0</v>
      </c>
      <c r="CB1048">
        <v>0</v>
      </c>
      <c r="CC1048">
        <v>0</v>
      </c>
      <c r="CD1048">
        <v>0</v>
      </c>
      <c r="CE1048">
        <v>0</v>
      </c>
      <c r="CF1048" s="18">
        <v>0</v>
      </c>
      <c r="CG1048">
        <v>0</v>
      </c>
      <c r="CH1048">
        <v>0</v>
      </c>
      <c r="CI1048">
        <v>1</v>
      </c>
      <c r="CJ1048">
        <v>1</v>
      </c>
      <c r="CK1048">
        <v>0</v>
      </c>
      <c r="CL1048">
        <v>0</v>
      </c>
      <c r="CM1048">
        <v>0</v>
      </c>
      <c r="CN1048">
        <v>0</v>
      </c>
      <c r="CO1048">
        <v>0</v>
      </c>
      <c r="CP1048">
        <v>0</v>
      </c>
      <c r="CQ1048" s="18">
        <v>0</v>
      </c>
      <c r="CR1048">
        <v>0.14599999999999999</v>
      </c>
      <c r="CS1048">
        <v>15</v>
      </c>
      <c r="CT1048">
        <v>1</v>
      </c>
      <c r="CU1048">
        <v>0</v>
      </c>
      <c r="CV1048">
        <v>23</v>
      </c>
      <c r="DB1048" s="34"/>
    </row>
    <row r="1049" spans="1:106" x14ac:dyDescent="0.25">
      <c r="A1049">
        <v>1048</v>
      </c>
      <c r="B1049">
        <v>71</v>
      </c>
      <c r="C1049" s="25" t="s">
        <v>4176</v>
      </c>
      <c r="D1049" s="12">
        <v>7.7</v>
      </c>
      <c r="E1049" s="14">
        <v>0.3</v>
      </c>
      <c r="F1049" s="7">
        <f>D1049/E1049</f>
        <v>25.666666666666668</v>
      </c>
      <c r="G1049" s="7">
        <f t="shared" si="297"/>
        <v>7.4</v>
      </c>
      <c r="H1049" s="16">
        <f t="shared" si="298"/>
        <v>8</v>
      </c>
      <c r="I1049" s="11">
        <f t="shared" si="299"/>
        <v>0.3578029829487358</v>
      </c>
      <c r="J1049" s="33">
        <f t="shared" si="300"/>
        <v>1.3940375959041653E-2</v>
      </c>
      <c r="K1049" s="33">
        <f t="shared" si="301"/>
        <v>71.734076823904118</v>
      </c>
      <c r="L1049" s="33">
        <f t="shared" si="302"/>
        <v>0.34386260698969418</v>
      </c>
      <c r="M1049" s="33">
        <f t="shared" si="303"/>
        <v>0.37174335890777743</v>
      </c>
      <c r="N1049" s="8">
        <v>1</v>
      </c>
      <c r="O1049" s="9">
        <v>0</v>
      </c>
      <c r="P1049" s="8">
        <v>0</v>
      </c>
      <c r="Q1049" s="9">
        <v>0</v>
      </c>
      <c r="R1049" s="9">
        <v>0</v>
      </c>
      <c r="S1049" s="9">
        <v>0</v>
      </c>
      <c r="T1049" s="9">
        <v>1</v>
      </c>
      <c r="U1049" s="8">
        <v>4491</v>
      </c>
      <c r="V1049" s="9">
        <v>3</v>
      </c>
      <c r="W1049" s="9">
        <f t="shared" si="304"/>
        <v>4487</v>
      </c>
      <c r="X1049" s="9">
        <f t="shared" si="305"/>
        <v>33</v>
      </c>
      <c r="Y1049" s="7">
        <v>9.6</v>
      </c>
      <c r="Z1049" s="7">
        <v>19.399999999999999</v>
      </c>
      <c r="AA1049" s="9">
        <v>1</v>
      </c>
      <c r="AB1049" s="9">
        <v>0</v>
      </c>
      <c r="AC1049" s="9">
        <v>1</v>
      </c>
      <c r="AD1049" s="9">
        <v>0</v>
      </c>
      <c r="AE1049" s="9">
        <v>0</v>
      </c>
      <c r="AF1049" s="9">
        <v>0</v>
      </c>
      <c r="AG1049" s="8">
        <v>0</v>
      </c>
      <c r="AH1049" s="9">
        <v>1</v>
      </c>
      <c r="AI1049" s="30">
        <v>0</v>
      </c>
      <c r="AJ1049" s="9">
        <v>0</v>
      </c>
      <c r="AK1049" s="30">
        <v>1</v>
      </c>
      <c r="AL1049" s="21">
        <v>2010</v>
      </c>
      <c r="AM1049" s="23">
        <f t="shared" si="306"/>
        <v>7.6058900010531216</v>
      </c>
      <c r="AN1049" s="33">
        <v>2.1999999999999999E-2</v>
      </c>
      <c r="AO1049" s="33">
        <v>0.17299999999999999</v>
      </c>
      <c r="AP1049" s="33">
        <v>0.63600000000000001</v>
      </c>
      <c r="AQ1049" s="43">
        <v>0.16900000000000001</v>
      </c>
      <c r="AR1049" s="42">
        <v>1</v>
      </c>
      <c r="AS1049" s="18">
        <v>0</v>
      </c>
      <c r="AT1049" s="33">
        <v>0.53800000000000003</v>
      </c>
      <c r="AU1049" s="40">
        <v>0.46200000000000002</v>
      </c>
      <c r="AV1049">
        <v>0.755</v>
      </c>
      <c r="AW1049" s="40">
        <v>0.245</v>
      </c>
      <c r="AX1049">
        <v>0</v>
      </c>
      <c r="AY1049" s="18">
        <v>1</v>
      </c>
      <c r="AZ1049">
        <v>0.19600000000000001</v>
      </c>
      <c r="BA1049" s="18">
        <v>0.80400000000000005</v>
      </c>
      <c r="BB1049" s="18" t="s">
        <v>538</v>
      </c>
      <c r="BC1049">
        <v>0</v>
      </c>
      <c r="BD1049">
        <v>0</v>
      </c>
      <c r="BE1049">
        <v>0</v>
      </c>
      <c r="BF1049">
        <v>1</v>
      </c>
      <c r="BG1049">
        <v>0</v>
      </c>
      <c r="BH1049" s="18">
        <v>0</v>
      </c>
      <c r="BI1049">
        <v>0</v>
      </c>
      <c r="BJ1049">
        <v>1</v>
      </c>
      <c r="BK1049" s="18">
        <v>0</v>
      </c>
      <c r="BL1049">
        <v>95.17</v>
      </c>
      <c r="BM1049">
        <v>325.85000000000002</v>
      </c>
      <c r="BN1049" s="25">
        <v>37.4</v>
      </c>
      <c r="BO1049">
        <v>1</v>
      </c>
      <c r="BP1049">
        <v>0</v>
      </c>
      <c r="BQ1049">
        <v>0</v>
      </c>
      <c r="BR1049">
        <v>0</v>
      </c>
      <c r="BS1049">
        <v>0</v>
      </c>
      <c r="BT1049">
        <v>0</v>
      </c>
      <c r="BU1049">
        <v>0</v>
      </c>
      <c r="BV1049" s="18">
        <v>0</v>
      </c>
      <c r="BW1049">
        <v>0</v>
      </c>
      <c r="BX1049">
        <v>0</v>
      </c>
      <c r="BY1049">
        <v>1</v>
      </c>
      <c r="BZ1049" s="18">
        <v>0</v>
      </c>
      <c r="CA1049">
        <v>0</v>
      </c>
      <c r="CB1049">
        <v>0</v>
      </c>
      <c r="CC1049">
        <v>0</v>
      </c>
      <c r="CD1049">
        <v>0</v>
      </c>
      <c r="CE1049">
        <v>0</v>
      </c>
      <c r="CF1049" s="18">
        <v>0</v>
      </c>
      <c r="CG1049">
        <v>0</v>
      </c>
      <c r="CH1049">
        <v>0</v>
      </c>
      <c r="CI1049">
        <v>1</v>
      </c>
      <c r="CJ1049">
        <v>1</v>
      </c>
      <c r="CK1049">
        <v>0</v>
      </c>
      <c r="CL1049">
        <v>0</v>
      </c>
      <c r="CM1049">
        <v>0</v>
      </c>
      <c r="CN1049">
        <v>0</v>
      </c>
      <c r="CO1049">
        <v>0</v>
      </c>
      <c r="CP1049">
        <v>0</v>
      </c>
      <c r="CQ1049" s="18">
        <v>0</v>
      </c>
      <c r="CR1049">
        <v>0.14599999999999999</v>
      </c>
      <c r="CS1049">
        <v>15</v>
      </c>
      <c r="CT1049">
        <v>1</v>
      </c>
      <c r="CU1049">
        <v>0</v>
      </c>
      <c r="CV1049">
        <v>23</v>
      </c>
      <c r="DB1049" s="34"/>
    </row>
    <row r="1050" spans="1:106" x14ac:dyDescent="0.25">
      <c r="A1050">
        <v>1049</v>
      </c>
      <c r="B1050">
        <v>71</v>
      </c>
      <c r="C1050" s="25" t="s">
        <v>4176</v>
      </c>
      <c r="D1050" s="12">
        <v>8.1</v>
      </c>
      <c r="E1050" s="14">
        <v>0.5</v>
      </c>
      <c r="F1050" s="7">
        <f>D1050/E1050</f>
        <v>16.2</v>
      </c>
      <c r="G1050" s="7">
        <f t="shared" si="297"/>
        <v>7.6</v>
      </c>
      <c r="H1050" s="16">
        <f t="shared" si="298"/>
        <v>8.6</v>
      </c>
      <c r="I1050" s="11">
        <f t="shared" si="299"/>
        <v>0.40659904556362153</v>
      </c>
      <c r="J1050" s="33">
        <f t="shared" si="300"/>
        <v>2.5098706516272936E-2</v>
      </c>
      <c r="K1050" s="33">
        <f t="shared" si="301"/>
        <v>39.842690672192305</v>
      </c>
      <c r="L1050" s="33">
        <f t="shared" si="302"/>
        <v>0.38150033904734859</v>
      </c>
      <c r="M1050" s="33">
        <f t="shared" si="303"/>
        <v>0.43169775207989447</v>
      </c>
      <c r="N1050" s="8">
        <v>1</v>
      </c>
      <c r="O1050" s="9">
        <v>0</v>
      </c>
      <c r="P1050" s="8">
        <v>0</v>
      </c>
      <c r="Q1050" s="9">
        <v>0</v>
      </c>
      <c r="R1050" s="9">
        <v>0</v>
      </c>
      <c r="S1050" s="9">
        <v>0</v>
      </c>
      <c r="T1050" s="9">
        <v>1</v>
      </c>
      <c r="U1050" s="8">
        <v>1329</v>
      </c>
      <c r="V1050" s="9">
        <v>3</v>
      </c>
      <c r="W1050" s="9">
        <f t="shared" si="304"/>
        <v>1325</v>
      </c>
      <c r="X1050" s="9">
        <f t="shared" si="305"/>
        <v>33</v>
      </c>
      <c r="Y1050" s="7">
        <v>7.3</v>
      </c>
      <c r="Z1050" s="7">
        <v>17.5</v>
      </c>
      <c r="AA1050" s="9">
        <v>1</v>
      </c>
      <c r="AB1050" s="9">
        <v>0</v>
      </c>
      <c r="AC1050" s="9">
        <v>1</v>
      </c>
      <c r="AD1050" s="9">
        <v>0</v>
      </c>
      <c r="AE1050" s="9">
        <v>0</v>
      </c>
      <c r="AF1050" s="9">
        <v>0</v>
      </c>
      <c r="AG1050" s="8">
        <v>0</v>
      </c>
      <c r="AH1050" s="9">
        <v>1</v>
      </c>
      <c r="AI1050" s="30">
        <v>0</v>
      </c>
      <c r="AJ1050" s="9">
        <v>0</v>
      </c>
      <c r="AK1050" s="30">
        <v>1</v>
      </c>
      <c r="AL1050" s="21">
        <v>2014</v>
      </c>
      <c r="AM1050" s="23">
        <f t="shared" si="306"/>
        <v>7.6078780732785072</v>
      </c>
      <c r="AN1050" s="33">
        <v>4.8000000000000001E-2</v>
      </c>
      <c r="AO1050" s="33">
        <v>0.32700000000000001</v>
      </c>
      <c r="AP1050" s="33">
        <v>0.47399999999999998</v>
      </c>
      <c r="AQ1050" s="43">
        <v>0.151</v>
      </c>
      <c r="AR1050" s="42">
        <v>1</v>
      </c>
      <c r="AS1050" s="18">
        <v>0</v>
      </c>
      <c r="AT1050" s="33">
        <v>0.53100000000000003</v>
      </c>
      <c r="AU1050" s="40">
        <v>0.46899999999999997</v>
      </c>
      <c r="AV1050">
        <v>0.69299999999999995</v>
      </c>
      <c r="AW1050" s="40">
        <v>0.307</v>
      </c>
      <c r="AX1050">
        <v>0</v>
      </c>
      <c r="AY1050" s="18">
        <v>1</v>
      </c>
      <c r="AZ1050">
        <v>0.33800000000000002</v>
      </c>
      <c r="BA1050" s="18">
        <v>0.66200000000000003</v>
      </c>
      <c r="BB1050" s="18" t="s">
        <v>596</v>
      </c>
      <c r="BC1050">
        <v>0</v>
      </c>
      <c r="BD1050">
        <v>0</v>
      </c>
      <c r="BE1050">
        <v>0</v>
      </c>
      <c r="BF1050">
        <v>1</v>
      </c>
      <c r="BG1050">
        <v>0</v>
      </c>
      <c r="BH1050" s="18">
        <v>0</v>
      </c>
      <c r="BI1050">
        <v>0</v>
      </c>
      <c r="BJ1050">
        <v>1</v>
      </c>
      <c r="BK1050" s="18">
        <v>0</v>
      </c>
      <c r="BL1050">
        <v>105.6666666666667</v>
      </c>
      <c r="BM1050">
        <v>60</v>
      </c>
      <c r="BN1050" s="25">
        <v>37.200000000000003</v>
      </c>
      <c r="BO1050">
        <v>1</v>
      </c>
      <c r="BP1050">
        <v>0</v>
      </c>
      <c r="BQ1050">
        <v>0</v>
      </c>
      <c r="BR1050">
        <v>0</v>
      </c>
      <c r="BS1050">
        <v>0</v>
      </c>
      <c r="BT1050">
        <v>0</v>
      </c>
      <c r="BU1050">
        <v>0</v>
      </c>
      <c r="BV1050" s="18">
        <v>0</v>
      </c>
      <c r="BW1050">
        <v>0</v>
      </c>
      <c r="BX1050">
        <v>0</v>
      </c>
      <c r="BY1050">
        <v>1</v>
      </c>
      <c r="BZ1050" s="18">
        <v>0</v>
      </c>
      <c r="CA1050">
        <v>0</v>
      </c>
      <c r="CB1050">
        <v>0</v>
      </c>
      <c r="CC1050">
        <v>0</v>
      </c>
      <c r="CD1050">
        <v>0</v>
      </c>
      <c r="CE1050">
        <v>0</v>
      </c>
      <c r="CF1050" s="18">
        <v>0</v>
      </c>
      <c r="CG1050">
        <v>0</v>
      </c>
      <c r="CH1050">
        <v>0</v>
      </c>
      <c r="CI1050">
        <v>1</v>
      </c>
      <c r="CJ1050">
        <v>1</v>
      </c>
      <c r="CK1050">
        <v>0</v>
      </c>
      <c r="CL1050">
        <v>0</v>
      </c>
      <c r="CM1050">
        <v>0</v>
      </c>
      <c r="CN1050">
        <v>0</v>
      </c>
      <c r="CO1050">
        <v>0</v>
      </c>
      <c r="CP1050">
        <v>0</v>
      </c>
      <c r="CQ1050" s="18">
        <v>0</v>
      </c>
      <c r="CR1050">
        <v>0.14599999999999999</v>
      </c>
      <c r="CS1050">
        <v>15</v>
      </c>
      <c r="CT1050">
        <v>1</v>
      </c>
      <c r="CU1050">
        <v>0</v>
      </c>
      <c r="CV1050">
        <v>23</v>
      </c>
      <c r="DB1050" s="34"/>
    </row>
    <row r="1051" spans="1:106" x14ac:dyDescent="0.25">
      <c r="A1051">
        <v>1050</v>
      </c>
      <c r="B1051">
        <v>71</v>
      </c>
      <c r="C1051" s="25" t="s">
        <v>4176</v>
      </c>
      <c r="D1051" s="12">
        <v>0.6</v>
      </c>
      <c r="E1051" s="14">
        <f t="shared" ref="E1051:E1080" si="307">D1051/F1051</f>
        <v>0.82499999999999996</v>
      </c>
      <c r="F1051" s="7">
        <v>0.72727272727272729</v>
      </c>
      <c r="G1051" s="7">
        <f t="shared" si="297"/>
        <v>-0.22499999999999998</v>
      </c>
      <c r="H1051" s="16">
        <f t="shared" si="298"/>
        <v>1.4249999999999998</v>
      </c>
      <c r="I1051" s="11">
        <f t="shared" si="299"/>
        <v>7.624506022097511E-3</v>
      </c>
      <c r="J1051" s="33">
        <f t="shared" si="300"/>
        <v>1.0483695780384076E-2</v>
      </c>
      <c r="K1051" s="33">
        <f t="shared" si="301"/>
        <v>95.386209305223133</v>
      </c>
      <c r="L1051" s="33">
        <f t="shared" si="302"/>
        <v>-2.8591897582865653E-3</v>
      </c>
      <c r="M1051" s="33">
        <f t="shared" si="303"/>
        <v>1.8108201802481586E-2</v>
      </c>
      <c r="N1051" s="8">
        <v>1</v>
      </c>
      <c r="O1051" s="9">
        <v>0</v>
      </c>
      <c r="P1051" s="8">
        <v>0</v>
      </c>
      <c r="Q1051" s="9">
        <v>0</v>
      </c>
      <c r="R1051" s="9">
        <v>0</v>
      </c>
      <c r="S1051" s="9">
        <v>0</v>
      </c>
      <c r="T1051" s="9">
        <v>1</v>
      </c>
      <c r="U1051" s="8">
        <v>9106</v>
      </c>
      <c r="V1051" s="9">
        <v>7</v>
      </c>
      <c r="W1051" s="9">
        <f t="shared" si="304"/>
        <v>9098</v>
      </c>
      <c r="X1051" s="9">
        <f t="shared" si="305"/>
        <v>33</v>
      </c>
      <c r="Y1051" s="7">
        <v>9.6999999999999993</v>
      </c>
      <c r="Z1051" s="7">
        <v>16.16</v>
      </c>
      <c r="AA1051" s="9">
        <v>0</v>
      </c>
      <c r="AB1051" s="9">
        <v>1</v>
      </c>
      <c r="AC1051" s="9">
        <v>1</v>
      </c>
      <c r="AD1051" s="9">
        <v>0</v>
      </c>
      <c r="AE1051" s="9">
        <v>0</v>
      </c>
      <c r="AF1051" s="9">
        <v>0</v>
      </c>
      <c r="AG1051" s="8">
        <v>0</v>
      </c>
      <c r="AH1051" s="9">
        <v>1</v>
      </c>
      <c r="AI1051" s="30">
        <v>0</v>
      </c>
      <c r="AJ1051" s="9">
        <v>0</v>
      </c>
      <c r="AK1051" s="30">
        <v>1</v>
      </c>
      <c r="AL1051" s="21">
        <v>2012</v>
      </c>
      <c r="AM1051" s="23">
        <f t="shared" si="306"/>
        <v>7.60688453121963</v>
      </c>
      <c r="AN1051" s="33">
        <v>9.0999999999999998E-2</v>
      </c>
      <c r="AO1051" s="33">
        <v>0.29499999999999998</v>
      </c>
      <c r="AP1051" s="33">
        <v>0.47799999999999998</v>
      </c>
      <c r="AQ1051" s="43">
        <v>0.13600000000000001</v>
      </c>
      <c r="AR1051" s="42">
        <v>1</v>
      </c>
      <c r="AS1051" s="18">
        <v>0</v>
      </c>
      <c r="AT1051">
        <v>0.627</v>
      </c>
      <c r="AU1051" s="40">
        <v>0.373</v>
      </c>
      <c r="AV1051">
        <v>0.68600000000000005</v>
      </c>
      <c r="AW1051" s="40">
        <v>0.29299999999999998</v>
      </c>
      <c r="AX1051">
        <v>0</v>
      </c>
      <c r="AY1051" s="18">
        <v>1</v>
      </c>
      <c r="AZ1051">
        <v>0.42699999999999999</v>
      </c>
      <c r="BA1051" s="18">
        <v>0.57299999999999995</v>
      </c>
      <c r="BB1051" s="18" t="s">
        <v>6</v>
      </c>
      <c r="BC1051">
        <v>0</v>
      </c>
      <c r="BD1051">
        <v>0</v>
      </c>
      <c r="BE1051">
        <v>0</v>
      </c>
      <c r="BF1051">
        <v>1</v>
      </c>
      <c r="BG1051">
        <v>0</v>
      </c>
      <c r="BH1051" s="18">
        <v>0</v>
      </c>
      <c r="BI1051">
        <v>0</v>
      </c>
      <c r="BJ1051">
        <v>1</v>
      </c>
      <c r="BK1051" s="18">
        <v>0</v>
      </c>
      <c r="BL1051">
        <v>39.083333333333343</v>
      </c>
      <c r="BM1051">
        <v>9.01</v>
      </c>
      <c r="BN1051" s="25">
        <v>35.6</v>
      </c>
      <c r="BO1051">
        <v>1</v>
      </c>
      <c r="BP1051">
        <v>0</v>
      </c>
      <c r="BQ1051">
        <v>0</v>
      </c>
      <c r="BR1051">
        <v>0</v>
      </c>
      <c r="BS1051">
        <v>0</v>
      </c>
      <c r="BT1051">
        <v>0</v>
      </c>
      <c r="BU1051">
        <v>0</v>
      </c>
      <c r="BV1051" s="18">
        <v>0</v>
      </c>
      <c r="BW1051">
        <v>0</v>
      </c>
      <c r="BX1051">
        <v>0</v>
      </c>
      <c r="BY1051">
        <v>1</v>
      </c>
      <c r="BZ1051" s="18">
        <v>0</v>
      </c>
      <c r="CA1051">
        <v>0</v>
      </c>
      <c r="CB1051">
        <v>0</v>
      </c>
      <c r="CC1051">
        <v>0</v>
      </c>
      <c r="CD1051">
        <v>0</v>
      </c>
      <c r="CE1051">
        <v>0</v>
      </c>
      <c r="CF1051" s="18">
        <v>0</v>
      </c>
      <c r="CG1051">
        <v>0</v>
      </c>
      <c r="CH1051">
        <v>0</v>
      </c>
      <c r="CI1051">
        <v>1</v>
      </c>
      <c r="CJ1051">
        <v>1</v>
      </c>
      <c r="CK1051">
        <v>0</v>
      </c>
      <c r="CL1051">
        <v>0</v>
      </c>
      <c r="CM1051">
        <v>0</v>
      </c>
      <c r="CN1051">
        <v>0</v>
      </c>
      <c r="CO1051">
        <v>0</v>
      </c>
      <c r="CP1051">
        <v>0</v>
      </c>
      <c r="CQ1051" s="18">
        <v>0</v>
      </c>
      <c r="CR1051">
        <v>0.14599999999999999</v>
      </c>
      <c r="CS1051">
        <v>15</v>
      </c>
      <c r="CT1051">
        <v>1</v>
      </c>
      <c r="CU1051">
        <v>0</v>
      </c>
      <c r="CV1051">
        <v>23</v>
      </c>
      <c r="DB1051" s="34"/>
    </row>
    <row r="1052" spans="1:106" x14ac:dyDescent="0.25">
      <c r="A1052">
        <v>1051</v>
      </c>
      <c r="B1052">
        <v>71</v>
      </c>
      <c r="C1052" s="25" t="s">
        <v>4176</v>
      </c>
      <c r="D1052" s="12">
        <v>3.1</v>
      </c>
      <c r="E1052" s="14">
        <f t="shared" si="307"/>
        <v>0.71185185185185196</v>
      </c>
      <c r="F1052" s="7">
        <v>4.354838709677419</v>
      </c>
      <c r="G1052" s="7">
        <f t="shared" si="297"/>
        <v>2.3881481481481481</v>
      </c>
      <c r="H1052" s="16">
        <f t="shared" si="298"/>
        <v>3.811851851851852</v>
      </c>
      <c r="I1052" s="11">
        <f t="shared" si="299"/>
        <v>4.5608620854000068E-2</v>
      </c>
      <c r="J1052" s="33">
        <f t="shared" si="300"/>
        <v>1.0473090714622237E-2</v>
      </c>
      <c r="K1052" s="33">
        <f t="shared" si="301"/>
        <v>95.482797509223133</v>
      </c>
      <c r="L1052" s="33">
        <f t="shared" si="302"/>
        <v>3.5135530139377827E-2</v>
      </c>
      <c r="M1052" s="33">
        <f t="shared" si="303"/>
        <v>5.6081711568622308E-2</v>
      </c>
      <c r="N1052" s="8">
        <v>1</v>
      </c>
      <c r="O1052" s="9">
        <v>0</v>
      </c>
      <c r="P1052" s="8">
        <v>0</v>
      </c>
      <c r="Q1052" s="9">
        <v>0</v>
      </c>
      <c r="R1052" s="9">
        <v>0</v>
      </c>
      <c r="S1052" s="9">
        <v>0</v>
      </c>
      <c r="T1052" s="9">
        <v>1</v>
      </c>
      <c r="U1052" s="8">
        <v>9106</v>
      </c>
      <c r="V1052" s="9">
        <v>7</v>
      </c>
      <c r="W1052" s="9">
        <f t="shared" si="304"/>
        <v>9098</v>
      </c>
      <c r="X1052" s="9">
        <f t="shared" si="305"/>
        <v>33</v>
      </c>
      <c r="Y1052" s="7">
        <v>9.6999999999999993</v>
      </c>
      <c r="Z1052" s="7">
        <v>16.16</v>
      </c>
      <c r="AA1052" s="9">
        <v>0</v>
      </c>
      <c r="AB1052" s="9">
        <v>1</v>
      </c>
      <c r="AC1052" s="9">
        <v>1</v>
      </c>
      <c r="AD1052" s="9">
        <v>0</v>
      </c>
      <c r="AE1052" s="9">
        <v>0</v>
      </c>
      <c r="AF1052" s="9">
        <v>0</v>
      </c>
      <c r="AG1052" s="8">
        <v>0</v>
      </c>
      <c r="AH1052" s="9">
        <v>1</v>
      </c>
      <c r="AI1052" s="30">
        <v>0</v>
      </c>
      <c r="AJ1052" s="9">
        <v>0</v>
      </c>
      <c r="AK1052" s="30">
        <v>1</v>
      </c>
      <c r="AL1052" s="21">
        <v>2012</v>
      </c>
      <c r="AM1052" s="23">
        <f t="shared" si="306"/>
        <v>7.60688453121963</v>
      </c>
      <c r="AN1052" s="33">
        <v>9.0999999999999998E-2</v>
      </c>
      <c r="AO1052" s="33">
        <v>0.29499999999999998</v>
      </c>
      <c r="AP1052" s="33">
        <v>0.47799999999999998</v>
      </c>
      <c r="AQ1052" s="43">
        <v>0.13600000000000001</v>
      </c>
      <c r="AR1052" s="42">
        <v>1</v>
      </c>
      <c r="AS1052" s="18">
        <v>0</v>
      </c>
      <c r="AT1052">
        <v>0.627</v>
      </c>
      <c r="AU1052" s="40">
        <v>0.373</v>
      </c>
      <c r="AV1052">
        <v>0.68600000000000005</v>
      </c>
      <c r="AW1052" s="40">
        <v>0.29299999999999998</v>
      </c>
      <c r="AX1052">
        <v>0</v>
      </c>
      <c r="AY1052" s="18">
        <v>1</v>
      </c>
      <c r="AZ1052">
        <v>0.42699999999999999</v>
      </c>
      <c r="BA1052" s="18">
        <v>0.57299999999999995</v>
      </c>
      <c r="BB1052" s="18" t="s">
        <v>6</v>
      </c>
      <c r="BC1052">
        <v>0</v>
      </c>
      <c r="BD1052">
        <v>0</v>
      </c>
      <c r="BE1052">
        <v>0</v>
      </c>
      <c r="BF1052">
        <v>1</v>
      </c>
      <c r="BG1052">
        <v>0</v>
      </c>
      <c r="BH1052" s="18">
        <v>0</v>
      </c>
      <c r="BI1052">
        <v>0</v>
      </c>
      <c r="BJ1052">
        <v>1</v>
      </c>
      <c r="BK1052" s="18">
        <v>0</v>
      </c>
      <c r="BL1052">
        <v>39.083333333333343</v>
      </c>
      <c r="BM1052">
        <v>9.01</v>
      </c>
      <c r="BN1052" s="25">
        <v>35.6</v>
      </c>
      <c r="BO1052">
        <v>1</v>
      </c>
      <c r="BP1052">
        <v>0</v>
      </c>
      <c r="BQ1052">
        <v>0</v>
      </c>
      <c r="BR1052">
        <v>0</v>
      </c>
      <c r="BS1052">
        <v>0</v>
      </c>
      <c r="BT1052">
        <v>0</v>
      </c>
      <c r="BU1052">
        <v>0</v>
      </c>
      <c r="BV1052" s="18">
        <v>0</v>
      </c>
      <c r="BW1052">
        <v>0</v>
      </c>
      <c r="BX1052">
        <v>0</v>
      </c>
      <c r="BY1052">
        <v>1</v>
      </c>
      <c r="BZ1052" s="18">
        <v>0</v>
      </c>
      <c r="CA1052">
        <v>0</v>
      </c>
      <c r="CB1052">
        <v>0</v>
      </c>
      <c r="CC1052">
        <v>0</v>
      </c>
      <c r="CD1052">
        <v>0</v>
      </c>
      <c r="CE1052">
        <v>0</v>
      </c>
      <c r="CF1052" s="18">
        <v>0</v>
      </c>
      <c r="CG1052">
        <v>0</v>
      </c>
      <c r="CH1052">
        <v>0</v>
      </c>
      <c r="CI1052">
        <v>1</v>
      </c>
      <c r="CJ1052">
        <v>1</v>
      </c>
      <c r="CK1052">
        <v>0</v>
      </c>
      <c r="CL1052">
        <v>0</v>
      </c>
      <c r="CM1052">
        <v>0</v>
      </c>
      <c r="CN1052">
        <v>0</v>
      </c>
      <c r="CO1052">
        <v>0</v>
      </c>
      <c r="CP1052">
        <v>0</v>
      </c>
      <c r="CQ1052" s="18">
        <v>0</v>
      </c>
      <c r="CR1052">
        <v>0.14599999999999999</v>
      </c>
      <c r="CS1052">
        <v>15</v>
      </c>
      <c r="CT1052">
        <v>1</v>
      </c>
      <c r="CU1052">
        <v>0</v>
      </c>
      <c r="CV1052">
        <v>23</v>
      </c>
      <c r="DB1052" s="34"/>
    </row>
    <row r="1053" spans="1:106" x14ac:dyDescent="0.25">
      <c r="A1053">
        <v>1052</v>
      </c>
      <c r="B1053">
        <v>71</v>
      </c>
      <c r="C1053" s="25" t="s">
        <v>4176</v>
      </c>
      <c r="D1053" s="12">
        <v>4.0999999999999996</v>
      </c>
      <c r="E1053" s="14">
        <f t="shared" si="307"/>
        <v>0.37639344262295088</v>
      </c>
      <c r="F1053" s="7">
        <v>10.892857142857141</v>
      </c>
      <c r="G1053" s="7">
        <f t="shared" si="297"/>
        <v>3.7236065573770487</v>
      </c>
      <c r="H1053" s="16">
        <f t="shared" si="298"/>
        <v>4.4763934426229506</v>
      </c>
      <c r="I1053" s="11">
        <f t="shared" si="299"/>
        <v>0.11346323402692496</v>
      </c>
      <c r="J1053" s="33">
        <f t="shared" si="300"/>
        <v>1.041629689427508E-2</v>
      </c>
      <c r="K1053" s="33">
        <f t="shared" si="301"/>
        <v>96.003407943336555</v>
      </c>
      <c r="L1053" s="33">
        <f t="shared" si="302"/>
        <v>0.10304693713264988</v>
      </c>
      <c r="M1053" s="33">
        <f t="shared" si="303"/>
        <v>0.12387953092120003</v>
      </c>
      <c r="N1053" s="8">
        <v>1</v>
      </c>
      <c r="O1053" s="9">
        <v>0</v>
      </c>
      <c r="P1053" s="8">
        <v>0</v>
      </c>
      <c r="Q1053" s="9">
        <v>0</v>
      </c>
      <c r="R1053" s="9">
        <v>0</v>
      </c>
      <c r="S1053" s="9">
        <v>0</v>
      </c>
      <c r="T1053" s="9">
        <v>1</v>
      </c>
      <c r="U1053" s="8">
        <v>9106</v>
      </c>
      <c r="V1053" s="9">
        <v>7</v>
      </c>
      <c r="W1053" s="9">
        <f t="shared" si="304"/>
        <v>9098</v>
      </c>
      <c r="X1053" s="9">
        <f t="shared" si="305"/>
        <v>33</v>
      </c>
      <c r="Y1053" s="7">
        <v>9.6999999999999993</v>
      </c>
      <c r="Z1053" s="7">
        <v>16.16</v>
      </c>
      <c r="AA1053" s="9">
        <v>0</v>
      </c>
      <c r="AB1053" s="9">
        <v>1</v>
      </c>
      <c r="AC1053" s="9">
        <v>1</v>
      </c>
      <c r="AD1053" s="9">
        <v>0</v>
      </c>
      <c r="AE1053" s="9">
        <v>0</v>
      </c>
      <c r="AF1053" s="9">
        <v>0</v>
      </c>
      <c r="AG1053" s="8">
        <v>0</v>
      </c>
      <c r="AH1053" s="9">
        <v>1</v>
      </c>
      <c r="AI1053" s="30">
        <v>0</v>
      </c>
      <c r="AJ1053" s="9">
        <v>0</v>
      </c>
      <c r="AK1053" s="30">
        <v>1</v>
      </c>
      <c r="AL1053" s="21">
        <v>2012</v>
      </c>
      <c r="AM1053" s="23">
        <f t="shared" si="306"/>
        <v>7.60688453121963</v>
      </c>
      <c r="AN1053" s="33">
        <v>9.0999999999999998E-2</v>
      </c>
      <c r="AO1053" s="33">
        <v>0.29499999999999998</v>
      </c>
      <c r="AP1053" s="33">
        <v>0.47799999999999998</v>
      </c>
      <c r="AQ1053" s="43">
        <v>0.13600000000000001</v>
      </c>
      <c r="AR1053" s="42">
        <v>1</v>
      </c>
      <c r="AS1053" s="18">
        <v>0</v>
      </c>
      <c r="AT1053">
        <v>0.627</v>
      </c>
      <c r="AU1053" s="40">
        <v>0.373</v>
      </c>
      <c r="AV1053">
        <v>0.68600000000000005</v>
      </c>
      <c r="AW1053" s="40">
        <v>0.29299999999999998</v>
      </c>
      <c r="AX1053">
        <v>0</v>
      </c>
      <c r="AY1053" s="18">
        <v>1</v>
      </c>
      <c r="AZ1053">
        <v>0.42699999999999999</v>
      </c>
      <c r="BA1053" s="18">
        <v>0.57299999999999995</v>
      </c>
      <c r="BB1053" s="18" t="s">
        <v>6</v>
      </c>
      <c r="BC1053">
        <v>0</v>
      </c>
      <c r="BD1053">
        <v>0</v>
      </c>
      <c r="BE1053">
        <v>0</v>
      </c>
      <c r="BF1053">
        <v>1</v>
      </c>
      <c r="BG1053">
        <v>0</v>
      </c>
      <c r="BH1053" s="18">
        <v>0</v>
      </c>
      <c r="BI1053">
        <v>0</v>
      </c>
      <c r="BJ1053">
        <v>1</v>
      </c>
      <c r="BK1053" s="18">
        <v>0</v>
      </c>
      <c r="BL1053">
        <v>39.083333333333343</v>
      </c>
      <c r="BM1053">
        <v>9.01</v>
      </c>
      <c r="BN1053" s="25">
        <v>35.6</v>
      </c>
      <c r="BO1053">
        <v>1</v>
      </c>
      <c r="BP1053">
        <v>0</v>
      </c>
      <c r="BQ1053">
        <v>0</v>
      </c>
      <c r="BR1053">
        <v>0</v>
      </c>
      <c r="BS1053">
        <v>0</v>
      </c>
      <c r="BT1053">
        <v>0</v>
      </c>
      <c r="BU1053">
        <v>0</v>
      </c>
      <c r="BV1053" s="18">
        <v>0</v>
      </c>
      <c r="BW1053">
        <v>0</v>
      </c>
      <c r="BX1053">
        <v>0</v>
      </c>
      <c r="BY1053">
        <v>1</v>
      </c>
      <c r="BZ1053" s="18">
        <v>0</v>
      </c>
      <c r="CA1053">
        <v>0</v>
      </c>
      <c r="CB1053">
        <v>0</v>
      </c>
      <c r="CC1053">
        <v>0</v>
      </c>
      <c r="CD1053">
        <v>0</v>
      </c>
      <c r="CE1053">
        <v>0</v>
      </c>
      <c r="CF1053" s="18">
        <v>0</v>
      </c>
      <c r="CG1053">
        <v>0</v>
      </c>
      <c r="CH1053">
        <v>0</v>
      </c>
      <c r="CI1053">
        <v>1</v>
      </c>
      <c r="CJ1053">
        <v>1</v>
      </c>
      <c r="CK1053">
        <v>0</v>
      </c>
      <c r="CL1053">
        <v>0</v>
      </c>
      <c r="CM1053">
        <v>0</v>
      </c>
      <c r="CN1053">
        <v>0</v>
      </c>
      <c r="CO1053">
        <v>0</v>
      </c>
      <c r="CP1053">
        <v>0</v>
      </c>
      <c r="CQ1053" s="18">
        <v>0</v>
      </c>
      <c r="CR1053">
        <v>0.14599999999999999</v>
      </c>
      <c r="CS1053">
        <v>15</v>
      </c>
      <c r="CT1053">
        <v>1</v>
      </c>
      <c r="CU1053">
        <v>0</v>
      </c>
      <c r="CV1053">
        <v>23</v>
      </c>
      <c r="DB1053" s="34"/>
    </row>
    <row r="1054" spans="1:106" x14ac:dyDescent="0.25">
      <c r="A1054">
        <v>1053</v>
      </c>
      <c r="B1054">
        <v>71</v>
      </c>
      <c r="C1054" s="25" t="s">
        <v>4176</v>
      </c>
      <c r="D1054" s="12">
        <v>6.6</v>
      </c>
      <c r="E1054" s="14">
        <f t="shared" si="307"/>
        <v>0.61971830985915488</v>
      </c>
      <c r="F1054" s="7">
        <v>10.65</v>
      </c>
      <c r="G1054" s="7">
        <f t="shared" si="297"/>
        <v>5.9802816901408447</v>
      </c>
      <c r="H1054" s="16">
        <f t="shared" si="298"/>
        <v>7.2197183098591546</v>
      </c>
      <c r="I1054" s="11">
        <f t="shared" si="299"/>
        <v>0.11096506107070783</v>
      </c>
      <c r="J1054" s="33">
        <f t="shared" si="300"/>
        <v>1.0419254560629842E-2</v>
      </c>
      <c r="K1054" s="33">
        <f t="shared" si="301"/>
        <v>95.976155893013342</v>
      </c>
      <c r="L1054" s="33">
        <f t="shared" si="302"/>
        <v>0.100545806510078</v>
      </c>
      <c r="M1054" s="33">
        <f t="shared" si="303"/>
        <v>0.12138431563133767</v>
      </c>
      <c r="N1054" s="8">
        <v>1</v>
      </c>
      <c r="O1054" s="9">
        <v>0</v>
      </c>
      <c r="P1054" s="8">
        <v>0</v>
      </c>
      <c r="Q1054" s="9">
        <v>0</v>
      </c>
      <c r="R1054" s="9">
        <v>0</v>
      </c>
      <c r="S1054" s="9">
        <v>0</v>
      </c>
      <c r="T1054" s="9">
        <v>1</v>
      </c>
      <c r="U1054" s="8">
        <v>9106</v>
      </c>
      <c r="V1054" s="9">
        <v>7</v>
      </c>
      <c r="W1054" s="9">
        <f t="shared" si="304"/>
        <v>9098</v>
      </c>
      <c r="X1054" s="9">
        <f t="shared" si="305"/>
        <v>33</v>
      </c>
      <c r="Y1054" s="7">
        <v>9.6999999999999993</v>
      </c>
      <c r="Z1054" s="7">
        <v>16.16</v>
      </c>
      <c r="AA1054" s="9">
        <v>0</v>
      </c>
      <c r="AB1054" s="9">
        <v>1</v>
      </c>
      <c r="AC1054" s="9">
        <v>1</v>
      </c>
      <c r="AD1054" s="9">
        <v>0</v>
      </c>
      <c r="AE1054" s="9">
        <v>0</v>
      </c>
      <c r="AF1054" s="9">
        <v>0</v>
      </c>
      <c r="AG1054" s="8">
        <v>0</v>
      </c>
      <c r="AH1054" s="9">
        <v>1</v>
      </c>
      <c r="AI1054" s="30">
        <v>0</v>
      </c>
      <c r="AJ1054" s="9">
        <v>0</v>
      </c>
      <c r="AK1054" s="30">
        <v>1</v>
      </c>
      <c r="AL1054" s="21">
        <v>2012</v>
      </c>
      <c r="AM1054" s="23">
        <f t="shared" si="306"/>
        <v>7.60688453121963</v>
      </c>
      <c r="AN1054" s="33">
        <v>9.0999999999999998E-2</v>
      </c>
      <c r="AO1054" s="33">
        <v>0.29499999999999998</v>
      </c>
      <c r="AP1054" s="33">
        <v>0.47799999999999998</v>
      </c>
      <c r="AQ1054" s="43">
        <v>0.13600000000000001</v>
      </c>
      <c r="AR1054" s="42">
        <v>1</v>
      </c>
      <c r="AS1054" s="18">
        <v>0</v>
      </c>
      <c r="AT1054">
        <v>0.627</v>
      </c>
      <c r="AU1054" s="40">
        <v>0.373</v>
      </c>
      <c r="AV1054">
        <v>0.68600000000000005</v>
      </c>
      <c r="AW1054" s="40">
        <v>0.29299999999999998</v>
      </c>
      <c r="AX1054">
        <v>0</v>
      </c>
      <c r="AY1054" s="18">
        <v>1</v>
      </c>
      <c r="AZ1054">
        <v>0.42699999999999999</v>
      </c>
      <c r="BA1054" s="18">
        <v>0.57299999999999995</v>
      </c>
      <c r="BB1054" s="18" t="s">
        <v>6</v>
      </c>
      <c r="BC1054">
        <v>0</v>
      </c>
      <c r="BD1054">
        <v>0</v>
      </c>
      <c r="BE1054">
        <v>0</v>
      </c>
      <c r="BF1054">
        <v>1</v>
      </c>
      <c r="BG1054">
        <v>0</v>
      </c>
      <c r="BH1054" s="18">
        <v>0</v>
      </c>
      <c r="BI1054">
        <v>0</v>
      </c>
      <c r="BJ1054">
        <v>1</v>
      </c>
      <c r="BK1054" s="18">
        <v>0</v>
      </c>
      <c r="BL1054">
        <v>39.083333333333343</v>
      </c>
      <c r="BM1054">
        <v>9.01</v>
      </c>
      <c r="BN1054" s="25">
        <v>35.6</v>
      </c>
      <c r="BO1054">
        <v>1</v>
      </c>
      <c r="BP1054">
        <v>0</v>
      </c>
      <c r="BQ1054">
        <v>0</v>
      </c>
      <c r="BR1054">
        <v>0</v>
      </c>
      <c r="BS1054">
        <v>0</v>
      </c>
      <c r="BT1054">
        <v>0</v>
      </c>
      <c r="BU1054">
        <v>0</v>
      </c>
      <c r="BV1054" s="18">
        <v>0</v>
      </c>
      <c r="BW1054">
        <v>0</v>
      </c>
      <c r="BX1054">
        <v>0</v>
      </c>
      <c r="BY1054">
        <v>1</v>
      </c>
      <c r="BZ1054" s="18">
        <v>0</v>
      </c>
      <c r="CA1054">
        <v>0</v>
      </c>
      <c r="CB1054">
        <v>0</v>
      </c>
      <c r="CC1054">
        <v>0</v>
      </c>
      <c r="CD1054">
        <v>0</v>
      </c>
      <c r="CE1054">
        <v>0</v>
      </c>
      <c r="CF1054" s="18">
        <v>0</v>
      </c>
      <c r="CG1054">
        <v>0</v>
      </c>
      <c r="CH1054">
        <v>0</v>
      </c>
      <c r="CI1054">
        <v>1</v>
      </c>
      <c r="CJ1054">
        <v>1</v>
      </c>
      <c r="CK1054">
        <v>0</v>
      </c>
      <c r="CL1054">
        <v>0</v>
      </c>
      <c r="CM1054">
        <v>0</v>
      </c>
      <c r="CN1054">
        <v>0</v>
      </c>
      <c r="CO1054">
        <v>0</v>
      </c>
      <c r="CP1054">
        <v>0</v>
      </c>
      <c r="CQ1054" s="18">
        <v>0</v>
      </c>
      <c r="CR1054">
        <v>0.14599999999999999</v>
      </c>
      <c r="CS1054">
        <v>15</v>
      </c>
      <c r="CT1054">
        <v>1</v>
      </c>
      <c r="CU1054">
        <v>0</v>
      </c>
      <c r="CV1054">
        <v>23</v>
      </c>
      <c r="DB1054" s="34"/>
    </row>
    <row r="1055" spans="1:106" x14ac:dyDescent="0.25">
      <c r="A1055">
        <v>1054</v>
      </c>
      <c r="B1055">
        <v>71</v>
      </c>
      <c r="C1055" s="25" t="s">
        <v>4176</v>
      </c>
      <c r="D1055" s="12">
        <v>9.1999999999999993</v>
      </c>
      <c r="E1055" s="14">
        <f t="shared" si="307"/>
        <v>0.41255605381165916</v>
      </c>
      <c r="F1055" s="7">
        <v>22.3</v>
      </c>
      <c r="G1055" s="7">
        <f t="shared" si="297"/>
        <v>8.7874439461883398</v>
      </c>
      <c r="H1055" s="16">
        <f t="shared" si="298"/>
        <v>9.6125560538116588</v>
      </c>
      <c r="I1055" s="11">
        <f t="shared" si="299"/>
        <v>0.22765427522459039</v>
      </c>
      <c r="J1055" s="33">
        <f t="shared" si="300"/>
        <v>1.0208711893479388E-2</v>
      </c>
      <c r="K1055" s="33">
        <f t="shared" si="301"/>
        <v>97.955551144383861</v>
      </c>
      <c r="L1055" s="33">
        <f t="shared" si="302"/>
        <v>0.21744556333111101</v>
      </c>
      <c r="M1055" s="33">
        <f t="shared" si="303"/>
        <v>0.23786298711806977</v>
      </c>
      <c r="N1055" s="8">
        <v>1</v>
      </c>
      <c r="O1055" s="9">
        <v>0</v>
      </c>
      <c r="P1055" s="8">
        <v>0</v>
      </c>
      <c r="Q1055" s="9">
        <v>0</v>
      </c>
      <c r="R1055" s="9">
        <v>0</v>
      </c>
      <c r="S1055" s="9">
        <v>0</v>
      </c>
      <c r="T1055" s="9">
        <v>1</v>
      </c>
      <c r="U1055" s="8">
        <v>9106</v>
      </c>
      <c r="V1055" s="9">
        <v>7</v>
      </c>
      <c r="W1055" s="9">
        <f t="shared" si="304"/>
        <v>9098</v>
      </c>
      <c r="X1055" s="9">
        <f t="shared" si="305"/>
        <v>33</v>
      </c>
      <c r="Y1055" s="7">
        <v>9.6999999999999993</v>
      </c>
      <c r="Z1055" s="7">
        <v>16.16</v>
      </c>
      <c r="AA1055" s="9">
        <v>0</v>
      </c>
      <c r="AB1055" s="9">
        <v>1</v>
      </c>
      <c r="AC1055" s="9">
        <v>1</v>
      </c>
      <c r="AD1055" s="9">
        <v>0</v>
      </c>
      <c r="AE1055" s="9">
        <v>0</v>
      </c>
      <c r="AF1055" s="9">
        <v>0</v>
      </c>
      <c r="AG1055" s="8">
        <v>0</v>
      </c>
      <c r="AH1055" s="9">
        <v>1</v>
      </c>
      <c r="AI1055" s="30">
        <v>0</v>
      </c>
      <c r="AJ1055" s="9">
        <v>0</v>
      </c>
      <c r="AK1055" s="30">
        <v>1</v>
      </c>
      <c r="AL1055" s="21">
        <v>2012</v>
      </c>
      <c r="AM1055" s="23">
        <f t="shared" si="306"/>
        <v>7.60688453121963</v>
      </c>
      <c r="AN1055" s="33">
        <v>9.0999999999999998E-2</v>
      </c>
      <c r="AO1055" s="33">
        <v>0.29499999999999998</v>
      </c>
      <c r="AP1055" s="33">
        <v>0.47799999999999998</v>
      </c>
      <c r="AQ1055" s="43">
        <v>0.13600000000000001</v>
      </c>
      <c r="AR1055" s="42">
        <v>1</v>
      </c>
      <c r="AS1055" s="18">
        <v>0</v>
      </c>
      <c r="AT1055">
        <v>0.627</v>
      </c>
      <c r="AU1055" s="40">
        <v>0.373</v>
      </c>
      <c r="AV1055">
        <v>0.68600000000000005</v>
      </c>
      <c r="AW1055" s="40">
        <v>0.29299999999999998</v>
      </c>
      <c r="AX1055">
        <v>0</v>
      </c>
      <c r="AY1055" s="18">
        <v>1</v>
      </c>
      <c r="AZ1055">
        <v>0.42699999999999999</v>
      </c>
      <c r="BA1055" s="18">
        <v>0.57299999999999995</v>
      </c>
      <c r="BB1055" s="18" t="s">
        <v>6</v>
      </c>
      <c r="BC1055">
        <v>0</v>
      </c>
      <c r="BD1055">
        <v>0</v>
      </c>
      <c r="BE1055">
        <v>0</v>
      </c>
      <c r="BF1055">
        <v>1</v>
      </c>
      <c r="BG1055">
        <v>0</v>
      </c>
      <c r="BH1055" s="18">
        <v>0</v>
      </c>
      <c r="BI1055">
        <v>0</v>
      </c>
      <c r="BJ1055">
        <v>1</v>
      </c>
      <c r="BK1055" s="18">
        <v>0</v>
      </c>
      <c r="BL1055">
        <v>39.083333333333343</v>
      </c>
      <c r="BM1055">
        <v>9.01</v>
      </c>
      <c r="BN1055" s="25">
        <v>35.6</v>
      </c>
      <c r="BO1055">
        <v>1</v>
      </c>
      <c r="BP1055">
        <v>0</v>
      </c>
      <c r="BQ1055">
        <v>0</v>
      </c>
      <c r="BR1055">
        <v>0</v>
      </c>
      <c r="BS1055">
        <v>0</v>
      </c>
      <c r="BT1055">
        <v>0</v>
      </c>
      <c r="BU1055">
        <v>0</v>
      </c>
      <c r="BV1055" s="18">
        <v>0</v>
      </c>
      <c r="BW1055">
        <v>0</v>
      </c>
      <c r="BX1055">
        <v>0</v>
      </c>
      <c r="BY1055">
        <v>1</v>
      </c>
      <c r="BZ1055" s="18">
        <v>0</v>
      </c>
      <c r="CA1055">
        <v>0</v>
      </c>
      <c r="CB1055">
        <v>0</v>
      </c>
      <c r="CC1055">
        <v>0</v>
      </c>
      <c r="CD1055">
        <v>0</v>
      </c>
      <c r="CE1055">
        <v>0</v>
      </c>
      <c r="CF1055" s="18">
        <v>0</v>
      </c>
      <c r="CG1055">
        <v>0</v>
      </c>
      <c r="CH1055">
        <v>0</v>
      </c>
      <c r="CI1055">
        <v>1</v>
      </c>
      <c r="CJ1055">
        <v>1</v>
      </c>
      <c r="CK1055">
        <v>0</v>
      </c>
      <c r="CL1055">
        <v>0</v>
      </c>
      <c r="CM1055">
        <v>0</v>
      </c>
      <c r="CN1055">
        <v>0</v>
      </c>
      <c r="CO1055">
        <v>0</v>
      </c>
      <c r="CP1055">
        <v>0</v>
      </c>
      <c r="CQ1055" s="18">
        <v>0</v>
      </c>
      <c r="CR1055">
        <v>0.14599999999999999</v>
      </c>
      <c r="CS1055">
        <v>15</v>
      </c>
      <c r="CT1055">
        <v>1</v>
      </c>
      <c r="CU1055">
        <v>0</v>
      </c>
      <c r="CV1055">
        <v>23</v>
      </c>
      <c r="DB1055" s="34"/>
    </row>
    <row r="1056" spans="1:106" x14ac:dyDescent="0.25">
      <c r="A1056">
        <v>1055</v>
      </c>
      <c r="B1056">
        <v>71</v>
      </c>
      <c r="C1056" s="25" t="s">
        <v>4176</v>
      </c>
      <c r="D1056" s="12">
        <v>0.4</v>
      </c>
      <c r="E1056" s="14">
        <f t="shared" si="307"/>
        <v>1.2749999999999999</v>
      </c>
      <c r="F1056" s="7">
        <v>0.31372549019607848</v>
      </c>
      <c r="G1056" s="7">
        <f t="shared" si="297"/>
        <v>-0.87499999999999989</v>
      </c>
      <c r="H1056" s="16">
        <f t="shared" si="298"/>
        <v>1.6749999999999998</v>
      </c>
      <c r="I1056" s="11">
        <f t="shared" si="299"/>
        <v>3.2923388633552871E-3</v>
      </c>
      <c r="J1056" s="33">
        <f t="shared" si="300"/>
        <v>1.0494330126944975E-2</v>
      </c>
      <c r="K1056" s="33">
        <f t="shared" si="301"/>
        <v>95.28955044328417</v>
      </c>
      <c r="L1056" s="33">
        <f t="shared" si="302"/>
        <v>-7.2019912635896879E-3</v>
      </c>
      <c r="M1056" s="33">
        <f t="shared" si="303"/>
        <v>1.3786668990300262E-2</v>
      </c>
      <c r="N1056" s="8">
        <v>1</v>
      </c>
      <c r="O1056" s="9">
        <v>0</v>
      </c>
      <c r="P1056" s="8">
        <v>0</v>
      </c>
      <c r="Q1056" s="9">
        <v>0</v>
      </c>
      <c r="R1056" s="9">
        <v>0</v>
      </c>
      <c r="S1056" s="9">
        <v>0</v>
      </c>
      <c r="T1056" s="9">
        <v>1</v>
      </c>
      <c r="U1056" s="8">
        <v>9106</v>
      </c>
      <c r="V1056" s="9">
        <v>25</v>
      </c>
      <c r="W1056" s="9">
        <f t="shared" si="304"/>
        <v>9080</v>
      </c>
      <c r="X1056" s="9">
        <f t="shared" si="305"/>
        <v>33</v>
      </c>
      <c r="Y1056" s="7">
        <v>9.6999999999999993</v>
      </c>
      <c r="Z1056" s="7">
        <v>16.16</v>
      </c>
      <c r="AA1056" s="9">
        <v>0</v>
      </c>
      <c r="AB1056" s="9">
        <v>1</v>
      </c>
      <c r="AC1056" s="9">
        <v>1</v>
      </c>
      <c r="AD1056" s="9">
        <v>0</v>
      </c>
      <c r="AE1056" s="9">
        <v>0</v>
      </c>
      <c r="AF1056" s="9">
        <v>0</v>
      </c>
      <c r="AG1056" s="8">
        <v>0</v>
      </c>
      <c r="AH1056" s="9">
        <v>1</v>
      </c>
      <c r="AI1056" s="30">
        <v>0</v>
      </c>
      <c r="AJ1056" s="9">
        <v>0</v>
      </c>
      <c r="AK1056" s="30">
        <v>1</v>
      </c>
      <c r="AL1056" s="21">
        <v>2012</v>
      </c>
      <c r="AM1056" s="23">
        <f t="shared" si="306"/>
        <v>7.60688453121963</v>
      </c>
      <c r="AN1056" s="33">
        <v>9.0999999999999998E-2</v>
      </c>
      <c r="AO1056" s="33">
        <v>0.29499999999999998</v>
      </c>
      <c r="AP1056" s="33">
        <v>0.47799999999999998</v>
      </c>
      <c r="AQ1056" s="43">
        <v>0.13600000000000001</v>
      </c>
      <c r="AR1056" s="42">
        <v>1</v>
      </c>
      <c r="AS1056" s="18">
        <v>0</v>
      </c>
      <c r="AT1056">
        <v>0.627</v>
      </c>
      <c r="AU1056" s="40">
        <v>0.373</v>
      </c>
      <c r="AV1056">
        <v>0.68600000000000005</v>
      </c>
      <c r="AW1056" s="40">
        <v>0.29299999999999998</v>
      </c>
      <c r="AX1056">
        <v>0</v>
      </c>
      <c r="AY1056" s="18">
        <v>1</v>
      </c>
      <c r="AZ1056">
        <v>0.42699999999999999</v>
      </c>
      <c r="BA1056" s="18">
        <v>0.57299999999999995</v>
      </c>
      <c r="BB1056" s="18" t="s">
        <v>6</v>
      </c>
      <c r="BC1056">
        <v>0</v>
      </c>
      <c r="BD1056">
        <v>0</v>
      </c>
      <c r="BE1056">
        <v>0</v>
      </c>
      <c r="BF1056">
        <v>1</v>
      </c>
      <c r="BG1056">
        <v>0</v>
      </c>
      <c r="BH1056" s="18">
        <v>0</v>
      </c>
      <c r="BI1056">
        <v>0</v>
      </c>
      <c r="BJ1056">
        <v>1</v>
      </c>
      <c r="BK1056" s="18">
        <v>0</v>
      </c>
      <c r="BL1056">
        <v>39.083333333333343</v>
      </c>
      <c r="BM1056">
        <v>9.01</v>
      </c>
      <c r="BN1056" s="25">
        <v>35.6</v>
      </c>
      <c r="BO1056">
        <v>1</v>
      </c>
      <c r="BP1056">
        <v>0</v>
      </c>
      <c r="BQ1056">
        <v>0</v>
      </c>
      <c r="BR1056">
        <v>0</v>
      </c>
      <c r="BS1056">
        <v>0</v>
      </c>
      <c r="BT1056">
        <v>0</v>
      </c>
      <c r="BU1056">
        <v>0</v>
      </c>
      <c r="BV1056" s="18">
        <v>0</v>
      </c>
      <c r="BW1056">
        <v>0</v>
      </c>
      <c r="BX1056">
        <v>0</v>
      </c>
      <c r="BY1056">
        <v>1</v>
      </c>
      <c r="BZ1056" s="18">
        <v>0</v>
      </c>
      <c r="CA1056">
        <v>0</v>
      </c>
      <c r="CB1056">
        <v>0</v>
      </c>
      <c r="CC1056">
        <v>0</v>
      </c>
      <c r="CD1056">
        <v>0</v>
      </c>
      <c r="CE1056">
        <v>0</v>
      </c>
      <c r="CF1056" s="18">
        <v>0</v>
      </c>
      <c r="CG1056">
        <v>1</v>
      </c>
      <c r="CH1056">
        <v>0</v>
      </c>
      <c r="CI1056">
        <v>1</v>
      </c>
      <c r="CJ1056">
        <v>1</v>
      </c>
      <c r="CK1056">
        <v>0</v>
      </c>
      <c r="CL1056">
        <v>0</v>
      </c>
      <c r="CM1056">
        <v>1</v>
      </c>
      <c r="CN1056">
        <v>0</v>
      </c>
      <c r="CO1056">
        <v>0</v>
      </c>
      <c r="CP1056">
        <v>0</v>
      </c>
      <c r="CQ1056" s="18">
        <v>1</v>
      </c>
      <c r="CR1056">
        <v>0.14599999999999999</v>
      </c>
      <c r="CS1056">
        <v>15</v>
      </c>
      <c r="CT1056">
        <v>1</v>
      </c>
      <c r="CU1056">
        <v>0</v>
      </c>
      <c r="CV1056">
        <v>23</v>
      </c>
      <c r="DB1056" s="34"/>
    </row>
    <row r="1057" spans="1:106" x14ac:dyDescent="0.25">
      <c r="A1057">
        <v>1056</v>
      </c>
      <c r="B1057">
        <v>71</v>
      </c>
      <c r="C1057" s="25" t="s">
        <v>4176</v>
      </c>
      <c r="D1057" s="12">
        <v>2.8</v>
      </c>
      <c r="E1057" s="14">
        <f t="shared" si="307"/>
        <v>1.3517241379310341</v>
      </c>
      <c r="F1057" s="7">
        <v>2.0714285714285721</v>
      </c>
      <c r="G1057" s="7">
        <f t="shared" si="297"/>
        <v>1.4482758620689657</v>
      </c>
      <c r="H1057" s="16">
        <f t="shared" si="298"/>
        <v>4.1517241379310335</v>
      </c>
      <c r="I1057" s="11">
        <f t="shared" si="299"/>
        <v>2.1733238590746627E-2</v>
      </c>
      <c r="J1057" s="33">
        <f t="shared" si="300"/>
        <v>1.0491908285188024E-2</v>
      </c>
      <c r="K1057" s="33">
        <f t="shared" si="301"/>
        <v>95.311546080873811</v>
      </c>
      <c r="L1057" s="33">
        <f t="shared" si="302"/>
        <v>1.1241330305558603E-2</v>
      </c>
      <c r="M1057" s="33">
        <f t="shared" si="303"/>
        <v>3.2225146875934654E-2</v>
      </c>
      <c r="N1057" s="8">
        <v>1</v>
      </c>
      <c r="O1057" s="9">
        <v>0</v>
      </c>
      <c r="P1057" s="8">
        <v>0</v>
      </c>
      <c r="Q1057" s="9">
        <v>0</v>
      </c>
      <c r="R1057" s="9">
        <v>0</v>
      </c>
      <c r="S1057" s="9">
        <v>0</v>
      </c>
      <c r="T1057" s="9">
        <v>1</v>
      </c>
      <c r="U1057" s="8">
        <v>9106</v>
      </c>
      <c r="V1057" s="9">
        <v>25</v>
      </c>
      <c r="W1057" s="9">
        <f t="shared" si="304"/>
        <v>9080</v>
      </c>
      <c r="X1057" s="9">
        <f t="shared" si="305"/>
        <v>33</v>
      </c>
      <c r="Y1057" s="7">
        <v>9.6999999999999993</v>
      </c>
      <c r="Z1057" s="7">
        <v>16.16</v>
      </c>
      <c r="AA1057" s="9">
        <v>0</v>
      </c>
      <c r="AB1057" s="9">
        <v>1</v>
      </c>
      <c r="AC1057" s="9">
        <v>1</v>
      </c>
      <c r="AD1057" s="9">
        <v>0</v>
      </c>
      <c r="AE1057" s="9">
        <v>0</v>
      </c>
      <c r="AF1057" s="9">
        <v>0</v>
      </c>
      <c r="AG1057" s="8">
        <v>0</v>
      </c>
      <c r="AH1057" s="9">
        <v>1</v>
      </c>
      <c r="AI1057" s="30">
        <v>0</v>
      </c>
      <c r="AJ1057" s="9">
        <v>0</v>
      </c>
      <c r="AK1057" s="30">
        <v>1</v>
      </c>
      <c r="AL1057" s="21">
        <v>2012</v>
      </c>
      <c r="AM1057" s="23">
        <f t="shared" si="306"/>
        <v>7.60688453121963</v>
      </c>
      <c r="AN1057" s="33">
        <v>9.0999999999999998E-2</v>
      </c>
      <c r="AO1057" s="33">
        <v>0.29499999999999998</v>
      </c>
      <c r="AP1057" s="33">
        <v>0.47799999999999998</v>
      </c>
      <c r="AQ1057" s="43">
        <v>0.13600000000000001</v>
      </c>
      <c r="AR1057" s="42">
        <v>1</v>
      </c>
      <c r="AS1057" s="18">
        <v>0</v>
      </c>
      <c r="AT1057">
        <v>0.627</v>
      </c>
      <c r="AU1057" s="40">
        <v>0.373</v>
      </c>
      <c r="AV1057">
        <v>0.68600000000000005</v>
      </c>
      <c r="AW1057" s="40">
        <v>0.29299999999999998</v>
      </c>
      <c r="AX1057">
        <v>0</v>
      </c>
      <c r="AY1057" s="18">
        <v>1</v>
      </c>
      <c r="AZ1057">
        <v>0.42699999999999999</v>
      </c>
      <c r="BA1057" s="18">
        <v>0.57299999999999995</v>
      </c>
      <c r="BB1057" s="18" t="s">
        <v>6</v>
      </c>
      <c r="BC1057">
        <v>0</v>
      </c>
      <c r="BD1057">
        <v>0</v>
      </c>
      <c r="BE1057">
        <v>0</v>
      </c>
      <c r="BF1057">
        <v>1</v>
      </c>
      <c r="BG1057">
        <v>0</v>
      </c>
      <c r="BH1057" s="18">
        <v>0</v>
      </c>
      <c r="BI1057">
        <v>0</v>
      </c>
      <c r="BJ1057">
        <v>1</v>
      </c>
      <c r="BK1057" s="18">
        <v>0</v>
      </c>
      <c r="BL1057">
        <v>39.083333333333343</v>
      </c>
      <c r="BM1057">
        <v>9.01</v>
      </c>
      <c r="BN1057" s="25">
        <v>35.6</v>
      </c>
      <c r="BO1057">
        <v>1</v>
      </c>
      <c r="BP1057">
        <v>0</v>
      </c>
      <c r="BQ1057">
        <v>0</v>
      </c>
      <c r="BR1057">
        <v>0</v>
      </c>
      <c r="BS1057">
        <v>0</v>
      </c>
      <c r="BT1057">
        <v>0</v>
      </c>
      <c r="BU1057">
        <v>0</v>
      </c>
      <c r="BV1057" s="18">
        <v>0</v>
      </c>
      <c r="BW1057">
        <v>0</v>
      </c>
      <c r="BX1057">
        <v>0</v>
      </c>
      <c r="BY1057">
        <v>1</v>
      </c>
      <c r="BZ1057" s="18">
        <v>0</v>
      </c>
      <c r="CA1057">
        <v>0</v>
      </c>
      <c r="CB1057">
        <v>0</v>
      </c>
      <c r="CC1057">
        <v>0</v>
      </c>
      <c r="CD1057">
        <v>0</v>
      </c>
      <c r="CE1057">
        <v>0</v>
      </c>
      <c r="CF1057" s="18">
        <v>0</v>
      </c>
      <c r="CG1057">
        <v>1</v>
      </c>
      <c r="CH1057">
        <v>0</v>
      </c>
      <c r="CI1057">
        <v>1</v>
      </c>
      <c r="CJ1057">
        <v>1</v>
      </c>
      <c r="CK1057">
        <v>0</v>
      </c>
      <c r="CL1057">
        <v>0</v>
      </c>
      <c r="CM1057">
        <v>1</v>
      </c>
      <c r="CN1057">
        <v>0</v>
      </c>
      <c r="CO1057">
        <v>0</v>
      </c>
      <c r="CP1057">
        <v>0</v>
      </c>
      <c r="CQ1057" s="18">
        <v>1</v>
      </c>
      <c r="CR1057">
        <v>0.14599999999999999</v>
      </c>
      <c r="CS1057">
        <v>15</v>
      </c>
      <c r="CT1057">
        <v>1</v>
      </c>
      <c r="CU1057">
        <v>0</v>
      </c>
      <c r="CV1057">
        <v>23</v>
      </c>
      <c r="DB1057" s="34"/>
    </row>
    <row r="1058" spans="1:106" x14ac:dyDescent="0.25">
      <c r="A1058">
        <v>1057</v>
      </c>
      <c r="B1058">
        <v>71</v>
      </c>
      <c r="C1058" s="25" t="s">
        <v>4176</v>
      </c>
      <c r="D1058" s="12">
        <v>6.5</v>
      </c>
      <c r="E1058" s="14">
        <f t="shared" si="307"/>
        <v>0.85880829015544036</v>
      </c>
      <c r="F1058" s="7">
        <v>7.5686274509803928</v>
      </c>
      <c r="G1058" s="7">
        <f t="shared" si="297"/>
        <v>5.6411917098445592</v>
      </c>
      <c r="H1058" s="16">
        <f t="shared" si="298"/>
        <v>7.3588082901554408</v>
      </c>
      <c r="I1058" s="11">
        <f t="shared" si="299"/>
        <v>7.917873589605838E-2</v>
      </c>
      <c r="J1058" s="33">
        <f t="shared" si="300"/>
        <v>1.0461439198702013E-2</v>
      </c>
      <c r="K1058" s="33">
        <f t="shared" si="301"/>
        <v>95.589142278251117</v>
      </c>
      <c r="L1058" s="33">
        <f t="shared" si="302"/>
        <v>6.8717296697356364E-2</v>
      </c>
      <c r="M1058" s="33">
        <f t="shared" si="303"/>
        <v>8.9640175094760396E-2</v>
      </c>
      <c r="N1058" s="8">
        <v>1</v>
      </c>
      <c r="O1058" s="9">
        <v>0</v>
      </c>
      <c r="P1058" s="8">
        <v>0</v>
      </c>
      <c r="Q1058" s="9">
        <v>0</v>
      </c>
      <c r="R1058" s="9">
        <v>0</v>
      </c>
      <c r="S1058" s="9">
        <v>0</v>
      </c>
      <c r="T1058" s="9">
        <v>1</v>
      </c>
      <c r="U1058" s="8">
        <v>9106</v>
      </c>
      <c r="V1058" s="9">
        <v>25</v>
      </c>
      <c r="W1058" s="9">
        <f t="shared" si="304"/>
        <v>9080</v>
      </c>
      <c r="X1058" s="9">
        <f t="shared" si="305"/>
        <v>33</v>
      </c>
      <c r="Y1058" s="7">
        <v>9.6999999999999993</v>
      </c>
      <c r="Z1058" s="7">
        <v>16.16</v>
      </c>
      <c r="AA1058" s="9">
        <v>0</v>
      </c>
      <c r="AB1058" s="9">
        <v>1</v>
      </c>
      <c r="AC1058" s="9">
        <v>1</v>
      </c>
      <c r="AD1058" s="9">
        <v>0</v>
      </c>
      <c r="AE1058" s="9">
        <v>0</v>
      </c>
      <c r="AF1058" s="9">
        <v>0</v>
      </c>
      <c r="AG1058" s="8">
        <v>0</v>
      </c>
      <c r="AH1058" s="9">
        <v>1</v>
      </c>
      <c r="AI1058" s="30">
        <v>0</v>
      </c>
      <c r="AJ1058" s="9">
        <v>0</v>
      </c>
      <c r="AK1058" s="30">
        <v>1</v>
      </c>
      <c r="AL1058" s="21">
        <v>2012</v>
      </c>
      <c r="AM1058" s="23">
        <f t="shared" si="306"/>
        <v>7.60688453121963</v>
      </c>
      <c r="AN1058" s="33">
        <v>9.0999999999999998E-2</v>
      </c>
      <c r="AO1058" s="33">
        <v>0.29499999999999998</v>
      </c>
      <c r="AP1058" s="33">
        <v>0.47799999999999998</v>
      </c>
      <c r="AQ1058" s="43">
        <v>0.13600000000000001</v>
      </c>
      <c r="AR1058" s="42">
        <v>1</v>
      </c>
      <c r="AS1058" s="18">
        <v>0</v>
      </c>
      <c r="AT1058">
        <v>0.627</v>
      </c>
      <c r="AU1058" s="40">
        <v>0.373</v>
      </c>
      <c r="AV1058">
        <v>0.68600000000000005</v>
      </c>
      <c r="AW1058" s="40">
        <v>0.29299999999999998</v>
      </c>
      <c r="AX1058">
        <v>0</v>
      </c>
      <c r="AY1058" s="18">
        <v>1</v>
      </c>
      <c r="AZ1058">
        <v>0.42699999999999999</v>
      </c>
      <c r="BA1058" s="18">
        <v>0.57299999999999995</v>
      </c>
      <c r="BB1058" s="18" t="s">
        <v>6</v>
      </c>
      <c r="BC1058">
        <v>0</v>
      </c>
      <c r="BD1058">
        <v>0</v>
      </c>
      <c r="BE1058">
        <v>0</v>
      </c>
      <c r="BF1058">
        <v>1</v>
      </c>
      <c r="BG1058">
        <v>0</v>
      </c>
      <c r="BH1058" s="18">
        <v>0</v>
      </c>
      <c r="BI1058">
        <v>0</v>
      </c>
      <c r="BJ1058">
        <v>1</v>
      </c>
      <c r="BK1058" s="18">
        <v>0</v>
      </c>
      <c r="BL1058">
        <v>39.083333333333343</v>
      </c>
      <c r="BM1058">
        <v>9.01</v>
      </c>
      <c r="BN1058" s="25">
        <v>35.6</v>
      </c>
      <c r="BO1058">
        <v>1</v>
      </c>
      <c r="BP1058">
        <v>0</v>
      </c>
      <c r="BQ1058">
        <v>0</v>
      </c>
      <c r="BR1058">
        <v>0</v>
      </c>
      <c r="BS1058">
        <v>0</v>
      </c>
      <c r="BT1058">
        <v>0</v>
      </c>
      <c r="BU1058">
        <v>0</v>
      </c>
      <c r="BV1058" s="18">
        <v>0</v>
      </c>
      <c r="BW1058">
        <v>0</v>
      </c>
      <c r="BX1058">
        <v>0</v>
      </c>
      <c r="BY1058">
        <v>1</v>
      </c>
      <c r="BZ1058" s="18">
        <v>0</v>
      </c>
      <c r="CA1058">
        <v>0</v>
      </c>
      <c r="CB1058">
        <v>0</v>
      </c>
      <c r="CC1058">
        <v>0</v>
      </c>
      <c r="CD1058">
        <v>0</v>
      </c>
      <c r="CE1058">
        <v>0</v>
      </c>
      <c r="CF1058" s="18">
        <v>0</v>
      </c>
      <c r="CG1058">
        <v>1</v>
      </c>
      <c r="CH1058">
        <v>0</v>
      </c>
      <c r="CI1058">
        <v>1</v>
      </c>
      <c r="CJ1058">
        <v>1</v>
      </c>
      <c r="CK1058">
        <v>0</v>
      </c>
      <c r="CL1058">
        <v>0</v>
      </c>
      <c r="CM1058">
        <v>1</v>
      </c>
      <c r="CN1058">
        <v>0</v>
      </c>
      <c r="CO1058">
        <v>0</v>
      </c>
      <c r="CP1058">
        <v>0</v>
      </c>
      <c r="CQ1058" s="18">
        <v>1</v>
      </c>
      <c r="CR1058">
        <v>0.14599999999999999</v>
      </c>
      <c r="CS1058">
        <v>15</v>
      </c>
      <c r="CT1058">
        <v>1</v>
      </c>
      <c r="CU1058">
        <v>0</v>
      </c>
      <c r="CV1058">
        <v>23</v>
      </c>
      <c r="DB1058" s="34"/>
    </row>
    <row r="1059" spans="1:106" x14ac:dyDescent="0.25">
      <c r="A1059">
        <v>1058</v>
      </c>
      <c r="B1059">
        <v>71</v>
      </c>
      <c r="C1059" s="25" t="s">
        <v>4176</v>
      </c>
      <c r="D1059" s="12">
        <v>2.5</v>
      </c>
      <c r="E1059" s="14">
        <f t="shared" si="307"/>
        <v>0.48032407407407407</v>
      </c>
      <c r="F1059" s="7">
        <v>5.2048192771084336</v>
      </c>
      <c r="G1059" s="7">
        <f t="shared" si="297"/>
        <v>2.019675925925926</v>
      </c>
      <c r="H1059" s="16">
        <f t="shared" si="298"/>
        <v>2.980324074074074</v>
      </c>
      <c r="I1059" s="11">
        <f t="shared" si="299"/>
        <v>5.4540088306269344E-2</v>
      </c>
      <c r="J1059" s="33">
        <f t="shared" si="300"/>
        <v>1.0478766966250823E-2</v>
      </c>
      <c r="K1059" s="33">
        <f t="shared" si="301"/>
        <v>95.43107535654913</v>
      </c>
      <c r="L1059" s="33">
        <f t="shared" si="302"/>
        <v>4.4061321340018521E-2</v>
      </c>
      <c r="M1059" s="33">
        <f t="shared" si="303"/>
        <v>6.501885527252016E-2</v>
      </c>
      <c r="N1059" s="8">
        <v>1</v>
      </c>
      <c r="O1059" s="9">
        <v>0</v>
      </c>
      <c r="P1059" s="8">
        <v>0</v>
      </c>
      <c r="Q1059" s="9">
        <v>0</v>
      </c>
      <c r="R1059" s="9">
        <v>0</v>
      </c>
      <c r="S1059" s="9">
        <v>0</v>
      </c>
      <c r="T1059" s="9">
        <v>1</v>
      </c>
      <c r="U1059" s="8">
        <v>9106</v>
      </c>
      <c r="V1059" s="9">
        <v>25</v>
      </c>
      <c r="W1059" s="9">
        <f t="shared" si="304"/>
        <v>9080</v>
      </c>
      <c r="X1059" s="9">
        <f t="shared" si="305"/>
        <v>33</v>
      </c>
      <c r="Y1059" s="7">
        <v>9.6999999999999993</v>
      </c>
      <c r="Z1059" s="7">
        <v>16.16</v>
      </c>
      <c r="AA1059" s="9">
        <v>0</v>
      </c>
      <c r="AB1059" s="9">
        <v>1</v>
      </c>
      <c r="AC1059" s="9">
        <v>1</v>
      </c>
      <c r="AD1059" s="9">
        <v>0</v>
      </c>
      <c r="AE1059" s="9">
        <v>0</v>
      </c>
      <c r="AF1059" s="9">
        <v>0</v>
      </c>
      <c r="AG1059" s="8">
        <v>0</v>
      </c>
      <c r="AH1059" s="9">
        <v>1</v>
      </c>
      <c r="AI1059" s="30">
        <v>0</v>
      </c>
      <c r="AJ1059" s="9">
        <v>0</v>
      </c>
      <c r="AK1059" s="30">
        <v>1</v>
      </c>
      <c r="AL1059" s="21">
        <v>2012</v>
      </c>
      <c r="AM1059" s="23">
        <f t="shared" si="306"/>
        <v>7.60688453121963</v>
      </c>
      <c r="AN1059" s="33">
        <v>9.0999999999999998E-2</v>
      </c>
      <c r="AO1059" s="33">
        <v>0.29499999999999998</v>
      </c>
      <c r="AP1059" s="33">
        <v>0.47799999999999998</v>
      </c>
      <c r="AQ1059" s="43">
        <v>0.13600000000000001</v>
      </c>
      <c r="AR1059" s="42">
        <v>1</v>
      </c>
      <c r="AS1059" s="18">
        <v>0</v>
      </c>
      <c r="AT1059">
        <v>0.627</v>
      </c>
      <c r="AU1059" s="40">
        <v>0.373</v>
      </c>
      <c r="AV1059">
        <v>0.68600000000000005</v>
      </c>
      <c r="AW1059" s="40">
        <v>0.29299999999999998</v>
      </c>
      <c r="AX1059">
        <v>0</v>
      </c>
      <c r="AY1059" s="18">
        <v>1</v>
      </c>
      <c r="AZ1059">
        <v>0.42699999999999999</v>
      </c>
      <c r="BA1059" s="18">
        <v>0.57299999999999995</v>
      </c>
      <c r="BB1059" s="18" t="s">
        <v>6</v>
      </c>
      <c r="BC1059">
        <v>0</v>
      </c>
      <c r="BD1059">
        <v>0</v>
      </c>
      <c r="BE1059">
        <v>0</v>
      </c>
      <c r="BF1059">
        <v>1</v>
      </c>
      <c r="BG1059">
        <v>0</v>
      </c>
      <c r="BH1059" s="18">
        <v>0</v>
      </c>
      <c r="BI1059">
        <v>0</v>
      </c>
      <c r="BJ1059">
        <v>1</v>
      </c>
      <c r="BK1059" s="18">
        <v>0</v>
      </c>
      <c r="BL1059">
        <v>39.083333333333343</v>
      </c>
      <c r="BM1059">
        <v>9.01</v>
      </c>
      <c r="BN1059" s="25">
        <v>35.6</v>
      </c>
      <c r="BO1059">
        <v>1</v>
      </c>
      <c r="BP1059">
        <v>0</v>
      </c>
      <c r="BQ1059">
        <v>0</v>
      </c>
      <c r="BR1059">
        <v>0</v>
      </c>
      <c r="BS1059">
        <v>0</v>
      </c>
      <c r="BT1059">
        <v>0</v>
      </c>
      <c r="BU1059">
        <v>0</v>
      </c>
      <c r="BV1059" s="18">
        <v>0</v>
      </c>
      <c r="BW1059">
        <v>0</v>
      </c>
      <c r="BX1059">
        <v>0</v>
      </c>
      <c r="BY1059">
        <v>1</v>
      </c>
      <c r="BZ1059" s="18">
        <v>0</v>
      </c>
      <c r="CA1059">
        <v>0</v>
      </c>
      <c r="CB1059">
        <v>0</v>
      </c>
      <c r="CC1059">
        <v>0</v>
      </c>
      <c r="CD1059">
        <v>0</v>
      </c>
      <c r="CE1059">
        <v>0</v>
      </c>
      <c r="CF1059" s="18">
        <v>0</v>
      </c>
      <c r="CG1059">
        <v>1</v>
      </c>
      <c r="CH1059">
        <v>0</v>
      </c>
      <c r="CI1059">
        <v>1</v>
      </c>
      <c r="CJ1059">
        <v>1</v>
      </c>
      <c r="CK1059">
        <v>0</v>
      </c>
      <c r="CL1059">
        <v>0</v>
      </c>
      <c r="CM1059">
        <v>1</v>
      </c>
      <c r="CN1059">
        <v>0</v>
      </c>
      <c r="CO1059">
        <v>0</v>
      </c>
      <c r="CP1059">
        <v>0</v>
      </c>
      <c r="CQ1059" s="18">
        <v>1</v>
      </c>
      <c r="CR1059">
        <v>0.14599999999999999</v>
      </c>
      <c r="CS1059">
        <v>15</v>
      </c>
      <c r="CT1059">
        <v>1</v>
      </c>
      <c r="CU1059">
        <v>0</v>
      </c>
      <c r="CV1059">
        <v>23</v>
      </c>
      <c r="DB1059" s="34"/>
    </row>
    <row r="1060" spans="1:106" x14ac:dyDescent="0.25">
      <c r="A1060">
        <v>1059</v>
      </c>
      <c r="B1060">
        <v>71</v>
      </c>
      <c r="C1060" s="25" t="s">
        <v>4176</v>
      </c>
      <c r="D1060" s="12">
        <v>10.5</v>
      </c>
      <c r="E1060" s="14">
        <f t="shared" si="307"/>
        <v>0.7865168539325843</v>
      </c>
      <c r="F1060" s="7">
        <v>13.35</v>
      </c>
      <c r="G1060" s="7">
        <f t="shared" si="297"/>
        <v>9.713483146067416</v>
      </c>
      <c r="H1060" s="16">
        <f t="shared" si="298"/>
        <v>11.286516853932584</v>
      </c>
      <c r="I1060" s="11">
        <f t="shared" si="299"/>
        <v>0.13874503754464187</v>
      </c>
      <c r="J1060" s="33">
        <f t="shared" si="300"/>
        <v>1.039288670746381E-2</v>
      </c>
      <c r="K1060" s="33">
        <f t="shared" si="301"/>
        <v>96.219657554992366</v>
      </c>
      <c r="L1060" s="33">
        <f t="shared" si="302"/>
        <v>0.12835215083717808</v>
      </c>
      <c r="M1060" s="33">
        <f t="shared" si="303"/>
        <v>0.14913792425210567</v>
      </c>
      <c r="N1060" s="8">
        <v>1</v>
      </c>
      <c r="O1060" s="9">
        <v>0</v>
      </c>
      <c r="P1060" s="8">
        <v>0</v>
      </c>
      <c r="Q1060" s="9">
        <v>0</v>
      </c>
      <c r="R1060" s="9">
        <v>0</v>
      </c>
      <c r="S1060" s="9">
        <v>0</v>
      </c>
      <c r="T1060" s="9">
        <v>1</v>
      </c>
      <c r="U1060" s="8">
        <v>9106</v>
      </c>
      <c r="V1060" s="9">
        <v>25</v>
      </c>
      <c r="W1060" s="9">
        <f t="shared" si="304"/>
        <v>9080</v>
      </c>
      <c r="X1060" s="9">
        <f t="shared" si="305"/>
        <v>33</v>
      </c>
      <c r="Y1060" s="7">
        <v>9.6999999999999993</v>
      </c>
      <c r="Z1060" s="7">
        <v>16.16</v>
      </c>
      <c r="AA1060" s="9">
        <v>0</v>
      </c>
      <c r="AB1060" s="9">
        <v>1</v>
      </c>
      <c r="AC1060" s="9">
        <v>1</v>
      </c>
      <c r="AD1060" s="9">
        <v>0</v>
      </c>
      <c r="AE1060" s="9">
        <v>0</v>
      </c>
      <c r="AF1060" s="9">
        <v>0</v>
      </c>
      <c r="AG1060" s="8">
        <v>0</v>
      </c>
      <c r="AH1060" s="9">
        <v>1</v>
      </c>
      <c r="AI1060" s="30">
        <v>0</v>
      </c>
      <c r="AJ1060" s="9">
        <v>0</v>
      </c>
      <c r="AK1060" s="30">
        <v>1</v>
      </c>
      <c r="AL1060" s="21">
        <v>2012</v>
      </c>
      <c r="AM1060" s="23">
        <f t="shared" si="306"/>
        <v>7.60688453121963</v>
      </c>
      <c r="AN1060" s="33">
        <v>9.0999999999999998E-2</v>
      </c>
      <c r="AO1060" s="33">
        <v>0.29499999999999998</v>
      </c>
      <c r="AP1060" s="33">
        <v>0.47799999999999998</v>
      </c>
      <c r="AQ1060" s="43">
        <v>0.13600000000000001</v>
      </c>
      <c r="AR1060" s="42">
        <v>1</v>
      </c>
      <c r="AS1060" s="18">
        <v>0</v>
      </c>
      <c r="AT1060">
        <v>0.627</v>
      </c>
      <c r="AU1060" s="40">
        <v>0.373</v>
      </c>
      <c r="AV1060">
        <v>0.68600000000000005</v>
      </c>
      <c r="AW1060" s="40">
        <v>0.29299999999999998</v>
      </c>
      <c r="AX1060">
        <v>0</v>
      </c>
      <c r="AY1060" s="18">
        <v>1</v>
      </c>
      <c r="AZ1060">
        <v>0.42699999999999999</v>
      </c>
      <c r="BA1060" s="18">
        <v>0.57299999999999995</v>
      </c>
      <c r="BB1060" s="18" t="s">
        <v>6</v>
      </c>
      <c r="BC1060">
        <v>0</v>
      </c>
      <c r="BD1060">
        <v>0</v>
      </c>
      <c r="BE1060">
        <v>0</v>
      </c>
      <c r="BF1060">
        <v>1</v>
      </c>
      <c r="BG1060">
        <v>0</v>
      </c>
      <c r="BH1060" s="18">
        <v>0</v>
      </c>
      <c r="BI1060">
        <v>0</v>
      </c>
      <c r="BJ1060">
        <v>1</v>
      </c>
      <c r="BK1060" s="18">
        <v>0</v>
      </c>
      <c r="BL1060">
        <v>39.083333333333343</v>
      </c>
      <c r="BM1060">
        <v>9.01</v>
      </c>
      <c r="BN1060" s="25">
        <v>35.6</v>
      </c>
      <c r="BO1060">
        <v>1</v>
      </c>
      <c r="BP1060">
        <v>0</v>
      </c>
      <c r="BQ1060">
        <v>0</v>
      </c>
      <c r="BR1060">
        <v>0</v>
      </c>
      <c r="BS1060">
        <v>0</v>
      </c>
      <c r="BT1060">
        <v>0</v>
      </c>
      <c r="BU1060">
        <v>0</v>
      </c>
      <c r="BV1060" s="18">
        <v>0</v>
      </c>
      <c r="BW1060">
        <v>0</v>
      </c>
      <c r="BX1060">
        <v>0</v>
      </c>
      <c r="BY1060">
        <v>1</v>
      </c>
      <c r="BZ1060" s="18">
        <v>0</v>
      </c>
      <c r="CA1060">
        <v>0</v>
      </c>
      <c r="CB1060">
        <v>0</v>
      </c>
      <c r="CC1060">
        <v>0</v>
      </c>
      <c r="CD1060">
        <v>0</v>
      </c>
      <c r="CE1060">
        <v>0</v>
      </c>
      <c r="CF1060" s="18">
        <v>0</v>
      </c>
      <c r="CG1060">
        <v>1</v>
      </c>
      <c r="CH1060">
        <v>0</v>
      </c>
      <c r="CI1060">
        <v>1</v>
      </c>
      <c r="CJ1060">
        <v>1</v>
      </c>
      <c r="CK1060">
        <v>0</v>
      </c>
      <c r="CL1060">
        <v>0</v>
      </c>
      <c r="CM1060">
        <v>1</v>
      </c>
      <c r="CN1060">
        <v>0</v>
      </c>
      <c r="CO1060">
        <v>0</v>
      </c>
      <c r="CP1060">
        <v>0</v>
      </c>
      <c r="CQ1060" s="18">
        <v>1</v>
      </c>
      <c r="CR1060">
        <v>0.14599999999999999</v>
      </c>
      <c r="CS1060">
        <v>15</v>
      </c>
      <c r="CT1060">
        <v>1</v>
      </c>
      <c r="CU1060">
        <v>0</v>
      </c>
      <c r="CV1060">
        <v>23</v>
      </c>
      <c r="DB1060" s="34"/>
    </row>
    <row r="1061" spans="1:106" x14ac:dyDescent="0.25">
      <c r="A1061">
        <v>1060</v>
      </c>
      <c r="B1061">
        <v>71</v>
      </c>
      <c r="C1061" s="25" t="s">
        <v>4176</v>
      </c>
      <c r="D1061" s="12">
        <v>3</v>
      </c>
      <c r="E1061" s="14">
        <f t="shared" si="307"/>
        <v>1.6046511627906981</v>
      </c>
      <c r="F1061" s="7">
        <v>1.869565217391304</v>
      </c>
      <c r="G1061" s="7">
        <f t="shared" si="297"/>
        <v>1.3953488372093019</v>
      </c>
      <c r="H1061" s="16">
        <f t="shared" si="298"/>
        <v>4.6046511627906979</v>
      </c>
      <c r="I1061" s="11">
        <f t="shared" si="299"/>
        <v>2.7911746509198823E-2</v>
      </c>
      <c r="J1061" s="33">
        <f t="shared" si="300"/>
        <v>1.4929538830501698E-2</v>
      </c>
      <c r="K1061" s="33">
        <f t="shared" si="301"/>
        <v>66.981305407569351</v>
      </c>
      <c r="L1061" s="33">
        <f t="shared" si="302"/>
        <v>1.2982207678697125E-2</v>
      </c>
      <c r="M1061" s="33">
        <f t="shared" si="303"/>
        <v>4.2841285339700524E-2</v>
      </c>
      <c r="N1061" s="8">
        <v>1</v>
      </c>
      <c r="O1061" s="9">
        <v>0</v>
      </c>
      <c r="P1061" s="8">
        <v>0</v>
      </c>
      <c r="Q1061" s="9">
        <v>0</v>
      </c>
      <c r="R1061" s="9">
        <v>0</v>
      </c>
      <c r="S1061" s="9">
        <v>0</v>
      </c>
      <c r="T1061" s="9">
        <v>1</v>
      </c>
      <c r="U1061" s="8">
        <v>4491</v>
      </c>
      <c r="V1061" s="9">
        <v>7</v>
      </c>
      <c r="W1061" s="9">
        <f t="shared" si="304"/>
        <v>4483</v>
      </c>
      <c r="X1061" s="9">
        <f t="shared" si="305"/>
        <v>33</v>
      </c>
      <c r="Y1061" s="7">
        <v>9.6</v>
      </c>
      <c r="Z1061" s="7">
        <v>19.399999999999999</v>
      </c>
      <c r="AA1061" s="9">
        <v>0</v>
      </c>
      <c r="AB1061" s="9">
        <v>1</v>
      </c>
      <c r="AC1061" s="9">
        <v>1</v>
      </c>
      <c r="AD1061" s="9">
        <v>0</v>
      </c>
      <c r="AE1061" s="9">
        <v>0</v>
      </c>
      <c r="AF1061" s="9">
        <v>0</v>
      </c>
      <c r="AG1061" s="8">
        <v>0</v>
      </c>
      <c r="AH1061" s="9">
        <v>1</v>
      </c>
      <c r="AI1061" s="30">
        <v>0</v>
      </c>
      <c r="AJ1061" s="9">
        <v>0</v>
      </c>
      <c r="AK1061" s="30">
        <v>1</v>
      </c>
      <c r="AL1061" s="21">
        <v>2010</v>
      </c>
      <c r="AM1061" s="23">
        <f t="shared" si="306"/>
        <v>7.6058900010531216</v>
      </c>
      <c r="AN1061" s="33">
        <v>2.1999999999999999E-2</v>
      </c>
      <c r="AO1061" s="33">
        <v>0.17299999999999999</v>
      </c>
      <c r="AP1061" s="33">
        <v>0.63600000000000001</v>
      </c>
      <c r="AQ1061" s="43">
        <v>0.16900000000000001</v>
      </c>
      <c r="AR1061" s="42">
        <v>1</v>
      </c>
      <c r="AS1061" s="18">
        <v>0</v>
      </c>
      <c r="AT1061" s="33">
        <v>0.53800000000000003</v>
      </c>
      <c r="AU1061" s="40">
        <v>0.46200000000000002</v>
      </c>
      <c r="AV1061">
        <v>0.755</v>
      </c>
      <c r="AW1061" s="40">
        <v>0.245</v>
      </c>
      <c r="AX1061">
        <v>0</v>
      </c>
      <c r="AY1061" s="18">
        <v>1</v>
      </c>
      <c r="AZ1061">
        <v>0.19600000000000001</v>
      </c>
      <c r="BA1061" s="18">
        <v>0.80400000000000005</v>
      </c>
      <c r="BB1061" s="18" t="s">
        <v>538</v>
      </c>
      <c r="BC1061">
        <v>0</v>
      </c>
      <c r="BD1061">
        <v>0</v>
      </c>
      <c r="BE1061">
        <v>0</v>
      </c>
      <c r="BF1061">
        <v>1</v>
      </c>
      <c r="BG1061">
        <v>0</v>
      </c>
      <c r="BH1061" s="18">
        <v>0</v>
      </c>
      <c r="BI1061">
        <v>0</v>
      </c>
      <c r="BJ1061">
        <v>1</v>
      </c>
      <c r="BK1061" s="18">
        <v>0</v>
      </c>
      <c r="BL1061">
        <v>95.17</v>
      </c>
      <c r="BM1061">
        <v>325.85000000000002</v>
      </c>
      <c r="BN1061" s="25">
        <v>37.4</v>
      </c>
      <c r="BO1061">
        <v>1</v>
      </c>
      <c r="BP1061">
        <v>0</v>
      </c>
      <c r="BQ1061">
        <v>0</v>
      </c>
      <c r="BR1061">
        <v>0</v>
      </c>
      <c r="BS1061">
        <v>0</v>
      </c>
      <c r="BT1061">
        <v>0</v>
      </c>
      <c r="BU1061">
        <v>0</v>
      </c>
      <c r="BV1061" s="18">
        <v>0</v>
      </c>
      <c r="BW1061">
        <v>0</v>
      </c>
      <c r="BX1061">
        <v>0</v>
      </c>
      <c r="BY1061">
        <v>1</v>
      </c>
      <c r="BZ1061" s="18">
        <v>0</v>
      </c>
      <c r="CA1061">
        <v>0</v>
      </c>
      <c r="CB1061">
        <v>0</v>
      </c>
      <c r="CC1061">
        <v>0</v>
      </c>
      <c r="CD1061">
        <v>0</v>
      </c>
      <c r="CE1061">
        <v>0</v>
      </c>
      <c r="CF1061" s="18">
        <v>0</v>
      </c>
      <c r="CG1061">
        <v>0</v>
      </c>
      <c r="CH1061">
        <v>0</v>
      </c>
      <c r="CI1061">
        <v>1</v>
      </c>
      <c r="CJ1061">
        <v>1</v>
      </c>
      <c r="CK1061">
        <v>0</v>
      </c>
      <c r="CL1061">
        <v>0</v>
      </c>
      <c r="CM1061">
        <v>0</v>
      </c>
      <c r="CN1061">
        <v>0</v>
      </c>
      <c r="CO1061">
        <v>0</v>
      </c>
      <c r="CP1061">
        <v>0</v>
      </c>
      <c r="CQ1061" s="18">
        <v>0</v>
      </c>
      <c r="CR1061">
        <v>0.14599999999999999</v>
      </c>
      <c r="CS1061">
        <v>15</v>
      </c>
      <c r="CT1061">
        <v>1</v>
      </c>
      <c r="CU1061">
        <v>0</v>
      </c>
      <c r="CV1061">
        <v>23</v>
      </c>
      <c r="DB1061" s="34"/>
    </row>
    <row r="1062" spans="1:106" x14ac:dyDescent="0.25">
      <c r="A1062">
        <v>1061</v>
      </c>
      <c r="B1062">
        <v>71</v>
      </c>
      <c r="C1062" s="25" t="s">
        <v>4176</v>
      </c>
      <c r="D1062" s="12">
        <v>3.7</v>
      </c>
      <c r="E1062" s="14">
        <f t="shared" si="307"/>
        <v>1.0060422960725075</v>
      </c>
      <c r="F1062" s="7">
        <v>3.677777777777778</v>
      </c>
      <c r="G1062" s="7">
        <f t="shared" si="297"/>
        <v>2.6939577039274925</v>
      </c>
      <c r="H1062" s="16">
        <f t="shared" si="298"/>
        <v>4.7060422960725079</v>
      </c>
      <c r="I1062" s="11">
        <f t="shared" si="299"/>
        <v>5.4846248553394351E-2</v>
      </c>
      <c r="J1062" s="33">
        <f t="shared" si="300"/>
        <v>1.4912877250167647E-2</v>
      </c>
      <c r="K1062" s="33">
        <f t="shared" si="301"/>
        <v>67.05614102662571</v>
      </c>
      <c r="L1062" s="33">
        <f t="shared" si="302"/>
        <v>3.9933371303226703E-2</v>
      </c>
      <c r="M1062" s="33">
        <f t="shared" si="303"/>
        <v>6.9759125803562E-2</v>
      </c>
      <c r="N1062" s="8">
        <v>1</v>
      </c>
      <c r="O1062" s="9">
        <v>0</v>
      </c>
      <c r="P1062" s="8">
        <v>0</v>
      </c>
      <c r="Q1062" s="9">
        <v>0</v>
      </c>
      <c r="R1062" s="9">
        <v>0</v>
      </c>
      <c r="S1062" s="9">
        <v>0</v>
      </c>
      <c r="T1062" s="9">
        <v>1</v>
      </c>
      <c r="U1062" s="8">
        <v>4491</v>
      </c>
      <c r="V1062" s="9">
        <v>7</v>
      </c>
      <c r="W1062" s="9">
        <f t="shared" si="304"/>
        <v>4483</v>
      </c>
      <c r="X1062" s="9">
        <f t="shared" si="305"/>
        <v>33</v>
      </c>
      <c r="Y1062" s="7">
        <v>9.6</v>
      </c>
      <c r="Z1062" s="7">
        <v>19.399999999999999</v>
      </c>
      <c r="AA1062" s="9">
        <v>0</v>
      </c>
      <c r="AB1062" s="9">
        <v>1</v>
      </c>
      <c r="AC1062" s="9">
        <v>1</v>
      </c>
      <c r="AD1062" s="9">
        <v>0</v>
      </c>
      <c r="AE1062" s="9">
        <v>0</v>
      </c>
      <c r="AF1062" s="9">
        <v>0</v>
      </c>
      <c r="AG1062" s="8">
        <v>0</v>
      </c>
      <c r="AH1062" s="9">
        <v>1</v>
      </c>
      <c r="AI1062" s="30">
        <v>0</v>
      </c>
      <c r="AJ1062" s="9">
        <v>0</v>
      </c>
      <c r="AK1062" s="30">
        <v>1</v>
      </c>
      <c r="AL1062" s="21">
        <v>2010</v>
      </c>
      <c r="AM1062" s="23">
        <f t="shared" si="306"/>
        <v>7.6058900010531216</v>
      </c>
      <c r="AN1062" s="33">
        <v>2.1999999999999999E-2</v>
      </c>
      <c r="AO1062" s="33">
        <v>0.17299999999999999</v>
      </c>
      <c r="AP1062" s="33">
        <v>0.63600000000000001</v>
      </c>
      <c r="AQ1062" s="43">
        <v>0.16900000000000001</v>
      </c>
      <c r="AR1062" s="42">
        <v>1</v>
      </c>
      <c r="AS1062" s="18">
        <v>0</v>
      </c>
      <c r="AT1062" s="33">
        <v>0.53800000000000003</v>
      </c>
      <c r="AU1062" s="40">
        <v>0.46200000000000002</v>
      </c>
      <c r="AV1062">
        <v>0.755</v>
      </c>
      <c r="AW1062" s="40">
        <v>0.245</v>
      </c>
      <c r="AX1062">
        <v>0</v>
      </c>
      <c r="AY1062" s="18">
        <v>1</v>
      </c>
      <c r="AZ1062">
        <v>0.19600000000000001</v>
      </c>
      <c r="BA1062" s="18">
        <v>0.80400000000000005</v>
      </c>
      <c r="BB1062" s="18" t="s">
        <v>538</v>
      </c>
      <c r="BC1062">
        <v>0</v>
      </c>
      <c r="BD1062">
        <v>0</v>
      </c>
      <c r="BE1062">
        <v>0</v>
      </c>
      <c r="BF1062">
        <v>1</v>
      </c>
      <c r="BG1062">
        <v>0</v>
      </c>
      <c r="BH1062" s="18">
        <v>0</v>
      </c>
      <c r="BI1062">
        <v>0</v>
      </c>
      <c r="BJ1062">
        <v>1</v>
      </c>
      <c r="BK1062" s="18">
        <v>0</v>
      </c>
      <c r="BL1062">
        <v>95.17</v>
      </c>
      <c r="BM1062">
        <v>325.85000000000002</v>
      </c>
      <c r="BN1062" s="25">
        <v>37.4</v>
      </c>
      <c r="BO1062">
        <v>1</v>
      </c>
      <c r="BP1062">
        <v>0</v>
      </c>
      <c r="BQ1062">
        <v>0</v>
      </c>
      <c r="BR1062">
        <v>0</v>
      </c>
      <c r="BS1062">
        <v>0</v>
      </c>
      <c r="BT1062">
        <v>0</v>
      </c>
      <c r="BU1062">
        <v>0</v>
      </c>
      <c r="BV1062" s="18">
        <v>0</v>
      </c>
      <c r="BW1062">
        <v>0</v>
      </c>
      <c r="BX1062">
        <v>0</v>
      </c>
      <c r="BY1062">
        <v>1</v>
      </c>
      <c r="BZ1062" s="18">
        <v>0</v>
      </c>
      <c r="CA1062">
        <v>0</v>
      </c>
      <c r="CB1062">
        <v>0</v>
      </c>
      <c r="CC1062">
        <v>0</v>
      </c>
      <c r="CD1062">
        <v>0</v>
      </c>
      <c r="CE1062">
        <v>0</v>
      </c>
      <c r="CF1062" s="18">
        <v>0</v>
      </c>
      <c r="CG1062">
        <v>0</v>
      </c>
      <c r="CH1062">
        <v>0</v>
      </c>
      <c r="CI1062">
        <v>1</v>
      </c>
      <c r="CJ1062">
        <v>1</v>
      </c>
      <c r="CK1062">
        <v>0</v>
      </c>
      <c r="CL1062">
        <v>0</v>
      </c>
      <c r="CM1062">
        <v>0</v>
      </c>
      <c r="CN1062">
        <v>0</v>
      </c>
      <c r="CO1062">
        <v>0</v>
      </c>
      <c r="CP1062">
        <v>0</v>
      </c>
      <c r="CQ1062" s="18">
        <v>0</v>
      </c>
      <c r="CR1062">
        <v>0.14599999999999999</v>
      </c>
      <c r="CS1062">
        <v>15</v>
      </c>
      <c r="CT1062">
        <v>1</v>
      </c>
      <c r="CU1062">
        <v>0</v>
      </c>
      <c r="CV1062">
        <v>23</v>
      </c>
      <c r="DB1062" s="34"/>
    </row>
    <row r="1063" spans="1:106" x14ac:dyDescent="0.25">
      <c r="A1063">
        <v>1062</v>
      </c>
      <c r="B1063">
        <v>71</v>
      </c>
      <c r="C1063" s="25" t="s">
        <v>4176</v>
      </c>
      <c r="D1063" s="12">
        <v>5.2</v>
      </c>
      <c r="E1063" s="14">
        <f t="shared" si="307"/>
        <v>1.0514285714285714</v>
      </c>
      <c r="F1063" s="7">
        <v>4.9456521739130439</v>
      </c>
      <c r="G1063" s="7">
        <f t="shared" si="297"/>
        <v>4.1485714285714286</v>
      </c>
      <c r="H1063" s="16">
        <f t="shared" si="298"/>
        <v>6.2514285714285718</v>
      </c>
      <c r="I1063" s="11">
        <f t="shared" si="299"/>
        <v>7.3664399665451782E-2</v>
      </c>
      <c r="J1063" s="33">
        <f t="shared" si="300"/>
        <v>1.4894779712574864E-2</v>
      </c>
      <c r="K1063" s="33">
        <f t="shared" si="301"/>
        <v>67.137615949818553</v>
      </c>
      <c r="L1063" s="33">
        <f t="shared" si="302"/>
        <v>5.8769619952876918E-2</v>
      </c>
      <c r="M1063" s="33">
        <f t="shared" si="303"/>
        <v>8.8559179378026653E-2</v>
      </c>
      <c r="N1063" s="8">
        <v>1</v>
      </c>
      <c r="O1063" s="9">
        <v>0</v>
      </c>
      <c r="P1063" s="8">
        <v>0</v>
      </c>
      <c r="Q1063" s="9">
        <v>0</v>
      </c>
      <c r="R1063" s="9">
        <v>0</v>
      </c>
      <c r="S1063" s="9">
        <v>0</v>
      </c>
      <c r="T1063" s="9">
        <v>1</v>
      </c>
      <c r="U1063" s="8">
        <v>4491</v>
      </c>
      <c r="V1063" s="9">
        <v>7</v>
      </c>
      <c r="W1063" s="9">
        <f t="shared" si="304"/>
        <v>4483</v>
      </c>
      <c r="X1063" s="9">
        <f t="shared" si="305"/>
        <v>33</v>
      </c>
      <c r="Y1063" s="7">
        <v>9.6</v>
      </c>
      <c r="Z1063" s="7">
        <v>19.399999999999999</v>
      </c>
      <c r="AA1063" s="9">
        <v>0</v>
      </c>
      <c r="AB1063" s="9">
        <v>1</v>
      </c>
      <c r="AC1063" s="9">
        <v>1</v>
      </c>
      <c r="AD1063" s="9">
        <v>0</v>
      </c>
      <c r="AE1063" s="9">
        <v>0</v>
      </c>
      <c r="AF1063" s="9">
        <v>0</v>
      </c>
      <c r="AG1063" s="8">
        <v>0</v>
      </c>
      <c r="AH1063" s="9">
        <v>1</v>
      </c>
      <c r="AI1063" s="30">
        <v>0</v>
      </c>
      <c r="AJ1063" s="9">
        <v>0</v>
      </c>
      <c r="AK1063" s="30">
        <v>1</v>
      </c>
      <c r="AL1063" s="21">
        <v>2010</v>
      </c>
      <c r="AM1063" s="23">
        <f t="shared" si="306"/>
        <v>7.6058900010531216</v>
      </c>
      <c r="AN1063" s="33">
        <v>2.1999999999999999E-2</v>
      </c>
      <c r="AO1063" s="33">
        <v>0.17299999999999999</v>
      </c>
      <c r="AP1063" s="33">
        <v>0.63600000000000001</v>
      </c>
      <c r="AQ1063" s="43">
        <v>0.16900000000000001</v>
      </c>
      <c r="AR1063" s="42">
        <v>1</v>
      </c>
      <c r="AS1063" s="18">
        <v>0</v>
      </c>
      <c r="AT1063" s="33">
        <v>0.53800000000000003</v>
      </c>
      <c r="AU1063" s="40">
        <v>0.46200000000000002</v>
      </c>
      <c r="AV1063">
        <v>0.755</v>
      </c>
      <c r="AW1063" s="40">
        <v>0.245</v>
      </c>
      <c r="AX1063">
        <v>0</v>
      </c>
      <c r="AY1063" s="18">
        <v>1</v>
      </c>
      <c r="AZ1063">
        <v>0.19600000000000001</v>
      </c>
      <c r="BA1063" s="18">
        <v>0.80400000000000005</v>
      </c>
      <c r="BB1063" s="18" t="s">
        <v>538</v>
      </c>
      <c r="BC1063">
        <v>0</v>
      </c>
      <c r="BD1063">
        <v>0</v>
      </c>
      <c r="BE1063">
        <v>0</v>
      </c>
      <c r="BF1063">
        <v>1</v>
      </c>
      <c r="BG1063">
        <v>0</v>
      </c>
      <c r="BH1063" s="18">
        <v>0</v>
      </c>
      <c r="BI1063">
        <v>0</v>
      </c>
      <c r="BJ1063">
        <v>1</v>
      </c>
      <c r="BK1063" s="18">
        <v>0</v>
      </c>
      <c r="BL1063">
        <v>95.17</v>
      </c>
      <c r="BM1063">
        <v>325.85000000000002</v>
      </c>
      <c r="BN1063" s="25">
        <v>37.4</v>
      </c>
      <c r="BO1063">
        <v>1</v>
      </c>
      <c r="BP1063">
        <v>0</v>
      </c>
      <c r="BQ1063">
        <v>0</v>
      </c>
      <c r="BR1063">
        <v>0</v>
      </c>
      <c r="BS1063">
        <v>0</v>
      </c>
      <c r="BT1063">
        <v>0</v>
      </c>
      <c r="BU1063">
        <v>0</v>
      </c>
      <c r="BV1063" s="18">
        <v>0</v>
      </c>
      <c r="BW1063">
        <v>0</v>
      </c>
      <c r="BX1063">
        <v>0</v>
      </c>
      <c r="BY1063">
        <v>1</v>
      </c>
      <c r="BZ1063" s="18">
        <v>0</v>
      </c>
      <c r="CA1063">
        <v>0</v>
      </c>
      <c r="CB1063">
        <v>0</v>
      </c>
      <c r="CC1063">
        <v>0</v>
      </c>
      <c r="CD1063">
        <v>0</v>
      </c>
      <c r="CE1063">
        <v>0</v>
      </c>
      <c r="CF1063" s="18">
        <v>0</v>
      </c>
      <c r="CG1063">
        <v>0</v>
      </c>
      <c r="CH1063">
        <v>0</v>
      </c>
      <c r="CI1063">
        <v>1</v>
      </c>
      <c r="CJ1063">
        <v>1</v>
      </c>
      <c r="CK1063">
        <v>0</v>
      </c>
      <c r="CL1063">
        <v>0</v>
      </c>
      <c r="CM1063">
        <v>0</v>
      </c>
      <c r="CN1063">
        <v>0</v>
      </c>
      <c r="CO1063">
        <v>0</v>
      </c>
      <c r="CP1063">
        <v>0</v>
      </c>
      <c r="CQ1063" s="18">
        <v>0</v>
      </c>
      <c r="CR1063">
        <v>0.14599999999999999</v>
      </c>
      <c r="CS1063">
        <v>15</v>
      </c>
      <c r="CT1063">
        <v>1</v>
      </c>
      <c r="CU1063">
        <v>0</v>
      </c>
      <c r="CV1063">
        <v>23</v>
      </c>
      <c r="DB1063" s="34"/>
    </row>
    <row r="1064" spans="1:106" x14ac:dyDescent="0.25">
      <c r="A1064">
        <v>1063</v>
      </c>
      <c r="B1064">
        <v>71</v>
      </c>
      <c r="C1064" s="25" t="s">
        <v>4176</v>
      </c>
      <c r="D1064" s="12">
        <v>10.199999999999999</v>
      </c>
      <c r="E1064" s="14">
        <f t="shared" si="307"/>
        <v>1.5795716639209225</v>
      </c>
      <c r="F1064" s="7">
        <v>6.457446808510638</v>
      </c>
      <c r="G1064" s="7">
        <f t="shared" si="297"/>
        <v>8.6204283360790761</v>
      </c>
      <c r="H1064" s="16">
        <f t="shared" si="298"/>
        <v>11.779571663920922</v>
      </c>
      <c r="I1064" s="11">
        <f t="shared" si="299"/>
        <v>9.5998845230848909E-2</v>
      </c>
      <c r="J1064" s="33">
        <f t="shared" si="300"/>
        <v>1.4866378009390115E-2</v>
      </c>
      <c r="K1064" s="33">
        <f t="shared" si="301"/>
        <v>67.265880052852523</v>
      </c>
      <c r="L1064" s="33">
        <f t="shared" si="302"/>
        <v>8.1132467221458796E-2</v>
      </c>
      <c r="M1064" s="33">
        <f t="shared" si="303"/>
        <v>0.11086522324023902</v>
      </c>
      <c r="N1064" s="8">
        <v>1</v>
      </c>
      <c r="O1064" s="9">
        <v>0</v>
      </c>
      <c r="P1064" s="8">
        <v>0</v>
      </c>
      <c r="Q1064" s="9">
        <v>0</v>
      </c>
      <c r="R1064" s="9">
        <v>0</v>
      </c>
      <c r="S1064" s="9">
        <v>0</v>
      </c>
      <c r="T1064" s="9">
        <v>1</v>
      </c>
      <c r="U1064" s="8">
        <v>4491</v>
      </c>
      <c r="V1064" s="9">
        <v>7</v>
      </c>
      <c r="W1064" s="9">
        <f t="shared" si="304"/>
        <v>4483</v>
      </c>
      <c r="X1064" s="9">
        <f t="shared" si="305"/>
        <v>33</v>
      </c>
      <c r="Y1064" s="7">
        <v>9.6</v>
      </c>
      <c r="Z1064" s="7">
        <v>19.399999999999999</v>
      </c>
      <c r="AA1064" s="9">
        <v>0</v>
      </c>
      <c r="AB1064" s="9">
        <v>1</v>
      </c>
      <c r="AC1064" s="9">
        <v>1</v>
      </c>
      <c r="AD1064" s="9">
        <v>0</v>
      </c>
      <c r="AE1064" s="9">
        <v>0</v>
      </c>
      <c r="AF1064" s="9">
        <v>0</v>
      </c>
      <c r="AG1064" s="8">
        <v>0</v>
      </c>
      <c r="AH1064" s="9">
        <v>1</v>
      </c>
      <c r="AI1064" s="30">
        <v>0</v>
      </c>
      <c r="AJ1064" s="9">
        <v>0</v>
      </c>
      <c r="AK1064" s="30">
        <v>1</v>
      </c>
      <c r="AL1064" s="21">
        <v>2010</v>
      </c>
      <c r="AM1064" s="23">
        <f t="shared" si="306"/>
        <v>7.6058900010531216</v>
      </c>
      <c r="AN1064" s="33">
        <v>2.1999999999999999E-2</v>
      </c>
      <c r="AO1064" s="33">
        <v>0.17299999999999999</v>
      </c>
      <c r="AP1064" s="33">
        <v>0.63600000000000001</v>
      </c>
      <c r="AQ1064" s="43">
        <v>0.16900000000000001</v>
      </c>
      <c r="AR1064" s="42">
        <v>1</v>
      </c>
      <c r="AS1064" s="18">
        <v>0</v>
      </c>
      <c r="AT1064" s="33">
        <v>0.53800000000000003</v>
      </c>
      <c r="AU1064" s="40">
        <v>0.46200000000000002</v>
      </c>
      <c r="AV1064">
        <v>0.755</v>
      </c>
      <c r="AW1064" s="40">
        <v>0.245</v>
      </c>
      <c r="AX1064">
        <v>0</v>
      </c>
      <c r="AY1064" s="18">
        <v>1</v>
      </c>
      <c r="AZ1064">
        <v>0.19600000000000001</v>
      </c>
      <c r="BA1064" s="18">
        <v>0.80400000000000005</v>
      </c>
      <c r="BB1064" s="18" t="s">
        <v>538</v>
      </c>
      <c r="BC1064">
        <v>0</v>
      </c>
      <c r="BD1064">
        <v>0</v>
      </c>
      <c r="BE1064">
        <v>0</v>
      </c>
      <c r="BF1064">
        <v>1</v>
      </c>
      <c r="BG1064">
        <v>0</v>
      </c>
      <c r="BH1064" s="18">
        <v>0</v>
      </c>
      <c r="BI1064">
        <v>0</v>
      </c>
      <c r="BJ1064">
        <v>1</v>
      </c>
      <c r="BK1064" s="18">
        <v>0</v>
      </c>
      <c r="BL1064">
        <v>95.17</v>
      </c>
      <c r="BM1064">
        <v>325.85000000000002</v>
      </c>
      <c r="BN1064" s="25">
        <v>37.4</v>
      </c>
      <c r="BO1064">
        <v>1</v>
      </c>
      <c r="BP1064">
        <v>0</v>
      </c>
      <c r="BQ1064">
        <v>0</v>
      </c>
      <c r="BR1064">
        <v>0</v>
      </c>
      <c r="BS1064">
        <v>0</v>
      </c>
      <c r="BT1064">
        <v>0</v>
      </c>
      <c r="BU1064">
        <v>0</v>
      </c>
      <c r="BV1064" s="18">
        <v>0</v>
      </c>
      <c r="BW1064">
        <v>0</v>
      </c>
      <c r="BX1064">
        <v>0</v>
      </c>
      <c r="BY1064">
        <v>1</v>
      </c>
      <c r="BZ1064" s="18">
        <v>0</v>
      </c>
      <c r="CA1064">
        <v>0</v>
      </c>
      <c r="CB1064">
        <v>0</v>
      </c>
      <c r="CC1064">
        <v>0</v>
      </c>
      <c r="CD1064">
        <v>0</v>
      </c>
      <c r="CE1064">
        <v>0</v>
      </c>
      <c r="CF1064" s="18">
        <v>0</v>
      </c>
      <c r="CG1064">
        <v>0</v>
      </c>
      <c r="CH1064">
        <v>0</v>
      </c>
      <c r="CI1064">
        <v>1</v>
      </c>
      <c r="CJ1064">
        <v>1</v>
      </c>
      <c r="CK1064">
        <v>0</v>
      </c>
      <c r="CL1064">
        <v>0</v>
      </c>
      <c r="CM1064">
        <v>0</v>
      </c>
      <c r="CN1064">
        <v>0</v>
      </c>
      <c r="CO1064">
        <v>0</v>
      </c>
      <c r="CP1064">
        <v>0</v>
      </c>
      <c r="CQ1064" s="18">
        <v>0</v>
      </c>
      <c r="CR1064">
        <v>0.14599999999999999</v>
      </c>
      <c r="CS1064">
        <v>15</v>
      </c>
      <c r="CT1064">
        <v>1</v>
      </c>
      <c r="CU1064">
        <v>0</v>
      </c>
      <c r="CV1064">
        <v>23</v>
      </c>
      <c r="DB1064" s="34"/>
    </row>
    <row r="1065" spans="1:106" x14ac:dyDescent="0.25">
      <c r="A1065">
        <v>1064</v>
      </c>
      <c r="B1065">
        <v>71</v>
      </c>
      <c r="C1065" s="25" t="s">
        <v>4176</v>
      </c>
      <c r="D1065" s="12">
        <v>13.2</v>
      </c>
      <c r="E1065" s="14">
        <f t="shared" si="307"/>
        <v>1.2447668393782387</v>
      </c>
      <c r="F1065" s="7">
        <v>10.6043956043956</v>
      </c>
      <c r="G1065" s="7">
        <f t="shared" si="297"/>
        <v>11.955233160621761</v>
      </c>
      <c r="H1065" s="16">
        <f t="shared" si="298"/>
        <v>14.444766839378238</v>
      </c>
      <c r="I1065" s="11">
        <f t="shared" si="299"/>
        <v>0.15643061291392449</v>
      </c>
      <c r="J1065" s="33">
        <f t="shared" si="300"/>
        <v>1.4751487849914128E-2</v>
      </c>
      <c r="K1065" s="33">
        <f t="shared" si="301"/>
        <v>67.789772135142371</v>
      </c>
      <c r="L1065" s="33">
        <f t="shared" si="302"/>
        <v>0.14167912506401037</v>
      </c>
      <c r="M1065" s="33">
        <f t="shared" si="303"/>
        <v>0.17118210076383861</v>
      </c>
      <c r="N1065" s="8">
        <v>1</v>
      </c>
      <c r="O1065" s="9">
        <v>0</v>
      </c>
      <c r="P1065" s="8">
        <v>0</v>
      </c>
      <c r="Q1065" s="9">
        <v>0</v>
      </c>
      <c r="R1065" s="9">
        <v>0</v>
      </c>
      <c r="S1065" s="9">
        <v>0</v>
      </c>
      <c r="T1065" s="9">
        <v>1</v>
      </c>
      <c r="U1065" s="8">
        <v>4491</v>
      </c>
      <c r="V1065" s="9">
        <v>7</v>
      </c>
      <c r="W1065" s="9">
        <f t="shared" si="304"/>
        <v>4483</v>
      </c>
      <c r="X1065" s="9">
        <f t="shared" si="305"/>
        <v>33</v>
      </c>
      <c r="Y1065" s="7">
        <v>9.6</v>
      </c>
      <c r="Z1065" s="7">
        <v>19.399999999999999</v>
      </c>
      <c r="AA1065" s="9">
        <v>0</v>
      </c>
      <c r="AB1065" s="9">
        <v>1</v>
      </c>
      <c r="AC1065" s="9">
        <v>1</v>
      </c>
      <c r="AD1065" s="9">
        <v>0</v>
      </c>
      <c r="AE1065" s="9">
        <v>0</v>
      </c>
      <c r="AF1065" s="9">
        <v>0</v>
      </c>
      <c r="AG1065" s="8">
        <v>0</v>
      </c>
      <c r="AH1065" s="9">
        <v>1</v>
      </c>
      <c r="AI1065" s="30">
        <v>0</v>
      </c>
      <c r="AJ1065" s="9">
        <v>0</v>
      </c>
      <c r="AK1065" s="30">
        <v>1</v>
      </c>
      <c r="AL1065" s="21">
        <v>2010</v>
      </c>
      <c r="AM1065" s="23">
        <f t="shared" si="306"/>
        <v>7.6058900010531216</v>
      </c>
      <c r="AN1065" s="33">
        <v>2.1999999999999999E-2</v>
      </c>
      <c r="AO1065" s="33">
        <v>0.17299999999999999</v>
      </c>
      <c r="AP1065" s="33">
        <v>0.63600000000000001</v>
      </c>
      <c r="AQ1065" s="43">
        <v>0.16900000000000001</v>
      </c>
      <c r="AR1065" s="42">
        <v>1</v>
      </c>
      <c r="AS1065" s="18">
        <v>0</v>
      </c>
      <c r="AT1065" s="33">
        <v>0.53800000000000003</v>
      </c>
      <c r="AU1065" s="40">
        <v>0.46200000000000002</v>
      </c>
      <c r="AV1065">
        <v>0.755</v>
      </c>
      <c r="AW1065" s="40">
        <v>0.245</v>
      </c>
      <c r="AX1065">
        <v>0</v>
      </c>
      <c r="AY1065" s="18">
        <v>1</v>
      </c>
      <c r="AZ1065">
        <v>0.19600000000000001</v>
      </c>
      <c r="BA1065" s="18">
        <v>0.80400000000000005</v>
      </c>
      <c r="BB1065" s="18" t="s">
        <v>538</v>
      </c>
      <c r="BC1065">
        <v>0</v>
      </c>
      <c r="BD1065">
        <v>0</v>
      </c>
      <c r="BE1065">
        <v>0</v>
      </c>
      <c r="BF1065">
        <v>1</v>
      </c>
      <c r="BG1065">
        <v>0</v>
      </c>
      <c r="BH1065" s="18">
        <v>0</v>
      </c>
      <c r="BI1065">
        <v>0</v>
      </c>
      <c r="BJ1065">
        <v>1</v>
      </c>
      <c r="BK1065" s="18">
        <v>0</v>
      </c>
      <c r="BL1065">
        <v>95.17</v>
      </c>
      <c r="BM1065">
        <v>325.85000000000002</v>
      </c>
      <c r="BN1065" s="25">
        <v>37.4</v>
      </c>
      <c r="BO1065">
        <v>1</v>
      </c>
      <c r="BP1065">
        <v>0</v>
      </c>
      <c r="BQ1065">
        <v>0</v>
      </c>
      <c r="BR1065">
        <v>0</v>
      </c>
      <c r="BS1065">
        <v>0</v>
      </c>
      <c r="BT1065">
        <v>0</v>
      </c>
      <c r="BU1065">
        <v>0</v>
      </c>
      <c r="BV1065" s="18">
        <v>0</v>
      </c>
      <c r="BW1065">
        <v>0</v>
      </c>
      <c r="BX1065">
        <v>0</v>
      </c>
      <c r="BY1065">
        <v>1</v>
      </c>
      <c r="BZ1065" s="18">
        <v>0</v>
      </c>
      <c r="CA1065">
        <v>0</v>
      </c>
      <c r="CB1065">
        <v>0</v>
      </c>
      <c r="CC1065">
        <v>0</v>
      </c>
      <c r="CD1065">
        <v>0</v>
      </c>
      <c r="CE1065">
        <v>0</v>
      </c>
      <c r="CF1065" s="18">
        <v>0</v>
      </c>
      <c r="CG1065">
        <v>0</v>
      </c>
      <c r="CH1065">
        <v>0</v>
      </c>
      <c r="CI1065">
        <v>1</v>
      </c>
      <c r="CJ1065">
        <v>1</v>
      </c>
      <c r="CK1065">
        <v>0</v>
      </c>
      <c r="CL1065">
        <v>0</v>
      </c>
      <c r="CM1065">
        <v>0</v>
      </c>
      <c r="CN1065">
        <v>0</v>
      </c>
      <c r="CO1065">
        <v>0</v>
      </c>
      <c r="CP1065">
        <v>0</v>
      </c>
      <c r="CQ1065" s="18">
        <v>0</v>
      </c>
      <c r="CR1065">
        <v>0.14599999999999999</v>
      </c>
      <c r="CS1065">
        <v>15</v>
      </c>
      <c r="CT1065">
        <v>1</v>
      </c>
      <c r="CU1065">
        <v>0</v>
      </c>
      <c r="CV1065">
        <v>23</v>
      </c>
      <c r="DB1065" s="34"/>
    </row>
    <row r="1066" spans="1:106" x14ac:dyDescent="0.25">
      <c r="A1066">
        <v>1065</v>
      </c>
      <c r="B1066">
        <v>71</v>
      </c>
      <c r="C1066" s="25" t="s">
        <v>4176</v>
      </c>
      <c r="D1066" s="12">
        <v>4.4000000000000004</v>
      </c>
      <c r="E1066" s="14">
        <f t="shared" si="307"/>
        <v>2.1223529411764708</v>
      </c>
      <c r="F1066" s="7">
        <v>2.0731707317073171</v>
      </c>
      <c r="G1066" s="7">
        <f t="shared" si="297"/>
        <v>2.2776470588235296</v>
      </c>
      <c r="H1066" s="16">
        <f t="shared" si="298"/>
        <v>6.5223529411764716</v>
      </c>
      <c r="I1066" s="11">
        <f t="shared" si="299"/>
        <v>3.1010974268328165E-2</v>
      </c>
      <c r="J1066" s="33">
        <f t="shared" si="300"/>
        <v>1.4958234647075937E-2</v>
      </c>
      <c r="K1066" s="33">
        <f t="shared" si="301"/>
        <v>66.852808743408886</v>
      </c>
      <c r="L1066" s="33">
        <f t="shared" si="302"/>
        <v>1.6052739621252227E-2</v>
      </c>
      <c r="M1066" s="33">
        <f t="shared" si="303"/>
        <v>4.5969208915404104E-2</v>
      </c>
      <c r="N1066" s="8">
        <v>1</v>
      </c>
      <c r="O1066" s="9">
        <v>0</v>
      </c>
      <c r="P1066" s="8">
        <v>0</v>
      </c>
      <c r="Q1066" s="9">
        <v>0</v>
      </c>
      <c r="R1066" s="9">
        <v>0</v>
      </c>
      <c r="S1066" s="9">
        <v>0</v>
      </c>
      <c r="T1066" s="9">
        <v>1</v>
      </c>
      <c r="U1066" s="8">
        <v>4491</v>
      </c>
      <c r="V1066" s="9">
        <v>25</v>
      </c>
      <c r="W1066" s="9">
        <f t="shared" si="304"/>
        <v>4465</v>
      </c>
      <c r="X1066" s="9">
        <f t="shared" si="305"/>
        <v>33</v>
      </c>
      <c r="Y1066" s="7">
        <v>9.6</v>
      </c>
      <c r="Z1066" s="7">
        <v>19.399999999999999</v>
      </c>
      <c r="AA1066" s="9">
        <v>0</v>
      </c>
      <c r="AB1066" s="9">
        <v>1</v>
      </c>
      <c r="AC1066" s="9">
        <v>1</v>
      </c>
      <c r="AD1066" s="9">
        <v>0</v>
      </c>
      <c r="AE1066" s="9">
        <v>0</v>
      </c>
      <c r="AF1066" s="9">
        <v>0</v>
      </c>
      <c r="AG1066" s="8">
        <v>0</v>
      </c>
      <c r="AH1066" s="9">
        <v>1</v>
      </c>
      <c r="AI1066" s="30">
        <v>0</v>
      </c>
      <c r="AJ1066" s="9">
        <v>0</v>
      </c>
      <c r="AK1066" s="30">
        <v>1</v>
      </c>
      <c r="AL1066" s="21">
        <v>2010</v>
      </c>
      <c r="AM1066" s="23">
        <f t="shared" si="306"/>
        <v>7.6058900010531216</v>
      </c>
      <c r="AN1066" s="33">
        <v>2.1999999999999999E-2</v>
      </c>
      <c r="AO1066" s="33">
        <v>0.17299999999999999</v>
      </c>
      <c r="AP1066" s="33">
        <v>0.63600000000000001</v>
      </c>
      <c r="AQ1066" s="43">
        <v>0.16900000000000001</v>
      </c>
      <c r="AR1066" s="42">
        <v>1</v>
      </c>
      <c r="AS1066" s="18">
        <v>0</v>
      </c>
      <c r="AT1066" s="33">
        <v>0.53800000000000003</v>
      </c>
      <c r="AU1066" s="40">
        <v>0.46200000000000002</v>
      </c>
      <c r="AV1066">
        <v>0.755</v>
      </c>
      <c r="AW1066" s="40">
        <v>0.245</v>
      </c>
      <c r="AX1066">
        <v>0</v>
      </c>
      <c r="AY1066" s="18">
        <v>1</v>
      </c>
      <c r="AZ1066">
        <v>0.19600000000000001</v>
      </c>
      <c r="BA1066" s="18">
        <v>0.80400000000000005</v>
      </c>
      <c r="BB1066" s="18" t="s">
        <v>538</v>
      </c>
      <c r="BC1066">
        <v>0</v>
      </c>
      <c r="BD1066">
        <v>0</v>
      </c>
      <c r="BE1066">
        <v>0</v>
      </c>
      <c r="BF1066">
        <v>1</v>
      </c>
      <c r="BG1066">
        <v>0</v>
      </c>
      <c r="BH1066" s="18">
        <v>0</v>
      </c>
      <c r="BI1066">
        <v>0</v>
      </c>
      <c r="BJ1066">
        <v>1</v>
      </c>
      <c r="BK1066" s="18">
        <v>0</v>
      </c>
      <c r="BL1066">
        <v>95.17</v>
      </c>
      <c r="BM1066">
        <v>325.85000000000002</v>
      </c>
      <c r="BN1066" s="25">
        <v>37.4</v>
      </c>
      <c r="BO1066">
        <v>1</v>
      </c>
      <c r="BP1066">
        <v>0</v>
      </c>
      <c r="BQ1066">
        <v>0</v>
      </c>
      <c r="BR1066">
        <v>0</v>
      </c>
      <c r="BS1066">
        <v>0</v>
      </c>
      <c r="BT1066">
        <v>0</v>
      </c>
      <c r="BU1066">
        <v>0</v>
      </c>
      <c r="BV1066" s="18">
        <v>0</v>
      </c>
      <c r="BW1066">
        <v>0</v>
      </c>
      <c r="BX1066">
        <v>0</v>
      </c>
      <c r="BY1066">
        <v>1</v>
      </c>
      <c r="BZ1066" s="18">
        <v>0</v>
      </c>
      <c r="CA1066">
        <v>0</v>
      </c>
      <c r="CB1066">
        <v>0</v>
      </c>
      <c r="CC1066">
        <v>0</v>
      </c>
      <c r="CD1066">
        <v>0</v>
      </c>
      <c r="CE1066">
        <v>0</v>
      </c>
      <c r="CF1066" s="18">
        <v>0</v>
      </c>
      <c r="CG1066">
        <v>1</v>
      </c>
      <c r="CH1066">
        <v>0</v>
      </c>
      <c r="CI1066">
        <v>1</v>
      </c>
      <c r="CJ1066">
        <v>1</v>
      </c>
      <c r="CK1066">
        <v>0</v>
      </c>
      <c r="CL1066">
        <v>0</v>
      </c>
      <c r="CM1066">
        <v>1</v>
      </c>
      <c r="CN1066">
        <v>0</v>
      </c>
      <c r="CO1066">
        <v>0</v>
      </c>
      <c r="CP1066">
        <v>0</v>
      </c>
      <c r="CQ1066" s="18">
        <v>1</v>
      </c>
      <c r="CR1066">
        <v>0.14599999999999999</v>
      </c>
      <c r="CS1066">
        <v>15</v>
      </c>
      <c r="CT1066">
        <v>1</v>
      </c>
      <c r="CU1066">
        <v>0</v>
      </c>
      <c r="CV1066">
        <v>23</v>
      </c>
      <c r="DB1066" s="34"/>
    </row>
    <row r="1067" spans="1:106" x14ac:dyDescent="0.25">
      <c r="A1067">
        <v>1066</v>
      </c>
      <c r="B1067">
        <v>71</v>
      </c>
      <c r="C1067" s="25" t="s">
        <v>4176</v>
      </c>
      <c r="D1067" s="12">
        <v>0.8</v>
      </c>
      <c r="E1067" s="14">
        <f t="shared" si="307"/>
        <v>0.32989690721649489</v>
      </c>
      <c r="F1067" s="7">
        <v>2.4249999999999998</v>
      </c>
      <c r="G1067" s="7">
        <f t="shared" si="297"/>
        <v>0.47010309278350515</v>
      </c>
      <c r="H1067" s="16">
        <f t="shared" si="298"/>
        <v>1.1298969072164948</v>
      </c>
      <c r="I1067" s="11">
        <f t="shared" si="299"/>
        <v>3.6267298423024875E-2</v>
      </c>
      <c r="J1067" s="33">
        <f t="shared" si="300"/>
        <v>1.495558697856696E-2</v>
      </c>
      <c r="K1067" s="33">
        <f t="shared" si="301"/>
        <v>66.864644057977301</v>
      </c>
      <c r="L1067" s="33">
        <f t="shared" si="302"/>
        <v>2.1311711444457915E-2</v>
      </c>
      <c r="M1067" s="33">
        <f t="shared" si="303"/>
        <v>5.1222885401591839E-2</v>
      </c>
      <c r="N1067" s="8">
        <v>1</v>
      </c>
      <c r="O1067" s="9">
        <v>0</v>
      </c>
      <c r="P1067" s="8">
        <v>0</v>
      </c>
      <c r="Q1067" s="9">
        <v>0</v>
      </c>
      <c r="R1067" s="9">
        <v>0</v>
      </c>
      <c r="S1067" s="9">
        <v>0</v>
      </c>
      <c r="T1067" s="9">
        <v>1</v>
      </c>
      <c r="U1067" s="8">
        <v>4491</v>
      </c>
      <c r="V1067" s="9">
        <v>25</v>
      </c>
      <c r="W1067" s="9">
        <f t="shared" si="304"/>
        <v>4465</v>
      </c>
      <c r="X1067" s="9">
        <f t="shared" si="305"/>
        <v>33</v>
      </c>
      <c r="Y1067" s="7">
        <v>9.6</v>
      </c>
      <c r="Z1067" s="7">
        <v>19.399999999999999</v>
      </c>
      <c r="AA1067" s="9">
        <v>0</v>
      </c>
      <c r="AB1067" s="9">
        <v>1</v>
      </c>
      <c r="AC1067" s="9">
        <v>1</v>
      </c>
      <c r="AD1067" s="9">
        <v>0</v>
      </c>
      <c r="AE1067" s="9">
        <v>0</v>
      </c>
      <c r="AF1067" s="9">
        <v>0</v>
      </c>
      <c r="AG1067" s="8">
        <v>0</v>
      </c>
      <c r="AH1067" s="9">
        <v>1</v>
      </c>
      <c r="AI1067" s="30">
        <v>0</v>
      </c>
      <c r="AJ1067" s="9">
        <v>0</v>
      </c>
      <c r="AK1067" s="30">
        <v>1</v>
      </c>
      <c r="AL1067" s="21">
        <v>2010</v>
      </c>
      <c r="AM1067" s="23">
        <f t="shared" si="306"/>
        <v>7.6058900010531216</v>
      </c>
      <c r="AN1067" s="33">
        <v>2.1999999999999999E-2</v>
      </c>
      <c r="AO1067" s="33">
        <v>0.17299999999999999</v>
      </c>
      <c r="AP1067" s="33">
        <v>0.63600000000000001</v>
      </c>
      <c r="AQ1067" s="43">
        <v>0.16900000000000001</v>
      </c>
      <c r="AR1067" s="42">
        <v>1</v>
      </c>
      <c r="AS1067" s="18">
        <v>0</v>
      </c>
      <c r="AT1067" s="33">
        <v>0.53800000000000003</v>
      </c>
      <c r="AU1067" s="40">
        <v>0.46200000000000002</v>
      </c>
      <c r="AV1067">
        <v>0.755</v>
      </c>
      <c r="AW1067" s="40">
        <v>0.245</v>
      </c>
      <c r="AX1067">
        <v>0</v>
      </c>
      <c r="AY1067" s="18">
        <v>1</v>
      </c>
      <c r="AZ1067">
        <v>0.19600000000000001</v>
      </c>
      <c r="BA1067" s="18">
        <v>0.80400000000000005</v>
      </c>
      <c r="BB1067" s="18" t="s">
        <v>538</v>
      </c>
      <c r="BC1067">
        <v>0</v>
      </c>
      <c r="BD1067">
        <v>0</v>
      </c>
      <c r="BE1067">
        <v>0</v>
      </c>
      <c r="BF1067">
        <v>1</v>
      </c>
      <c r="BG1067">
        <v>0</v>
      </c>
      <c r="BH1067" s="18">
        <v>0</v>
      </c>
      <c r="BI1067">
        <v>0</v>
      </c>
      <c r="BJ1067">
        <v>1</v>
      </c>
      <c r="BK1067" s="18">
        <v>0</v>
      </c>
      <c r="BL1067">
        <v>95.17</v>
      </c>
      <c r="BM1067">
        <v>325.85000000000002</v>
      </c>
      <c r="BN1067" s="25">
        <v>37.4</v>
      </c>
      <c r="BO1067">
        <v>1</v>
      </c>
      <c r="BP1067">
        <v>0</v>
      </c>
      <c r="BQ1067">
        <v>0</v>
      </c>
      <c r="BR1067">
        <v>0</v>
      </c>
      <c r="BS1067">
        <v>0</v>
      </c>
      <c r="BT1067">
        <v>0</v>
      </c>
      <c r="BU1067">
        <v>0</v>
      </c>
      <c r="BV1067" s="18">
        <v>0</v>
      </c>
      <c r="BW1067">
        <v>0</v>
      </c>
      <c r="BX1067">
        <v>0</v>
      </c>
      <c r="BY1067">
        <v>1</v>
      </c>
      <c r="BZ1067" s="18">
        <v>0</v>
      </c>
      <c r="CA1067">
        <v>0</v>
      </c>
      <c r="CB1067">
        <v>0</v>
      </c>
      <c r="CC1067">
        <v>0</v>
      </c>
      <c r="CD1067">
        <v>0</v>
      </c>
      <c r="CE1067">
        <v>0</v>
      </c>
      <c r="CF1067" s="18">
        <v>0</v>
      </c>
      <c r="CG1067">
        <v>1</v>
      </c>
      <c r="CH1067">
        <v>0</v>
      </c>
      <c r="CI1067">
        <v>1</v>
      </c>
      <c r="CJ1067">
        <v>1</v>
      </c>
      <c r="CK1067">
        <v>0</v>
      </c>
      <c r="CL1067">
        <v>0</v>
      </c>
      <c r="CM1067">
        <v>1</v>
      </c>
      <c r="CN1067">
        <v>0</v>
      </c>
      <c r="CO1067">
        <v>0</v>
      </c>
      <c r="CP1067">
        <v>0</v>
      </c>
      <c r="CQ1067" s="18">
        <v>1</v>
      </c>
      <c r="CR1067">
        <v>0.14599999999999999</v>
      </c>
      <c r="CS1067">
        <v>15</v>
      </c>
      <c r="CT1067">
        <v>1</v>
      </c>
      <c r="CU1067">
        <v>0</v>
      </c>
      <c r="CV1067">
        <v>23</v>
      </c>
      <c r="DB1067" s="34"/>
    </row>
    <row r="1068" spans="1:106" x14ac:dyDescent="0.25">
      <c r="A1068">
        <v>1067</v>
      </c>
      <c r="B1068">
        <v>71</v>
      </c>
      <c r="C1068" s="25" t="s">
        <v>4176</v>
      </c>
      <c r="D1068" s="12">
        <v>4.2</v>
      </c>
      <c r="E1068" s="14">
        <f t="shared" si="307"/>
        <v>1.3607142857142855</v>
      </c>
      <c r="F1068" s="7">
        <v>3.0866141732283472</v>
      </c>
      <c r="G1068" s="7">
        <f t="shared" si="297"/>
        <v>2.8392857142857144</v>
      </c>
      <c r="H1068" s="16">
        <f t="shared" si="298"/>
        <v>5.5607142857142859</v>
      </c>
      <c r="I1068" s="11">
        <f t="shared" si="299"/>
        <v>4.6143312752539134E-2</v>
      </c>
      <c r="J1068" s="33">
        <f t="shared" si="300"/>
        <v>1.4949491631562421E-2</v>
      </c>
      <c r="K1068" s="33">
        <f t="shared" si="301"/>
        <v>66.891906738067902</v>
      </c>
      <c r="L1068" s="33">
        <f t="shared" si="302"/>
        <v>3.1193821120976711E-2</v>
      </c>
      <c r="M1068" s="33">
        <f t="shared" si="303"/>
        <v>6.1092804384101557E-2</v>
      </c>
      <c r="N1068" s="8">
        <v>1</v>
      </c>
      <c r="O1068" s="9">
        <v>0</v>
      </c>
      <c r="P1068" s="8">
        <v>0</v>
      </c>
      <c r="Q1068" s="9">
        <v>0</v>
      </c>
      <c r="R1068" s="9">
        <v>0</v>
      </c>
      <c r="S1068" s="9">
        <v>0</v>
      </c>
      <c r="T1068" s="9">
        <v>1</v>
      </c>
      <c r="U1068" s="8">
        <v>4491</v>
      </c>
      <c r="V1068" s="9">
        <v>25</v>
      </c>
      <c r="W1068" s="9">
        <f t="shared" si="304"/>
        <v>4465</v>
      </c>
      <c r="X1068" s="9">
        <f t="shared" si="305"/>
        <v>33</v>
      </c>
      <c r="Y1068" s="7">
        <v>9.6</v>
      </c>
      <c r="Z1068" s="7">
        <v>19.399999999999999</v>
      </c>
      <c r="AA1068" s="9">
        <v>0</v>
      </c>
      <c r="AB1068" s="9">
        <v>1</v>
      </c>
      <c r="AC1068" s="9">
        <v>1</v>
      </c>
      <c r="AD1068" s="9">
        <v>0</v>
      </c>
      <c r="AE1068" s="9">
        <v>0</v>
      </c>
      <c r="AF1068" s="9">
        <v>0</v>
      </c>
      <c r="AG1068" s="8">
        <v>0</v>
      </c>
      <c r="AH1068" s="9">
        <v>1</v>
      </c>
      <c r="AI1068" s="30">
        <v>0</v>
      </c>
      <c r="AJ1068" s="9">
        <v>0</v>
      </c>
      <c r="AK1068" s="30">
        <v>1</v>
      </c>
      <c r="AL1068" s="21">
        <v>2010</v>
      </c>
      <c r="AM1068" s="23">
        <f t="shared" si="306"/>
        <v>7.6058900010531216</v>
      </c>
      <c r="AN1068" s="33">
        <v>2.1999999999999999E-2</v>
      </c>
      <c r="AO1068" s="33">
        <v>0.17299999999999999</v>
      </c>
      <c r="AP1068" s="33">
        <v>0.63600000000000001</v>
      </c>
      <c r="AQ1068" s="43">
        <v>0.16900000000000001</v>
      </c>
      <c r="AR1068" s="42">
        <v>1</v>
      </c>
      <c r="AS1068" s="18">
        <v>0</v>
      </c>
      <c r="AT1068" s="33">
        <v>0.53800000000000003</v>
      </c>
      <c r="AU1068" s="40">
        <v>0.46200000000000002</v>
      </c>
      <c r="AV1068">
        <v>0.755</v>
      </c>
      <c r="AW1068" s="40">
        <v>0.245</v>
      </c>
      <c r="AX1068">
        <v>0</v>
      </c>
      <c r="AY1068" s="18">
        <v>1</v>
      </c>
      <c r="AZ1068">
        <v>0.19600000000000001</v>
      </c>
      <c r="BA1068" s="18">
        <v>0.80400000000000005</v>
      </c>
      <c r="BB1068" s="18" t="s">
        <v>538</v>
      </c>
      <c r="BC1068">
        <v>0</v>
      </c>
      <c r="BD1068">
        <v>0</v>
      </c>
      <c r="BE1068">
        <v>0</v>
      </c>
      <c r="BF1068">
        <v>1</v>
      </c>
      <c r="BG1068">
        <v>0</v>
      </c>
      <c r="BH1068" s="18">
        <v>0</v>
      </c>
      <c r="BI1068">
        <v>0</v>
      </c>
      <c r="BJ1068">
        <v>1</v>
      </c>
      <c r="BK1068" s="18">
        <v>0</v>
      </c>
      <c r="BL1068">
        <v>95.17</v>
      </c>
      <c r="BM1068">
        <v>325.85000000000002</v>
      </c>
      <c r="BN1068" s="25">
        <v>37.4</v>
      </c>
      <c r="BO1068">
        <v>1</v>
      </c>
      <c r="BP1068">
        <v>0</v>
      </c>
      <c r="BQ1068">
        <v>0</v>
      </c>
      <c r="BR1068">
        <v>0</v>
      </c>
      <c r="BS1068">
        <v>0</v>
      </c>
      <c r="BT1068">
        <v>0</v>
      </c>
      <c r="BU1068">
        <v>0</v>
      </c>
      <c r="BV1068" s="18">
        <v>0</v>
      </c>
      <c r="BW1068">
        <v>0</v>
      </c>
      <c r="BX1068">
        <v>0</v>
      </c>
      <c r="BY1068">
        <v>1</v>
      </c>
      <c r="BZ1068" s="18">
        <v>0</v>
      </c>
      <c r="CA1068">
        <v>0</v>
      </c>
      <c r="CB1068">
        <v>0</v>
      </c>
      <c r="CC1068">
        <v>0</v>
      </c>
      <c r="CD1068">
        <v>0</v>
      </c>
      <c r="CE1068">
        <v>0</v>
      </c>
      <c r="CF1068" s="18">
        <v>0</v>
      </c>
      <c r="CG1068">
        <v>1</v>
      </c>
      <c r="CH1068">
        <v>0</v>
      </c>
      <c r="CI1068">
        <v>1</v>
      </c>
      <c r="CJ1068">
        <v>1</v>
      </c>
      <c r="CK1068">
        <v>0</v>
      </c>
      <c r="CL1068">
        <v>0</v>
      </c>
      <c r="CM1068">
        <v>1</v>
      </c>
      <c r="CN1068">
        <v>0</v>
      </c>
      <c r="CO1068">
        <v>0</v>
      </c>
      <c r="CP1068">
        <v>0</v>
      </c>
      <c r="CQ1068" s="18">
        <v>1</v>
      </c>
      <c r="CR1068">
        <v>0.14599999999999999</v>
      </c>
      <c r="CS1068">
        <v>15</v>
      </c>
      <c r="CT1068">
        <v>1</v>
      </c>
      <c r="CU1068">
        <v>0</v>
      </c>
      <c r="CV1068">
        <v>23</v>
      </c>
      <c r="DB1068" s="34"/>
    </row>
    <row r="1069" spans="1:106" x14ac:dyDescent="0.25">
      <c r="A1069">
        <v>1068</v>
      </c>
      <c r="B1069">
        <v>71</v>
      </c>
      <c r="C1069" s="25" t="s">
        <v>4176</v>
      </c>
      <c r="D1069" s="12">
        <v>17.899999999999999</v>
      </c>
      <c r="E1069" s="14">
        <f t="shared" si="307"/>
        <v>3.8027314112291348</v>
      </c>
      <c r="F1069" s="7">
        <v>4.7071428571428573</v>
      </c>
      <c r="G1069" s="7">
        <f t="shared" si="297"/>
        <v>14.097268588770863</v>
      </c>
      <c r="H1069" s="16">
        <f t="shared" si="298"/>
        <v>21.702731411229134</v>
      </c>
      <c r="I1069" s="11">
        <f t="shared" si="299"/>
        <v>7.0270288557333763E-2</v>
      </c>
      <c r="J1069" s="33">
        <f t="shared" si="300"/>
        <v>1.4928437629782592E-2</v>
      </c>
      <c r="K1069" s="33">
        <f t="shared" si="301"/>
        <v>66.98624630383128</v>
      </c>
      <c r="L1069" s="33">
        <f t="shared" si="302"/>
        <v>5.5341850927551173E-2</v>
      </c>
      <c r="M1069" s="33">
        <f t="shared" si="303"/>
        <v>8.5198726187116353E-2</v>
      </c>
      <c r="N1069" s="8">
        <v>1</v>
      </c>
      <c r="O1069" s="9">
        <v>0</v>
      </c>
      <c r="P1069" s="8">
        <v>0</v>
      </c>
      <c r="Q1069" s="9">
        <v>0</v>
      </c>
      <c r="R1069" s="9">
        <v>0</v>
      </c>
      <c r="S1069" s="9">
        <v>0</v>
      </c>
      <c r="T1069" s="9">
        <v>1</v>
      </c>
      <c r="U1069" s="8">
        <v>4491</v>
      </c>
      <c r="V1069" s="9">
        <v>25</v>
      </c>
      <c r="W1069" s="9">
        <f t="shared" si="304"/>
        <v>4465</v>
      </c>
      <c r="X1069" s="9">
        <f t="shared" si="305"/>
        <v>33</v>
      </c>
      <c r="Y1069" s="7">
        <v>9.6</v>
      </c>
      <c r="Z1069" s="7">
        <v>19.399999999999999</v>
      </c>
      <c r="AA1069" s="9">
        <v>0</v>
      </c>
      <c r="AB1069" s="9">
        <v>1</v>
      </c>
      <c r="AC1069" s="9">
        <v>1</v>
      </c>
      <c r="AD1069" s="9">
        <v>0</v>
      </c>
      <c r="AE1069" s="9">
        <v>0</v>
      </c>
      <c r="AF1069" s="9">
        <v>0</v>
      </c>
      <c r="AG1069" s="8">
        <v>0</v>
      </c>
      <c r="AH1069" s="9">
        <v>1</v>
      </c>
      <c r="AI1069" s="30">
        <v>0</v>
      </c>
      <c r="AJ1069" s="9">
        <v>0</v>
      </c>
      <c r="AK1069" s="30">
        <v>1</v>
      </c>
      <c r="AL1069" s="21">
        <v>2010</v>
      </c>
      <c r="AM1069" s="23">
        <f t="shared" si="306"/>
        <v>7.6058900010531216</v>
      </c>
      <c r="AN1069" s="33">
        <v>2.1999999999999999E-2</v>
      </c>
      <c r="AO1069" s="33">
        <v>0.17299999999999999</v>
      </c>
      <c r="AP1069" s="33">
        <v>0.63600000000000001</v>
      </c>
      <c r="AQ1069" s="43">
        <v>0.16900000000000001</v>
      </c>
      <c r="AR1069" s="42">
        <v>1</v>
      </c>
      <c r="AS1069" s="18">
        <v>0</v>
      </c>
      <c r="AT1069" s="33">
        <v>0.53800000000000003</v>
      </c>
      <c r="AU1069" s="40">
        <v>0.46200000000000002</v>
      </c>
      <c r="AV1069">
        <v>0.755</v>
      </c>
      <c r="AW1069" s="40">
        <v>0.245</v>
      </c>
      <c r="AX1069">
        <v>0</v>
      </c>
      <c r="AY1069" s="18">
        <v>1</v>
      </c>
      <c r="AZ1069">
        <v>0.19600000000000001</v>
      </c>
      <c r="BA1069" s="18">
        <v>0.80400000000000005</v>
      </c>
      <c r="BB1069" s="18" t="s">
        <v>538</v>
      </c>
      <c r="BC1069">
        <v>0</v>
      </c>
      <c r="BD1069">
        <v>0</v>
      </c>
      <c r="BE1069">
        <v>0</v>
      </c>
      <c r="BF1069">
        <v>1</v>
      </c>
      <c r="BG1069">
        <v>0</v>
      </c>
      <c r="BH1069" s="18">
        <v>0</v>
      </c>
      <c r="BI1069">
        <v>0</v>
      </c>
      <c r="BJ1069">
        <v>1</v>
      </c>
      <c r="BK1069" s="18">
        <v>0</v>
      </c>
      <c r="BL1069">
        <v>95.17</v>
      </c>
      <c r="BM1069">
        <v>325.85000000000002</v>
      </c>
      <c r="BN1069" s="25">
        <v>37.4</v>
      </c>
      <c r="BO1069">
        <v>1</v>
      </c>
      <c r="BP1069">
        <v>0</v>
      </c>
      <c r="BQ1069">
        <v>0</v>
      </c>
      <c r="BR1069">
        <v>0</v>
      </c>
      <c r="BS1069">
        <v>0</v>
      </c>
      <c r="BT1069">
        <v>0</v>
      </c>
      <c r="BU1069">
        <v>0</v>
      </c>
      <c r="BV1069" s="18">
        <v>0</v>
      </c>
      <c r="BW1069">
        <v>0</v>
      </c>
      <c r="BX1069">
        <v>0</v>
      </c>
      <c r="BY1069">
        <v>1</v>
      </c>
      <c r="BZ1069" s="18">
        <v>0</v>
      </c>
      <c r="CA1069">
        <v>0</v>
      </c>
      <c r="CB1069">
        <v>0</v>
      </c>
      <c r="CC1069">
        <v>0</v>
      </c>
      <c r="CD1069">
        <v>0</v>
      </c>
      <c r="CE1069">
        <v>0</v>
      </c>
      <c r="CF1069" s="18">
        <v>0</v>
      </c>
      <c r="CG1069">
        <v>1</v>
      </c>
      <c r="CH1069">
        <v>0</v>
      </c>
      <c r="CI1069">
        <v>1</v>
      </c>
      <c r="CJ1069">
        <v>1</v>
      </c>
      <c r="CK1069">
        <v>0</v>
      </c>
      <c r="CL1069">
        <v>0</v>
      </c>
      <c r="CM1069">
        <v>1</v>
      </c>
      <c r="CN1069">
        <v>0</v>
      </c>
      <c r="CO1069">
        <v>0</v>
      </c>
      <c r="CP1069">
        <v>0</v>
      </c>
      <c r="CQ1069" s="18">
        <v>1</v>
      </c>
      <c r="CR1069">
        <v>0.14599999999999999</v>
      </c>
      <c r="CS1069">
        <v>15</v>
      </c>
      <c r="CT1069">
        <v>1</v>
      </c>
      <c r="CU1069">
        <v>0</v>
      </c>
      <c r="CV1069">
        <v>23</v>
      </c>
      <c r="DB1069" s="34"/>
    </row>
    <row r="1070" spans="1:106" x14ac:dyDescent="0.25">
      <c r="A1070">
        <v>1069</v>
      </c>
      <c r="B1070">
        <v>71</v>
      </c>
      <c r="C1070" s="25" t="s">
        <v>4176</v>
      </c>
      <c r="D1070" s="12">
        <v>19.600000000000001</v>
      </c>
      <c r="E1070" s="14">
        <f t="shared" si="307"/>
        <v>2.2043591979075852</v>
      </c>
      <c r="F1070" s="7">
        <v>8.8914728682170541</v>
      </c>
      <c r="G1070" s="7">
        <f t="shared" si="297"/>
        <v>17.395640802092416</v>
      </c>
      <c r="H1070" s="16">
        <f t="shared" si="298"/>
        <v>21.804359197907587</v>
      </c>
      <c r="I1070" s="11">
        <f t="shared" si="299"/>
        <v>0.13190211542131122</v>
      </c>
      <c r="J1070" s="33">
        <f t="shared" si="300"/>
        <v>1.4834675579205881E-2</v>
      </c>
      <c r="K1070" s="33">
        <f t="shared" si="301"/>
        <v>67.409630541683285</v>
      </c>
      <c r="L1070" s="33">
        <f t="shared" si="302"/>
        <v>0.11706743984210534</v>
      </c>
      <c r="M1070" s="33">
        <f t="shared" si="303"/>
        <v>0.14673679100051709</v>
      </c>
      <c r="N1070" s="8">
        <v>1</v>
      </c>
      <c r="O1070" s="9">
        <v>0</v>
      </c>
      <c r="P1070" s="8">
        <v>0</v>
      </c>
      <c r="Q1070" s="9">
        <v>0</v>
      </c>
      <c r="R1070" s="9">
        <v>0</v>
      </c>
      <c r="S1070" s="9">
        <v>0</v>
      </c>
      <c r="T1070" s="9">
        <v>1</v>
      </c>
      <c r="U1070" s="8">
        <v>4491</v>
      </c>
      <c r="V1070" s="9">
        <v>25</v>
      </c>
      <c r="W1070" s="9">
        <f t="shared" si="304"/>
        <v>4465</v>
      </c>
      <c r="X1070" s="9">
        <f t="shared" si="305"/>
        <v>33</v>
      </c>
      <c r="Y1070" s="7">
        <v>9.6</v>
      </c>
      <c r="Z1070" s="7">
        <v>19.399999999999999</v>
      </c>
      <c r="AA1070" s="9">
        <v>0</v>
      </c>
      <c r="AB1070" s="9">
        <v>1</v>
      </c>
      <c r="AC1070" s="9">
        <v>1</v>
      </c>
      <c r="AD1070" s="9">
        <v>0</v>
      </c>
      <c r="AE1070" s="9">
        <v>0</v>
      </c>
      <c r="AF1070" s="9">
        <v>0</v>
      </c>
      <c r="AG1070" s="8">
        <v>0</v>
      </c>
      <c r="AH1070" s="9">
        <v>1</v>
      </c>
      <c r="AI1070" s="30">
        <v>0</v>
      </c>
      <c r="AJ1070" s="9">
        <v>0</v>
      </c>
      <c r="AK1070" s="30">
        <v>1</v>
      </c>
      <c r="AL1070" s="21">
        <v>2010</v>
      </c>
      <c r="AM1070" s="23">
        <f t="shared" si="306"/>
        <v>7.6058900010531216</v>
      </c>
      <c r="AN1070" s="33">
        <v>2.1999999999999999E-2</v>
      </c>
      <c r="AO1070" s="33">
        <v>0.17299999999999999</v>
      </c>
      <c r="AP1070" s="33">
        <v>0.63600000000000001</v>
      </c>
      <c r="AQ1070" s="43">
        <v>0.16900000000000001</v>
      </c>
      <c r="AR1070" s="42">
        <v>1</v>
      </c>
      <c r="AS1070" s="18">
        <v>0</v>
      </c>
      <c r="AT1070" s="33">
        <v>0.53800000000000003</v>
      </c>
      <c r="AU1070" s="40">
        <v>0.46200000000000002</v>
      </c>
      <c r="AV1070">
        <v>0.755</v>
      </c>
      <c r="AW1070" s="40">
        <v>0.245</v>
      </c>
      <c r="AX1070">
        <v>0</v>
      </c>
      <c r="AY1070" s="18">
        <v>1</v>
      </c>
      <c r="AZ1070">
        <v>0.19600000000000001</v>
      </c>
      <c r="BA1070" s="18">
        <v>0.80400000000000005</v>
      </c>
      <c r="BB1070" s="18" t="s">
        <v>538</v>
      </c>
      <c r="BC1070">
        <v>0</v>
      </c>
      <c r="BD1070">
        <v>0</v>
      </c>
      <c r="BE1070">
        <v>0</v>
      </c>
      <c r="BF1070">
        <v>1</v>
      </c>
      <c r="BG1070">
        <v>0</v>
      </c>
      <c r="BH1070" s="18">
        <v>0</v>
      </c>
      <c r="BI1070">
        <v>0</v>
      </c>
      <c r="BJ1070">
        <v>1</v>
      </c>
      <c r="BK1070" s="18">
        <v>0</v>
      </c>
      <c r="BL1070">
        <v>95.17</v>
      </c>
      <c r="BM1070">
        <v>325.85000000000002</v>
      </c>
      <c r="BN1070" s="25">
        <v>37.4</v>
      </c>
      <c r="BO1070">
        <v>1</v>
      </c>
      <c r="BP1070">
        <v>0</v>
      </c>
      <c r="BQ1070">
        <v>0</v>
      </c>
      <c r="BR1070">
        <v>0</v>
      </c>
      <c r="BS1070">
        <v>0</v>
      </c>
      <c r="BT1070">
        <v>0</v>
      </c>
      <c r="BU1070">
        <v>0</v>
      </c>
      <c r="BV1070" s="18">
        <v>0</v>
      </c>
      <c r="BW1070">
        <v>0</v>
      </c>
      <c r="BX1070">
        <v>0</v>
      </c>
      <c r="BY1070">
        <v>1</v>
      </c>
      <c r="BZ1070" s="18">
        <v>0</v>
      </c>
      <c r="CA1070">
        <v>0</v>
      </c>
      <c r="CB1070">
        <v>0</v>
      </c>
      <c r="CC1070">
        <v>0</v>
      </c>
      <c r="CD1070">
        <v>0</v>
      </c>
      <c r="CE1070">
        <v>0</v>
      </c>
      <c r="CF1070" s="18">
        <v>0</v>
      </c>
      <c r="CG1070">
        <v>1</v>
      </c>
      <c r="CH1070">
        <v>0</v>
      </c>
      <c r="CI1070">
        <v>1</v>
      </c>
      <c r="CJ1070">
        <v>1</v>
      </c>
      <c r="CK1070">
        <v>0</v>
      </c>
      <c r="CL1070">
        <v>0</v>
      </c>
      <c r="CM1070">
        <v>1</v>
      </c>
      <c r="CN1070">
        <v>0</v>
      </c>
      <c r="CO1070">
        <v>0</v>
      </c>
      <c r="CP1070">
        <v>0</v>
      </c>
      <c r="CQ1070" s="18">
        <v>1</v>
      </c>
      <c r="CR1070">
        <v>0.14599999999999999</v>
      </c>
      <c r="CS1070">
        <v>15</v>
      </c>
      <c r="CT1070">
        <v>1</v>
      </c>
      <c r="CU1070">
        <v>0</v>
      </c>
      <c r="CV1070">
        <v>23</v>
      </c>
      <c r="DB1070" s="34"/>
    </row>
    <row r="1071" spans="1:106" x14ac:dyDescent="0.25">
      <c r="A1071">
        <v>1070</v>
      </c>
      <c r="B1071">
        <v>71</v>
      </c>
      <c r="C1071" s="25" t="s">
        <v>4176</v>
      </c>
      <c r="D1071" s="12">
        <v>1.3</v>
      </c>
      <c r="E1071" s="14">
        <f t="shared" si="307"/>
        <v>1.3661016949152542</v>
      </c>
      <c r="F1071" s="7">
        <v>0.95161290322580649</v>
      </c>
      <c r="G1071" s="7">
        <f t="shared" si="297"/>
        <v>-6.6101694915254194E-2</v>
      </c>
      <c r="H1071" s="16">
        <f t="shared" si="298"/>
        <v>2.6661016949152545</v>
      </c>
      <c r="I1071" s="11">
        <f t="shared" si="299"/>
        <v>2.6272961816008172E-2</v>
      </c>
      <c r="J1071" s="33">
        <f t="shared" si="300"/>
        <v>2.7608875128686552E-2</v>
      </c>
      <c r="K1071" s="33">
        <f t="shared" si="301"/>
        <v>36.220236983178147</v>
      </c>
      <c r="L1071" s="33">
        <f t="shared" si="302"/>
        <v>-1.3359133126783808E-3</v>
      </c>
      <c r="M1071" s="33">
        <f t="shared" si="303"/>
        <v>5.3881836944694728E-2</v>
      </c>
      <c r="N1071" s="8">
        <v>1</v>
      </c>
      <c r="O1071" s="9">
        <v>0</v>
      </c>
      <c r="P1071" s="8">
        <v>0</v>
      </c>
      <c r="Q1071" s="9">
        <v>0</v>
      </c>
      <c r="R1071" s="9">
        <v>0</v>
      </c>
      <c r="S1071" s="9">
        <v>0</v>
      </c>
      <c r="T1071" s="9">
        <v>1</v>
      </c>
      <c r="U1071" s="8">
        <v>1319</v>
      </c>
      <c r="V1071" s="9">
        <v>7</v>
      </c>
      <c r="W1071" s="9">
        <f t="shared" si="304"/>
        <v>1311</v>
      </c>
      <c r="X1071" s="9">
        <f t="shared" si="305"/>
        <v>33</v>
      </c>
      <c r="Y1071" s="7">
        <v>7.3</v>
      </c>
      <c r="Z1071" s="7">
        <v>17.5</v>
      </c>
      <c r="AA1071" s="9">
        <v>0</v>
      </c>
      <c r="AB1071" s="9">
        <v>1</v>
      </c>
      <c r="AC1071" s="9">
        <v>1</v>
      </c>
      <c r="AD1071" s="9">
        <v>0</v>
      </c>
      <c r="AE1071" s="9">
        <v>0</v>
      </c>
      <c r="AF1071" s="9">
        <v>0</v>
      </c>
      <c r="AG1071" s="8">
        <v>0</v>
      </c>
      <c r="AH1071" s="9">
        <v>1</v>
      </c>
      <c r="AI1071" s="30">
        <v>0</v>
      </c>
      <c r="AJ1071" s="9">
        <v>0</v>
      </c>
      <c r="AK1071" s="30">
        <v>1</v>
      </c>
      <c r="AL1071" s="21">
        <v>2014</v>
      </c>
      <c r="AM1071" s="23">
        <f t="shared" si="306"/>
        <v>7.6078780732785072</v>
      </c>
      <c r="AN1071" s="33">
        <v>4.8000000000000001E-2</v>
      </c>
      <c r="AO1071" s="33">
        <v>0.32700000000000001</v>
      </c>
      <c r="AP1071" s="33">
        <v>0.47399999999999998</v>
      </c>
      <c r="AQ1071" s="43">
        <v>0.151</v>
      </c>
      <c r="AR1071" s="42">
        <v>1</v>
      </c>
      <c r="AS1071" s="18">
        <v>0</v>
      </c>
      <c r="AT1071" s="33">
        <v>0.53100000000000003</v>
      </c>
      <c r="AU1071" s="40">
        <v>0.46899999999999997</v>
      </c>
      <c r="AV1071">
        <v>0.69299999999999995</v>
      </c>
      <c r="AW1071" s="40">
        <v>0.307</v>
      </c>
      <c r="AX1071">
        <v>0</v>
      </c>
      <c r="AY1071" s="18">
        <v>1</v>
      </c>
      <c r="AZ1071">
        <v>0.33800000000000002</v>
      </c>
      <c r="BA1071" s="18">
        <v>0.66200000000000003</v>
      </c>
      <c r="BB1071" s="18" t="s">
        <v>596</v>
      </c>
      <c r="BC1071">
        <v>0</v>
      </c>
      <c r="BD1071">
        <v>0</v>
      </c>
      <c r="BE1071">
        <v>0</v>
      </c>
      <c r="BF1071">
        <v>1</v>
      </c>
      <c r="BG1071">
        <v>0</v>
      </c>
      <c r="BH1071" s="18">
        <v>0</v>
      </c>
      <c r="BI1071">
        <v>0</v>
      </c>
      <c r="BJ1071">
        <v>1</v>
      </c>
      <c r="BK1071" s="18">
        <v>0</v>
      </c>
      <c r="BL1071">
        <v>105.6666666666667</v>
      </c>
      <c r="BM1071">
        <v>60</v>
      </c>
      <c r="BN1071" s="25">
        <v>37.200000000000003</v>
      </c>
      <c r="BO1071">
        <v>1</v>
      </c>
      <c r="BP1071">
        <v>0</v>
      </c>
      <c r="BQ1071">
        <v>0</v>
      </c>
      <c r="BR1071">
        <v>0</v>
      </c>
      <c r="BS1071">
        <v>0</v>
      </c>
      <c r="BT1071">
        <v>0</v>
      </c>
      <c r="BU1071">
        <v>0</v>
      </c>
      <c r="BV1071" s="18">
        <v>0</v>
      </c>
      <c r="BW1071">
        <v>0</v>
      </c>
      <c r="BX1071">
        <v>0</v>
      </c>
      <c r="BY1071">
        <v>1</v>
      </c>
      <c r="BZ1071" s="18">
        <v>0</v>
      </c>
      <c r="CA1071">
        <v>0</v>
      </c>
      <c r="CB1071">
        <v>0</v>
      </c>
      <c r="CC1071">
        <v>0</v>
      </c>
      <c r="CD1071">
        <v>0</v>
      </c>
      <c r="CE1071">
        <v>0</v>
      </c>
      <c r="CF1071" s="18">
        <v>0</v>
      </c>
      <c r="CG1071">
        <v>0</v>
      </c>
      <c r="CH1071">
        <v>0</v>
      </c>
      <c r="CI1071">
        <v>1</v>
      </c>
      <c r="CJ1071">
        <v>1</v>
      </c>
      <c r="CK1071">
        <v>0</v>
      </c>
      <c r="CL1071">
        <v>0</v>
      </c>
      <c r="CM1071">
        <v>0</v>
      </c>
      <c r="CN1071">
        <v>0</v>
      </c>
      <c r="CO1071">
        <v>0</v>
      </c>
      <c r="CP1071">
        <v>0</v>
      </c>
      <c r="CQ1071" s="18">
        <v>0</v>
      </c>
      <c r="CR1071">
        <v>0.14599999999999999</v>
      </c>
      <c r="CS1071">
        <v>15</v>
      </c>
      <c r="CT1071">
        <v>1</v>
      </c>
      <c r="CU1071">
        <v>0</v>
      </c>
      <c r="CV1071">
        <v>23</v>
      </c>
      <c r="DB1071" s="34"/>
    </row>
    <row r="1072" spans="1:106" x14ac:dyDescent="0.25">
      <c r="A1072">
        <v>1071</v>
      </c>
      <c r="B1072">
        <v>71</v>
      </c>
      <c r="C1072" s="25" t="s">
        <v>4176</v>
      </c>
      <c r="D1072" s="12">
        <v>5.4</v>
      </c>
      <c r="E1072" s="14">
        <f t="shared" si="307"/>
        <v>1.7270270270270269</v>
      </c>
      <c r="F1072" s="7">
        <v>3.126760563380282</v>
      </c>
      <c r="G1072" s="7">
        <f t="shared" si="297"/>
        <v>3.6729729729729734</v>
      </c>
      <c r="H1072" s="16">
        <f t="shared" si="298"/>
        <v>7.1270270270270277</v>
      </c>
      <c r="I1072" s="11">
        <f t="shared" si="299"/>
        <v>8.6035945846518913E-2</v>
      </c>
      <c r="J1072" s="33">
        <f t="shared" si="300"/>
        <v>2.751600069866145E-2</v>
      </c>
      <c r="K1072" s="33">
        <f t="shared" si="301"/>
        <v>36.342490718451181</v>
      </c>
      <c r="L1072" s="33">
        <f t="shared" si="302"/>
        <v>5.8519945147857466E-2</v>
      </c>
      <c r="M1072" s="33">
        <f t="shared" si="303"/>
        <v>0.11355194654518036</v>
      </c>
      <c r="N1072" s="8">
        <v>1</v>
      </c>
      <c r="O1072" s="9">
        <v>0</v>
      </c>
      <c r="P1072" s="8">
        <v>0</v>
      </c>
      <c r="Q1072" s="9">
        <v>0</v>
      </c>
      <c r="R1072" s="9">
        <v>0</v>
      </c>
      <c r="S1072" s="9">
        <v>0</v>
      </c>
      <c r="T1072" s="9">
        <v>1</v>
      </c>
      <c r="U1072" s="8">
        <v>1319</v>
      </c>
      <c r="V1072" s="9">
        <v>7</v>
      </c>
      <c r="W1072" s="9">
        <f t="shared" si="304"/>
        <v>1311</v>
      </c>
      <c r="X1072" s="9">
        <f t="shared" si="305"/>
        <v>33</v>
      </c>
      <c r="Y1072" s="7">
        <v>7.3</v>
      </c>
      <c r="Z1072" s="7">
        <v>17.5</v>
      </c>
      <c r="AA1072" s="9">
        <v>0</v>
      </c>
      <c r="AB1072" s="9">
        <v>1</v>
      </c>
      <c r="AC1072" s="9">
        <v>1</v>
      </c>
      <c r="AD1072" s="9">
        <v>0</v>
      </c>
      <c r="AE1072" s="9">
        <v>0</v>
      </c>
      <c r="AF1072" s="9">
        <v>0</v>
      </c>
      <c r="AG1072" s="8">
        <v>0</v>
      </c>
      <c r="AH1072" s="9">
        <v>1</v>
      </c>
      <c r="AI1072" s="30">
        <v>0</v>
      </c>
      <c r="AJ1072" s="9">
        <v>0</v>
      </c>
      <c r="AK1072" s="30">
        <v>1</v>
      </c>
      <c r="AL1072" s="21">
        <v>2014</v>
      </c>
      <c r="AM1072" s="23">
        <f t="shared" si="306"/>
        <v>7.6078780732785072</v>
      </c>
      <c r="AN1072" s="33">
        <v>4.8000000000000001E-2</v>
      </c>
      <c r="AO1072" s="33">
        <v>0.32700000000000001</v>
      </c>
      <c r="AP1072" s="33">
        <v>0.47399999999999998</v>
      </c>
      <c r="AQ1072" s="43">
        <v>0.151</v>
      </c>
      <c r="AR1072" s="42">
        <v>1</v>
      </c>
      <c r="AS1072" s="18">
        <v>0</v>
      </c>
      <c r="AT1072" s="33">
        <v>0.53100000000000003</v>
      </c>
      <c r="AU1072" s="40">
        <v>0.46899999999999997</v>
      </c>
      <c r="AV1072">
        <v>0.69299999999999995</v>
      </c>
      <c r="AW1072" s="40">
        <v>0.307</v>
      </c>
      <c r="AX1072">
        <v>0</v>
      </c>
      <c r="AY1072" s="18">
        <v>1</v>
      </c>
      <c r="AZ1072">
        <v>0.33800000000000002</v>
      </c>
      <c r="BA1072" s="18">
        <v>0.66200000000000003</v>
      </c>
      <c r="BB1072" s="18" t="s">
        <v>596</v>
      </c>
      <c r="BC1072">
        <v>0</v>
      </c>
      <c r="BD1072">
        <v>0</v>
      </c>
      <c r="BE1072">
        <v>0</v>
      </c>
      <c r="BF1072">
        <v>1</v>
      </c>
      <c r="BG1072">
        <v>0</v>
      </c>
      <c r="BH1072" s="18">
        <v>0</v>
      </c>
      <c r="BI1072">
        <v>0</v>
      </c>
      <c r="BJ1072">
        <v>1</v>
      </c>
      <c r="BK1072" s="18">
        <v>0</v>
      </c>
      <c r="BL1072">
        <v>105.6666666666667</v>
      </c>
      <c r="BM1072">
        <v>60</v>
      </c>
      <c r="BN1072" s="25">
        <v>37.200000000000003</v>
      </c>
      <c r="BO1072">
        <v>1</v>
      </c>
      <c r="BP1072">
        <v>0</v>
      </c>
      <c r="BQ1072">
        <v>0</v>
      </c>
      <c r="BR1072">
        <v>0</v>
      </c>
      <c r="BS1072">
        <v>0</v>
      </c>
      <c r="BT1072">
        <v>0</v>
      </c>
      <c r="BU1072">
        <v>0</v>
      </c>
      <c r="BV1072" s="18">
        <v>0</v>
      </c>
      <c r="BW1072">
        <v>0</v>
      </c>
      <c r="BX1072">
        <v>0</v>
      </c>
      <c r="BY1072">
        <v>1</v>
      </c>
      <c r="BZ1072" s="18">
        <v>0</v>
      </c>
      <c r="CA1072">
        <v>0</v>
      </c>
      <c r="CB1072">
        <v>0</v>
      </c>
      <c r="CC1072">
        <v>0</v>
      </c>
      <c r="CD1072">
        <v>0</v>
      </c>
      <c r="CE1072">
        <v>0</v>
      </c>
      <c r="CF1072" s="18">
        <v>0</v>
      </c>
      <c r="CG1072">
        <v>0</v>
      </c>
      <c r="CH1072">
        <v>0</v>
      </c>
      <c r="CI1072">
        <v>1</v>
      </c>
      <c r="CJ1072">
        <v>1</v>
      </c>
      <c r="CK1072">
        <v>0</v>
      </c>
      <c r="CL1072">
        <v>0</v>
      </c>
      <c r="CM1072">
        <v>0</v>
      </c>
      <c r="CN1072">
        <v>0</v>
      </c>
      <c r="CO1072">
        <v>0</v>
      </c>
      <c r="CP1072">
        <v>0</v>
      </c>
      <c r="CQ1072" s="18">
        <v>0</v>
      </c>
      <c r="CR1072">
        <v>0.14599999999999999</v>
      </c>
      <c r="CS1072">
        <v>15</v>
      </c>
      <c r="CT1072">
        <v>1</v>
      </c>
      <c r="CU1072">
        <v>0</v>
      </c>
      <c r="CV1072">
        <v>23</v>
      </c>
      <c r="DB1072" s="34"/>
    </row>
    <row r="1073" spans="1:106" x14ac:dyDescent="0.25">
      <c r="A1073">
        <v>1072</v>
      </c>
      <c r="B1073">
        <v>71</v>
      </c>
      <c r="C1073" s="25" t="s">
        <v>4176</v>
      </c>
      <c r="D1073" s="12">
        <v>8</v>
      </c>
      <c r="E1073" s="14">
        <f t="shared" si="307"/>
        <v>1.0849673202614381</v>
      </c>
      <c r="F1073" s="7">
        <v>7.3734939759036138</v>
      </c>
      <c r="G1073" s="7">
        <f t="shared" si="297"/>
        <v>6.9150326797385624</v>
      </c>
      <c r="H1073" s="16">
        <f t="shared" si="298"/>
        <v>9.0849673202614376</v>
      </c>
      <c r="I1073" s="11">
        <f t="shared" si="299"/>
        <v>0.19954847078113283</v>
      </c>
      <c r="J1073" s="33">
        <f t="shared" si="300"/>
        <v>2.706294620070919E-2</v>
      </c>
      <c r="K1073" s="33">
        <f t="shared" si="301"/>
        <v>36.950891916335216</v>
      </c>
      <c r="L1073" s="33">
        <f t="shared" si="302"/>
        <v>0.17248552458042365</v>
      </c>
      <c r="M1073" s="33">
        <f t="shared" si="303"/>
        <v>0.22661141698184201</v>
      </c>
      <c r="N1073" s="8">
        <v>1</v>
      </c>
      <c r="O1073" s="9">
        <v>0</v>
      </c>
      <c r="P1073" s="8">
        <v>0</v>
      </c>
      <c r="Q1073" s="9">
        <v>0</v>
      </c>
      <c r="R1073" s="9">
        <v>0</v>
      </c>
      <c r="S1073" s="9">
        <v>0</v>
      </c>
      <c r="T1073" s="9">
        <v>1</v>
      </c>
      <c r="U1073" s="8">
        <v>1319</v>
      </c>
      <c r="V1073" s="9">
        <v>7</v>
      </c>
      <c r="W1073" s="9">
        <f t="shared" si="304"/>
        <v>1311</v>
      </c>
      <c r="X1073" s="9">
        <f t="shared" si="305"/>
        <v>33</v>
      </c>
      <c r="Y1073" s="7">
        <v>7.3</v>
      </c>
      <c r="Z1073" s="7">
        <v>17.5</v>
      </c>
      <c r="AA1073" s="9">
        <v>0</v>
      </c>
      <c r="AB1073" s="9">
        <v>1</v>
      </c>
      <c r="AC1073" s="9">
        <v>1</v>
      </c>
      <c r="AD1073" s="9">
        <v>0</v>
      </c>
      <c r="AE1073" s="9">
        <v>0</v>
      </c>
      <c r="AF1073" s="9">
        <v>0</v>
      </c>
      <c r="AG1073" s="8">
        <v>0</v>
      </c>
      <c r="AH1073" s="9">
        <v>1</v>
      </c>
      <c r="AI1073" s="30">
        <v>0</v>
      </c>
      <c r="AJ1073" s="9">
        <v>0</v>
      </c>
      <c r="AK1073" s="30">
        <v>1</v>
      </c>
      <c r="AL1073" s="21">
        <v>2014</v>
      </c>
      <c r="AM1073" s="23">
        <f t="shared" si="306"/>
        <v>7.6078780732785072</v>
      </c>
      <c r="AN1073" s="33">
        <v>4.8000000000000001E-2</v>
      </c>
      <c r="AO1073" s="33">
        <v>0.32700000000000001</v>
      </c>
      <c r="AP1073" s="33">
        <v>0.47399999999999998</v>
      </c>
      <c r="AQ1073" s="43">
        <v>0.151</v>
      </c>
      <c r="AR1073" s="42">
        <v>1</v>
      </c>
      <c r="AS1073" s="18">
        <v>0</v>
      </c>
      <c r="AT1073" s="33">
        <v>0.53100000000000003</v>
      </c>
      <c r="AU1073" s="40">
        <v>0.46899999999999997</v>
      </c>
      <c r="AV1073">
        <v>0.69299999999999995</v>
      </c>
      <c r="AW1073" s="40">
        <v>0.307</v>
      </c>
      <c r="AX1073">
        <v>0</v>
      </c>
      <c r="AY1073" s="18">
        <v>1</v>
      </c>
      <c r="AZ1073">
        <v>0.33800000000000002</v>
      </c>
      <c r="BA1073" s="18">
        <v>0.66200000000000003</v>
      </c>
      <c r="BB1073" s="18" t="s">
        <v>596</v>
      </c>
      <c r="BC1073">
        <v>0</v>
      </c>
      <c r="BD1073">
        <v>0</v>
      </c>
      <c r="BE1073">
        <v>0</v>
      </c>
      <c r="BF1073">
        <v>1</v>
      </c>
      <c r="BG1073">
        <v>0</v>
      </c>
      <c r="BH1073" s="18">
        <v>0</v>
      </c>
      <c r="BI1073">
        <v>0</v>
      </c>
      <c r="BJ1073">
        <v>1</v>
      </c>
      <c r="BK1073" s="18">
        <v>0</v>
      </c>
      <c r="BL1073">
        <v>105.6666666666667</v>
      </c>
      <c r="BM1073">
        <v>60</v>
      </c>
      <c r="BN1073" s="25">
        <v>37.200000000000003</v>
      </c>
      <c r="BO1073">
        <v>1</v>
      </c>
      <c r="BP1073">
        <v>0</v>
      </c>
      <c r="BQ1073">
        <v>0</v>
      </c>
      <c r="BR1073">
        <v>0</v>
      </c>
      <c r="BS1073">
        <v>0</v>
      </c>
      <c r="BT1073">
        <v>0</v>
      </c>
      <c r="BU1073">
        <v>0</v>
      </c>
      <c r="BV1073" s="18">
        <v>0</v>
      </c>
      <c r="BW1073">
        <v>0</v>
      </c>
      <c r="BX1073">
        <v>0</v>
      </c>
      <c r="BY1073">
        <v>1</v>
      </c>
      <c r="BZ1073" s="18">
        <v>0</v>
      </c>
      <c r="CA1073">
        <v>0</v>
      </c>
      <c r="CB1073">
        <v>0</v>
      </c>
      <c r="CC1073">
        <v>0</v>
      </c>
      <c r="CD1073">
        <v>0</v>
      </c>
      <c r="CE1073">
        <v>0</v>
      </c>
      <c r="CF1073" s="18">
        <v>0</v>
      </c>
      <c r="CG1073">
        <v>0</v>
      </c>
      <c r="CH1073">
        <v>0</v>
      </c>
      <c r="CI1073">
        <v>1</v>
      </c>
      <c r="CJ1073">
        <v>1</v>
      </c>
      <c r="CK1073">
        <v>0</v>
      </c>
      <c r="CL1073">
        <v>0</v>
      </c>
      <c r="CM1073">
        <v>0</v>
      </c>
      <c r="CN1073">
        <v>0</v>
      </c>
      <c r="CO1073">
        <v>0</v>
      </c>
      <c r="CP1073">
        <v>0</v>
      </c>
      <c r="CQ1073" s="18">
        <v>0</v>
      </c>
      <c r="CR1073">
        <v>0.14599999999999999</v>
      </c>
      <c r="CS1073">
        <v>15</v>
      </c>
      <c r="CT1073">
        <v>1</v>
      </c>
      <c r="CU1073">
        <v>0</v>
      </c>
      <c r="CV1073">
        <v>23</v>
      </c>
      <c r="DB1073" s="34"/>
    </row>
    <row r="1074" spans="1:106" x14ac:dyDescent="0.25">
      <c r="A1074">
        <v>1073</v>
      </c>
      <c r="B1074">
        <v>71</v>
      </c>
      <c r="C1074" s="25" t="s">
        <v>4176</v>
      </c>
      <c r="D1074" s="12">
        <v>16.5</v>
      </c>
      <c r="E1074" s="14">
        <f t="shared" si="307"/>
        <v>1.4134078212290504</v>
      </c>
      <c r="F1074" s="7">
        <v>11.67391304347826</v>
      </c>
      <c r="G1074" s="7">
        <f t="shared" si="297"/>
        <v>15.08659217877095</v>
      </c>
      <c r="H1074" s="16">
        <f t="shared" si="298"/>
        <v>17.91340782122905</v>
      </c>
      <c r="I1074" s="11">
        <f t="shared" si="299"/>
        <v>0.30685989834615268</v>
      </c>
      <c r="J1074" s="33">
        <f t="shared" si="300"/>
        <v>2.6285950323879002E-2</v>
      </c>
      <c r="K1074" s="33">
        <f t="shared" si="301"/>
        <v>38.043136644428941</v>
      </c>
      <c r="L1074" s="33">
        <f t="shared" si="302"/>
        <v>0.2805739480222737</v>
      </c>
      <c r="M1074" s="33">
        <f t="shared" si="303"/>
        <v>0.33314584867003166</v>
      </c>
      <c r="N1074" s="8">
        <v>1</v>
      </c>
      <c r="O1074" s="9">
        <v>0</v>
      </c>
      <c r="P1074" s="8">
        <v>0</v>
      </c>
      <c r="Q1074" s="9">
        <v>0</v>
      </c>
      <c r="R1074" s="9">
        <v>0</v>
      </c>
      <c r="S1074" s="9">
        <v>0</v>
      </c>
      <c r="T1074" s="9">
        <v>1</v>
      </c>
      <c r="U1074" s="8">
        <v>1319</v>
      </c>
      <c r="V1074" s="9">
        <v>7</v>
      </c>
      <c r="W1074" s="9">
        <f t="shared" si="304"/>
        <v>1311</v>
      </c>
      <c r="X1074" s="9">
        <f t="shared" si="305"/>
        <v>33</v>
      </c>
      <c r="Y1074" s="7">
        <v>7.3</v>
      </c>
      <c r="Z1074" s="7">
        <v>17.5</v>
      </c>
      <c r="AA1074" s="9">
        <v>0</v>
      </c>
      <c r="AB1074" s="9">
        <v>1</v>
      </c>
      <c r="AC1074" s="9">
        <v>1</v>
      </c>
      <c r="AD1074" s="9">
        <v>0</v>
      </c>
      <c r="AE1074" s="9">
        <v>0</v>
      </c>
      <c r="AF1074" s="9">
        <v>0</v>
      </c>
      <c r="AG1074" s="8">
        <v>0</v>
      </c>
      <c r="AH1074" s="9">
        <v>1</v>
      </c>
      <c r="AI1074" s="30">
        <v>0</v>
      </c>
      <c r="AJ1074" s="9">
        <v>0</v>
      </c>
      <c r="AK1074" s="30">
        <v>1</v>
      </c>
      <c r="AL1074" s="21">
        <v>2014</v>
      </c>
      <c r="AM1074" s="23">
        <f t="shared" si="306"/>
        <v>7.6078780732785072</v>
      </c>
      <c r="AN1074" s="33">
        <v>4.8000000000000001E-2</v>
      </c>
      <c r="AO1074" s="33">
        <v>0.32700000000000001</v>
      </c>
      <c r="AP1074" s="33">
        <v>0.47399999999999998</v>
      </c>
      <c r="AQ1074" s="43">
        <v>0.151</v>
      </c>
      <c r="AR1074" s="42">
        <v>1</v>
      </c>
      <c r="AS1074" s="18">
        <v>0</v>
      </c>
      <c r="AT1074" s="33">
        <v>0.53100000000000003</v>
      </c>
      <c r="AU1074" s="40">
        <v>0.46899999999999997</v>
      </c>
      <c r="AV1074">
        <v>0.69299999999999995</v>
      </c>
      <c r="AW1074" s="40">
        <v>0.307</v>
      </c>
      <c r="AX1074">
        <v>0</v>
      </c>
      <c r="AY1074" s="18">
        <v>1</v>
      </c>
      <c r="AZ1074">
        <v>0.33800000000000002</v>
      </c>
      <c r="BA1074" s="18">
        <v>0.66200000000000003</v>
      </c>
      <c r="BB1074" s="18" t="s">
        <v>596</v>
      </c>
      <c r="BC1074">
        <v>0</v>
      </c>
      <c r="BD1074">
        <v>0</v>
      </c>
      <c r="BE1074">
        <v>0</v>
      </c>
      <c r="BF1074">
        <v>1</v>
      </c>
      <c r="BG1074">
        <v>0</v>
      </c>
      <c r="BH1074" s="18">
        <v>0</v>
      </c>
      <c r="BI1074">
        <v>0</v>
      </c>
      <c r="BJ1074">
        <v>1</v>
      </c>
      <c r="BK1074" s="18">
        <v>0</v>
      </c>
      <c r="BL1074">
        <v>105.6666666666667</v>
      </c>
      <c r="BM1074">
        <v>60</v>
      </c>
      <c r="BN1074" s="25">
        <v>37.200000000000003</v>
      </c>
      <c r="BO1074">
        <v>1</v>
      </c>
      <c r="BP1074">
        <v>0</v>
      </c>
      <c r="BQ1074">
        <v>0</v>
      </c>
      <c r="BR1074">
        <v>0</v>
      </c>
      <c r="BS1074">
        <v>0</v>
      </c>
      <c r="BT1074">
        <v>0</v>
      </c>
      <c r="BU1074">
        <v>0</v>
      </c>
      <c r="BV1074" s="18">
        <v>0</v>
      </c>
      <c r="BW1074">
        <v>0</v>
      </c>
      <c r="BX1074">
        <v>0</v>
      </c>
      <c r="BY1074">
        <v>1</v>
      </c>
      <c r="BZ1074" s="18">
        <v>0</v>
      </c>
      <c r="CA1074">
        <v>0</v>
      </c>
      <c r="CB1074">
        <v>0</v>
      </c>
      <c r="CC1074">
        <v>0</v>
      </c>
      <c r="CD1074">
        <v>0</v>
      </c>
      <c r="CE1074">
        <v>0</v>
      </c>
      <c r="CF1074" s="18">
        <v>0</v>
      </c>
      <c r="CG1074">
        <v>0</v>
      </c>
      <c r="CH1074">
        <v>0</v>
      </c>
      <c r="CI1074">
        <v>1</v>
      </c>
      <c r="CJ1074">
        <v>1</v>
      </c>
      <c r="CK1074">
        <v>0</v>
      </c>
      <c r="CL1074">
        <v>0</v>
      </c>
      <c r="CM1074">
        <v>0</v>
      </c>
      <c r="CN1074">
        <v>0</v>
      </c>
      <c r="CO1074">
        <v>0</v>
      </c>
      <c r="CP1074">
        <v>0</v>
      </c>
      <c r="CQ1074" s="18">
        <v>0</v>
      </c>
      <c r="CR1074">
        <v>0.14599999999999999</v>
      </c>
      <c r="CS1074">
        <v>15</v>
      </c>
      <c r="CT1074">
        <v>1</v>
      </c>
      <c r="CU1074">
        <v>0</v>
      </c>
      <c r="CV1074">
        <v>23</v>
      </c>
      <c r="DB1074" s="34"/>
    </row>
    <row r="1075" spans="1:106" x14ac:dyDescent="0.25">
      <c r="A1075">
        <v>1074</v>
      </c>
      <c r="B1075">
        <v>71</v>
      </c>
      <c r="C1075" s="25" t="s">
        <v>4176</v>
      </c>
      <c r="D1075" s="12">
        <v>17.8</v>
      </c>
      <c r="E1075" s="14">
        <f t="shared" si="307"/>
        <v>1.2201612903225805</v>
      </c>
      <c r="F1075" s="7">
        <v>14.58823529411765</v>
      </c>
      <c r="G1075" s="7">
        <f t="shared" si="297"/>
        <v>16.579838709677421</v>
      </c>
      <c r="H1075" s="16">
        <f t="shared" si="298"/>
        <v>19.02016129032258</v>
      </c>
      <c r="I1075" s="11">
        <f t="shared" si="299"/>
        <v>0.37371145323918131</v>
      </c>
      <c r="J1075" s="33">
        <f t="shared" si="300"/>
        <v>2.5617317359137425E-2</v>
      </c>
      <c r="K1075" s="33">
        <f t="shared" si="301"/>
        <v>39.03609366978899</v>
      </c>
      <c r="L1075" s="33">
        <f t="shared" si="302"/>
        <v>0.3480941358800439</v>
      </c>
      <c r="M1075" s="33">
        <f t="shared" si="303"/>
        <v>0.39932877059831873</v>
      </c>
      <c r="N1075" s="8">
        <v>1</v>
      </c>
      <c r="O1075" s="9">
        <v>0</v>
      </c>
      <c r="P1075" s="8">
        <v>0</v>
      </c>
      <c r="Q1075" s="9">
        <v>0</v>
      </c>
      <c r="R1075" s="9">
        <v>0</v>
      </c>
      <c r="S1075" s="9">
        <v>0</v>
      </c>
      <c r="T1075" s="9">
        <v>1</v>
      </c>
      <c r="U1075" s="8">
        <v>1319</v>
      </c>
      <c r="V1075" s="9">
        <v>7</v>
      </c>
      <c r="W1075" s="9">
        <f t="shared" si="304"/>
        <v>1311</v>
      </c>
      <c r="X1075" s="9">
        <f t="shared" si="305"/>
        <v>33</v>
      </c>
      <c r="Y1075" s="7">
        <v>7.3</v>
      </c>
      <c r="Z1075" s="7">
        <v>17.5</v>
      </c>
      <c r="AA1075" s="9">
        <v>0</v>
      </c>
      <c r="AB1075" s="9">
        <v>1</v>
      </c>
      <c r="AC1075" s="9">
        <v>1</v>
      </c>
      <c r="AD1075" s="9">
        <v>0</v>
      </c>
      <c r="AE1075" s="9">
        <v>0</v>
      </c>
      <c r="AF1075" s="9">
        <v>0</v>
      </c>
      <c r="AG1075" s="8">
        <v>0</v>
      </c>
      <c r="AH1075" s="9">
        <v>1</v>
      </c>
      <c r="AI1075" s="30">
        <v>0</v>
      </c>
      <c r="AJ1075" s="9">
        <v>0</v>
      </c>
      <c r="AK1075" s="30">
        <v>1</v>
      </c>
      <c r="AL1075" s="21">
        <v>2014</v>
      </c>
      <c r="AM1075" s="23">
        <f t="shared" si="306"/>
        <v>7.6078780732785072</v>
      </c>
      <c r="AN1075" s="33">
        <v>4.8000000000000001E-2</v>
      </c>
      <c r="AO1075" s="33">
        <v>0.32700000000000001</v>
      </c>
      <c r="AP1075" s="33">
        <v>0.47399999999999998</v>
      </c>
      <c r="AQ1075" s="43">
        <v>0.151</v>
      </c>
      <c r="AR1075" s="42">
        <v>1</v>
      </c>
      <c r="AS1075" s="18">
        <v>0</v>
      </c>
      <c r="AT1075" s="33">
        <v>0.53100000000000003</v>
      </c>
      <c r="AU1075" s="40">
        <v>0.46899999999999997</v>
      </c>
      <c r="AV1075">
        <v>0.69299999999999995</v>
      </c>
      <c r="AW1075" s="40">
        <v>0.307</v>
      </c>
      <c r="AX1075">
        <v>0</v>
      </c>
      <c r="AY1075" s="18">
        <v>1</v>
      </c>
      <c r="AZ1075">
        <v>0.33800000000000002</v>
      </c>
      <c r="BA1075" s="18">
        <v>0.66200000000000003</v>
      </c>
      <c r="BB1075" s="18" t="s">
        <v>596</v>
      </c>
      <c r="BC1075">
        <v>0</v>
      </c>
      <c r="BD1075">
        <v>0</v>
      </c>
      <c r="BE1075">
        <v>0</v>
      </c>
      <c r="BF1075">
        <v>1</v>
      </c>
      <c r="BG1075">
        <v>0</v>
      </c>
      <c r="BH1075" s="18">
        <v>0</v>
      </c>
      <c r="BI1075">
        <v>0</v>
      </c>
      <c r="BJ1075">
        <v>1</v>
      </c>
      <c r="BK1075" s="18">
        <v>0</v>
      </c>
      <c r="BL1075">
        <v>105.6666666666667</v>
      </c>
      <c r="BM1075">
        <v>60</v>
      </c>
      <c r="BN1075" s="25">
        <v>37.200000000000003</v>
      </c>
      <c r="BO1075">
        <v>1</v>
      </c>
      <c r="BP1075">
        <v>0</v>
      </c>
      <c r="BQ1075">
        <v>0</v>
      </c>
      <c r="BR1075">
        <v>0</v>
      </c>
      <c r="BS1075">
        <v>0</v>
      </c>
      <c r="BT1075">
        <v>0</v>
      </c>
      <c r="BU1075">
        <v>0</v>
      </c>
      <c r="BV1075" s="18">
        <v>0</v>
      </c>
      <c r="BW1075">
        <v>0</v>
      </c>
      <c r="BX1075">
        <v>0</v>
      </c>
      <c r="BY1075">
        <v>1</v>
      </c>
      <c r="BZ1075" s="18">
        <v>0</v>
      </c>
      <c r="CA1075">
        <v>0</v>
      </c>
      <c r="CB1075">
        <v>0</v>
      </c>
      <c r="CC1075">
        <v>0</v>
      </c>
      <c r="CD1075">
        <v>0</v>
      </c>
      <c r="CE1075">
        <v>0</v>
      </c>
      <c r="CF1075" s="18">
        <v>0</v>
      </c>
      <c r="CG1075">
        <v>0</v>
      </c>
      <c r="CH1075">
        <v>0</v>
      </c>
      <c r="CI1075">
        <v>1</v>
      </c>
      <c r="CJ1075">
        <v>1</v>
      </c>
      <c r="CK1075">
        <v>0</v>
      </c>
      <c r="CL1075">
        <v>0</v>
      </c>
      <c r="CM1075">
        <v>0</v>
      </c>
      <c r="CN1075">
        <v>0</v>
      </c>
      <c r="CO1075">
        <v>0</v>
      </c>
      <c r="CP1075">
        <v>0</v>
      </c>
      <c r="CQ1075" s="18">
        <v>0</v>
      </c>
      <c r="CR1075">
        <v>0.14599999999999999</v>
      </c>
      <c r="CS1075">
        <v>15</v>
      </c>
      <c r="CT1075">
        <v>1</v>
      </c>
      <c r="CU1075">
        <v>0</v>
      </c>
      <c r="CV1075">
        <v>23</v>
      </c>
      <c r="DB1075" s="34"/>
    </row>
    <row r="1076" spans="1:106" x14ac:dyDescent="0.25">
      <c r="A1076">
        <v>1075</v>
      </c>
      <c r="B1076">
        <v>71</v>
      </c>
      <c r="C1076" s="25" t="s">
        <v>4176</v>
      </c>
      <c r="D1076" s="12">
        <v>1.4</v>
      </c>
      <c r="E1076" s="14">
        <f t="shared" si="307"/>
        <v>1.8307692307692307</v>
      </c>
      <c r="F1076" s="7">
        <v>0.76470588235294112</v>
      </c>
      <c r="G1076" s="7">
        <f t="shared" si="297"/>
        <v>-0.43076923076923079</v>
      </c>
      <c r="H1076" s="16">
        <f t="shared" si="298"/>
        <v>3.2307692307692308</v>
      </c>
      <c r="I1076" s="11">
        <f t="shared" si="299"/>
        <v>2.1555256442034192E-2</v>
      </c>
      <c r="J1076" s="33">
        <f t="shared" si="300"/>
        <v>2.8187643039583175E-2</v>
      </c>
      <c r="K1076" s="33">
        <f t="shared" si="301"/>
        <v>35.47653837519249</v>
      </c>
      <c r="L1076" s="33">
        <f t="shared" si="302"/>
        <v>-6.632386597548983E-3</v>
      </c>
      <c r="M1076" s="33">
        <f t="shared" si="303"/>
        <v>4.9742899481617364E-2</v>
      </c>
      <c r="N1076" s="8">
        <v>1</v>
      </c>
      <c r="O1076" s="9">
        <v>0</v>
      </c>
      <c r="P1076" s="8">
        <v>0</v>
      </c>
      <c r="Q1076" s="9">
        <v>0</v>
      </c>
      <c r="R1076" s="9">
        <v>0</v>
      </c>
      <c r="S1076" s="9">
        <v>0</v>
      </c>
      <c r="T1076" s="9">
        <v>1</v>
      </c>
      <c r="U1076" s="8">
        <v>1284</v>
      </c>
      <c r="V1076" s="9">
        <v>25</v>
      </c>
      <c r="W1076" s="9">
        <f t="shared" si="304"/>
        <v>1258</v>
      </c>
      <c r="X1076" s="9">
        <f t="shared" si="305"/>
        <v>33</v>
      </c>
      <c r="Y1076" s="7">
        <v>7.3</v>
      </c>
      <c r="Z1076" s="7">
        <v>17.5</v>
      </c>
      <c r="AA1076" s="9">
        <v>0</v>
      </c>
      <c r="AB1076" s="9">
        <v>1</v>
      </c>
      <c r="AC1076" s="9">
        <v>1</v>
      </c>
      <c r="AD1076" s="9">
        <v>0</v>
      </c>
      <c r="AE1076" s="9">
        <v>0</v>
      </c>
      <c r="AF1076" s="9">
        <v>0</v>
      </c>
      <c r="AG1076" s="8">
        <v>0</v>
      </c>
      <c r="AH1076" s="9">
        <v>1</v>
      </c>
      <c r="AI1076" s="30">
        <v>0</v>
      </c>
      <c r="AJ1076" s="9">
        <v>0</v>
      </c>
      <c r="AK1076" s="30">
        <v>1</v>
      </c>
      <c r="AL1076" s="21">
        <v>2014</v>
      </c>
      <c r="AM1076" s="23">
        <f t="shared" si="306"/>
        <v>7.6078780732785072</v>
      </c>
      <c r="AN1076" s="33">
        <v>4.8000000000000001E-2</v>
      </c>
      <c r="AO1076" s="33">
        <v>0.32700000000000001</v>
      </c>
      <c r="AP1076" s="33">
        <v>0.47399999999999998</v>
      </c>
      <c r="AQ1076" s="43">
        <v>0.151</v>
      </c>
      <c r="AR1076" s="42">
        <v>1</v>
      </c>
      <c r="AS1076" s="18">
        <v>0</v>
      </c>
      <c r="AT1076" s="33">
        <v>0.53100000000000003</v>
      </c>
      <c r="AU1076" s="40">
        <v>0.46899999999999997</v>
      </c>
      <c r="AV1076">
        <v>0.69299999999999995</v>
      </c>
      <c r="AW1076" s="40">
        <v>0.307</v>
      </c>
      <c r="AX1076">
        <v>0</v>
      </c>
      <c r="AY1076" s="18">
        <v>1</v>
      </c>
      <c r="AZ1076">
        <v>0.33800000000000002</v>
      </c>
      <c r="BA1076" s="18">
        <v>0.66200000000000003</v>
      </c>
      <c r="BB1076" s="18" t="s">
        <v>596</v>
      </c>
      <c r="BC1076">
        <v>0</v>
      </c>
      <c r="BD1076">
        <v>0</v>
      </c>
      <c r="BE1076">
        <v>0</v>
      </c>
      <c r="BF1076">
        <v>1</v>
      </c>
      <c r="BG1076">
        <v>0</v>
      </c>
      <c r="BH1076" s="18">
        <v>0</v>
      </c>
      <c r="BI1076">
        <v>0</v>
      </c>
      <c r="BJ1076">
        <v>1</v>
      </c>
      <c r="BK1076" s="18">
        <v>0</v>
      </c>
      <c r="BL1076">
        <v>105.6666666666667</v>
      </c>
      <c r="BM1076">
        <v>60</v>
      </c>
      <c r="BN1076" s="25">
        <v>37.200000000000003</v>
      </c>
      <c r="BO1076">
        <v>1</v>
      </c>
      <c r="BP1076">
        <v>0</v>
      </c>
      <c r="BQ1076">
        <v>0</v>
      </c>
      <c r="BR1076">
        <v>0</v>
      </c>
      <c r="BS1076">
        <v>0</v>
      </c>
      <c r="BT1076">
        <v>0</v>
      </c>
      <c r="BU1076">
        <v>0</v>
      </c>
      <c r="BV1076" s="18">
        <v>0</v>
      </c>
      <c r="BW1076">
        <v>0</v>
      </c>
      <c r="BX1076">
        <v>0</v>
      </c>
      <c r="BY1076">
        <v>1</v>
      </c>
      <c r="BZ1076" s="18">
        <v>0</v>
      </c>
      <c r="CA1076">
        <v>0</v>
      </c>
      <c r="CB1076">
        <v>0</v>
      </c>
      <c r="CC1076">
        <v>0</v>
      </c>
      <c r="CD1076">
        <v>0</v>
      </c>
      <c r="CE1076">
        <v>0</v>
      </c>
      <c r="CF1076" s="18">
        <v>0</v>
      </c>
      <c r="CG1076">
        <v>1</v>
      </c>
      <c r="CH1076">
        <v>0</v>
      </c>
      <c r="CI1076">
        <v>1</v>
      </c>
      <c r="CJ1076">
        <v>1</v>
      </c>
      <c r="CK1076">
        <v>0</v>
      </c>
      <c r="CL1076">
        <v>0</v>
      </c>
      <c r="CM1076">
        <v>1</v>
      </c>
      <c r="CN1076">
        <v>0</v>
      </c>
      <c r="CO1076">
        <v>0</v>
      </c>
      <c r="CP1076">
        <v>0</v>
      </c>
      <c r="CQ1076" s="18">
        <v>1</v>
      </c>
      <c r="CR1076">
        <v>0.14599999999999999</v>
      </c>
      <c r="CS1076">
        <v>15</v>
      </c>
      <c r="CT1076">
        <v>1</v>
      </c>
      <c r="CU1076">
        <v>0</v>
      </c>
      <c r="CV1076">
        <v>23</v>
      </c>
      <c r="DB1076" s="34"/>
    </row>
    <row r="1077" spans="1:106" x14ac:dyDescent="0.25">
      <c r="A1077">
        <v>1076</v>
      </c>
      <c r="B1077">
        <v>71</v>
      </c>
      <c r="C1077" s="25" t="s">
        <v>4176</v>
      </c>
      <c r="D1077" s="12">
        <v>4.9000000000000004</v>
      </c>
      <c r="E1077" s="14">
        <f t="shared" si="307"/>
        <v>2.0801886792452828</v>
      </c>
      <c r="F1077" s="7">
        <v>2.3555555555555561</v>
      </c>
      <c r="G1077" s="7">
        <f t="shared" si="297"/>
        <v>2.8198113207547175</v>
      </c>
      <c r="H1077" s="16">
        <f t="shared" si="298"/>
        <v>6.9801886792452832</v>
      </c>
      <c r="I1077" s="11">
        <f t="shared" si="299"/>
        <v>6.6267008989482942E-2</v>
      </c>
      <c r="J1077" s="33">
        <f t="shared" si="300"/>
        <v>2.8132220797421999E-2</v>
      </c>
      <c r="K1077" s="33">
        <f t="shared" si="301"/>
        <v>35.5464293843321</v>
      </c>
      <c r="L1077" s="33">
        <f t="shared" si="302"/>
        <v>3.8134788192060939E-2</v>
      </c>
      <c r="M1077" s="33">
        <f t="shared" si="303"/>
        <v>9.4399229786904945E-2</v>
      </c>
      <c r="N1077" s="8">
        <v>1</v>
      </c>
      <c r="O1077" s="9">
        <v>0</v>
      </c>
      <c r="P1077" s="8">
        <v>0</v>
      </c>
      <c r="Q1077" s="9">
        <v>0</v>
      </c>
      <c r="R1077" s="9">
        <v>0</v>
      </c>
      <c r="S1077" s="9">
        <v>0</v>
      </c>
      <c r="T1077" s="9">
        <v>1</v>
      </c>
      <c r="U1077" s="8">
        <v>1284</v>
      </c>
      <c r="V1077" s="9">
        <v>25</v>
      </c>
      <c r="W1077" s="9">
        <f t="shared" si="304"/>
        <v>1258</v>
      </c>
      <c r="X1077" s="9">
        <f t="shared" si="305"/>
        <v>33</v>
      </c>
      <c r="Y1077" s="7">
        <v>7.3</v>
      </c>
      <c r="Z1077" s="7">
        <v>17.5</v>
      </c>
      <c r="AA1077" s="9">
        <v>0</v>
      </c>
      <c r="AB1077" s="9">
        <v>1</v>
      </c>
      <c r="AC1077" s="9">
        <v>1</v>
      </c>
      <c r="AD1077" s="9">
        <v>0</v>
      </c>
      <c r="AE1077" s="9">
        <v>0</v>
      </c>
      <c r="AF1077" s="9">
        <v>0</v>
      </c>
      <c r="AG1077" s="8">
        <v>0</v>
      </c>
      <c r="AH1077" s="9">
        <v>1</v>
      </c>
      <c r="AI1077" s="30">
        <v>0</v>
      </c>
      <c r="AJ1077" s="9">
        <v>0</v>
      </c>
      <c r="AK1077" s="30">
        <v>1</v>
      </c>
      <c r="AL1077" s="21">
        <v>2014</v>
      </c>
      <c r="AM1077" s="23">
        <f t="shared" si="306"/>
        <v>7.6078780732785072</v>
      </c>
      <c r="AN1077" s="33">
        <v>4.8000000000000001E-2</v>
      </c>
      <c r="AO1077" s="33">
        <v>0.32700000000000001</v>
      </c>
      <c r="AP1077" s="33">
        <v>0.47399999999999998</v>
      </c>
      <c r="AQ1077" s="43">
        <v>0.151</v>
      </c>
      <c r="AR1077" s="42">
        <v>1</v>
      </c>
      <c r="AS1077" s="18">
        <v>0</v>
      </c>
      <c r="AT1077" s="33">
        <v>0.53100000000000003</v>
      </c>
      <c r="AU1077" s="40">
        <v>0.46899999999999997</v>
      </c>
      <c r="AV1077">
        <v>0.69299999999999995</v>
      </c>
      <c r="AW1077" s="40">
        <v>0.307</v>
      </c>
      <c r="AX1077">
        <v>0</v>
      </c>
      <c r="AY1077" s="18">
        <v>1</v>
      </c>
      <c r="AZ1077">
        <v>0.33800000000000002</v>
      </c>
      <c r="BA1077" s="18">
        <v>0.66200000000000003</v>
      </c>
      <c r="BB1077" s="18" t="s">
        <v>596</v>
      </c>
      <c r="BC1077">
        <v>0</v>
      </c>
      <c r="BD1077">
        <v>0</v>
      </c>
      <c r="BE1077">
        <v>0</v>
      </c>
      <c r="BF1077">
        <v>1</v>
      </c>
      <c r="BG1077">
        <v>0</v>
      </c>
      <c r="BH1077" s="18">
        <v>0</v>
      </c>
      <c r="BI1077">
        <v>0</v>
      </c>
      <c r="BJ1077">
        <v>1</v>
      </c>
      <c r="BK1077" s="18">
        <v>0</v>
      </c>
      <c r="BL1077">
        <v>105.6666666666667</v>
      </c>
      <c r="BM1077">
        <v>60</v>
      </c>
      <c r="BN1077" s="25">
        <v>37.200000000000003</v>
      </c>
      <c r="BO1077">
        <v>1</v>
      </c>
      <c r="BP1077">
        <v>0</v>
      </c>
      <c r="BQ1077">
        <v>0</v>
      </c>
      <c r="BR1077">
        <v>0</v>
      </c>
      <c r="BS1077">
        <v>0</v>
      </c>
      <c r="BT1077">
        <v>0</v>
      </c>
      <c r="BU1077">
        <v>0</v>
      </c>
      <c r="BV1077" s="18">
        <v>0</v>
      </c>
      <c r="BW1077">
        <v>0</v>
      </c>
      <c r="BX1077">
        <v>0</v>
      </c>
      <c r="BY1077">
        <v>1</v>
      </c>
      <c r="BZ1077" s="18">
        <v>0</v>
      </c>
      <c r="CA1077">
        <v>0</v>
      </c>
      <c r="CB1077">
        <v>0</v>
      </c>
      <c r="CC1077">
        <v>0</v>
      </c>
      <c r="CD1077">
        <v>0</v>
      </c>
      <c r="CE1077">
        <v>0</v>
      </c>
      <c r="CF1077" s="18">
        <v>0</v>
      </c>
      <c r="CG1077">
        <v>1</v>
      </c>
      <c r="CH1077">
        <v>0</v>
      </c>
      <c r="CI1077">
        <v>1</v>
      </c>
      <c r="CJ1077">
        <v>1</v>
      </c>
      <c r="CK1077">
        <v>0</v>
      </c>
      <c r="CL1077">
        <v>0</v>
      </c>
      <c r="CM1077">
        <v>1</v>
      </c>
      <c r="CN1077">
        <v>0</v>
      </c>
      <c r="CO1077">
        <v>0</v>
      </c>
      <c r="CP1077">
        <v>0</v>
      </c>
      <c r="CQ1077" s="18">
        <v>1</v>
      </c>
      <c r="CR1077">
        <v>0.14599999999999999</v>
      </c>
      <c r="CS1077">
        <v>15</v>
      </c>
      <c r="CT1077">
        <v>1</v>
      </c>
      <c r="CU1077">
        <v>0</v>
      </c>
      <c r="CV1077">
        <v>23</v>
      </c>
      <c r="DB1077" s="34"/>
    </row>
    <row r="1078" spans="1:106" x14ac:dyDescent="0.25">
      <c r="A1078">
        <v>1077</v>
      </c>
      <c r="B1078">
        <v>71</v>
      </c>
      <c r="C1078" s="25" t="s">
        <v>4176</v>
      </c>
      <c r="D1078" s="12">
        <v>3.8</v>
      </c>
      <c r="E1078" s="14">
        <f t="shared" si="307"/>
        <v>1.5777215189873417</v>
      </c>
      <c r="F1078" s="7">
        <v>2.4085365853658538</v>
      </c>
      <c r="G1078" s="7">
        <f t="shared" si="297"/>
        <v>2.2222784810126583</v>
      </c>
      <c r="H1078" s="16">
        <f t="shared" si="298"/>
        <v>5.3777215189873413</v>
      </c>
      <c r="I1078" s="11">
        <f t="shared" si="299"/>
        <v>6.7750716413701506E-2</v>
      </c>
      <c r="J1078" s="33">
        <f t="shared" si="300"/>
        <v>2.8129411371764671E-2</v>
      </c>
      <c r="K1078" s="33">
        <f t="shared" si="301"/>
        <v>35.549979584847101</v>
      </c>
      <c r="L1078" s="33">
        <f t="shared" si="302"/>
        <v>3.9621305041936838E-2</v>
      </c>
      <c r="M1078" s="33">
        <f t="shared" si="303"/>
        <v>9.5880127785466174E-2</v>
      </c>
      <c r="N1078" s="8">
        <v>1</v>
      </c>
      <c r="O1078" s="9">
        <v>0</v>
      </c>
      <c r="P1078" s="8">
        <v>0</v>
      </c>
      <c r="Q1078" s="9">
        <v>0</v>
      </c>
      <c r="R1078" s="9">
        <v>0</v>
      </c>
      <c r="S1078" s="9">
        <v>0</v>
      </c>
      <c r="T1078" s="9">
        <v>1</v>
      </c>
      <c r="U1078" s="8">
        <v>1284</v>
      </c>
      <c r="V1078" s="9">
        <v>25</v>
      </c>
      <c r="W1078" s="9">
        <f t="shared" si="304"/>
        <v>1258</v>
      </c>
      <c r="X1078" s="9">
        <f t="shared" si="305"/>
        <v>33</v>
      </c>
      <c r="Y1078" s="7">
        <v>7.3</v>
      </c>
      <c r="Z1078" s="7">
        <v>17.5</v>
      </c>
      <c r="AA1078" s="9">
        <v>0</v>
      </c>
      <c r="AB1078" s="9">
        <v>1</v>
      </c>
      <c r="AC1078" s="9">
        <v>1</v>
      </c>
      <c r="AD1078" s="9">
        <v>0</v>
      </c>
      <c r="AE1078" s="9">
        <v>0</v>
      </c>
      <c r="AF1078" s="9">
        <v>0</v>
      </c>
      <c r="AG1078" s="8">
        <v>0</v>
      </c>
      <c r="AH1078" s="9">
        <v>1</v>
      </c>
      <c r="AI1078" s="30">
        <v>0</v>
      </c>
      <c r="AJ1078" s="9">
        <v>0</v>
      </c>
      <c r="AK1078" s="30">
        <v>1</v>
      </c>
      <c r="AL1078" s="21">
        <v>2014</v>
      </c>
      <c r="AM1078" s="23">
        <f t="shared" si="306"/>
        <v>7.6078780732785072</v>
      </c>
      <c r="AN1078" s="33">
        <v>4.8000000000000001E-2</v>
      </c>
      <c r="AO1078" s="33">
        <v>0.32700000000000001</v>
      </c>
      <c r="AP1078" s="33">
        <v>0.47399999999999998</v>
      </c>
      <c r="AQ1078" s="43">
        <v>0.151</v>
      </c>
      <c r="AR1078" s="42">
        <v>1</v>
      </c>
      <c r="AS1078" s="18">
        <v>0</v>
      </c>
      <c r="AT1078" s="33">
        <v>0.53100000000000003</v>
      </c>
      <c r="AU1078" s="40">
        <v>0.46899999999999997</v>
      </c>
      <c r="AV1078">
        <v>0.69299999999999995</v>
      </c>
      <c r="AW1078" s="40">
        <v>0.307</v>
      </c>
      <c r="AX1078">
        <v>0</v>
      </c>
      <c r="AY1078" s="18">
        <v>1</v>
      </c>
      <c r="AZ1078">
        <v>0.33800000000000002</v>
      </c>
      <c r="BA1078" s="18">
        <v>0.66200000000000003</v>
      </c>
      <c r="BB1078" s="18" t="s">
        <v>596</v>
      </c>
      <c r="BC1078">
        <v>0</v>
      </c>
      <c r="BD1078">
        <v>0</v>
      </c>
      <c r="BE1078">
        <v>0</v>
      </c>
      <c r="BF1078">
        <v>1</v>
      </c>
      <c r="BG1078">
        <v>0</v>
      </c>
      <c r="BH1078" s="18">
        <v>0</v>
      </c>
      <c r="BI1078">
        <v>0</v>
      </c>
      <c r="BJ1078">
        <v>1</v>
      </c>
      <c r="BK1078" s="18">
        <v>0</v>
      </c>
      <c r="BL1078">
        <v>105.6666666666667</v>
      </c>
      <c r="BM1078">
        <v>60</v>
      </c>
      <c r="BN1078" s="25">
        <v>37.200000000000003</v>
      </c>
      <c r="BO1078">
        <v>1</v>
      </c>
      <c r="BP1078">
        <v>0</v>
      </c>
      <c r="BQ1078">
        <v>0</v>
      </c>
      <c r="BR1078">
        <v>0</v>
      </c>
      <c r="BS1078">
        <v>0</v>
      </c>
      <c r="BT1078">
        <v>0</v>
      </c>
      <c r="BU1078">
        <v>0</v>
      </c>
      <c r="BV1078" s="18">
        <v>0</v>
      </c>
      <c r="BW1078">
        <v>0</v>
      </c>
      <c r="BX1078">
        <v>0</v>
      </c>
      <c r="BY1078">
        <v>1</v>
      </c>
      <c r="BZ1078" s="18">
        <v>0</v>
      </c>
      <c r="CA1078">
        <v>0</v>
      </c>
      <c r="CB1078">
        <v>0</v>
      </c>
      <c r="CC1078">
        <v>0</v>
      </c>
      <c r="CD1078">
        <v>0</v>
      </c>
      <c r="CE1078">
        <v>0</v>
      </c>
      <c r="CF1078" s="18">
        <v>0</v>
      </c>
      <c r="CG1078">
        <v>1</v>
      </c>
      <c r="CH1078">
        <v>0</v>
      </c>
      <c r="CI1078">
        <v>1</v>
      </c>
      <c r="CJ1078">
        <v>1</v>
      </c>
      <c r="CK1078">
        <v>0</v>
      </c>
      <c r="CL1078">
        <v>0</v>
      </c>
      <c r="CM1078">
        <v>1</v>
      </c>
      <c r="CN1078">
        <v>0</v>
      </c>
      <c r="CO1078">
        <v>0</v>
      </c>
      <c r="CP1078">
        <v>0</v>
      </c>
      <c r="CQ1078" s="18">
        <v>1</v>
      </c>
      <c r="CR1078">
        <v>0.14599999999999999</v>
      </c>
      <c r="CS1078">
        <v>15</v>
      </c>
      <c r="CT1078">
        <v>1</v>
      </c>
      <c r="CU1078">
        <v>0</v>
      </c>
      <c r="CV1078">
        <v>23</v>
      </c>
      <c r="DB1078" s="34"/>
    </row>
    <row r="1079" spans="1:106" x14ac:dyDescent="0.25">
      <c r="A1079">
        <v>1078</v>
      </c>
      <c r="B1079">
        <v>71</v>
      </c>
      <c r="C1079" s="25" t="s">
        <v>4176</v>
      </c>
      <c r="D1079" s="12">
        <v>22.9</v>
      </c>
      <c r="E1079" s="14">
        <f t="shared" si="307"/>
        <v>3.6321083172146991</v>
      </c>
      <c r="F1079" s="7">
        <v>6.3048780487804894</v>
      </c>
      <c r="G1079" s="7">
        <f t="shared" si="297"/>
        <v>19.267891682785301</v>
      </c>
      <c r="H1079" s="16">
        <f t="shared" si="298"/>
        <v>26.532108317214696</v>
      </c>
      <c r="I1079" s="11">
        <f t="shared" si="299"/>
        <v>0.17501727719473617</v>
      </c>
      <c r="J1079" s="33">
        <f t="shared" si="300"/>
        <v>2.7759026556998769E-2</v>
      </c>
      <c r="K1079" s="33">
        <f t="shared" si="301"/>
        <v>36.024317997846872</v>
      </c>
      <c r="L1079" s="33">
        <f t="shared" si="302"/>
        <v>0.1472582506377374</v>
      </c>
      <c r="M1079" s="33">
        <f t="shared" si="303"/>
        <v>0.20277630375173494</v>
      </c>
      <c r="N1079" s="8">
        <v>1</v>
      </c>
      <c r="O1079" s="9">
        <v>0</v>
      </c>
      <c r="P1079" s="8">
        <v>0</v>
      </c>
      <c r="Q1079" s="9">
        <v>0</v>
      </c>
      <c r="R1079" s="9">
        <v>0</v>
      </c>
      <c r="S1079" s="9">
        <v>0</v>
      </c>
      <c r="T1079" s="9">
        <v>1</v>
      </c>
      <c r="U1079" s="8">
        <v>1284</v>
      </c>
      <c r="V1079" s="9">
        <v>25</v>
      </c>
      <c r="W1079" s="9">
        <f t="shared" si="304"/>
        <v>1258</v>
      </c>
      <c r="X1079" s="9">
        <f t="shared" si="305"/>
        <v>33</v>
      </c>
      <c r="Y1079" s="7">
        <v>7.3</v>
      </c>
      <c r="Z1079" s="7">
        <v>17.5</v>
      </c>
      <c r="AA1079" s="9">
        <v>0</v>
      </c>
      <c r="AB1079" s="9">
        <v>1</v>
      </c>
      <c r="AC1079" s="9">
        <v>1</v>
      </c>
      <c r="AD1079" s="9">
        <v>0</v>
      </c>
      <c r="AE1079" s="9">
        <v>0</v>
      </c>
      <c r="AF1079" s="9">
        <v>0</v>
      </c>
      <c r="AG1079" s="8">
        <v>0</v>
      </c>
      <c r="AH1079" s="9">
        <v>1</v>
      </c>
      <c r="AI1079" s="30">
        <v>0</v>
      </c>
      <c r="AJ1079" s="9">
        <v>0</v>
      </c>
      <c r="AK1079" s="30">
        <v>1</v>
      </c>
      <c r="AL1079" s="21">
        <v>2014</v>
      </c>
      <c r="AM1079" s="23">
        <f t="shared" si="306"/>
        <v>7.6078780732785072</v>
      </c>
      <c r="AN1079" s="33">
        <v>4.8000000000000001E-2</v>
      </c>
      <c r="AO1079" s="33">
        <v>0.32700000000000001</v>
      </c>
      <c r="AP1079" s="33">
        <v>0.47399999999999998</v>
      </c>
      <c r="AQ1079" s="43">
        <v>0.151</v>
      </c>
      <c r="AR1079" s="42">
        <v>1</v>
      </c>
      <c r="AS1079" s="18">
        <v>0</v>
      </c>
      <c r="AT1079" s="33">
        <v>0.53100000000000003</v>
      </c>
      <c r="AU1079" s="40">
        <v>0.46899999999999997</v>
      </c>
      <c r="AV1079">
        <v>0.69299999999999995</v>
      </c>
      <c r="AW1079" s="40">
        <v>0.307</v>
      </c>
      <c r="AX1079">
        <v>0</v>
      </c>
      <c r="AY1079" s="18">
        <v>1</v>
      </c>
      <c r="AZ1079">
        <v>0.33800000000000002</v>
      </c>
      <c r="BA1079" s="18">
        <v>0.66200000000000003</v>
      </c>
      <c r="BB1079" s="18" t="s">
        <v>596</v>
      </c>
      <c r="BC1079">
        <v>0</v>
      </c>
      <c r="BD1079">
        <v>0</v>
      </c>
      <c r="BE1079">
        <v>0</v>
      </c>
      <c r="BF1079">
        <v>1</v>
      </c>
      <c r="BG1079">
        <v>0</v>
      </c>
      <c r="BH1079" s="18">
        <v>0</v>
      </c>
      <c r="BI1079">
        <v>0</v>
      </c>
      <c r="BJ1079">
        <v>1</v>
      </c>
      <c r="BK1079" s="18">
        <v>0</v>
      </c>
      <c r="BL1079">
        <v>105.6666666666667</v>
      </c>
      <c r="BM1079">
        <v>60</v>
      </c>
      <c r="BN1079" s="25">
        <v>37.200000000000003</v>
      </c>
      <c r="BO1079">
        <v>1</v>
      </c>
      <c r="BP1079">
        <v>0</v>
      </c>
      <c r="BQ1079">
        <v>0</v>
      </c>
      <c r="BR1079">
        <v>0</v>
      </c>
      <c r="BS1079">
        <v>0</v>
      </c>
      <c r="BT1079">
        <v>0</v>
      </c>
      <c r="BU1079">
        <v>0</v>
      </c>
      <c r="BV1079" s="18">
        <v>0</v>
      </c>
      <c r="BW1079">
        <v>0</v>
      </c>
      <c r="BX1079">
        <v>0</v>
      </c>
      <c r="BY1079">
        <v>1</v>
      </c>
      <c r="BZ1079" s="18">
        <v>0</v>
      </c>
      <c r="CA1079">
        <v>0</v>
      </c>
      <c r="CB1079">
        <v>0</v>
      </c>
      <c r="CC1079">
        <v>0</v>
      </c>
      <c r="CD1079">
        <v>0</v>
      </c>
      <c r="CE1079">
        <v>0</v>
      </c>
      <c r="CF1079" s="18">
        <v>0</v>
      </c>
      <c r="CG1079">
        <v>1</v>
      </c>
      <c r="CH1079">
        <v>0</v>
      </c>
      <c r="CI1079">
        <v>1</v>
      </c>
      <c r="CJ1079">
        <v>1</v>
      </c>
      <c r="CK1079">
        <v>0</v>
      </c>
      <c r="CL1079">
        <v>0</v>
      </c>
      <c r="CM1079">
        <v>1</v>
      </c>
      <c r="CN1079">
        <v>0</v>
      </c>
      <c r="CO1079">
        <v>0</v>
      </c>
      <c r="CP1079">
        <v>0</v>
      </c>
      <c r="CQ1079" s="18">
        <v>1</v>
      </c>
      <c r="CR1079">
        <v>0.14599999999999999</v>
      </c>
      <c r="CS1079">
        <v>15</v>
      </c>
      <c r="CT1079">
        <v>1</v>
      </c>
      <c r="CU1079">
        <v>0</v>
      </c>
      <c r="CV1079">
        <v>23</v>
      </c>
      <c r="DB1079" s="34"/>
    </row>
    <row r="1080" spans="1:106" x14ac:dyDescent="0.25">
      <c r="A1080">
        <v>1079</v>
      </c>
      <c r="B1080">
        <v>71</v>
      </c>
      <c r="C1080" s="25" t="s">
        <v>4176</v>
      </c>
      <c r="D1080" s="12">
        <v>13.6</v>
      </c>
      <c r="E1080" s="14">
        <f t="shared" si="307"/>
        <v>2.349671361502347</v>
      </c>
      <c r="F1080" s="7">
        <v>5.7880434782608701</v>
      </c>
      <c r="G1080" s="7">
        <f t="shared" si="297"/>
        <v>11.250328638497653</v>
      </c>
      <c r="H1080" s="16">
        <f t="shared" si="298"/>
        <v>15.949671361502347</v>
      </c>
      <c r="I1080" s="11">
        <f t="shared" si="299"/>
        <v>0.1610587544572547</v>
      </c>
      <c r="J1080" s="33">
        <f t="shared" si="300"/>
        <v>2.782611344613602E-2</v>
      </c>
      <c r="K1080" s="33">
        <f t="shared" si="301"/>
        <v>35.937465788592249</v>
      </c>
      <c r="L1080" s="33">
        <f t="shared" si="302"/>
        <v>0.13323264101111867</v>
      </c>
      <c r="M1080" s="33">
        <f t="shared" si="303"/>
        <v>0.18888486790339074</v>
      </c>
      <c r="N1080" s="8">
        <v>1</v>
      </c>
      <c r="O1080" s="9">
        <v>0</v>
      </c>
      <c r="P1080" s="8">
        <v>0</v>
      </c>
      <c r="Q1080" s="9">
        <v>0</v>
      </c>
      <c r="R1080" s="9">
        <v>0</v>
      </c>
      <c r="S1080" s="9">
        <v>0</v>
      </c>
      <c r="T1080" s="9">
        <v>1</v>
      </c>
      <c r="U1080" s="8">
        <v>1284</v>
      </c>
      <c r="V1080" s="9">
        <v>25</v>
      </c>
      <c r="W1080" s="9">
        <f t="shared" si="304"/>
        <v>1258</v>
      </c>
      <c r="X1080" s="9">
        <f t="shared" si="305"/>
        <v>33</v>
      </c>
      <c r="Y1080" s="7">
        <v>7.3</v>
      </c>
      <c r="Z1080" s="7">
        <v>17.5</v>
      </c>
      <c r="AA1080" s="9">
        <v>0</v>
      </c>
      <c r="AB1080" s="9">
        <v>1</v>
      </c>
      <c r="AC1080" s="9">
        <v>1</v>
      </c>
      <c r="AD1080" s="9">
        <v>0</v>
      </c>
      <c r="AE1080" s="9">
        <v>0</v>
      </c>
      <c r="AF1080" s="9">
        <v>0</v>
      </c>
      <c r="AG1080" s="8">
        <v>0</v>
      </c>
      <c r="AH1080" s="9">
        <v>1</v>
      </c>
      <c r="AI1080" s="30">
        <v>0</v>
      </c>
      <c r="AJ1080" s="9">
        <v>0</v>
      </c>
      <c r="AK1080" s="30">
        <v>1</v>
      </c>
      <c r="AL1080" s="21">
        <v>2014</v>
      </c>
      <c r="AM1080" s="23">
        <f t="shared" si="306"/>
        <v>7.6078780732785072</v>
      </c>
      <c r="AN1080" s="33">
        <v>4.8000000000000001E-2</v>
      </c>
      <c r="AO1080" s="33">
        <v>0.32700000000000001</v>
      </c>
      <c r="AP1080" s="33">
        <v>0.47399999999999998</v>
      </c>
      <c r="AQ1080" s="43">
        <v>0.151</v>
      </c>
      <c r="AR1080" s="42">
        <v>1</v>
      </c>
      <c r="AS1080" s="18">
        <v>0</v>
      </c>
      <c r="AT1080" s="33">
        <v>0.53100000000000003</v>
      </c>
      <c r="AU1080" s="40">
        <v>0.46899999999999997</v>
      </c>
      <c r="AV1080">
        <v>0.69299999999999995</v>
      </c>
      <c r="AW1080" s="40">
        <v>0.307</v>
      </c>
      <c r="AX1080">
        <v>0</v>
      </c>
      <c r="AY1080" s="18">
        <v>1</v>
      </c>
      <c r="AZ1080">
        <v>0.33800000000000002</v>
      </c>
      <c r="BA1080" s="18">
        <v>0.66200000000000003</v>
      </c>
      <c r="BB1080" s="18" t="s">
        <v>596</v>
      </c>
      <c r="BC1080">
        <v>0</v>
      </c>
      <c r="BD1080">
        <v>0</v>
      </c>
      <c r="BE1080">
        <v>0</v>
      </c>
      <c r="BF1080">
        <v>1</v>
      </c>
      <c r="BG1080">
        <v>0</v>
      </c>
      <c r="BH1080" s="18">
        <v>0</v>
      </c>
      <c r="BI1080">
        <v>0</v>
      </c>
      <c r="BJ1080">
        <v>1</v>
      </c>
      <c r="BK1080" s="18">
        <v>0</v>
      </c>
      <c r="BL1080">
        <v>105.6666666666667</v>
      </c>
      <c r="BM1080">
        <v>60</v>
      </c>
      <c r="BN1080" s="25">
        <v>37.200000000000003</v>
      </c>
      <c r="BO1080">
        <v>1</v>
      </c>
      <c r="BP1080">
        <v>0</v>
      </c>
      <c r="BQ1080">
        <v>0</v>
      </c>
      <c r="BR1080">
        <v>0</v>
      </c>
      <c r="BS1080">
        <v>0</v>
      </c>
      <c r="BT1080">
        <v>0</v>
      </c>
      <c r="BU1080">
        <v>0</v>
      </c>
      <c r="BV1080" s="18">
        <v>0</v>
      </c>
      <c r="BW1080">
        <v>0</v>
      </c>
      <c r="BX1080">
        <v>0</v>
      </c>
      <c r="BY1080">
        <v>1</v>
      </c>
      <c r="BZ1080" s="18">
        <v>0</v>
      </c>
      <c r="CA1080">
        <v>0</v>
      </c>
      <c r="CB1080">
        <v>0</v>
      </c>
      <c r="CC1080">
        <v>0</v>
      </c>
      <c r="CD1080">
        <v>0</v>
      </c>
      <c r="CE1080">
        <v>0</v>
      </c>
      <c r="CF1080" s="18">
        <v>0</v>
      </c>
      <c r="CG1080">
        <v>1</v>
      </c>
      <c r="CH1080">
        <v>0</v>
      </c>
      <c r="CI1080">
        <v>1</v>
      </c>
      <c r="CJ1080">
        <v>1</v>
      </c>
      <c r="CK1080">
        <v>0</v>
      </c>
      <c r="CL1080">
        <v>0</v>
      </c>
      <c r="CM1080">
        <v>1</v>
      </c>
      <c r="CN1080">
        <v>0</v>
      </c>
      <c r="CO1080">
        <v>0</v>
      </c>
      <c r="CP1080">
        <v>0</v>
      </c>
      <c r="CQ1080" s="18">
        <v>1</v>
      </c>
      <c r="CR1080">
        <v>0.14599999999999999</v>
      </c>
      <c r="CS1080">
        <v>15</v>
      </c>
      <c r="CT1080">
        <v>1</v>
      </c>
      <c r="CU1080">
        <v>0</v>
      </c>
      <c r="CV1080">
        <v>23</v>
      </c>
      <c r="DB1080" s="34"/>
    </row>
    <row r="1081" spans="1:106" x14ac:dyDescent="0.25">
      <c r="A1081">
        <v>1080</v>
      </c>
      <c r="B1081">
        <v>72</v>
      </c>
      <c r="C1081" s="25" t="s">
        <v>4186</v>
      </c>
      <c r="D1081" s="12">
        <v>5.87</v>
      </c>
      <c r="E1081" s="14">
        <v>0.09</v>
      </c>
      <c r="F1081" s="7">
        <f t="shared" ref="F1081:F1090" si="308">D1081/E1081</f>
        <v>65.222222222222229</v>
      </c>
      <c r="G1081" s="7">
        <f t="shared" si="297"/>
        <v>5.78</v>
      </c>
      <c r="H1081" s="16">
        <f t="shared" si="298"/>
        <v>5.96</v>
      </c>
      <c r="I1081" s="11">
        <f t="shared" si="299"/>
        <v>0.50900618174403367</v>
      </c>
      <c r="J1081" s="33">
        <f t="shared" si="300"/>
        <v>7.8041833657517936E-3</v>
      </c>
      <c r="K1081" s="33">
        <f t="shared" si="301"/>
        <v>128.13640494256478</v>
      </c>
      <c r="L1081" s="33">
        <f t="shared" si="302"/>
        <v>0.50120199837828183</v>
      </c>
      <c r="M1081" s="33">
        <f t="shared" si="303"/>
        <v>0.51681036510978551</v>
      </c>
      <c r="N1081" s="8">
        <v>1</v>
      </c>
      <c r="O1081" s="9">
        <v>0</v>
      </c>
      <c r="P1081" s="8">
        <v>0</v>
      </c>
      <c r="Q1081" s="9">
        <v>0</v>
      </c>
      <c r="R1081" s="9">
        <v>0</v>
      </c>
      <c r="S1081" s="9">
        <v>1</v>
      </c>
      <c r="T1081" s="9">
        <v>0</v>
      </c>
      <c r="U1081" s="8">
        <v>12169</v>
      </c>
      <c r="V1081" s="9">
        <v>3</v>
      </c>
      <c r="W1081" s="9">
        <f t="shared" si="304"/>
        <v>12165</v>
      </c>
      <c r="X1081" s="9">
        <f t="shared" si="305"/>
        <v>10</v>
      </c>
      <c r="Y1081" s="7">
        <v>10.6</v>
      </c>
      <c r="Z1081" s="7">
        <v>12.6</v>
      </c>
      <c r="AA1081" s="9">
        <v>1</v>
      </c>
      <c r="AB1081" s="9">
        <v>0</v>
      </c>
      <c r="AC1081" s="9">
        <v>1</v>
      </c>
      <c r="AD1081" s="9">
        <v>0</v>
      </c>
      <c r="AE1081" s="9">
        <v>0</v>
      </c>
      <c r="AF1081" s="9">
        <v>0</v>
      </c>
      <c r="AG1081" s="8">
        <v>0</v>
      </c>
      <c r="AH1081" s="9">
        <v>1</v>
      </c>
      <c r="AI1081" s="30">
        <v>0</v>
      </c>
      <c r="AJ1081" s="9">
        <v>1</v>
      </c>
      <c r="AK1081" s="30">
        <v>0</v>
      </c>
      <c r="AL1081" s="21">
        <v>2001</v>
      </c>
      <c r="AM1081" s="23">
        <f t="shared" si="306"/>
        <v>7.6014023345837334</v>
      </c>
      <c r="AN1081" s="33" t="s">
        <v>104</v>
      </c>
      <c r="AO1081" s="33" t="s">
        <v>104</v>
      </c>
      <c r="AP1081" s="33" t="s">
        <v>104</v>
      </c>
      <c r="AQ1081" s="43" t="s">
        <v>104</v>
      </c>
      <c r="AR1081" s="42" t="s">
        <v>104</v>
      </c>
      <c r="AS1081" s="18" t="s">
        <v>104</v>
      </c>
      <c r="AT1081" s="33">
        <v>0.60399999999999998</v>
      </c>
      <c r="AU1081" s="40">
        <v>0.39600000000000002</v>
      </c>
      <c r="AV1081">
        <v>0.65600000000000003</v>
      </c>
      <c r="AW1081" s="40">
        <v>0.34399999999999997</v>
      </c>
      <c r="AX1081">
        <v>1</v>
      </c>
      <c r="AY1081" s="18">
        <v>0</v>
      </c>
      <c r="AZ1081" t="s">
        <v>104</v>
      </c>
      <c r="BA1081" s="18" t="s">
        <v>104</v>
      </c>
      <c r="BB1081" s="18" t="s">
        <v>26</v>
      </c>
      <c r="BC1081">
        <v>1</v>
      </c>
      <c r="BD1081">
        <v>0</v>
      </c>
      <c r="BE1081">
        <v>0</v>
      </c>
      <c r="BF1081">
        <v>0</v>
      </c>
      <c r="BG1081">
        <v>0</v>
      </c>
      <c r="BH1081" s="18">
        <v>0</v>
      </c>
      <c r="BI1081">
        <v>1</v>
      </c>
      <c r="BJ1081">
        <v>0</v>
      </c>
      <c r="BK1081" s="18">
        <v>0</v>
      </c>
      <c r="BL1081">
        <v>1399.916666666667</v>
      </c>
      <c r="BM1081">
        <v>479</v>
      </c>
      <c r="BN1081" s="25">
        <v>37.5</v>
      </c>
      <c r="BO1081">
        <v>1</v>
      </c>
      <c r="BP1081">
        <v>0</v>
      </c>
      <c r="BQ1081">
        <v>0</v>
      </c>
      <c r="BR1081">
        <v>0</v>
      </c>
      <c r="BS1081">
        <v>0</v>
      </c>
      <c r="BT1081">
        <v>0</v>
      </c>
      <c r="BU1081">
        <v>0</v>
      </c>
      <c r="BV1081" s="18">
        <v>0</v>
      </c>
      <c r="BW1081">
        <v>0</v>
      </c>
      <c r="BX1081">
        <v>0</v>
      </c>
      <c r="BY1081">
        <v>1</v>
      </c>
      <c r="BZ1081" s="18">
        <v>0</v>
      </c>
      <c r="CA1081">
        <v>0</v>
      </c>
      <c r="CB1081">
        <v>0</v>
      </c>
      <c r="CC1081">
        <v>0</v>
      </c>
      <c r="CD1081">
        <v>0</v>
      </c>
      <c r="CE1081">
        <v>0</v>
      </c>
      <c r="CF1081" s="18">
        <v>0</v>
      </c>
      <c r="CG1081">
        <v>0</v>
      </c>
      <c r="CH1081">
        <v>0</v>
      </c>
      <c r="CI1081">
        <v>1</v>
      </c>
      <c r="CJ1081">
        <v>1</v>
      </c>
      <c r="CK1081">
        <v>0</v>
      </c>
      <c r="CL1081">
        <v>0</v>
      </c>
      <c r="CM1081">
        <v>0</v>
      </c>
      <c r="CN1081">
        <v>0</v>
      </c>
      <c r="CO1081">
        <v>0</v>
      </c>
      <c r="CP1081">
        <v>0</v>
      </c>
      <c r="CQ1081" s="18">
        <v>0</v>
      </c>
      <c r="CR1081">
        <v>0</v>
      </c>
      <c r="CS1081">
        <v>0</v>
      </c>
      <c r="CT1081">
        <v>0</v>
      </c>
      <c r="CU1081">
        <v>1</v>
      </c>
      <c r="CV1081">
        <v>9</v>
      </c>
      <c r="DB1081" s="34"/>
    </row>
    <row r="1082" spans="1:106" x14ac:dyDescent="0.25">
      <c r="A1082">
        <v>1081</v>
      </c>
      <c r="B1082">
        <v>72</v>
      </c>
      <c r="C1082" s="25" t="s">
        <v>4186</v>
      </c>
      <c r="D1082" s="12">
        <v>7.51</v>
      </c>
      <c r="E1082" s="14">
        <v>0.22</v>
      </c>
      <c r="F1082" s="7">
        <f t="shared" si="308"/>
        <v>34.136363636363633</v>
      </c>
      <c r="G1082" s="7">
        <f t="shared" si="297"/>
        <v>7.29</v>
      </c>
      <c r="H1082" s="16">
        <f t="shared" si="298"/>
        <v>7.7299999999999995</v>
      </c>
      <c r="I1082" s="11">
        <f t="shared" si="299"/>
        <v>0.30006246354127525</v>
      </c>
      <c r="J1082" s="33">
        <f t="shared" si="300"/>
        <v>8.7901121143915528E-3</v>
      </c>
      <c r="K1082" s="33">
        <f t="shared" si="301"/>
        <v>113.7641917402574</v>
      </c>
      <c r="L1082" s="33">
        <f t="shared" si="302"/>
        <v>0.29127235142688368</v>
      </c>
      <c r="M1082" s="33">
        <f t="shared" si="303"/>
        <v>0.30885257565566682</v>
      </c>
      <c r="N1082" s="8">
        <v>1</v>
      </c>
      <c r="O1082" s="9">
        <v>0</v>
      </c>
      <c r="P1082" s="8">
        <v>0</v>
      </c>
      <c r="Q1082" s="9">
        <v>0</v>
      </c>
      <c r="R1082" s="9">
        <v>0</v>
      </c>
      <c r="S1082" s="9">
        <v>1</v>
      </c>
      <c r="T1082" s="9">
        <v>0</v>
      </c>
      <c r="U1082" s="8">
        <v>11781</v>
      </c>
      <c r="V1082" s="9">
        <v>3</v>
      </c>
      <c r="W1082" s="9">
        <f t="shared" si="304"/>
        <v>11777</v>
      </c>
      <c r="X1082" s="9">
        <f t="shared" si="305"/>
        <v>10</v>
      </c>
      <c r="Y1082" s="7">
        <v>10.6</v>
      </c>
      <c r="Z1082" s="7">
        <v>12.6</v>
      </c>
      <c r="AA1082" s="9">
        <v>1</v>
      </c>
      <c r="AB1082" s="9">
        <v>0</v>
      </c>
      <c r="AC1082" s="9">
        <v>1</v>
      </c>
      <c r="AD1082" s="9">
        <v>0</v>
      </c>
      <c r="AE1082" s="9">
        <v>0</v>
      </c>
      <c r="AF1082" s="9">
        <v>0</v>
      </c>
      <c r="AG1082" s="8">
        <v>0</v>
      </c>
      <c r="AH1082" s="9">
        <v>1</v>
      </c>
      <c r="AI1082" s="30">
        <v>0</v>
      </c>
      <c r="AJ1082" s="9">
        <v>1</v>
      </c>
      <c r="AK1082" s="30">
        <v>0</v>
      </c>
      <c r="AL1082" s="21">
        <v>2001</v>
      </c>
      <c r="AM1082" s="23">
        <f t="shared" si="306"/>
        <v>7.6014023345837334</v>
      </c>
      <c r="AN1082" s="33" t="s">
        <v>104</v>
      </c>
      <c r="AO1082" s="33" t="s">
        <v>104</v>
      </c>
      <c r="AP1082" s="33" t="s">
        <v>104</v>
      </c>
      <c r="AQ1082" s="43" t="s">
        <v>104</v>
      </c>
      <c r="AR1082" s="42" t="s">
        <v>104</v>
      </c>
      <c r="AS1082" s="18" t="s">
        <v>104</v>
      </c>
      <c r="AT1082" s="33">
        <v>0.60399999999999998</v>
      </c>
      <c r="AU1082" s="40">
        <v>0.39600000000000002</v>
      </c>
      <c r="AV1082">
        <v>0.65600000000000003</v>
      </c>
      <c r="AW1082" s="40">
        <v>0.34399999999999997</v>
      </c>
      <c r="AX1082">
        <v>1</v>
      </c>
      <c r="AY1082" s="18">
        <v>0</v>
      </c>
      <c r="AZ1082" t="s">
        <v>104</v>
      </c>
      <c r="BA1082" s="18" t="s">
        <v>104</v>
      </c>
      <c r="BB1082" s="18" t="s">
        <v>26</v>
      </c>
      <c r="BC1082">
        <v>1</v>
      </c>
      <c r="BD1082">
        <v>0</v>
      </c>
      <c r="BE1082">
        <v>0</v>
      </c>
      <c r="BF1082">
        <v>0</v>
      </c>
      <c r="BG1082">
        <v>0</v>
      </c>
      <c r="BH1082" s="18">
        <v>0</v>
      </c>
      <c r="BI1082">
        <v>1</v>
      </c>
      <c r="BJ1082">
        <v>0</v>
      </c>
      <c r="BK1082" s="18">
        <v>0</v>
      </c>
      <c r="BL1082">
        <v>1399.916666666667</v>
      </c>
      <c r="BM1082">
        <v>479</v>
      </c>
      <c r="BN1082" s="25">
        <v>37.5</v>
      </c>
      <c r="BO1082">
        <v>0</v>
      </c>
      <c r="BP1082">
        <v>0</v>
      </c>
      <c r="BQ1082">
        <v>0</v>
      </c>
      <c r="BR1082">
        <v>0</v>
      </c>
      <c r="BS1082">
        <v>0</v>
      </c>
      <c r="BT1082">
        <v>0</v>
      </c>
      <c r="BU1082">
        <v>0</v>
      </c>
      <c r="BV1082" s="18">
        <v>1</v>
      </c>
      <c r="BW1082">
        <v>0</v>
      </c>
      <c r="BX1082">
        <v>1</v>
      </c>
      <c r="BY1082">
        <v>0</v>
      </c>
      <c r="BZ1082" s="18">
        <v>0</v>
      </c>
      <c r="CA1082">
        <v>1</v>
      </c>
      <c r="CB1082">
        <v>0</v>
      </c>
      <c r="CC1082">
        <v>0</v>
      </c>
      <c r="CD1082">
        <v>0</v>
      </c>
      <c r="CE1082">
        <v>0</v>
      </c>
      <c r="CF1082" s="18">
        <v>0</v>
      </c>
      <c r="CG1082">
        <v>0</v>
      </c>
      <c r="CH1082">
        <v>0</v>
      </c>
      <c r="CI1082">
        <v>1</v>
      </c>
      <c r="CJ1082">
        <v>1</v>
      </c>
      <c r="CK1082">
        <v>0</v>
      </c>
      <c r="CL1082">
        <v>0</v>
      </c>
      <c r="CM1082">
        <v>0</v>
      </c>
      <c r="CN1082">
        <v>0</v>
      </c>
      <c r="CO1082">
        <v>0</v>
      </c>
      <c r="CP1082">
        <v>0</v>
      </c>
      <c r="CQ1082" s="18">
        <v>0</v>
      </c>
      <c r="CR1082">
        <v>0</v>
      </c>
      <c r="CS1082">
        <v>0</v>
      </c>
      <c r="CT1082">
        <v>0</v>
      </c>
      <c r="CU1082">
        <v>1</v>
      </c>
      <c r="CV1082">
        <v>9</v>
      </c>
      <c r="DB1082" s="34"/>
    </row>
    <row r="1083" spans="1:106" x14ac:dyDescent="0.25">
      <c r="A1083">
        <v>1082</v>
      </c>
      <c r="B1083">
        <v>72</v>
      </c>
      <c r="C1083" s="25" t="s">
        <v>4186</v>
      </c>
      <c r="D1083" s="12">
        <v>5.68</v>
      </c>
      <c r="E1083" s="14">
        <v>0.1</v>
      </c>
      <c r="F1083" s="7">
        <f t="shared" si="308"/>
        <v>56.8</v>
      </c>
      <c r="G1083" s="7">
        <f t="shared" si="297"/>
        <v>5.58</v>
      </c>
      <c r="H1083" s="16">
        <f t="shared" si="298"/>
        <v>5.7799999999999994</v>
      </c>
      <c r="I1083" s="11">
        <f t="shared" si="299"/>
        <v>0.46651124536232574</v>
      </c>
      <c r="J1083" s="33">
        <f t="shared" si="300"/>
        <v>8.2132261507451721E-3</v>
      </c>
      <c r="K1083" s="33">
        <f t="shared" si="301"/>
        <v>121.75483563292259</v>
      </c>
      <c r="L1083" s="33">
        <f t="shared" si="302"/>
        <v>0.45829801921158059</v>
      </c>
      <c r="M1083" s="33">
        <f t="shared" si="303"/>
        <v>0.4747244715130709</v>
      </c>
      <c r="N1083" s="8">
        <v>1</v>
      </c>
      <c r="O1083" s="9">
        <v>0</v>
      </c>
      <c r="P1083" s="8">
        <v>0</v>
      </c>
      <c r="Q1083" s="9">
        <v>0</v>
      </c>
      <c r="R1083" s="9">
        <v>0</v>
      </c>
      <c r="S1083" s="9">
        <v>1</v>
      </c>
      <c r="T1083" s="9">
        <v>0</v>
      </c>
      <c r="U1083" s="8">
        <v>11603</v>
      </c>
      <c r="V1083" s="9">
        <v>4</v>
      </c>
      <c r="W1083" s="9">
        <f t="shared" si="304"/>
        <v>11598</v>
      </c>
      <c r="X1083" s="9">
        <f t="shared" si="305"/>
        <v>10</v>
      </c>
      <c r="Y1083" s="7">
        <v>10.6</v>
      </c>
      <c r="Z1083" s="7">
        <v>12.6</v>
      </c>
      <c r="AA1083" s="9">
        <v>1</v>
      </c>
      <c r="AB1083" s="9">
        <v>0</v>
      </c>
      <c r="AC1083" s="9">
        <v>1</v>
      </c>
      <c r="AD1083" s="9">
        <v>0</v>
      </c>
      <c r="AE1083" s="9">
        <v>0</v>
      </c>
      <c r="AF1083" s="9">
        <v>0</v>
      </c>
      <c r="AG1083" s="8">
        <v>0</v>
      </c>
      <c r="AH1083" s="9">
        <v>1</v>
      </c>
      <c r="AI1083" s="30">
        <v>0</v>
      </c>
      <c r="AJ1083" s="9">
        <v>1</v>
      </c>
      <c r="AK1083" s="30">
        <v>0</v>
      </c>
      <c r="AL1083" s="21">
        <v>2001</v>
      </c>
      <c r="AM1083" s="23">
        <f t="shared" si="306"/>
        <v>7.6014023345837334</v>
      </c>
      <c r="AN1083" s="33" t="s">
        <v>104</v>
      </c>
      <c r="AO1083" s="33" t="s">
        <v>104</v>
      </c>
      <c r="AP1083" s="33" t="s">
        <v>104</v>
      </c>
      <c r="AQ1083" s="43" t="s">
        <v>104</v>
      </c>
      <c r="AR1083" s="42" t="s">
        <v>104</v>
      </c>
      <c r="AS1083" s="18" t="s">
        <v>104</v>
      </c>
      <c r="AT1083" s="33">
        <v>0.60399999999999998</v>
      </c>
      <c r="AU1083" s="40">
        <v>0.39600000000000002</v>
      </c>
      <c r="AV1083">
        <v>0.65600000000000003</v>
      </c>
      <c r="AW1083" s="40">
        <v>0.34399999999999997</v>
      </c>
      <c r="AX1083">
        <v>1</v>
      </c>
      <c r="AY1083" s="18">
        <v>0</v>
      </c>
      <c r="AZ1083" t="s">
        <v>104</v>
      </c>
      <c r="BA1083" s="18" t="s">
        <v>104</v>
      </c>
      <c r="BB1083" s="18" t="s">
        <v>26</v>
      </c>
      <c r="BC1083">
        <v>1</v>
      </c>
      <c r="BD1083">
        <v>0</v>
      </c>
      <c r="BE1083">
        <v>0</v>
      </c>
      <c r="BF1083">
        <v>0</v>
      </c>
      <c r="BG1083">
        <v>0</v>
      </c>
      <c r="BH1083" s="18">
        <v>0</v>
      </c>
      <c r="BI1083">
        <v>1</v>
      </c>
      <c r="BJ1083">
        <v>0</v>
      </c>
      <c r="BK1083" s="18">
        <v>0</v>
      </c>
      <c r="BL1083">
        <v>1399.916666666667</v>
      </c>
      <c r="BM1083">
        <v>479</v>
      </c>
      <c r="BN1083" s="25">
        <v>37.5</v>
      </c>
      <c r="BO1083">
        <v>1</v>
      </c>
      <c r="BP1083">
        <v>0</v>
      </c>
      <c r="BQ1083">
        <v>0</v>
      </c>
      <c r="BR1083">
        <v>0</v>
      </c>
      <c r="BS1083">
        <v>0</v>
      </c>
      <c r="BT1083">
        <v>0</v>
      </c>
      <c r="BU1083">
        <v>0</v>
      </c>
      <c r="BV1083" s="18">
        <v>0</v>
      </c>
      <c r="BW1083">
        <v>0</v>
      </c>
      <c r="BX1083">
        <v>0</v>
      </c>
      <c r="BY1083">
        <v>1</v>
      </c>
      <c r="BZ1083" s="18">
        <v>0</v>
      </c>
      <c r="CA1083">
        <v>0</v>
      </c>
      <c r="CB1083">
        <v>0</v>
      </c>
      <c r="CC1083">
        <v>0</v>
      </c>
      <c r="CD1083">
        <v>0</v>
      </c>
      <c r="CE1083">
        <v>0</v>
      </c>
      <c r="CF1083" s="18">
        <v>0</v>
      </c>
      <c r="CG1083">
        <v>0</v>
      </c>
      <c r="CH1083">
        <v>0</v>
      </c>
      <c r="CI1083">
        <v>1</v>
      </c>
      <c r="CJ1083">
        <v>1</v>
      </c>
      <c r="CK1083">
        <v>0</v>
      </c>
      <c r="CL1083">
        <v>0</v>
      </c>
      <c r="CM1083">
        <v>0</v>
      </c>
      <c r="CN1083">
        <v>0</v>
      </c>
      <c r="CO1083">
        <v>0</v>
      </c>
      <c r="CP1083">
        <v>0</v>
      </c>
      <c r="CQ1083" s="18">
        <v>0</v>
      </c>
      <c r="CR1083">
        <v>0</v>
      </c>
      <c r="CS1083">
        <v>0</v>
      </c>
      <c r="CT1083">
        <v>0</v>
      </c>
      <c r="CU1083">
        <v>1</v>
      </c>
      <c r="CV1083">
        <v>9</v>
      </c>
      <c r="DB1083" s="34"/>
    </row>
    <row r="1084" spans="1:106" x14ac:dyDescent="0.25">
      <c r="A1084">
        <v>1083</v>
      </c>
      <c r="B1084">
        <v>72</v>
      </c>
      <c r="C1084" s="25" t="s">
        <v>4186</v>
      </c>
      <c r="D1084" s="12">
        <v>7.37</v>
      </c>
      <c r="E1084" s="14">
        <v>0.23</v>
      </c>
      <c r="F1084" s="7">
        <f t="shared" si="308"/>
        <v>32.043478260869563</v>
      </c>
      <c r="G1084" s="7">
        <f t="shared" si="297"/>
        <v>7.14</v>
      </c>
      <c r="H1084" s="16">
        <f t="shared" si="298"/>
        <v>7.6000000000000005</v>
      </c>
      <c r="I1084" s="11">
        <f t="shared" si="299"/>
        <v>0.28938800261361008</v>
      </c>
      <c r="J1084" s="33">
        <f t="shared" si="300"/>
        <v>9.0311045591764342E-3</v>
      </c>
      <c r="K1084" s="33">
        <f t="shared" si="301"/>
        <v>110.72842678849376</v>
      </c>
      <c r="L1084" s="33">
        <f t="shared" si="302"/>
        <v>0.28035689805443365</v>
      </c>
      <c r="M1084" s="33">
        <f t="shared" si="303"/>
        <v>0.29841910717278652</v>
      </c>
      <c r="N1084" s="8">
        <v>1</v>
      </c>
      <c r="O1084" s="9">
        <v>0</v>
      </c>
      <c r="P1084" s="8">
        <v>0</v>
      </c>
      <c r="Q1084" s="9">
        <v>0</v>
      </c>
      <c r="R1084" s="9">
        <v>0</v>
      </c>
      <c r="S1084" s="9">
        <v>1</v>
      </c>
      <c r="T1084" s="9">
        <v>0</v>
      </c>
      <c r="U1084" s="8">
        <v>11239</v>
      </c>
      <c r="V1084" s="9">
        <v>4</v>
      </c>
      <c r="W1084" s="9">
        <f t="shared" si="304"/>
        <v>11234</v>
      </c>
      <c r="X1084" s="9">
        <f t="shared" si="305"/>
        <v>10</v>
      </c>
      <c r="Y1084" s="7">
        <v>10.6</v>
      </c>
      <c r="Z1084" s="7">
        <v>12.6</v>
      </c>
      <c r="AA1084" s="9">
        <v>1</v>
      </c>
      <c r="AB1084" s="9">
        <v>0</v>
      </c>
      <c r="AC1084" s="9">
        <v>1</v>
      </c>
      <c r="AD1084" s="9">
        <v>0</v>
      </c>
      <c r="AE1084" s="9">
        <v>0</v>
      </c>
      <c r="AF1084" s="9">
        <v>0</v>
      </c>
      <c r="AG1084" s="8">
        <v>0</v>
      </c>
      <c r="AH1084" s="9">
        <v>1</v>
      </c>
      <c r="AI1084" s="30">
        <v>0</v>
      </c>
      <c r="AJ1084" s="9">
        <v>1</v>
      </c>
      <c r="AK1084" s="30">
        <v>0</v>
      </c>
      <c r="AL1084" s="21">
        <v>2001</v>
      </c>
      <c r="AM1084" s="23">
        <f t="shared" si="306"/>
        <v>7.6014023345837334</v>
      </c>
      <c r="AN1084" s="33" t="s">
        <v>104</v>
      </c>
      <c r="AO1084" s="33" t="s">
        <v>104</v>
      </c>
      <c r="AP1084" s="33" t="s">
        <v>104</v>
      </c>
      <c r="AQ1084" s="43" t="s">
        <v>104</v>
      </c>
      <c r="AR1084" s="42" t="s">
        <v>104</v>
      </c>
      <c r="AS1084" s="18" t="s">
        <v>104</v>
      </c>
      <c r="AT1084" s="33">
        <v>0.60399999999999998</v>
      </c>
      <c r="AU1084" s="40">
        <v>0.39600000000000002</v>
      </c>
      <c r="AV1084">
        <v>0.65600000000000003</v>
      </c>
      <c r="AW1084" s="40">
        <v>0.34399999999999997</v>
      </c>
      <c r="AX1084">
        <v>1</v>
      </c>
      <c r="AY1084" s="18">
        <v>0</v>
      </c>
      <c r="AZ1084" t="s">
        <v>104</v>
      </c>
      <c r="BA1084" s="18" t="s">
        <v>104</v>
      </c>
      <c r="BB1084" s="18" t="s">
        <v>26</v>
      </c>
      <c r="BC1084">
        <v>1</v>
      </c>
      <c r="BD1084">
        <v>0</v>
      </c>
      <c r="BE1084">
        <v>0</v>
      </c>
      <c r="BF1084">
        <v>0</v>
      </c>
      <c r="BG1084">
        <v>0</v>
      </c>
      <c r="BH1084" s="18">
        <v>0</v>
      </c>
      <c r="BI1084">
        <v>1</v>
      </c>
      <c r="BJ1084">
        <v>0</v>
      </c>
      <c r="BK1084" s="18">
        <v>0</v>
      </c>
      <c r="BL1084">
        <v>1399.916666666667</v>
      </c>
      <c r="BM1084">
        <v>479</v>
      </c>
      <c r="BN1084" s="25">
        <v>37.5</v>
      </c>
      <c r="BO1084">
        <v>0</v>
      </c>
      <c r="BP1084">
        <v>0</v>
      </c>
      <c r="BQ1084">
        <v>0</v>
      </c>
      <c r="BR1084">
        <v>0</v>
      </c>
      <c r="BS1084">
        <v>0</v>
      </c>
      <c r="BT1084">
        <v>0</v>
      </c>
      <c r="BU1084">
        <v>0</v>
      </c>
      <c r="BV1084" s="18">
        <v>1</v>
      </c>
      <c r="BW1084">
        <v>0</v>
      </c>
      <c r="BX1084">
        <v>1</v>
      </c>
      <c r="BY1084">
        <v>0</v>
      </c>
      <c r="BZ1084" s="18">
        <v>0</v>
      </c>
      <c r="CA1084">
        <v>1</v>
      </c>
      <c r="CB1084">
        <v>0</v>
      </c>
      <c r="CC1084">
        <v>0</v>
      </c>
      <c r="CD1084">
        <v>0</v>
      </c>
      <c r="CE1084">
        <v>0</v>
      </c>
      <c r="CF1084" s="18">
        <v>0</v>
      </c>
      <c r="CG1084">
        <v>0</v>
      </c>
      <c r="CH1084">
        <v>0</v>
      </c>
      <c r="CI1084">
        <v>1</v>
      </c>
      <c r="CJ1084">
        <v>1</v>
      </c>
      <c r="CK1084">
        <v>0</v>
      </c>
      <c r="CL1084">
        <v>0</v>
      </c>
      <c r="CM1084">
        <v>0</v>
      </c>
      <c r="CN1084">
        <v>0</v>
      </c>
      <c r="CO1084">
        <v>0</v>
      </c>
      <c r="CP1084">
        <v>0</v>
      </c>
      <c r="CQ1084" s="18">
        <v>0</v>
      </c>
      <c r="CR1084">
        <v>0</v>
      </c>
      <c r="CS1084">
        <v>0</v>
      </c>
      <c r="CT1084">
        <v>0</v>
      </c>
      <c r="CU1084">
        <v>1</v>
      </c>
      <c r="CV1084">
        <v>9</v>
      </c>
      <c r="DB1084" s="34"/>
    </row>
    <row r="1085" spans="1:106" x14ac:dyDescent="0.25">
      <c r="A1085">
        <v>1084</v>
      </c>
      <c r="B1085">
        <v>72</v>
      </c>
      <c r="C1085" s="25" t="s">
        <v>4186</v>
      </c>
      <c r="D1085" s="12">
        <v>4.84</v>
      </c>
      <c r="E1085" s="14">
        <v>0.19</v>
      </c>
      <c r="F1085" s="7">
        <f t="shared" si="308"/>
        <v>25.473684210526315</v>
      </c>
      <c r="G1085" s="7">
        <f t="shared" si="297"/>
        <v>4.6499999999999995</v>
      </c>
      <c r="H1085" s="16">
        <f t="shared" si="298"/>
        <v>5.03</v>
      </c>
      <c r="I1085" s="11">
        <f t="shared" si="299"/>
        <v>0.22504423749718469</v>
      </c>
      <c r="J1085" s="33">
        <f t="shared" si="300"/>
        <v>8.834381224063036E-3</v>
      </c>
      <c r="K1085" s="33">
        <f t="shared" si="301"/>
        <v>113.19411904890472</v>
      </c>
      <c r="L1085" s="33">
        <f t="shared" si="302"/>
        <v>0.21620985627312164</v>
      </c>
      <c r="M1085" s="33">
        <f t="shared" si="303"/>
        <v>0.23387861872124774</v>
      </c>
      <c r="N1085" s="8">
        <v>1</v>
      </c>
      <c r="O1085" s="9">
        <v>0</v>
      </c>
      <c r="P1085" s="8">
        <v>0</v>
      </c>
      <c r="Q1085" s="9">
        <v>0</v>
      </c>
      <c r="R1085" s="9">
        <v>0</v>
      </c>
      <c r="S1085" s="9">
        <v>1</v>
      </c>
      <c r="T1085" s="9">
        <v>0</v>
      </c>
      <c r="U1085" s="8">
        <v>12169</v>
      </c>
      <c r="V1085" s="9">
        <v>4</v>
      </c>
      <c r="W1085" s="9">
        <f t="shared" si="304"/>
        <v>12164</v>
      </c>
      <c r="X1085" s="9">
        <f t="shared" si="305"/>
        <v>10</v>
      </c>
      <c r="Y1085" s="7">
        <v>10.6</v>
      </c>
      <c r="Z1085" s="7">
        <v>12.6</v>
      </c>
      <c r="AA1085" s="9">
        <v>1</v>
      </c>
      <c r="AB1085" s="9">
        <v>0</v>
      </c>
      <c r="AC1085" s="9">
        <v>1</v>
      </c>
      <c r="AD1085" s="9">
        <v>0</v>
      </c>
      <c r="AE1085" s="9">
        <v>0</v>
      </c>
      <c r="AF1085" s="9">
        <v>0</v>
      </c>
      <c r="AG1085" s="8">
        <v>0</v>
      </c>
      <c r="AH1085" s="9">
        <v>1</v>
      </c>
      <c r="AI1085" s="30">
        <v>0</v>
      </c>
      <c r="AJ1085" s="9">
        <v>1</v>
      </c>
      <c r="AK1085" s="30">
        <v>0</v>
      </c>
      <c r="AL1085" s="21">
        <v>2001</v>
      </c>
      <c r="AM1085" s="23">
        <f t="shared" si="306"/>
        <v>7.6014023345837334</v>
      </c>
      <c r="AN1085" s="33" t="s">
        <v>104</v>
      </c>
      <c r="AO1085" s="33" t="s">
        <v>104</v>
      </c>
      <c r="AP1085" s="33" t="s">
        <v>104</v>
      </c>
      <c r="AQ1085" s="43" t="s">
        <v>104</v>
      </c>
      <c r="AR1085" s="42" t="s">
        <v>104</v>
      </c>
      <c r="AS1085" s="18" t="s">
        <v>104</v>
      </c>
      <c r="AT1085" s="33">
        <v>0.60399999999999998</v>
      </c>
      <c r="AU1085" s="40">
        <v>0.39600000000000002</v>
      </c>
      <c r="AV1085">
        <v>0.65600000000000003</v>
      </c>
      <c r="AW1085" s="40">
        <v>0.34399999999999997</v>
      </c>
      <c r="AX1085">
        <v>1</v>
      </c>
      <c r="AY1085" s="18">
        <v>0</v>
      </c>
      <c r="AZ1085" t="s">
        <v>104</v>
      </c>
      <c r="BA1085" s="18" t="s">
        <v>104</v>
      </c>
      <c r="BB1085" s="18" t="s">
        <v>26</v>
      </c>
      <c r="BC1085">
        <v>1</v>
      </c>
      <c r="BD1085">
        <v>0</v>
      </c>
      <c r="BE1085">
        <v>0</v>
      </c>
      <c r="BF1085">
        <v>0</v>
      </c>
      <c r="BG1085">
        <v>0</v>
      </c>
      <c r="BH1085" s="18">
        <v>0</v>
      </c>
      <c r="BI1085">
        <v>1</v>
      </c>
      <c r="BJ1085">
        <v>0</v>
      </c>
      <c r="BK1085" s="18">
        <v>0</v>
      </c>
      <c r="BL1085">
        <v>1399.916666666667</v>
      </c>
      <c r="BM1085">
        <v>479</v>
      </c>
      <c r="BN1085" s="25">
        <v>37.5</v>
      </c>
      <c r="BO1085">
        <v>1</v>
      </c>
      <c r="BP1085">
        <v>0</v>
      </c>
      <c r="BQ1085">
        <v>0</v>
      </c>
      <c r="BR1085">
        <v>0</v>
      </c>
      <c r="BS1085">
        <v>0</v>
      </c>
      <c r="BT1085">
        <v>0</v>
      </c>
      <c r="BU1085">
        <v>0</v>
      </c>
      <c r="BV1085" s="18">
        <v>0</v>
      </c>
      <c r="BW1085">
        <v>0</v>
      </c>
      <c r="BX1085">
        <v>0</v>
      </c>
      <c r="BY1085">
        <v>1</v>
      </c>
      <c r="BZ1085" s="18">
        <v>0</v>
      </c>
      <c r="CA1085">
        <v>0</v>
      </c>
      <c r="CB1085">
        <v>0</v>
      </c>
      <c r="CC1085">
        <v>0</v>
      </c>
      <c r="CD1085">
        <v>0</v>
      </c>
      <c r="CE1085">
        <v>0</v>
      </c>
      <c r="CF1085" s="18">
        <v>0</v>
      </c>
      <c r="CG1085">
        <v>0</v>
      </c>
      <c r="CH1085">
        <v>0</v>
      </c>
      <c r="CI1085">
        <v>1</v>
      </c>
      <c r="CJ1085">
        <v>1</v>
      </c>
      <c r="CK1085">
        <v>0</v>
      </c>
      <c r="CL1085">
        <v>0</v>
      </c>
      <c r="CM1085">
        <v>0</v>
      </c>
      <c r="CN1085">
        <v>0</v>
      </c>
      <c r="CO1085">
        <v>0</v>
      </c>
      <c r="CP1085">
        <v>0</v>
      </c>
      <c r="CQ1085" s="18">
        <v>0</v>
      </c>
      <c r="CR1085">
        <v>0</v>
      </c>
      <c r="CS1085">
        <v>0</v>
      </c>
      <c r="CT1085">
        <v>0</v>
      </c>
      <c r="CU1085">
        <v>1</v>
      </c>
      <c r="CV1085">
        <v>9</v>
      </c>
      <c r="DB1085" s="34"/>
    </row>
    <row r="1086" spans="1:106" x14ac:dyDescent="0.25">
      <c r="A1086">
        <v>1085</v>
      </c>
      <c r="B1086">
        <v>72</v>
      </c>
      <c r="C1086" s="25" t="s">
        <v>4186</v>
      </c>
      <c r="D1086" s="12">
        <v>3.74</v>
      </c>
      <c r="E1086" s="14">
        <v>0.27</v>
      </c>
      <c r="F1086" s="7">
        <f t="shared" si="308"/>
        <v>13.851851851851851</v>
      </c>
      <c r="G1086" s="7">
        <f t="shared" si="297"/>
        <v>3.47</v>
      </c>
      <c r="H1086" s="16">
        <f t="shared" si="298"/>
        <v>4.01</v>
      </c>
      <c r="I1086" s="11">
        <f t="shared" si="299"/>
        <v>0.12463035605517775</v>
      </c>
      <c r="J1086" s="33">
        <f t="shared" si="300"/>
        <v>8.9973786456946508E-3</v>
      </c>
      <c r="K1086" s="33">
        <f t="shared" si="301"/>
        <v>111.14348293861252</v>
      </c>
      <c r="L1086" s="33">
        <f t="shared" si="302"/>
        <v>0.1156329774094831</v>
      </c>
      <c r="M1086" s="33">
        <f t="shared" si="303"/>
        <v>0.13362773470087241</v>
      </c>
      <c r="N1086" s="8">
        <v>1</v>
      </c>
      <c r="O1086" s="9">
        <v>0</v>
      </c>
      <c r="P1086" s="8">
        <v>0</v>
      </c>
      <c r="Q1086" s="9">
        <v>0</v>
      </c>
      <c r="R1086" s="9">
        <v>0</v>
      </c>
      <c r="S1086" s="9">
        <v>1</v>
      </c>
      <c r="T1086" s="9">
        <v>0</v>
      </c>
      <c r="U1086" s="8">
        <v>12169</v>
      </c>
      <c r="V1086" s="9">
        <v>7</v>
      </c>
      <c r="W1086" s="9">
        <f t="shared" si="304"/>
        <v>12161</v>
      </c>
      <c r="X1086" s="9">
        <f t="shared" si="305"/>
        <v>10</v>
      </c>
      <c r="Y1086" s="7">
        <v>10.6</v>
      </c>
      <c r="Z1086" s="7">
        <v>12.6</v>
      </c>
      <c r="AA1086" s="9">
        <v>1</v>
      </c>
      <c r="AB1086" s="9">
        <v>0</v>
      </c>
      <c r="AC1086" s="9">
        <v>1</v>
      </c>
      <c r="AD1086" s="9">
        <v>0</v>
      </c>
      <c r="AE1086" s="9">
        <v>0</v>
      </c>
      <c r="AF1086" s="9">
        <v>0</v>
      </c>
      <c r="AG1086" s="8">
        <v>0</v>
      </c>
      <c r="AH1086" s="9">
        <v>1</v>
      </c>
      <c r="AI1086" s="30">
        <v>0</v>
      </c>
      <c r="AJ1086" s="9">
        <v>1</v>
      </c>
      <c r="AK1086" s="30">
        <v>0</v>
      </c>
      <c r="AL1086" s="21">
        <v>2001</v>
      </c>
      <c r="AM1086" s="23">
        <f t="shared" si="306"/>
        <v>7.6014023345837334</v>
      </c>
      <c r="AN1086" s="33" t="s">
        <v>104</v>
      </c>
      <c r="AO1086" s="33" t="s">
        <v>104</v>
      </c>
      <c r="AP1086" s="33" t="s">
        <v>104</v>
      </c>
      <c r="AQ1086" s="43" t="s">
        <v>104</v>
      </c>
      <c r="AR1086" s="42" t="s">
        <v>104</v>
      </c>
      <c r="AS1086" s="18" t="s">
        <v>104</v>
      </c>
      <c r="AT1086" s="33">
        <v>0.60399999999999998</v>
      </c>
      <c r="AU1086" s="40">
        <v>0.39600000000000002</v>
      </c>
      <c r="AV1086">
        <v>0.65600000000000003</v>
      </c>
      <c r="AW1086" s="40">
        <v>0.34399999999999997</v>
      </c>
      <c r="AX1086">
        <v>1</v>
      </c>
      <c r="AY1086" s="18">
        <v>0</v>
      </c>
      <c r="AZ1086" t="s">
        <v>104</v>
      </c>
      <c r="BA1086" s="18" t="s">
        <v>104</v>
      </c>
      <c r="BB1086" s="18" t="s">
        <v>26</v>
      </c>
      <c r="BC1086">
        <v>1</v>
      </c>
      <c r="BD1086">
        <v>0</v>
      </c>
      <c r="BE1086">
        <v>0</v>
      </c>
      <c r="BF1086">
        <v>0</v>
      </c>
      <c r="BG1086">
        <v>0</v>
      </c>
      <c r="BH1086" s="18">
        <v>0</v>
      </c>
      <c r="BI1086">
        <v>1</v>
      </c>
      <c r="BJ1086">
        <v>0</v>
      </c>
      <c r="BK1086" s="18">
        <v>0</v>
      </c>
      <c r="BL1086">
        <v>1399.916666666667</v>
      </c>
      <c r="BM1086">
        <v>479</v>
      </c>
      <c r="BN1086" s="25">
        <v>37.5</v>
      </c>
      <c r="BO1086">
        <v>1</v>
      </c>
      <c r="BP1086">
        <v>0</v>
      </c>
      <c r="BQ1086">
        <v>0</v>
      </c>
      <c r="BR1086">
        <v>0</v>
      </c>
      <c r="BS1086">
        <v>0</v>
      </c>
      <c r="BT1086">
        <v>0</v>
      </c>
      <c r="BU1086">
        <v>0</v>
      </c>
      <c r="BV1086" s="18">
        <v>0</v>
      </c>
      <c r="BW1086">
        <v>0</v>
      </c>
      <c r="BX1086">
        <v>0</v>
      </c>
      <c r="BY1086">
        <v>1</v>
      </c>
      <c r="BZ1086" s="18">
        <v>0</v>
      </c>
      <c r="CA1086">
        <v>0</v>
      </c>
      <c r="CB1086">
        <v>0</v>
      </c>
      <c r="CC1086">
        <v>0</v>
      </c>
      <c r="CD1086">
        <v>0</v>
      </c>
      <c r="CE1086">
        <v>0</v>
      </c>
      <c r="CF1086" s="18">
        <v>0</v>
      </c>
      <c r="CG1086">
        <v>0</v>
      </c>
      <c r="CH1086">
        <v>0</v>
      </c>
      <c r="CI1086">
        <v>1</v>
      </c>
      <c r="CJ1086">
        <v>1</v>
      </c>
      <c r="CK1086">
        <v>0</v>
      </c>
      <c r="CL1086">
        <v>0</v>
      </c>
      <c r="CM1086">
        <v>0</v>
      </c>
      <c r="CN1086">
        <v>0</v>
      </c>
      <c r="CO1086">
        <v>0</v>
      </c>
      <c r="CP1086">
        <v>0</v>
      </c>
      <c r="CQ1086" s="18">
        <v>0</v>
      </c>
      <c r="CR1086">
        <v>0</v>
      </c>
      <c r="CS1086">
        <v>0</v>
      </c>
      <c r="CT1086">
        <v>0</v>
      </c>
      <c r="CU1086">
        <v>1</v>
      </c>
      <c r="CV1086">
        <v>9</v>
      </c>
      <c r="DB1086" s="34"/>
    </row>
    <row r="1087" spans="1:106" x14ac:dyDescent="0.25">
      <c r="A1087">
        <v>1086</v>
      </c>
      <c r="B1087">
        <v>72</v>
      </c>
      <c r="C1087" s="25" t="s">
        <v>4186</v>
      </c>
      <c r="D1087" s="12">
        <v>3.95</v>
      </c>
      <c r="E1087" s="14">
        <v>0.21</v>
      </c>
      <c r="F1087" s="7">
        <f t="shared" si="308"/>
        <v>18.80952380952381</v>
      </c>
      <c r="G1087" s="7">
        <f t="shared" si="297"/>
        <v>3.74</v>
      </c>
      <c r="H1087" s="16">
        <f t="shared" si="298"/>
        <v>4.16</v>
      </c>
      <c r="I1087" s="11">
        <f t="shared" si="299"/>
        <v>0.18609797544868056</v>
      </c>
      <c r="J1087" s="33">
        <f t="shared" si="300"/>
        <v>9.8938164162589663E-3</v>
      </c>
      <c r="K1087" s="33">
        <f t="shared" si="301"/>
        <v>101.07323179725205</v>
      </c>
      <c r="L1087" s="33">
        <f t="shared" si="302"/>
        <v>0.17620415903242159</v>
      </c>
      <c r="M1087" s="33">
        <f t="shared" si="303"/>
        <v>0.19599179186493954</v>
      </c>
      <c r="N1087" s="8">
        <v>1</v>
      </c>
      <c r="O1087" s="9">
        <v>0</v>
      </c>
      <c r="P1087" s="8">
        <v>0</v>
      </c>
      <c r="Q1087" s="9">
        <v>0</v>
      </c>
      <c r="R1087" s="9">
        <v>0</v>
      </c>
      <c r="S1087" s="9">
        <v>1</v>
      </c>
      <c r="T1087" s="9">
        <v>0</v>
      </c>
      <c r="U1087" s="8">
        <v>9867</v>
      </c>
      <c r="V1087" s="9">
        <v>4</v>
      </c>
      <c r="W1087" s="9">
        <f t="shared" si="304"/>
        <v>9862</v>
      </c>
      <c r="X1087" s="9">
        <f t="shared" si="305"/>
        <v>10</v>
      </c>
      <c r="Y1087" s="7">
        <v>10.6</v>
      </c>
      <c r="Z1087" s="7">
        <v>12.6</v>
      </c>
      <c r="AA1087" s="9">
        <v>1</v>
      </c>
      <c r="AB1087" s="9">
        <v>0</v>
      </c>
      <c r="AC1087" s="9">
        <v>1</v>
      </c>
      <c r="AD1087" s="9">
        <v>0</v>
      </c>
      <c r="AE1087" s="9">
        <v>0</v>
      </c>
      <c r="AF1087" s="9">
        <v>0</v>
      </c>
      <c r="AG1087" s="8">
        <v>0</v>
      </c>
      <c r="AH1087" s="9">
        <v>1</v>
      </c>
      <c r="AI1087" s="30">
        <v>0</v>
      </c>
      <c r="AJ1087" s="9">
        <v>1</v>
      </c>
      <c r="AK1087" s="30">
        <v>0</v>
      </c>
      <c r="AL1087" s="21">
        <v>2001</v>
      </c>
      <c r="AM1087" s="23">
        <f t="shared" si="306"/>
        <v>7.6014023345837334</v>
      </c>
      <c r="AN1087" s="33" t="s">
        <v>104</v>
      </c>
      <c r="AO1087" s="33" t="s">
        <v>104</v>
      </c>
      <c r="AP1087" s="33" t="s">
        <v>104</v>
      </c>
      <c r="AQ1087" s="43" t="s">
        <v>104</v>
      </c>
      <c r="AR1087" s="42" t="s">
        <v>104</v>
      </c>
      <c r="AS1087" s="18" t="s">
        <v>104</v>
      </c>
      <c r="AT1087" s="33">
        <v>0.60399999999999998</v>
      </c>
      <c r="AU1087" s="40">
        <v>0.39600000000000002</v>
      </c>
      <c r="AV1087">
        <v>0.65600000000000003</v>
      </c>
      <c r="AW1087" s="40">
        <v>0.34399999999999997</v>
      </c>
      <c r="AX1087">
        <v>1</v>
      </c>
      <c r="AY1087" s="18">
        <v>0</v>
      </c>
      <c r="AZ1087" t="s">
        <v>104</v>
      </c>
      <c r="BA1087" s="18" t="s">
        <v>104</v>
      </c>
      <c r="BB1087" s="18" t="s">
        <v>26</v>
      </c>
      <c r="BC1087">
        <v>1</v>
      </c>
      <c r="BD1087">
        <v>0</v>
      </c>
      <c r="BE1087">
        <v>0</v>
      </c>
      <c r="BF1087">
        <v>0</v>
      </c>
      <c r="BG1087">
        <v>0</v>
      </c>
      <c r="BH1087" s="18">
        <v>0</v>
      </c>
      <c r="BI1087">
        <v>1</v>
      </c>
      <c r="BJ1087">
        <v>0</v>
      </c>
      <c r="BK1087" s="18">
        <v>0</v>
      </c>
      <c r="BL1087">
        <v>1399.916666666667</v>
      </c>
      <c r="BM1087">
        <v>479</v>
      </c>
      <c r="BN1087" s="25">
        <v>37.5</v>
      </c>
      <c r="BO1087">
        <v>1</v>
      </c>
      <c r="BP1087">
        <v>0</v>
      </c>
      <c r="BQ1087">
        <v>0</v>
      </c>
      <c r="BR1087">
        <v>0</v>
      </c>
      <c r="BS1087">
        <v>0</v>
      </c>
      <c r="BT1087">
        <v>0</v>
      </c>
      <c r="BU1087">
        <v>0</v>
      </c>
      <c r="BV1087" s="18">
        <v>0</v>
      </c>
      <c r="BW1087">
        <v>0</v>
      </c>
      <c r="BX1087">
        <v>0</v>
      </c>
      <c r="BY1087">
        <v>1</v>
      </c>
      <c r="BZ1087" s="18">
        <v>0</v>
      </c>
      <c r="CA1087">
        <v>0</v>
      </c>
      <c r="CB1087">
        <v>0</v>
      </c>
      <c r="CC1087">
        <v>0</v>
      </c>
      <c r="CD1087">
        <v>0</v>
      </c>
      <c r="CE1087">
        <v>0</v>
      </c>
      <c r="CF1087" s="18">
        <v>0</v>
      </c>
      <c r="CG1087">
        <v>0</v>
      </c>
      <c r="CH1087">
        <v>0</v>
      </c>
      <c r="CI1087">
        <v>1</v>
      </c>
      <c r="CJ1087">
        <v>1</v>
      </c>
      <c r="CK1087">
        <v>0</v>
      </c>
      <c r="CL1087">
        <v>0</v>
      </c>
      <c r="CM1087">
        <v>0</v>
      </c>
      <c r="CN1087">
        <v>0</v>
      </c>
      <c r="CO1087">
        <v>0</v>
      </c>
      <c r="CP1087">
        <v>0</v>
      </c>
      <c r="CQ1087" s="18">
        <v>0</v>
      </c>
      <c r="CR1087">
        <v>0</v>
      </c>
      <c r="CS1087">
        <v>0</v>
      </c>
      <c r="CT1087">
        <v>0</v>
      </c>
      <c r="CU1087">
        <v>1</v>
      </c>
      <c r="CV1087">
        <v>9</v>
      </c>
      <c r="DB1087" s="34"/>
    </row>
    <row r="1088" spans="1:106" x14ac:dyDescent="0.25">
      <c r="A1088">
        <v>1087</v>
      </c>
      <c r="B1088">
        <v>72</v>
      </c>
      <c r="C1088" s="25" t="s">
        <v>4186</v>
      </c>
      <c r="D1088" s="12">
        <v>3.04</v>
      </c>
      <c r="E1088" s="14">
        <v>0.3</v>
      </c>
      <c r="F1088" s="7">
        <f t="shared" si="308"/>
        <v>10.133333333333335</v>
      </c>
      <c r="G1088" s="7">
        <f t="shared" si="297"/>
        <v>2.74</v>
      </c>
      <c r="H1088" s="16">
        <f t="shared" si="298"/>
        <v>3.34</v>
      </c>
      <c r="I1088" s="11">
        <f t="shared" si="299"/>
        <v>0.1015280251398188</v>
      </c>
      <c r="J1088" s="33">
        <f t="shared" si="300"/>
        <v>1.0019213007218961E-2</v>
      </c>
      <c r="K1088" s="33">
        <f t="shared" si="301"/>
        <v>99.808238359588543</v>
      </c>
      <c r="L1088" s="33">
        <f t="shared" si="302"/>
        <v>9.1508812132599843E-2</v>
      </c>
      <c r="M1088" s="33">
        <f t="shared" si="303"/>
        <v>0.11154723814703776</v>
      </c>
      <c r="N1088" s="8">
        <v>1</v>
      </c>
      <c r="O1088" s="9">
        <v>0</v>
      </c>
      <c r="P1088" s="8">
        <v>0</v>
      </c>
      <c r="Q1088" s="9">
        <v>0</v>
      </c>
      <c r="R1088" s="9">
        <v>0</v>
      </c>
      <c r="S1088" s="9">
        <v>1</v>
      </c>
      <c r="T1088" s="9">
        <v>0</v>
      </c>
      <c r="U1088" s="8">
        <v>9867</v>
      </c>
      <c r="V1088" s="9">
        <v>7</v>
      </c>
      <c r="W1088" s="9">
        <f t="shared" si="304"/>
        <v>9859</v>
      </c>
      <c r="X1088" s="9">
        <f t="shared" si="305"/>
        <v>10</v>
      </c>
      <c r="Y1088" s="7">
        <v>10.6</v>
      </c>
      <c r="Z1088" s="7">
        <v>12.6</v>
      </c>
      <c r="AA1088" s="9">
        <v>1</v>
      </c>
      <c r="AB1088" s="9">
        <v>0</v>
      </c>
      <c r="AC1088" s="9">
        <v>1</v>
      </c>
      <c r="AD1088" s="9">
        <v>0</v>
      </c>
      <c r="AE1088" s="9">
        <v>0</v>
      </c>
      <c r="AF1088" s="9">
        <v>0</v>
      </c>
      <c r="AG1088" s="8">
        <v>0</v>
      </c>
      <c r="AH1088" s="9">
        <v>1</v>
      </c>
      <c r="AI1088" s="30">
        <v>0</v>
      </c>
      <c r="AJ1088" s="9">
        <v>1</v>
      </c>
      <c r="AK1088" s="30">
        <v>0</v>
      </c>
      <c r="AL1088" s="21">
        <v>2001</v>
      </c>
      <c r="AM1088" s="23">
        <f t="shared" si="306"/>
        <v>7.6014023345837334</v>
      </c>
      <c r="AN1088" s="33" t="s">
        <v>104</v>
      </c>
      <c r="AO1088" s="33" t="s">
        <v>104</v>
      </c>
      <c r="AP1088" s="33" t="s">
        <v>104</v>
      </c>
      <c r="AQ1088" s="43" t="s">
        <v>104</v>
      </c>
      <c r="AR1088" s="42" t="s">
        <v>104</v>
      </c>
      <c r="AS1088" s="18" t="s">
        <v>104</v>
      </c>
      <c r="AT1088" s="33">
        <v>0.60399999999999998</v>
      </c>
      <c r="AU1088" s="40">
        <v>0.39600000000000002</v>
      </c>
      <c r="AV1088">
        <v>0.65600000000000003</v>
      </c>
      <c r="AW1088" s="40">
        <v>0.34399999999999997</v>
      </c>
      <c r="AX1088">
        <v>1</v>
      </c>
      <c r="AY1088" s="18">
        <v>0</v>
      </c>
      <c r="AZ1088" t="s">
        <v>104</v>
      </c>
      <c r="BA1088" s="18" t="s">
        <v>104</v>
      </c>
      <c r="BB1088" s="18" t="s">
        <v>26</v>
      </c>
      <c r="BC1088">
        <v>1</v>
      </c>
      <c r="BD1088">
        <v>0</v>
      </c>
      <c r="BE1088">
        <v>0</v>
      </c>
      <c r="BF1088">
        <v>0</v>
      </c>
      <c r="BG1088">
        <v>0</v>
      </c>
      <c r="BH1088" s="18">
        <v>0</v>
      </c>
      <c r="BI1088">
        <v>1</v>
      </c>
      <c r="BJ1088">
        <v>0</v>
      </c>
      <c r="BK1088" s="18">
        <v>0</v>
      </c>
      <c r="BL1088">
        <v>1399.916666666667</v>
      </c>
      <c r="BM1088">
        <v>479</v>
      </c>
      <c r="BN1088" s="25">
        <v>37.5</v>
      </c>
      <c r="BO1088">
        <v>1</v>
      </c>
      <c r="BP1088">
        <v>0</v>
      </c>
      <c r="BQ1088">
        <v>0</v>
      </c>
      <c r="BR1088">
        <v>0</v>
      </c>
      <c r="BS1088">
        <v>0</v>
      </c>
      <c r="BT1088">
        <v>0</v>
      </c>
      <c r="BU1088">
        <v>0</v>
      </c>
      <c r="BV1088" s="18">
        <v>0</v>
      </c>
      <c r="BW1088">
        <v>0</v>
      </c>
      <c r="BX1088">
        <v>0</v>
      </c>
      <c r="BY1088">
        <v>1</v>
      </c>
      <c r="BZ1088" s="18">
        <v>0</v>
      </c>
      <c r="CA1088">
        <v>0</v>
      </c>
      <c r="CB1088">
        <v>0</v>
      </c>
      <c r="CC1088">
        <v>0</v>
      </c>
      <c r="CD1088">
        <v>0</v>
      </c>
      <c r="CE1088">
        <v>0</v>
      </c>
      <c r="CF1088" s="18">
        <v>0</v>
      </c>
      <c r="CG1088">
        <v>0</v>
      </c>
      <c r="CH1088">
        <v>0</v>
      </c>
      <c r="CI1088">
        <v>1</v>
      </c>
      <c r="CJ1088">
        <v>1</v>
      </c>
      <c r="CK1088">
        <v>0</v>
      </c>
      <c r="CL1088">
        <v>0</v>
      </c>
      <c r="CM1088">
        <v>0</v>
      </c>
      <c r="CN1088">
        <v>0</v>
      </c>
      <c r="CO1088">
        <v>0</v>
      </c>
      <c r="CP1088">
        <v>0</v>
      </c>
      <c r="CQ1088" s="18">
        <v>0</v>
      </c>
      <c r="CR1088">
        <v>0</v>
      </c>
      <c r="CS1088">
        <v>0</v>
      </c>
      <c r="CT1088">
        <v>0</v>
      </c>
      <c r="CU1088">
        <v>1</v>
      </c>
      <c r="CV1088">
        <v>9</v>
      </c>
      <c r="DB1088" s="34"/>
    </row>
    <row r="1089" spans="1:106" x14ac:dyDescent="0.25">
      <c r="A1089">
        <v>1088</v>
      </c>
      <c r="B1089">
        <v>72</v>
      </c>
      <c r="C1089" s="25" t="s">
        <v>4186</v>
      </c>
      <c r="D1089" s="12">
        <v>6.26</v>
      </c>
      <c r="E1089" s="14">
        <v>0.44</v>
      </c>
      <c r="F1089" s="7">
        <f t="shared" si="308"/>
        <v>14.227272727272727</v>
      </c>
      <c r="G1089" s="7">
        <f t="shared" si="297"/>
        <v>5.8199999999999994</v>
      </c>
      <c r="H1089" s="16">
        <f t="shared" si="298"/>
        <v>6.7</v>
      </c>
      <c r="I1089" s="11">
        <f t="shared" si="299"/>
        <v>0.28457873574040454</v>
      </c>
      <c r="J1089" s="33">
        <f t="shared" si="300"/>
        <v>2.0002339253319169E-2</v>
      </c>
      <c r="K1089" s="33">
        <f t="shared" si="301"/>
        <v>49.994152550635349</v>
      </c>
      <c r="L1089" s="33">
        <f t="shared" si="302"/>
        <v>0.26457639648708536</v>
      </c>
      <c r="M1089" s="33">
        <f t="shared" si="303"/>
        <v>0.30458107499372372</v>
      </c>
      <c r="N1089" s="8">
        <v>1</v>
      </c>
      <c r="O1089" s="9">
        <v>0</v>
      </c>
      <c r="P1089" s="8">
        <v>0</v>
      </c>
      <c r="Q1089" s="9">
        <v>0</v>
      </c>
      <c r="R1089" s="9">
        <v>0</v>
      </c>
      <c r="S1089" s="9">
        <v>1</v>
      </c>
      <c r="T1089" s="9">
        <v>0</v>
      </c>
      <c r="U1089" s="8">
        <v>2302</v>
      </c>
      <c r="V1089" s="9">
        <v>4</v>
      </c>
      <c r="W1089" s="9">
        <f t="shared" si="304"/>
        <v>2297</v>
      </c>
      <c r="X1089" s="9">
        <f t="shared" si="305"/>
        <v>10</v>
      </c>
      <c r="Y1089" s="7">
        <v>10.6</v>
      </c>
      <c r="Z1089" s="7">
        <v>12.6</v>
      </c>
      <c r="AA1089" s="9">
        <v>1</v>
      </c>
      <c r="AB1089" s="9">
        <v>0</v>
      </c>
      <c r="AC1089" s="9">
        <v>1</v>
      </c>
      <c r="AD1089" s="9">
        <v>0</v>
      </c>
      <c r="AE1089" s="9">
        <v>0</v>
      </c>
      <c r="AF1089" s="9">
        <v>0</v>
      </c>
      <c r="AG1089" s="8">
        <v>0</v>
      </c>
      <c r="AH1089" s="9">
        <v>1</v>
      </c>
      <c r="AI1089" s="30">
        <v>0</v>
      </c>
      <c r="AJ1089" s="9">
        <v>1</v>
      </c>
      <c r="AK1089" s="30">
        <v>0</v>
      </c>
      <c r="AL1089" s="21">
        <v>2001</v>
      </c>
      <c r="AM1089" s="23">
        <f t="shared" si="306"/>
        <v>7.6014023345837334</v>
      </c>
      <c r="AN1089" s="33" t="s">
        <v>104</v>
      </c>
      <c r="AO1089" s="33" t="s">
        <v>104</v>
      </c>
      <c r="AP1089" s="33" t="s">
        <v>104</v>
      </c>
      <c r="AQ1089" s="43" t="s">
        <v>104</v>
      </c>
      <c r="AR1089" s="42" t="s">
        <v>104</v>
      </c>
      <c r="AS1089" s="18" t="s">
        <v>104</v>
      </c>
      <c r="AT1089" s="33">
        <v>0.60399999999999998</v>
      </c>
      <c r="AU1089" s="40">
        <v>0.39600000000000002</v>
      </c>
      <c r="AV1089">
        <v>0.65600000000000003</v>
      </c>
      <c r="AW1089" s="40">
        <v>0.34399999999999997</v>
      </c>
      <c r="AX1089">
        <v>1</v>
      </c>
      <c r="AY1089" s="18">
        <v>0</v>
      </c>
      <c r="AZ1089" t="s">
        <v>104</v>
      </c>
      <c r="BA1089" s="18" t="s">
        <v>104</v>
      </c>
      <c r="BB1089" s="18" t="s">
        <v>26</v>
      </c>
      <c r="BC1089">
        <v>1</v>
      </c>
      <c r="BD1089">
        <v>0</v>
      </c>
      <c r="BE1089">
        <v>0</v>
      </c>
      <c r="BF1089">
        <v>0</v>
      </c>
      <c r="BG1089">
        <v>0</v>
      </c>
      <c r="BH1089" s="18">
        <v>0</v>
      </c>
      <c r="BI1089">
        <v>1</v>
      </c>
      <c r="BJ1089">
        <v>0</v>
      </c>
      <c r="BK1089" s="18">
        <v>0</v>
      </c>
      <c r="BL1089">
        <v>1399.916666666667</v>
      </c>
      <c r="BM1089">
        <v>479</v>
      </c>
      <c r="BN1089" s="25">
        <v>37.5</v>
      </c>
      <c r="BO1089">
        <v>1</v>
      </c>
      <c r="BP1089">
        <v>0</v>
      </c>
      <c r="BQ1089">
        <v>0</v>
      </c>
      <c r="BR1089">
        <v>0</v>
      </c>
      <c r="BS1089">
        <v>0</v>
      </c>
      <c r="BT1089">
        <v>0</v>
      </c>
      <c r="BU1089">
        <v>0</v>
      </c>
      <c r="BV1089" s="18">
        <v>0</v>
      </c>
      <c r="BW1089">
        <v>0</v>
      </c>
      <c r="BX1089">
        <v>0</v>
      </c>
      <c r="BY1089">
        <v>1</v>
      </c>
      <c r="BZ1089" s="18">
        <v>0</v>
      </c>
      <c r="CA1089">
        <v>0</v>
      </c>
      <c r="CB1089">
        <v>0</v>
      </c>
      <c r="CC1089">
        <v>0</v>
      </c>
      <c r="CD1089">
        <v>0</v>
      </c>
      <c r="CE1089">
        <v>0</v>
      </c>
      <c r="CF1089" s="18">
        <v>0</v>
      </c>
      <c r="CG1089">
        <v>0</v>
      </c>
      <c r="CH1089">
        <v>0</v>
      </c>
      <c r="CI1089">
        <v>1</v>
      </c>
      <c r="CJ1089">
        <v>1</v>
      </c>
      <c r="CK1089">
        <v>0</v>
      </c>
      <c r="CL1089">
        <v>0</v>
      </c>
      <c r="CM1089">
        <v>0</v>
      </c>
      <c r="CN1089">
        <v>0</v>
      </c>
      <c r="CO1089">
        <v>0</v>
      </c>
      <c r="CP1089">
        <v>0</v>
      </c>
      <c r="CQ1089" s="18">
        <v>0</v>
      </c>
      <c r="CR1089">
        <v>0</v>
      </c>
      <c r="CS1089">
        <v>0</v>
      </c>
      <c r="CT1089">
        <v>0</v>
      </c>
      <c r="CU1089">
        <v>1</v>
      </c>
      <c r="CV1089">
        <v>9</v>
      </c>
      <c r="DB1089" s="34"/>
    </row>
    <row r="1090" spans="1:106" x14ac:dyDescent="0.25">
      <c r="A1090">
        <v>1089</v>
      </c>
      <c r="B1090">
        <v>72</v>
      </c>
      <c r="C1090" s="25" t="s">
        <v>4186</v>
      </c>
      <c r="D1090" s="12">
        <v>6.24</v>
      </c>
      <c r="E1090" s="14">
        <v>0.73</v>
      </c>
      <c r="F1090" s="7">
        <f t="shared" si="308"/>
        <v>8.5479452054794525</v>
      </c>
      <c r="G1090" s="7">
        <f t="shared" ref="G1090:G1116" si="309">D1090-E1090</f>
        <v>5.51</v>
      </c>
      <c r="H1090" s="16">
        <f t="shared" ref="H1090:H1116" si="310">D1090+E1090</f>
        <v>6.9700000000000006</v>
      </c>
      <c r="I1090" s="11">
        <f t="shared" ref="I1090:I1116" si="311">IFERROR(F1090/SQRT(F1090^2+W1090), "X")</f>
        <v>0.17569379367320767</v>
      </c>
      <c r="J1090" s="33">
        <f t="shared" ref="J1090:J1116" si="312">IFERROR(SQRT((1-I1090^2)/W1090), "X")</f>
        <v>2.0553921375231026E-2</v>
      </c>
      <c r="K1090" s="33">
        <f t="shared" ref="K1090:K1116" si="313">IFERROR(1/J1090, "X")</f>
        <v>48.652516556041363</v>
      </c>
      <c r="L1090" s="33">
        <f t="shared" ref="L1090:L1116" si="314">IFERROR(I1090-J1090, "X")</f>
        <v>0.15513987229797666</v>
      </c>
      <c r="M1090" s="33">
        <f t="shared" ref="M1090:M1116" si="315">IFERROR(I1090+J1090, "X")</f>
        <v>0.19624771504843869</v>
      </c>
      <c r="N1090" s="8">
        <v>1</v>
      </c>
      <c r="O1090" s="9">
        <v>0</v>
      </c>
      <c r="P1090" s="8">
        <v>0</v>
      </c>
      <c r="Q1090" s="9">
        <v>0</v>
      </c>
      <c r="R1090" s="9">
        <v>0</v>
      </c>
      <c r="S1090" s="9">
        <v>1</v>
      </c>
      <c r="T1090" s="9">
        <v>0</v>
      </c>
      <c r="U1090" s="8">
        <v>2302</v>
      </c>
      <c r="V1090" s="9">
        <v>7</v>
      </c>
      <c r="W1090" s="9">
        <f t="shared" ref="W1090:W1116" si="316">U1090-V1090-1</f>
        <v>2294</v>
      </c>
      <c r="X1090" s="9">
        <f t="shared" ref="X1090:X1116" si="317">COUNTIF(B:B,B1090)</f>
        <v>10</v>
      </c>
      <c r="Y1090" s="7">
        <v>10.6</v>
      </c>
      <c r="Z1090" s="7">
        <v>12.6</v>
      </c>
      <c r="AA1090" s="9">
        <v>1</v>
      </c>
      <c r="AB1090" s="9">
        <v>0</v>
      </c>
      <c r="AC1090" s="9">
        <v>1</v>
      </c>
      <c r="AD1090" s="9">
        <v>0</v>
      </c>
      <c r="AE1090" s="9">
        <v>0</v>
      </c>
      <c r="AF1090" s="9">
        <v>0</v>
      </c>
      <c r="AG1090" s="8">
        <v>0</v>
      </c>
      <c r="AH1090" s="9">
        <v>1</v>
      </c>
      <c r="AI1090" s="30">
        <v>0</v>
      </c>
      <c r="AJ1090" s="9">
        <v>1</v>
      </c>
      <c r="AK1090" s="30">
        <v>0</v>
      </c>
      <c r="AL1090" s="21">
        <v>2001</v>
      </c>
      <c r="AM1090" s="23">
        <f t="shared" ref="AM1090:AM1116" si="318">LN(AL1090)</f>
        <v>7.6014023345837334</v>
      </c>
      <c r="AN1090" s="33" t="s">
        <v>104</v>
      </c>
      <c r="AO1090" s="33" t="s">
        <v>104</v>
      </c>
      <c r="AP1090" s="33" t="s">
        <v>104</v>
      </c>
      <c r="AQ1090" s="43" t="s">
        <v>104</v>
      </c>
      <c r="AR1090" s="42" t="s">
        <v>104</v>
      </c>
      <c r="AS1090" s="18" t="s">
        <v>104</v>
      </c>
      <c r="AT1090" s="33">
        <v>0.60399999999999998</v>
      </c>
      <c r="AU1090" s="40">
        <v>0.39600000000000002</v>
      </c>
      <c r="AV1090">
        <v>0.65600000000000003</v>
      </c>
      <c r="AW1090" s="40">
        <v>0.34399999999999997</v>
      </c>
      <c r="AX1090">
        <v>1</v>
      </c>
      <c r="AY1090" s="18">
        <v>0</v>
      </c>
      <c r="AZ1090" t="s">
        <v>104</v>
      </c>
      <c r="BA1090" s="18" t="s">
        <v>104</v>
      </c>
      <c r="BB1090" s="18" t="s">
        <v>26</v>
      </c>
      <c r="BC1090">
        <v>1</v>
      </c>
      <c r="BD1090">
        <v>0</v>
      </c>
      <c r="BE1090">
        <v>0</v>
      </c>
      <c r="BF1090">
        <v>0</v>
      </c>
      <c r="BG1090">
        <v>0</v>
      </c>
      <c r="BH1090" s="18">
        <v>0</v>
      </c>
      <c r="BI1090">
        <v>1</v>
      </c>
      <c r="BJ1090">
        <v>0</v>
      </c>
      <c r="BK1090" s="18">
        <v>0</v>
      </c>
      <c r="BL1090">
        <v>1399.916666666667</v>
      </c>
      <c r="BM1090">
        <v>479</v>
      </c>
      <c r="BN1090" s="25">
        <v>37.5</v>
      </c>
      <c r="BO1090">
        <v>1</v>
      </c>
      <c r="BP1090">
        <v>0</v>
      </c>
      <c r="BQ1090">
        <v>0</v>
      </c>
      <c r="BR1090">
        <v>0</v>
      </c>
      <c r="BS1090">
        <v>0</v>
      </c>
      <c r="BT1090">
        <v>0</v>
      </c>
      <c r="BU1090">
        <v>0</v>
      </c>
      <c r="BV1090" s="18">
        <v>0</v>
      </c>
      <c r="BW1090">
        <v>0</v>
      </c>
      <c r="BX1090">
        <v>0</v>
      </c>
      <c r="BY1090">
        <v>1</v>
      </c>
      <c r="BZ1090" s="18">
        <v>0</v>
      </c>
      <c r="CA1090">
        <v>0</v>
      </c>
      <c r="CB1090">
        <v>0</v>
      </c>
      <c r="CC1090">
        <v>0</v>
      </c>
      <c r="CD1090">
        <v>0</v>
      </c>
      <c r="CE1090">
        <v>0</v>
      </c>
      <c r="CF1090" s="18">
        <v>0</v>
      </c>
      <c r="CG1090">
        <v>0</v>
      </c>
      <c r="CH1090">
        <v>0</v>
      </c>
      <c r="CI1090">
        <v>1</v>
      </c>
      <c r="CJ1090">
        <v>1</v>
      </c>
      <c r="CK1090">
        <v>0</v>
      </c>
      <c r="CL1090">
        <v>0</v>
      </c>
      <c r="CM1090">
        <v>0</v>
      </c>
      <c r="CN1090">
        <v>0</v>
      </c>
      <c r="CO1090">
        <v>0</v>
      </c>
      <c r="CP1090">
        <v>0</v>
      </c>
      <c r="CQ1090" s="18">
        <v>0</v>
      </c>
      <c r="CR1090">
        <v>0</v>
      </c>
      <c r="CS1090">
        <v>0</v>
      </c>
      <c r="CT1090">
        <v>0</v>
      </c>
      <c r="CU1090">
        <v>1</v>
      </c>
      <c r="CV1090">
        <v>9</v>
      </c>
      <c r="DB1090" s="34"/>
    </row>
    <row r="1091" spans="1:106" x14ac:dyDescent="0.25">
      <c r="A1091">
        <v>1090</v>
      </c>
      <c r="B1091">
        <v>73</v>
      </c>
      <c r="C1091" s="25" t="s">
        <v>4194</v>
      </c>
      <c r="D1091" s="12">
        <v>6.51</v>
      </c>
      <c r="E1091" s="14">
        <f t="shared" ref="E1091:E1102" si="319">D1091/F1091</f>
        <v>0.1207120341183015</v>
      </c>
      <c r="F1091" s="7">
        <v>53.93</v>
      </c>
      <c r="G1091" s="7">
        <f t="shared" si="309"/>
        <v>6.3892879658816986</v>
      </c>
      <c r="H1091" s="16">
        <f t="shared" si="310"/>
        <v>6.630712034118301</v>
      </c>
      <c r="I1091" s="11">
        <f t="shared" si="311"/>
        <v>0.15010208877533671</v>
      </c>
      <c r="J1091" s="33">
        <f t="shared" si="312"/>
        <v>2.7832762613635583E-3</v>
      </c>
      <c r="K1091" s="33">
        <f t="shared" si="313"/>
        <v>359.28880430650776</v>
      </c>
      <c r="L1091" s="33">
        <f t="shared" si="314"/>
        <v>0.14731881251397314</v>
      </c>
      <c r="M1091" s="33">
        <f t="shared" si="315"/>
        <v>0.15288536503670028</v>
      </c>
      <c r="N1091" s="8">
        <v>0</v>
      </c>
      <c r="O1091" s="9">
        <v>1</v>
      </c>
      <c r="P1091" s="8">
        <v>0</v>
      </c>
      <c r="Q1091" s="9">
        <v>0</v>
      </c>
      <c r="R1091" s="9">
        <v>0</v>
      </c>
      <c r="S1091" s="9">
        <v>1</v>
      </c>
      <c r="T1091" s="9">
        <v>0</v>
      </c>
      <c r="U1091" s="8">
        <v>126199</v>
      </c>
      <c r="V1091" s="9">
        <v>18</v>
      </c>
      <c r="W1091" s="9">
        <f t="shared" si="316"/>
        <v>126180</v>
      </c>
      <c r="X1091" s="9">
        <f t="shared" si="317"/>
        <v>12</v>
      </c>
      <c r="Y1091" s="7">
        <v>13.03</v>
      </c>
      <c r="Z1091" s="7">
        <v>21.71</v>
      </c>
      <c r="AA1091" s="9">
        <v>1</v>
      </c>
      <c r="AB1091" s="9">
        <v>0</v>
      </c>
      <c r="AC1091" s="9">
        <v>1</v>
      </c>
      <c r="AD1091" s="9">
        <v>0</v>
      </c>
      <c r="AE1091" s="9">
        <v>0</v>
      </c>
      <c r="AF1091" s="9">
        <v>0</v>
      </c>
      <c r="AG1091" s="8">
        <v>0</v>
      </c>
      <c r="AH1091" s="9">
        <v>1</v>
      </c>
      <c r="AI1091" s="30">
        <v>0</v>
      </c>
      <c r="AJ1091" s="9">
        <v>0</v>
      </c>
      <c r="AK1091" s="30">
        <v>1</v>
      </c>
      <c r="AL1091" s="21">
        <v>2010</v>
      </c>
      <c r="AM1091" s="23">
        <f t="shared" si="318"/>
        <v>7.6058900010531216</v>
      </c>
      <c r="AN1091" s="33">
        <v>7.0000000000000001E-3</v>
      </c>
      <c r="AO1091" s="33">
        <v>8.5999999999999993E-2</v>
      </c>
      <c r="AP1091" s="33">
        <f t="shared" ref="AP1091:AP1102" si="320">1-AN1091-AO1091-AQ1091</f>
        <v>0.65700000000000003</v>
      </c>
      <c r="AQ1091" s="43">
        <v>0.25</v>
      </c>
      <c r="AR1091" s="42" t="s">
        <v>104</v>
      </c>
      <c r="AS1091" s="18" t="s">
        <v>104</v>
      </c>
      <c r="AT1091" s="33">
        <v>0.50949999999999995</v>
      </c>
      <c r="AU1091" s="40">
        <f>1-AT1091</f>
        <v>0.49050000000000005</v>
      </c>
      <c r="AV1091">
        <v>0.81699999999999995</v>
      </c>
      <c r="AW1091" s="40">
        <v>0.183</v>
      </c>
      <c r="AX1091">
        <v>0</v>
      </c>
      <c r="AY1091" s="18">
        <v>1</v>
      </c>
      <c r="AZ1091">
        <v>0.105</v>
      </c>
      <c r="BA1091" s="18">
        <v>0.89500000000000002</v>
      </c>
      <c r="BB1091" s="18" t="s">
        <v>2</v>
      </c>
      <c r="BC1091">
        <v>1</v>
      </c>
      <c r="BD1091">
        <v>0</v>
      </c>
      <c r="BE1091">
        <v>0</v>
      </c>
      <c r="BF1091">
        <v>0</v>
      </c>
      <c r="BG1091">
        <v>0</v>
      </c>
      <c r="BH1091" s="18">
        <v>0</v>
      </c>
      <c r="BI1091">
        <v>1</v>
      </c>
      <c r="BJ1091">
        <v>0</v>
      </c>
      <c r="BK1091" s="18">
        <v>0</v>
      </c>
      <c r="BL1091">
        <v>2538.666666666667</v>
      </c>
      <c r="BM1091">
        <v>1600</v>
      </c>
      <c r="BN1091" s="25">
        <v>42.22</v>
      </c>
      <c r="BO1091">
        <v>1</v>
      </c>
      <c r="BP1091">
        <v>0</v>
      </c>
      <c r="BQ1091">
        <v>0</v>
      </c>
      <c r="BR1091">
        <v>0</v>
      </c>
      <c r="BS1091">
        <v>0</v>
      </c>
      <c r="BT1091">
        <v>0</v>
      </c>
      <c r="BU1091">
        <v>0</v>
      </c>
      <c r="BV1091" s="18">
        <v>0</v>
      </c>
      <c r="BW1091">
        <v>0</v>
      </c>
      <c r="BX1091">
        <v>0</v>
      </c>
      <c r="BY1091">
        <v>1</v>
      </c>
      <c r="BZ1091" s="18">
        <v>0</v>
      </c>
      <c r="CA1091">
        <v>0</v>
      </c>
      <c r="CB1091">
        <v>0</v>
      </c>
      <c r="CC1091">
        <v>0</v>
      </c>
      <c r="CD1091">
        <v>0</v>
      </c>
      <c r="CE1091">
        <v>0</v>
      </c>
      <c r="CF1091" s="18">
        <v>0</v>
      </c>
      <c r="CG1091">
        <v>1</v>
      </c>
      <c r="CH1091">
        <v>1</v>
      </c>
      <c r="CI1091">
        <v>1</v>
      </c>
      <c r="CJ1091">
        <v>1</v>
      </c>
      <c r="CK1091">
        <v>1</v>
      </c>
      <c r="CL1091">
        <v>1</v>
      </c>
      <c r="CM1091">
        <v>1</v>
      </c>
      <c r="CN1091">
        <v>1</v>
      </c>
      <c r="CO1091">
        <v>0</v>
      </c>
      <c r="CP1091">
        <v>0</v>
      </c>
      <c r="CQ1091" s="18">
        <v>1</v>
      </c>
      <c r="CR1091">
        <v>2.9000000000000001E-2</v>
      </c>
      <c r="CS1091">
        <v>0</v>
      </c>
      <c r="CT1091">
        <v>1</v>
      </c>
      <c r="CU1091">
        <v>0</v>
      </c>
      <c r="CV1091">
        <v>26</v>
      </c>
      <c r="DB1091" s="34"/>
    </row>
    <row r="1092" spans="1:106" x14ac:dyDescent="0.25">
      <c r="A1092">
        <v>1091</v>
      </c>
      <c r="B1092">
        <v>73</v>
      </c>
      <c r="C1092" s="25" t="s">
        <v>4194</v>
      </c>
      <c r="D1092" s="12">
        <v>5.52</v>
      </c>
      <c r="E1092" s="14">
        <f t="shared" si="319"/>
        <v>0.1047637122793699</v>
      </c>
      <c r="F1092" s="7">
        <v>52.69</v>
      </c>
      <c r="G1092" s="7">
        <f t="shared" si="309"/>
        <v>5.4152362877206297</v>
      </c>
      <c r="H1092" s="16">
        <f t="shared" si="310"/>
        <v>5.6247637122793694</v>
      </c>
      <c r="I1092" s="11">
        <f t="shared" si="311"/>
        <v>0.14672598179695628</v>
      </c>
      <c r="J1092" s="33">
        <f t="shared" si="312"/>
        <v>2.7847026342181871E-3</v>
      </c>
      <c r="K1092" s="33">
        <f t="shared" si="313"/>
        <v>359.10477036653242</v>
      </c>
      <c r="L1092" s="33">
        <f t="shared" si="314"/>
        <v>0.14394127916273811</v>
      </c>
      <c r="M1092" s="33">
        <f t="shared" si="315"/>
        <v>0.14951068443117446</v>
      </c>
      <c r="N1092" s="8">
        <v>0</v>
      </c>
      <c r="O1092" s="9">
        <v>1</v>
      </c>
      <c r="P1092" s="8">
        <v>0</v>
      </c>
      <c r="Q1092" s="9">
        <v>0</v>
      </c>
      <c r="R1092" s="9">
        <v>0</v>
      </c>
      <c r="S1092" s="9">
        <v>1</v>
      </c>
      <c r="T1092" s="9">
        <v>0</v>
      </c>
      <c r="U1092" s="8">
        <v>126199</v>
      </c>
      <c r="V1092" s="9">
        <v>18</v>
      </c>
      <c r="W1092" s="9">
        <f t="shared" si="316"/>
        <v>126180</v>
      </c>
      <c r="X1092" s="9">
        <f t="shared" si="317"/>
        <v>12</v>
      </c>
      <c r="Y1092" s="7">
        <v>13.43</v>
      </c>
      <c r="Z1092" s="7">
        <v>21.71</v>
      </c>
      <c r="AA1092" s="9">
        <v>1</v>
      </c>
      <c r="AB1092" s="9">
        <v>0</v>
      </c>
      <c r="AC1092" s="9">
        <v>1</v>
      </c>
      <c r="AD1092" s="9">
        <v>0</v>
      </c>
      <c r="AE1092" s="9">
        <v>0</v>
      </c>
      <c r="AF1092" s="9">
        <v>0</v>
      </c>
      <c r="AG1092" s="8">
        <v>0</v>
      </c>
      <c r="AH1092" s="9">
        <v>1</v>
      </c>
      <c r="AI1092" s="30">
        <v>0</v>
      </c>
      <c r="AJ1092" s="9">
        <v>0</v>
      </c>
      <c r="AK1092" s="30">
        <v>1</v>
      </c>
      <c r="AL1092" s="21">
        <v>2010</v>
      </c>
      <c r="AM1092" s="23">
        <f t="shared" si="318"/>
        <v>7.6058900010531216</v>
      </c>
      <c r="AN1092" s="33">
        <v>7.0000000000000001E-3</v>
      </c>
      <c r="AO1092" s="33">
        <v>8.5999999999999993E-2</v>
      </c>
      <c r="AP1092" s="33">
        <f t="shared" si="320"/>
        <v>0.65700000000000003</v>
      </c>
      <c r="AQ1092" s="43">
        <v>0.25</v>
      </c>
      <c r="AR1092" s="42" t="s">
        <v>104</v>
      </c>
      <c r="AS1092" s="18" t="s">
        <v>104</v>
      </c>
      <c r="AT1092" s="33">
        <v>0.50949999999999995</v>
      </c>
      <c r="AU1092" s="40">
        <f>1-AT1092</f>
        <v>0.49050000000000005</v>
      </c>
      <c r="AV1092">
        <v>0.81699999999999995</v>
      </c>
      <c r="AW1092" s="40">
        <v>0.183</v>
      </c>
      <c r="AX1092">
        <v>0</v>
      </c>
      <c r="AY1092" s="18">
        <v>1</v>
      </c>
      <c r="AZ1092">
        <v>0.105</v>
      </c>
      <c r="BA1092" s="18">
        <v>0.89500000000000002</v>
      </c>
      <c r="BB1092" s="18" t="s">
        <v>2</v>
      </c>
      <c r="BC1092">
        <v>1</v>
      </c>
      <c r="BD1092">
        <v>0</v>
      </c>
      <c r="BE1092">
        <v>0</v>
      </c>
      <c r="BF1092">
        <v>0</v>
      </c>
      <c r="BG1092">
        <v>0</v>
      </c>
      <c r="BH1092" s="18">
        <v>0</v>
      </c>
      <c r="BI1092">
        <v>1</v>
      </c>
      <c r="BJ1092">
        <v>0</v>
      </c>
      <c r="BK1092" s="18">
        <v>0</v>
      </c>
      <c r="BL1092">
        <v>2538.666666666667</v>
      </c>
      <c r="BM1092">
        <v>1600</v>
      </c>
      <c r="BN1092" s="25">
        <v>42.22</v>
      </c>
      <c r="BO1092">
        <v>1</v>
      </c>
      <c r="BP1092">
        <v>0</v>
      </c>
      <c r="BQ1092">
        <v>0</v>
      </c>
      <c r="BR1092">
        <v>0</v>
      </c>
      <c r="BS1092">
        <v>0</v>
      </c>
      <c r="BT1092">
        <v>0</v>
      </c>
      <c r="BU1092">
        <v>0</v>
      </c>
      <c r="BV1092" s="18">
        <v>0</v>
      </c>
      <c r="BW1092">
        <v>0</v>
      </c>
      <c r="BX1092">
        <v>0</v>
      </c>
      <c r="BY1092">
        <v>1</v>
      </c>
      <c r="BZ1092" s="18">
        <v>0</v>
      </c>
      <c r="CA1092">
        <v>0</v>
      </c>
      <c r="CB1092">
        <v>0</v>
      </c>
      <c r="CC1092">
        <v>0</v>
      </c>
      <c r="CD1092">
        <v>0</v>
      </c>
      <c r="CE1092">
        <v>0</v>
      </c>
      <c r="CF1092" s="18">
        <v>0</v>
      </c>
      <c r="CG1092">
        <v>1</v>
      </c>
      <c r="CH1092">
        <v>1</v>
      </c>
      <c r="CI1092">
        <v>1</v>
      </c>
      <c r="CJ1092">
        <v>1</v>
      </c>
      <c r="CK1092">
        <v>1</v>
      </c>
      <c r="CL1092">
        <v>1</v>
      </c>
      <c r="CM1092">
        <v>1</v>
      </c>
      <c r="CN1092">
        <v>1</v>
      </c>
      <c r="CO1092">
        <v>0</v>
      </c>
      <c r="CP1092">
        <v>0</v>
      </c>
      <c r="CQ1092" s="18">
        <v>1</v>
      </c>
      <c r="CR1092">
        <v>2.9000000000000001E-2</v>
      </c>
      <c r="CS1092">
        <v>0</v>
      </c>
      <c r="CT1092">
        <v>1</v>
      </c>
      <c r="CU1092">
        <v>0</v>
      </c>
      <c r="CV1092">
        <v>26</v>
      </c>
      <c r="DB1092" s="34"/>
    </row>
    <row r="1093" spans="1:106" x14ac:dyDescent="0.25">
      <c r="A1093">
        <v>1092</v>
      </c>
      <c r="B1093">
        <v>73</v>
      </c>
      <c r="C1093" s="25" t="s">
        <v>4194</v>
      </c>
      <c r="D1093" s="12">
        <v>6.47</v>
      </c>
      <c r="E1093" s="14">
        <f t="shared" si="319"/>
        <v>0.11959334565619223</v>
      </c>
      <c r="F1093" s="7">
        <v>54.1</v>
      </c>
      <c r="G1093" s="7">
        <f t="shared" si="309"/>
        <v>6.3504066543438071</v>
      </c>
      <c r="H1093" s="16">
        <f t="shared" si="310"/>
        <v>6.5895933456561924</v>
      </c>
      <c r="I1093" s="11">
        <f t="shared" si="311"/>
        <v>0.15056453589497909</v>
      </c>
      <c r="J1093" s="33">
        <f t="shared" si="312"/>
        <v>2.7830782975042344E-3</v>
      </c>
      <c r="K1093" s="33">
        <f t="shared" si="313"/>
        <v>359.31436097100266</v>
      </c>
      <c r="L1093" s="33">
        <f t="shared" si="314"/>
        <v>0.14778145759747485</v>
      </c>
      <c r="M1093" s="33">
        <f t="shared" si="315"/>
        <v>0.15334761419248333</v>
      </c>
      <c r="N1093" s="8">
        <v>0</v>
      </c>
      <c r="O1093" s="9">
        <v>1</v>
      </c>
      <c r="P1093" s="8">
        <v>0</v>
      </c>
      <c r="Q1093" s="9">
        <v>0</v>
      </c>
      <c r="R1093" s="9">
        <v>0</v>
      </c>
      <c r="S1093" s="9">
        <v>1</v>
      </c>
      <c r="T1093" s="9">
        <v>0</v>
      </c>
      <c r="U1093" s="8">
        <v>126199</v>
      </c>
      <c r="V1093" s="9">
        <v>18</v>
      </c>
      <c r="W1093" s="9">
        <f t="shared" si="316"/>
        <v>126180</v>
      </c>
      <c r="X1093" s="9">
        <f t="shared" si="317"/>
        <v>12</v>
      </c>
      <c r="Y1093" s="7">
        <v>13.43</v>
      </c>
      <c r="Z1093" s="7">
        <v>21.71</v>
      </c>
      <c r="AA1093" s="9">
        <v>1</v>
      </c>
      <c r="AB1093" s="9">
        <v>0</v>
      </c>
      <c r="AC1093" s="9">
        <v>1</v>
      </c>
      <c r="AD1093" s="9">
        <v>0</v>
      </c>
      <c r="AE1093" s="9">
        <v>0</v>
      </c>
      <c r="AF1093" s="9">
        <v>0</v>
      </c>
      <c r="AG1093" s="8">
        <v>0</v>
      </c>
      <c r="AH1093" s="9">
        <v>1</v>
      </c>
      <c r="AI1093" s="30">
        <v>0</v>
      </c>
      <c r="AJ1093" s="9">
        <v>0</v>
      </c>
      <c r="AK1093" s="30">
        <v>1</v>
      </c>
      <c r="AL1093" s="21">
        <v>2010</v>
      </c>
      <c r="AM1093" s="23">
        <f t="shared" si="318"/>
        <v>7.6058900010531216</v>
      </c>
      <c r="AN1093" s="33">
        <v>7.0000000000000001E-3</v>
      </c>
      <c r="AO1093" s="33">
        <v>8.5999999999999993E-2</v>
      </c>
      <c r="AP1093" s="33">
        <f t="shared" si="320"/>
        <v>0.65700000000000003</v>
      </c>
      <c r="AQ1093" s="43">
        <v>0.25</v>
      </c>
      <c r="AR1093" s="42" t="s">
        <v>104</v>
      </c>
      <c r="AS1093" s="18" t="s">
        <v>104</v>
      </c>
      <c r="AT1093" s="33">
        <v>0.50949999999999995</v>
      </c>
      <c r="AU1093" s="40">
        <f>1-AT1093</f>
        <v>0.49050000000000005</v>
      </c>
      <c r="AV1093">
        <v>0.81699999999999995</v>
      </c>
      <c r="AW1093" s="40">
        <v>0.183</v>
      </c>
      <c r="AX1093">
        <v>0</v>
      </c>
      <c r="AY1093" s="18">
        <v>1</v>
      </c>
      <c r="AZ1093">
        <v>0.105</v>
      </c>
      <c r="BA1093" s="18">
        <v>0.89500000000000002</v>
      </c>
      <c r="BB1093" s="18" t="s">
        <v>2</v>
      </c>
      <c r="BC1093">
        <v>1</v>
      </c>
      <c r="BD1093">
        <v>0</v>
      </c>
      <c r="BE1093">
        <v>0</v>
      </c>
      <c r="BF1093">
        <v>0</v>
      </c>
      <c r="BG1093">
        <v>0</v>
      </c>
      <c r="BH1093" s="18">
        <v>0</v>
      </c>
      <c r="BI1093">
        <v>1</v>
      </c>
      <c r="BJ1093">
        <v>0</v>
      </c>
      <c r="BK1093" s="18">
        <v>0</v>
      </c>
      <c r="BL1093">
        <v>2538.666666666667</v>
      </c>
      <c r="BM1093">
        <v>1600</v>
      </c>
      <c r="BN1093" s="25">
        <v>42.22</v>
      </c>
      <c r="BO1093">
        <v>1</v>
      </c>
      <c r="BP1093">
        <v>0</v>
      </c>
      <c r="BQ1093">
        <v>0</v>
      </c>
      <c r="BR1093">
        <v>0</v>
      </c>
      <c r="BS1093">
        <v>0</v>
      </c>
      <c r="BT1093">
        <v>0</v>
      </c>
      <c r="BU1093">
        <v>0</v>
      </c>
      <c r="BV1093" s="18">
        <v>0</v>
      </c>
      <c r="BW1093">
        <v>0</v>
      </c>
      <c r="BX1093">
        <v>0</v>
      </c>
      <c r="BY1093">
        <v>1</v>
      </c>
      <c r="BZ1093" s="18">
        <v>0</v>
      </c>
      <c r="CA1093">
        <v>0</v>
      </c>
      <c r="CB1093">
        <v>0</v>
      </c>
      <c r="CC1093">
        <v>0</v>
      </c>
      <c r="CD1093">
        <v>0</v>
      </c>
      <c r="CE1093">
        <v>0</v>
      </c>
      <c r="CF1093" s="18">
        <v>0</v>
      </c>
      <c r="CG1093">
        <v>1</v>
      </c>
      <c r="CH1093">
        <v>1</v>
      </c>
      <c r="CI1093">
        <v>1</v>
      </c>
      <c r="CJ1093">
        <v>1</v>
      </c>
      <c r="CK1093">
        <v>1</v>
      </c>
      <c r="CL1093">
        <v>1</v>
      </c>
      <c r="CM1093">
        <v>1</v>
      </c>
      <c r="CN1093">
        <v>1</v>
      </c>
      <c r="CO1093">
        <v>0</v>
      </c>
      <c r="CP1093">
        <v>0</v>
      </c>
      <c r="CQ1093" s="18">
        <v>1</v>
      </c>
      <c r="CR1093">
        <v>2.9000000000000001E-2</v>
      </c>
      <c r="CS1093">
        <v>0</v>
      </c>
      <c r="CT1093">
        <v>1</v>
      </c>
      <c r="CU1093">
        <v>0</v>
      </c>
      <c r="CV1093">
        <v>26</v>
      </c>
      <c r="DB1093" s="34"/>
    </row>
    <row r="1094" spans="1:106" x14ac:dyDescent="0.25">
      <c r="A1094">
        <v>1093</v>
      </c>
      <c r="B1094">
        <v>73</v>
      </c>
      <c r="C1094" s="25" t="s">
        <v>4194</v>
      </c>
      <c r="D1094" s="12">
        <v>5.53</v>
      </c>
      <c r="E1094" s="14">
        <f t="shared" si="319"/>
        <v>0.10533333333333333</v>
      </c>
      <c r="F1094" s="7">
        <v>52.5</v>
      </c>
      <c r="G1094" s="7">
        <f t="shared" si="309"/>
        <v>5.424666666666667</v>
      </c>
      <c r="H1094" s="16">
        <f t="shared" si="310"/>
        <v>5.6353333333333335</v>
      </c>
      <c r="I1094" s="11">
        <f t="shared" si="311"/>
        <v>0.14620821867254594</v>
      </c>
      <c r="J1094" s="33">
        <f t="shared" si="312"/>
        <v>2.7849184509056366E-3</v>
      </c>
      <c r="K1094" s="33">
        <f t="shared" si="313"/>
        <v>359.07694161558186</v>
      </c>
      <c r="L1094" s="33">
        <f t="shared" si="314"/>
        <v>0.14342330022164029</v>
      </c>
      <c r="M1094" s="33">
        <f t="shared" si="315"/>
        <v>0.14899313712345158</v>
      </c>
      <c r="N1094" s="8">
        <v>0</v>
      </c>
      <c r="O1094" s="9">
        <v>1</v>
      </c>
      <c r="P1094" s="8">
        <v>0</v>
      </c>
      <c r="Q1094" s="9">
        <v>0</v>
      </c>
      <c r="R1094" s="9">
        <v>0</v>
      </c>
      <c r="S1094" s="9">
        <v>1</v>
      </c>
      <c r="T1094" s="9">
        <v>0</v>
      </c>
      <c r="U1094" s="8">
        <v>126199</v>
      </c>
      <c r="V1094" s="9">
        <v>18</v>
      </c>
      <c r="W1094" s="9">
        <f t="shared" si="316"/>
        <v>126180</v>
      </c>
      <c r="X1094" s="9">
        <f t="shared" si="317"/>
        <v>12</v>
      </c>
      <c r="Y1094" s="7">
        <v>13.43</v>
      </c>
      <c r="Z1094" s="7">
        <v>21.71</v>
      </c>
      <c r="AA1094" s="9">
        <v>1</v>
      </c>
      <c r="AB1094" s="9">
        <v>0</v>
      </c>
      <c r="AC1094" s="9">
        <v>1</v>
      </c>
      <c r="AD1094" s="9">
        <v>0</v>
      </c>
      <c r="AE1094" s="9">
        <v>0</v>
      </c>
      <c r="AF1094" s="9">
        <v>0</v>
      </c>
      <c r="AG1094" s="8">
        <v>0</v>
      </c>
      <c r="AH1094" s="9">
        <v>1</v>
      </c>
      <c r="AI1094" s="30">
        <v>0</v>
      </c>
      <c r="AJ1094" s="9">
        <v>0</v>
      </c>
      <c r="AK1094" s="30">
        <v>1</v>
      </c>
      <c r="AL1094" s="21">
        <v>2010</v>
      </c>
      <c r="AM1094" s="23">
        <f t="shared" si="318"/>
        <v>7.6058900010531216</v>
      </c>
      <c r="AN1094" s="33">
        <v>7.0000000000000001E-3</v>
      </c>
      <c r="AO1094" s="33">
        <v>8.5999999999999993E-2</v>
      </c>
      <c r="AP1094" s="33">
        <f t="shared" si="320"/>
        <v>0.65700000000000003</v>
      </c>
      <c r="AQ1094" s="43">
        <v>0.25</v>
      </c>
      <c r="AR1094" s="42" t="s">
        <v>104</v>
      </c>
      <c r="AS1094" s="18" t="s">
        <v>104</v>
      </c>
      <c r="AT1094" s="33">
        <v>0.50949999999999995</v>
      </c>
      <c r="AU1094" s="40">
        <f>1-AT1094</f>
        <v>0.49050000000000005</v>
      </c>
      <c r="AV1094">
        <v>0.81699999999999995</v>
      </c>
      <c r="AW1094" s="40">
        <v>0.183</v>
      </c>
      <c r="AX1094">
        <v>0</v>
      </c>
      <c r="AY1094" s="18">
        <v>1</v>
      </c>
      <c r="AZ1094">
        <v>0.105</v>
      </c>
      <c r="BA1094" s="18">
        <v>0.89500000000000002</v>
      </c>
      <c r="BB1094" s="18" t="s">
        <v>2</v>
      </c>
      <c r="BC1094">
        <v>1</v>
      </c>
      <c r="BD1094">
        <v>0</v>
      </c>
      <c r="BE1094">
        <v>0</v>
      </c>
      <c r="BF1094">
        <v>0</v>
      </c>
      <c r="BG1094">
        <v>0</v>
      </c>
      <c r="BH1094" s="18">
        <v>0</v>
      </c>
      <c r="BI1094">
        <v>1</v>
      </c>
      <c r="BJ1094">
        <v>0</v>
      </c>
      <c r="BK1094" s="18">
        <v>0</v>
      </c>
      <c r="BL1094">
        <v>2538.666666666667</v>
      </c>
      <c r="BM1094">
        <v>1600</v>
      </c>
      <c r="BN1094" s="25">
        <v>42.22</v>
      </c>
      <c r="BO1094">
        <v>1</v>
      </c>
      <c r="BP1094">
        <v>0</v>
      </c>
      <c r="BQ1094">
        <v>0</v>
      </c>
      <c r="BR1094">
        <v>0</v>
      </c>
      <c r="BS1094">
        <v>0</v>
      </c>
      <c r="BT1094">
        <v>0</v>
      </c>
      <c r="BU1094">
        <v>0</v>
      </c>
      <c r="BV1094" s="18">
        <v>0</v>
      </c>
      <c r="BW1094">
        <v>0</v>
      </c>
      <c r="BX1094">
        <v>0</v>
      </c>
      <c r="BY1094">
        <v>1</v>
      </c>
      <c r="BZ1094" s="18">
        <v>0</v>
      </c>
      <c r="CA1094">
        <v>0</v>
      </c>
      <c r="CB1094">
        <v>0</v>
      </c>
      <c r="CC1094">
        <v>0</v>
      </c>
      <c r="CD1094">
        <v>0</v>
      </c>
      <c r="CE1094">
        <v>0</v>
      </c>
      <c r="CF1094" s="18">
        <v>0</v>
      </c>
      <c r="CG1094">
        <v>1</v>
      </c>
      <c r="CH1094">
        <v>1</v>
      </c>
      <c r="CI1094">
        <v>1</v>
      </c>
      <c r="CJ1094">
        <v>1</v>
      </c>
      <c r="CK1094">
        <v>1</v>
      </c>
      <c r="CL1094">
        <v>1</v>
      </c>
      <c r="CM1094">
        <v>1</v>
      </c>
      <c r="CN1094">
        <v>1</v>
      </c>
      <c r="CO1094">
        <v>0</v>
      </c>
      <c r="CP1094">
        <v>0</v>
      </c>
      <c r="CQ1094" s="18">
        <v>1</v>
      </c>
      <c r="CR1094">
        <v>2.9000000000000001E-2</v>
      </c>
      <c r="CS1094">
        <v>0</v>
      </c>
      <c r="CT1094">
        <v>1</v>
      </c>
      <c r="CU1094">
        <v>0</v>
      </c>
      <c r="CV1094">
        <v>26</v>
      </c>
      <c r="DB1094" s="34"/>
    </row>
    <row r="1095" spans="1:106" x14ac:dyDescent="0.25">
      <c r="A1095">
        <v>1094</v>
      </c>
      <c r="B1095">
        <v>73</v>
      </c>
      <c r="C1095" s="25" t="s">
        <v>4194</v>
      </c>
      <c r="D1095" s="12">
        <v>6.47</v>
      </c>
      <c r="E1095" s="14">
        <f t="shared" si="319"/>
        <v>0.18683222639330058</v>
      </c>
      <c r="F1095" s="7">
        <v>34.630000000000003</v>
      </c>
      <c r="G1095" s="7">
        <f t="shared" si="309"/>
        <v>6.2831677736066993</v>
      </c>
      <c r="H1095" s="16">
        <f t="shared" si="310"/>
        <v>6.6568322263933002</v>
      </c>
      <c r="I1095" s="11">
        <f t="shared" si="311"/>
        <v>0.13532895810771067</v>
      </c>
      <c r="J1095" s="33">
        <f t="shared" si="312"/>
        <v>3.9078532517386848E-3</v>
      </c>
      <c r="K1095" s="33">
        <f t="shared" si="313"/>
        <v>255.89497240078791</v>
      </c>
      <c r="L1095" s="33">
        <f t="shared" si="314"/>
        <v>0.131421104855972</v>
      </c>
      <c r="M1095" s="33">
        <f t="shared" si="315"/>
        <v>0.13923681135944935</v>
      </c>
      <c r="N1095" s="8">
        <v>0</v>
      </c>
      <c r="O1095" s="9">
        <v>1</v>
      </c>
      <c r="P1095" s="8">
        <v>0</v>
      </c>
      <c r="Q1095" s="9">
        <v>0</v>
      </c>
      <c r="R1095" s="9">
        <v>0</v>
      </c>
      <c r="S1095" s="9">
        <v>1</v>
      </c>
      <c r="T1095" s="9">
        <v>0</v>
      </c>
      <c r="U1095" s="8">
        <v>64302</v>
      </c>
      <c r="V1095" s="9">
        <v>18</v>
      </c>
      <c r="W1095" s="9">
        <f t="shared" si="316"/>
        <v>64283</v>
      </c>
      <c r="X1095" s="9">
        <f t="shared" si="317"/>
        <v>12</v>
      </c>
      <c r="Y1095" s="7">
        <v>13.03</v>
      </c>
      <c r="Z1095" s="7">
        <v>21.71</v>
      </c>
      <c r="AA1095" s="9">
        <v>1</v>
      </c>
      <c r="AB1095" s="9">
        <v>0</v>
      </c>
      <c r="AC1095" s="9">
        <v>1</v>
      </c>
      <c r="AD1095" s="9">
        <v>0</v>
      </c>
      <c r="AE1095" s="9">
        <v>0</v>
      </c>
      <c r="AF1095" s="9">
        <v>0</v>
      </c>
      <c r="AG1095" s="8">
        <v>0</v>
      </c>
      <c r="AH1095" s="9">
        <v>1</v>
      </c>
      <c r="AI1095" s="30">
        <v>0</v>
      </c>
      <c r="AJ1095" s="9">
        <v>0</v>
      </c>
      <c r="AK1095" s="30">
        <v>1</v>
      </c>
      <c r="AL1095" s="21">
        <v>2010</v>
      </c>
      <c r="AM1095" s="23">
        <f t="shared" si="318"/>
        <v>7.6058900010531216</v>
      </c>
      <c r="AN1095" s="33">
        <v>7.0000000000000001E-3</v>
      </c>
      <c r="AO1095" s="33">
        <v>8.5999999999999993E-2</v>
      </c>
      <c r="AP1095" s="33">
        <f t="shared" si="320"/>
        <v>0.65700000000000003</v>
      </c>
      <c r="AQ1095" s="43">
        <v>0.25</v>
      </c>
      <c r="AR1095" s="42" t="s">
        <v>104</v>
      </c>
      <c r="AS1095" s="18" t="s">
        <v>104</v>
      </c>
      <c r="AT1095">
        <v>1</v>
      </c>
      <c r="AU1095" s="40">
        <v>0</v>
      </c>
      <c r="AV1095">
        <v>0.81699999999999995</v>
      </c>
      <c r="AW1095" s="40">
        <v>0.183</v>
      </c>
      <c r="AX1095">
        <v>0</v>
      </c>
      <c r="AY1095" s="18">
        <v>1</v>
      </c>
      <c r="AZ1095">
        <v>0.105</v>
      </c>
      <c r="BA1095" s="18">
        <v>0.89500000000000002</v>
      </c>
      <c r="BB1095" s="18" t="s">
        <v>2</v>
      </c>
      <c r="BC1095">
        <v>1</v>
      </c>
      <c r="BD1095">
        <v>0</v>
      </c>
      <c r="BE1095">
        <v>0</v>
      </c>
      <c r="BF1095">
        <v>0</v>
      </c>
      <c r="BG1095">
        <v>0</v>
      </c>
      <c r="BH1095" s="18">
        <v>0</v>
      </c>
      <c r="BI1095">
        <v>1</v>
      </c>
      <c r="BJ1095">
        <v>0</v>
      </c>
      <c r="BK1095" s="18">
        <v>0</v>
      </c>
      <c r="BL1095">
        <v>2538.666666666667</v>
      </c>
      <c r="BM1095">
        <v>1600</v>
      </c>
      <c r="BN1095" s="25">
        <v>42.22</v>
      </c>
      <c r="BO1095">
        <v>1</v>
      </c>
      <c r="BP1095">
        <v>0</v>
      </c>
      <c r="BQ1095">
        <v>0</v>
      </c>
      <c r="BR1095">
        <v>0</v>
      </c>
      <c r="BS1095">
        <v>0</v>
      </c>
      <c r="BT1095">
        <v>0</v>
      </c>
      <c r="BU1095">
        <v>0</v>
      </c>
      <c r="BV1095" s="18">
        <v>0</v>
      </c>
      <c r="BW1095">
        <v>0</v>
      </c>
      <c r="BX1095">
        <v>0</v>
      </c>
      <c r="BY1095">
        <v>1</v>
      </c>
      <c r="BZ1095" s="18">
        <v>0</v>
      </c>
      <c r="CA1095">
        <v>0</v>
      </c>
      <c r="CB1095">
        <v>0</v>
      </c>
      <c r="CC1095">
        <v>0</v>
      </c>
      <c r="CD1095">
        <v>0</v>
      </c>
      <c r="CE1095">
        <v>0</v>
      </c>
      <c r="CF1095" s="18">
        <v>0</v>
      </c>
      <c r="CG1095">
        <v>1</v>
      </c>
      <c r="CH1095">
        <v>1</v>
      </c>
      <c r="CI1095">
        <v>1</v>
      </c>
      <c r="CJ1095">
        <v>1</v>
      </c>
      <c r="CK1095">
        <v>1</v>
      </c>
      <c r="CL1095">
        <v>1</v>
      </c>
      <c r="CM1095">
        <v>1</v>
      </c>
      <c r="CN1095">
        <v>1</v>
      </c>
      <c r="CO1095">
        <v>0</v>
      </c>
      <c r="CP1095">
        <v>0</v>
      </c>
      <c r="CQ1095" s="18">
        <v>1</v>
      </c>
      <c r="CR1095">
        <v>2.9000000000000001E-2</v>
      </c>
      <c r="CS1095">
        <v>0</v>
      </c>
      <c r="CT1095">
        <v>1</v>
      </c>
      <c r="CU1095">
        <v>0</v>
      </c>
      <c r="CV1095">
        <v>26</v>
      </c>
      <c r="DB1095" s="34"/>
    </row>
    <row r="1096" spans="1:106" x14ac:dyDescent="0.25">
      <c r="A1096">
        <v>1095</v>
      </c>
      <c r="B1096">
        <v>73</v>
      </c>
      <c r="C1096" s="25" t="s">
        <v>4194</v>
      </c>
      <c r="D1096" s="12">
        <v>5.39</v>
      </c>
      <c r="E1096" s="14">
        <f t="shared" si="319"/>
        <v>0.16181326928850193</v>
      </c>
      <c r="F1096" s="7">
        <v>33.31</v>
      </c>
      <c r="G1096" s="7">
        <f t="shared" si="309"/>
        <v>5.2281867307114975</v>
      </c>
      <c r="H1096" s="16">
        <f t="shared" si="310"/>
        <v>5.5518132692885018</v>
      </c>
      <c r="I1096" s="11">
        <f t="shared" si="311"/>
        <v>0.13025982064986313</v>
      </c>
      <c r="J1096" s="33">
        <f t="shared" si="312"/>
        <v>3.9105319918902167E-3</v>
      </c>
      <c r="K1096" s="33">
        <f t="shared" si="313"/>
        <v>255.71968266052579</v>
      </c>
      <c r="L1096" s="33">
        <f t="shared" si="314"/>
        <v>0.12634928865797293</v>
      </c>
      <c r="M1096" s="33">
        <f t="shared" si="315"/>
        <v>0.13417035264175334</v>
      </c>
      <c r="N1096" s="8">
        <v>0</v>
      </c>
      <c r="O1096" s="9">
        <v>1</v>
      </c>
      <c r="P1096" s="8">
        <v>0</v>
      </c>
      <c r="Q1096" s="9">
        <v>0</v>
      </c>
      <c r="R1096" s="9">
        <v>0</v>
      </c>
      <c r="S1096" s="9">
        <v>1</v>
      </c>
      <c r="T1096" s="9">
        <v>0</v>
      </c>
      <c r="U1096" s="8">
        <v>64302</v>
      </c>
      <c r="V1096" s="9">
        <v>18</v>
      </c>
      <c r="W1096" s="9">
        <f t="shared" si="316"/>
        <v>64283</v>
      </c>
      <c r="X1096" s="9">
        <f t="shared" si="317"/>
        <v>12</v>
      </c>
      <c r="Y1096" s="7">
        <v>13.43</v>
      </c>
      <c r="Z1096" s="7">
        <v>21.71</v>
      </c>
      <c r="AA1096" s="9">
        <v>1</v>
      </c>
      <c r="AB1096" s="9">
        <v>0</v>
      </c>
      <c r="AC1096" s="9">
        <v>1</v>
      </c>
      <c r="AD1096" s="9">
        <v>0</v>
      </c>
      <c r="AE1096" s="9">
        <v>0</v>
      </c>
      <c r="AF1096" s="9">
        <v>0</v>
      </c>
      <c r="AG1096" s="8">
        <v>0</v>
      </c>
      <c r="AH1096" s="9">
        <v>1</v>
      </c>
      <c r="AI1096" s="30">
        <v>0</v>
      </c>
      <c r="AJ1096" s="9">
        <v>0</v>
      </c>
      <c r="AK1096" s="30">
        <v>1</v>
      </c>
      <c r="AL1096" s="21">
        <v>2010</v>
      </c>
      <c r="AM1096" s="23">
        <f t="shared" si="318"/>
        <v>7.6058900010531216</v>
      </c>
      <c r="AN1096" s="33">
        <v>7.0000000000000001E-3</v>
      </c>
      <c r="AO1096" s="33">
        <v>8.5999999999999993E-2</v>
      </c>
      <c r="AP1096" s="33">
        <f t="shared" si="320"/>
        <v>0.65700000000000003</v>
      </c>
      <c r="AQ1096" s="43">
        <v>0.25</v>
      </c>
      <c r="AR1096" s="42" t="s">
        <v>104</v>
      </c>
      <c r="AS1096" s="18" t="s">
        <v>104</v>
      </c>
      <c r="AT1096">
        <v>1</v>
      </c>
      <c r="AU1096" s="40">
        <v>0</v>
      </c>
      <c r="AV1096">
        <v>0.81699999999999995</v>
      </c>
      <c r="AW1096" s="40">
        <v>0.183</v>
      </c>
      <c r="AX1096">
        <v>0</v>
      </c>
      <c r="AY1096" s="18">
        <v>1</v>
      </c>
      <c r="AZ1096">
        <v>0.105</v>
      </c>
      <c r="BA1096" s="18">
        <v>0.89500000000000002</v>
      </c>
      <c r="BB1096" s="18" t="s">
        <v>2</v>
      </c>
      <c r="BC1096">
        <v>1</v>
      </c>
      <c r="BD1096">
        <v>0</v>
      </c>
      <c r="BE1096">
        <v>0</v>
      </c>
      <c r="BF1096">
        <v>0</v>
      </c>
      <c r="BG1096">
        <v>0</v>
      </c>
      <c r="BH1096" s="18">
        <v>0</v>
      </c>
      <c r="BI1096">
        <v>1</v>
      </c>
      <c r="BJ1096">
        <v>0</v>
      </c>
      <c r="BK1096" s="18">
        <v>0</v>
      </c>
      <c r="BL1096">
        <v>2538.666666666667</v>
      </c>
      <c r="BM1096">
        <v>1600</v>
      </c>
      <c r="BN1096" s="25">
        <v>42.22</v>
      </c>
      <c r="BO1096">
        <v>1</v>
      </c>
      <c r="BP1096">
        <v>0</v>
      </c>
      <c r="BQ1096">
        <v>0</v>
      </c>
      <c r="BR1096">
        <v>0</v>
      </c>
      <c r="BS1096">
        <v>0</v>
      </c>
      <c r="BT1096">
        <v>0</v>
      </c>
      <c r="BU1096">
        <v>0</v>
      </c>
      <c r="BV1096" s="18">
        <v>0</v>
      </c>
      <c r="BW1096">
        <v>0</v>
      </c>
      <c r="BX1096">
        <v>0</v>
      </c>
      <c r="BY1096">
        <v>1</v>
      </c>
      <c r="BZ1096" s="18">
        <v>0</v>
      </c>
      <c r="CA1096">
        <v>0</v>
      </c>
      <c r="CB1096">
        <v>0</v>
      </c>
      <c r="CC1096">
        <v>0</v>
      </c>
      <c r="CD1096">
        <v>0</v>
      </c>
      <c r="CE1096">
        <v>0</v>
      </c>
      <c r="CF1096" s="18">
        <v>0</v>
      </c>
      <c r="CG1096">
        <v>1</v>
      </c>
      <c r="CH1096">
        <v>1</v>
      </c>
      <c r="CI1096">
        <v>1</v>
      </c>
      <c r="CJ1096">
        <v>1</v>
      </c>
      <c r="CK1096">
        <v>1</v>
      </c>
      <c r="CL1096">
        <v>1</v>
      </c>
      <c r="CM1096">
        <v>1</v>
      </c>
      <c r="CN1096">
        <v>1</v>
      </c>
      <c r="CO1096">
        <v>0</v>
      </c>
      <c r="CP1096">
        <v>0</v>
      </c>
      <c r="CQ1096" s="18">
        <v>1</v>
      </c>
      <c r="CR1096">
        <v>2.9000000000000001E-2</v>
      </c>
      <c r="CS1096">
        <v>0</v>
      </c>
      <c r="CT1096">
        <v>1</v>
      </c>
      <c r="CU1096">
        <v>0</v>
      </c>
      <c r="CV1096">
        <v>26</v>
      </c>
      <c r="DB1096" s="34"/>
    </row>
    <row r="1097" spans="1:106" x14ac:dyDescent="0.25">
      <c r="A1097">
        <v>1096</v>
      </c>
      <c r="B1097">
        <v>73</v>
      </c>
      <c r="C1097" s="25" t="s">
        <v>4194</v>
      </c>
      <c r="D1097" s="12">
        <v>6.51</v>
      </c>
      <c r="E1097" s="14">
        <f t="shared" si="319"/>
        <v>0.16303531179564237</v>
      </c>
      <c r="F1097" s="7">
        <v>39.93</v>
      </c>
      <c r="G1097" s="7">
        <f t="shared" si="309"/>
        <v>6.3469646882043573</v>
      </c>
      <c r="H1097" s="16">
        <f t="shared" si="310"/>
        <v>6.6730353117956422</v>
      </c>
      <c r="I1097" s="11">
        <f t="shared" si="311"/>
        <v>0.15849181301720344</v>
      </c>
      <c r="J1097" s="33">
        <f t="shared" si="312"/>
        <v>3.9692414980516764E-3</v>
      </c>
      <c r="K1097" s="33">
        <f t="shared" si="313"/>
        <v>251.93730351021861</v>
      </c>
      <c r="L1097" s="33">
        <f t="shared" si="314"/>
        <v>0.15452257151915177</v>
      </c>
      <c r="M1097" s="33">
        <f t="shared" si="315"/>
        <v>0.16246105451525511</v>
      </c>
      <c r="N1097" s="8">
        <v>0</v>
      </c>
      <c r="O1097" s="9">
        <v>1</v>
      </c>
      <c r="P1097" s="8">
        <v>0</v>
      </c>
      <c r="Q1097" s="9">
        <v>0</v>
      </c>
      <c r="R1097" s="9">
        <v>0</v>
      </c>
      <c r="S1097" s="9">
        <v>1</v>
      </c>
      <c r="T1097" s="9">
        <v>0</v>
      </c>
      <c r="U1097" s="8">
        <v>61897</v>
      </c>
      <c r="V1097" s="9">
        <v>18</v>
      </c>
      <c r="W1097" s="9">
        <f t="shared" si="316"/>
        <v>61878</v>
      </c>
      <c r="X1097" s="9">
        <f t="shared" si="317"/>
        <v>12</v>
      </c>
      <c r="Y1097" s="7">
        <v>13.03</v>
      </c>
      <c r="Z1097" s="7">
        <v>21.71</v>
      </c>
      <c r="AA1097" s="9">
        <v>1</v>
      </c>
      <c r="AB1097" s="9">
        <v>0</v>
      </c>
      <c r="AC1097" s="9">
        <v>1</v>
      </c>
      <c r="AD1097" s="9">
        <v>0</v>
      </c>
      <c r="AE1097" s="9">
        <v>0</v>
      </c>
      <c r="AF1097" s="9">
        <v>0</v>
      </c>
      <c r="AG1097" s="8">
        <v>0</v>
      </c>
      <c r="AH1097" s="9">
        <v>1</v>
      </c>
      <c r="AI1097" s="30">
        <v>0</v>
      </c>
      <c r="AJ1097" s="9">
        <v>0</v>
      </c>
      <c r="AK1097" s="30">
        <v>1</v>
      </c>
      <c r="AL1097" s="21">
        <v>2010</v>
      </c>
      <c r="AM1097" s="23">
        <f t="shared" si="318"/>
        <v>7.6058900010531216</v>
      </c>
      <c r="AN1097" s="33">
        <v>7.0000000000000001E-3</v>
      </c>
      <c r="AO1097" s="33">
        <v>8.5999999999999993E-2</v>
      </c>
      <c r="AP1097" s="33">
        <f t="shared" si="320"/>
        <v>0.65700000000000003</v>
      </c>
      <c r="AQ1097" s="43">
        <v>0.25</v>
      </c>
      <c r="AR1097" s="42" t="s">
        <v>104</v>
      </c>
      <c r="AS1097" s="18" t="s">
        <v>104</v>
      </c>
      <c r="AT1097">
        <v>0</v>
      </c>
      <c r="AU1097" s="40">
        <v>1</v>
      </c>
      <c r="AV1097">
        <v>0.81699999999999995</v>
      </c>
      <c r="AW1097" s="40">
        <v>0.183</v>
      </c>
      <c r="AX1097">
        <v>0</v>
      </c>
      <c r="AY1097" s="18">
        <v>1</v>
      </c>
      <c r="AZ1097">
        <v>0.105</v>
      </c>
      <c r="BA1097" s="18">
        <v>0.89500000000000002</v>
      </c>
      <c r="BB1097" s="18" t="s">
        <v>2</v>
      </c>
      <c r="BC1097">
        <v>1</v>
      </c>
      <c r="BD1097">
        <v>0</v>
      </c>
      <c r="BE1097">
        <v>0</v>
      </c>
      <c r="BF1097">
        <v>0</v>
      </c>
      <c r="BG1097">
        <v>0</v>
      </c>
      <c r="BH1097" s="18">
        <v>0</v>
      </c>
      <c r="BI1097">
        <v>1</v>
      </c>
      <c r="BJ1097">
        <v>0</v>
      </c>
      <c r="BK1097" s="18">
        <v>0</v>
      </c>
      <c r="BL1097">
        <v>2538.666666666667</v>
      </c>
      <c r="BM1097">
        <v>1600</v>
      </c>
      <c r="BN1097" s="25">
        <v>42.22</v>
      </c>
      <c r="BO1097">
        <v>1</v>
      </c>
      <c r="BP1097">
        <v>0</v>
      </c>
      <c r="BQ1097">
        <v>0</v>
      </c>
      <c r="BR1097">
        <v>0</v>
      </c>
      <c r="BS1097">
        <v>0</v>
      </c>
      <c r="BT1097">
        <v>0</v>
      </c>
      <c r="BU1097">
        <v>0</v>
      </c>
      <c r="BV1097" s="18">
        <v>0</v>
      </c>
      <c r="BW1097">
        <v>0</v>
      </c>
      <c r="BX1097">
        <v>0</v>
      </c>
      <c r="BY1097">
        <v>1</v>
      </c>
      <c r="BZ1097" s="18">
        <v>0</v>
      </c>
      <c r="CA1097">
        <v>0</v>
      </c>
      <c r="CB1097">
        <v>0</v>
      </c>
      <c r="CC1097">
        <v>0</v>
      </c>
      <c r="CD1097">
        <v>0</v>
      </c>
      <c r="CE1097">
        <v>0</v>
      </c>
      <c r="CF1097" s="18">
        <v>0</v>
      </c>
      <c r="CG1097">
        <v>1</v>
      </c>
      <c r="CH1097">
        <v>1</v>
      </c>
      <c r="CI1097">
        <v>1</v>
      </c>
      <c r="CJ1097">
        <v>1</v>
      </c>
      <c r="CK1097">
        <v>1</v>
      </c>
      <c r="CL1097">
        <v>1</v>
      </c>
      <c r="CM1097">
        <v>1</v>
      </c>
      <c r="CN1097">
        <v>1</v>
      </c>
      <c r="CO1097">
        <v>0</v>
      </c>
      <c r="CP1097">
        <v>0</v>
      </c>
      <c r="CQ1097" s="18">
        <v>1</v>
      </c>
      <c r="CR1097">
        <v>2.9000000000000001E-2</v>
      </c>
      <c r="CS1097">
        <v>0</v>
      </c>
      <c r="CT1097">
        <v>1</v>
      </c>
      <c r="CU1097">
        <v>0</v>
      </c>
      <c r="CV1097">
        <v>26</v>
      </c>
      <c r="DB1097" s="34"/>
    </row>
    <row r="1098" spans="1:106" x14ac:dyDescent="0.25">
      <c r="A1098">
        <v>1097</v>
      </c>
      <c r="B1098">
        <v>73</v>
      </c>
      <c r="C1098" s="25" t="s">
        <v>4194</v>
      </c>
      <c r="D1098" s="12">
        <v>5.55</v>
      </c>
      <c r="E1098" s="14">
        <f t="shared" si="319"/>
        <v>0.1410060975609756</v>
      </c>
      <c r="F1098" s="7">
        <v>39.36</v>
      </c>
      <c r="G1098" s="7">
        <f t="shared" si="309"/>
        <v>5.4089939024390246</v>
      </c>
      <c r="H1098" s="16">
        <f t="shared" si="310"/>
        <v>5.6910060975609751</v>
      </c>
      <c r="I1098" s="11">
        <f t="shared" si="311"/>
        <v>0.15628499635930793</v>
      </c>
      <c r="J1098" s="33">
        <f t="shared" si="312"/>
        <v>3.97065539530762E-3</v>
      </c>
      <c r="K1098" s="33">
        <f t="shared" si="313"/>
        <v>251.84759200754732</v>
      </c>
      <c r="L1098" s="33">
        <f t="shared" si="314"/>
        <v>0.15231434096400032</v>
      </c>
      <c r="M1098" s="33">
        <f t="shared" si="315"/>
        <v>0.16025565175461554</v>
      </c>
      <c r="N1098" s="8">
        <v>0</v>
      </c>
      <c r="O1098" s="9">
        <v>1</v>
      </c>
      <c r="P1098" s="8">
        <v>0</v>
      </c>
      <c r="Q1098" s="9">
        <v>0</v>
      </c>
      <c r="R1098" s="9">
        <v>0</v>
      </c>
      <c r="S1098" s="9">
        <v>1</v>
      </c>
      <c r="T1098" s="9">
        <v>0</v>
      </c>
      <c r="U1098" s="8">
        <v>61897</v>
      </c>
      <c r="V1098" s="9">
        <v>18</v>
      </c>
      <c r="W1098" s="9">
        <f t="shared" si="316"/>
        <v>61878</v>
      </c>
      <c r="X1098" s="9">
        <f t="shared" si="317"/>
        <v>12</v>
      </c>
      <c r="Y1098" s="7">
        <v>13.43</v>
      </c>
      <c r="Z1098" s="7">
        <v>21.71</v>
      </c>
      <c r="AA1098" s="9">
        <v>1</v>
      </c>
      <c r="AB1098" s="9">
        <v>0</v>
      </c>
      <c r="AC1098" s="9">
        <v>1</v>
      </c>
      <c r="AD1098" s="9">
        <v>0</v>
      </c>
      <c r="AE1098" s="9">
        <v>0</v>
      </c>
      <c r="AF1098" s="9">
        <v>0</v>
      </c>
      <c r="AG1098" s="8">
        <v>0</v>
      </c>
      <c r="AH1098" s="9">
        <v>1</v>
      </c>
      <c r="AI1098" s="30">
        <v>0</v>
      </c>
      <c r="AJ1098" s="9">
        <v>0</v>
      </c>
      <c r="AK1098" s="30">
        <v>1</v>
      </c>
      <c r="AL1098" s="21">
        <v>2010</v>
      </c>
      <c r="AM1098" s="23">
        <f t="shared" si="318"/>
        <v>7.6058900010531216</v>
      </c>
      <c r="AN1098" s="33">
        <v>7.0000000000000001E-3</v>
      </c>
      <c r="AO1098" s="33">
        <v>8.5999999999999993E-2</v>
      </c>
      <c r="AP1098" s="33">
        <f t="shared" si="320"/>
        <v>0.65700000000000003</v>
      </c>
      <c r="AQ1098" s="43">
        <v>0.25</v>
      </c>
      <c r="AR1098" s="42" t="s">
        <v>104</v>
      </c>
      <c r="AS1098" s="18" t="s">
        <v>104</v>
      </c>
      <c r="AT1098">
        <v>0</v>
      </c>
      <c r="AU1098" s="40">
        <v>1</v>
      </c>
      <c r="AV1098">
        <v>0.81699999999999995</v>
      </c>
      <c r="AW1098" s="40">
        <v>0.183</v>
      </c>
      <c r="AX1098">
        <v>0</v>
      </c>
      <c r="AY1098" s="18">
        <v>1</v>
      </c>
      <c r="AZ1098">
        <v>0.105</v>
      </c>
      <c r="BA1098" s="18">
        <v>0.89500000000000002</v>
      </c>
      <c r="BB1098" s="18" t="s">
        <v>2</v>
      </c>
      <c r="BC1098">
        <v>1</v>
      </c>
      <c r="BD1098">
        <v>0</v>
      </c>
      <c r="BE1098">
        <v>0</v>
      </c>
      <c r="BF1098">
        <v>0</v>
      </c>
      <c r="BG1098">
        <v>0</v>
      </c>
      <c r="BH1098" s="18">
        <v>0</v>
      </c>
      <c r="BI1098">
        <v>1</v>
      </c>
      <c r="BJ1098">
        <v>0</v>
      </c>
      <c r="BK1098" s="18">
        <v>0</v>
      </c>
      <c r="BL1098">
        <v>2538.666666666667</v>
      </c>
      <c r="BM1098">
        <v>1600</v>
      </c>
      <c r="BN1098" s="25">
        <v>42.22</v>
      </c>
      <c r="BO1098">
        <v>1</v>
      </c>
      <c r="BP1098">
        <v>0</v>
      </c>
      <c r="BQ1098">
        <v>0</v>
      </c>
      <c r="BR1098">
        <v>0</v>
      </c>
      <c r="BS1098">
        <v>0</v>
      </c>
      <c r="BT1098">
        <v>0</v>
      </c>
      <c r="BU1098">
        <v>0</v>
      </c>
      <c r="BV1098" s="18">
        <v>0</v>
      </c>
      <c r="BW1098">
        <v>0</v>
      </c>
      <c r="BX1098">
        <v>0</v>
      </c>
      <c r="BY1098">
        <v>1</v>
      </c>
      <c r="BZ1098" s="18">
        <v>0</v>
      </c>
      <c r="CA1098">
        <v>0</v>
      </c>
      <c r="CB1098">
        <v>0</v>
      </c>
      <c r="CC1098">
        <v>0</v>
      </c>
      <c r="CD1098">
        <v>0</v>
      </c>
      <c r="CE1098">
        <v>0</v>
      </c>
      <c r="CF1098" s="18">
        <v>0</v>
      </c>
      <c r="CG1098">
        <v>1</v>
      </c>
      <c r="CH1098">
        <v>1</v>
      </c>
      <c r="CI1098">
        <v>1</v>
      </c>
      <c r="CJ1098">
        <v>1</v>
      </c>
      <c r="CK1098">
        <v>1</v>
      </c>
      <c r="CL1098">
        <v>1</v>
      </c>
      <c r="CM1098">
        <v>1</v>
      </c>
      <c r="CN1098">
        <v>1</v>
      </c>
      <c r="CO1098">
        <v>0</v>
      </c>
      <c r="CP1098">
        <v>0</v>
      </c>
      <c r="CQ1098" s="18">
        <v>1</v>
      </c>
      <c r="CR1098">
        <v>2.9000000000000001E-2</v>
      </c>
      <c r="CS1098">
        <v>0</v>
      </c>
      <c r="CT1098">
        <v>1</v>
      </c>
      <c r="CU1098">
        <v>0</v>
      </c>
      <c r="CV1098">
        <v>26</v>
      </c>
      <c r="DB1098" s="34"/>
    </row>
    <row r="1099" spans="1:106" x14ac:dyDescent="0.25">
      <c r="A1099">
        <v>1098</v>
      </c>
      <c r="B1099">
        <v>73</v>
      </c>
      <c r="C1099" s="25" t="s">
        <v>4194</v>
      </c>
      <c r="D1099" s="12">
        <v>6.55</v>
      </c>
      <c r="E1099" s="14">
        <f t="shared" si="319"/>
        <v>0.14070891514500539</v>
      </c>
      <c r="F1099" s="7">
        <v>46.55</v>
      </c>
      <c r="G1099" s="7">
        <f t="shared" si="309"/>
        <v>6.4092910848549947</v>
      </c>
      <c r="H1099" s="16">
        <f t="shared" si="310"/>
        <v>6.690708915145005</v>
      </c>
      <c r="I1099" s="11">
        <f t="shared" si="311"/>
        <v>0.16672821915906277</v>
      </c>
      <c r="J1099" s="33">
        <f t="shared" si="312"/>
        <v>3.581701807928309E-3</v>
      </c>
      <c r="K1099" s="33">
        <f t="shared" si="313"/>
        <v>279.1968884138933</v>
      </c>
      <c r="L1099" s="33">
        <f t="shared" si="314"/>
        <v>0.16314651735113447</v>
      </c>
      <c r="M1099" s="33">
        <f t="shared" si="315"/>
        <v>0.17030992096699107</v>
      </c>
      <c r="N1099" s="8">
        <v>0</v>
      </c>
      <c r="O1099" s="9">
        <v>1</v>
      </c>
      <c r="P1099" s="8">
        <v>0</v>
      </c>
      <c r="Q1099" s="9">
        <v>0</v>
      </c>
      <c r="R1099" s="9">
        <v>0</v>
      </c>
      <c r="S1099" s="9">
        <v>1</v>
      </c>
      <c r="T1099" s="9">
        <v>0</v>
      </c>
      <c r="U1099" s="8">
        <v>75803</v>
      </c>
      <c r="V1099" s="9">
        <v>18</v>
      </c>
      <c r="W1099" s="9">
        <f t="shared" si="316"/>
        <v>75784</v>
      </c>
      <c r="X1099" s="9">
        <f t="shared" si="317"/>
        <v>12</v>
      </c>
      <c r="Y1099" s="7">
        <v>13.03</v>
      </c>
      <c r="Z1099" s="7">
        <v>21.71</v>
      </c>
      <c r="AA1099" s="9">
        <v>1</v>
      </c>
      <c r="AB1099" s="9">
        <v>0</v>
      </c>
      <c r="AC1099" s="9">
        <v>1</v>
      </c>
      <c r="AD1099" s="9">
        <v>0</v>
      </c>
      <c r="AE1099" s="9">
        <v>0</v>
      </c>
      <c r="AF1099" s="9">
        <v>0</v>
      </c>
      <c r="AG1099" s="8">
        <v>0</v>
      </c>
      <c r="AH1099" s="9">
        <v>1</v>
      </c>
      <c r="AI1099" s="30">
        <v>0</v>
      </c>
      <c r="AJ1099" s="9">
        <v>0</v>
      </c>
      <c r="AK1099" s="30">
        <v>1</v>
      </c>
      <c r="AL1099" s="21">
        <v>2010</v>
      </c>
      <c r="AM1099" s="23">
        <f t="shared" si="318"/>
        <v>7.6058900010531216</v>
      </c>
      <c r="AN1099" s="33">
        <v>7.0000000000000001E-3</v>
      </c>
      <c r="AO1099" s="33">
        <v>8.5999999999999993E-2</v>
      </c>
      <c r="AP1099" s="33">
        <f t="shared" si="320"/>
        <v>0.65700000000000003</v>
      </c>
      <c r="AQ1099" s="43">
        <v>0.25</v>
      </c>
      <c r="AR1099" s="42" t="s">
        <v>104</v>
      </c>
      <c r="AS1099" s="18" t="s">
        <v>104</v>
      </c>
      <c r="AT1099" s="33">
        <v>0.50949999999999995</v>
      </c>
      <c r="AU1099" s="40">
        <f t="shared" ref="AU1099:AU1116" si="321">1-AT1099</f>
        <v>0.49050000000000005</v>
      </c>
      <c r="AV1099">
        <v>0.81699999999999995</v>
      </c>
      <c r="AW1099" s="40">
        <v>0.183</v>
      </c>
      <c r="AX1099">
        <v>0</v>
      </c>
      <c r="AY1099" s="18">
        <v>1</v>
      </c>
      <c r="AZ1099">
        <v>0.105</v>
      </c>
      <c r="BA1099" s="18">
        <v>0.89500000000000002</v>
      </c>
      <c r="BB1099" s="18" t="s">
        <v>2</v>
      </c>
      <c r="BC1099">
        <v>1</v>
      </c>
      <c r="BD1099">
        <v>0</v>
      </c>
      <c r="BE1099">
        <v>0</v>
      </c>
      <c r="BF1099">
        <v>0</v>
      </c>
      <c r="BG1099">
        <v>0</v>
      </c>
      <c r="BH1099" s="18">
        <v>0</v>
      </c>
      <c r="BI1099">
        <v>1</v>
      </c>
      <c r="BJ1099">
        <v>0</v>
      </c>
      <c r="BK1099" s="18">
        <v>0</v>
      </c>
      <c r="BL1099">
        <v>2538.666666666667</v>
      </c>
      <c r="BM1099">
        <v>1600</v>
      </c>
      <c r="BN1099" s="25">
        <v>42.22</v>
      </c>
      <c r="BO1099">
        <v>1</v>
      </c>
      <c r="BP1099">
        <v>0</v>
      </c>
      <c r="BQ1099">
        <v>0</v>
      </c>
      <c r="BR1099">
        <v>0</v>
      </c>
      <c r="BS1099">
        <v>0</v>
      </c>
      <c r="BT1099">
        <v>0</v>
      </c>
      <c r="BU1099">
        <v>0</v>
      </c>
      <c r="BV1099" s="18">
        <v>0</v>
      </c>
      <c r="BW1099">
        <v>0</v>
      </c>
      <c r="BX1099">
        <v>0</v>
      </c>
      <c r="BY1099">
        <v>1</v>
      </c>
      <c r="BZ1099" s="18">
        <v>0</v>
      </c>
      <c r="CA1099">
        <v>0</v>
      </c>
      <c r="CB1099">
        <v>0</v>
      </c>
      <c r="CC1099">
        <v>0</v>
      </c>
      <c r="CD1099">
        <v>0</v>
      </c>
      <c r="CE1099">
        <v>0</v>
      </c>
      <c r="CF1099" s="18">
        <v>0</v>
      </c>
      <c r="CG1099">
        <v>1</v>
      </c>
      <c r="CH1099">
        <v>1</v>
      </c>
      <c r="CI1099">
        <v>1</v>
      </c>
      <c r="CJ1099">
        <v>1</v>
      </c>
      <c r="CK1099">
        <v>1</v>
      </c>
      <c r="CL1099">
        <v>1</v>
      </c>
      <c r="CM1099">
        <v>1</v>
      </c>
      <c r="CN1099">
        <v>1</v>
      </c>
      <c r="CO1099">
        <v>0</v>
      </c>
      <c r="CP1099">
        <v>0</v>
      </c>
      <c r="CQ1099" s="18">
        <v>1</v>
      </c>
      <c r="CR1099">
        <v>2.9000000000000001E-2</v>
      </c>
      <c r="CS1099">
        <v>0</v>
      </c>
      <c r="CT1099">
        <v>1</v>
      </c>
      <c r="CU1099">
        <v>0</v>
      </c>
      <c r="CV1099">
        <v>26</v>
      </c>
      <c r="DB1099" s="34"/>
    </row>
    <row r="1100" spans="1:106" x14ac:dyDescent="0.25">
      <c r="A1100">
        <v>1099</v>
      </c>
      <c r="B1100">
        <v>73</v>
      </c>
      <c r="C1100" s="25" t="s">
        <v>4194</v>
      </c>
      <c r="D1100" s="12">
        <v>5.61</v>
      </c>
      <c r="E1100" s="14">
        <f t="shared" si="319"/>
        <v>0.12384105960264902</v>
      </c>
      <c r="F1100" s="7">
        <v>45.3</v>
      </c>
      <c r="G1100" s="7">
        <f t="shared" si="309"/>
        <v>5.4861589403973516</v>
      </c>
      <c r="H1100" s="16">
        <f t="shared" si="310"/>
        <v>5.733841059602649</v>
      </c>
      <c r="I1100" s="11">
        <f t="shared" si="311"/>
        <v>0.16237071243156162</v>
      </c>
      <c r="J1100" s="33">
        <f t="shared" si="312"/>
        <v>3.5843424377828173E-3</v>
      </c>
      <c r="K1100" s="33">
        <f t="shared" si="313"/>
        <v>278.99120057808273</v>
      </c>
      <c r="L1100" s="33">
        <f t="shared" si="314"/>
        <v>0.15878636999377879</v>
      </c>
      <c r="M1100" s="33">
        <f t="shared" si="315"/>
        <v>0.16595505486934445</v>
      </c>
      <c r="N1100" s="8">
        <v>0</v>
      </c>
      <c r="O1100" s="9">
        <v>1</v>
      </c>
      <c r="P1100" s="8">
        <v>0</v>
      </c>
      <c r="Q1100" s="9">
        <v>0</v>
      </c>
      <c r="R1100" s="9">
        <v>0</v>
      </c>
      <c r="S1100" s="9">
        <v>1</v>
      </c>
      <c r="T1100" s="9">
        <v>0</v>
      </c>
      <c r="U1100" s="8">
        <v>75803</v>
      </c>
      <c r="V1100" s="9">
        <v>18</v>
      </c>
      <c r="W1100" s="9">
        <f t="shared" si="316"/>
        <v>75784</v>
      </c>
      <c r="X1100" s="9">
        <f t="shared" si="317"/>
        <v>12</v>
      </c>
      <c r="Y1100" s="7">
        <v>13.43</v>
      </c>
      <c r="Z1100" s="7">
        <v>21.71</v>
      </c>
      <c r="AA1100" s="9">
        <v>1</v>
      </c>
      <c r="AB1100" s="9">
        <v>0</v>
      </c>
      <c r="AC1100" s="9">
        <v>1</v>
      </c>
      <c r="AD1100" s="9">
        <v>0</v>
      </c>
      <c r="AE1100" s="9">
        <v>0</v>
      </c>
      <c r="AF1100" s="9">
        <v>0</v>
      </c>
      <c r="AG1100" s="8">
        <v>0</v>
      </c>
      <c r="AH1100" s="9">
        <v>1</v>
      </c>
      <c r="AI1100" s="30">
        <v>0</v>
      </c>
      <c r="AJ1100" s="9">
        <v>0</v>
      </c>
      <c r="AK1100" s="30">
        <v>1</v>
      </c>
      <c r="AL1100" s="21">
        <v>2010</v>
      </c>
      <c r="AM1100" s="23">
        <f t="shared" si="318"/>
        <v>7.6058900010531216</v>
      </c>
      <c r="AN1100" s="33">
        <v>7.0000000000000001E-3</v>
      </c>
      <c r="AO1100" s="33">
        <v>8.5999999999999993E-2</v>
      </c>
      <c r="AP1100" s="33">
        <f t="shared" si="320"/>
        <v>0.65700000000000003</v>
      </c>
      <c r="AQ1100" s="43">
        <v>0.25</v>
      </c>
      <c r="AR1100" s="42" t="s">
        <v>104</v>
      </c>
      <c r="AS1100" s="18" t="s">
        <v>104</v>
      </c>
      <c r="AT1100" s="33">
        <v>0.50949999999999995</v>
      </c>
      <c r="AU1100" s="40">
        <f t="shared" si="321"/>
        <v>0.49050000000000005</v>
      </c>
      <c r="AV1100">
        <v>0.81699999999999995</v>
      </c>
      <c r="AW1100" s="40">
        <v>0.183</v>
      </c>
      <c r="AX1100">
        <v>0</v>
      </c>
      <c r="AY1100" s="18">
        <v>1</v>
      </c>
      <c r="AZ1100">
        <v>0.105</v>
      </c>
      <c r="BA1100" s="18">
        <v>0.89500000000000002</v>
      </c>
      <c r="BB1100" s="18" t="s">
        <v>2</v>
      </c>
      <c r="BC1100">
        <v>1</v>
      </c>
      <c r="BD1100">
        <v>0</v>
      </c>
      <c r="BE1100">
        <v>0</v>
      </c>
      <c r="BF1100">
        <v>0</v>
      </c>
      <c r="BG1100">
        <v>0</v>
      </c>
      <c r="BH1100" s="18">
        <v>0</v>
      </c>
      <c r="BI1100">
        <v>1</v>
      </c>
      <c r="BJ1100">
        <v>0</v>
      </c>
      <c r="BK1100" s="18">
        <v>0</v>
      </c>
      <c r="BL1100">
        <v>2538.666666666667</v>
      </c>
      <c r="BM1100">
        <v>1600</v>
      </c>
      <c r="BN1100" s="25">
        <v>42.22</v>
      </c>
      <c r="BO1100">
        <v>1</v>
      </c>
      <c r="BP1100">
        <v>0</v>
      </c>
      <c r="BQ1100">
        <v>0</v>
      </c>
      <c r="BR1100">
        <v>0</v>
      </c>
      <c r="BS1100">
        <v>0</v>
      </c>
      <c r="BT1100">
        <v>0</v>
      </c>
      <c r="BU1100">
        <v>0</v>
      </c>
      <c r="BV1100" s="18">
        <v>0</v>
      </c>
      <c r="BW1100">
        <v>0</v>
      </c>
      <c r="BX1100">
        <v>0</v>
      </c>
      <c r="BY1100">
        <v>1</v>
      </c>
      <c r="BZ1100" s="18">
        <v>0</v>
      </c>
      <c r="CA1100">
        <v>0</v>
      </c>
      <c r="CB1100">
        <v>0</v>
      </c>
      <c r="CC1100">
        <v>0</v>
      </c>
      <c r="CD1100">
        <v>0</v>
      </c>
      <c r="CE1100">
        <v>0</v>
      </c>
      <c r="CF1100" s="18">
        <v>0</v>
      </c>
      <c r="CG1100">
        <v>1</v>
      </c>
      <c r="CH1100">
        <v>1</v>
      </c>
      <c r="CI1100">
        <v>1</v>
      </c>
      <c r="CJ1100">
        <v>1</v>
      </c>
      <c r="CK1100">
        <v>1</v>
      </c>
      <c r="CL1100">
        <v>1</v>
      </c>
      <c r="CM1100">
        <v>1</v>
      </c>
      <c r="CN1100">
        <v>1</v>
      </c>
      <c r="CO1100">
        <v>0</v>
      </c>
      <c r="CP1100">
        <v>0</v>
      </c>
      <c r="CQ1100" s="18">
        <v>1</v>
      </c>
      <c r="CR1100">
        <v>2.9000000000000001E-2</v>
      </c>
      <c r="CS1100">
        <v>0</v>
      </c>
      <c r="CT1100">
        <v>1</v>
      </c>
      <c r="CU1100">
        <v>0</v>
      </c>
      <c r="CV1100">
        <v>26</v>
      </c>
      <c r="DB1100" s="34"/>
    </row>
    <row r="1101" spans="1:106" x14ac:dyDescent="0.25">
      <c r="A1101">
        <v>1100</v>
      </c>
      <c r="B1101">
        <v>73</v>
      </c>
      <c r="C1101" s="25" t="s">
        <v>4194</v>
      </c>
      <c r="D1101" s="12">
        <v>6.24</v>
      </c>
      <c r="E1101" s="14">
        <f t="shared" si="319"/>
        <v>0.19734345351043645</v>
      </c>
      <c r="F1101" s="7">
        <v>31.62</v>
      </c>
      <c r="G1101" s="7">
        <f t="shared" si="309"/>
        <v>6.0426565464895639</v>
      </c>
      <c r="H1101" s="16">
        <f t="shared" si="310"/>
        <v>6.4373434535104366</v>
      </c>
      <c r="I1101" s="11">
        <f t="shared" si="311"/>
        <v>0.13950129431494229</v>
      </c>
      <c r="J1101" s="33">
        <f t="shared" si="312"/>
        <v>4.4118056393087383E-3</v>
      </c>
      <c r="K1101" s="33">
        <f t="shared" si="313"/>
        <v>226.66456361769477</v>
      </c>
      <c r="L1101" s="33">
        <f t="shared" si="314"/>
        <v>0.13508948867563356</v>
      </c>
      <c r="M1101" s="33">
        <f t="shared" si="315"/>
        <v>0.14391309995425103</v>
      </c>
      <c r="N1101" s="8">
        <v>0</v>
      </c>
      <c r="O1101" s="9">
        <v>1</v>
      </c>
      <c r="P1101" s="8">
        <v>0</v>
      </c>
      <c r="Q1101" s="9">
        <v>0</v>
      </c>
      <c r="R1101" s="9">
        <v>0</v>
      </c>
      <c r="S1101" s="9">
        <v>1</v>
      </c>
      <c r="T1101" s="9">
        <v>0</v>
      </c>
      <c r="U1101" s="8">
        <v>50396</v>
      </c>
      <c r="V1101" s="9">
        <v>18</v>
      </c>
      <c r="W1101" s="9">
        <f t="shared" si="316"/>
        <v>50377</v>
      </c>
      <c r="X1101" s="9">
        <f t="shared" si="317"/>
        <v>12</v>
      </c>
      <c r="Y1101" s="7">
        <v>13.03</v>
      </c>
      <c r="Z1101" s="7">
        <v>21.71</v>
      </c>
      <c r="AA1101" s="9">
        <v>1</v>
      </c>
      <c r="AB1101" s="9">
        <v>0</v>
      </c>
      <c r="AC1101" s="9">
        <v>1</v>
      </c>
      <c r="AD1101" s="9">
        <v>0</v>
      </c>
      <c r="AE1101" s="9">
        <v>0</v>
      </c>
      <c r="AF1101" s="9">
        <v>0</v>
      </c>
      <c r="AG1101" s="8">
        <v>0</v>
      </c>
      <c r="AH1101" s="9">
        <v>1</v>
      </c>
      <c r="AI1101" s="30">
        <v>0</v>
      </c>
      <c r="AJ1101" s="9">
        <v>0</v>
      </c>
      <c r="AK1101" s="30">
        <v>1</v>
      </c>
      <c r="AL1101" s="21">
        <v>2010</v>
      </c>
      <c r="AM1101" s="23">
        <f t="shared" si="318"/>
        <v>7.6058900010531216</v>
      </c>
      <c r="AN1101" s="33">
        <v>7.0000000000000001E-3</v>
      </c>
      <c r="AO1101" s="33">
        <v>8.5999999999999993E-2</v>
      </c>
      <c r="AP1101" s="33">
        <f t="shared" si="320"/>
        <v>0.65700000000000003</v>
      </c>
      <c r="AQ1101" s="43">
        <v>0.25</v>
      </c>
      <c r="AR1101" s="42" t="s">
        <v>104</v>
      </c>
      <c r="AS1101" s="18" t="s">
        <v>104</v>
      </c>
      <c r="AT1101" s="33">
        <v>0.50949999999999995</v>
      </c>
      <c r="AU1101" s="40">
        <f t="shared" si="321"/>
        <v>0.49050000000000005</v>
      </c>
      <c r="AV1101">
        <v>0.81699999999999995</v>
      </c>
      <c r="AW1101" s="40">
        <v>0.183</v>
      </c>
      <c r="AX1101">
        <v>0</v>
      </c>
      <c r="AY1101" s="18">
        <v>1</v>
      </c>
      <c r="AZ1101">
        <v>0.105</v>
      </c>
      <c r="BA1101" s="18">
        <v>0.89500000000000002</v>
      </c>
      <c r="BB1101" s="18" t="s">
        <v>2</v>
      </c>
      <c r="BC1101">
        <v>1</v>
      </c>
      <c r="BD1101">
        <v>0</v>
      </c>
      <c r="BE1101">
        <v>0</v>
      </c>
      <c r="BF1101">
        <v>0</v>
      </c>
      <c r="BG1101">
        <v>0</v>
      </c>
      <c r="BH1101" s="18">
        <v>0</v>
      </c>
      <c r="BI1101">
        <v>1</v>
      </c>
      <c r="BJ1101">
        <v>0</v>
      </c>
      <c r="BK1101" s="18">
        <v>0</v>
      </c>
      <c r="BL1101">
        <v>2538.666666666667</v>
      </c>
      <c r="BM1101">
        <v>1600</v>
      </c>
      <c r="BN1101" s="25">
        <v>42.22</v>
      </c>
      <c r="BO1101">
        <v>1</v>
      </c>
      <c r="BP1101">
        <v>0</v>
      </c>
      <c r="BQ1101">
        <v>0</v>
      </c>
      <c r="BR1101">
        <v>0</v>
      </c>
      <c r="BS1101">
        <v>0</v>
      </c>
      <c r="BT1101">
        <v>0</v>
      </c>
      <c r="BU1101">
        <v>0</v>
      </c>
      <c r="BV1101" s="18">
        <v>0</v>
      </c>
      <c r="BW1101">
        <v>0</v>
      </c>
      <c r="BX1101">
        <v>0</v>
      </c>
      <c r="BY1101">
        <v>1</v>
      </c>
      <c r="BZ1101" s="18">
        <v>0</v>
      </c>
      <c r="CA1101">
        <v>0</v>
      </c>
      <c r="CB1101">
        <v>0</v>
      </c>
      <c r="CC1101">
        <v>0</v>
      </c>
      <c r="CD1101">
        <v>0</v>
      </c>
      <c r="CE1101">
        <v>0</v>
      </c>
      <c r="CF1101" s="18">
        <v>0</v>
      </c>
      <c r="CG1101">
        <v>1</v>
      </c>
      <c r="CH1101">
        <v>1</v>
      </c>
      <c r="CI1101">
        <v>1</v>
      </c>
      <c r="CJ1101">
        <v>1</v>
      </c>
      <c r="CK1101">
        <v>1</v>
      </c>
      <c r="CL1101">
        <v>1</v>
      </c>
      <c r="CM1101">
        <v>1</v>
      </c>
      <c r="CN1101">
        <v>1</v>
      </c>
      <c r="CO1101">
        <v>0</v>
      </c>
      <c r="CP1101">
        <v>0</v>
      </c>
      <c r="CQ1101" s="18">
        <v>1</v>
      </c>
      <c r="CR1101">
        <v>2.9000000000000001E-2</v>
      </c>
      <c r="CS1101">
        <v>0</v>
      </c>
      <c r="CT1101">
        <v>1</v>
      </c>
      <c r="CU1101">
        <v>0</v>
      </c>
      <c r="CV1101">
        <v>26</v>
      </c>
      <c r="DB1101" s="34"/>
    </row>
    <row r="1102" spans="1:106" x14ac:dyDescent="0.25">
      <c r="A1102">
        <v>1101</v>
      </c>
      <c r="B1102">
        <v>73</v>
      </c>
      <c r="C1102" s="25" t="s">
        <v>4194</v>
      </c>
      <c r="D1102" s="12">
        <v>5.21</v>
      </c>
      <c r="E1102" s="14">
        <f t="shared" si="319"/>
        <v>0.1722883597883598</v>
      </c>
      <c r="F1102" s="7">
        <v>30.24</v>
      </c>
      <c r="G1102" s="7">
        <f t="shared" si="309"/>
        <v>5.03771164021164</v>
      </c>
      <c r="H1102" s="16">
        <f t="shared" si="310"/>
        <v>5.38228835978836</v>
      </c>
      <c r="I1102" s="11">
        <f t="shared" si="311"/>
        <v>0.13352397916259445</v>
      </c>
      <c r="J1102" s="33">
        <f t="shared" si="312"/>
        <v>4.4154755014085469E-3</v>
      </c>
      <c r="K1102" s="33">
        <f t="shared" si="313"/>
        <v>226.4761744643352</v>
      </c>
      <c r="L1102" s="33">
        <f t="shared" si="314"/>
        <v>0.1291085036611859</v>
      </c>
      <c r="M1102" s="33">
        <f t="shared" si="315"/>
        <v>0.13793945466400301</v>
      </c>
      <c r="N1102" s="8">
        <v>0</v>
      </c>
      <c r="O1102" s="9">
        <v>1</v>
      </c>
      <c r="P1102" s="8">
        <v>0</v>
      </c>
      <c r="Q1102" s="9">
        <v>0</v>
      </c>
      <c r="R1102" s="9">
        <v>0</v>
      </c>
      <c r="S1102" s="9">
        <v>1</v>
      </c>
      <c r="T1102" s="9">
        <v>0</v>
      </c>
      <c r="U1102" s="8">
        <v>50396</v>
      </c>
      <c r="V1102" s="9">
        <v>18</v>
      </c>
      <c r="W1102" s="9">
        <f t="shared" si="316"/>
        <v>50377</v>
      </c>
      <c r="X1102" s="9">
        <f t="shared" si="317"/>
        <v>12</v>
      </c>
      <c r="Y1102" s="7">
        <v>13.43</v>
      </c>
      <c r="Z1102" s="7">
        <v>21.71</v>
      </c>
      <c r="AA1102" s="9">
        <v>1</v>
      </c>
      <c r="AB1102" s="9">
        <v>0</v>
      </c>
      <c r="AC1102" s="9">
        <v>1</v>
      </c>
      <c r="AD1102" s="9">
        <v>0</v>
      </c>
      <c r="AE1102" s="9">
        <v>0</v>
      </c>
      <c r="AF1102" s="9">
        <v>0</v>
      </c>
      <c r="AG1102" s="8">
        <v>0</v>
      </c>
      <c r="AH1102" s="9">
        <v>1</v>
      </c>
      <c r="AI1102" s="30">
        <v>0</v>
      </c>
      <c r="AJ1102" s="9">
        <v>0</v>
      </c>
      <c r="AK1102" s="30">
        <v>1</v>
      </c>
      <c r="AL1102" s="21">
        <v>2010</v>
      </c>
      <c r="AM1102" s="23">
        <f t="shared" si="318"/>
        <v>7.6058900010531216</v>
      </c>
      <c r="AN1102" s="33">
        <v>7.0000000000000001E-3</v>
      </c>
      <c r="AO1102" s="33">
        <v>8.5999999999999993E-2</v>
      </c>
      <c r="AP1102" s="33">
        <f t="shared" si="320"/>
        <v>0.65700000000000003</v>
      </c>
      <c r="AQ1102" s="43">
        <v>0.25</v>
      </c>
      <c r="AR1102" s="42" t="s">
        <v>104</v>
      </c>
      <c r="AS1102" s="18" t="s">
        <v>104</v>
      </c>
      <c r="AT1102" s="33">
        <v>0.50949999999999995</v>
      </c>
      <c r="AU1102" s="40">
        <f t="shared" si="321"/>
        <v>0.49050000000000005</v>
      </c>
      <c r="AV1102">
        <v>0.81699999999999995</v>
      </c>
      <c r="AW1102" s="40">
        <v>0.183</v>
      </c>
      <c r="AX1102">
        <v>0</v>
      </c>
      <c r="AY1102" s="18">
        <v>1</v>
      </c>
      <c r="AZ1102">
        <v>0.105</v>
      </c>
      <c r="BA1102" s="18">
        <v>0.89500000000000002</v>
      </c>
      <c r="BB1102" s="18" t="s">
        <v>2</v>
      </c>
      <c r="BC1102">
        <v>1</v>
      </c>
      <c r="BD1102">
        <v>0</v>
      </c>
      <c r="BE1102">
        <v>0</v>
      </c>
      <c r="BF1102">
        <v>0</v>
      </c>
      <c r="BG1102">
        <v>0</v>
      </c>
      <c r="BH1102" s="18">
        <v>0</v>
      </c>
      <c r="BI1102">
        <v>1</v>
      </c>
      <c r="BJ1102">
        <v>0</v>
      </c>
      <c r="BK1102" s="18">
        <v>0</v>
      </c>
      <c r="BL1102">
        <v>2538.666666666667</v>
      </c>
      <c r="BM1102">
        <v>1600</v>
      </c>
      <c r="BN1102" s="25">
        <v>42.22</v>
      </c>
      <c r="BO1102">
        <v>1</v>
      </c>
      <c r="BP1102">
        <v>0</v>
      </c>
      <c r="BQ1102">
        <v>0</v>
      </c>
      <c r="BR1102">
        <v>0</v>
      </c>
      <c r="BS1102">
        <v>0</v>
      </c>
      <c r="BT1102">
        <v>0</v>
      </c>
      <c r="BU1102">
        <v>0</v>
      </c>
      <c r="BV1102" s="18">
        <v>0</v>
      </c>
      <c r="BW1102">
        <v>0</v>
      </c>
      <c r="BX1102">
        <v>0</v>
      </c>
      <c r="BY1102">
        <v>1</v>
      </c>
      <c r="BZ1102" s="18">
        <v>0</v>
      </c>
      <c r="CA1102">
        <v>0</v>
      </c>
      <c r="CB1102">
        <v>0</v>
      </c>
      <c r="CC1102">
        <v>0</v>
      </c>
      <c r="CD1102">
        <v>0</v>
      </c>
      <c r="CE1102">
        <v>0</v>
      </c>
      <c r="CF1102" s="18">
        <v>0</v>
      </c>
      <c r="CG1102">
        <v>1</v>
      </c>
      <c r="CH1102">
        <v>1</v>
      </c>
      <c r="CI1102">
        <v>1</v>
      </c>
      <c r="CJ1102">
        <v>1</v>
      </c>
      <c r="CK1102">
        <v>1</v>
      </c>
      <c r="CL1102">
        <v>1</v>
      </c>
      <c r="CM1102">
        <v>1</v>
      </c>
      <c r="CN1102">
        <v>1</v>
      </c>
      <c r="CO1102">
        <v>0</v>
      </c>
      <c r="CP1102">
        <v>0</v>
      </c>
      <c r="CQ1102" s="18">
        <v>1</v>
      </c>
      <c r="CR1102">
        <v>2.9000000000000001E-2</v>
      </c>
      <c r="CS1102">
        <v>0</v>
      </c>
      <c r="CT1102">
        <v>1</v>
      </c>
      <c r="CU1102">
        <v>0</v>
      </c>
      <c r="CV1102">
        <v>26</v>
      </c>
      <c r="DB1102" s="34"/>
    </row>
    <row r="1103" spans="1:106" x14ac:dyDescent="0.25">
      <c r="A1103">
        <v>1102</v>
      </c>
      <c r="B1103">
        <v>74</v>
      </c>
      <c r="C1103" s="25" t="s">
        <v>4203</v>
      </c>
      <c r="D1103" s="12">
        <v>7.2</v>
      </c>
      <c r="E1103" s="14">
        <v>0.6</v>
      </c>
      <c r="F1103" s="7">
        <f t="shared" ref="F1103:F1116" si="322">D1103/E1103</f>
        <v>12</v>
      </c>
      <c r="G1103" s="7">
        <f t="shared" si="309"/>
        <v>6.6000000000000005</v>
      </c>
      <c r="H1103" s="16">
        <f t="shared" si="310"/>
        <v>7.8</v>
      </c>
      <c r="I1103" s="11">
        <f t="shared" si="311"/>
        <v>0.20433118274318615</v>
      </c>
      <c r="J1103" s="33">
        <f t="shared" si="312"/>
        <v>1.7027598561932179E-2</v>
      </c>
      <c r="K1103" s="33">
        <f t="shared" si="313"/>
        <v>58.728187440104094</v>
      </c>
      <c r="L1103" s="33">
        <f t="shared" si="314"/>
        <v>0.18730358418125398</v>
      </c>
      <c r="M1103" s="33">
        <f t="shared" si="315"/>
        <v>0.22135878130511832</v>
      </c>
      <c r="N1103" s="8">
        <v>1</v>
      </c>
      <c r="O1103" s="9">
        <v>0</v>
      </c>
      <c r="P1103" s="8">
        <v>0</v>
      </c>
      <c r="Q1103" s="9">
        <v>1</v>
      </c>
      <c r="R1103" s="9">
        <v>0</v>
      </c>
      <c r="S1103" s="9">
        <v>0</v>
      </c>
      <c r="T1103" s="9">
        <v>0</v>
      </c>
      <c r="U1103" s="8">
        <v>3316</v>
      </c>
      <c r="V1103" s="9">
        <v>10</v>
      </c>
      <c r="W1103" s="9">
        <f t="shared" si="316"/>
        <v>3305</v>
      </c>
      <c r="X1103" s="9">
        <f t="shared" si="317"/>
        <v>14</v>
      </c>
      <c r="Y1103" s="7">
        <v>9.6999999999999993</v>
      </c>
      <c r="Z1103" s="7">
        <v>17.899999999999999</v>
      </c>
      <c r="AA1103" s="9">
        <v>1</v>
      </c>
      <c r="AB1103" s="9">
        <v>0</v>
      </c>
      <c r="AC1103" s="9">
        <v>1</v>
      </c>
      <c r="AD1103" s="9">
        <v>0</v>
      </c>
      <c r="AE1103" s="9">
        <v>0</v>
      </c>
      <c r="AF1103" s="9">
        <v>0</v>
      </c>
      <c r="AG1103" s="8">
        <v>0</v>
      </c>
      <c r="AH1103" s="9">
        <v>1</v>
      </c>
      <c r="AI1103" s="30">
        <v>0</v>
      </c>
      <c r="AJ1103" s="9">
        <v>1</v>
      </c>
      <c r="AK1103" s="30">
        <v>0</v>
      </c>
      <c r="AL1103" s="21">
        <v>2009</v>
      </c>
      <c r="AM1103" s="23">
        <f t="shared" si="318"/>
        <v>7.6053923648149349</v>
      </c>
      <c r="AN1103" s="33">
        <v>6.0000000000000001E-3</v>
      </c>
      <c r="AO1103" s="33">
        <v>6.0999999999999999E-2</v>
      </c>
      <c r="AP1103" s="33">
        <v>0.56599999999999995</v>
      </c>
      <c r="AQ1103" s="43">
        <v>0.36699999999999999</v>
      </c>
      <c r="AR1103" s="42" t="s">
        <v>104</v>
      </c>
      <c r="AS1103" s="18" t="s">
        <v>104</v>
      </c>
      <c r="AT1103">
        <v>1</v>
      </c>
      <c r="AU1103" s="40">
        <f t="shared" si="321"/>
        <v>0</v>
      </c>
      <c r="AV1103">
        <v>0.82199999999999995</v>
      </c>
      <c r="AW1103" s="40">
        <v>0.17799999999999999</v>
      </c>
      <c r="AX1103">
        <v>0</v>
      </c>
      <c r="AY1103" s="18">
        <v>1</v>
      </c>
      <c r="AZ1103">
        <v>0</v>
      </c>
      <c r="BA1103" s="18">
        <v>1</v>
      </c>
      <c r="BB1103" s="18" t="s">
        <v>5</v>
      </c>
      <c r="BC1103">
        <v>0</v>
      </c>
      <c r="BD1103">
        <v>1</v>
      </c>
      <c r="BE1103">
        <v>0</v>
      </c>
      <c r="BF1103">
        <v>0</v>
      </c>
      <c r="BG1103">
        <v>0</v>
      </c>
      <c r="BH1103" s="18">
        <v>0</v>
      </c>
      <c r="BI1103">
        <v>0</v>
      </c>
      <c r="BJ1103">
        <v>1</v>
      </c>
      <c r="BK1103" s="18">
        <v>0</v>
      </c>
      <c r="BL1103">
        <v>127.1666666666667</v>
      </c>
      <c r="BM1103">
        <v>27</v>
      </c>
      <c r="BN1103" s="25">
        <v>42.1</v>
      </c>
      <c r="BO1103">
        <v>1</v>
      </c>
      <c r="BP1103">
        <v>0</v>
      </c>
      <c r="BQ1103">
        <v>0</v>
      </c>
      <c r="BR1103">
        <v>0</v>
      </c>
      <c r="BS1103">
        <v>0</v>
      </c>
      <c r="BT1103">
        <v>0</v>
      </c>
      <c r="BU1103">
        <v>0</v>
      </c>
      <c r="BV1103" s="18">
        <v>0</v>
      </c>
      <c r="BW1103">
        <v>0</v>
      </c>
      <c r="BX1103">
        <v>0</v>
      </c>
      <c r="BY1103">
        <v>1</v>
      </c>
      <c r="BZ1103" s="18">
        <v>0</v>
      </c>
      <c r="CA1103">
        <v>0</v>
      </c>
      <c r="CB1103">
        <v>0</v>
      </c>
      <c r="CC1103">
        <v>0</v>
      </c>
      <c r="CD1103">
        <v>0</v>
      </c>
      <c r="CE1103">
        <v>0</v>
      </c>
      <c r="CF1103" s="18">
        <v>0</v>
      </c>
      <c r="CG1103">
        <v>0</v>
      </c>
      <c r="CH1103">
        <v>0</v>
      </c>
      <c r="CI1103">
        <v>1</v>
      </c>
      <c r="CJ1103">
        <v>1</v>
      </c>
      <c r="CK1103">
        <v>0</v>
      </c>
      <c r="CL1103">
        <v>0</v>
      </c>
      <c r="CM1103">
        <v>0</v>
      </c>
      <c r="CN1103">
        <v>0</v>
      </c>
      <c r="CO1103">
        <v>1</v>
      </c>
      <c r="CP1103">
        <v>0</v>
      </c>
      <c r="CQ1103" s="18">
        <v>0</v>
      </c>
      <c r="CR1103">
        <v>4.149</v>
      </c>
      <c r="CS1103">
        <v>6</v>
      </c>
      <c r="CT1103">
        <v>1</v>
      </c>
      <c r="CU1103">
        <v>0</v>
      </c>
      <c r="CV1103">
        <v>20</v>
      </c>
      <c r="DB1103" s="34"/>
    </row>
    <row r="1104" spans="1:106" x14ac:dyDescent="0.25">
      <c r="A1104">
        <v>1103</v>
      </c>
      <c r="B1104">
        <v>74</v>
      </c>
      <c r="C1104" s="25" t="s">
        <v>4203</v>
      </c>
      <c r="D1104" s="12">
        <v>9.1</v>
      </c>
      <c r="E1104" s="14">
        <v>2.2999999999999998</v>
      </c>
      <c r="F1104" s="7">
        <f t="shared" si="322"/>
        <v>3.956521739130435</v>
      </c>
      <c r="G1104" s="7">
        <f t="shared" si="309"/>
        <v>6.8</v>
      </c>
      <c r="H1104" s="16">
        <f t="shared" si="310"/>
        <v>11.399999999999999</v>
      </c>
      <c r="I1104" s="11">
        <f t="shared" si="311"/>
        <v>6.8649338379801333E-2</v>
      </c>
      <c r="J1104" s="33">
        <f t="shared" si="312"/>
        <v>1.7350931678411324E-2</v>
      </c>
      <c r="K1104" s="33">
        <f t="shared" si="313"/>
        <v>57.633792728504446</v>
      </c>
      <c r="L1104" s="33">
        <f t="shared" si="314"/>
        <v>5.1298406701390006E-2</v>
      </c>
      <c r="M1104" s="33">
        <f t="shared" si="315"/>
        <v>8.6000270058212661E-2</v>
      </c>
      <c r="N1104" s="8">
        <v>1</v>
      </c>
      <c r="O1104" s="9">
        <v>0</v>
      </c>
      <c r="P1104" s="8">
        <v>0</v>
      </c>
      <c r="Q1104" s="9">
        <v>1</v>
      </c>
      <c r="R1104" s="9">
        <v>0</v>
      </c>
      <c r="S1104" s="9">
        <v>0</v>
      </c>
      <c r="T1104" s="9">
        <v>0</v>
      </c>
      <c r="U1104" s="8">
        <v>3316</v>
      </c>
      <c r="V1104" s="9">
        <v>9</v>
      </c>
      <c r="W1104" s="9">
        <f t="shared" si="316"/>
        <v>3306</v>
      </c>
      <c r="X1104" s="9">
        <f t="shared" si="317"/>
        <v>14</v>
      </c>
      <c r="Y1104" s="7">
        <v>9.6999999999999993</v>
      </c>
      <c r="Z1104" s="7">
        <v>17.899999999999999</v>
      </c>
      <c r="AA1104" s="9">
        <v>1</v>
      </c>
      <c r="AB1104" s="9">
        <v>0</v>
      </c>
      <c r="AC1104" s="9">
        <v>1</v>
      </c>
      <c r="AD1104" s="9">
        <v>0</v>
      </c>
      <c r="AE1104" s="9">
        <v>0</v>
      </c>
      <c r="AF1104" s="9">
        <v>0</v>
      </c>
      <c r="AG1104" s="8">
        <v>0</v>
      </c>
      <c r="AH1104" s="9">
        <v>1</v>
      </c>
      <c r="AI1104" s="30">
        <v>0</v>
      </c>
      <c r="AJ1104" s="9">
        <v>1</v>
      </c>
      <c r="AK1104" s="30">
        <v>0</v>
      </c>
      <c r="AL1104" s="21">
        <v>2009</v>
      </c>
      <c r="AM1104" s="23">
        <f t="shared" si="318"/>
        <v>7.6053923648149349</v>
      </c>
      <c r="AN1104" s="33">
        <v>6.0000000000000001E-3</v>
      </c>
      <c r="AO1104" s="33">
        <v>6.0999999999999999E-2</v>
      </c>
      <c r="AP1104" s="33">
        <v>0.56599999999999995</v>
      </c>
      <c r="AQ1104" s="43">
        <v>0.36699999999999999</v>
      </c>
      <c r="AR1104" s="42" t="s">
        <v>104</v>
      </c>
      <c r="AS1104" s="18" t="s">
        <v>104</v>
      </c>
      <c r="AT1104">
        <v>1</v>
      </c>
      <c r="AU1104" s="40">
        <f t="shared" si="321"/>
        <v>0</v>
      </c>
      <c r="AV1104">
        <v>0.82199999999999995</v>
      </c>
      <c r="AW1104" s="40">
        <v>0.17799999999999999</v>
      </c>
      <c r="AX1104">
        <v>0</v>
      </c>
      <c r="AY1104" s="18">
        <v>1</v>
      </c>
      <c r="AZ1104">
        <v>0</v>
      </c>
      <c r="BA1104" s="18">
        <v>1</v>
      </c>
      <c r="BB1104" s="18" t="s">
        <v>5</v>
      </c>
      <c r="BC1104">
        <v>0</v>
      </c>
      <c r="BD1104">
        <v>1</v>
      </c>
      <c r="BE1104">
        <v>0</v>
      </c>
      <c r="BF1104">
        <v>0</v>
      </c>
      <c r="BG1104">
        <v>0</v>
      </c>
      <c r="BH1104" s="18">
        <v>0</v>
      </c>
      <c r="BI1104">
        <v>0</v>
      </c>
      <c r="BJ1104">
        <v>1</v>
      </c>
      <c r="BK1104" s="18">
        <v>0</v>
      </c>
      <c r="BL1104">
        <v>127.1666666666667</v>
      </c>
      <c r="BM1104">
        <v>27</v>
      </c>
      <c r="BN1104" s="25">
        <v>42.1</v>
      </c>
      <c r="BO1104">
        <v>0</v>
      </c>
      <c r="BP1104">
        <v>0</v>
      </c>
      <c r="BQ1104">
        <v>0</v>
      </c>
      <c r="BR1104">
        <v>0</v>
      </c>
      <c r="BS1104">
        <v>0</v>
      </c>
      <c r="BT1104">
        <v>0</v>
      </c>
      <c r="BU1104">
        <v>0</v>
      </c>
      <c r="BV1104" s="18">
        <v>1</v>
      </c>
      <c r="BW1104">
        <v>0</v>
      </c>
      <c r="BX1104">
        <v>1</v>
      </c>
      <c r="BY1104">
        <v>0</v>
      </c>
      <c r="BZ1104" s="18">
        <v>0</v>
      </c>
      <c r="CA1104">
        <v>0</v>
      </c>
      <c r="CB1104">
        <v>0</v>
      </c>
      <c r="CC1104">
        <v>0</v>
      </c>
      <c r="CD1104">
        <v>0</v>
      </c>
      <c r="CE1104">
        <v>0</v>
      </c>
      <c r="CF1104" s="18">
        <v>1</v>
      </c>
      <c r="CG1104">
        <v>0</v>
      </c>
      <c r="CH1104">
        <v>0</v>
      </c>
      <c r="CI1104">
        <v>1</v>
      </c>
      <c r="CJ1104">
        <v>1</v>
      </c>
      <c r="CK1104">
        <v>0</v>
      </c>
      <c r="CL1104">
        <v>0</v>
      </c>
      <c r="CM1104">
        <v>0</v>
      </c>
      <c r="CN1104">
        <v>0</v>
      </c>
      <c r="CO1104">
        <v>1</v>
      </c>
      <c r="CP1104">
        <v>0</v>
      </c>
      <c r="CQ1104" s="18">
        <v>0</v>
      </c>
      <c r="CR1104">
        <v>4.149</v>
      </c>
      <c r="CS1104">
        <v>6</v>
      </c>
      <c r="CT1104">
        <v>1</v>
      </c>
      <c r="CU1104">
        <v>0</v>
      </c>
      <c r="CV1104">
        <v>20</v>
      </c>
      <c r="DB1104" s="34"/>
    </row>
    <row r="1105" spans="1:106" x14ac:dyDescent="0.25">
      <c r="A1105">
        <v>1104</v>
      </c>
      <c r="B1105">
        <v>74</v>
      </c>
      <c r="C1105" s="25" t="s">
        <v>4203</v>
      </c>
      <c r="D1105" s="12">
        <v>5.7</v>
      </c>
      <c r="E1105" s="14">
        <v>0.6</v>
      </c>
      <c r="F1105" s="7">
        <f t="shared" si="322"/>
        <v>9.5</v>
      </c>
      <c r="G1105" s="7">
        <f t="shared" si="309"/>
        <v>5.1000000000000005</v>
      </c>
      <c r="H1105" s="16">
        <f t="shared" si="310"/>
        <v>6.3</v>
      </c>
      <c r="I1105" s="11">
        <f t="shared" si="311"/>
        <v>0.1889355130790461</v>
      </c>
      <c r="J1105" s="33">
        <f t="shared" si="312"/>
        <v>1.9887948745162747E-2</v>
      </c>
      <c r="K1105" s="33">
        <f t="shared" si="313"/>
        <v>50.281706414957718</v>
      </c>
      <c r="L1105" s="33">
        <f t="shared" si="314"/>
        <v>0.16904756433388335</v>
      </c>
      <c r="M1105" s="33">
        <f t="shared" si="315"/>
        <v>0.20882346182420886</v>
      </c>
      <c r="N1105" s="8">
        <v>1</v>
      </c>
      <c r="O1105" s="9">
        <v>0</v>
      </c>
      <c r="P1105" s="8">
        <v>0</v>
      </c>
      <c r="Q1105" s="9">
        <v>1</v>
      </c>
      <c r="R1105" s="9">
        <v>0</v>
      </c>
      <c r="S1105" s="9">
        <v>0</v>
      </c>
      <c r="T1105" s="9">
        <v>0</v>
      </c>
      <c r="U1105" s="8">
        <v>2451</v>
      </c>
      <c r="V1105" s="9">
        <v>12</v>
      </c>
      <c r="W1105" s="9">
        <f t="shared" si="316"/>
        <v>2438</v>
      </c>
      <c r="X1105" s="9">
        <f t="shared" si="317"/>
        <v>14</v>
      </c>
      <c r="Y1105" s="7">
        <v>9.6999999999999993</v>
      </c>
      <c r="Z1105" s="7">
        <v>17.899999999999999</v>
      </c>
      <c r="AA1105" s="9">
        <v>1</v>
      </c>
      <c r="AB1105" s="9">
        <v>0</v>
      </c>
      <c r="AC1105" s="9">
        <v>1</v>
      </c>
      <c r="AD1105" s="9">
        <v>0</v>
      </c>
      <c r="AE1105" s="9">
        <v>0</v>
      </c>
      <c r="AF1105" s="9">
        <v>0</v>
      </c>
      <c r="AG1105" s="8">
        <v>0</v>
      </c>
      <c r="AH1105" s="9">
        <v>1</v>
      </c>
      <c r="AI1105" s="30">
        <v>0</v>
      </c>
      <c r="AJ1105" s="9">
        <v>1</v>
      </c>
      <c r="AK1105" s="30">
        <v>0</v>
      </c>
      <c r="AL1105" s="21">
        <v>2009</v>
      </c>
      <c r="AM1105" s="23">
        <f t="shared" si="318"/>
        <v>7.6053923648149349</v>
      </c>
      <c r="AN1105" s="33">
        <v>6.0000000000000001E-3</v>
      </c>
      <c r="AO1105" s="33">
        <v>6.0999999999999999E-2</v>
      </c>
      <c r="AP1105" s="33">
        <v>0.56599999999999995</v>
      </c>
      <c r="AQ1105" s="43">
        <v>0.36699999999999999</v>
      </c>
      <c r="AR1105" s="42" t="s">
        <v>104</v>
      </c>
      <c r="AS1105" s="18" t="s">
        <v>104</v>
      </c>
      <c r="AT1105">
        <v>0</v>
      </c>
      <c r="AU1105" s="40">
        <f t="shared" si="321"/>
        <v>1</v>
      </c>
      <c r="AV1105">
        <v>0.82199999999999995</v>
      </c>
      <c r="AW1105" s="40">
        <v>0.17799999999999999</v>
      </c>
      <c r="AX1105">
        <v>0</v>
      </c>
      <c r="AY1105" s="18">
        <v>1</v>
      </c>
      <c r="AZ1105">
        <v>0</v>
      </c>
      <c r="BA1105" s="18">
        <v>1</v>
      </c>
      <c r="BB1105" s="18" t="s">
        <v>5</v>
      </c>
      <c r="BC1105">
        <v>0</v>
      </c>
      <c r="BD1105">
        <v>1</v>
      </c>
      <c r="BE1105">
        <v>0</v>
      </c>
      <c r="BF1105">
        <v>0</v>
      </c>
      <c r="BG1105">
        <v>0</v>
      </c>
      <c r="BH1105" s="18">
        <v>0</v>
      </c>
      <c r="BI1105">
        <v>0</v>
      </c>
      <c r="BJ1105">
        <v>1</v>
      </c>
      <c r="BK1105" s="18">
        <v>0</v>
      </c>
      <c r="BL1105">
        <v>127.1666666666667</v>
      </c>
      <c r="BM1105">
        <v>27</v>
      </c>
      <c r="BN1105" s="25">
        <v>42.1</v>
      </c>
      <c r="BO1105">
        <v>1</v>
      </c>
      <c r="BP1105">
        <v>0</v>
      </c>
      <c r="BQ1105">
        <v>0</v>
      </c>
      <c r="BR1105">
        <v>0</v>
      </c>
      <c r="BS1105">
        <v>0</v>
      </c>
      <c r="BT1105">
        <v>0</v>
      </c>
      <c r="BU1105">
        <v>0</v>
      </c>
      <c r="BV1105" s="18">
        <v>0</v>
      </c>
      <c r="BW1105">
        <v>0</v>
      </c>
      <c r="BX1105">
        <v>0</v>
      </c>
      <c r="BY1105">
        <v>1</v>
      </c>
      <c r="BZ1105" s="18">
        <v>0</v>
      </c>
      <c r="CA1105">
        <v>0</v>
      </c>
      <c r="CB1105">
        <v>0</v>
      </c>
      <c r="CC1105">
        <v>0</v>
      </c>
      <c r="CD1105">
        <v>0</v>
      </c>
      <c r="CE1105">
        <v>0</v>
      </c>
      <c r="CF1105" s="18">
        <v>0</v>
      </c>
      <c r="CG1105">
        <v>0</v>
      </c>
      <c r="CH1105">
        <v>0</v>
      </c>
      <c r="CI1105">
        <v>1</v>
      </c>
      <c r="CJ1105">
        <v>1</v>
      </c>
      <c r="CK1105">
        <v>0</v>
      </c>
      <c r="CL1105">
        <v>0</v>
      </c>
      <c r="CM1105">
        <v>0</v>
      </c>
      <c r="CN1105">
        <v>0</v>
      </c>
      <c r="CO1105">
        <v>1</v>
      </c>
      <c r="CP1105">
        <v>0</v>
      </c>
      <c r="CQ1105" s="18">
        <v>0</v>
      </c>
      <c r="CR1105">
        <v>4.149</v>
      </c>
      <c r="CS1105">
        <v>6</v>
      </c>
      <c r="CT1105">
        <v>1</v>
      </c>
      <c r="CU1105">
        <v>0</v>
      </c>
      <c r="CV1105">
        <v>20</v>
      </c>
      <c r="DB1105" s="34"/>
    </row>
    <row r="1106" spans="1:106" x14ac:dyDescent="0.25">
      <c r="A1106">
        <v>1105</v>
      </c>
      <c r="B1106">
        <v>74</v>
      </c>
      <c r="C1106" s="25" t="s">
        <v>4203</v>
      </c>
      <c r="D1106" s="12">
        <v>5.4</v>
      </c>
      <c r="E1106" s="14">
        <v>0.6</v>
      </c>
      <c r="F1106" s="7">
        <f t="shared" si="322"/>
        <v>9.0000000000000018</v>
      </c>
      <c r="G1106" s="7">
        <f t="shared" si="309"/>
        <v>4.8000000000000007</v>
      </c>
      <c r="H1106" s="16">
        <f t="shared" si="310"/>
        <v>6</v>
      </c>
      <c r="I1106" s="11">
        <f t="shared" si="311"/>
        <v>0.15942318366671104</v>
      </c>
      <c r="J1106" s="33">
        <f t="shared" si="312"/>
        <v>1.7713687074079002E-2</v>
      </c>
      <c r="K1106" s="33">
        <f t="shared" si="313"/>
        <v>56.453520705089772</v>
      </c>
      <c r="L1106" s="33">
        <f t="shared" si="314"/>
        <v>0.14170949659263204</v>
      </c>
      <c r="M1106" s="33">
        <f t="shared" si="315"/>
        <v>0.17713687074079004</v>
      </c>
      <c r="N1106" s="8">
        <v>1</v>
      </c>
      <c r="O1106" s="9">
        <v>0</v>
      </c>
      <c r="P1106" s="8">
        <v>0</v>
      </c>
      <c r="Q1106" s="9">
        <v>1</v>
      </c>
      <c r="R1106" s="9">
        <v>0</v>
      </c>
      <c r="S1106" s="9">
        <v>0</v>
      </c>
      <c r="T1106" s="9">
        <v>0</v>
      </c>
      <c r="U1106" s="8">
        <v>3119</v>
      </c>
      <c r="V1106" s="9">
        <v>12</v>
      </c>
      <c r="W1106" s="9">
        <f t="shared" si="316"/>
        <v>3106</v>
      </c>
      <c r="X1106" s="9">
        <f t="shared" si="317"/>
        <v>14</v>
      </c>
      <c r="Y1106" s="7">
        <v>9.6999999999999993</v>
      </c>
      <c r="Z1106" s="7">
        <v>17.899999999999999</v>
      </c>
      <c r="AA1106" s="9">
        <v>1</v>
      </c>
      <c r="AB1106" s="9">
        <v>0</v>
      </c>
      <c r="AC1106" s="9">
        <v>1</v>
      </c>
      <c r="AD1106" s="9">
        <v>0</v>
      </c>
      <c r="AE1106" s="9">
        <v>0</v>
      </c>
      <c r="AF1106" s="9">
        <v>0</v>
      </c>
      <c r="AG1106" s="8">
        <v>0</v>
      </c>
      <c r="AH1106" s="9">
        <v>1</v>
      </c>
      <c r="AI1106" s="30">
        <v>0</v>
      </c>
      <c r="AJ1106" s="9">
        <v>1</v>
      </c>
      <c r="AK1106" s="30">
        <v>0</v>
      </c>
      <c r="AL1106" s="21">
        <v>2009</v>
      </c>
      <c r="AM1106" s="23">
        <f t="shared" si="318"/>
        <v>7.6053923648149349</v>
      </c>
      <c r="AN1106" s="33">
        <v>6.0000000000000001E-3</v>
      </c>
      <c r="AO1106" s="33">
        <v>6.0999999999999999E-2</v>
      </c>
      <c r="AP1106" s="33">
        <v>0.56599999999999995</v>
      </c>
      <c r="AQ1106" s="43">
        <v>0.36699999999999999</v>
      </c>
      <c r="AR1106" s="42" t="s">
        <v>104</v>
      </c>
      <c r="AS1106" s="18" t="s">
        <v>104</v>
      </c>
      <c r="AT1106">
        <v>0</v>
      </c>
      <c r="AU1106" s="40">
        <f t="shared" si="321"/>
        <v>1</v>
      </c>
      <c r="AV1106">
        <v>0.82199999999999995</v>
      </c>
      <c r="AW1106" s="40">
        <v>0.17799999999999999</v>
      </c>
      <c r="AX1106">
        <v>0</v>
      </c>
      <c r="AY1106" s="18">
        <v>1</v>
      </c>
      <c r="AZ1106">
        <v>0</v>
      </c>
      <c r="BA1106" s="18">
        <v>1</v>
      </c>
      <c r="BB1106" s="18" t="s">
        <v>5</v>
      </c>
      <c r="BC1106">
        <v>0</v>
      </c>
      <c r="BD1106">
        <v>1</v>
      </c>
      <c r="BE1106">
        <v>0</v>
      </c>
      <c r="BF1106">
        <v>0</v>
      </c>
      <c r="BG1106">
        <v>0</v>
      </c>
      <c r="BH1106" s="18">
        <v>0</v>
      </c>
      <c r="BI1106">
        <v>0</v>
      </c>
      <c r="BJ1106">
        <v>1</v>
      </c>
      <c r="BK1106" s="18">
        <v>0</v>
      </c>
      <c r="BL1106">
        <v>127.1666666666667</v>
      </c>
      <c r="BM1106">
        <v>27</v>
      </c>
      <c r="BN1106" s="25">
        <v>42.1</v>
      </c>
      <c r="BO1106">
        <v>1</v>
      </c>
      <c r="BP1106">
        <v>0</v>
      </c>
      <c r="BQ1106">
        <v>0</v>
      </c>
      <c r="BR1106">
        <v>0</v>
      </c>
      <c r="BS1106">
        <v>0</v>
      </c>
      <c r="BT1106">
        <v>0</v>
      </c>
      <c r="BU1106">
        <v>0</v>
      </c>
      <c r="BV1106" s="18">
        <v>0</v>
      </c>
      <c r="BW1106">
        <v>0</v>
      </c>
      <c r="BX1106">
        <v>0</v>
      </c>
      <c r="BY1106">
        <v>1</v>
      </c>
      <c r="BZ1106" s="18">
        <v>0</v>
      </c>
      <c r="CA1106">
        <v>0</v>
      </c>
      <c r="CB1106">
        <v>0</v>
      </c>
      <c r="CC1106">
        <v>0</v>
      </c>
      <c r="CD1106">
        <v>0</v>
      </c>
      <c r="CE1106">
        <v>0</v>
      </c>
      <c r="CF1106" s="18">
        <v>0</v>
      </c>
      <c r="CG1106">
        <v>0</v>
      </c>
      <c r="CH1106">
        <v>0</v>
      </c>
      <c r="CI1106">
        <v>1</v>
      </c>
      <c r="CJ1106">
        <v>1</v>
      </c>
      <c r="CK1106">
        <v>0</v>
      </c>
      <c r="CL1106">
        <v>0</v>
      </c>
      <c r="CM1106">
        <v>0</v>
      </c>
      <c r="CN1106">
        <v>0</v>
      </c>
      <c r="CO1106">
        <v>1</v>
      </c>
      <c r="CP1106">
        <v>0</v>
      </c>
      <c r="CQ1106" s="18">
        <v>0</v>
      </c>
      <c r="CR1106">
        <v>4.149</v>
      </c>
      <c r="CS1106">
        <v>6</v>
      </c>
      <c r="CT1106">
        <v>1</v>
      </c>
      <c r="CU1106">
        <v>0</v>
      </c>
      <c r="CV1106">
        <v>20</v>
      </c>
      <c r="DB1106" s="34"/>
    </row>
    <row r="1107" spans="1:106" x14ac:dyDescent="0.25">
      <c r="A1107">
        <v>1106</v>
      </c>
      <c r="B1107">
        <v>74</v>
      </c>
      <c r="C1107" s="25" t="s">
        <v>4203</v>
      </c>
      <c r="D1107" s="12">
        <v>5</v>
      </c>
      <c r="E1107" s="14">
        <v>1.5</v>
      </c>
      <c r="F1107" s="7">
        <f t="shared" si="322"/>
        <v>3.3333333333333335</v>
      </c>
      <c r="G1107" s="7">
        <f t="shared" si="309"/>
        <v>3.5</v>
      </c>
      <c r="H1107" s="16">
        <f t="shared" si="310"/>
        <v>6.5</v>
      </c>
      <c r="I1107" s="11">
        <f t="shared" si="311"/>
        <v>6.7341975958526951E-2</v>
      </c>
      <c r="J1107" s="33">
        <f t="shared" si="312"/>
        <v>2.0202592787558083E-2</v>
      </c>
      <c r="K1107" s="33">
        <f t="shared" si="313"/>
        <v>49.498597062049257</v>
      </c>
      <c r="L1107" s="33">
        <f t="shared" si="314"/>
        <v>4.7139383170968871E-2</v>
      </c>
      <c r="M1107" s="33">
        <f t="shared" si="315"/>
        <v>8.754456874608503E-2</v>
      </c>
      <c r="N1107" s="8">
        <v>1</v>
      </c>
      <c r="O1107" s="9">
        <v>0</v>
      </c>
      <c r="P1107" s="8">
        <v>0</v>
      </c>
      <c r="Q1107" s="9">
        <v>1</v>
      </c>
      <c r="R1107" s="9">
        <v>0</v>
      </c>
      <c r="S1107" s="9">
        <v>0</v>
      </c>
      <c r="T1107" s="9">
        <v>0</v>
      </c>
      <c r="U1107" s="8">
        <v>2451</v>
      </c>
      <c r="V1107" s="9">
        <v>11</v>
      </c>
      <c r="W1107" s="9">
        <f t="shared" si="316"/>
        <v>2439</v>
      </c>
      <c r="X1107" s="9">
        <f t="shared" si="317"/>
        <v>14</v>
      </c>
      <c r="Y1107" s="7">
        <v>9.6999999999999993</v>
      </c>
      <c r="Z1107" s="7">
        <v>17.899999999999999</v>
      </c>
      <c r="AA1107" s="9">
        <v>1</v>
      </c>
      <c r="AB1107" s="9">
        <v>0</v>
      </c>
      <c r="AC1107" s="9">
        <v>1</v>
      </c>
      <c r="AD1107" s="9">
        <v>0</v>
      </c>
      <c r="AE1107" s="9">
        <v>0</v>
      </c>
      <c r="AF1107" s="9">
        <v>0</v>
      </c>
      <c r="AG1107" s="8">
        <v>0</v>
      </c>
      <c r="AH1107" s="9">
        <v>1</v>
      </c>
      <c r="AI1107" s="30">
        <v>0</v>
      </c>
      <c r="AJ1107" s="9">
        <v>1</v>
      </c>
      <c r="AK1107" s="30">
        <v>0</v>
      </c>
      <c r="AL1107" s="21">
        <v>2009</v>
      </c>
      <c r="AM1107" s="23">
        <f t="shared" si="318"/>
        <v>7.6053923648149349</v>
      </c>
      <c r="AN1107" s="33">
        <v>6.0000000000000001E-3</v>
      </c>
      <c r="AO1107" s="33">
        <v>6.0999999999999999E-2</v>
      </c>
      <c r="AP1107" s="33">
        <v>0.56599999999999995</v>
      </c>
      <c r="AQ1107" s="43">
        <v>0.36699999999999999</v>
      </c>
      <c r="AR1107" s="42" t="s">
        <v>104</v>
      </c>
      <c r="AS1107" s="18" t="s">
        <v>104</v>
      </c>
      <c r="AT1107">
        <v>0</v>
      </c>
      <c r="AU1107" s="40">
        <f t="shared" si="321"/>
        <v>1</v>
      </c>
      <c r="AV1107">
        <v>0.82199999999999995</v>
      </c>
      <c r="AW1107" s="40">
        <v>0.17799999999999999</v>
      </c>
      <c r="AX1107">
        <v>0</v>
      </c>
      <c r="AY1107" s="18">
        <v>1</v>
      </c>
      <c r="AZ1107">
        <v>0</v>
      </c>
      <c r="BA1107" s="18">
        <v>1</v>
      </c>
      <c r="BB1107" s="18" t="s">
        <v>5</v>
      </c>
      <c r="BC1107">
        <v>0</v>
      </c>
      <c r="BD1107">
        <v>1</v>
      </c>
      <c r="BE1107">
        <v>0</v>
      </c>
      <c r="BF1107">
        <v>0</v>
      </c>
      <c r="BG1107">
        <v>0</v>
      </c>
      <c r="BH1107" s="18">
        <v>0</v>
      </c>
      <c r="BI1107">
        <v>0</v>
      </c>
      <c r="BJ1107">
        <v>1</v>
      </c>
      <c r="BK1107" s="18">
        <v>0</v>
      </c>
      <c r="BL1107">
        <v>127.1666666666667</v>
      </c>
      <c r="BM1107">
        <v>27</v>
      </c>
      <c r="BN1107" s="25">
        <v>42.1</v>
      </c>
      <c r="BO1107">
        <v>0</v>
      </c>
      <c r="BP1107">
        <v>0</v>
      </c>
      <c r="BQ1107">
        <v>0</v>
      </c>
      <c r="BR1107">
        <v>0</v>
      </c>
      <c r="BS1107">
        <v>0</v>
      </c>
      <c r="BT1107">
        <v>0</v>
      </c>
      <c r="BU1107">
        <v>0</v>
      </c>
      <c r="BV1107" s="18">
        <v>1</v>
      </c>
      <c r="BW1107">
        <v>0</v>
      </c>
      <c r="BX1107">
        <v>1</v>
      </c>
      <c r="BY1107">
        <v>0</v>
      </c>
      <c r="BZ1107" s="18">
        <v>0</v>
      </c>
      <c r="CA1107">
        <v>0</v>
      </c>
      <c r="CB1107">
        <v>0</v>
      </c>
      <c r="CC1107">
        <v>0</v>
      </c>
      <c r="CD1107">
        <v>0</v>
      </c>
      <c r="CE1107">
        <v>0</v>
      </c>
      <c r="CF1107" s="18">
        <v>1</v>
      </c>
      <c r="CG1107">
        <v>0</v>
      </c>
      <c r="CH1107">
        <v>0</v>
      </c>
      <c r="CI1107">
        <v>1</v>
      </c>
      <c r="CJ1107">
        <v>1</v>
      </c>
      <c r="CK1107">
        <v>0</v>
      </c>
      <c r="CL1107">
        <v>0</v>
      </c>
      <c r="CM1107">
        <v>0</v>
      </c>
      <c r="CN1107">
        <v>0</v>
      </c>
      <c r="CO1107">
        <v>1</v>
      </c>
      <c r="CP1107">
        <v>0</v>
      </c>
      <c r="CQ1107" s="18">
        <v>0</v>
      </c>
      <c r="CR1107">
        <v>4.149</v>
      </c>
      <c r="CS1107">
        <v>6</v>
      </c>
      <c r="CT1107">
        <v>1</v>
      </c>
      <c r="CU1107">
        <v>0</v>
      </c>
      <c r="CV1107">
        <v>20</v>
      </c>
      <c r="DB1107" s="34"/>
    </row>
    <row r="1108" spans="1:106" x14ac:dyDescent="0.25">
      <c r="A1108">
        <v>1107</v>
      </c>
      <c r="B1108">
        <v>74</v>
      </c>
      <c r="C1108" s="25" t="s">
        <v>4203</v>
      </c>
      <c r="D1108" s="12">
        <v>6.3</v>
      </c>
      <c r="E1108" s="14">
        <v>1.3</v>
      </c>
      <c r="F1108" s="7">
        <f t="shared" si="322"/>
        <v>4.8461538461538458</v>
      </c>
      <c r="G1108" s="7">
        <f t="shared" si="309"/>
        <v>5</v>
      </c>
      <c r="H1108" s="16">
        <f t="shared" si="310"/>
        <v>7.6</v>
      </c>
      <c r="I1108" s="11">
        <f t="shared" si="311"/>
        <v>9.7678410112133671E-2</v>
      </c>
      <c r="J1108" s="33">
        <f t="shared" si="312"/>
        <v>2.0155862404091077E-2</v>
      </c>
      <c r="K1108" s="33">
        <f t="shared" si="313"/>
        <v>49.613357144025152</v>
      </c>
      <c r="L1108" s="33">
        <f t="shared" si="314"/>
        <v>7.7522547708042594E-2</v>
      </c>
      <c r="M1108" s="33">
        <f t="shared" si="315"/>
        <v>0.11783427251622475</v>
      </c>
      <c r="N1108" s="8">
        <v>1</v>
      </c>
      <c r="O1108" s="9">
        <v>0</v>
      </c>
      <c r="P1108" s="8">
        <v>0</v>
      </c>
      <c r="Q1108" s="9">
        <v>1</v>
      </c>
      <c r="R1108" s="9">
        <v>0</v>
      </c>
      <c r="S1108" s="9">
        <v>0</v>
      </c>
      <c r="T1108" s="9">
        <v>0</v>
      </c>
      <c r="U1108" s="8">
        <v>2451</v>
      </c>
      <c r="V1108" s="9">
        <v>12</v>
      </c>
      <c r="W1108" s="9">
        <f t="shared" si="316"/>
        <v>2438</v>
      </c>
      <c r="X1108" s="9">
        <f t="shared" si="317"/>
        <v>14</v>
      </c>
      <c r="Y1108" s="7">
        <v>9.6999999999999993</v>
      </c>
      <c r="Z1108" s="7">
        <v>17.899999999999999</v>
      </c>
      <c r="AA1108" s="9">
        <v>1</v>
      </c>
      <c r="AB1108" s="9">
        <v>0</v>
      </c>
      <c r="AC1108" s="9">
        <v>1</v>
      </c>
      <c r="AD1108" s="9">
        <v>0</v>
      </c>
      <c r="AE1108" s="9">
        <v>0</v>
      </c>
      <c r="AF1108" s="9">
        <v>0</v>
      </c>
      <c r="AG1108" s="8">
        <v>0</v>
      </c>
      <c r="AH1108" s="9">
        <v>1</v>
      </c>
      <c r="AI1108" s="30">
        <v>0</v>
      </c>
      <c r="AJ1108" s="9">
        <v>1</v>
      </c>
      <c r="AK1108" s="30">
        <v>0</v>
      </c>
      <c r="AL1108" s="21">
        <v>2009</v>
      </c>
      <c r="AM1108" s="23">
        <f t="shared" si="318"/>
        <v>7.6053923648149349</v>
      </c>
      <c r="AN1108" s="33">
        <v>6.0000000000000001E-3</v>
      </c>
      <c r="AO1108" s="33">
        <v>6.0999999999999999E-2</v>
      </c>
      <c r="AP1108" s="33">
        <v>0.56599999999999995</v>
      </c>
      <c r="AQ1108" s="43">
        <v>0.36699999999999999</v>
      </c>
      <c r="AR1108" s="42" t="s">
        <v>104</v>
      </c>
      <c r="AS1108" s="18" t="s">
        <v>104</v>
      </c>
      <c r="AT1108">
        <v>0</v>
      </c>
      <c r="AU1108" s="40">
        <f t="shared" si="321"/>
        <v>1</v>
      </c>
      <c r="AV1108">
        <v>0.82199999999999995</v>
      </c>
      <c r="AW1108" s="40">
        <v>0.17799999999999999</v>
      </c>
      <c r="AX1108">
        <v>0</v>
      </c>
      <c r="AY1108" s="18">
        <v>1</v>
      </c>
      <c r="AZ1108">
        <v>0</v>
      </c>
      <c r="BA1108" s="18">
        <v>1</v>
      </c>
      <c r="BB1108" s="18" t="s">
        <v>5</v>
      </c>
      <c r="BC1108">
        <v>0</v>
      </c>
      <c r="BD1108">
        <v>1</v>
      </c>
      <c r="BE1108">
        <v>0</v>
      </c>
      <c r="BF1108">
        <v>0</v>
      </c>
      <c r="BG1108">
        <v>0</v>
      </c>
      <c r="BH1108" s="18">
        <v>0</v>
      </c>
      <c r="BI1108">
        <v>0</v>
      </c>
      <c r="BJ1108">
        <v>1</v>
      </c>
      <c r="BK1108" s="18">
        <v>0</v>
      </c>
      <c r="BL1108">
        <v>127.1666666666667</v>
      </c>
      <c r="BM1108">
        <v>27</v>
      </c>
      <c r="BN1108" s="25">
        <v>42.1</v>
      </c>
      <c r="BO1108">
        <v>0</v>
      </c>
      <c r="BP1108">
        <v>0</v>
      </c>
      <c r="BQ1108">
        <v>0</v>
      </c>
      <c r="BR1108">
        <v>0</v>
      </c>
      <c r="BS1108">
        <v>0</v>
      </c>
      <c r="BT1108">
        <v>0</v>
      </c>
      <c r="BU1108">
        <v>0</v>
      </c>
      <c r="BV1108" s="18">
        <v>1</v>
      </c>
      <c r="BW1108">
        <v>0</v>
      </c>
      <c r="BX1108">
        <v>1</v>
      </c>
      <c r="BY1108">
        <v>0</v>
      </c>
      <c r="BZ1108" s="18">
        <v>0</v>
      </c>
      <c r="CA1108">
        <v>0</v>
      </c>
      <c r="CB1108">
        <v>0</v>
      </c>
      <c r="CC1108">
        <v>0</v>
      </c>
      <c r="CD1108">
        <v>0</v>
      </c>
      <c r="CE1108">
        <v>0</v>
      </c>
      <c r="CF1108" s="18">
        <v>1</v>
      </c>
      <c r="CG1108">
        <v>0</v>
      </c>
      <c r="CH1108">
        <v>0</v>
      </c>
      <c r="CI1108">
        <v>1</v>
      </c>
      <c r="CJ1108">
        <v>1</v>
      </c>
      <c r="CK1108">
        <v>0</v>
      </c>
      <c r="CL1108">
        <v>0</v>
      </c>
      <c r="CM1108">
        <v>0</v>
      </c>
      <c r="CN1108">
        <v>0</v>
      </c>
      <c r="CO1108">
        <v>1</v>
      </c>
      <c r="CP1108">
        <v>0</v>
      </c>
      <c r="CQ1108" s="18">
        <v>0</v>
      </c>
      <c r="CR1108">
        <v>4.149</v>
      </c>
      <c r="CS1108">
        <v>6</v>
      </c>
      <c r="CT1108">
        <v>1</v>
      </c>
      <c r="CU1108">
        <v>0</v>
      </c>
      <c r="CV1108">
        <v>20</v>
      </c>
      <c r="DB1108" s="34"/>
    </row>
    <row r="1109" spans="1:106" x14ac:dyDescent="0.25">
      <c r="A1109">
        <v>1108</v>
      </c>
      <c r="B1109">
        <v>74</v>
      </c>
      <c r="C1109" s="25" t="s">
        <v>4203</v>
      </c>
      <c r="D1109" s="12">
        <v>4.5</v>
      </c>
      <c r="E1109" s="14">
        <v>0.9</v>
      </c>
      <c r="F1109" s="7">
        <f t="shared" si="322"/>
        <v>5</v>
      </c>
      <c r="G1109" s="7">
        <f t="shared" si="309"/>
        <v>3.6</v>
      </c>
      <c r="H1109" s="16">
        <f t="shared" si="310"/>
        <v>5.4</v>
      </c>
      <c r="I1109" s="11">
        <f t="shared" si="311"/>
        <v>0.13277976293203617</v>
      </c>
      <c r="J1109" s="33">
        <f t="shared" si="312"/>
        <v>2.6555952586407236E-2</v>
      </c>
      <c r="K1109" s="33">
        <f t="shared" si="313"/>
        <v>37.656340767525464</v>
      </c>
      <c r="L1109" s="33">
        <f t="shared" si="314"/>
        <v>0.10622381034562893</v>
      </c>
      <c r="M1109" s="33">
        <f t="shared" si="315"/>
        <v>0.15933571551844339</v>
      </c>
      <c r="N1109" s="8">
        <v>1</v>
      </c>
      <c r="O1109" s="9">
        <v>0</v>
      </c>
      <c r="P1109" s="8">
        <v>0</v>
      </c>
      <c r="Q1109" s="9">
        <v>1</v>
      </c>
      <c r="R1109" s="9">
        <v>0</v>
      </c>
      <c r="S1109" s="9">
        <v>0</v>
      </c>
      <c r="T1109" s="9">
        <v>0</v>
      </c>
      <c r="U1109" s="8">
        <v>1405</v>
      </c>
      <c r="V1109" s="9">
        <v>11</v>
      </c>
      <c r="W1109" s="9">
        <f t="shared" si="316"/>
        <v>1393</v>
      </c>
      <c r="X1109" s="9">
        <f t="shared" si="317"/>
        <v>14</v>
      </c>
      <c r="Y1109" s="7">
        <v>9.3000000000000007</v>
      </c>
      <c r="Z1109" s="7">
        <v>10.7</v>
      </c>
      <c r="AA1109" s="9">
        <v>1</v>
      </c>
      <c r="AB1109" s="9">
        <v>0</v>
      </c>
      <c r="AC1109" s="9">
        <v>1</v>
      </c>
      <c r="AD1109" s="9">
        <v>0</v>
      </c>
      <c r="AE1109" s="9">
        <v>0</v>
      </c>
      <c r="AF1109" s="9">
        <v>0</v>
      </c>
      <c r="AG1109" s="8">
        <v>0</v>
      </c>
      <c r="AH1109" s="9">
        <v>1</v>
      </c>
      <c r="AI1109" s="30">
        <v>0</v>
      </c>
      <c r="AJ1109" s="9">
        <v>1</v>
      </c>
      <c r="AK1109" s="30">
        <v>0</v>
      </c>
      <c r="AL1109" s="21">
        <v>2009</v>
      </c>
      <c r="AM1109" s="23">
        <f t="shared" si="318"/>
        <v>7.6053923648149349</v>
      </c>
      <c r="AN1109" s="33">
        <v>2.4E-2</v>
      </c>
      <c r="AO1109" s="33">
        <v>0.95</v>
      </c>
      <c r="AP1109" s="33">
        <v>0.65500000000000003</v>
      </c>
      <c r="AQ1109" s="43">
        <v>0.22600000000000001</v>
      </c>
      <c r="AR1109" s="42" t="s">
        <v>104</v>
      </c>
      <c r="AS1109" s="18" t="s">
        <v>104</v>
      </c>
      <c r="AT1109">
        <v>1</v>
      </c>
      <c r="AU1109" s="40">
        <f t="shared" si="321"/>
        <v>0</v>
      </c>
      <c r="AV1109">
        <v>0.94499999999999995</v>
      </c>
      <c r="AW1109" s="40">
        <v>0.55000000000000004</v>
      </c>
      <c r="AX1109">
        <v>0</v>
      </c>
      <c r="AY1109" s="18">
        <v>1</v>
      </c>
      <c r="AZ1109">
        <v>0</v>
      </c>
      <c r="BA1109" s="18">
        <v>1</v>
      </c>
      <c r="BB1109" s="18" t="s">
        <v>5</v>
      </c>
      <c r="BC1109">
        <v>0</v>
      </c>
      <c r="BD1109">
        <v>1</v>
      </c>
      <c r="BE1109">
        <v>0</v>
      </c>
      <c r="BF1109">
        <v>0</v>
      </c>
      <c r="BG1109">
        <v>0</v>
      </c>
      <c r="BH1109" s="18">
        <v>0</v>
      </c>
      <c r="BI1109">
        <v>0</v>
      </c>
      <c r="BJ1109">
        <v>1</v>
      </c>
      <c r="BK1109" s="18">
        <v>0</v>
      </c>
      <c r="BL1109">
        <v>127.1666666666667</v>
      </c>
      <c r="BM1109">
        <v>27</v>
      </c>
      <c r="BN1109" s="25">
        <v>34.700000000000003</v>
      </c>
      <c r="BO1109">
        <v>1</v>
      </c>
      <c r="BP1109">
        <v>0</v>
      </c>
      <c r="BQ1109">
        <v>0</v>
      </c>
      <c r="BR1109">
        <v>0</v>
      </c>
      <c r="BS1109">
        <v>0</v>
      </c>
      <c r="BT1109">
        <v>0</v>
      </c>
      <c r="BU1109">
        <v>0</v>
      </c>
      <c r="BV1109" s="18">
        <v>0</v>
      </c>
      <c r="BW1109">
        <v>0</v>
      </c>
      <c r="BX1109">
        <v>0</v>
      </c>
      <c r="BY1109">
        <v>1</v>
      </c>
      <c r="BZ1109" s="18">
        <v>0</v>
      </c>
      <c r="CA1109">
        <v>0</v>
      </c>
      <c r="CB1109">
        <v>0</v>
      </c>
      <c r="CC1109">
        <v>0</v>
      </c>
      <c r="CD1109">
        <v>0</v>
      </c>
      <c r="CE1109">
        <v>0</v>
      </c>
      <c r="CF1109" s="18">
        <v>1</v>
      </c>
      <c r="CG1109">
        <v>0</v>
      </c>
      <c r="CH1109">
        <v>0</v>
      </c>
      <c r="CI1109">
        <v>1</v>
      </c>
      <c r="CJ1109">
        <v>1</v>
      </c>
      <c r="CK1109">
        <v>0</v>
      </c>
      <c r="CL1109">
        <v>0</v>
      </c>
      <c r="CM1109">
        <v>0</v>
      </c>
      <c r="CN1109">
        <v>0</v>
      </c>
      <c r="CO1109">
        <v>1</v>
      </c>
      <c r="CP1109">
        <v>0</v>
      </c>
      <c r="CQ1109" s="18">
        <v>0</v>
      </c>
      <c r="CR1109">
        <v>4.149</v>
      </c>
      <c r="CS1109">
        <v>6</v>
      </c>
      <c r="CT1109">
        <v>1</v>
      </c>
      <c r="CU1109">
        <v>0</v>
      </c>
      <c r="CV1109">
        <v>20</v>
      </c>
      <c r="DB1109" s="34"/>
    </row>
    <row r="1110" spans="1:106" x14ac:dyDescent="0.25">
      <c r="A1110">
        <v>1109</v>
      </c>
      <c r="B1110">
        <v>74</v>
      </c>
      <c r="C1110" s="25" t="s">
        <v>4203</v>
      </c>
      <c r="D1110" s="12">
        <v>8</v>
      </c>
      <c r="E1110" s="14">
        <v>3.4</v>
      </c>
      <c r="F1110" s="7">
        <f t="shared" si="322"/>
        <v>2.3529411764705883</v>
      </c>
      <c r="G1110" s="7">
        <f t="shared" si="309"/>
        <v>4.5999999999999996</v>
      </c>
      <c r="H1110" s="16">
        <f t="shared" si="310"/>
        <v>11.4</v>
      </c>
      <c r="I1110" s="11">
        <f t="shared" si="311"/>
        <v>6.2872956111088646E-2</v>
      </c>
      <c r="J1110" s="33">
        <f t="shared" si="312"/>
        <v>2.6721006347212674E-2</v>
      </c>
      <c r="K1110" s="33">
        <f t="shared" si="313"/>
        <v>37.423740221681889</v>
      </c>
      <c r="L1110" s="33">
        <f t="shared" si="314"/>
        <v>3.6151949763875972E-2</v>
      </c>
      <c r="M1110" s="33">
        <f t="shared" si="315"/>
        <v>8.9593962458301313E-2</v>
      </c>
      <c r="N1110" s="8">
        <v>1</v>
      </c>
      <c r="O1110" s="9">
        <v>0</v>
      </c>
      <c r="P1110" s="8">
        <v>0</v>
      </c>
      <c r="Q1110" s="9">
        <v>1</v>
      </c>
      <c r="R1110" s="9">
        <v>0</v>
      </c>
      <c r="S1110" s="9">
        <v>0</v>
      </c>
      <c r="T1110" s="9">
        <v>0</v>
      </c>
      <c r="U1110" s="8">
        <v>1405</v>
      </c>
      <c r="V1110" s="9">
        <v>9</v>
      </c>
      <c r="W1110" s="9">
        <f t="shared" si="316"/>
        <v>1395</v>
      </c>
      <c r="X1110" s="9">
        <f t="shared" si="317"/>
        <v>14</v>
      </c>
      <c r="Y1110" s="7">
        <v>9.3000000000000007</v>
      </c>
      <c r="Z1110" s="7">
        <v>10.7</v>
      </c>
      <c r="AA1110" s="9">
        <v>1</v>
      </c>
      <c r="AB1110" s="9">
        <v>0</v>
      </c>
      <c r="AC1110" s="9">
        <v>1</v>
      </c>
      <c r="AD1110" s="9">
        <v>0</v>
      </c>
      <c r="AE1110" s="9">
        <v>0</v>
      </c>
      <c r="AF1110" s="9">
        <v>0</v>
      </c>
      <c r="AG1110" s="8">
        <v>0</v>
      </c>
      <c r="AH1110" s="9">
        <v>1</v>
      </c>
      <c r="AI1110" s="30">
        <v>0</v>
      </c>
      <c r="AJ1110" s="9">
        <v>1</v>
      </c>
      <c r="AK1110" s="30">
        <v>0</v>
      </c>
      <c r="AL1110" s="21">
        <v>2009</v>
      </c>
      <c r="AM1110" s="23">
        <f t="shared" si="318"/>
        <v>7.6053923648149349</v>
      </c>
      <c r="AN1110" s="33">
        <v>2.4E-2</v>
      </c>
      <c r="AO1110" s="33">
        <v>0.95</v>
      </c>
      <c r="AP1110" s="33">
        <v>0.65500000000000003</v>
      </c>
      <c r="AQ1110" s="43">
        <v>0.22600000000000001</v>
      </c>
      <c r="AR1110" s="42" t="s">
        <v>104</v>
      </c>
      <c r="AS1110" s="18" t="s">
        <v>104</v>
      </c>
      <c r="AT1110">
        <v>1</v>
      </c>
      <c r="AU1110" s="40">
        <f t="shared" si="321"/>
        <v>0</v>
      </c>
      <c r="AV1110">
        <v>0.94499999999999995</v>
      </c>
      <c r="AW1110" s="40">
        <v>0.55000000000000004</v>
      </c>
      <c r="AX1110">
        <v>0</v>
      </c>
      <c r="AY1110" s="18">
        <v>1</v>
      </c>
      <c r="AZ1110">
        <v>0</v>
      </c>
      <c r="BA1110" s="18">
        <v>1</v>
      </c>
      <c r="BB1110" s="18" t="s">
        <v>5</v>
      </c>
      <c r="BC1110">
        <v>0</v>
      </c>
      <c r="BD1110">
        <v>1</v>
      </c>
      <c r="BE1110">
        <v>0</v>
      </c>
      <c r="BF1110">
        <v>0</v>
      </c>
      <c r="BG1110">
        <v>0</v>
      </c>
      <c r="BH1110" s="18">
        <v>0</v>
      </c>
      <c r="BI1110">
        <v>0</v>
      </c>
      <c r="BJ1110">
        <v>1</v>
      </c>
      <c r="BK1110" s="18">
        <v>0</v>
      </c>
      <c r="BL1110">
        <v>127.1666666666667</v>
      </c>
      <c r="BM1110">
        <v>27</v>
      </c>
      <c r="BN1110" s="25">
        <v>34.700000000000003</v>
      </c>
      <c r="BO1110">
        <v>0</v>
      </c>
      <c r="BP1110">
        <v>0</v>
      </c>
      <c r="BQ1110">
        <v>0</v>
      </c>
      <c r="BR1110">
        <v>0</v>
      </c>
      <c r="BS1110">
        <v>0</v>
      </c>
      <c r="BT1110">
        <v>0</v>
      </c>
      <c r="BU1110">
        <v>0</v>
      </c>
      <c r="BV1110" s="18">
        <v>1</v>
      </c>
      <c r="BW1110">
        <v>0</v>
      </c>
      <c r="BX1110">
        <v>1</v>
      </c>
      <c r="BY1110">
        <v>0</v>
      </c>
      <c r="BZ1110" s="18">
        <v>0</v>
      </c>
      <c r="CA1110">
        <v>0</v>
      </c>
      <c r="CB1110">
        <v>0</v>
      </c>
      <c r="CC1110">
        <v>0</v>
      </c>
      <c r="CD1110">
        <v>0</v>
      </c>
      <c r="CE1110">
        <v>0</v>
      </c>
      <c r="CF1110" s="18">
        <v>1</v>
      </c>
      <c r="CG1110">
        <v>0</v>
      </c>
      <c r="CH1110">
        <v>0</v>
      </c>
      <c r="CI1110">
        <v>1</v>
      </c>
      <c r="CJ1110">
        <v>1</v>
      </c>
      <c r="CK1110">
        <v>0</v>
      </c>
      <c r="CL1110">
        <v>0</v>
      </c>
      <c r="CM1110">
        <v>0</v>
      </c>
      <c r="CN1110">
        <v>0</v>
      </c>
      <c r="CO1110">
        <v>1</v>
      </c>
      <c r="CP1110">
        <v>0</v>
      </c>
      <c r="CQ1110" s="18">
        <v>0</v>
      </c>
      <c r="CR1110">
        <v>4.149</v>
      </c>
      <c r="CS1110">
        <v>6</v>
      </c>
      <c r="CT1110">
        <v>1</v>
      </c>
      <c r="CU1110">
        <v>0</v>
      </c>
      <c r="CV1110">
        <v>20</v>
      </c>
      <c r="DB1110" s="34"/>
    </row>
    <row r="1111" spans="1:106" x14ac:dyDescent="0.25">
      <c r="A1111">
        <v>1110</v>
      </c>
      <c r="B1111">
        <v>74</v>
      </c>
      <c r="C1111" s="25" t="s">
        <v>4203</v>
      </c>
      <c r="D1111" s="12">
        <v>8</v>
      </c>
      <c r="E1111" s="14">
        <v>3.5</v>
      </c>
      <c r="F1111" s="7">
        <f t="shared" si="322"/>
        <v>2.2857142857142856</v>
      </c>
      <c r="G1111" s="7">
        <f t="shared" si="309"/>
        <v>4.5</v>
      </c>
      <c r="H1111" s="16">
        <f t="shared" si="310"/>
        <v>11.5</v>
      </c>
      <c r="I1111" s="11">
        <f t="shared" si="311"/>
        <v>6.1083386705926834E-2</v>
      </c>
      <c r="J1111" s="33">
        <f t="shared" si="312"/>
        <v>2.6723981683842993E-2</v>
      </c>
      <c r="K1111" s="33">
        <f t="shared" si="313"/>
        <v>37.419573618574525</v>
      </c>
      <c r="L1111" s="33">
        <f t="shared" si="314"/>
        <v>3.4359405022083844E-2</v>
      </c>
      <c r="M1111" s="33">
        <f t="shared" si="315"/>
        <v>8.7807368389769824E-2</v>
      </c>
      <c r="N1111" s="8">
        <v>1</v>
      </c>
      <c r="O1111" s="9">
        <v>0</v>
      </c>
      <c r="P1111" s="8">
        <v>0</v>
      </c>
      <c r="Q1111" s="9">
        <v>1</v>
      </c>
      <c r="R1111" s="9">
        <v>0</v>
      </c>
      <c r="S1111" s="9">
        <v>0</v>
      </c>
      <c r="T1111" s="9">
        <v>0</v>
      </c>
      <c r="U1111" s="8">
        <v>1405</v>
      </c>
      <c r="V1111" s="9">
        <v>9</v>
      </c>
      <c r="W1111" s="9">
        <f t="shared" si="316"/>
        <v>1395</v>
      </c>
      <c r="X1111" s="9">
        <f t="shared" si="317"/>
        <v>14</v>
      </c>
      <c r="Y1111" s="7">
        <v>9.3000000000000007</v>
      </c>
      <c r="Z1111" s="7">
        <v>10.7</v>
      </c>
      <c r="AA1111" s="9">
        <v>1</v>
      </c>
      <c r="AB1111" s="9">
        <v>0</v>
      </c>
      <c r="AC1111" s="9">
        <v>1</v>
      </c>
      <c r="AD1111" s="9">
        <v>0</v>
      </c>
      <c r="AE1111" s="9">
        <v>0</v>
      </c>
      <c r="AF1111" s="9">
        <v>0</v>
      </c>
      <c r="AG1111" s="8">
        <v>0</v>
      </c>
      <c r="AH1111" s="9">
        <v>1</v>
      </c>
      <c r="AI1111" s="30">
        <v>0</v>
      </c>
      <c r="AJ1111" s="9">
        <v>1</v>
      </c>
      <c r="AK1111" s="30">
        <v>0</v>
      </c>
      <c r="AL1111" s="21">
        <v>2009</v>
      </c>
      <c r="AM1111" s="23">
        <f t="shared" si="318"/>
        <v>7.6053923648149349</v>
      </c>
      <c r="AN1111" s="33">
        <v>2.4E-2</v>
      </c>
      <c r="AO1111" s="33">
        <v>0.95</v>
      </c>
      <c r="AP1111" s="33">
        <v>0.65500000000000003</v>
      </c>
      <c r="AQ1111" s="43">
        <v>0.22600000000000001</v>
      </c>
      <c r="AR1111" s="42" t="s">
        <v>104</v>
      </c>
      <c r="AS1111" s="18" t="s">
        <v>104</v>
      </c>
      <c r="AT1111">
        <v>1</v>
      </c>
      <c r="AU1111" s="40">
        <f t="shared" si="321"/>
        <v>0</v>
      </c>
      <c r="AV1111">
        <v>0.94499999999999995</v>
      </c>
      <c r="AW1111" s="40">
        <v>0.55000000000000004</v>
      </c>
      <c r="AX1111">
        <v>0</v>
      </c>
      <c r="AY1111" s="18">
        <v>1</v>
      </c>
      <c r="AZ1111">
        <v>0</v>
      </c>
      <c r="BA1111" s="18">
        <v>1</v>
      </c>
      <c r="BB1111" s="18" t="s">
        <v>5</v>
      </c>
      <c r="BC1111">
        <v>0</v>
      </c>
      <c r="BD1111">
        <v>1</v>
      </c>
      <c r="BE1111">
        <v>0</v>
      </c>
      <c r="BF1111">
        <v>0</v>
      </c>
      <c r="BG1111">
        <v>0</v>
      </c>
      <c r="BH1111" s="18">
        <v>0</v>
      </c>
      <c r="BI1111">
        <v>0</v>
      </c>
      <c r="BJ1111">
        <v>1</v>
      </c>
      <c r="BK1111" s="18">
        <v>0</v>
      </c>
      <c r="BL1111">
        <v>127.1666666666667</v>
      </c>
      <c r="BM1111">
        <v>27</v>
      </c>
      <c r="BN1111" s="25">
        <v>34.700000000000003</v>
      </c>
      <c r="BO1111">
        <v>0</v>
      </c>
      <c r="BP1111">
        <v>0</v>
      </c>
      <c r="BQ1111">
        <v>0</v>
      </c>
      <c r="BR1111">
        <v>0</v>
      </c>
      <c r="BS1111">
        <v>0</v>
      </c>
      <c r="BT1111">
        <v>0</v>
      </c>
      <c r="BU1111">
        <v>0</v>
      </c>
      <c r="BV1111" s="18">
        <v>1</v>
      </c>
      <c r="BW1111">
        <v>0</v>
      </c>
      <c r="BX1111">
        <v>1</v>
      </c>
      <c r="BY1111">
        <v>0</v>
      </c>
      <c r="BZ1111" s="18">
        <v>0</v>
      </c>
      <c r="CA1111">
        <v>0</v>
      </c>
      <c r="CB1111">
        <v>0</v>
      </c>
      <c r="CC1111">
        <v>0</v>
      </c>
      <c r="CD1111">
        <v>0</v>
      </c>
      <c r="CE1111">
        <v>0</v>
      </c>
      <c r="CF1111" s="18">
        <v>1</v>
      </c>
      <c r="CG1111">
        <v>0</v>
      </c>
      <c r="CH1111">
        <v>0</v>
      </c>
      <c r="CI1111">
        <v>1</v>
      </c>
      <c r="CJ1111">
        <v>1</v>
      </c>
      <c r="CK1111">
        <v>0</v>
      </c>
      <c r="CL1111">
        <v>0</v>
      </c>
      <c r="CM1111">
        <v>0</v>
      </c>
      <c r="CN1111">
        <v>0</v>
      </c>
      <c r="CO1111">
        <v>1</v>
      </c>
      <c r="CP1111">
        <v>0</v>
      </c>
      <c r="CQ1111" s="18">
        <v>0</v>
      </c>
      <c r="CR1111">
        <v>4.149</v>
      </c>
      <c r="CS1111">
        <v>6</v>
      </c>
      <c r="CT1111">
        <v>1</v>
      </c>
      <c r="CU1111">
        <v>0</v>
      </c>
      <c r="CV1111">
        <v>20</v>
      </c>
      <c r="DB1111" s="34"/>
    </row>
    <row r="1112" spans="1:106" x14ac:dyDescent="0.25">
      <c r="A1112">
        <v>1111</v>
      </c>
      <c r="B1112">
        <v>74</v>
      </c>
      <c r="C1112" s="25" t="s">
        <v>4203</v>
      </c>
      <c r="D1112" s="12">
        <v>8.4</v>
      </c>
      <c r="E1112" s="14">
        <v>3.8</v>
      </c>
      <c r="F1112" s="7">
        <f t="shared" si="322"/>
        <v>2.2105263157894739</v>
      </c>
      <c r="G1112" s="7">
        <f t="shared" si="309"/>
        <v>4.6000000000000005</v>
      </c>
      <c r="H1112" s="16">
        <f t="shared" si="310"/>
        <v>12.2</v>
      </c>
      <c r="I1112" s="11">
        <f t="shared" si="311"/>
        <v>5.908119733986171E-2</v>
      </c>
      <c r="J1112" s="33">
        <f t="shared" si="312"/>
        <v>2.6727208320413625E-2</v>
      </c>
      <c r="K1112" s="33">
        <f t="shared" si="313"/>
        <v>37.415056148465126</v>
      </c>
      <c r="L1112" s="33">
        <f t="shared" si="314"/>
        <v>3.2353989019448082E-2</v>
      </c>
      <c r="M1112" s="33">
        <f t="shared" si="315"/>
        <v>8.5808405660275339E-2</v>
      </c>
      <c r="N1112" s="8">
        <v>1</v>
      </c>
      <c r="O1112" s="9">
        <v>0</v>
      </c>
      <c r="P1112" s="8">
        <v>0</v>
      </c>
      <c r="Q1112" s="9">
        <v>1</v>
      </c>
      <c r="R1112" s="9">
        <v>0</v>
      </c>
      <c r="S1112" s="9">
        <v>0</v>
      </c>
      <c r="T1112" s="9">
        <v>0</v>
      </c>
      <c r="U1112" s="8">
        <v>1405</v>
      </c>
      <c r="V1112" s="9">
        <v>9</v>
      </c>
      <c r="W1112" s="9">
        <f t="shared" si="316"/>
        <v>1395</v>
      </c>
      <c r="X1112" s="9">
        <f t="shared" si="317"/>
        <v>14</v>
      </c>
      <c r="Y1112" s="7">
        <v>9.3000000000000007</v>
      </c>
      <c r="Z1112" s="7">
        <v>10.7</v>
      </c>
      <c r="AA1112" s="9">
        <v>1</v>
      </c>
      <c r="AB1112" s="9">
        <v>0</v>
      </c>
      <c r="AC1112" s="9">
        <v>1</v>
      </c>
      <c r="AD1112" s="9">
        <v>0</v>
      </c>
      <c r="AE1112" s="9">
        <v>0</v>
      </c>
      <c r="AF1112" s="9">
        <v>0</v>
      </c>
      <c r="AG1112" s="8">
        <v>0</v>
      </c>
      <c r="AH1112" s="9">
        <v>1</v>
      </c>
      <c r="AI1112" s="30">
        <v>0</v>
      </c>
      <c r="AJ1112" s="9">
        <v>1</v>
      </c>
      <c r="AK1112" s="30">
        <v>0</v>
      </c>
      <c r="AL1112" s="21">
        <v>2009</v>
      </c>
      <c r="AM1112" s="23">
        <f t="shared" si="318"/>
        <v>7.6053923648149349</v>
      </c>
      <c r="AN1112" s="33">
        <v>2.4E-2</v>
      </c>
      <c r="AO1112" s="33">
        <v>0.95</v>
      </c>
      <c r="AP1112" s="33">
        <v>0.65500000000000003</v>
      </c>
      <c r="AQ1112" s="43">
        <v>0.22600000000000001</v>
      </c>
      <c r="AR1112" s="42" t="s">
        <v>104</v>
      </c>
      <c r="AS1112" s="18" t="s">
        <v>104</v>
      </c>
      <c r="AT1112">
        <v>1</v>
      </c>
      <c r="AU1112" s="40">
        <f t="shared" si="321"/>
        <v>0</v>
      </c>
      <c r="AV1112">
        <v>0.94499999999999995</v>
      </c>
      <c r="AW1112" s="40">
        <v>0.55000000000000004</v>
      </c>
      <c r="AX1112">
        <v>0</v>
      </c>
      <c r="AY1112" s="18">
        <v>1</v>
      </c>
      <c r="AZ1112">
        <v>0</v>
      </c>
      <c r="BA1112" s="18">
        <v>1</v>
      </c>
      <c r="BB1112" s="18" t="s">
        <v>5</v>
      </c>
      <c r="BC1112">
        <v>0</v>
      </c>
      <c r="BD1112">
        <v>1</v>
      </c>
      <c r="BE1112">
        <v>0</v>
      </c>
      <c r="BF1112">
        <v>0</v>
      </c>
      <c r="BG1112">
        <v>0</v>
      </c>
      <c r="BH1112" s="18">
        <v>0</v>
      </c>
      <c r="BI1112">
        <v>0</v>
      </c>
      <c r="BJ1112">
        <v>1</v>
      </c>
      <c r="BK1112" s="18">
        <v>0</v>
      </c>
      <c r="BL1112">
        <v>127.1666666666667</v>
      </c>
      <c r="BM1112">
        <v>27</v>
      </c>
      <c r="BN1112" s="25">
        <v>34.700000000000003</v>
      </c>
      <c r="BO1112">
        <v>0</v>
      </c>
      <c r="BP1112">
        <v>0</v>
      </c>
      <c r="BQ1112">
        <v>0</v>
      </c>
      <c r="BR1112">
        <v>0</v>
      </c>
      <c r="BS1112">
        <v>0</v>
      </c>
      <c r="BT1112">
        <v>0</v>
      </c>
      <c r="BU1112">
        <v>0</v>
      </c>
      <c r="BV1112" s="18">
        <v>1</v>
      </c>
      <c r="BW1112">
        <v>0</v>
      </c>
      <c r="BX1112">
        <v>1</v>
      </c>
      <c r="BY1112">
        <v>0</v>
      </c>
      <c r="BZ1112" s="18">
        <v>0</v>
      </c>
      <c r="CA1112">
        <v>0</v>
      </c>
      <c r="CB1112">
        <v>0</v>
      </c>
      <c r="CC1112">
        <v>0</v>
      </c>
      <c r="CD1112">
        <v>0</v>
      </c>
      <c r="CE1112">
        <v>0</v>
      </c>
      <c r="CF1112" s="18">
        <v>1</v>
      </c>
      <c r="CG1112">
        <v>0</v>
      </c>
      <c r="CH1112">
        <v>0</v>
      </c>
      <c r="CI1112">
        <v>1</v>
      </c>
      <c r="CJ1112">
        <v>1</v>
      </c>
      <c r="CK1112">
        <v>0</v>
      </c>
      <c r="CL1112">
        <v>0</v>
      </c>
      <c r="CM1112">
        <v>0</v>
      </c>
      <c r="CN1112">
        <v>0</v>
      </c>
      <c r="CO1112">
        <v>1</v>
      </c>
      <c r="CP1112">
        <v>0</v>
      </c>
      <c r="CQ1112" s="18">
        <v>0</v>
      </c>
      <c r="CR1112">
        <v>4.149</v>
      </c>
      <c r="CS1112">
        <v>6</v>
      </c>
      <c r="CT1112">
        <v>1</v>
      </c>
      <c r="CU1112">
        <v>0</v>
      </c>
      <c r="CV1112">
        <v>20</v>
      </c>
      <c r="DB1112" s="34"/>
    </row>
    <row r="1113" spans="1:106" x14ac:dyDescent="0.25">
      <c r="A1113">
        <v>1112</v>
      </c>
      <c r="B1113">
        <v>74</v>
      </c>
      <c r="C1113" s="25" t="s">
        <v>4203</v>
      </c>
      <c r="D1113" s="12">
        <v>3.6</v>
      </c>
      <c r="E1113" s="14">
        <v>0.8</v>
      </c>
      <c r="F1113" s="7">
        <f t="shared" si="322"/>
        <v>4.5</v>
      </c>
      <c r="G1113" s="7">
        <f t="shared" si="309"/>
        <v>2.8</v>
      </c>
      <c r="H1113" s="16">
        <f t="shared" si="310"/>
        <v>4.4000000000000004</v>
      </c>
      <c r="I1113" s="11">
        <f t="shared" si="311"/>
        <v>0.14575018235653436</v>
      </c>
      <c r="J1113" s="33">
        <f t="shared" si="312"/>
        <v>3.2388929412563189E-2</v>
      </c>
      <c r="K1113" s="33">
        <f t="shared" si="313"/>
        <v>30.874746962525865</v>
      </c>
      <c r="L1113" s="33">
        <f t="shared" si="314"/>
        <v>0.11336125294397117</v>
      </c>
      <c r="M1113" s="33">
        <f t="shared" si="315"/>
        <v>0.17813911176909755</v>
      </c>
      <c r="N1113" s="8">
        <v>1</v>
      </c>
      <c r="O1113" s="9">
        <v>0</v>
      </c>
      <c r="P1113" s="8">
        <v>0</v>
      </c>
      <c r="Q1113" s="9">
        <v>1</v>
      </c>
      <c r="R1113" s="9">
        <v>0</v>
      </c>
      <c r="S1113" s="9">
        <v>0</v>
      </c>
      <c r="T1113" s="9">
        <v>0</v>
      </c>
      <c r="U1113" s="8">
        <v>945</v>
      </c>
      <c r="V1113" s="9">
        <v>11</v>
      </c>
      <c r="W1113" s="9">
        <f t="shared" si="316"/>
        <v>933</v>
      </c>
      <c r="X1113" s="9">
        <f t="shared" si="317"/>
        <v>14</v>
      </c>
      <c r="Y1113" s="7">
        <v>9.3000000000000007</v>
      </c>
      <c r="Z1113" s="7">
        <v>10.7</v>
      </c>
      <c r="AA1113" s="9">
        <v>1</v>
      </c>
      <c r="AB1113" s="9">
        <v>0</v>
      </c>
      <c r="AC1113" s="9">
        <v>1</v>
      </c>
      <c r="AD1113" s="9">
        <v>0</v>
      </c>
      <c r="AE1113" s="9">
        <v>0</v>
      </c>
      <c r="AF1113" s="9">
        <v>0</v>
      </c>
      <c r="AG1113" s="8">
        <v>0</v>
      </c>
      <c r="AH1113" s="9">
        <v>1</v>
      </c>
      <c r="AI1113" s="30">
        <v>0</v>
      </c>
      <c r="AJ1113" s="9">
        <v>1</v>
      </c>
      <c r="AK1113" s="30">
        <v>0</v>
      </c>
      <c r="AL1113" s="21">
        <v>2009</v>
      </c>
      <c r="AM1113" s="23">
        <f t="shared" si="318"/>
        <v>7.6053923648149349</v>
      </c>
      <c r="AN1113" s="33">
        <v>2.4E-2</v>
      </c>
      <c r="AO1113" s="33">
        <v>0.95</v>
      </c>
      <c r="AP1113" s="33">
        <v>0.65500000000000003</v>
      </c>
      <c r="AQ1113" s="43">
        <v>0.22600000000000001</v>
      </c>
      <c r="AR1113" s="42" t="s">
        <v>104</v>
      </c>
      <c r="AS1113" s="18" t="s">
        <v>104</v>
      </c>
      <c r="AT1113">
        <v>0</v>
      </c>
      <c r="AU1113" s="40">
        <f t="shared" si="321"/>
        <v>1</v>
      </c>
      <c r="AV1113">
        <v>0.94499999999999995</v>
      </c>
      <c r="AW1113" s="40">
        <v>0.55000000000000004</v>
      </c>
      <c r="AX1113">
        <v>0</v>
      </c>
      <c r="AY1113" s="18">
        <v>1</v>
      </c>
      <c r="AZ1113">
        <v>0</v>
      </c>
      <c r="BA1113" s="18">
        <v>1</v>
      </c>
      <c r="BB1113" s="18" t="s">
        <v>5</v>
      </c>
      <c r="BC1113">
        <v>0</v>
      </c>
      <c r="BD1113">
        <v>1</v>
      </c>
      <c r="BE1113">
        <v>0</v>
      </c>
      <c r="BF1113">
        <v>0</v>
      </c>
      <c r="BG1113">
        <v>0</v>
      </c>
      <c r="BH1113" s="18">
        <v>0</v>
      </c>
      <c r="BI1113">
        <v>0</v>
      </c>
      <c r="BJ1113">
        <v>1</v>
      </c>
      <c r="BK1113" s="18">
        <v>0</v>
      </c>
      <c r="BL1113">
        <v>127.1666666666667</v>
      </c>
      <c r="BM1113">
        <v>27</v>
      </c>
      <c r="BN1113" s="25">
        <v>34.700000000000003</v>
      </c>
      <c r="BO1113">
        <v>1</v>
      </c>
      <c r="BP1113">
        <v>0</v>
      </c>
      <c r="BQ1113">
        <v>0</v>
      </c>
      <c r="BR1113">
        <v>0</v>
      </c>
      <c r="BS1113">
        <v>0</v>
      </c>
      <c r="BT1113">
        <v>0</v>
      </c>
      <c r="BU1113">
        <v>0</v>
      </c>
      <c r="BV1113" s="18">
        <v>0</v>
      </c>
      <c r="BW1113">
        <v>0</v>
      </c>
      <c r="BX1113">
        <v>0</v>
      </c>
      <c r="BY1113">
        <v>1</v>
      </c>
      <c r="BZ1113" s="18">
        <v>0</v>
      </c>
      <c r="CA1113">
        <v>0</v>
      </c>
      <c r="CB1113">
        <v>0</v>
      </c>
      <c r="CC1113">
        <v>0</v>
      </c>
      <c r="CD1113">
        <v>0</v>
      </c>
      <c r="CE1113">
        <v>0</v>
      </c>
      <c r="CF1113" s="18">
        <v>0</v>
      </c>
      <c r="CG1113">
        <v>0</v>
      </c>
      <c r="CH1113">
        <v>0</v>
      </c>
      <c r="CI1113">
        <v>1</v>
      </c>
      <c r="CJ1113">
        <v>1</v>
      </c>
      <c r="CK1113">
        <v>0</v>
      </c>
      <c r="CL1113">
        <v>0</v>
      </c>
      <c r="CM1113">
        <v>0</v>
      </c>
      <c r="CN1113">
        <v>0</v>
      </c>
      <c r="CO1113">
        <v>1</v>
      </c>
      <c r="CP1113">
        <v>0</v>
      </c>
      <c r="CQ1113" s="18">
        <v>0</v>
      </c>
      <c r="CR1113">
        <v>4.149</v>
      </c>
      <c r="CS1113">
        <v>6</v>
      </c>
      <c r="CT1113">
        <v>1</v>
      </c>
      <c r="CU1113">
        <v>0</v>
      </c>
      <c r="CV1113">
        <v>20</v>
      </c>
      <c r="DB1113" s="34"/>
    </row>
    <row r="1114" spans="1:106" x14ac:dyDescent="0.25">
      <c r="A1114">
        <v>1113</v>
      </c>
      <c r="B1114">
        <v>74</v>
      </c>
      <c r="C1114" s="25" t="s">
        <v>4203</v>
      </c>
      <c r="D1114" s="12">
        <v>3.3</v>
      </c>
      <c r="E1114" s="14">
        <v>0.9</v>
      </c>
      <c r="F1114" s="7">
        <f t="shared" si="322"/>
        <v>3.6666666666666665</v>
      </c>
      <c r="G1114" s="7">
        <f t="shared" si="309"/>
        <v>2.4</v>
      </c>
      <c r="H1114" s="16">
        <f t="shared" si="310"/>
        <v>4.2</v>
      </c>
      <c r="I1114" s="11">
        <f t="shared" si="311"/>
        <v>0.11323970232334872</v>
      </c>
      <c r="J1114" s="33">
        <f t="shared" si="312"/>
        <v>3.0883555179095103E-2</v>
      </c>
      <c r="K1114" s="33">
        <f t="shared" si="313"/>
        <v>32.379691852215707</v>
      </c>
      <c r="L1114" s="33">
        <f t="shared" si="314"/>
        <v>8.2356147144253614E-2</v>
      </c>
      <c r="M1114" s="33">
        <f t="shared" si="315"/>
        <v>0.14412325750244381</v>
      </c>
      <c r="N1114" s="8">
        <v>1</v>
      </c>
      <c r="O1114" s="9">
        <v>0</v>
      </c>
      <c r="P1114" s="8">
        <v>0</v>
      </c>
      <c r="Q1114" s="9">
        <v>1</v>
      </c>
      <c r="R1114" s="9">
        <v>0</v>
      </c>
      <c r="S1114" s="9">
        <v>0</v>
      </c>
      <c r="T1114" s="9">
        <v>0</v>
      </c>
      <c r="U1114" s="8">
        <v>1047</v>
      </c>
      <c r="V1114" s="9">
        <v>11</v>
      </c>
      <c r="W1114" s="9">
        <f t="shared" si="316"/>
        <v>1035</v>
      </c>
      <c r="X1114" s="9">
        <f t="shared" si="317"/>
        <v>14</v>
      </c>
      <c r="Y1114" s="7">
        <v>9.3000000000000007</v>
      </c>
      <c r="Z1114" s="7">
        <v>10.7</v>
      </c>
      <c r="AA1114" s="9">
        <v>1</v>
      </c>
      <c r="AB1114" s="9">
        <v>0</v>
      </c>
      <c r="AC1114" s="9">
        <v>1</v>
      </c>
      <c r="AD1114" s="9">
        <v>0</v>
      </c>
      <c r="AE1114" s="9">
        <v>0</v>
      </c>
      <c r="AF1114" s="9">
        <v>0</v>
      </c>
      <c r="AG1114" s="8">
        <v>0</v>
      </c>
      <c r="AH1114" s="9">
        <v>1</v>
      </c>
      <c r="AI1114" s="30">
        <v>0</v>
      </c>
      <c r="AJ1114" s="9">
        <v>1</v>
      </c>
      <c r="AK1114" s="30">
        <v>0</v>
      </c>
      <c r="AL1114" s="21">
        <v>2009</v>
      </c>
      <c r="AM1114" s="23">
        <f t="shared" si="318"/>
        <v>7.6053923648149349</v>
      </c>
      <c r="AN1114" s="33">
        <v>2.4E-2</v>
      </c>
      <c r="AO1114" s="33">
        <v>0.95</v>
      </c>
      <c r="AP1114" s="33">
        <v>0.65500000000000003</v>
      </c>
      <c r="AQ1114" s="43">
        <v>0.22600000000000001</v>
      </c>
      <c r="AR1114" s="42" t="s">
        <v>104</v>
      </c>
      <c r="AS1114" s="18" t="s">
        <v>104</v>
      </c>
      <c r="AT1114">
        <v>0</v>
      </c>
      <c r="AU1114" s="40">
        <f t="shared" si="321"/>
        <v>1</v>
      </c>
      <c r="AV1114">
        <v>0.94499999999999995</v>
      </c>
      <c r="AW1114" s="40">
        <v>0.55000000000000004</v>
      </c>
      <c r="AX1114">
        <v>0</v>
      </c>
      <c r="AY1114" s="18">
        <v>1</v>
      </c>
      <c r="AZ1114">
        <v>0</v>
      </c>
      <c r="BA1114" s="18">
        <v>1</v>
      </c>
      <c r="BB1114" s="18" t="s">
        <v>5</v>
      </c>
      <c r="BC1114">
        <v>0</v>
      </c>
      <c r="BD1114">
        <v>1</v>
      </c>
      <c r="BE1114">
        <v>0</v>
      </c>
      <c r="BF1114">
        <v>0</v>
      </c>
      <c r="BG1114">
        <v>0</v>
      </c>
      <c r="BH1114" s="18">
        <v>0</v>
      </c>
      <c r="BI1114">
        <v>0</v>
      </c>
      <c r="BJ1114">
        <v>1</v>
      </c>
      <c r="BK1114" s="18">
        <v>0</v>
      </c>
      <c r="BL1114">
        <v>127.1666666666667</v>
      </c>
      <c r="BM1114">
        <v>27</v>
      </c>
      <c r="BN1114" s="25">
        <v>34.700000000000003</v>
      </c>
      <c r="BO1114">
        <v>1</v>
      </c>
      <c r="BP1114">
        <v>0</v>
      </c>
      <c r="BQ1114">
        <v>0</v>
      </c>
      <c r="BR1114">
        <v>0</v>
      </c>
      <c r="BS1114">
        <v>0</v>
      </c>
      <c r="BT1114">
        <v>0</v>
      </c>
      <c r="BU1114">
        <v>0</v>
      </c>
      <c r="BV1114" s="18">
        <v>0</v>
      </c>
      <c r="BW1114">
        <v>0</v>
      </c>
      <c r="BX1114">
        <v>0</v>
      </c>
      <c r="BY1114">
        <v>1</v>
      </c>
      <c r="BZ1114" s="18">
        <v>0</v>
      </c>
      <c r="CA1114">
        <v>0</v>
      </c>
      <c r="CB1114">
        <v>0</v>
      </c>
      <c r="CC1114">
        <v>0</v>
      </c>
      <c r="CD1114">
        <v>0</v>
      </c>
      <c r="CE1114">
        <v>0</v>
      </c>
      <c r="CF1114" s="18">
        <v>0</v>
      </c>
      <c r="CG1114">
        <v>0</v>
      </c>
      <c r="CH1114">
        <v>0</v>
      </c>
      <c r="CI1114">
        <v>1</v>
      </c>
      <c r="CJ1114">
        <v>1</v>
      </c>
      <c r="CK1114">
        <v>0</v>
      </c>
      <c r="CL1114">
        <v>0</v>
      </c>
      <c r="CM1114">
        <v>0</v>
      </c>
      <c r="CN1114">
        <v>0</v>
      </c>
      <c r="CO1114">
        <v>1</v>
      </c>
      <c r="CP1114">
        <v>0</v>
      </c>
      <c r="CQ1114" s="18">
        <v>0</v>
      </c>
      <c r="CR1114">
        <v>4.149</v>
      </c>
      <c r="CS1114">
        <v>6</v>
      </c>
      <c r="CT1114">
        <v>1</v>
      </c>
      <c r="CU1114">
        <v>0</v>
      </c>
      <c r="CV1114">
        <v>20</v>
      </c>
      <c r="DB1114" s="34"/>
    </row>
    <row r="1115" spans="1:106" x14ac:dyDescent="0.25">
      <c r="A1115">
        <v>1114</v>
      </c>
      <c r="B1115">
        <v>74</v>
      </c>
      <c r="C1115" s="25" t="s">
        <v>4203</v>
      </c>
      <c r="D1115" s="12">
        <v>7.4</v>
      </c>
      <c r="E1115" s="14">
        <v>3.2</v>
      </c>
      <c r="F1115" s="7">
        <f t="shared" si="322"/>
        <v>2.3125</v>
      </c>
      <c r="G1115" s="7">
        <f t="shared" si="309"/>
        <v>4.2</v>
      </c>
      <c r="H1115" s="16">
        <f t="shared" si="310"/>
        <v>10.600000000000001</v>
      </c>
      <c r="I1115" s="11">
        <f t="shared" si="311"/>
        <v>7.5451619050317345E-2</v>
      </c>
      <c r="J1115" s="33">
        <f t="shared" si="312"/>
        <v>3.2627727156893979E-2</v>
      </c>
      <c r="K1115" s="33">
        <f t="shared" si="313"/>
        <v>30.648779033592842</v>
      </c>
      <c r="L1115" s="33">
        <f t="shared" si="314"/>
        <v>4.2823891893423366E-2</v>
      </c>
      <c r="M1115" s="33">
        <f t="shared" si="315"/>
        <v>0.10807934620721132</v>
      </c>
      <c r="N1115" s="8">
        <v>1</v>
      </c>
      <c r="O1115" s="9">
        <v>0</v>
      </c>
      <c r="P1115" s="8">
        <v>0</v>
      </c>
      <c r="Q1115" s="9">
        <v>1</v>
      </c>
      <c r="R1115" s="9">
        <v>0</v>
      </c>
      <c r="S1115" s="9">
        <v>0</v>
      </c>
      <c r="T1115" s="9">
        <v>0</v>
      </c>
      <c r="U1115" s="8">
        <v>945</v>
      </c>
      <c r="V1115" s="9">
        <v>10</v>
      </c>
      <c r="W1115" s="9">
        <f t="shared" si="316"/>
        <v>934</v>
      </c>
      <c r="X1115" s="9">
        <f t="shared" si="317"/>
        <v>14</v>
      </c>
      <c r="Y1115" s="7">
        <v>9.3000000000000007</v>
      </c>
      <c r="Z1115" s="7">
        <v>10.7</v>
      </c>
      <c r="AA1115" s="9">
        <v>1</v>
      </c>
      <c r="AB1115" s="9">
        <v>0</v>
      </c>
      <c r="AC1115" s="9">
        <v>1</v>
      </c>
      <c r="AD1115" s="9">
        <v>0</v>
      </c>
      <c r="AE1115" s="9">
        <v>0</v>
      </c>
      <c r="AF1115" s="9">
        <v>0</v>
      </c>
      <c r="AG1115" s="8">
        <v>0</v>
      </c>
      <c r="AH1115" s="9">
        <v>1</v>
      </c>
      <c r="AI1115" s="30">
        <v>0</v>
      </c>
      <c r="AJ1115" s="9">
        <v>1</v>
      </c>
      <c r="AK1115" s="30">
        <v>0</v>
      </c>
      <c r="AL1115" s="21">
        <v>2009</v>
      </c>
      <c r="AM1115" s="23">
        <f t="shared" si="318"/>
        <v>7.6053923648149349</v>
      </c>
      <c r="AN1115" s="33">
        <v>2.4E-2</v>
      </c>
      <c r="AO1115" s="33">
        <v>0.95</v>
      </c>
      <c r="AP1115" s="33">
        <v>0.65500000000000003</v>
      </c>
      <c r="AQ1115" s="43">
        <v>0.22600000000000001</v>
      </c>
      <c r="AR1115" s="42" t="s">
        <v>104</v>
      </c>
      <c r="AS1115" s="18" t="s">
        <v>104</v>
      </c>
      <c r="AT1115">
        <v>0</v>
      </c>
      <c r="AU1115" s="40">
        <f t="shared" si="321"/>
        <v>1</v>
      </c>
      <c r="AV1115">
        <v>0.94499999999999995</v>
      </c>
      <c r="AW1115" s="40">
        <v>0.55000000000000004</v>
      </c>
      <c r="AX1115">
        <v>0</v>
      </c>
      <c r="AY1115" s="18">
        <v>1</v>
      </c>
      <c r="AZ1115">
        <v>0</v>
      </c>
      <c r="BA1115" s="18">
        <v>1</v>
      </c>
      <c r="BB1115" s="18" t="s">
        <v>5</v>
      </c>
      <c r="BC1115">
        <v>0</v>
      </c>
      <c r="BD1115">
        <v>1</v>
      </c>
      <c r="BE1115">
        <v>0</v>
      </c>
      <c r="BF1115">
        <v>0</v>
      </c>
      <c r="BG1115">
        <v>0</v>
      </c>
      <c r="BH1115" s="18">
        <v>0</v>
      </c>
      <c r="BI1115">
        <v>0</v>
      </c>
      <c r="BJ1115">
        <v>1</v>
      </c>
      <c r="BK1115" s="18">
        <v>0</v>
      </c>
      <c r="BL1115">
        <v>127.1666666666667</v>
      </c>
      <c r="BM1115">
        <v>27</v>
      </c>
      <c r="BN1115" s="25">
        <v>34.700000000000003</v>
      </c>
      <c r="BO1115">
        <v>0</v>
      </c>
      <c r="BP1115">
        <v>0</v>
      </c>
      <c r="BQ1115">
        <v>0</v>
      </c>
      <c r="BR1115">
        <v>0</v>
      </c>
      <c r="BS1115">
        <v>0</v>
      </c>
      <c r="BT1115">
        <v>0</v>
      </c>
      <c r="BU1115">
        <v>0</v>
      </c>
      <c r="BV1115" s="18">
        <v>1</v>
      </c>
      <c r="BW1115">
        <v>0</v>
      </c>
      <c r="BX1115">
        <v>1</v>
      </c>
      <c r="BY1115">
        <v>0</v>
      </c>
      <c r="BZ1115" s="18">
        <v>0</v>
      </c>
      <c r="CA1115">
        <v>0</v>
      </c>
      <c r="CB1115">
        <v>0</v>
      </c>
      <c r="CC1115">
        <v>0</v>
      </c>
      <c r="CD1115">
        <v>0</v>
      </c>
      <c r="CE1115">
        <v>0</v>
      </c>
      <c r="CF1115" s="18">
        <v>1</v>
      </c>
      <c r="CG1115">
        <v>0</v>
      </c>
      <c r="CH1115">
        <v>0</v>
      </c>
      <c r="CI1115">
        <v>1</v>
      </c>
      <c r="CJ1115">
        <v>1</v>
      </c>
      <c r="CK1115">
        <v>0</v>
      </c>
      <c r="CL1115">
        <v>0</v>
      </c>
      <c r="CM1115">
        <v>0</v>
      </c>
      <c r="CN1115">
        <v>0</v>
      </c>
      <c r="CO1115">
        <v>1</v>
      </c>
      <c r="CP1115">
        <v>0</v>
      </c>
      <c r="CQ1115" s="18">
        <v>0</v>
      </c>
      <c r="CR1115">
        <v>4.149</v>
      </c>
      <c r="CS1115">
        <v>6</v>
      </c>
      <c r="CT1115">
        <v>1</v>
      </c>
      <c r="CU1115">
        <v>0</v>
      </c>
      <c r="CV1115">
        <v>20</v>
      </c>
      <c r="DB1115" s="34"/>
    </row>
    <row r="1116" spans="1:106" x14ac:dyDescent="0.25">
      <c r="A1116">
        <v>1115</v>
      </c>
      <c r="B1116">
        <v>74</v>
      </c>
      <c r="C1116" s="25" t="s">
        <v>4203</v>
      </c>
      <c r="D1116" s="12">
        <v>7.2</v>
      </c>
      <c r="E1116" s="14">
        <v>4</v>
      </c>
      <c r="F1116" s="7">
        <f t="shared" si="322"/>
        <v>1.8</v>
      </c>
      <c r="G1116" s="7">
        <f t="shared" si="309"/>
        <v>3.2</v>
      </c>
      <c r="H1116" s="16">
        <f t="shared" si="310"/>
        <v>11.2</v>
      </c>
      <c r="I1116" s="11">
        <f t="shared" si="311"/>
        <v>5.8764565986251648E-2</v>
      </c>
      <c r="J1116" s="33">
        <f t="shared" si="312"/>
        <v>3.2646981103473138E-2</v>
      </c>
      <c r="K1116" s="33">
        <f t="shared" si="313"/>
        <v>30.630703550522632</v>
      </c>
      <c r="L1116" s="33">
        <f t="shared" si="314"/>
        <v>2.6117584882778509E-2</v>
      </c>
      <c r="M1116" s="33">
        <f t="shared" si="315"/>
        <v>9.1411547089724793E-2</v>
      </c>
      <c r="N1116" s="8">
        <v>1</v>
      </c>
      <c r="O1116" s="9">
        <v>0</v>
      </c>
      <c r="P1116" s="8">
        <v>0</v>
      </c>
      <c r="Q1116" s="9">
        <v>1</v>
      </c>
      <c r="R1116" s="9">
        <v>0</v>
      </c>
      <c r="S1116" s="9">
        <v>0</v>
      </c>
      <c r="T1116" s="9">
        <v>0</v>
      </c>
      <c r="U1116" s="8">
        <v>945</v>
      </c>
      <c r="V1116" s="9">
        <v>9</v>
      </c>
      <c r="W1116" s="9">
        <f t="shared" si="316"/>
        <v>935</v>
      </c>
      <c r="X1116" s="9">
        <f t="shared" si="317"/>
        <v>14</v>
      </c>
      <c r="Y1116" s="7">
        <v>9.3000000000000007</v>
      </c>
      <c r="Z1116" s="7">
        <v>10.7</v>
      </c>
      <c r="AA1116" s="9">
        <v>1</v>
      </c>
      <c r="AB1116" s="9">
        <v>0</v>
      </c>
      <c r="AC1116" s="9">
        <v>1</v>
      </c>
      <c r="AD1116" s="9">
        <v>0</v>
      </c>
      <c r="AE1116" s="9">
        <v>0</v>
      </c>
      <c r="AF1116" s="9">
        <v>0</v>
      </c>
      <c r="AG1116" s="8">
        <v>0</v>
      </c>
      <c r="AH1116" s="9">
        <v>1</v>
      </c>
      <c r="AI1116" s="30">
        <v>0</v>
      </c>
      <c r="AJ1116" s="9">
        <v>1</v>
      </c>
      <c r="AK1116" s="30">
        <v>0</v>
      </c>
      <c r="AL1116" s="21">
        <v>2009</v>
      </c>
      <c r="AM1116" s="23">
        <f t="shared" si="318"/>
        <v>7.6053923648149349</v>
      </c>
      <c r="AN1116" s="33">
        <v>2.4E-2</v>
      </c>
      <c r="AO1116" s="33">
        <v>0.95</v>
      </c>
      <c r="AP1116" s="33">
        <v>0.65500000000000003</v>
      </c>
      <c r="AQ1116" s="43">
        <v>0.22600000000000001</v>
      </c>
      <c r="AR1116" s="42" t="s">
        <v>104</v>
      </c>
      <c r="AS1116" s="18" t="s">
        <v>104</v>
      </c>
      <c r="AT1116">
        <v>0</v>
      </c>
      <c r="AU1116" s="40">
        <f t="shared" si="321"/>
        <v>1</v>
      </c>
      <c r="AV1116">
        <v>0.94499999999999995</v>
      </c>
      <c r="AW1116" s="40">
        <v>0.55000000000000004</v>
      </c>
      <c r="AX1116">
        <v>0</v>
      </c>
      <c r="AY1116" s="18">
        <v>1</v>
      </c>
      <c r="AZ1116">
        <v>0</v>
      </c>
      <c r="BA1116" s="18">
        <v>1</v>
      </c>
      <c r="BB1116" s="18" t="s">
        <v>5</v>
      </c>
      <c r="BC1116">
        <v>0</v>
      </c>
      <c r="BD1116">
        <v>1</v>
      </c>
      <c r="BE1116">
        <v>0</v>
      </c>
      <c r="BF1116">
        <v>0</v>
      </c>
      <c r="BG1116">
        <v>0</v>
      </c>
      <c r="BH1116" s="18">
        <v>0</v>
      </c>
      <c r="BI1116">
        <v>0</v>
      </c>
      <c r="BJ1116">
        <v>1</v>
      </c>
      <c r="BK1116" s="18">
        <v>0</v>
      </c>
      <c r="BL1116">
        <v>127.1666666666667</v>
      </c>
      <c r="BM1116">
        <v>27</v>
      </c>
      <c r="BN1116" s="25">
        <v>34.700000000000003</v>
      </c>
      <c r="BO1116">
        <v>0</v>
      </c>
      <c r="BP1116">
        <v>0</v>
      </c>
      <c r="BQ1116">
        <v>0</v>
      </c>
      <c r="BR1116">
        <v>0</v>
      </c>
      <c r="BS1116">
        <v>0</v>
      </c>
      <c r="BT1116">
        <v>0</v>
      </c>
      <c r="BU1116">
        <v>0</v>
      </c>
      <c r="BV1116" s="18">
        <v>1</v>
      </c>
      <c r="BW1116">
        <v>0</v>
      </c>
      <c r="BX1116">
        <v>1</v>
      </c>
      <c r="BY1116">
        <v>0</v>
      </c>
      <c r="BZ1116" s="18">
        <v>0</v>
      </c>
      <c r="CA1116">
        <v>0</v>
      </c>
      <c r="CB1116">
        <v>0</v>
      </c>
      <c r="CC1116">
        <v>0</v>
      </c>
      <c r="CD1116">
        <v>0</v>
      </c>
      <c r="CE1116">
        <v>0</v>
      </c>
      <c r="CF1116" s="18">
        <v>1</v>
      </c>
      <c r="CG1116">
        <v>0</v>
      </c>
      <c r="CH1116">
        <v>0</v>
      </c>
      <c r="CI1116">
        <v>1</v>
      </c>
      <c r="CJ1116">
        <v>1</v>
      </c>
      <c r="CK1116">
        <v>0</v>
      </c>
      <c r="CL1116">
        <v>0</v>
      </c>
      <c r="CM1116">
        <v>0</v>
      </c>
      <c r="CN1116">
        <v>0</v>
      </c>
      <c r="CO1116">
        <v>1</v>
      </c>
      <c r="CP1116">
        <v>0</v>
      </c>
      <c r="CQ1116" s="18">
        <v>0</v>
      </c>
      <c r="CR1116">
        <v>4.149</v>
      </c>
      <c r="CS1116">
        <v>6</v>
      </c>
      <c r="CT1116">
        <v>1</v>
      </c>
      <c r="CU1116">
        <v>0</v>
      </c>
      <c r="CV1116">
        <v>20</v>
      </c>
      <c r="DB1116" s="34"/>
    </row>
    <row r="1117" spans="1:106" x14ac:dyDescent="0.25">
      <c r="D1117" s="12"/>
      <c r="E1117" s="14"/>
      <c r="H1117" s="16"/>
      <c r="I1117" s="11"/>
      <c r="J1117" s="33"/>
      <c r="K1117" s="33"/>
      <c r="L1117" s="33"/>
      <c r="M1117" s="33"/>
      <c r="N1117" s="8"/>
      <c r="AG1117" s="8"/>
      <c r="AI1117" s="30"/>
      <c r="AK1117" s="30"/>
      <c r="AL1117" s="21"/>
      <c r="AM1117" s="23"/>
      <c r="AU1117" s="40"/>
      <c r="AW1117" s="40"/>
      <c r="AY1117" s="18"/>
      <c r="BA1117" s="18"/>
      <c r="BB1117" s="18"/>
      <c r="BH1117" s="18"/>
      <c r="BK1117" s="18"/>
      <c r="BV1117" s="18"/>
      <c r="BZ1117" s="18"/>
      <c r="CF1117" s="18"/>
      <c r="CQ1117" s="18"/>
      <c r="DB1117" s="34"/>
    </row>
    <row r="1118" spans="1:106" x14ac:dyDescent="0.25">
      <c r="D1118" s="12"/>
      <c r="E1118" s="14"/>
      <c r="H1118" s="16"/>
      <c r="I1118" s="11"/>
      <c r="J1118" s="33"/>
      <c r="K1118" s="33"/>
      <c r="L1118" s="33"/>
      <c r="M1118" s="33"/>
      <c r="N1118" s="8"/>
      <c r="AG1118" s="8"/>
      <c r="AI1118" s="30"/>
      <c r="AK1118" s="30"/>
      <c r="AL1118" s="21"/>
      <c r="AM1118" s="23"/>
      <c r="AU1118" s="40"/>
      <c r="AW1118" s="40"/>
      <c r="AY1118" s="18"/>
      <c r="BA1118" s="18"/>
      <c r="BB1118" s="18"/>
      <c r="BH1118" s="18"/>
      <c r="BK1118" s="18"/>
      <c r="BV1118" s="18"/>
      <c r="BZ1118" s="18"/>
      <c r="CF1118" s="18"/>
      <c r="CQ1118" s="18"/>
      <c r="DB1118" s="34"/>
    </row>
    <row r="1119" spans="1:106" x14ac:dyDescent="0.25">
      <c r="D1119" s="12"/>
      <c r="E1119" s="14"/>
      <c r="H1119" s="16"/>
      <c r="I1119" s="11"/>
      <c r="J1119" s="33"/>
      <c r="K1119" s="33"/>
      <c r="L1119" s="33"/>
      <c r="M1119" s="33"/>
      <c r="N1119" s="8"/>
      <c r="AG1119" s="8"/>
      <c r="AI1119" s="30"/>
      <c r="AK1119" s="30"/>
      <c r="AL1119" s="21"/>
      <c r="AM1119" s="23"/>
      <c r="AU1119" s="40"/>
      <c r="AW1119" s="40"/>
      <c r="AY1119" s="18"/>
      <c r="BA1119" s="18"/>
      <c r="BB1119" s="18"/>
      <c r="BH1119" s="18"/>
      <c r="BK1119" s="18"/>
      <c r="BV1119" s="18"/>
      <c r="BZ1119" s="18"/>
      <c r="CF1119" s="18"/>
      <c r="CQ1119" s="18"/>
      <c r="DB1119" s="34"/>
    </row>
    <row r="1120" spans="1:106" x14ac:dyDescent="0.25">
      <c r="D1120" s="12"/>
      <c r="E1120" s="14"/>
      <c r="H1120" s="16"/>
      <c r="I1120" s="11"/>
      <c r="J1120" s="33"/>
      <c r="K1120" s="33"/>
      <c r="L1120" s="33"/>
      <c r="M1120" s="33"/>
      <c r="N1120" s="8"/>
      <c r="AG1120" s="8"/>
      <c r="AI1120" s="30"/>
      <c r="AK1120" s="30"/>
      <c r="AL1120" s="21"/>
      <c r="AM1120" s="23"/>
      <c r="AU1120" s="40"/>
      <c r="AW1120" s="40"/>
      <c r="AY1120" s="18"/>
      <c r="BA1120" s="18"/>
      <c r="BB1120" s="18"/>
      <c r="BH1120" s="18"/>
      <c r="BK1120" s="18"/>
      <c r="BV1120" s="18"/>
      <c r="BZ1120" s="18"/>
      <c r="CF1120" s="18"/>
      <c r="CQ1120" s="18"/>
      <c r="DB1120" s="34"/>
    </row>
    <row r="1121" spans="4:106" x14ac:dyDescent="0.25">
      <c r="D1121" s="12"/>
      <c r="E1121" s="14"/>
      <c r="H1121" s="16"/>
      <c r="I1121" s="11"/>
      <c r="J1121" s="33"/>
      <c r="K1121" s="33"/>
      <c r="L1121" s="33"/>
      <c r="M1121" s="33"/>
      <c r="N1121" s="8"/>
      <c r="AG1121" s="8"/>
      <c r="AI1121" s="30"/>
      <c r="AK1121" s="30"/>
      <c r="AL1121" s="21"/>
      <c r="AM1121" s="23"/>
      <c r="AU1121" s="40"/>
      <c r="AW1121" s="40"/>
      <c r="AY1121" s="18"/>
      <c r="BA1121" s="18"/>
      <c r="BB1121" s="18"/>
      <c r="BH1121" s="18"/>
      <c r="BK1121" s="18"/>
      <c r="BV1121" s="18"/>
      <c r="BZ1121" s="18"/>
      <c r="CF1121" s="18"/>
      <c r="CQ1121" s="18"/>
      <c r="DB1121" s="34"/>
    </row>
    <row r="1122" spans="4:106" x14ac:dyDescent="0.25">
      <c r="D1122" s="12"/>
      <c r="E1122" s="14"/>
      <c r="H1122" s="16"/>
      <c r="I1122" s="11"/>
      <c r="J1122" s="33"/>
      <c r="K1122" s="33"/>
      <c r="L1122" s="33"/>
      <c r="M1122" s="33"/>
      <c r="N1122" s="8"/>
      <c r="AG1122" s="8"/>
      <c r="AI1122" s="30"/>
      <c r="AK1122" s="30"/>
      <c r="AL1122" s="21"/>
      <c r="AM1122" s="23"/>
      <c r="AU1122" s="40"/>
      <c r="AW1122" s="40"/>
      <c r="AY1122" s="18"/>
      <c r="BA1122" s="18"/>
      <c r="BB1122" s="18"/>
      <c r="BH1122" s="18"/>
      <c r="BK1122" s="18"/>
      <c r="BV1122" s="18"/>
      <c r="BZ1122" s="18"/>
      <c r="CF1122" s="18"/>
      <c r="CQ1122" s="18"/>
      <c r="DB1122" s="34"/>
    </row>
    <row r="1123" spans="4:106" x14ac:dyDescent="0.25">
      <c r="D1123" s="12"/>
      <c r="E1123" s="14"/>
      <c r="H1123" s="16"/>
      <c r="I1123" s="11"/>
      <c r="J1123" s="33"/>
      <c r="K1123" s="33"/>
      <c r="L1123" s="33"/>
      <c r="M1123" s="33"/>
      <c r="N1123" s="8"/>
      <c r="AG1123" s="8"/>
      <c r="AI1123" s="30"/>
      <c r="AK1123" s="30"/>
      <c r="AL1123" s="21"/>
      <c r="AM1123" s="23"/>
      <c r="AU1123" s="40"/>
      <c r="AW1123" s="40"/>
      <c r="AY1123" s="18"/>
      <c r="BA1123" s="18"/>
      <c r="BB1123" s="18"/>
      <c r="BH1123" s="18"/>
      <c r="BK1123" s="18"/>
      <c r="BV1123" s="18"/>
      <c r="BZ1123" s="18"/>
      <c r="CF1123" s="18"/>
      <c r="CQ1123" s="18"/>
      <c r="DB1123" s="34"/>
    </row>
    <row r="1124" spans="4:106" x14ac:dyDescent="0.25">
      <c r="D1124" s="12"/>
      <c r="E1124" s="14"/>
      <c r="H1124" s="16"/>
      <c r="I1124" s="11"/>
      <c r="J1124" s="33"/>
      <c r="K1124" s="33"/>
      <c r="L1124" s="33"/>
      <c r="M1124" s="33"/>
      <c r="N1124" s="8"/>
      <c r="AG1124" s="8"/>
      <c r="AI1124" s="30"/>
      <c r="AK1124" s="30"/>
      <c r="AL1124" s="21"/>
      <c r="AM1124" s="23"/>
      <c r="AU1124" s="40"/>
      <c r="AW1124" s="40"/>
      <c r="AY1124" s="18"/>
      <c r="BA1124" s="18"/>
      <c r="BB1124" s="18"/>
      <c r="BH1124" s="18"/>
      <c r="BK1124" s="18"/>
      <c r="BV1124" s="18"/>
      <c r="BZ1124" s="18"/>
      <c r="CF1124" s="18"/>
      <c r="CQ1124" s="18"/>
      <c r="DB1124" s="34"/>
    </row>
    <row r="1125" spans="4:106" x14ac:dyDescent="0.25">
      <c r="D1125" s="12"/>
      <c r="E1125" s="14"/>
      <c r="H1125" s="16"/>
      <c r="I1125" s="11"/>
      <c r="J1125" s="33"/>
      <c r="K1125" s="33"/>
      <c r="L1125" s="33"/>
      <c r="M1125" s="33"/>
      <c r="N1125" s="8"/>
      <c r="AG1125" s="8"/>
      <c r="AI1125" s="30"/>
      <c r="AK1125" s="30"/>
      <c r="AL1125" s="21"/>
      <c r="AM1125" s="23"/>
      <c r="AU1125" s="40"/>
      <c r="AW1125" s="40"/>
      <c r="AY1125" s="18"/>
      <c r="BA1125" s="18"/>
      <c r="BB1125" s="18"/>
      <c r="BH1125" s="18"/>
      <c r="BK1125" s="18"/>
      <c r="BV1125" s="18"/>
      <c r="BZ1125" s="18"/>
      <c r="CF1125" s="18"/>
      <c r="CQ1125" s="18"/>
      <c r="DB1125" s="34"/>
    </row>
    <row r="1126" spans="4:106" x14ac:dyDescent="0.25">
      <c r="D1126" s="12"/>
      <c r="E1126" s="14"/>
      <c r="H1126" s="16"/>
      <c r="I1126" s="11"/>
      <c r="J1126" s="33"/>
      <c r="K1126" s="33"/>
      <c r="L1126" s="33"/>
      <c r="M1126" s="33"/>
      <c r="N1126" s="8"/>
      <c r="AG1126" s="8"/>
      <c r="AI1126" s="30"/>
      <c r="AK1126" s="30"/>
      <c r="AL1126" s="21"/>
      <c r="AM1126" s="23"/>
      <c r="AU1126" s="40"/>
      <c r="AW1126" s="40"/>
      <c r="AY1126" s="18"/>
      <c r="BA1126" s="18"/>
      <c r="BB1126" s="18"/>
      <c r="BH1126" s="18"/>
      <c r="BK1126" s="18"/>
      <c r="BV1126" s="18"/>
      <c r="BZ1126" s="18"/>
      <c r="CF1126" s="18"/>
      <c r="CQ1126" s="18"/>
      <c r="DB1126" s="34"/>
    </row>
    <row r="1127" spans="4:106" x14ac:dyDescent="0.25">
      <c r="D1127" s="12"/>
      <c r="E1127" s="14"/>
      <c r="H1127" s="16"/>
      <c r="I1127" s="11"/>
      <c r="J1127" s="33"/>
      <c r="K1127" s="33"/>
      <c r="L1127" s="33"/>
      <c r="M1127" s="33"/>
      <c r="N1127" s="8"/>
      <c r="AG1127" s="8"/>
      <c r="AI1127" s="30"/>
      <c r="AK1127" s="30"/>
      <c r="AL1127" s="21"/>
      <c r="AM1127" s="23"/>
      <c r="AU1127" s="40"/>
      <c r="AW1127" s="40"/>
      <c r="AY1127" s="18"/>
      <c r="BA1127" s="18"/>
      <c r="BB1127" s="18"/>
      <c r="BH1127" s="18"/>
      <c r="BK1127" s="18"/>
      <c r="BV1127" s="18"/>
      <c r="BZ1127" s="18"/>
      <c r="CF1127" s="18"/>
      <c r="CQ1127" s="18"/>
      <c r="DB1127" s="34"/>
    </row>
    <row r="1128" spans="4:106" x14ac:dyDescent="0.25">
      <c r="D1128" s="12"/>
      <c r="E1128" s="14"/>
      <c r="H1128" s="16"/>
      <c r="I1128" s="11"/>
      <c r="J1128" s="33"/>
      <c r="K1128" s="33"/>
      <c r="L1128" s="33"/>
      <c r="M1128" s="33"/>
      <c r="N1128" s="8"/>
      <c r="AG1128" s="8"/>
      <c r="AI1128" s="30"/>
      <c r="AK1128" s="30"/>
      <c r="AL1128" s="21"/>
      <c r="AM1128" s="23"/>
      <c r="AU1128" s="40"/>
      <c r="AW1128" s="40"/>
      <c r="AY1128" s="18"/>
      <c r="BA1128" s="18"/>
      <c r="BB1128" s="18"/>
      <c r="BH1128" s="18"/>
      <c r="BK1128" s="18"/>
      <c r="BV1128" s="18"/>
      <c r="BZ1128" s="18"/>
      <c r="CF1128" s="18"/>
      <c r="CQ1128" s="18"/>
      <c r="DB1128" s="34"/>
    </row>
    <row r="1129" spans="4:106" x14ac:dyDescent="0.25">
      <c r="D1129" s="12"/>
      <c r="E1129" s="14"/>
      <c r="H1129" s="16"/>
      <c r="I1129" s="11"/>
      <c r="J1129" s="33"/>
      <c r="K1129" s="33"/>
      <c r="L1129" s="33"/>
      <c r="M1129" s="33"/>
      <c r="N1129" s="8"/>
      <c r="AG1129" s="8"/>
      <c r="AI1129" s="30"/>
      <c r="AK1129" s="30"/>
      <c r="AL1129" s="21"/>
      <c r="AM1129" s="23"/>
      <c r="AU1129" s="40"/>
      <c r="AW1129" s="40"/>
      <c r="AY1129" s="18"/>
      <c r="BA1129" s="18"/>
      <c r="BB1129" s="18"/>
      <c r="BH1129" s="18"/>
      <c r="BK1129" s="18"/>
      <c r="BV1129" s="18"/>
      <c r="BZ1129" s="18"/>
      <c r="CF1129" s="18"/>
      <c r="CQ1129" s="18"/>
      <c r="DB1129" s="34"/>
    </row>
    <row r="1130" spans="4:106" x14ac:dyDescent="0.25">
      <c r="D1130" s="12"/>
      <c r="E1130" s="14"/>
      <c r="H1130" s="16"/>
      <c r="I1130" s="11"/>
      <c r="J1130" s="33"/>
      <c r="K1130" s="33"/>
      <c r="L1130" s="33"/>
      <c r="M1130" s="33"/>
      <c r="N1130" s="8"/>
      <c r="AG1130" s="8"/>
      <c r="AI1130" s="30"/>
      <c r="AK1130" s="30"/>
      <c r="AL1130" s="21"/>
      <c r="AM1130" s="23"/>
      <c r="AU1130" s="40"/>
      <c r="AW1130" s="40"/>
      <c r="AY1130" s="18"/>
      <c r="BA1130" s="18"/>
      <c r="BB1130" s="18"/>
      <c r="BH1130" s="18"/>
      <c r="BK1130" s="18"/>
      <c r="BV1130" s="18"/>
      <c r="BZ1130" s="18"/>
      <c r="CF1130" s="18"/>
      <c r="CQ1130" s="18"/>
      <c r="DB1130" s="34"/>
    </row>
    <row r="1131" spans="4:106" x14ac:dyDescent="0.25">
      <c r="D1131" s="12"/>
      <c r="E1131" s="14"/>
      <c r="H1131" s="16"/>
      <c r="I1131" s="11"/>
      <c r="J1131" s="33"/>
      <c r="K1131" s="33"/>
      <c r="L1131" s="33"/>
      <c r="M1131" s="33"/>
      <c r="N1131" s="8"/>
      <c r="AG1131" s="8"/>
      <c r="AI1131" s="30"/>
      <c r="AK1131" s="30"/>
      <c r="AL1131" s="21"/>
      <c r="AM1131" s="23"/>
      <c r="AU1131" s="40"/>
      <c r="AW1131" s="40"/>
      <c r="AY1131" s="18"/>
      <c r="BA1131" s="18"/>
      <c r="BB1131" s="18"/>
      <c r="BH1131" s="18"/>
      <c r="BK1131" s="18"/>
      <c r="BV1131" s="18"/>
      <c r="BZ1131" s="18"/>
      <c r="CF1131" s="18"/>
      <c r="CQ1131" s="18"/>
      <c r="DB1131" s="34"/>
    </row>
    <row r="1132" spans="4:106" x14ac:dyDescent="0.25">
      <c r="D1132" s="12"/>
      <c r="E1132" s="14"/>
      <c r="H1132" s="16"/>
      <c r="I1132" s="11"/>
      <c r="J1132" s="33"/>
      <c r="K1132" s="33"/>
      <c r="L1132" s="33"/>
      <c r="M1132" s="33"/>
      <c r="N1132" s="8"/>
      <c r="AG1132" s="8"/>
      <c r="AI1132" s="30"/>
      <c r="AK1132" s="30"/>
      <c r="AL1132" s="21"/>
      <c r="AM1132" s="23"/>
      <c r="AU1132" s="40"/>
      <c r="AW1132" s="40"/>
      <c r="AY1132" s="18"/>
      <c r="BA1132" s="18"/>
      <c r="BB1132" s="18"/>
      <c r="BH1132" s="18"/>
      <c r="BK1132" s="18"/>
      <c r="BV1132" s="18"/>
      <c r="BZ1132" s="18"/>
      <c r="CF1132" s="18"/>
      <c r="CQ1132" s="18"/>
      <c r="DB1132" s="34"/>
    </row>
    <row r="1133" spans="4:106" x14ac:dyDescent="0.25">
      <c r="D1133" s="12"/>
      <c r="E1133" s="14"/>
      <c r="H1133" s="16"/>
      <c r="I1133" s="11"/>
      <c r="J1133" s="33"/>
      <c r="K1133" s="33"/>
      <c r="L1133" s="33"/>
      <c r="M1133" s="33"/>
      <c r="N1133" s="8"/>
      <c r="AG1133" s="8"/>
      <c r="AI1133" s="30"/>
      <c r="AK1133" s="30"/>
      <c r="AL1133" s="21"/>
      <c r="AM1133" s="23"/>
      <c r="AU1133" s="40"/>
      <c r="AW1133" s="40"/>
      <c r="AY1133" s="18"/>
      <c r="BA1133" s="18"/>
      <c r="BB1133" s="18"/>
      <c r="BH1133" s="18"/>
      <c r="BK1133" s="18"/>
      <c r="BV1133" s="18"/>
      <c r="BZ1133" s="18"/>
      <c r="CF1133" s="18"/>
      <c r="CQ1133" s="18"/>
      <c r="DB1133" s="34"/>
    </row>
    <row r="1134" spans="4:106" x14ac:dyDescent="0.25">
      <c r="D1134" s="12"/>
      <c r="E1134" s="14"/>
      <c r="H1134" s="16"/>
      <c r="I1134" s="11"/>
      <c r="J1134" s="33"/>
      <c r="K1134" s="33"/>
      <c r="L1134" s="33"/>
      <c r="M1134" s="33"/>
      <c r="N1134" s="8"/>
      <c r="AG1134" s="8"/>
      <c r="AI1134" s="30"/>
      <c r="AK1134" s="30"/>
      <c r="AL1134" s="21"/>
      <c r="AM1134" s="23"/>
      <c r="AU1134" s="40"/>
      <c r="AW1134" s="40"/>
      <c r="AY1134" s="18"/>
      <c r="BA1134" s="18"/>
      <c r="BB1134" s="18"/>
      <c r="BH1134" s="18"/>
      <c r="BK1134" s="18"/>
      <c r="BV1134" s="18"/>
      <c r="BZ1134" s="18"/>
      <c r="CF1134" s="18"/>
      <c r="CQ1134" s="18"/>
      <c r="DB1134" s="34"/>
    </row>
    <row r="1135" spans="4:106" x14ac:dyDescent="0.25">
      <c r="D1135" s="12"/>
      <c r="E1135" s="14"/>
      <c r="H1135" s="16"/>
      <c r="I1135" s="11"/>
      <c r="J1135" s="33"/>
      <c r="K1135" s="33"/>
      <c r="L1135" s="33"/>
      <c r="M1135" s="33"/>
      <c r="N1135" s="8"/>
      <c r="AG1135" s="8"/>
      <c r="AI1135" s="30"/>
      <c r="AK1135" s="30"/>
      <c r="AL1135" s="21"/>
      <c r="AM1135" s="23"/>
      <c r="AU1135" s="40"/>
      <c r="AW1135" s="40"/>
      <c r="AY1135" s="18"/>
      <c r="BA1135" s="18"/>
      <c r="BB1135" s="18"/>
      <c r="BH1135" s="18"/>
      <c r="BK1135" s="18"/>
      <c r="BV1135" s="18"/>
      <c r="BZ1135" s="18"/>
      <c r="CF1135" s="18"/>
      <c r="CQ1135" s="18"/>
      <c r="DB1135" s="34"/>
    </row>
    <row r="1136" spans="4:106" x14ac:dyDescent="0.25">
      <c r="D1136" s="12"/>
      <c r="E1136" s="14"/>
      <c r="H1136" s="16"/>
      <c r="I1136" s="11"/>
      <c r="J1136" s="33"/>
      <c r="K1136" s="33"/>
      <c r="L1136" s="33"/>
      <c r="M1136" s="33"/>
      <c r="N1136" s="8"/>
      <c r="AG1136" s="8"/>
      <c r="AI1136" s="30"/>
      <c r="AK1136" s="30"/>
      <c r="AL1136" s="21"/>
      <c r="AM1136" s="23"/>
      <c r="AU1136" s="40"/>
      <c r="AW1136" s="40"/>
      <c r="AY1136" s="18"/>
      <c r="BA1136" s="18"/>
      <c r="BB1136" s="18"/>
      <c r="BH1136" s="18"/>
      <c r="BK1136" s="18"/>
      <c r="BV1136" s="18"/>
      <c r="BZ1136" s="18"/>
      <c r="CF1136" s="18"/>
      <c r="CQ1136" s="18"/>
      <c r="DB1136" s="34"/>
    </row>
    <row r="1137" spans="4:106" x14ac:dyDescent="0.25">
      <c r="D1137" s="12"/>
      <c r="E1137" s="14"/>
      <c r="H1137" s="16"/>
      <c r="I1137" s="11"/>
      <c r="J1137" s="33"/>
      <c r="K1137" s="33"/>
      <c r="L1137" s="33"/>
      <c r="M1137" s="33"/>
      <c r="N1137" s="8"/>
      <c r="AG1137" s="8"/>
      <c r="AI1137" s="30"/>
      <c r="AK1137" s="30"/>
      <c r="AL1137" s="21"/>
      <c r="AM1137" s="23"/>
      <c r="AU1137" s="40"/>
      <c r="AW1137" s="40"/>
      <c r="AY1137" s="18"/>
      <c r="BA1137" s="18"/>
      <c r="BB1137" s="18"/>
      <c r="BH1137" s="18"/>
      <c r="BK1137" s="18"/>
      <c r="BV1137" s="18"/>
      <c r="BZ1137" s="18"/>
      <c r="CF1137" s="18"/>
      <c r="CQ1137" s="18"/>
      <c r="DB1137" s="34"/>
    </row>
    <row r="1138" spans="4:106" x14ac:dyDescent="0.25">
      <c r="D1138" s="12"/>
      <c r="E1138" s="14"/>
      <c r="H1138" s="16"/>
      <c r="I1138" s="11"/>
      <c r="J1138" s="33"/>
      <c r="K1138" s="33"/>
      <c r="L1138" s="33"/>
      <c r="M1138" s="33"/>
      <c r="N1138" s="8"/>
      <c r="AG1138" s="8"/>
      <c r="AI1138" s="30"/>
      <c r="AK1138" s="30"/>
      <c r="AL1138" s="21"/>
      <c r="AM1138" s="23"/>
      <c r="AU1138" s="40"/>
      <c r="AW1138" s="40"/>
      <c r="AY1138" s="18"/>
      <c r="BA1138" s="18"/>
      <c r="BB1138" s="18"/>
      <c r="BH1138" s="18"/>
      <c r="BK1138" s="18"/>
      <c r="BV1138" s="18"/>
      <c r="BZ1138" s="18"/>
      <c r="CF1138" s="18"/>
      <c r="CQ1138" s="18"/>
      <c r="DB1138" s="34"/>
    </row>
    <row r="1139" spans="4:106" x14ac:dyDescent="0.25">
      <c r="D1139" s="12"/>
      <c r="E1139" s="14"/>
      <c r="H1139" s="16"/>
      <c r="I1139" s="11"/>
      <c r="J1139" s="33"/>
      <c r="K1139" s="33"/>
      <c r="L1139" s="33"/>
      <c r="M1139" s="33"/>
      <c r="N1139" s="8"/>
      <c r="AG1139" s="8"/>
      <c r="AI1139" s="30"/>
      <c r="AK1139" s="30"/>
      <c r="AL1139" s="21"/>
      <c r="AM1139" s="23"/>
      <c r="AU1139" s="40"/>
      <c r="AW1139" s="40"/>
      <c r="AY1139" s="18"/>
      <c r="BA1139" s="18"/>
      <c r="BB1139" s="18"/>
      <c r="BH1139" s="18"/>
      <c r="BK1139" s="18"/>
      <c r="BV1139" s="18"/>
      <c r="BZ1139" s="18"/>
      <c r="CF1139" s="18"/>
      <c r="CQ1139" s="18"/>
      <c r="DB1139" s="34"/>
    </row>
    <row r="1140" spans="4:106" x14ac:dyDescent="0.25">
      <c r="D1140" s="12"/>
      <c r="E1140" s="14"/>
      <c r="H1140" s="16"/>
      <c r="I1140" s="11"/>
      <c r="J1140" s="33"/>
      <c r="K1140" s="33"/>
      <c r="L1140" s="33"/>
      <c r="M1140" s="33"/>
      <c r="N1140" s="8"/>
      <c r="AG1140" s="8"/>
      <c r="AI1140" s="30"/>
      <c r="AK1140" s="30"/>
      <c r="AL1140" s="21"/>
      <c r="AM1140" s="23"/>
      <c r="AU1140" s="40"/>
      <c r="AW1140" s="40"/>
      <c r="AY1140" s="18"/>
      <c r="BA1140" s="18"/>
      <c r="BB1140" s="18"/>
      <c r="BH1140" s="18"/>
      <c r="BK1140" s="18"/>
      <c r="BV1140" s="18"/>
      <c r="BZ1140" s="18"/>
      <c r="CF1140" s="18"/>
      <c r="CQ1140" s="18"/>
      <c r="DB1140" s="34"/>
    </row>
    <row r="1141" spans="4:106" x14ac:dyDescent="0.25">
      <c r="D1141" s="12"/>
      <c r="E1141" s="14"/>
      <c r="H1141" s="16"/>
      <c r="I1141" s="11"/>
      <c r="J1141" s="33"/>
      <c r="K1141" s="33"/>
      <c r="L1141" s="33"/>
      <c r="M1141" s="33"/>
      <c r="N1141" s="8"/>
      <c r="AG1141" s="8"/>
      <c r="AI1141" s="30"/>
      <c r="AK1141" s="30"/>
      <c r="AL1141" s="21"/>
      <c r="AM1141" s="23"/>
      <c r="AU1141" s="40"/>
      <c r="AW1141" s="40"/>
      <c r="AY1141" s="18"/>
      <c r="BA1141" s="18"/>
      <c r="BB1141" s="18"/>
      <c r="BH1141" s="18"/>
      <c r="BK1141" s="18"/>
      <c r="BV1141" s="18"/>
      <c r="BZ1141" s="18"/>
      <c r="CF1141" s="18"/>
      <c r="CQ1141" s="18"/>
      <c r="DB1141" s="34"/>
    </row>
    <row r="1142" spans="4:106" x14ac:dyDescent="0.25">
      <c r="D1142" s="12"/>
      <c r="E1142" s="14"/>
      <c r="H1142" s="16"/>
      <c r="I1142" s="11"/>
      <c r="J1142" s="33"/>
      <c r="K1142" s="33"/>
      <c r="L1142" s="33"/>
      <c r="M1142" s="33"/>
      <c r="N1142" s="8"/>
      <c r="AG1142" s="8"/>
      <c r="AI1142" s="30"/>
      <c r="AK1142" s="30"/>
      <c r="AL1142" s="21"/>
      <c r="AM1142" s="23"/>
      <c r="AU1142" s="40"/>
      <c r="AW1142" s="40"/>
      <c r="AY1142" s="18"/>
      <c r="BA1142" s="18"/>
      <c r="BB1142" s="18"/>
      <c r="BH1142" s="18"/>
      <c r="BK1142" s="18"/>
      <c r="BV1142" s="18"/>
      <c r="BZ1142" s="18"/>
      <c r="CF1142" s="18"/>
      <c r="CQ1142" s="18"/>
      <c r="DB1142" s="34"/>
    </row>
    <row r="1143" spans="4:106" x14ac:dyDescent="0.25">
      <c r="D1143" s="12"/>
      <c r="E1143" s="14"/>
      <c r="H1143" s="16"/>
      <c r="I1143" s="11"/>
      <c r="J1143" s="33"/>
      <c r="K1143" s="33"/>
      <c r="L1143" s="33"/>
      <c r="M1143" s="33"/>
      <c r="N1143" s="8"/>
      <c r="AG1143" s="8"/>
      <c r="AI1143" s="30"/>
      <c r="AK1143" s="30"/>
      <c r="AL1143" s="21"/>
      <c r="AM1143" s="23"/>
      <c r="AU1143" s="40"/>
      <c r="AW1143" s="40"/>
      <c r="AY1143" s="18"/>
      <c r="BA1143" s="18"/>
      <c r="BB1143" s="18"/>
      <c r="BH1143" s="18"/>
      <c r="BK1143" s="18"/>
      <c r="BV1143" s="18"/>
      <c r="BZ1143" s="18"/>
      <c r="CF1143" s="18"/>
      <c r="CQ1143" s="18"/>
      <c r="DB1143" s="34"/>
    </row>
    <row r="1144" spans="4:106" x14ac:dyDescent="0.25">
      <c r="D1144" s="12"/>
      <c r="E1144" s="14"/>
      <c r="H1144" s="16"/>
      <c r="I1144" s="11"/>
      <c r="J1144" s="33"/>
      <c r="K1144" s="33"/>
      <c r="L1144" s="33"/>
      <c r="M1144" s="33"/>
      <c r="N1144" s="8"/>
      <c r="AG1144" s="8"/>
      <c r="AI1144" s="30"/>
      <c r="AK1144" s="30"/>
      <c r="AL1144" s="21"/>
      <c r="AM1144" s="23"/>
      <c r="AU1144" s="40"/>
      <c r="AW1144" s="40"/>
      <c r="AY1144" s="18"/>
      <c r="BA1144" s="18"/>
      <c r="BB1144" s="18"/>
      <c r="BH1144" s="18"/>
      <c r="BK1144" s="18"/>
      <c r="BV1144" s="18"/>
      <c r="BZ1144" s="18"/>
      <c r="CF1144" s="18"/>
      <c r="CQ1144" s="18"/>
      <c r="DB1144" s="34"/>
    </row>
    <row r="1145" spans="4:106" x14ac:dyDescent="0.25">
      <c r="D1145" s="12"/>
      <c r="E1145" s="14"/>
      <c r="H1145" s="16"/>
      <c r="I1145" s="11"/>
      <c r="J1145" s="33"/>
      <c r="K1145" s="33"/>
      <c r="L1145" s="33"/>
      <c r="M1145" s="33"/>
      <c r="N1145" s="8"/>
      <c r="AG1145" s="8"/>
      <c r="AI1145" s="30"/>
      <c r="AK1145" s="30"/>
      <c r="AL1145" s="21"/>
      <c r="AM1145" s="23"/>
      <c r="AU1145" s="40"/>
      <c r="AW1145" s="40"/>
      <c r="AY1145" s="18"/>
      <c r="BA1145" s="18"/>
      <c r="BB1145" s="18"/>
      <c r="BH1145" s="18"/>
      <c r="BK1145" s="18"/>
      <c r="BV1145" s="18"/>
      <c r="BZ1145" s="18"/>
      <c r="CF1145" s="18"/>
      <c r="CQ1145" s="18"/>
      <c r="DB1145" s="34"/>
    </row>
    <row r="1146" spans="4:106" x14ac:dyDescent="0.25">
      <c r="D1146" s="12"/>
      <c r="E1146" s="14"/>
      <c r="H1146" s="16"/>
      <c r="I1146" s="11"/>
      <c r="J1146" s="33"/>
      <c r="K1146" s="33"/>
      <c r="L1146" s="33"/>
      <c r="M1146" s="33"/>
      <c r="N1146" s="8"/>
      <c r="AG1146" s="8"/>
      <c r="AI1146" s="30"/>
      <c r="AK1146" s="30"/>
      <c r="AL1146" s="21"/>
      <c r="AM1146" s="23"/>
      <c r="AU1146" s="40"/>
      <c r="AW1146" s="40"/>
      <c r="AY1146" s="18"/>
      <c r="BA1146" s="18"/>
      <c r="BB1146" s="18"/>
      <c r="BH1146" s="18"/>
      <c r="BK1146" s="18"/>
      <c r="BV1146" s="18"/>
      <c r="BZ1146" s="18"/>
      <c r="CF1146" s="18"/>
      <c r="CQ1146" s="18"/>
      <c r="DB1146" s="34"/>
    </row>
    <row r="1147" spans="4:106" x14ac:dyDescent="0.25">
      <c r="D1147" s="12"/>
      <c r="E1147" s="14"/>
      <c r="H1147" s="16"/>
      <c r="I1147" s="11"/>
      <c r="J1147" s="33"/>
      <c r="K1147" s="33"/>
      <c r="L1147" s="33"/>
      <c r="M1147" s="33"/>
      <c r="N1147" s="8"/>
      <c r="AG1147" s="8"/>
      <c r="AI1147" s="30"/>
      <c r="AK1147" s="30"/>
      <c r="AL1147" s="21"/>
      <c r="AM1147" s="23"/>
      <c r="AU1147" s="40"/>
      <c r="AW1147" s="40"/>
      <c r="AY1147" s="18"/>
      <c r="BA1147" s="18"/>
      <c r="BB1147" s="18"/>
      <c r="BH1147" s="18"/>
      <c r="BK1147" s="18"/>
      <c r="BV1147" s="18"/>
      <c r="BZ1147" s="18"/>
      <c r="CF1147" s="18"/>
      <c r="CQ1147" s="18"/>
      <c r="DB1147" s="34"/>
    </row>
    <row r="1148" spans="4:106" x14ac:dyDescent="0.25">
      <c r="D1148" s="12"/>
      <c r="E1148" s="14"/>
      <c r="H1148" s="16"/>
      <c r="I1148" s="11"/>
      <c r="J1148" s="33"/>
      <c r="K1148" s="33"/>
      <c r="L1148" s="33"/>
      <c r="M1148" s="33"/>
      <c r="N1148" s="8"/>
      <c r="AG1148" s="8"/>
      <c r="AI1148" s="30"/>
      <c r="AK1148" s="30"/>
      <c r="AL1148" s="21"/>
      <c r="AM1148" s="23"/>
      <c r="AU1148" s="40"/>
      <c r="AW1148" s="40"/>
      <c r="AY1148" s="18"/>
      <c r="BA1148" s="18"/>
      <c r="BB1148" s="18"/>
      <c r="BH1148" s="18"/>
      <c r="BK1148" s="18"/>
      <c r="BV1148" s="18"/>
      <c r="BZ1148" s="18"/>
      <c r="CF1148" s="18"/>
      <c r="CQ1148" s="18"/>
      <c r="DB1148" s="34"/>
    </row>
    <row r="1149" spans="4:106" x14ac:dyDescent="0.25">
      <c r="D1149" s="12"/>
      <c r="E1149" s="14"/>
      <c r="H1149" s="16"/>
      <c r="I1149" s="11"/>
      <c r="J1149" s="33"/>
      <c r="K1149" s="33"/>
      <c r="L1149" s="33"/>
      <c r="M1149" s="33"/>
      <c r="N1149" s="8"/>
      <c r="AG1149" s="8"/>
      <c r="AI1149" s="30"/>
      <c r="AK1149" s="30"/>
      <c r="AL1149" s="21"/>
      <c r="AM1149" s="23"/>
      <c r="AU1149" s="40"/>
      <c r="AW1149" s="40"/>
      <c r="AY1149" s="18"/>
      <c r="BA1149" s="18"/>
      <c r="BB1149" s="18"/>
      <c r="BH1149" s="18"/>
      <c r="BK1149" s="18"/>
      <c r="BV1149" s="18"/>
      <c r="BZ1149" s="18"/>
      <c r="CF1149" s="18"/>
      <c r="CQ1149" s="18"/>
      <c r="DB1149" s="34"/>
    </row>
    <row r="1150" spans="4:106" x14ac:dyDescent="0.25">
      <c r="D1150" s="12"/>
      <c r="E1150" s="14"/>
      <c r="H1150" s="16"/>
      <c r="I1150" s="11"/>
      <c r="J1150" s="33"/>
      <c r="K1150" s="33"/>
      <c r="L1150" s="33"/>
      <c r="M1150" s="33"/>
      <c r="N1150" s="8"/>
      <c r="AG1150" s="8"/>
      <c r="AI1150" s="30"/>
      <c r="AK1150" s="30"/>
      <c r="AL1150" s="21"/>
      <c r="AM1150" s="23"/>
      <c r="AU1150" s="40"/>
      <c r="AW1150" s="40"/>
      <c r="AY1150" s="18"/>
      <c r="BA1150" s="18"/>
      <c r="BB1150" s="18"/>
      <c r="BH1150" s="18"/>
      <c r="BK1150" s="18"/>
      <c r="BV1150" s="18"/>
      <c r="BZ1150" s="18"/>
      <c r="CF1150" s="18"/>
      <c r="CQ1150" s="18"/>
      <c r="DB1150" s="34"/>
    </row>
    <row r="1151" spans="4:106" x14ac:dyDescent="0.25">
      <c r="D1151" s="12"/>
      <c r="E1151" s="14"/>
      <c r="H1151" s="16"/>
      <c r="I1151" s="11"/>
      <c r="J1151" s="33"/>
      <c r="K1151" s="33"/>
      <c r="L1151" s="33"/>
      <c r="M1151" s="33"/>
      <c r="N1151" s="8"/>
      <c r="AG1151" s="8"/>
      <c r="AI1151" s="30"/>
      <c r="AK1151" s="30"/>
      <c r="AL1151" s="21"/>
      <c r="AM1151" s="23"/>
      <c r="AU1151" s="40"/>
      <c r="AW1151" s="40"/>
      <c r="AY1151" s="18"/>
      <c r="BA1151" s="18"/>
      <c r="BB1151" s="18"/>
      <c r="BH1151" s="18"/>
      <c r="BK1151" s="18"/>
      <c r="BV1151" s="18"/>
      <c r="BZ1151" s="18"/>
      <c r="CF1151" s="18"/>
      <c r="CQ1151" s="18"/>
      <c r="DB1151" s="34"/>
    </row>
    <row r="1152" spans="4:106" x14ac:dyDescent="0.25">
      <c r="D1152" s="12"/>
      <c r="E1152" s="14"/>
      <c r="H1152" s="16"/>
      <c r="I1152" s="11"/>
      <c r="J1152" s="33"/>
      <c r="K1152" s="33"/>
      <c r="L1152" s="33"/>
      <c r="M1152" s="33"/>
      <c r="N1152" s="8"/>
      <c r="AG1152" s="8"/>
      <c r="AI1152" s="30"/>
      <c r="AK1152" s="30"/>
      <c r="AL1152" s="21"/>
      <c r="AM1152" s="23"/>
      <c r="AU1152" s="40"/>
      <c r="AW1152" s="40"/>
      <c r="AY1152" s="18"/>
      <c r="BA1152" s="18"/>
      <c r="BB1152" s="18"/>
      <c r="BH1152" s="18"/>
      <c r="BK1152" s="18"/>
      <c r="BV1152" s="18"/>
      <c r="BZ1152" s="18"/>
      <c r="CF1152" s="18"/>
      <c r="CQ1152" s="18"/>
      <c r="DB1152" s="34"/>
    </row>
    <row r="1153" spans="4:106" x14ac:dyDescent="0.25">
      <c r="D1153" s="12"/>
      <c r="E1153" s="14"/>
      <c r="H1153" s="16"/>
      <c r="I1153" s="11"/>
      <c r="J1153" s="33"/>
      <c r="K1153" s="33"/>
      <c r="L1153" s="33"/>
      <c r="M1153" s="33"/>
      <c r="N1153" s="8"/>
      <c r="AG1153" s="8"/>
      <c r="AI1153" s="30"/>
      <c r="AK1153" s="30"/>
      <c r="AL1153" s="21"/>
      <c r="AM1153" s="23"/>
      <c r="AU1153" s="40"/>
      <c r="AW1153" s="40"/>
      <c r="AY1153" s="18"/>
      <c r="BA1153" s="18"/>
      <c r="BB1153" s="18"/>
      <c r="BH1153" s="18"/>
      <c r="BK1153" s="18"/>
      <c r="BV1153" s="18"/>
      <c r="BZ1153" s="18"/>
      <c r="CF1153" s="18"/>
      <c r="CQ1153" s="18"/>
      <c r="DB1153" s="34"/>
    </row>
    <row r="1154" spans="4:106" x14ac:dyDescent="0.25">
      <c r="D1154" s="12"/>
      <c r="E1154" s="14"/>
      <c r="H1154" s="16"/>
      <c r="I1154" s="11"/>
      <c r="J1154" s="33"/>
      <c r="K1154" s="33"/>
      <c r="L1154" s="33"/>
      <c r="M1154" s="33"/>
      <c r="N1154" s="8"/>
      <c r="AG1154" s="8"/>
      <c r="AI1154" s="30"/>
      <c r="AK1154" s="30"/>
      <c r="AL1154" s="21"/>
      <c r="AM1154" s="23"/>
      <c r="AU1154" s="40"/>
      <c r="AW1154" s="40"/>
      <c r="AY1154" s="18"/>
      <c r="BA1154" s="18"/>
      <c r="BB1154" s="18"/>
      <c r="BH1154" s="18"/>
      <c r="BK1154" s="18"/>
      <c r="BV1154" s="18"/>
      <c r="BZ1154" s="18"/>
      <c r="CF1154" s="18"/>
      <c r="CQ1154" s="18"/>
      <c r="DB1154" s="34"/>
    </row>
    <row r="1155" spans="4:106" x14ac:dyDescent="0.25">
      <c r="D1155" s="12"/>
      <c r="E1155" s="14"/>
      <c r="H1155" s="16"/>
      <c r="I1155" s="11"/>
      <c r="J1155" s="33"/>
      <c r="K1155" s="33"/>
      <c r="L1155" s="33"/>
      <c r="M1155" s="33"/>
      <c r="N1155" s="8"/>
      <c r="AG1155" s="8"/>
      <c r="AI1155" s="30"/>
      <c r="AK1155" s="30"/>
      <c r="AL1155" s="21"/>
      <c r="AM1155" s="23"/>
      <c r="AU1155" s="40"/>
      <c r="AW1155" s="40"/>
      <c r="AY1155" s="18"/>
      <c r="BA1155" s="18"/>
      <c r="BB1155" s="18"/>
      <c r="BH1155" s="18"/>
      <c r="BK1155" s="18"/>
      <c r="BV1155" s="18"/>
      <c r="BZ1155" s="18"/>
      <c r="CF1155" s="18"/>
      <c r="CQ1155" s="18"/>
      <c r="DB1155" s="34"/>
    </row>
    <row r="1156" spans="4:106" x14ac:dyDescent="0.25">
      <c r="D1156" s="12"/>
      <c r="E1156" s="14"/>
      <c r="H1156" s="16"/>
      <c r="I1156" s="11"/>
      <c r="J1156" s="33"/>
      <c r="K1156" s="33"/>
      <c r="L1156" s="33"/>
      <c r="M1156" s="33"/>
      <c r="N1156" s="8"/>
      <c r="AG1156" s="8"/>
      <c r="AI1156" s="30"/>
      <c r="AK1156" s="30"/>
      <c r="AL1156" s="21"/>
      <c r="AM1156" s="23"/>
      <c r="AU1156" s="40"/>
      <c r="AW1156" s="40"/>
      <c r="AY1156" s="18"/>
      <c r="BA1156" s="18"/>
      <c r="BB1156" s="18"/>
      <c r="BH1156" s="18"/>
      <c r="BK1156" s="18"/>
      <c r="BV1156" s="18"/>
      <c r="BZ1156" s="18"/>
      <c r="CF1156" s="18"/>
      <c r="CQ1156" s="18"/>
      <c r="DB1156" s="34"/>
    </row>
    <row r="1157" spans="4:106" x14ac:dyDescent="0.25">
      <c r="D1157" s="12"/>
      <c r="E1157" s="14"/>
      <c r="H1157" s="16"/>
      <c r="I1157" s="11"/>
      <c r="J1157" s="33"/>
      <c r="K1157" s="33"/>
      <c r="L1157" s="33"/>
      <c r="M1157" s="33"/>
      <c r="N1157" s="8"/>
      <c r="AG1157" s="8"/>
      <c r="AI1157" s="30"/>
      <c r="AK1157" s="30"/>
      <c r="AL1157" s="21"/>
      <c r="AM1157" s="23"/>
      <c r="AU1157" s="40"/>
      <c r="AW1157" s="40"/>
      <c r="AY1157" s="18"/>
      <c r="BA1157" s="18"/>
      <c r="BB1157" s="18"/>
      <c r="BH1157" s="18"/>
      <c r="BK1157" s="18"/>
      <c r="BV1157" s="18"/>
      <c r="BZ1157" s="18"/>
      <c r="CF1157" s="18"/>
      <c r="CQ1157" s="18"/>
      <c r="DB1157" s="34"/>
    </row>
    <row r="1158" spans="4:106" x14ac:dyDescent="0.25">
      <c r="D1158" s="12"/>
      <c r="E1158" s="14"/>
      <c r="H1158" s="16"/>
      <c r="I1158" s="11"/>
      <c r="J1158" s="33"/>
      <c r="K1158" s="33"/>
      <c r="L1158" s="33"/>
      <c r="M1158" s="33"/>
      <c r="N1158" s="8"/>
      <c r="AG1158" s="8"/>
      <c r="AI1158" s="30"/>
      <c r="AK1158" s="30"/>
      <c r="AL1158" s="21"/>
      <c r="AM1158" s="23"/>
      <c r="AU1158" s="40"/>
      <c r="AW1158" s="40"/>
      <c r="AY1158" s="18"/>
      <c r="BA1158" s="18"/>
      <c r="BB1158" s="18"/>
      <c r="BH1158" s="18"/>
      <c r="BK1158" s="18"/>
      <c r="BV1158" s="18"/>
      <c r="BZ1158" s="18"/>
      <c r="CF1158" s="18"/>
      <c r="CQ1158" s="18"/>
      <c r="DB1158" s="34"/>
    </row>
    <row r="1159" spans="4:106" x14ac:dyDescent="0.25">
      <c r="D1159" s="12"/>
      <c r="E1159" s="14"/>
      <c r="H1159" s="16"/>
      <c r="I1159" s="11"/>
      <c r="J1159" s="33"/>
      <c r="K1159" s="33"/>
      <c r="L1159" s="33"/>
      <c r="M1159" s="33"/>
      <c r="N1159" s="8"/>
      <c r="AG1159" s="8"/>
      <c r="AI1159" s="30"/>
      <c r="AK1159" s="30"/>
      <c r="AL1159" s="21"/>
      <c r="AM1159" s="23"/>
      <c r="AU1159" s="40"/>
      <c r="AW1159" s="40"/>
      <c r="AY1159" s="18"/>
      <c r="BA1159" s="18"/>
      <c r="BB1159" s="18"/>
      <c r="BH1159" s="18"/>
      <c r="BK1159" s="18"/>
      <c r="BV1159" s="18"/>
      <c r="BZ1159" s="18"/>
      <c r="CF1159" s="18"/>
      <c r="CQ1159" s="18"/>
      <c r="DB1159" s="34"/>
    </row>
    <row r="1160" spans="4:106" x14ac:dyDescent="0.25">
      <c r="D1160" s="12"/>
      <c r="E1160" s="14"/>
      <c r="H1160" s="16"/>
      <c r="I1160" s="11"/>
      <c r="J1160" s="33"/>
      <c r="K1160" s="33"/>
      <c r="L1160" s="33"/>
      <c r="M1160" s="33"/>
      <c r="N1160" s="8"/>
      <c r="AG1160" s="8"/>
      <c r="AI1160" s="30"/>
      <c r="AK1160" s="30"/>
      <c r="AL1160" s="21"/>
      <c r="AM1160" s="23"/>
      <c r="AU1160" s="40"/>
      <c r="AW1160" s="40"/>
      <c r="AY1160" s="18"/>
      <c r="BA1160" s="18"/>
      <c r="BB1160" s="18"/>
      <c r="BH1160" s="18"/>
      <c r="BK1160" s="18"/>
      <c r="BV1160" s="18"/>
      <c r="BZ1160" s="18"/>
      <c r="CF1160" s="18"/>
      <c r="CQ1160" s="18"/>
      <c r="DB1160" s="34"/>
    </row>
    <row r="1161" spans="4:106" x14ac:dyDescent="0.25">
      <c r="D1161" s="12"/>
      <c r="E1161" s="14"/>
      <c r="H1161" s="16"/>
      <c r="I1161" s="11"/>
      <c r="J1161" s="33"/>
      <c r="K1161" s="33"/>
      <c r="L1161" s="33"/>
      <c r="M1161" s="33"/>
      <c r="N1161" s="8"/>
      <c r="AG1161" s="8"/>
      <c r="AI1161" s="30"/>
      <c r="AK1161" s="30"/>
      <c r="AL1161" s="21"/>
      <c r="AM1161" s="23"/>
      <c r="AU1161" s="40"/>
      <c r="AW1161" s="40"/>
      <c r="AY1161" s="18"/>
      <c r="BA1161" s="18"/>
      <c r="BB1161" s="18"/>
      <c r="BH1161" s="18"/>
      <c r="BK1161" s="18"/>
      <c r="BV1161" s="18"/>
      <c r="BZ1161" s="18"/>
      <c r="CF1161" s="18"/>
      <c r="CQ1161" s="18"/>
      <c r="DB1161" s="34"/>
    </row>
    <row r="1162" spans="4:106" x14ac:dyDescent="0.25">
      <c r="D1162" s="12"/>
      <c r="E1162" s="14"/>
      <c r="H1162" s="16"/>
      <c r="I1162" s="11"/>
      <c r="J1162" s="33"/>
      <c r="K1162" s="33"/>
      <c r="L1162" s="33"/>
      <c r="M1162" s="33"/>
      <c r="N1162" s="8"/>
      <c r="AG1162" s="8"/>
      <c r="AI1162" s="30"/>
      <c r="AK1162" s="30"/>
      <c r="AL1162" s="21"/>
      <c r="AM1162" s="23"/>
      <c r="AU1162" s="40"/>
      <c r="AW1162" s="40"/>
      <c r="AY1162" s="18"/>
      <c r="BA1162" s="18"/>
      <c r="BB1162" s="18"/>
      <c r="BH1162" s="18"/>
      <c r="BK1162" s="18"/>
      <c r="BV1162" s="18"/>
      <c r="BZ1162" s="18"/>
      <c r="CF1162" s="18"/>
      <c r="CQ1162" s="18"/>
      <c r="DB1162" s="34"/>
    </row>
    <row r="1163" spans="4:106" x14ac:dyDescent="0.25">
      <c r="D1163" s="12"/>
      <c r="E1163" s="14"/>
      <c r="H1163" s="16"/>
      <c r="I1163" s="11"/>
      <c r="J1163" s="33"/>
      <c r="K1163" s="33"/>
      <c r="L1163" s="33"/>
      <c r="M1163" s="33"/>
      <c r="N1163" s="8"/>
      <c r="AG1163" s="8"/>
      <c r="AI1163" s="30"/>
      <c r="AK1163" s="30"/>
      <c r="AL1163" s="21"/>
      <c r="AM1163" s="23"/>
      <c r="AU1163" s="40"/>
      <c r="AW1163" s="40"/>
      <c r="AY1163" s="18"/>
      <c r="BA1163" s="18"/>
      <c r="BB1163" s="18"/>
      <c r="BH1163" s="18"/>
      <c r="BK1163" s="18"/>
      <c r="BV1163" s="18"/>
      <c r="BZ1163" s="18"/>
      <c r="CF1163" s="18"/>
      <c r="CQ1163" s="18"/>
      <c r="DB1163" s="34"/>
    </row>
    <row r="1164" spans="4:106" x14ac:dyDescent="0.25">
      <c r="D1164" s="12"/>
      <c r="E1164" s="14"/>
      <c r="H1164" s="16"/>
      <c r="I1164" s="11"/>
      <c r="J1164" s="33"/>
      <c r="K1164" s="33"/>
      <c r="L1164" s="33"/>
      <c r="M1164" s="33"/>
      <c r="N1164" s="8"/>
      <c r="AG1164" s="8"/>
      <c r="AI1164" s="30"/>
      <c r="AK1164" s="30"/>
      <c r="AL1164" s="21"/>
      <c r="AM1164" s="23"/>
      <c r="AU1164" s="40"/>
      <c r="AW1164" s="40"/>
      <c r="AY1164" s="18"/>
      <c r="BA1164" s="18"/>
      <c r="BB1164" s="18"/>
      <c r="BH1164" s="18"/>
      <c r="BK1164" s="18"/>
      <c r="BV1164" s="18"/>
      <c r="BZ1164" s="18"/>
      <c r="CF1164" s="18"/>
      <c r="CQ1164" s="18"/>
      <c r="DB1164" s="34"/>
    </row>
    <row r="1165" spans="4:106" x14ac:dyDescent="0.25">
      <c r="D1165" s="12"/>
      <c r="E1165" s="14"/>
      <c r="H1165" s="16"/>
      <c r="I1165" s="11"/>
      <c r="J1165" s="33"/>
      <c r="K1165" s="33"/>
      <c r="L1165" s="33"/>
      <c r="M1165" s="33"/>
      <c r="N1165" s="8"/>
      <c r="AG1165" s="8"/>
      <c r="AI1165" s="30"/>
      <c r="AK1165" s="30"/>
      <c r="AL1165" s="21"/>
      <c r="AM1165" s="23"/>
      <c r="AU1165" s="40"/>
      <c r="AW1165" s="40"/>
      <c r="AY1165" s="18"/>
      <c r="BA1165" s="18"/>
      <c r="BB1165" s="18"/>
      <c r="BH1165" s="18"/>
      <c r="BK1165" s="18"/>
      <c r="BV1165" s="18"/>
      <c r="BZ1165" s="18"/>
      <c r="CF1165" s="18"/>
      <c r="CQ1165" s="18"/>
      <c r="DB1165" s="34"/>
    </row>
    <row r="1166" spans="4:106" x14ac:dyDescent="0.25">
      <c r="D1166" s="12"/>
      <c r="E1166" s="14"/>
      <c r="H1166" s="16"/>
      <c r="I1166" s="11"/>
      <c r="J1166" s="33"/>
      <c r="K1166" s="33"/>
      <c r="L1166" s="33"/>
      <c r="M1166" s="33"/>
      <c r="N1166" s="8"/>
      <c r="AG1166" s="8"/>
      <c r="AI1166" s="30"/>
      <c r="AK1166" s="30"/>
      <c r="AL1166" s="21"/>
      <c r="AM1166" s="23"/>
      <c r="AU1166" s="40"/>
      <c r="AW1166" s="40"/>
      <c r="AY1166" s="18"/>
      <c r="BA1166" s="18"/>
      <c r="BB1166" s="18"/>
      <c r="BH1166" s="18"/>
      <c r="BK1166" s="18"/>
      <c r="BV1166" s="18"/>
      <c r="BZ1166" s="18"/>
      <c r="CF1166" s="18"/>
      <c r="CQ1166" s="18"/>
      <c r="DB1166" s="34"/>
    </row>
    <row r="1167" spans="4:106" x14ac:dyDescent="0.25">
      <c r="D1167" s="12"/>
      <c r="E1167" s="14"/>
      <c r="H1167" s="16"/>
      <c r="I1167" s="11"/>
      <c r="J1167" s="33"/>
      <c r="K1167" s="33"/>
      <c r="L1167" s="33"/>
      <c r="M1167" s="33"/>
      <c r="N1167" s="8"/>
      <c r="AG1167" s="8"/>
      <c r="AI1167" s="30"/>
      <c r="AK1167" s="30"/>
      <c r="AL1167" s="21"/>
      <c r="AM1167" s="23"/>
      <c r="AU1167" s="40"/>
      <c r="AW1167" s="40"/>
      <c r="AY1167" s="18"/>
      <c r="BA1167" s="18"/>
      <c r="BB1167" s="18"/>
      <c r="BH1167" s="18"/>
      <c r="BK1167" s="18"/>
      <c r="BV1167" s="18"/>
      <c r="BZ1167" s="18"/>
      <c r="CF1167" s="18"/>
      <c r="CQ1167" s="18"/>
      <c r="DB1167" s="34"/>
    </row>
    <row r="1168" spans="4:106" x14ac:dyDescent="0.25">
      <c r="D1168" s="12"/>
      <c r="E1168" s="14"/>
      <c r="H1168" s="16"/>
      <c r="I1168" s="11"/>
      <c r="J1168" s="33"/>
      <c r="K1168" s="33"/>
      <c r="L1168" s="33"/>
      <c r="M1168" s="33"/>
      <c r="N1168" s="8"/>
      <c r="AG1168" s="8"/>
      <c r="AI1168" s="30"/>
      <c r="AK1168" s="30"/>
      <c r="AL1168" s="21"/>
      <c r="AM1168" s="23"/>
      <c r="AU1168" s="40"/>
      <c r="AW1168" s="40"/>
      <c r="AY1168" s="18"/>
      <c r="BA1168" s="18"/>
      <c r="BB1168" s="18"/>
      <c r="BH1168" s="18"/>
      <c r="BK1168" s="18"/>
      <c r="BV1168" s="18"/>
      <c r="BZ1168" s="18"/>
      <c r="CF1168" s="18"/>
      <c r="CQ1168" s="18"/>
      <c r="DB1168" s="34"/>
    </row>
    <row r="1169" spans="4:106" x14ac:dyDescent="0.25">
      <c r="D1169" s="12"/>
      <c r="E1169" s="14"/>
      <c r="H1169" s="16"/>
      <c r="I1169" s="11"/>
      <c r="J1169" s="33"/>
      <c r="K1169" s="33"/>
      <c r="L1169" s="33"/>
      <c r="M1169" s="33"/>
      <c r="N1169" s="8"/>
      <c r="AG1169" s="8"/>
      <c r="AI1169" s="30"/>
      <c r="AK1169" s="30"/>
      <c r="AL1169" s="21"/>
      <c r="AM1169" s="23"/>
      <c r="AU1169" s="40"/>
      <c r="AW1169" s="40"/>
      <c r="AY1169" s="18"/>
      <c r="BA1169" s="18"/>
      <c r="BB1169" s="18"/>
      <c r="BH1169" s="18"/>
      <c r="BK1169" s="18"/>
      <c r="BV1169" s="18"/>
      <c r="BZ1169" s="18"/>
      <c r="CF1169" s="18"/>
      <c r="CQ1169" s="18"/>
      <c r="DB1169" s="34"/>
    </row>
    <row r="1170" spans="4:106" x14ac:dyDescent="0.25">
      <c r="D1170" s="12"/>
      <c r="E1170" s="14"/>
      <c r="H1170" s="16"/>
      <c r="I1170" s="11"/>
      <c r="J1170" s="33"/>
      <c r="K1170" s="33"/>
      <c r="L1170" s="33"/>
      <c r="M1170" s="33"/>
      <c r="N1170" s="8"/>
      <c r="AG1170" s="8"/>
      <c r="AI1170" s="30"/>
      <c r="AK1170" s="30"/>
      <c r="AL1170" s="21"/>
      <c r="AM1170" s="23"/>
      <c r="AU1170" s="40"/>
      <c r="AW1170" s="40"/>
      <c r="AY1170" s="18"/>
      <c r="BA1170" s="18"/>
      <c r="BB1170" s="18"/>
      <c r="BH1170" s="18"/>
      <c r="BK1170" s="18"/>
      <c r="BV1170" s="18"/>
      <c r="BZ1170" s="18"/>
      <c r="CF1170" s="18"/>
      <c r="CQ1170" s="18"/>
      <c r="DB1170" s="34"/>
    </row>
    <row r="1171" spans="4:106" x14ac:dyDescent="0.25">
      <c r="D1171" s="12"/>
      <c r="E1171" s="14"/>
      <c r="H1171" s="16"/>
      <c r="I1171" s="11"/>
      <c r="J1171" s="33"/>
      <c r="K1171" s="33"/>
      <c r="L1171" s="33"/>
      <c r="M1171" s="33"/>
      <c r="N1171" s="8"/>
      <c r="AG1171" s="8"/>
      <c r="AI1171" s="30"/>
      <c r="AK1171" s="30"/>
      <c r="AL1171" s="21"/>
      <c r="AM1171" s="23"/>
      <c r="AU1171" s="40"/>
      <c r="AW1171" s="40"/>
      <c r="AY1171" s="18"/>
      <c r="BA1171" s="18"/>
      <c r="BB1171" s="18"/>
      <c r="BH1171" s="18"/>
      <c r="BK1171" s="18"/>
      <c r="BV1171" s="18"/>
      <c r="BZ1171" s="18"/>
      <c r="CF1171" s="18"/>
      <c r="CQ1171" s="18"/>
      <c r="DB1171" s="34"/>
    </row>
    <row r="1172" spans="4:106" x14ac:dyDescent="0.25">
      <c r="D1172" s="12"/>
      <c r="E1172" s="14"/>
      <c r="H1172" s="16"/>
      <c r="I1172" s="11"/>
      <c r="J1172" s="33"/>
      <c r="K1172" s="33"/>
      <c r="L1172" s="33"/>
      <c r="M1172" s="33"/>
      <c r="N1172" s="8"/>
      <c r="AG1172" s="8"/>
      <c r="AI1172" s="30"/>
      <c r="AK1172" s="30"/>
      <c r="AL1172" s="21"/>
      <c r="AM1172" s="23"/>
      <c r="AU1172" s="40"/>
      <c r="AW1172" s="40"/>
      <c r="AY1172" s="18"/>
      <c r="BA1172" s="18"/>
      <c r="BB1172" s="18"/>
      <c r="BH1172" s="18"/>
      <c r="BK1172" s="18"/>
      <c r="BV1172" s="18"/>
      <c r="BZ1172" s="18"/>
      <c r="CF1172" s="18"/>
      <c r="CQ1172" s="18"/>
      <c r="DB1172" s="34"/>
    </row>
    <row r="1173" spans="4:106" x14ac:dyDescent="0.25">
      <c r="D1173" s="12"/>
      <c r="E1173" s="14"/>
      <c r="H1173" s="16"/>
      <c r="I1173" s="11"/>
      <c r="J1173" s="33"/>
      <c r="K1173" s="33"/>
      <c r="L1173" s="33"/>
      <c r="M1173" s="33"/>
      <c r="N1173" s="8"/>
      <c r="AG1173" s="8"/>
      <c r="AI1173" s="30"/>
      <c r="AK1173" s="30"/>
      <c r="AL1173" s="21"/>
      <c r="AM1173" s="23"/>
      <c r="AU1173" s="40"/>
      <c r="AW1173" s="40"/>
      <c r="AY1173" s="18"/>
      <c r="BA1173" s="18"/>
      <c r="BB1173" s="18"/>
      <c r="BH1173" s="18"/>
      <c r="BK1173" s="18"/>
      <c r="BV1173" s="18"/>
      <c r="BZ1173" s="18"/>
      <c r="CF1173" s="18"/>
      <c r="CQ1173" s="18"/>
      <c r="DB1173" s="34"/>
    </row>
    <row r="1174" spans="4:106" x14ac:dyDescent="0.25">
      <c r="D1174" s="12"/>
      <c r="E1174" s="14"/>
      <c r="H1174" s="16"/>
      <c r="I1174" s="11"/>
      <c r="J1174" s="33"/>
      <c r="K1174" s="33"/>
      <c r="L1174" s="33"/>
      <c r="M1174" s="33"/>
      <c r="N1174" s="8"/>
      <c r="AG1174" s="8"/>
      <c r="AI1174" s="30"/>
      <c r="AK1174" s="30"/>
      <c r="AL1174" s="21"/>
      <c r="AM1174" s="23"/>
      <c r="AU1174" s="40"/>
      <c r="AW1174" s="40"/>
      <c r="AY1174" s="18"/>
      <c r="BA1174" s="18"/>
      <c r="BB1174" s="18"/>
      <c r="BH1174" s="18"/>
      <c r="BK1174" s="18"/>
      <c r="BV1174" s="18"/>
      <c r="BZ1174" s="18"/>
      <c r="CF1174" s="18"/>
      <c r="CQ1174" s="18"/>
      <c r="DB1174" s="34"/>
    </row>
    <row r="1175" spans="4:106" x14ac:dyDescent="0.25">
      <c r="D1175" s="12"/>
      <c r="E1175" s="14"/>
      <c r="H1175" s="16"/>
      <c r="I1175" s="11"/>
      <c r="J1175" s="33"/>
      <c r="K1175" s="33"/>
      <c r="L1175" s="33"/>
      <c r="M1175" s="33"/>
      <c r="N1175" s="8"/>
      <c r="AG1175" s="8"/>
      <c r="AI1175" s="30"/>
      <c r="AK1175" s="30"/>
      <c r="AL1175" s="21"/>
      <c r="AM1175" s="23"/>
      <c r="AU1175" s="40"/>
      <c r="AW1175" s="40"/>
      <c r="AY1175" s="18"/>
      <c r="BA1175" s="18"/>
      <c r="BB1175" s="18"/>
      <c r="BH1175" s="18"/>
      <c r="BK1175" s="18"/>
      <c r="BV1175" s="18"/>
      <c r="BZ1175" s="18"/>
      <c r="CF1175" s="18"/>
      <c r="CQ1175" s="18"/>
      <c r="DB1175" s="34"/>
    </row>
    <row r="1176" spans="4:106" x14ac:dyDescent="0.25">
      <c r="D1176" s="12"/>
      <c r="E1176" s="14"/>
      <c r="H1176" s="16"/>
      <c r="I1176" s="11"/>
      <c r="J1176" s="33"/>
      <c r="K1176" s="33"/>
      <c r="L1176" s="33"/>
      <c r="M1176" s="33"/>
      <c r="N1176" s="8"/>
      <c r="AG1176" s="8"/>
      <c r="AI1176" s="30"/>
      <c r="AK1176" s="30"/>
      <c r="AL1176" s="21"/>
      <c r="AM1176" s="23"/>
      <c r="AU1176" s="40"/>
      <c r="AW1176" s="40"/>
      <c r="AY1176" s="18"/>
      <c r="BA1176" s="18"/>
      <c r="BB1176" s="18"/>
      <c r="BH1176" s="18"/>
      <c r="BK1176" s="18"/>
      <c r="BV1176" s="18"/>
      <c r="BZ1176" s="18"/>
      <c r="CF1176" s="18"/>
      <c r="CQ1176" s="18"/>
      <c r="DB1176" s="34"/>
    </row>
    <row r="1177" spans="4:106" x14ac:dyDescent="0.25">
      <c r="D1177" s="12"/>
      <c r="E1177" s="14"/>
      <c r="H1177" s="16"/>
      <c r="I1177" s="11"/>
      <c r="J1177" s="33"/>
      <c r="K1177" s="33"/>
      <c r="L1177" s="33"/>
      <c r="M1177" s="33"/>
      <c r="N1177" s="8"/>
      <c r="AG1177" s="8"/>
      <c r="AI1177" s="30"/>
      <c r="AK1177" s="30"/>
      <c r="AL1177" s="21"/>
      <c r="AM1177" s="23"/>
      <c r="AU1177" s="40"/>
      <c r="AW1177" s="40"/>
      <c r="AY1177" s="18"/>
      <c r="BA1177" s="18"/>
      <c r="BB1177" s="18"/>
      <c r="BH1177" s="18"/>
      <c r="BK1177" s="18"/>
      <c r="BV1177" s="18"/>
      <c r="BZ1177" s="18"/>
      <c r="CF1177" s="18"/>
      <c r="CQ1177" s="18"/>
      <c r="DB1177" s="34"/>
    </row>
    <row r="1178" spans="4:106" x14ac:dyDescent="0.25">
      <c r="D1178" s="12"/>
      <c r="E1178" s="14"/>
      <c r="H1178" s="16"/>
      <c r="I1178" s="11"/>
      <c r="J1178" s="33"/>
      <c r="K1178" s="33"/>
      <c r="L1178" s="33"/>
      <c r="M1178" s="33"/>
      <c r="N1178" s="8"/>
      <c r="AG1178" s="8"/>
      <c r="AI1178" s="30"/>
      <c r="AK1178" s="30"/>
      <c r="AL1178" s="21"/>
      <c r="AM1178" s="23"/>
      <c r="AU1178" s="40"/>
      <c r="AW1178" s="40"/>
      <c r="AY1178" s="18"/>
      <c r="BA1178" s="18"/>
      <c r="BB1178" s="18"/>
      <c r="BH1178" s="18"/>
      <c r="BK1178" s="18"/>
      <c r="BV1178" s="18"/>
      <c r="BZ1178" s="18"/>
      <c r="CF1178" s="18"/>
      <c r="CQ1178" s="18"/>
      <c r="DB1178" s="34"/>
    </row>
    <row r="1179" spans="4:106" x14ac:dyDescent="0.25">
      <c r="D1179" s="12"/>
      <c r="E1179" s="14"/>
      <c r="H1179" s="16"/>
      <c r="I1179" s="11"/>
      <c r="J1179" s="33"/>
      <c r="K1179" s="33"/>
      <c r="L1179" s="33"/>
      <c r="M1179" s="33"/>
      <c r="N1179" s="8"/>
      <c r="AG1179" s="8"/>
      <c r="AI1179" s="30"/>
      <c r="AK1179" s="30"/>
      <c r="AL1179" s="21"/>
      <c r="AM1179" s="23"/>
      <c r="AU1179" s="40"/>
      <c r="AW1179" s="40"/>
      <c r="AY1179" s="18"/>
      <c r="BA1179" s="18"/>
      <c r="BB1179" s="18"/>
      <c r="BH1179" s="18"/>
      <c r="BK1179" s="18"/>
      <c r="BV1179" s="18"/>
      <c r="BZ1179" s="18"/>
      <c r="CF1179" s="18"/>
      <c r="CQ1179" s="18"/>
      <c r="DB1179" s="34"/>
    </row>
    <row r="1180" spans="4:106" x14ac:dyDescent="0.25">
      <c r="D1180" s="12"/>
      <c r="E1180" s="14"/>
      <c r="H1180" s="16"/>
      <c r="I1180" s="11"/>
      <c r="J1180" s="33"/>
      <c r="K1180" s="33"/>
      <c r="L1180" s="33"/>
      <c r="M1180" s="33"/>
      <c r="N1180" s="8"/>
      <c r="AG1180" s="8"/>
      <c r="AI1180" s="30"/>
      <c r="AK1180" s="30"/>
      <c r="AL1180" s="21"/>
      <c r="AM1180" s="23"/>
      <c r="AU1180" s="40"/>
      <c r="AW1180" s="40"/>
      <c r="AY1180" s="18"/>
      <c r="BA1180" s="18"/>
      <c r="BB1180" s="18"/>
      <c r="BH1180" s="18"/>
      <c r="BK1180" s="18"/>
      <c r="BV1180" s="18"/>
      <c r="BZ1180" s="18"/>
      <c r="CF1180" s="18"/>
      <c r="CQ1180" s="18"/>
      <c r="DB1180" s="34"/>
    </row>
    <row r="1181" spans="4:106" x14ac:dyDescent="0.25">
      <c r="D1181" s="12"/>
      <c r="E1181" s="14"/>
      <c r="H1181" s="16"/>
      <c r="I1181" s="11"/>
      <c r="J1181" s="33"/>
      <c r="K1181" s="33"/>
      <c r="L1181" s="33"/>
      <c r="M1181" s="33"/>
      <c r="N1181" s="8"/>
      <c r="AG1181" s="8"/>
      <c r="AI1181" s="30"/>
      <c r="AK1181" s="30"/>
      <c r="AL1181" s="21"/>
      <c r="AM1181" s="23"/>
      <c r="AU1181" s="40"/>
      <c r="AW1181" s="40"/>
      <c r="AY1181" s="18"/>
      <c r="BA1181" s="18"/>
      <c r="BB1181" s="18"/>
      <c r="BH1181" s="18"/>
      <c r="BK1181" s="18"/>
      <c r="BV1181" s="18"/>
      <c r="BZ1181" s="18"/>
      <c r="CF1181" s="18"/>
      <c r="CQ1181" s="18"/>
      <c r="DB1181" s="34"/>
    </row>
    <row r="1182" spans="4:106" x14ac:dyDescent="0.25">
      <c r="D1182" s="12"/>
      <c r="E1182" s="14"/>
      <c r="H1182" s="16"/>
      <c r="I1182" s="11"/>
      <c r="J1182" s="33"/>
      <c r="K1182" s="33"/>
      <c r="L1182" s="33"/>
      <c r="M1182" s="33"/>
      <c r="N1182" s="8"/>
      <c r="AG1182" s="8"/>
      <c r="AI1182" s="30"/>
      <c r="AK1182" s="30"/>
      <c r="AL1182" s="21"/>
      <c r="AM1182" s="23"/>
      <c r="AU1182" s="40"/>
      <c r="AW1182" s="40"/>
      <c r="AY1182" s="18"/>
      <c r="BA1182" s="18"/>
      <c r="BB1182" s="18"/>
      <c r="BH1182" s="18"/>
      <c r="BK1182" s="18"/>
      <c r="BV1182" s="18"/>
      <c r="BZ1182" s="18"/>
      <c r="CF1182" s="18"/>
      <c r="CQ1182" s="18"/>
      <c r="DB1182" s="34"/>
    </row>
    <row r="1183" spans="4:106" x14ac:dyDescent="0.25">
      <c r="D1183" s="12"/>
      <c r="E1183" s="14"/>
      <c r="H1183" s="16"/>
      <c r="I1183" s="11"/>
      <c r="J1183" s="33"/>
      <c r="K1183" s="33"/>
      <c r="L1183" s="33"/>
      <c r="M1183" s="33"/>
      <c r="N1183" s="8"/>
      <c r="AG1183" s="8"/>
      <c r="AI1183" s="30"/>
      <c r="AK1183" s="30"/>
      <c r="AL1183" s="21"/>
      <c r="AM1183" s="23"/>
      <c r="AU1183" s="40"/>
      <c r="AW1183" s="40"/>
      <c r="AY1183" s="18"/>
      <c r="BA1183" s="18"/>
      <c r="BB1183" s="18"/>
      <c r="BH1183" s="18"/>
      <c r="BK1183" s="18"/>
      <c r="BV1183" s="18"/>
      <c r="BZ1183" s="18"/>
      <c r="CF1183" s="18"/>
      <c r="CQ1183" s="18"/>
      <c r="DB1183" s="34"/>
    </row>
    <row r="1184" spans="4:106" x14ac:dyDescent="0.25">
      <c r="D1184" s="12"/>
      <c r="E1184" s="14"/>
      <c r="H1184" s="16"/>
      <c r="I1184" s="11"/>
      <c r="J1184" s="33"/>
      <c r="K1184" s="33"/>
      <c r="L1184" s="33"/>
      <c r="M1184" s="33"/>
      <c r="N1184" s="8"/>
      <c r="AG1184" s="8"/>
      <c r="AI1184" s="30"/>
      <c r="AK1184" s="30"/>
      <c r="AL1184" s="21"/>
      <c r="AM1184" s="23"/>
      <c r="AU1184" s="40"/>
      <c r="AW1184" s="40"/>
      <c r="AY1184" s="18"/>
      <c r="BA1184" s="18"/>
      <c r="BB1184" s="18"/>
      <c r="BH1184" s="18"/>
      <c r="BK1184" s="18"/>
      <c r="BV1184" s="18"/>
      <c r="BZ1184" s="18"/>
      <c r="CF1184" s="18"/>
      <c r="CQ1184" s="18"/>
      <c r="DB1184" s="34"/>
    </row>
    <row r="1185" spans="4:106" x14ac:dyDescent="0.25">
      <c r="D1185" s="12"/>
      <c r="E1185" s="14"/>
      <c r="H1185" s="16"/>
      <c r="I1185" s="11"/>
      <c r="J1185" s="33"/>
      <c r="K1185" s="33"/>
      <c r="L1185" s="33"/>
      <c r="M1185" s="33"/>
      <c r="N1185" s="8"/>
      <c r="AG1185" s="8"/>
      <c r="AI1185" s="30"/>
      <c r="AK1185" s="30"/>
      <c r="AL1185" s="21"/>
      <c r="AM1185" s="23"/>
      <c r="AU1185" s="40"/>
      <c r="AW1185" s="40"/>
      <c r="AY1185" s="18"/>
      <c r="BA1185" s="18"/>
      <c r="BB1185" s="18"/>
      <c r="BH1185" s="18"/>
      <c r="BK1185" s="18"/>
      <c r="BV1185" s="18"/>
      <c r="BZ1185" s="18"/>
      <c r="CF1185" s="18"/>
      <c r="CQ1185" s="18"/>
      <c r="DB1185" s="34"/>
    </row>
    <row r="1186" spans="4:106" x14ac:dyDescent="0.25">
      <c r="D1186" s="12"/>
      <c r="E1186" s="14"/>
      <c r="H1186" s="16"/>
      <c r="I1186" s="11"/>
      <c r="J1186" s="33"/>
      <c r="K1186" s="33"/>
      <c r="L1186" s="33"/>
      <c r="M1186" s="33"/>
      <c r="N1186" s="8"/>
      <c r="AG1186" s="8"/>
      <c r="AI1186" s="30"/>
      <c r="AK1186" s="30"/>
      <c r="AL1186" s="21"/>
      <c r="AM1186" s="23"/>
      <c r="AU1186" s="40"/>
      <c r="AW1186" s="40"/>
      <c r="AY1186" s="18"/>
      <c r="BA1186" s="18"/>
      <c r="BB1186" s="18"/>
      <c r="BH1186" s="18"/>
      <c r="BK1186" s="18"/>
      <c r="BV1186" s="18"/>
      <c r="BZ1186" s="18"/>
      <c r="CF1186" s="18"/>
      <c r="CQ1186" s="18"/>
      <c r="DB1186" s="34"/>
    </row>
    <row r="1187" spans="4:106" x14ac:dyDescent="0.25">
      <c r="D1187" s="12"/>
      <c r="E1187" s="14"/>
      <c r="H1187" s="16"/>
      <c r="I1187" s="11"/>
      <c r="J1187" s="33"/>
      <c r="K1187" s="33"/>
      <c r="L1187" s="33"/>
      <c r="M1187" s="33"/>
      <c r="N1187" s="8"/>
      <c r="AG1187" s="8"/>
      <c r="AI1187" s="30"/>
      <c r="AK1187" s="30"/>
      <c r="AL1187" s="21"/>
      <c r="AM1187" s="23"/>
      <c r="AU1187" s="40"/>
      <c r="AW1187" s="40"/>
      <c r="AY1187" s="18"/>
      <c r="BA1187" s="18"/>
      <c r="BB1187" s="18"/>
      <c r="BH1187" s="18"/>
      <c r="BK1187" s="18"/>
      <c r="BV1187" s="18"/>
      <c r="BZ1187" s="18"/>
      <c r="CF1187" s="18"/>
      <c r="CQ1187" s="18"/>
      <c r="DB1187" s="34"/>
    </row>
    <row r="1188" spans="4:106" x14ac:dyDescent="0.25">
      <c r="D1188" s="12"/>
      <c r="E1188" s="14"/>
      <c r="H1188" s="16"/>
      <c r="I1188" s="11"/>
      <c r="J1188" s="33"/>
      <c r="K1188" s="33"/>
      <c r="L1188" s="33"/>
      <c r="M1188" s="33"/>
      <c r="N1188" s="8"/>
      <c r="AG1188" s="8"/>
      <c r="AI1188" s="30"/>
      <c r="AK1188" s="30"/>
      <c r="AL1188" s="21"/>
      <c r="AM1188" s="23"/>
      <c r="AU1188" s="40"/>
      <c r="AW1188" s="40"/>
      <c r="AY1188" s="18"/>
      <c r="BA1188" s="18"/>
      <c r="BB1188" s="18"/>
      <c r="BH1188" s="18"/>
      <c r="BK1188" s="18"/>
      <c r="BV1188" s="18"/>
      <c r="BZ1188" s="18"/>
      <c r="CF1188" s="18"/>
      <c r="CQ1188" s="18"/>
      <c r="DB1188" s="34"/>
    </row>
    <row r="1189" spans="4:106" x14ac:dyDescent="0.25">
      <c r="D1189" s="12"/>
      <c r="E1189" s="14"/>
      <c r="H1189" s="16"/>
      <c r="I1189" s="11"/>
      <c r="J1189" s="33"/>
      <c r="K1189" s="33"/>
      <c r="L1189" s="33"/>
      <c r="M1189" s="33"/>
      <c r="N1189" s="8"/>
      <c r="AG1189" s="8"/>
      <c r="AI1189" s="30"/>
      <c r="AK1189" s="30"/>
      <c r="AL1189" s="21"/>
      <c r="AM1189" s="23"/>
      <c r="AU1189" s="40"/>
      <c r="AW1189" s="40"/>
      <c r="AY1189" s="18"/>
      <c r="BA1189" s="18"/>
      <c r="BB1189" s="18"/>
      <c r="BH1189" s="18"/>
      <c r="BK1189" s="18"/>
      <c r="BV1189" s="18"/>
      <c r="BZ1189" s="18"/>
      <c r="CF1189" s="18"/>
      <c r="CQ1189" s="18"/>
      <c r="DB1189" s="34"/>
    </row>
    <row r="1190" spans="4:106" x14ac:dyDescent="0.25">
      <c r="D1190" s="12"/>
      <c r="E1190" s="14"/>
      <c r="H1190" s="16"/>
      <c r="I1190" s="11"/>
      <c r="J1190" s="33"/>
      <c r="K1190" s="33"/>
      <c r="L1190" s="33"/>
      <c r="M1190" s="33"/>
      <c r="N1190" s="8"/>
      <c r="AG1190" s="8"/>
      <c r="AI1190" s="30"/>
      <c r="AK1190" s="30"/>
      <c r="AL1190" s="21"/>
      <c r="AM1190" s="23"/>
      <c r="AU1190" s="40"/>
      <c r="AW1190" s="40"/>
      <c r="AY1190" s="18"/>
      <c r="BA1190" s="18"/>
      <c r="BB1190" s="18"/>
      <c r="BH1190" s="18"/>
      <c r="BK1190" s="18"/>
      <c r="BV1190" s="18"/>
      <c r="BZ1190" s="18"/>
      <c r="CF1190" s="18"/>
      <c r="CQ1190" s="18"/>
      <c r="DB1190" s="34"/>
    </row>
    <row r="1191" spans="4:106" x14ac:dyDescent="0.25">
      <c r="D1191" s="12"/>
      <c r="E1191" s="14"/>
      <c r="H1191" s="16"/>
      <c r="I1191" s="11"/>
      <c r="J1191" s="33"/>
      <c r="K1191" s="33"/>
      <c r="L1191" s="33"/>
      <c r="M1191" s="33"/>
      <c r="N1191" s="8"/>
      <c r="AG1191" s="8"/>
      <c r="AI1191" s="30"/>
      <c r="AK1191" s="30"/>
      <c r="AL1191" s="21"/>
      <c r="AM1191" s="23"/>
      <c r="AU1191" s="40"/>
      <c r="AW1191" s="40"/>
      <c r="AY1191" s="18"/>
      <c r="BA1191" s="18"/>
      <c r="BB1191" s="18"/>
      <c r="BH1191" s="18"/>
      <c r="BK1191" s="18"/>
      <c r="BV1191" s="18"/>
      <c r="BZ1191" s="18"/>
      <c r="CF1191" s="18"/>
      <c r="CQ1191" s="18"/>
      <c r="DB1191" s="34"/>
    </row>
    <row r="1192" spans="4:106" x14ac:dyDescent="0.25">
      <c r="D1192" s="12"/>
      <c r="E1192" s="14"/>
      <c r="H1192" s="16"/>
      <c r="I1192" s="11"/>
      <c r="J1192" s="33"/>
      <c r="K1192" s="33"/>
      <c r="L1192" s="33"/>
      <c r="M1192" s="33"/>
      <c r="N1192" s="8"/>
      <c r="AG1192" s="8"/>
      <c r="AI1192" s="30"/>
      <c r="AK1192" s="30"/>
      <c r="AL1192" s="21"/>
      <c r="AM1192" s="23"/>
      <c r="AU1192" s="40"/>
      <c r="AW1192" s="40"/>
      <c r="AY1192" s="18"/>
      <c r="BA1192" s="18"/>
      <c r="BB1192" s="18"/>
      <c r="BH1192" s="18"/>
      <c r="BK1192" s="18"/>
      <c r="BV1192" s="18"/>
      <c r="BZ1192" s="18"/>
      <c r="CF1192" s="18"/>
      <c r="CQ1192" s="18"/>
      <c r="DB1192" s="34"/>
    </row>
    <row r="1193" spans="4:106" x14ac:dyDescent="0.25">
      <c r="D1193" s="12"/>
      <c r="E1193" s="14"/>
      <c r="H1193" s="16"/>
      <c r="I1193" s="11"/>
      <c r="J1193" s="33"/>
      <c r="K1193" s="33"/>
      <c r="L1193" s="33"/>
      <c r="M1193" s="33"/>
      <c r="N1193" s="8"/>
      <c r="AG1193" s="8"/>
      <c r="AI1193" s="30"/>
      <c r="AK1193" s="30"/>
      <c r="AL1193" s="21"/>
      <c r="AM1193" s="23"/>
      <c r="AU1193" s="40"/>
      <c r="AW1193" s="40"/>
      <c r="AY1193" s="18"/>
      <c r="BA1193" s="18"/>
      <c r="BB1193" s="18"/>
      <c r="BH1193" s="18"/>
      <c r="BK1193" s="18"/>
      <c r="BV1193" s="18"/>
      <c r="BZ1193" s="18"/>
      <c r="CF1193" s="18"/>
      <c r="CQ1193" s="18"/>
      <c r="DB1193" s="34"/>
    </row>
    <row r="1194" spans="4:106" x14ac:dyDescent="0.25">
      <c r="D1194" s="12"/>
      <c r="E1194" s="14"/>
      <c r="H1194" s="16"/>
      <c r="I1194" s="11"/>
      <c r="J1194" s="33"/>
      <c r="K1194" s="33"/>
      <c r="L1194" s="33"/>
      <c r="M1194" s="33"/>
      <c r="N1194" s="8"/>
      <c r="AG1194" s="8"/>
      <c r="AI1194" s="30"/>
      <c r="AK1194" s="30"/>
      <c r="AL1194" s="21"/>
      <c r="AM1194" s="23"/>
      <c r="AU1194" s="40"/>
      <c r="AW1194" s="40"/>
      <c r="AY1194" s="18"/>
      <c r="BA1194" s="18"/>
      <c r="BB1194" s="18"/>
      <c r="BH1194" s="18"/>
      <c r="BK1194" s="18"/>
      <c r="BV1194" s="18"/>
      <c r="BZ1194" s="18"/>
      <c r="CF1194" s="18"/>
      <c r="CQ1194" s="18"/>
      <c r="DB1194" s="34"/>
    </row>
    <row r="1195" spans="4:106" x14ac:dyDescent="0.25">
      <c r="D1195" s="12"/>
      <c r="E1195" s="14"/>
      <c r="H1195" s="16"/>
      <c r="I1195" s="11"/>
      <c r="J1195" s="33"/>
      <c r="K1195" s="33"/>
      <c r="L1195" s="33"/>
      <c r="M1195" s="33"/>
      <c r="N1195" s="8"/>
      <c r="AG1195" s="8"/>
      <c r="AI1195" s="30"/>
      <c r="AK1195" s="30"/>
      <c r="AL1195" s="21"/>
      <c r="AM1195" s="23"/>
      <c r="AU1195" s="40"/>
      <c r="AW1195" s="40"/>
      <c r="AY1195" s="18"/>
      <c r="BA1195" s="18"/>
      <c r="BB1195" s="18"/>
      <c r="BH1195" s="18"/>
      <c r="BK1195" s="18"/>
      <c r="BV1195" s="18"/>
      <c r="BZ1195" s="18"/>
      <c r="CF1195" s="18"/>
      <c r="CQ1195" s="18"/>
      <c r="DB1195" s="34"/>
    </row>
    <row r="1196" spans="4:106" x14ac:dyDescent="0.25">
      <c r="D1196" s="12"/>
      <c r="E1196" s="14"/>
      <c r="H1196" s="16"/>
      <c r="I1196" s="11"/>
      <c r="J1196" s="33"/>
      <c r="K1196" s="33"/>
      <c r="L1196" s="33"/>
      <c r="M1196" s="33"/>
      <c r="N1196" s="8"/>
      <c r="AG1196" s="8"/>
      <c r="AI1196" s="30"/>
      <c r="AK1196" s="30"/>
      <c r="AL1196" s="21"/>
      <c r="AM1196" s="23"/>
      <c r="AU1196" s="40"/>
      <c r="AW1196" s="40"/>
      <c r="AY1196" s="18"/>
      <c r="BA1196" s="18"/>
      <c r="BB1196" s="18"/>
      <c r="BH1196" s="18"/>
      <c r="BK1196" s="18"/>
      <c r="BV1196" s="18"/>
      <c r="BZ1196" s="18"/>
      <c r="CF1196" s="18"/>
      <c r="CQ1196" s="18"/>
      <c r="DB1196" s="34"/>
    </row>
    <row r="1197" spans="4:106" x14ac:dyDescent="0.25">
      <c r="D1197" s="12"/>
      <c r="E1197" s="14"/>
      <c r="H1197" s="16"/>
      <c r="I1197" s="11"/>
      <c r="J1197" s="33"/>
      <c r="K1197" s="33"/>
      <c r="L1197" s="33"/>
      <c r="M1197" s="33"/>
      <c r="N1197" s="8"/>
      <c r="AG1197" s="8"/>
      <c r="AI1197" s="30"/>
      <c r="AK1197" s="30"/>
      <c r="AL1197" s="21"/>
      <c r="AM1197" s="23"/>
      <c r="AU1197" s="40"/>
      <c r="AW1197" s="40"/>
      <c r="AY1197" s="18"/>
      <c r="BA1197" s="18"/>
      <c r="BB1197" s="18"/>
      <c r="BH1197" s="18"/>
      <c r="BK1197" s="18"/>
      <c r="BV1197" s="18"/>
      <c r="BZ1197" s="18"/>
      <c r="CF1197" s="18"/>
      <c r="CQ1197" s="18"/>
      <c r="DB1197" s="34"/>
    </row>
    <row r="1198" spans="4:106" x14ac:dyDescent="0.25">
      <c r="D1198" s="12"/>
      <c r="E1198" s="14"/>
      <c r="H1198" s="16"/>
      <c r="I1198" s="11"/>
      <c r="J1198" s="33"/>
      <c r="K1198" s="33"/>
      <c r="L1198" s="33"/>
      <c r="M1198" s="33"/>
      <c r="N1198" s="8"/>
      <c r="AG1198" s="8"/>
      <c r="AI1198" s="30"/>
      <c r="AK1198" s="30"/>
      <c r="AL1198" s="21"/>
      <c r="AM1198" s="23"/>
      <c r="AU1198" s="40"/>
      <c r="AW1198" s="40"/>
      <c r="AY1198" s="18"/>
      <c r="BA1198" s="18"/>
      <c r="BB1198" s="18"/>
      <c r="BH1198" s="18"/>
      <c r="BK1198" s="18"/>
      <c r="BV1198" s="18"/>
      <c r="BZ1198" s="18"/>
      <c r="CF1198" s="18"/>
      <c r="CQ1198" s="18"/>
      <c r="DB1198" s="34"/>
    </row>
    <row r="1199" spans="4:106" x14ac:dyDescent="0.25">
      <c r="D1199" s="12"/>
      <c r="E1199" s="14"/>
      <c r="H1199" s="16"/>
      <c r="I1199" s="11"/>
      <c r="J1199" s="33"/>
      <c r="K1199" s="33"/>
      <c r="L1199" s="33"/>
      <c r="M1199" s="33"/>
      <c r="N1199" s="8"/>
      <c r="AG1199" s="8"/>
      <c r="AI1199" s="30"/>
      <c r="AK1199" s="30"/>
      <c r="AL1199" s="21"/>
      <c r="AM1199" s="23"/>
      <c r="AU1199" s="40"/>
      <c r="AW1199" s="40"/>
      <c r="AY1199" s="18"/>
      <c r="BA1199" s="18"/>
      <c r="BB1199" s="18"/>
      <c r="BH1199" s="18"/>
      <c r="BK1199" s="18"/>
      <c r="BV1199" s="18"/>
      <c r="BZ1199" s="18"/>
      <c r="CF1199" s="18"/>
      <c r="CQ1199" s="18"/>
      <c r="DB1199" s="34"/>
    </row>
    <row r="1200" spans="4:106" x14ac:dyDescent="0.25">
      <c r="D1200" s="12"/>
      <c r="E1200" s="14"/>
      <c r="H1200" s="16"/>
      <c r="I1200" s="11"/>
      <c r="J1200" s="33"/>
      <c r="K1200" s="33"/>
      <c r="L1200" s="33"/>
      <c r="M1200" s="33"/>
      <c r="N1200" s="8"/>
      <c r="AG1200" s="8"/>
      <c r="AI1200" s="30"/>
      <c r="AK1200" s="30"/>
      <c r="AL1200" s="21"/>
      <c r="AM1200" s="23"/>
      <c r="AU1200" s="40"/>
      <c r="AW1200" s="40"/>
      <c r="AY1200" s="18"/>
      <c r="BA1200" s="18"/>
      <c r="BB1200" s="18"/>
      <c r="BH1200" s="18"/>
      <c r="BK1200" s="18"/>
      <c r="BV1200" s="18"/>
      <c r="BZ1200" s="18"/>
      <c r="CF1200" s="18"/>
      <c r="CQ1200" s="18"/>
      <c r="DB1200" s="34"/>
    </row>
    <row r="1201" spans="4:106" x14ac:dyDescent="0.25">
      <c r="D1201" s="12"/>
      <c r="E1201" s="14"/>
      <c r="H1201" s="16"/>
      <c r="I1201" s="11"/>
      <c r="J1201" s="33"/>
      <c r="K1201" s="33"/>
      <c r="L1201" s="33"/>
      <c r="M1201" s="33"/>
      <c r="N1201" s="8"/>
      <c r="AG1201" s="8"/>
      <c r="AI1201" s="30"/>
      <c r="AK1201" s="30"/>
      <c r="AL1201" s="21"/>
      <c r="AM1201" s="23"/>
      <c r="AU1201" s="40"/>
      <c r="AW1201" s="40"/>
      <c r="AY1201" s="18"/>
      <c r="BA1201" s="18"/>
      <c r="BB1201" s="18"/>
      <c r="BH1201" s="18"/>
      <c r="BK1201" s="18"/>
      <c r="BV1201" s="18"/>
      <c r="BZ1201" s="18"/>
      <c r="CF1201" s="18"/>
      <c r="CQ1201" s="18"/>
      <c r="DB1201" s="34"/>
    </row>
    <row r="1202" spans="4:106" x14ac:dyDescent="0.25">
      <c r="D1202" s="12"/>
      <c r="E1202" s="14"/>
      <c r="H1202" s="16"/>
      <c r="I1202" s="11"/>
      <c r="J1202" s="33"/>
      <c r="K1202" s="33"/>
      <c r="L1202" s="33"/>
      <c r="M1202" s="33"/>
      <c r="N1202" s="8"/>
      <c r="AG1202" s="8"/>
      <c r="AI1202" s="30"/>
      <c r="AK1202" s="30"/>
      <c r="AL1202" s="21"/>
      <c r="AM1202" s="23"/>
      <c r="AU1202" s="40"/>
      <c r="AW1202" s="40"/>
      <c r="AY1202" s="18"/>
      <c r="BA1202" s="18"/>
      <c r="BB1202" s="18"/>
      <c r="BH1202" s="18"/>
      <c r="BK1202" s="18"/>
      <c r="BV1202" s="18"/>
      <c r="BZ1202" s="18"/>
      <c r="CF1202" s="18"/>
      <c r="CQ1202" s="18"/>
      <c r="DB1202" s="34"/>
    </row>
    <row r="1203" spans="4:106" x14ac:dyDescent="0.25">
      <c r="D1203" s="12"/>
      <c r="E1203" s="14"/>
      <c r="H1203" s="16"/>
      <c r="I1203" s="11"/>
      <c r="J1203" s="33"/>
      <c r="K1203" s="33"/>
      <c r="L1203" s="33"/>
      <c r="M1203" s="33"/>
      <c r="N1203" s="8"/>
      <c r="AG1203" s="8"/>
      <c r="AI1203" s="30"/>
      <c r="AK1203" s="30"/>
      <c r="AL1203" s="21"/>
      <c r="AM1203" s="23"/>
      <c r="AU1203" s="40"/>
      <c r="AW1203" s="40"/>
      <c r="AY1203" s="18"/>
      <c r="BA1203" s="18"/>
      <c r="BB1203" s="18"/>
      <c r="BH1203" s="18"/>
      <c r="BK1203" s="18"/>
      <c r="BV1203" s="18"/>
      <c r="BZ1203" s="18"/>
      <c r="CF1203" s="18"/>
      <c r="CQ1203" s="18"/>
      <c r="DB1203" s="34"/>
    </row>
    <row r="1204" spans="4:106" x14ac:dyDescent="0.25">
      <c r="D1204" s="12"/>
      <c r="E1204" s="14"/>
      <c r="H1204" s="16"/>
      <c r="I1204" s="11"/>
      <c r="J1204" s="33"/>
      <c r="K1204" s="33"/>
      <c r="L1204" s="33"/>
      <c r="M1204" s="33"/>
      <c r="N1204" s="8"/>
      <c r="AG1204" s="8"/>
      <c r="AI1204" s="30"/>
      <c r="AK1204" s="30"/>
      <c r="AL1204" s="21"/>
      <c r="AM1204" s="23"/>
      <c r="AU1204" s="40"/>
      <c r="AW1204" s="40"/>
      <c r="AY1204" s="18"/>
      <c r="BA1204" s="18"/>
      <c r="BB1204" s="18"/>
      <c r="BH1204" s="18"/>
      <c r="BK1204" s="18"/>
      <c r="BV1204" s="18"/>
      <c r="BZ1204" s="18"/>
      <c r="CF1204" s="18"/>
      <c r="CQ1204" s="18"/>
      <c r="DB1204" s="34"/>
    </row>
    <row r="1205" spans="4:106" x14ac:dyDescent="0.25">
      <c r="D1205" s="12"/>
      <c r="E1205" s="14"/>
      <c r="H1205" s="16"/>
      <c r="I1205" s="11"/>
      <c r="J1205" s="33"/>
      <c r="K1205" s="33"/>
      <c r="L1205" s="33"/>
      <c r="M1205" s="33"/>
      <c r="N1205" s="8"/>
      <c r="AG1205" s="8"/>
      <c r="AI1205" s="30"/>
      <c r="AK1205" s="30"/>
      <c r="AL1205" s="21"/>
      <c r="AM1205" s="23"/>
      <c r="AU1205" s="40"/>
      <c r="AW1205" s="40"/>
      <c r="AY1205" s="18"/>
      <c r="BA1205" s="18"/>
      <c r="BB1205" s="18"/>
      <c r="BH1205" s="18"/>
      <c r="BK1205" s="18"/>
      <c r="BV1205" s="18"/>
      <c r="BZ1205" s="18"/>
      <c r="CF1205" s="18"/>
      <c r="CQ1205" s="18"/>
      <c r="DB1205" s="34"/>
    </row>
    <row r="1206" spans="4:106" x14ac:dyDescent="0.25">
      <c r="D1206" s="12"/>
      <c r="E1206" s="14"/>
      <c r="H1206" s="16"/>
      <c r="I1206" s="11"/>
      <c r="J1206" s="33"/>
      <c r="K1206" s="33"/>
      <c r="L1206" s="33"/>
      <c r="M1206" s="33"/>
      <c r="N1206" s="8"/>
      <c r="AG1206" s="8"/>
      <c r="AI1206" s="30"/>
      <c r="AK1206" s="30"/>
      <c r="AL1206" s="21"/>
      <c r="AM1206" s="23"/>
      <c r="AU1206" s="40"/>
      <c r="AW1206" s="40"/>
      <c r="AY1206" s="18"/>
      <c r="BA1206" s="18"/>
      <c r="BB1206" s="18"/>
      <c r="BH1206" s="18"/>
      <c r="BK1206" s="18"/>
      <c r="BV1206" s="18"/>
      <c r="BZ1206" s="18"/>
      <c r="CF1206" s="18"/>
      <c r="CQ1206" s="18"/>
      <c r="DB1206" s="34"/>
    </row>
    <row r="1207" spans="4:106" x14ac:dyDescent="0.25">
      <c r="D1207" s="12"/>
      <c r="E1207" s="14"/>
      <c r="H1207" s="16"/>
      <c r="I1207" s="11"/>
      <c r="J1207" s="33"/>
      <c r="K1207" s="33"/>
      <c r="L1207" s="33"/>
      <c r="M1207" s="33"/>
      <c r="N1207" s="8"/>
      <c r="AG1207" s="8"/>
      <c r="AI1207" s="30"/>
      <c r="AK1207" s="30"/>
      <c r="AL1207" s="21"/>
      <c r="AM1207" s="23"/>
      <c r="AU1207" s="40"/>
      <c r="AW1207" s="40"/>
      <c r="AY1207" s="18"/>
      <c r="BA1207" s="18"/>
      <c r="BB1207" s="18"/>
      <c r="BH1207" s="18"/>
      <c r="BK1207" s="18"/>
      <c r="BV1207" s="18"/>
      <c r="BZ1207" s="18"/>
      <c r="CF1207" s="18"/>
      <c r="CQ1207" s="18"/>
      <c r="DB1207" s="34"/>
    </row>
    <row r="1208" spans="4:106" x14ac:dyDescent="0.25">
      <c r="D1208" s="12"/>
      <c r="E1208" s="14"/>
      <c r="H1208" s="16"/>
      <c r="I1208" s="11"/>
      <c r="J1208" s="33"/>
      <c r="K1208" s="33"/>
      <c r="L1208" s="33"/>
      <c r="M1208" s="33"/>
      <c r="N1208" s="8"/>
      <c r="AG1208" s="8"/>
      <c r="AI1208" s="30"/>
      <c r="AK1208" s="30"/>
      <c r="AL1208" s="21"/>
      <c r="AM1208" s="23"/>
      <c r="AU1208" s="40"/>
      <c r="AW1208" s="40"/>
      <c r="AY1208" s="18"/>
      <c r="BA1208" s="18"/>
      <c r="BB1208" s="18"/>
      <c r="BH1208" s="18"/>
      <c r="BK1208" s="18"/>
      <c r="BV1208" s="18"/>
      <c r="BZ1208" s="18"/>
      <c r="CF1208" s="18"/>
      <c r="CQ1208" s="18"/>
      <c r="DB1208" s="34"/>
    </row>
    <row r="1209" spans="4:106" x14ac:dyDescent="0.25">
      <c r="D1209" s="12"/>
      <c r="E1209" s="14"/>
      <c r="H1209" s="16"/>
      <c r="I1209" s="11"/>
      <c r="J1209" s="33"/>
      <c r="K1209" s="33"/>
      <c r="L1209" s="33"/>
      <c r="M1209" s="33"/>
      <c r="N1209" s="8"/>
      <c r="AG1209" s="8"/>
      <c r="AI1209" s="30"/>
      <c r="AK1209" s="30"/>
      <c r="AL1209" s="21"/>
      <c r="AM1209" s="23"/>
      <c r="AU1209" s="40"/>
      <c r="AW1209" s="40"/>
      <c r="AY1209" s="18"/>
      <c r="BA1209" s="18"/>
      <c r="BB1209" s="18"/>
      <c r="BH1209" s="18"/>
      <c r="BK1209" s="18"/>
      <c r="BV1209" s="18"/>
      <c r="BZ1209" s="18"/>
      <c r="CF1209" s="18"/>
      <c r="CQ1209" s="18"/>
      <c r="DB1209" s="34"/>
    </row>
    <row r="1210" spans="4:106" x14ac:dyDescent="0.25">
      <c r="D1210" s="12"/>
      <c r="E1210" s="14"/>
      <c r="H1210" s="16"/>
      <c r="I1210" s="11"/>
      <c r="J1210" s="33"/>
      <c r="K1210" s="33"/>
      <c r="L1210" s="33"/>
      <c r="M1210" s="33"/>
      <c r="N1210" s="8"/>
      <c r="AG1210" s="8"/>
      <c r="AI1210" s="30"/>
      <c r="AK1210" s="30"/>
      <c r="AL1210" s="21"/>
      <c r="AM1210" s="23"/>
      <c r="AU1210" s="40"/>
      <c r="AW1210" s="40"/>
      <c r="AY1210" s="18"/>
      <c r="BA1210" s="18"/>
      <c r="BB1210" s="18"/>
      <c r="BH1210" s="18"/>
      <c r="BK1210" s="18"/>
      <c r="BV1210" s="18"/>
      <c r="BZ1210" s="18"/>
      <c r="CF1210" s="18"/>
      <c r="CQ1210" s="18"/>
      <c r="DB1210" s="34"/>
    </row>
    <row r="1211" spans="4:106" x14ac:dyDescent="0.25">
      <c r="D1211" s="12"/>
      <c r="E1211" s="14"/>
      <c r="H1211" s="16"/>
      <c r="I1211" s="11"/>
      <c r="J1211" s="33"/>
      <c r="K1211" s="33"/>
      <c r="L1211" s="33"/>
      <c r="M1211" s="33"/>
      <c r="N1211" s="8"/>
      <c r="AG1211" s="8"/>
      <c r="AI1211" s="30"/>
      <c r="AK1211" s="30"/>
      <c r="AL1211" s="21"/>
      <c r="AM1211" s="23"/>
      <c r="AU1211" s="40"/>
      <c r="AW1211" s="40"/>
      <c r="AY1211" s="18"/>
      <c r="BA1211" s="18"/>
      <c r="BB1211" s="18"/>
      <c r="BH1211" s="18"/>
      <c r="BK1211" s="18"/>
      <c r="BV1211" s="18"/>
      <c r="BZ1211" s="18"/>
      <c r="CF1211" s="18"/>
      <c r="CQ1211" s="18"/>
      <c r="DB1211" s="34"/>
    </row>
    <row r="1212" spans="4:106" x14ac:dyDescent="0.25">
      <c r="D1212" s="12"/>
      <c r="E1212" s="14"/>
      <c r="H1212" s="16"/>
      <c r="I1212" s="11"/>
      <c r="J1212" s="33"/>
      <c r="K1212" s="33"/>
      <c r="L1212" s="33"/>
      <c r="M1212" s="33"/>
      <c r="N1212" s="8"/>
      <c r="AG1212" s="8"/>
      <c r="AI1212" s="30"/>
      <c r="AK1212" s="30"/>
      <c r="AL1212" s="21"/>
      <c r="AM1212" s="23"/>
      <c r="AU1212" s="40"/>
      <c r="AW1212" s="40"/>
      <c r="AY1212" s="18"/>
      <c r="BA1212" s="18"/>
      <c r="BB1212" s="18"/>
      <c r="BH1212" s="18"/>
      <c r="BK1212" s="18"/>
      <c r="BV1212" s="18"/>
      <c r="BZ1212" s="18"/>
      <c r="CF1212" s="18"/>
      <c r="CQ1212" s="18"/>
      <c r="DB1212" s="34"/>
    </row>
    <row r="1213" spans="4:106" x14ac:dyDescent="0.25">
      <c r="D1213" s="12"/>
      <c r="E1213" s="14"/>
      <c r="H1213" s="16"/>
      <c r="I1213" s="11"/>
      <c r="J1213" s="33"/>
      <c r="K1213" s="33"/>
      <c r="L1213" s="33"/>
      <c r="M1213" s="33"/>
      <c r="N1213" s="8"/>
      <c r="AG1213" s="8"/>
      <c r="AI1213" s="30"/>
      <c r="AK1213" s="30"/>
      <c r="AL1213" s="21"/>
      <c r="AM1213" s="23"/>
      <c r="AU1213" s="40"/>
      <c r="AW1213" s="40"/>
      <c r="AY1213" s="18"/>
      <c r="BA1213" s="18"/>
      <c r="BB1213" s="18"/>
      <c r="BH1213" s="18"/>
      <c r="BK1213" s="18"/>
      <c r="BV1213" s="18"/>
      <c r="BZ1213" s="18"/>
      <c r="CF1213" s="18"/>
      <c r="CQ1213" s="18"/>
      <c r="DB1213" s="34"/>
    </row>
    <row r="1214" spans="4:106" x14ac:dyDescent="0.25">
      <c r="D1214" s="12"/>
      <c r="E1214" s="14"/>
      <c r="H1214" s="16"/>
      <c r="I1214" s="11"/>
      <c r="J1214" s="33"/>
      <c r="K1214" s="33"/>
      <c r="L1214" s="33"/>
      <c r="M1214" s="33"/>
      <c r="N1214" s="8"/>
      <c r="AG1214" s="8"/>
      <c r="AI1214" s="30"/>
      <c r="AK1214" s="30"/>
      <c r="AL1214" s="21"/>
      <c r="AM1214" s="23"/>
      <c r="AU1214" s="40"/>
      <c r="AW1214" s="40"/>
      <c r="AY1214" s="18"/>
      <c r="BA1214" s="18"/>
      <c r="BB1214" s="18"/>
      <c r="BH1214" s="18"/>
      <c r="BK1214" s="18"/>
      <c r="BV1214" s="18"/>
      <c r="BZ1214" s="18"/>
      <c r="CF1214" s="18"/>
      <c r="CQ1214" s="18"/>
      <c r="DB1214" s="34"/>
    </row>
    <row r="1215" spans="4:106" x14ac:dyDescent="0.25">
      <c r="D1215" s="12"/>
      <c r="E1215" s="14"/>
      <c r="H1215" s="16"/>
      <c r="I1215" s="11"/>
      <c r="J1215" s="33"/>
      <c r="K1215" s="33"/>
      <c r="L1215" s="33"/>
      <c r="M1215" s="33"/>
      <c r="N1215" s="8"/>
      <c r="AG1215" s="8"/>
      <c r="AI1215" s="30"/>
      <c r="AK1215" s="30"/>
      <c r="AL1215" s="21"/>
      <c r="AM1215" s="23"/>
      <c r="AU1215" s="40"/>
      <c r="AW1215" s="40"/>
      <c r="AY1215" s="18"/>
      <c r="BA1215" s="18"/>
      <c r="BB1215" s="18"/>
      <c r="BH1215" s="18"/>
      <c r="BK1215" s="18"/>
      <c r="BV1215" s="18"/>
      <c r="BZ1215" s="18"/>
      <c r="CF1215" s="18"/>
      <c r="CQ1215" s="18"/>
      <c r="DB1215" s="34"/>
    </row>
    <row r="1216" spans="4:106" x14ac:dyDescent="0.25">
      <c r="D1216" s="12"/>
      <c r="E1216" s="14"/>
      <c r="H1216" s="16"/>
      <c r="I1216" s="11"/>
      <c r="J1216" s="33"/>
      <c r="K1216" s="33"/>
      <c r="L1216" s="33"/>
      <c r="M1216" s="33"/>
      <c r="N1216" s="8"/>
      <c r="AG1216" s="8"/>
      <c r="AI1216" s="30"/>
      <c r="AK1216" s="30"/>
      <c r="AL1216" s="21"/>
      <c r="AM1216" s="23"/>
      <c r="AU1216" s="40"/>
      <c r="AW1216" s="40"/>
      <c r="AY1216" s="18"/>
      <c r="BA1216" s="18"/>
      <c r="BB1216" s="18"/>
      <c r="BH1216" s="18"/>
      <c r="BK1216" s="18"/>
      <c r="BV1216" s="18"/>
      <c r="BZ1216" s="18"/>
      <c r="CF1216" s="18"/>
      <c r="CQ1216" s="18"/>
      <c r="DB1216" s="34"/>
    </row>
    <row r="1217" spans="4:106" x14ac:dyDescent="0.25">
      <c r="D1217" s="12"/>
      <c r="E1217" s="14"/>
      <c r="H1217" s="16"/>
      <c r="I1217" s="11"/>
      <c r="J1217" s="33"/>
      <c r="K1217" s="33"/>
      <c r="L1217" s="33"/>
      <c r="M1217" s="33"/>
      <c r="N1217" s="8"/>
      <c r="AG1217" s="8"/>
      <c r="AI1217" s="30"/>
      <c r="AK1217" s="30"/>
      <c r="AL1217" s="21"/>
      <c r="AM1217" s="23"/>
      <c r="AU1217" s="40"/>
      <c r="AW1217" s="40"/>
      <c r="AY1217" s="18"/>
      <c r="BA1217" s="18"/>
      <c r="BB1217" s="18"/>
      <c r="BH1217" s="18"/>
      <c r="BK1217" s="18"/>
      <c r="BV1217" s="18"/>
      <c r="BZ1217" s="18"/>
      <c r="CF1217" s="18"/>
      <c r="CQ1217" s="18"/>
      <c r="DB1217" s="34"/>
    </row>
    <row r="1218" spans="4:106" x14ac:dyDescent="0.25">
      <c r="D1218" s="12"/>
      <c r="E1218" s="14"/>
      <c r="H1218" s="16"/>
      <c r="I1218" s="11"/>
      <c r="J1218" s="33"/>
      <c r="K1218" s="33"/>
      <c r="L1218" s="33"/>
      <c r="M1218" s="33"/>
      <c r="N1218" s="8"/>
      <c r="AG1218" s="8"/>
      <c r="AI1218" s="30"/>
      <c r="AK1218" s="30"/>
      <c r="AL1218" s="21"/>
      <c r="AM1218" s="23"/>
      <c r="AU1218" s="40"/>
      <c r="AW1218" s="40"/>
      <c r="AY1218" s="18"/>
      <c r="BA1218" s="18"/>
      <c r="BB1218" s="18"/>
      <c r="BH1218" s="18"/>
      <c r="BK1218" s="18"/>
      <c r="BV1218" s="18"/>
      <c r="BZ1218" s="18"/>
      <c r="CF1218" s="18"/>
      <c r="CQ1218" s="18"/>
      <c r="DB1218" s="34"/>
    </row>
    <row r="1219" spans="4:106" x14ac:dyDescent="0.25">
      <c r="D1219" s="12"/>
      <c r="E1219" s="14"/>
      <c r="H1219" s="16"/>
      <c r="I1219" s="11"/>
      <c r="J1219" s="33"/>
      <c r="K1219" s="33"/>
      <c r="L1219" s="33"/>
      <c r="M1219" s="33"/>
      <c r="N1219" s="8"/>
      <c r="AG1219" s="8"/>
      <c r="AI1219" s="30"/>
      <c r="AK1219" s="30"/>
      <c r="AL1219" s="21"/>
      <c r="AM1219" s="23"/>
      <c r="AU1219" s="40"/>
      <c r="AW1219" s="40"/>
      <c r="AY1219" s="18"/>
      <c r="BA1219" s="18"/>
      <c r="BB1219" s="18"/>
      <c r="BH1219" s="18"/>
      <c r="BK1219" s="18"/>
      <c r="BV1219" s="18"/>
      <c r="BZ1219" s="18"/>
      <c r="CF1219" s="18"/>
      <c r="CQ1219" s="18"/>
      <c r="DB1219" s="34"/>
    </row>
    <row r="1220" spans="4:106" x14ac:dyDescent="0.25">
      <c r="D1220" s="12"/>
      <c r="E1220" s="14"/>
      <c r="H1220" s="16"/>
      <c r="I1220" s="11"/>
      <c r="J1220" s="33"/>
      <c r="K1220" s="33"/>
      <c r="L1220" s="33"/>
      <c r="M1220" s="33"/>
      <c r="N1220" s="8"/>
      <c r="AG1220" s="8"/>
      <c r="AI1220" s="30"/>
      <c r="AK1220" s="30"/>
      <c r="AL1220" s="21"/>
      <c r="AM1220" s="23"/>
      <c r="AU1220" s="40"/>
      <c r="AW1220" s="40"/>
      <c r="AY1220" s="18"/>
      <c r="BA1220" s="18"/>
      <c r="BB1220" s="18"/>
      <c r="BH1220" s="18"/>
      <c r="BK1220" s="18"/>
      <c r="BV1220" s="18"/>
      <c r="BZ1220" s="18"/>
      <c r="CF1220" s="18"/>
      <c r="CQ1220" s="18"/>
      <c r="DB1220" s="34"/>
    </row>
    <row r="1221" spans="4:106" x14ac:dyDescent="0.25">
      <c r="D1221" s="12"/>
      <c r="E1221" s="14"/>
      <c r="H1221" s="16"/>
      <c r="I1221" s="11"/>
      <c r="J1221" s="33"/>
      <c r="K1221" s="33"/>
      <c r="L1221" s="33"/>
      <c r="M1221" s="33"/>
      <c r="N1221" s="8"/>
      <c r="AG1221" s="8"/>
      <c r="AI1221" s="30"/>
      <c r="AK1221" s="30"/>
      <c r="AL1221" s="21"/>
      <c r="AM1221" s="23"/>
      <c r="AU1221" s="40"/>
      <c r="AW1221" s="40"/>
      <c r="AY1221" s="18"/>
      <c r="BA1221" s="18"/>
      <c r="BB1221" s="18"/>
      <c r="BH1221" s="18"/>
      <c r="BK1221" s="18"/>
      <c r="BV1221" s="18"/>
      <c r="BZ1221" s="18"/>
      <c r="CF1221" s="18"/>
      <c r="CQ1221" s="18"/>
      <c r="DB1221" s="34"/>
    </row>
    <row r="1222" spans="4:106" x14ac:dyDescent="0.25">
      <c r="D1222" s="12"/>
      <c r="E1222" s="14"/>
      <c r="H1222" s="16"/>
      <c r="I1222" s="11"/>
      <c r="J1222" s="33"/>
      <c r="K1222" s="33"/>
      <c r="L1222" s="33"/>
      <c r="M1222" s="33"/>
      <c r="N1222" s="8"/>
      <c r="AG1222" s="8"/>
      <c r="AI1222" s="30"/>
      <c r="AK1222" s="30"/>
      <c r="AL1222" s="21"/>
      <c r="AM1222" s="23"/>
      <c r="AU1222" s="40"/>
      <c r="AW1222" s="40"/>
      <c r="AY1222" s="18"/>
      <c r="BA1222" s="18"/>
      <c r="BB1222" s="18"/>
      <c r="BH1222" s="18"/>
      <c r="BK1222" s="18"/>
      <c r="BV1222" s="18"/>
      <c r="BZ1222" s="18"/>
      <c r="CF1222" s="18"/>
      <c r="CQ1222" s="18"/>
      <c r="DB1222" s="34"/>
    </row>
    <row r="1223" spans="4:106" x14ac:dyDescent="0.25">
      <c r="D1223" s="12"/>
      <c r="E1223" s="14"/>
      <c r="H1223" s="16"/>
      <c r="I1223" s="11"/>
      <c r="J1223" s="33"/>
      <c r="K1223" s="33"/>
      <c r="L1223" s="33"/>
      <c r="M1223" s="33"/>
      <c r="N1223" s="8"/>
      <c r="AG1223" s="8"/>
      <c r="AI1223" s="30"/>
      <c r="AK1223" s="30"/>
      <c r="AL1223" s="21"/>
      <c r="AM1223" s="23"/>
      <c r="AU1223" s="40"/>
      <c r="AW1223" s="40"/>
      <c r="AY1223" s="18"/>
      <c r="BA1223" s="18"/>
      <c r="BB1223" s="18"/>
      <c r="BH1223" s="18"/>
      <c r="BK1223" s="18"/>
      <c r="BV1223" s="18"/>
      <c r="BZ1223" s="18"/>
      <c r="CF1223" s="18"/>
      <c r="CQ1223" s="18"/>
      <c r="DB1223" s="34"/>
    </row>
    <row r="1224" spans="4:106" x14ac:dyDescent="0.25">
      <c r="D1224" s="12"/>
      <c r="E1224" s="14"/>
      <c r="H1224" s="16"/>
      <c r="I1224" s="11"/>
      <c r="J1224" s="33"/>
      <c r="K1224" s="33"/>
      <c r="L1224" s="33"/>
      <c r="M1224" s="33"/>
      <c r="N1224" s="8"/>
      <c r="AG1224" s="8"/>
      <c r="AI1224" s="30"/>
      <c r="AK1224" s="30"/>
      <c r="AL1224" s="21"/>
      <c r="AM1224" s="23"/>
      <c r="AU1224" s="40"/>
      <c r="AW1224" s="40"/>
      <c r="AY1224" s="18"/>
      <c r="BA1224" s="18"/>
      <c r="BB1224" s="18"/>
      <c r="BH1224" s="18"/>
      <c r="BK1224" s="18"/>
      <c r="BV1224" s="18"/>
      <c r="BZ1224" s="18"/>
      <c r="CF1224" s="18"/>
      <c r="CQ1224" s="18"/>
      <c r="DB1224" s="34"/>
    </row>
    <row r="1225" spans="4:106" x14ac:dyDescent="0.25">
      <c r="D1225" s="12"/>
      <c r="E1225" s="14"/>
      <c r="H1225" s="16"/>
      <c r="I1225" s="11"/>
      <c r="J1225" s="33"/>
      <c r="K1225" s="33"/>
      <c r="L1225" s="33"/>
      <c r="M1225" s="33"/>
      <c r="N1225" s="8"/>
      <c r="AG1225" s="8"/>
      <c r="AI1225" s="30"/>
      <c r="AK1225" s="30"/>
      <c r="AL1225" s="21"/>
      <c r="AM1225" s="23"/>
      <c r="AU1225" s="40"/>
      <c r="AW1225" s="40"/>
      <c r="AY1225" s="18"/>
      <c r="BA1225" s="18"/>
      <c r="BB1225" s="18"/>
      <c r="BH1225" s="18"/>
      <c r="BK1225" s="18"/>
      <c r="BV1225" s="18"/>
      <c r="BZ1225" s="18"/>
      <c r="CF1225" s="18"/>
      <c r="CQ1225" s="18"/>
      <c r="DB1225" s="34"/>
    </row>
    <row r="1226" spans="4:106" x14ac:dyDescent="0.25">
      <c r="D1226" s="12"/>
      <c r="E1226" s="14"/>
      <c r="H1226" s="16"/>
      <c r="I1226" s="11"/>
      <c r="J1226" s="33"/>
      <c r="K1226" s="33"/>
      <c r="L1226" s="33"/>
      <c r="M1226" s="33"/>
      <c r="N1226" s="8"/>
      <c r="AG1226" s="8"/>
      <c r="AI1226" s="30"/>
      <c r="AK1226" s="30"/>
      <c r="AL1226" s="21"/>
      <c r="AM1226" s="23"/>
      <c r="AU1226" s="40"/>
      <c r="AW1226" s="40"/>
      <c r="AY1226" s="18"/>
      <c r="BA1226" s="18"/>
      <c r="BB1226" s="18"/>
      <c r="BH1226" s="18"/>
      <c r="BK1226" s="18"/>
      <c r="BV1226" s="18"/>
      <c r="BZ1226" s="18"/>
      <c r="CF1226" s="18"/>
      <c r="CQ1226" s="18"/>
      <c r="DB1226" s="34"/>
    </row>
    <row r="1227" spans="4:106" x14ac:dyDescent="0.25">
      <c r="D1227" s="12"/>
      <c r="E1227" s="14"/>
      <c r="H1227" s="16"/>
      <c r="I1227" s="11"/>
      <c r="J1227" s="33"/>
      <c r="K1227" s="33"/>
      <c r="L1227" s="33"/>
      <c r="M1227" s="33"/>
      <c r="N1227" s="8"/>
      <c r="AG1227" s="8"/>
      <c r="AI1227" s="30"/>
      <c r="AK1227" s="30"/>
      <c r="AL1227" s="21"/>
      <c r="AM1227" s="23"/>
      <c r="AU1227" s="40"/>
      <c r="AW1227" s="40"/>
      <c r="AY1227" s="18"/>
      <c r="BA1227" s="18"/>
      <c r="BB1227" s="18"/>
      <c r="BH1227" s="18"/>
      <c r="BK1227" s="18"/>
      <c r="BV1227" s="18"/>
      <c r="BZ1227" s="18"/>
      <c r="CF1227" s="18"/>
      <c r="CQ1227" s="18"/>
      <c r="DB1227" s="34"/>
    </row>
    <row r="1228" spans="4:106" x14ac:dyDescent="0.25">
      <c r="D1228" s="12"/>
      <c r="E1228" s="14"/>
      <c r="H1228" s="16"/>
      <c r="I1228" s="11"/>
      <c r="J1228" s="33"/>
      <c r="K1228" s="33"/>
      <c r="L1228" s="33"/>
      <c r="M1228" s="33"/>
      <c r="N1228" s="8"/>
      <c r="AG1228" s="8"/>
      <c r="AI1228" s="30"/>
      <c r="AK1228" s="30"/>
      <c r="AL1228" s="21"/>
      <c r="AM1228" s="23"/>
      <c r="AU1228" s="40"/>
      <c r="AW1228" s="40"/>
      <c r="AY1228" s="18"/>
      <c r="BA1228" s="18"/>
      <c r="BB1228" s="18"/>
      <c r="BH1228" s="18"/>
      <c r="BK1228" s="18"/>
      <c r="BV1228" s="18"/>
      <c r="BZ1228" s="18"/>
      <c r="CF1228" s="18"/>
      <c r="CQ1228" s="18"/>
      <c r="DB1228" s="34"/>
    </row>
    <row r="1229" spans="4:106" x14ac:dyDescent="0.25">
      <c r="D1229" s="12"/>
      <c r="E1229" s="14"/>
      <c r="H1229" s="16"/>
      <c r="I1229" s="11"/>
      <c r="J1229" s="33"/>
      <c r="K1229" s="33"/>
      <c r="L1229" s="33"/>
      <c r="M1229" s="33"/>
      <c r="N1229" s="8"/>
      <c r="AG1229" s="8"/>
      <c r="AI1229" s="30"/>
      <c r="AK1229" s="30"/>
      <c r="AL1229" s="21"/>
      <c r="AM1229" s="23"/>
      <c r="AU1229" s="40"/>
      <c r="AW1229" s="40"/>
      <c r="AY1229" s="18"/>
      <c r="BA1229" s="18"/>
      <c r="BB1229" s="18"/>
      <c r="BH1229" s="18"/>
      <c r="BK1229" s="18"/>
      <c r="BV1229" s="18"/>
      <c r="BZ1229" s="18"/>
      <c r="CF1229" s="18"/>
      <c r="CQ1229" s="18"/>
      <c r="DB1229" s="34"/>
    </row>
    <row r="1230" spans="4:106" x14ac:dyDescent="0.25">
      <c r="D1230" s="12"/>
      <c r="E1230" s="14"/>
      <c r="H1230" s="16"/>
      <c r="I1230" s="11"/>
      <c r="J1230" s="33"/>
      <c r="K1230" s="33"/>
      <c r="L1230" s="33"/>
      <c r="M1230" s="33"/>
      <c r="N1230" s="8"/>
      <c r="AG1230" s="8"/>
      <c r="AI1230" s="30"/>
      <c r="AK1230" s="30"/>
      <c r="AL1230" s="21"/>
      <c r="AM1230" s="23"/>
      <c r="AU1230" s="40"/>
      <c r="AW1230" s="40"/>
      <c r="AY1230" s="18"/>
      <c r="BA1230" s="18"/>
      <c r="BB1230" s="18"/>
      <c r="BH1230" s="18"/>
      <c r="BK1230" s="18"/>
      <c r="BV1230" s="18"/>
      <c r="BZ1230" s="18"/>
      <c r="CF1230" s="18"/>
      <c r="CQ1230" s="18"/>
      <c r="DB1230" s="34"/>
    </row>
    <row r="1231" spans="4:106" x14ac:dyDescent="0.25">
      <c r="D1231" s="12"/>
      <c r="E1231" s="14"/>
      <c r="H1231" s="16"/>
      <c r="I1231" s="11"/>
      <c r="J1231" s="33"/>
      <c r="K1231" s="33"/>
      <c r="L1231" s="33"/>
      <c r="M1231" s="33"/>
      <c r="N1231" s="8"/>
      <c r="AG1231" s="8"/>
      <c r="AI1231" s="30"/>
      <c r="AK1231" s="30"/>
      <c r="AL1231" s="21"/>
      <c r="AM1231" s="23"/>
      <c r="AU1231" s="40"/>
      <c r="AW1231" s="40"/>
      <c r="AY1231" s="18"/>
      <c r="BA1231" s="18"/>
      <c r="BB1231" s="18"/>
      <c r="BH1231" s="18"/>
      <c r="BK1231" s="18"/>
      <c r="BV1231" s="18"/>
      <c r="BZ1231" s="18"/>
      <c r="CF1231" s="18"/>
      <c r="CQ1231" s="18"/>
      <c r="DB1231" s="34"/>
    </row>
    <row r="1232" spans="4:106" x14ac:dyDescent="0.25">
      <c r="D1232" s="12"/>
      <c r="E1232" s="14"/>
      <c r="H1232" s="16"/>
      <c r="I1232" s="11"/>
      <c r="J1232" s="33"/>
      <c r="K1232" s="33"/>
      <c r="L1232" s="33"/>
      <c r="M1232" s="33"/>
      <c r="N1232" s="8"/>
      <c r="AG1232" s="8"/>
      <c r="AI1232" s="30"/>
      <c r="AK1232" s="30"/>
      <c r="AL1232" s="21"/>
      <c r="AM1232" s="23"/>
      <c r="AU1232" s="40"/>
      <c r="AW1232" s="40"/>
      <c r="AY1232" s="18"/>
      <c r="BA1232" s="18"/>
      <c r="BB1232" s="18"/>
      <c r="BH1232" s="18"/>
      <c r="BK1232" s="18"/>
      <c r="BV1232" s="18"/>
      <c r="BZ1232" s="18"/>
      <c r="CF1232" s="18"/>
      <c r="CQ1232" s="18"/>
      <c r="DB1232" s="34"/>
    </row>
    <row r="1233" spans="4:106" x14ac:dyDescent="0.25">
      <c r="D1233" s="12"/>
      <c r="E1233" s="14"/>
      <c r="H1233" s="16"/>
      <c r="I1233" s="11"/>
      <c r="J1233" s="33"/>
      <c r="K1233" s="33"/>
      <c r="L1233" s="33"/>
      <c r="M1233" s="33"/>
      <c r="N1233" s="8"/>
      <c r="AG1233" s="8"/>
      <c r="AI1233" s="30"/>
      <c r="AK1233" s="30"/>
      <c r="AL1233" s="21"/>
      <c r="AM1233" s="23"/>
      <c r="AU1233" s="40"/>
      <c r="AW1233" s="40"/>
      <c r="AY1233" s="18"/>
      <c r="BA1233" s="18"/>
      <c r="BB1233" s="18"/>
      <c r="BH1233" s="18"/>
      <c r="BK1233" s="18"/>
      <c r="BV1233" s="18"/>
      <c r="BZ1233" s="18"/>
      <c r="CF1233" s="18"/>
      <c r="CQ1233" s="18"/>
      <c r="DB1233" s="34"/>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H1651" s="18"/>
      <c r="BK1651" s="18"/>
      <c r="BV1651" s="18"/>
      <c r="BZ1651" s="18"/>
      <c r="CF1651" s="18"/>
      <c r="CQ1651" s="18"/>
      <c r="DB1651" s="34"/>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H1652" s="18"/>
      <c r="BK1652" s="18"/>
      <c r="BV1652" s="18"/>
      <c r="BZ1652" s="18"/>
      <c r="CF1652" s="18"/>
      <c r="CQ1652" s="18"/>
      <c r="DB1652" s="34"/>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H1653" s="18"/>
      <c r="BK1653" s="18"/>
      <c r="BV1653" s="18"/>
      <c r="BZ1653" s="18"/>
      <c r="CF1653" s="18"/>
      <c r="CQ1653" s="18"/>
      <c r="DB1653" s="34"/>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H1654" s="18"/>
      <c r="BK1654" s="18"/>
      <c r="BV1654" s="18"/>
      <c r="BZ1654" s="18"/>
      <c r="CF1654" s="18"/>
      <c r="CQ1654" s="18"/>
      <c r="DB1654" s="34"/>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H1655" s="18"/>
      <c r="BK1655" s="18"/>
      <c r="BV1655" s="18"/>
      <c r="BZ1655" s="18"/>
      <c r="CF1655" s="18"/>
      <c r="CQ1655" s="18"/>
      <c r="DB1655" s="34"/>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H1656" s="18"/>
      <c r="BK1656" s="18"/>
      <c r="BV1656" s="18"/>
      <c r="BZ1656" s="18"/>
      <c r="CF1656" s="18"/>
      <c r="CQ1656" s="18"/>
      <c r="DB1656" s="34"/>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H1657" s="18"/>
      <c r="BK1657" s="18"/>
      <c r="BV1657" s="18"/>
      <c r="BZ1657" s="18"/>
      <c r="CF1657" s="18"/>
      <c r="CQ1657" s="18"/>
      <c r="DB1657" s="34"/>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H1658" s="18"/>
      <c r="BK1658" s="18"/>
      <c r="BV1658" s="18"/>
      <c r="BZ1658" s="18"/>
      <c r="CF1658" s="18"/>
      <c r="CQ1658" s="18"/>
      <c r="DB1658" s="34"/>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H1659" s="18"/>
      <c r="BK1659" s="18"/>
      <c r="BV1659" s="18"/>
      <c r="BZ1659" s="18"/>
      <c r="CF1659" s="18"/>
      <c r="CQ1659" s="18"/>
      <c r="DB1659" s="34"/>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H1660" s="18"/>
      <c r="BK1660" s="18"/>
      <c r="BV1660" s="18"/>
      <c r="BZ1660" s="18"/>
      <c r="CF1660" s="18"/>
      <c r="CQ1660" s="18"/>
      <c r="DB1660" s="34"/>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H1661" s="18"/>
      <c r="BK1661" s="18"/>
      <c r="BV1661" s="18"/>
      <c r="BZ1661" s="18"/>
      <c r="CF1661" s="18"/>
      <c r="CQ1661" s="18"/>
      <c r="DB1661" s="34"/>
    </row>
  </sheetData>
  <autoFilter ref="A1:CV1661" xr:uid="{00000000-0009-0000-0000-000000000000}"/>
  <conditionalFormatting sqref="A1117:XFD1048576 DC1:XFD1116">
    <cfRule type="expression" dxfId="227" priority="4">
      <formula>AND(NOT(ISBLANK($C1)),ISBLANK($C2))</formula>
    </cfRule>
    <cfRule type="containsBlanks" dxfId="226" priority="33">
      <formula>LEN(TRIM(A1))=0</formula>
    </cfRule>
  </conditionalFormatting>
  <conditionalFormatting sqref="A1117:XFD1048576 DC1:XFD1116">
    <cfRule type="expression" dxfId="225" priority="273">
      <formula>$C1&lt;&gt;$C2</formula>
    </cfRule>
  </conditionalFormatting>
  <conditionalFormatting sqref="A1:DB1116">
    <cfRule type="expression" dxfId="224" priority="1">
      <formula>AND(NOT(ISBLANK($C1)),ISBLANK($C2))</formula>
    </cfRule>
    <cfRule type="containsBlanks" dxfId="223" priority="2">
      <formula>LEN(TRIM(A1))=0</formula>
    </cfRule>
    <cfRule type="expression" dxfId="222"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6"/>
  <sheetViews>
    <sheetView workbookViewId="0">
      <pane ySplit="1" topLeftCell="A38" activePane="bottomLeft" state="frozen"/>
      <selection pane="bottomLeft" activeCell="F62" sqref="F62"/>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style="184" customWidth="1"/>
    <col min="11" max="11" width="9.140625" style="184"/>
    <col min="12" max="12" width="15.140625" style="184" bestFit="1" customWidth="1"/>
    <col min="13" max="13" width="9.140625" style="185"/>
  </cols>
  <sheetData>
    <row r="1" spans="1:13" x14ac:dyDescent="0.25">
      <c r="A1" s="93" t="s">
        <v>328</v>
      </c>
      <c r="B1" s="115" t="s">
        <v>370</v>
      </c>
      <c r="C1" s="93" t="s">
        <v>337</v>
      </c>
      <c r="D1" s="93" t="s">
        <v>357</v>
      </c>
      <c r="E1" s="93" t="s">
        <v>4040</v>
      </c>
      <c r="F1" s="122" t="s">
        <v>360</v>
      </c>
      <c r="G1" s="181" t="s">
        <v>4033</v>
      </c>
      <c r="H1" s="182" t="s">
        <v>361</v>
      </c>
      <c r="I1" s="183" t="s">
        <v>364</v>
      </c>
      <c r="J1" s="186" t="s">
        <v>4208</v>
      </c>
      <c r="K1" s="186" t="s">
        <v>329</v>
      </c>
      <c r="L1" s="186" t="s">
        <v>1114</v>
      </c>
      <c r="M1" s="187" t="s">
        <v>330</v>
      </c>
    </row>
    <row r="2" spans="1:13" x14ac:dyDescent="0.25">
      <c r="A2" s="28" t="s">
        <v>0</v>
      </c>
      <c r="B2" s="125" t="s">
        <v>373</v>
      </c>
      <c r="C2" t="s">
        <v>355</v>
      </c>
      <c r="D2">
        <v>1</v>
      </c>
      <c r="E2" t="s">
        <v>4041</v>
      </c>
      <c r="F2" s="42" t="b">
        <v>0</v>
      </c>
      <c r="G2" s="42" t="b">
        <v>0</v>
      </c>
      <c r="J2" s="184" t="b">
        <v>0</v>
      </c>
      <c r="K2" s="184" t="b">
        <v>0</v>
      </c>
    </row>
    <row r="3" spans="1:13" x14ac:dyDescent="0.25">
      <c r="A3" s="28" t="s">
        <v>1</v>
      </c>
      <c r="B3" s="125" t="s">
        <v>371</v>
      </c>
      <c r="C3" t="s">
        <v>355</v>
      </c>
      <c r="D3">
        <v>2</v>
      </c>
      <c r="E3" t="s">
        <v>4041</v>
      </c>
      <c r="F3" s="42" t="b">
        <v>0</v>
      </c>
      <c r="G3" s="42" t="b">
        <v>0</v>
      </c>
      <c r="J3" s="184" t="b">
        <v>0</v>
      </c>
      <c r="K3" s="184" t="b">
        <v>0</v>
      </c>
    </row>
    <row r="4" spans="1:13" x14ac:dyDescent="0.25">
      <c r="A4" s="28" t="s">
        <v>333</v>
      </c>
      <c r="B4" s="125" t="s">
        <v>372</v>
      </c>
      <c r="C4" t="s">
        <v>369</v>
      </c>
      <c r="D4">
        <v>3</v>
      </c>
      <c r="E4" t="s">
        <v>4041</v>
      </c>
      <c r="F4" s="42" t="b">
        <v>0</v>
      </c>
      <c r="G4" s="42" t="b">
        <v>0</v>
      </c>
      <c r="J4" s="184" t="b">
        <v>0</v>
      </c>
      <c r="K4" s="184" t="b">
        <v>0</v>
      </c>
    </row>
    <row r="5" spans="1:13" x14ac:dyDescent="0.25">
      <c r="A5" s="124" t="s">
        <v>90</v>
      </c>
      <c r="B5" s="117" t="s">
        <v>374</v>
      </c>
      <c r="C5" t="s">
        <v>356</v>
      </c>
      <c r="D5">
        <v>4</v>
      </c>
      <c r="E5" t="s">
        <v>4041</v>
      </c>
      <c r="F5" s="42" t="b">
        <v>1</v>
      </c>
      <c r="G5" s="42" t="b">
        <v>0</v>
      </c>
      <c r="J5" s="184" t="b">
        <v>0</v>
      </c>
      <c r="K5" s="184" t="b">
        <v>0</v>
      </c>
    </row>
    <row r="6" spans="1:13" x14ac:dyDescent="0.25">
      <c r="A6" s="28" t="s">
        <v>91</v>
      </c>
      <c r="B6" s="125" t="s">
        <v>375</v>
      </c>
      <c r="C6" t="s">
        <v>356</v>
      </c>
      <c r="D6">
        <v>5</v>
      </c>
      <c r="E6" t="s">
        <v>4041</v>
      </c>
      <c r="F6" s="42" t="b">
        <v>1</v>
      </c>
      <c r="G6" s="42" t="b">
        <v>0</v>
      </c>
      <c r="J6" s="184" t="b">
        <v>0</v>
      </c>
      <c r="K6" s="184" t="b">
        <v>0</v>
      </c>
    </row>
    <row r="7" spans="1:13" x14ac:dyDescent="0.25">
      <c r="A7" s="28" t="s">
        <v>87</v>
      </c>
      <c r="B7" s="125" t="s">
        <v>464</v>
      </c>
      <c r="C7" t="s">
        <v>356</v>
      </c>
      <c r="D7">
        <v>6</v>
      </c>
      <c r="E7" t="s">
        <v>4041</v>
      </c>
      <c r="F7" s="42" t="b">
        <v>1</v>
      </c>
      <c r="G7" s="42" t="b">
        <v>1</v>
      </c>
      <c r="I7" s="18" t="s">
        <v>4043</v>
      </c>
      <c r="J7" s="184" t="b">
        <v>0</v>
      </c>
      <c r="K7" s="184" t="b">
        <v>0</v>
      </c>
    </row>
    <row r="8" spans="1:13" x14ac:dyDescent="0.25">
      <c r="A8" s="28" t="s">
        <v>88</v>
      </c>
      <c r="B8" s="125" t="s">
        <v>376</v>
      </c>
      <c r="C8" t="s">
        <v>356</v>
      </c>
      <c r="D8">
        <v>7</v>
      </c>
      <c r="E8" t="s">
        <v>4041</v>
      </c>
      <c r="F8" s="42" t="b">
        <v>0</v>
      </c>
      <c r="G8" s="42" t="b">
        <v>0</v>
      </c>
      <c r="J8" s="184" t="b">
        <v>0</v>
      </c>
      <c r="K8" s="184" t="b">
        <v>0</v>
      </c>
    </row>
    <row r="9" spans="1:13" x14ac:dyDescent="0.25">
      <c r="A9" s="28" t="s">
        <v>89</v>
      </c>
      <c r="B9" s="125" t="s">
        <v>377</v>
      </c>
      <c r="C9" t="s">
        <v>356</v>
      </c>
      <c r="D9">
        <v>7</v>
      </c>
      <c r="E9" t="s">
        <v>4041</v>
      </c>
      <c r="F9" s="42" t="b">
        <v>0</v>
      </c>
      <c r="G9" s="42" t="b">
        <v>0</v>
      </c>
      <c r="J9" s="184" t="b">
        <v>0</v>
      </c>
      <c r="K9" s="184" t="b">
        <v>0</v>
      </c>
    </row>
    <row r="10" spans="1:13" x14ac:dyDescent="0.25">
      <c r="A10" s="124" t="s">
        <v>4026</v>
      </c>
      <c r="B10" s="117" t="s">
        <v>4028</v>
      </c>
      <c r="C10" t="s">
        <v>356</v>
      </c>
      <c r="D10">
        <v>8</v>
      </c>
      <c r="E10" t="s">
        <v>4041</v>
      </c>
      <c r="F10" s="42" t="b">
        <v>1</v>
      </c>
      <c r="G10" s="42" t="b">
        <v>0</v>
      </c>
      <c r="J10" s="184" t="b">
        <v>0</v>
      </c>
      <c r="K10" s="184" t="b">
        <v>0</v>
      </c>
    </row>
    <row r="11" spans="1:13" x14ac:dyDescent="0.25">
      <c r="A11" s="28" t="s">
        <v>153</v>
      </c>
      <c r="B11" s="125" t="s">
        <v>4027</v>
      </c>
      <c r="C11" t="s">
        <v>356</v>
      </c>
      <c r="D11">
        <v>9</v>
      </c>
      <c r="E11" t="s">
        <v>4041</v>
      </c>
      <c r="F11" s="42" t="b">
        <v>0</v>
      </c>
      <c r="G11" s="42" t="b">
        <v>0</v>
      </c>
      <c r="J11" s="184" t="b">
        <v>0</v>
      </c>
      <c r="K11" s="184" t="b">
        <v>0</v>
      </c>
    </row>
    <row r="12" spans="1:13" x14ac:dyDescent="0.25">
      <c r="A12" s="28" t="s">
        <v>92</v>
      </c>
      <c r="B12" s="125" t="s">
        <v>4052</v>
      </c>
      <c r="C12" t="s">
        <v>356</v>
      </c>
      <c r="D12">
        <v>9</v>
      </c>
      <c r="E12" t="s">
        <v>4041</v>
      </c>
      <c r="F12" s="42" t="b">
        <v>1</v>
      </c>
      <c r="G12" s="42" t="b">
        <v>0</v>
      </c>
      <c r="J12" s="184" t="b">
        <v>0</v>
      </c>
      <c r="K12" s="184" t="b">
        <v>0</v>
      </c>
    </row>
    <row r="13" spans="1:13" x14ac:dyDescent="0.25">
      <c r="A13" s="28" t="s">
        <v>93</v>
      </c>
      <c r="B13" s="125" t="s">
        <v>378</v>
      </c>
      <c r="C13" t="s">
        <v>356</v>
      </c>
      <c r="D13">
        <v>10</v>
      </c>
      <c r="E13" t="s">
        <v>4041</v>
      </c>
      <c r="F13" s="42" t="b">
        <v>0</v>
      </c>
      <c r="G13" s="42" t="b">
        <v>0</v>
      </c>
      <c r="J13" s="184" t="b">
        <v>0</v>
      </c>
      <c r="K13" s="184" t="b">
        <v>0</v>
      </c>
    </row>
    <row r="14" spans="1:13" x14ac:dyDescent="0.25">
      <c r="A14" s="28" t="s">
        <v>94</v>
      </c>
      <c r="B14" s="125" t="s">
        <v>379</v>
      </c>
      <c r="C14" t="s">
        <v>356</v>
      </c>
      <c r="D14">
        <v>10</v>
      </c>
      <c r="E14" t="s">
        <v>4041</v>
      </c>
      <c r="F14" s="42" t="b">
        <v>0</v>
      </c>
      <c r="G14" s="42" t="b">
        <v>0</v>
      </c>
      <c r="J14" s="184" t="b">
        <v>0</v>
      </c>
      <c r="K14" s="184" t="b">
        <v>0</v>
      </c>
    </row>
    <row r="15" spans="1:13" x14ac:dyDescent="0.25">
      <c r="A15" s="6" t="s">
        <v>43</v>
      </c>
      <c r="B15" s="118" t="s">
        <v>380</v>
      </c>
      <c r="C15" t="s">
        <v>338</v>
      </c>
      <c r="D15">
        <v>11</v>
      </c>
      <c r="E15" t="s">
        <v>4041</v>
      </c>
      <c r="F15" s="42" t="b">
        <v>1</v>
      </c>
      <c r="G15" s="42" t="b">
        <v>1</v>
      </c>
      <c r="H15">
        <v>1</v>
      </c>
      <c r="J15" s="184" t="b">
        <v>1</v>
      </c>
      <c r="K15" s="184" t="b">
        <v>1</v>
      </c>
    </row>
    <row r="16" spans="1:13" x14ac:dyDescent="0.25">
      <c r="A16" s="6" t="s">
        <v>44</v>
      </c>
      <c r="B16" s="118" t="s">
        <v>381</v>
      </c>
      <c r="C16" t="s">
        <v>338</v>
      </c>
      <c r="D16">
        <v>11</v>
      </c>
      <c r="E16" t="s">
        <v>4041</v>
      </c>
      <c r="F16" s="42" t="b">
        <v>1</v>
      </c>
      <c r="G16" s="42" t="b">
        <v>1</v>
      </c>
      <c r="H16">
        <v>1</v>
      </c>
      <c r="J16" s="184" t="b">
        <v>0</v>
      </c>
      <c r="K16" s="184" t="b">
        <v>0</v>
      </c>
    </row>
    <row r="17" spans="1:11" x14ac:dyDescent="0.25">
      <c r="A17" s="6" t="s">
        <v>41</v>
      </c>
      <c r="B17" s="118" t="s">
        <v>382</v>
      </c>
      <c r="C17" t="s">
        <v>338</v>
      </c>
      <c r="D17">
        <v>12</v>
      </c>
      <c r="E17" t="s">
        <v>4041</v>
      </c>
      <c r="F17" s="42" t="b">
        <v>1</v>
      </c>
      <c r="G17" s="42" t="b">
        <v>1</v>
      </c>
      <c r="H17">
        <v>1</v>
      </c>
      <c r="J17" s="184" t="b">
        <v>1</v>
      </c>
      <c r="K17" s="184" t="b">
        <v>1</v>
      </c>
    </row>
    <row r="18" spans="1:11" x14ac:dyDescent="0.25">
      <c r="A18" s="6" t="s">
        <v>45</v>
      </c>
      <c r="B18" s="118" t="s">
        <v>383</v>
      </c>
      <c r="C18" t="s">
        <v>338</v>
      </c>
      <c r="D18">
        <v>12</v>
      </c>
      <c r="E18" t="s">
        <v>4041</v>
      </c>
      <c r="F18" s="42" t="b">
        <v>1</v>
      </c>
      <c r="G18" s="42" t="b">
        <v>1</v>
      </c>
      <c r="H18">
        <v>1</v>
      </c>
      <c r="J18" s="184" t="b">
        <v>1</v>
      </c>
      <c r="K18" s="184" t="b">
        <v>1</v>
      </c>
    </row>
    <row r="19" spans="1:11" x14ac:dyDescent="0.25">
      <c r="A19" s="6" t="s">
        <v>40</v>
      </c>
      <c r="B19" s="118" t="s">
        <v>384</v>
      </c>
      <c r="C19" t="s">
        <v>338</v>
      </c>
      <c r="D19">
        <v>12</v>
      </c>
      <c r="E19" t="s">
        <v>4041</v>
      </c>
      <c r="F19" s="42" t="b">
        <v>1</v>
      </c>
      <c r="G19" s="42" t="b">
        <v>1</v>
      </c>
      <c r="H19">
        <v>1</v>
      </c>
      <c r="J19" s="184" t="b">
        <v>1</v>
      </c>
      <c r="K19" s="184" t="b">
        <v>1</v>
      </c>
    </row>
    <row r="20" spans="1:11" x14ac:dyDescent="0.25">
      <c r="A20" s="6" t="s">
        <v>42</v>
      </c>
      <c r="B20" s="118" t="s">
        <v>385</v>
      </c>
      <c r="C20" t="s">
        <v>338</v>
      </c>
      <c r="D20">
        <v>12</v>
      </c>
      <c r="E20" t="s">
        <v>4041</v>
      </c>
      <c r="F20" s="42" t="b">
        <v>1</v>
      </c>
      <c r="G20" s="42" t="b">
        <v>1</v>
      </c>
      <c r="H20">
        <v>1</v>
      </c>
      <c r="J20" s="184" t="b">
        <v>1</v>
      </c>
      <c r="K20" s="184" t="b">
        <v>1</v>
      </c>
    </row>
    <row r="21" spans="1:11" x14ac:dyDescent="0.25">
      <c r="A21" s="6" t="s">
        <v>282</v>
      </c>
      <c r="B21" s="118" t="s">
        <v>386</v>
      </c>
      <c r="C21" t="s">
        <v>338</v>
      </c>
      <c r="D21">
        <v>12</v>
      </c>
      <c r="E21" t="s">
        <v>4041</v>
      </c>
      <c r="F21" s="42" t="b">
        <v>1</v>
      </c>
      <c r="G21" s="42" t="b">
        <v>1</v>
      </c>
      <c r="H21">
        <v>1</v>
      </c>
      <c r="J21" s="184" t="b">
        <v>0</v>
      </c>
      <c r="K21" s="184" t="b">
        <v>0</v>
      </c>
    </row>
    <row r="22" spans="1:11" x14ac:dyDescent="0.25">
      <c r="A22" s="6" t="s">
        <v>96</v>
      </c>
      <c r="B22" s="118" t="s">
        <v>387</v>
      </c>
      <c r="C22" t="s">
        <v>355</v>
      </c>
      <c r="D22">
        <v>13</v>
      </c>
      <c r="E22" t="s">
        <v>4041</v>
      </c>
      <c r="F22" s="42" t="b">
        <v>1</v>
      </c>
      <c r="G22" s="42" t="b">
        <v>1</v>
      </c>
      <c r="I22" s="18" t="s">
        <v>4043</v>
      </c>
      <c r="J22" s="184" t="b">
        <v>1</v>
      </c>
      <c r="K22" s="184" t="b">
        <v>0</v>
      </c>
    </row>
    <row r="23" spans="1:11" x14ac:dyDescent="0.25">
      <c r="A23" s="6" t="s">
        <v>97</v>
      </c>
      <c r="B23" s="118" t="s">
        <v>388</v>
      </c>
      <c r="C23" t="s">
        <v>355</v>
      </c>
      <c r="D23">
        <v>13</v>
      </c>
      <c r="E23" t="s">
        <v>4041</v>
      </c>
      <c r="F23" s="42" t="b">
        <v>0</v>
      </c>
      <c r="G23" s="42" t="b">
        <v>0</v>
      </c>
      <c r="J23" s="184" t="b">
        <v>0</v>
      </c>
      <c r="K23" s="184" t="b">
        <v>0</v>
      </c>
    </row>
    <row r="24" spans="1:11" x14ac:dyDescent="0.25">
      <c r="A24" s="6" t="s">
        <v>95</v>
      </c>
      <c r="B24" s="118" t="s">
        <v>389</v>
      </c>
      <c r="C24" t="s">
        <v>355</v>
      </c>
      <c r="D24">
        <v>13</v>
      </c>
      <c r="E24" t="s">
        <v>4041</v>
      </c>
      <c r="F24" s="42" t="b">
        <v>0</v>
      </c>
      <c r="G24" s="42" t="b">
        <v>0</v>
      </c>
      <c r="J24" s="184" t="b">
        <v>0</v>
      </c>
      <c r="K24" s="184" t="b">
        <v>0</v>
      </c>
    </row>
    <row r="25" spans="1:11" x14ac:dyDescent="0.25">
      <c r="A25" s="2" t="s">
        <v>143</v>
      </c>
      <c r="B25" s="119" t="s">
        <v>390</v>
      </c>
      <c r="C25" t="s">
        <v>355</v>
      </c>
      <c r="D25">
        <v>14</v>
      </c>
      <c r="E25" t="s">
        <v>4041</v>
      </c>
      <c r="F25" s="42" t="b">
        <v>1</v>
      </c>
      <c r="G25" s="42" t="b">
        <v>1</v>
      </c>
      <c r="I25" s="18" t="s">
        <v>4043</v>
      </c>
      <c r="J25" s="184" t="b">
        <v>1</v>
      </c>
      <c r="K25" s="184" t="b">
        <v>1</v>
      </c>
    </row>
    <row r="26" spans="1:11" x14ac:dyDescent="0.25">
      <c r="A26" s="2" t="s">
        <v>31</v>
      </c>
      <c r="B26" s="119" t="s">
        <v>391</v>
      </c>
      <c r="C26" t="s">
        <v>356</v>
      </c>
      <c r="D26">
        <v>15</v>
      </c>
      <c r="E26" t="s">
        <v>4043</v>
      </c>
      <c r="F26" s="42" t="b">
        <v>1</v>
      </c>
      <c r="G26" s="42" t="b">
        <v>1</v>
      </c>
      <c r="I26" s="18" t="s">
        <v>4043</v>
      </c>
      <c r="J26" s="184" t="b">
        <v>1</v>
      </c>
      <c r="K26" s="184" t="b">
        <v>1</v>
      </c>
    </row>
    <row r="27" spans="1:11" x14ac:dyDescent="0.25">
      <c r="A27" s="2" t="s">
        <v>46</v>
      </c>
      <c r="B27" s="119" t="s">
        <v>392</v>
      </c>
      <c r="C27" t="s">
        <v>356</v>
      </c>
      <c r="D27">
        <v>16</v>
      </c>
      <c r="E27" t="s">
        <v>4043</v>
      </c>
      <c r="F27" s="42" t="b">
        <v>1</v>
      </c>
      <c r="G27" s="42" t="b">
        <v>1</v>
      </c>
      <c r="I27" s="18" t="s">
        <v>4043</v>
      </c>
      <c r="J27" s="184" t="b">
        <v>1</v>
      </c>
      <c r="K27" s="184" t="b">
        <v>1</v>
      </c>
    </row>
    <row r="28" spans="1:11" x14ac:dyDescent="0.25">
      <c r="A28" s="2" t="s">
        <v>199</v>
      </c>
      <c r="B28" s="119" t="s">
        <v>393</v>
      </c>
      <c r="C28" t="s">
        <v>338</v>
      </c>
      <c r="D28">
        <v>17</v>
      </c>
      <c r="E28" t="s">
        <v>4041</v>
      </c>
      <c r="F28" s="42" t="b">
        <v>1</v>
      </c>
      <c r="G28" s="42" t="b">
        <v>1</v>
      </c>
      <c r="H28">
        <v>1</v>
      </c>
      <c r="J28" s="184" t="b">
        <v>1</v>
      </c>
      <c r="K28" s="184" t="b">
        <v>1</v>
      </c>
    </row>
    <row r="29" spans="1:11" x14ac:dyDescent="0.25">
      <c r="A29" s="2" t="s">
        <v>200</v>
      </c>
      <c r="B29" s="119" t="s">
        <v>394</v>
      </c>
      <c r="C29" t="s">
        <v>338</v>
      </c>
      <c r="D29">
        <v>17</v>
      </c>
      <c r="E29" t="s">
        <v>4041</v>
      </c>
      <c r="F29" s="42" t="b">
        <v>1</v>
      </c>
      <c r="G29" s="42" t="b">
        <v>1</v>
      </c>
      <c r="H29">
        <v>1</v>
      </c>
      <c r="J29" s="184" t="b">
        <v>0</v>
      </c>
      <c r="K29" s="184" t="b">
        <v>0</v>
      </c>
    </row>
    <row r="30" spans="1:11" x14ac:dyDescent="0.25">
      <c r="A30" s="2" t="s">
        <v>126</v>
      </c>
      <c r="B30" s="119" t="s">
        <v>396</v>
      </c>
      <c r="C30" t="s">
        <v>338</v>
      </c>
      <c r="D30">
        <v>18</v>
      </c>
      <c r="E30" t="s">
        <v>4041</v>
      </c>
      <c r="F30" s="42" t="b">
        <v>1</v>
      </c>
      <c r="G30" s="42" t="b">
        <v>1</v>
      </c>
      <c r="H30">
        <v>1</v>
      </c>
      <c r="J30" s="184" t="b">
        <v>1</v>
      </c>
      <c r="K30" s="184" t="b">
        <v>1</v>
      </c>
    </row>
    <row r="31" spans="1:11" x14ac:dyDescent="0.25">
      <c r="A31" s="2" t="s">
        <v>141</v>
      </c>
      <c r="B31" s="119" t="s">
        <v>397</v>
      </c>
      <c r="C31" t="s">
        <v>338</v>
      </c>
      <c r="D31">
        <v>18</v>
      </c>
      <c r="E31" t="s">
        <v>4041</v>
      </c>
      <c r="F31" s="42" t="b">
        <v>1</v>
      </c>
      <c r="G31" s="42" t="b">
        <v>1</v>
      </c>
      <c r="H31">
        <v>1</v>
      </c>
      <c r="J31" s="184" t="b">
        <v>1</v>
      </c>
      <c r="K31" s="184" t="b">
        <v>1</v>
      </c>
    </row>
    <row r="32" spans="1:11" x14ac:dyDescent="0.25">
      <c r="A32" s="2" t="s">
        <v>136</v>
      </c>
      <c r="B32" s="119" t="s">
        <v>398</v>
      </c>
      <c r="C32" t="s">
        <v>338</v>
      </c>
      <c r="D32">
        <v>18</v>
      </c>
      <c r="E32" t="s">
        <v>4041</v>
      </c>
      <c r="F32" s="42" t="b">
        <v>1</v>
      </c>
      <c r="G32" s="42" t="b">
        <v>1</v>
      </c>
      <c r="H32">
        <v>1</v>
      </c>
      <c r="J32" s="184" t="b">
        <v>1</v>
      </c>
      <c r="K32" s="184" t="b">
        <v>1</v>
      </c>
    </row>
    <row r="33" spans="1:11" x14ac:dyDescent="0.25">
      <c r="A33" s="2" t="s">
        <v>127</v>
      </c>
      <c r="B33" s="119" t="s">
        <v>395</v>
      </c>
      <c r="C33" t="s">
        <v>338</v>
      </c>
      <c r="D33">
        <v>18</v>
      </c>
      <c r="E33" t="s">
        <v>4041</v>
      </c>
      <c r="F33" s="42" t="b">
        <v>1</v>
      </c>
      <c r="G33" s="42" t="b">
        <v>1</v>
      </c>
      <c r="H33">
        <v>1</v>
      </c>
      <c r="J33" s="184" t="b">
        <v>0</v>
      </c>
      <c r="K33" s="184" t="b">
        <v>0</v>
      </c>
    </row>
    <row r="34" spans="1:11" x14ac:dyDescent="0.25">
      <c r="A34" s="2" t="s">
        <v>47</v>
      </c>
      <c r="B34" s="119" t="s">
        <v>399</v>
      </c>
      <c r="C34" t="s">
        <v>338</v>
      </c>
      <c r="D34">
        <v>19</v>
      </c>
      <c r="E34" t="s">
        <v>4041</v>
      </c>
      <c r="F34" s="42" t="b">
        <v>1</v>
      </c>
      <c r="G34" s="42" t="b">
        <v>1</v>
      </c>
      <c r="H34">
        <v>1</v>
      </c>
      <c r="J34" s="184" t="b">
        <v>1</v>
      </c>
      <c r="K34" s="184" t="b">
        <v>1</v>
      </c>
    </row>
    <row r="35" spans="1:11" x14ac:dyDescent="0.25">
      <c r="A35" s="2" t="s">
        <v>48</v>
      </c>
      <c r="B35" s="119" t="s">
        <v>400</v>
      </c>
      <c r="C35" t="s">
        <v>338</v>
      </c>
      <c r="D35">
        <v>19</v>
      </c>
      <c r="E35" t="s">
        <v>4041</v>
      </c>
      <c r="F35" s="42" t="b">
        <v>1</v>
      </c>
      <c r="G35" s="42" t="b">
        <v>1</v>
      </c>
      <c r="H35">
        <v>1</v>
      </c>
      <c r="J35" s="184" t="b">
        <v>1</v>
      </c>
      <c r="K35" s="184" t="b">
        <v>1</v>
      </c>
    </row>
    <row r="36" spans="1:11" x14ac:dyDescent="0.25">
      <c r="A36" s="2" t="s">
        <v>49</v>
      </c>
      <c r="B36" s="119" t="s">
        <v>401</v>
      </c>
      <c r="C36" t="s">
        <v>338</v>
      </c>
      <c r="D36">
        <v>19</v>
      </c>
      <c r="E36" t="s">
        <v>4041</v>
      </c>
      <c r="F36" s="42" t="b">
        <v>1</v>
      </c>
      <c r="G36" s="42" t="b">
        <v>1</v>
      </c>
      <c r="H36">
        <v>1</v>
      </c>
      <c r="J36" s="184" t="b">
        <v>0</v>
      </c>
      <c r="K36" s="184" t="b">
        <v>0</v>
      </c>
    </row>
    <row r="37" spans="1:11" x14ac:dyDescent="0.25">
      <c r="A37" s="2" t="s">
        <v>50</v>
      </c>
      <c r="B37" s="119" t="s">
        <v>402</v>
      </c>
      <c r="C37" t="s">
        <v>338</v>
      </c>
      <c r="D37">
        <v>20</v>
      </c>
      <c r="E37" t="s">
        <v>4041</v>
      </c>
      <c r="F37" s="42" t="b">
        <v>1</v>
      </c>
      <c r="G37" s="42" t="b">
        <v>1</v>
      </c>
      <c r="H37">
        <v>1</v>
      </c>
      <c r="J37" s="184" t="b">
        <v>1</v>
      </c>
      <c r="K37" s="184" t="b">
        <v>1</v>
      </c>
    </row>
    <row r="38" spans="1:11" x14ac:dyDescent="0.25">
      <c r="A38" s="2" t="s">
        <v>51</v>
      </c>
      <c r="B38" s="119" t="s">
        <v>403</v>
      </c>
      <c r="C38" t="s">
        <v>338</v>
      </c>
      <c r="D38">
        <v>20</v>
      </c>
      <c r="E38" t="s">
        <v>4041</v>
      </c>
      <c r="F38" s="42" t="b">
        <v>1</v>
      </c>
      <c r="G38" s="42" t="b">
        <v>1</v>
      </c>
      <c r="H38">
        <v>1</v>
      </c>
      <c r="J38" s="184" t="b">
        <v>0</v>
      </c>
      <c r="K38" s="184" t="b">
        <v>0</v>
      </c>
    </row>
    <row r="39" spans="1:11" x14ac:dyDescent="0.25">
      <c r="A39" s="2" t="s">
        <v>65</v>
      </c>
      <c r="B39" s="119" t="s">
        <v>404</v>
      </c>
      <c r="C39" t="s">
        <v>356</v>
      </c>
      <c r="D39">
        <v>21</v>
      </c>
      <c r="E39" t="s">
        <v>4041</v>
      </c>
      <c r="F39" s="42" t="b">
        <v>0</v>
      </c>
      <c r="G39" s="42" t="b">
        <v>0</v>
      </c>
      <c r="J39" s="184" t="b">
        <v>0</v>
      </c>
      <c r="K39" s="184" t="b">
        <v>0</v>
      </c>
    </row>
    <row r="40" spans="1:11" x14ac:dyDescent="0.25">
      <c r="A40" s="2" t="s">
        <v>64</v>
      </c>
      <c r="B40" s="119" t="s">
        <v>405</v>
      </c>
      <c r="C40" t="s">
        <v>356</v>
      </c>
      <c r="D40">
        <v>21</v>
      </c>
      <c r="E40" t="s">
        <v>4043</v>
      </c>
      <c r="F40" s="42" t="b">
        <v>1</v>
      </c>
      <c r="G40" s="42" t="b">
        <v>1</v>
      </c>
      <c r="I40" s="18" t="s">
        <v>4043</v>
      </c>
      <c r="J40" s="184" t="b">
        <v>1</v>
      </c>
      <c r="K40" s="184" t="b">
        <v>1</v>
      </c>
    </row>
    <row r="41" spans="1:11" x14ac:dyDescent="0.25">
      <c r="A41" s="38" t="s">
        <v>109</v>
      </c>
      <c r="B41" s="126" t="s">
        <v>406</v>
      </c>
      <c r="C41" t="s">
        <v>358</v>
      </c>
      <c r="D41">
        <v>22</v>
      </c>
      <c r="E41" t="s">
        <v>4042</v>
      </c>
      <c r="F41" s="42" t="b">
        <v>1</v>
      </c>
      <c r="G41" s="42" t="b">
        <v>0</v>
      </c>
      <c r="J41" s="184" t="b">
        <v>0</v>
      </c>
      <c r="K41" s="184" t="b">
        <v>0</v>
      </c>
    </row>
    <row r="42" spans="1:11" x14ac:dyDescent="0.25">
      <c r="A42" s="38" t="s">
        <v>105</v>
      </c>
      <c r="B42" s="126" t="s">
        <v>407</v>
      </c>
      <c r="C42" t="s">
        <v>358</v>
      </c>
      <c r="D42">
        <v>22</v>
      </c>
      <c r="E42" t="s">
        <v>4042</v>
      </c>
      <c r="F42" s="42" t="b">
        <v>1</v>
      </c>
      <c r="G42" s="42" t="b">
        <v>0</v>
      </c>
      <c r="J42" s="184" t="b">
        <v>1</v>
      </c>
      <c r="K42" s="184" t="b">
        <v>1</v>
      </c>
    </row>
    <row r="43" spans="1:11" x14ac:dyDescent="0.25">
      <c r="A43" s="38" t="s">
        <v>106</v>
      </c>
      <c r="B43" s="126" t="s">
        <v>408</v>
      </c>
      <c r="C43" t="s">
        <v>358</v>
      </c>
      <c r="D43">
        <v>22</v>
      </c>
      <c r="E43" t="s">
        <v>4042</v>
      </c>
      <c r="F43" s="42" t="b">
        <v>1</v>
      </c>
      <c r="G43" s="42" t="b">
        <v>0</v>
      </c>
      <c r="J43" s="184" t="b">
        <v>1</v>
      </c>
      <c r="K43" s="184" t="b">
        <v>1</v>
      </c>
    </row>
    <row r="44" spans="1:11" x14ac:dyDescent="0.25">
      <c r="A44" s="38" t="s">
        <v>107</v>
      </c>
      <c r="B44" s="126" t="s">
        <v>409</v>
      </c>
      <c r="C44" t="s">
        <v>358</v>
      </c>
      <c r="D44">
        <v>22</v>
      </c>
      <c r="E44" t="s">
        <v>4042</v>
      </c>
      <c r="F44" s="42" t="b">
        <v>1</v>
      </c>
      <c r="G44" s="42" t="b">
        <v>1</v>
      </c>
      <c r="I44" s="18">
        <v>0.5</v>
      </c>
      <c r="J44" s="184" t="b">
        <v>1</v>
      </c>
      <c r="K44" s="184" t="b">
        <v>1</v>
      </c>
    </row>
    <row r="45" spans="1:11" x14ac:dyDescent="0.25">
      <c r="A45" s="38" t="s">
        <v>99</v>
      </c>
      <c r="B45" s="126" t="s">
        <v>410</v>
      </c>
      <c r="C45" t="s">
        <v>358</v>
      </c>
      <c r="D45">
        <v>24</v>
      </c>
      <c r="E45" t="s">
        <v>4042</v>
      </c>
      <c r="F45" s="42" t="b">
        <v>1</v>
      </c>
      <c r="G45" s="42" t="b">
        <v>1</v>
      </c>
      <c r="I45" s="18">
        <v>0.5</v>
      </c>
      <c r="J45" s="184" t="b">
        <v>1</v>
      </c>
      <c r="K45" s="184" t="b">
        <v>1</v>
      </c>
    </row>
    <row r="46" spans="1:11" x14ac:dyDescent="0.25">
      <c r="A46" s="38" t="s">
        <v>98</v>
      </c>
      <c r="B46" s="126" t="s">
        <v>411</v>
      </c>
      <c r="C46" t="s">
        <v>358</v>
      </c>
      <c r="D46">
        <v>24</v>
      </c>
      <c r="E46" t="s">
        <v>4042</v>
      </c>
      <c r="F46" s="42" t="b">
        <v>1</v>
      </c>
      <c r="G46" s="42" t="b">
        <v>0</v>
      </c>
      <c r="J46" s="184" t="b">
        <v>0</v>
      </c>
      <c r="K46" s="184" t="b">
        <v>0</v>
      </c>
    </row>
    <row r="47" spans="1:11" x14ac:dyDescent="0.25">
      <c r="A47" s="38" t="s">
        <v>32</v>
      </c>
      <c r="B47" s="126" t="s">
        <v>412</v>
      </c>
      <c r="C47" t="s">
        <v>358</v>
      </c>
      <c r="D47">
        <v>25</v>
      </c>
      <c r="E47" t="s">
        <v>4042</v>
      </c>
      <c r="F47" s="42" t="b">
        <v>1</v>
      </c>
      <c r="G47" s="42" t="b">
        <v>1</v>
      </c>
      <c r="I47" s="18">
        <v>0.5</v>
      </c>
      <c r="J47" s="184" t="b">
        <v>1</v>
      </c>
      <c r="K47" s="184" t="b">
        <v>1</v>
      </c>
    </row>
    <row r="48" spans="1:11" x14ac:dyDescent="0.25">
      <c r="A48" s="38" t="s">
        <v>33</v>
      </c>
      <c r="B48" s="126" t="s">
        <v>413</v>
      </c>
      <c r="C48" t="s">
        <v>358</v>
      </c>
      <c r="D48">
        <v>25</v>
      </c>
      <c r="E48" t="s">
        <v>4042</v>
      </c>
      <c r="F48" s="42" t="b">
        <v>1</v>
      </c>
      <c r="G48" s="42" t="b">
        <v>0</v>
      </c>
      <c r="J48" s="184" t="b">
        <v>0</v>
      </c>
      <c r="K48" s="184" t="b">
        <v>0</v>
      </c>
    </row>
    <row r="49" spans="1:11" x14ac:dyDescent="0.25">
      <c r="A49" s="38" t="s">
        <v>34</v>
      </c>
      <c r="B49" s="126" t="s">
        <v>414</v>
      </c>
      <c r="C49" t="s">
        <v>358</v>
      </c>
      <c r="D49">
        <v>26</v>
      </c>
      <c r="E49" t="s">
        <v>4042</v>
      </c>
      <c r="F49" s="42" t="b">
        <v>1</v>
      </c>
      <c r="G49" s="42" t="b">
        <v>1</v>
      </c>
      <c r="I49" s="18">
        <v>0.5</v>
      </c>
      <c r="J49" s="184" t="b">
        <v>1</v>
      </c>
      <c r="K49" s="184" t="b">
        <v>1</v>
      </c>
    </row>
    <row r="50" spans="1:11" x14ac:dyDescent="0.25">
      <c r="A50" s="38" t="s">
        <v>35</v>
      </c>
      <c r="B50" s="126" t="s">
        <v>415</v>
      </c>
      <c r="C50" t="s">
        <v>358</v>
      </c>
      <c r="D50">
        <v>26</v>
      </c>
      <c r="E50" t="s">
        <v>4042</v>
      </c>
      <c r="F50" s="42" t="b">
        <v>1</v>
      </c>
      <c r="G50" s="42" t="b">
        <v>0</v>
      </c>
      <c r="J50" s="184" t="b">
        <v>0</v>
      </c>
      <c r="K50" s="184" t="b">
        <v>0</v>
      </c>
    </row>
    <row r="51" spans="1:11" x14ac:dyDescent="0.25">
      <c r="A51" s="38" t="s">
        <v>52</v>
      </c>
      <c r="B51" s="126" t="s">
        <v>416</v>
      </c>
      <c r="C51" t="s">
        <v>358</v>
      </c>
      <c r="D51">
        <v>27</v>
      </c>
      <c r="E51" t="s">
        <v>4042</v>
      </c>
      <c r="F51" s="42" t="b">
        <v>1</v>
      </c>
      <c r="G51" s="42" t="b">
        <v>1</v>
      </c>
      <c r="I51" s="18">
        <v>0.5</v>
      </c>
      <c r="J51" s="184" t="b">
        <v>1</v>
      </c>
      <c r="K51" s="184" t="b">
        <v>1</v>
      </c>
    </row>
    <row r="52" spans="1:11" x14ac:dyDescent="0.25">
      <c r="A52" s="38" t="s">
        <v>53</v>
      </c>
      <c r="B52" s="126" t="s">
        <v>417</v>
      </c>
      <c r="C52" t="s">
        <v>358</v>
      </c>
      <c r="D52">
        <v>27</v>
      </c>
      <c r="E52" t="s">
        <v>4042</v>
      </c>
      <c r="F52" s="42" t="b">
        <v>1</v>
      </c>
      <c r="G52" s="42" t="b">
        <v>0</v>
      </c>
      <c r="J52" s="184" t="b">
        <v>0</v>
      </c>
      <c r="K52" s="184" t="b">
        <v>0</v>
      </c>
    </row>
    <row r="53" spans="1:11" x14ac:dyDescent="0.25">
      <c r="A53" s="38" t="s">
        <v>230</v>
      </c>
      <c r="B53" s="126" t="s">
        <v>418</v>
      </c>
      <c r="C53" t="s">
        <v>358</v>
      </c>
      <c r="D53">
        <v>28</v>
      </c>
      <c r="E53" t="s">
        <v>4042</v>
      </c>
      <c r="F53" s="42" t="b">
        <v>1</v>
      </c>
      <c r="G53" s="42" t="b">
        <v>1</v>
      </c>
      <c r="I53" s="18">
        <v>0.5</v>
      </c>
      <c r="J53" s="184" t="b">
        <v>1</v>
      </c>
      <c r="K53" s="184" t="b">
        <v>1</v>
      </c>
    </row>
    <row r="54" spans="1:11" x14ac:dyDescent="0.25">
      <c r="A54" s="38" t="s">
        <v>229</v>
      </c>
      <c r="B54" s="126" t="s">
        <v>419</v>
      </c>
      <c r="C54" t="s">
        <v>358</v>
      </c>
      <c r="D54">
        <v>28</v>
      </c>
      <c r="E54" t="s">
        <v>4042</v>
      </c>
      <c r="F54" s="42" t="b">
        <v>1</v>
      </c>
      <c r="G54" s="42" t="b">
        <v>0</v>
      </c>
      <c r="J54" s="184" t="b">
        <v>0</v>
      </c>
      <c r="K54" s="184" t="b">
        <v>0</v>
      </c>
    </row>
    <row r="55" spans="1:11" x14ac:dyDescent="0.25">
      <c r="A55" s="38" t="s">
        <v>36</v>
      </c>
      <c r="B55" s="126" t="s">
        <v>297</v>
      </c>
      <c r="C55" t="s">
        <v>369</v>
      </c>
      <c r="D55">
        <v>29</v>
      </c>
      <c r="E55" t="s">
        <v>4041</v>
      </c>
      <c r="F55" s="42" t="b">
        <v>0</v>
      </c>
      <c r="G55" s="42" t="b">
        <v>0</v>
      </c>
      <c r="J55" s="184" t="b">
        <v>0</v>
      </c>
      <c r="K55" s="184" t="b">
        <v>0</v>
      </c>
    </row>
    <row r="56" spans="1:11" x14ac:dyDescent="0.25">
      <c r="A56" s="38" t="s">
        <v>57</v>
      </c>
      <c r="B56" s="126" t="s">
        <v>420</v>
      </c>
      <c r="C56" t="s">
        <v>338</v>
      </c>
      <c r="D56">
        <v>30</v>
      </c>
      <c r="E56" t="s">
        <v>4041</v>
      </c>
      <c r="F56" s="42" t="b">
        <v>1</v>
      </c>
      <c r="G56" s="42" t="b">
        <v>1</v>
      </c>
      <c r="H56">
        <v>1</v>
      </c>
      <c r="J56" s="184" t="b">
        <v>0</v>
      </c>
      <c r="K56" s="184" t="b">
        <v>0</v>
      </c>
    </row>
    <row r="57" spans="1:11" x14ac:dyDescent="0.25">
      <c r="A57" s="38" t="s">
        <v>58</v>
      </c>
      <c r="B57" s="126" t="s">
        <v>421</v>
      </c>
      <c r="C57" t="s">
        <v>338</v>
      </c>
      <c r="D57">
        <v>30</v>
      </c>
      <c r="E57" t="s">
        <v>4041</v>
      </c>
      <c r="F57" s="42" t="b">
        <v>1</v>
      </c>
      <c r="G57" s="42" t="b">
        <v>1</v>
      </c>
      <c r="H57">
        <v>1</v>
      </c>
      <c r="J57" s="184" t="b">
        <v>1</v>
      </c>
      <c r="K57" s="184" t="b">
        <v>1</v>
      </c>
    </row>
    <row r="58" spans="1:11" x14ac:dyDescent="0.25">
      <c r="A58" s="38" t="s">
        <v>59</v>
      </c>
      <c r="B58" s="126" t="s">
        <v>422</v>
      </c>
      <c r="C58" t="s">
        <v>338</v>
      </c>
      <c r="D58">
        <v>30</v>
      </c>
      <c r="E58" t="s">
        <v>4041</v>
      </c>
      <c r="F58" s="42" t="b">
        <v>1</v>
      </c>
      <c r="G58" s="42" t="b">
        <v>1</v>
      </c>
      <c r="H58">
        <v>1</v>
      </c>
      <c r="J58" s="184" t="b">
        <v>1</v>
      </c>
      <c r="K58" s="184" t="b">
        <v>1</v>
      </c>
    </row>
    <row r="59" spans="1:11" x14ac:dyDescent="0.25">
      <c r="A59" s="38" t="s">
        <v>61</v>
      </c>
      <c r="B59" s="126" t="s">
        <v>423</v>
      </c>
      <c r="C59" t="s">
        <v>338</v>
      </c>
      <c r="D59">
        <v>30</v>
      </c>
      <c r="E59" t="s">
        <v>4041</v>
      </c>
      <c r="F59" s="42" t="b">
        <v>1</v>
      </c>
      <c r="G59" s="42" t="b">
        <v>1</v>
      </c>
      <c r="H59">
        <v>1</v>
      </c>
      <c r="J59" s="184" t="b">
        <v>1</v>
      </c>
      <c r="K59" s="184" t="b">
        <v>1</v>
      </c>
    </row>
    <row r="60" spans="1:11" x14ac:dyDescent="0.25">
      <c r="A60" s="38" t="s">
        <v>62</v>
      </c>
      <c r="B60" s="126" t="s">
        <v>424</v>
      </c>
      <c r="C60" t="s">
        <v>338</v>
      </c>
      <c r="D60">
        <v>30</v>
      </c>
      <c r="E60" t="s">
        <v>4041</v>
      </c>
      <c r="F60" s="42" t="b">
        <v>1</v>
      </c>
      <c r="G60" s="42" t="b">
        <v>1</v>
      </c>
      <c r="H60">
        <v>1</v>
      </c>
      <c r="J60" s="184" t="b">
        <v>1</v>
      </c>
      <c r="K60" s="184" t="b">
        <v>1</v>
      </c>
    </row>
    <row r="61" spans="1:11" x14ac:dyDescent="0.25">
      <c r="A61" s="38" t="s">
        <v>63</v>
      </c>
      <c r="B61" s="126" t="s">
        <v>425</v>
      </c>
      <c r="C61" t="s">
        <v>338</v>
      </c>
      <c r="D61">
        <v>30</v>
      </c>
      <c r="E61" t="s">
        <v>4041</v>
      </c>
      <c r="F61" s="42" t="b">
        <v>1</v>
      </c>
      <c r="G61" s="42" t="b">
        <v>1</v>
      </c>
      <c r="H61">
        <v>1</v>
      </c>
      <c r="J61" s="184" t="b">
        <v>1</v>
      </c>
      <c r="K61" s="184" t="b">
        <v>1</v>
      </c>
    </row>
    <row r="62" spans="1:11" x14ac:dyDescent="0.25">
      <c r="A62" s="38" t="s">
        <v>56</v>
      </c>
      <c r="B62" s="126" t="s">
        <v>426</v>
      </c>
      <c r="C62" t="s">
        <v>338</v>
      </c>
      <c r="D62">
        <v>31</v>
      </c>
      <c r="E62" t="s">
        <v>4041</v>
      </c>
      <c r="F62" s="42" t="b">
        <v>1</v>
      </c>
      <c r="G62" s="42" t="b">
        <v>1</v>
      </c>
      <c r="H62">
        <v>1</v>
      </c>
      <c r="J62" s="184" t="b">
        <v>0</v>
      </c>
      <c r="K62" s="184" t="b">
        <v>0</v>
      </c>
    </row>
    <row r="63" spans="1:11" x14ac:dyDescent="0.25">
      <c r="A63" s="38" t="s">
        <v>55</v>
      </c>
      <c r="B63" s="126" t="s">
        <v>427</v>
      </c>
      <c r="C63" t="s">
        <v>338</v>
      </c>
      <c r="D63">
        <v>31</v>
      </c>
      <c r="E63" t="s">
        <v>4041</v>
      </c>
      <c r="F63" s="42" t="b">
        <v>1</v>
      </c>
      <c r="G63" s="42" t="b">
        <v>1</v>
      </c>
      <c r="H63">
        <v>1</v>
      </c>
      <c r="J63" s="184" t="b">
        <v>1</v>
      </c>
      <c r="K63" s="184" t="b">
        <v>1</v>
      </c>
    </row>
    <row r="64" spans="1:11" x14ac:dyDescent="0.25">
      <c r="A64" s="38" t="s">
        <v>54</v>
      </c>
      <c r="B64" s="126" t="s">
        <v>428</v>
      </c>
      <c r="C64" t="s">
        <v>338</v>
      </c>
      <c r="D64">
        <v>31</v>
      </c>
      <c r="E64" t="s">
        <v>4041</v>
      </c>
      <c r="F64" s="42" t="b">
        <v>1</v>
      </c>
      <c r="G64" s="42" t="b">
        <v>1</v>
      </c>
      <c r="H64">
        <v>1</v>
      </c>
      <c r="J64" s="184" t="b">
        <v>1</v>
      </c>
      <c r="K64" s="184" t="b">
        <v>1</v>
      </c>
    </row>
    <row r="65" spans="1:11" x14ac:dyDescent="0.25">
      <c r="A65" s="38" t="s">
        <v>66</v>
      </c>
      <c r="B65" s="126" t="s">
        <v>429</v>
      </c>
      <c r="C65" t="s">
        <v>356</v>
      </c>
      <c r="D65">
        <v>32</v>
      </c>
      <c r="E65" t="s">
        <v>4041</v>
      </c>
      <c r="F65" s="42" t="b">
        <v>1</v>
      </c>
      <c r="G65" s="42" t="b">
        <v>1</v>
      </c>
      <c r="I65" s="18" t="s">
        <v>4043</v>
      </c>
      <c r="J65" s="184" t="b">
        <v>1</v>
      </c>
      <c r="K65" s="184" t="b">
        <v>1</v>
      </c>
    </row>
    <row r="66" spans="1:11" x14ac:dyDescent="0.25">
      <c r="A66" s="38" t="s">
        <v>67</v>
      </c>
      <c r="B66" s="126" t="s">
        <v>430</v>
      </c>
      <c r="C66" t="s">
        <v>356</v>
      </c>
      <c r="D66">
        <v>33</v>
      </c>
      <c r="E66" t="s">
        <v>4041</v>
      </c>
      <c r="F66" s="42" t="b">
        <v>1</v>
      </c>
      <c r="G66" s="42" t="b">
        <v>1</v>
      </c>
      <c r="I66" s="18" t="s">
        <v>4043</v>
      </c>
      <c r="J66" s="184" t="b">
        <v>1</v>
      </c>
      <c r="K66" s="184" t="b">
        <v>1</v>
      </c>
    </row>
    <row r="67" spans="1:11" x14ac:dyDescent="0.25">
      <c r="A67" s="38" t="s">
        <v>68</v>
      </c>
      <c r="B67" s="126" t="s">
        <v>431</v>
      </c>
      <c r="C67" t="s">
        <v>356</v>
      </c>
      <c r="D67">
        <v>34</v>
      </c>
      <c r="E67" t="s">
        <v>4043</v>
      </c>
      <c r="F67" s="42" t="b">
        <v>1</v>
      </c>
      <c r="G67" s="42" t="b">
        <v>1</v>
      </c>
      <c r="I67" s="18" t="s">
        <v>4043</v>
      </c>
      <c r="J67" s="184" t="b">
        <v>1</v>
      </c>
      <c r="K67" s="184" t="b">
        <v>1</v>
      </c>
    </row>
    <row r="68" spans="1:11" x14ac:dyDescent="0.25">
      <c r="A68" s="4" t="s">
        <v>69</v>
      </c>
      <c r="B68" s="120" t="s">
        <v>432</v>
      </c>
      <c r="C68" t="s">
        <v>338</v>
      </c>
      <c r="D68">
        <v>35</v>
      </c>
      <c r="E68" t="s">
        <v>4041</v>
      </c>
      <c r="F68" s="42" t="b">
        <v>1</v>
      </c>
      <c r="G68" s="42" t="b">
        <v>1</v>
      </c>
      <c r="H68">
        <v>1</v>
      </c>
      <c r="J68" s="184" t="b">
        <v>1</v>
      </c>
      <c r="K68" s="184" t="b">
        <v>1</v>
      </c>
    </row>
    <row r="69" spans="1:11" x14ac:dyDescent="0.25">
      <c r="A69" s="4" t="s">
        <v>237</v>
      </c>
      <c r="B69" s="120" t="s">
        <v>433</v>
      </c>
      <c r="C69" t="s">
        <v>338</v>
      </c>
      <c r="D69">
        <v>35</v>
      </c>
      <c r="E69" t="s">
        <v>4041</v>
      </c>
      <c r="F69" s="42" t="b">
        <v>1</v>
      </c>
      <c r="G69" s="42" t="b">
        <v>1</v>
      </c>
      <c r="H69">
        <v>1</v>
      </c>
      <c r="J69" s="184" t="b">
        <v>1</v>
      </c>
      <c r="K69" s="184" t="b">
        <v>1</v>
      </c>
    </row>
    <row r="70" spans="1:11" x14ac:dyDescent="0.25">
      <c r="A70" s="4" t="s">
        <v>268</v>
      </c>
      <c r="B70" s="120" t="s">
        <v>434</v>
      </c>
      <c r="C70" t="s">
        <v>338</v>
      </c>
      <c r="D70">
        <v>35</v>
      </c>
      <c r="E70" t="s">
        <v>4041</v>
      </c>
      <c r="F70" s="42" t="b">
        <v>1</v>
      </c>
      <c r="G70" s="42" t="b">
        <v>1</v>
      </c>
      <c r="H70">
        <v>1</v>
      </c>
      <c r="J70" s="184" t="b">
        <v>1</v>
      </c>
      <c r="K70" s="184" t="b">
        <v>1</v>
      </c>
    </row>
    <row r="71" spans="1:11" x14ac:dyDescent="0.25">
      <c r="A71" s="4" t="s">
        <v>157</v>
      </c>
      <c r="B71" s="120" t="s">
        <v>435</v>
      </c>
      <c r="C71" t="s">
        <v>338</v>
      </c>
      <c r="D71">
        <v>35</v>
      </c>
      <c r="E71" t="s">
        <v>4041</v>
      </c>
      <c r="F71" s="42" t="b">
        <v>1</v>
      </c>
      <c r="G71" s="42" t="b">
        <v>1</v>
      </c>
      <c r="H71">
        <v>1</v>
      </c>
      <c r="J71" s="184" t="b">
        <v>1</v>
      </c>
      <c r="K71" s="184" t="b">
        <v>1</v>
      </c>
    </row>
    <row r="72" spans="1:11" x14ac:dyDescent="0.25">
      <c r="A72" s="4" t="s">
        <v>129</v>
      </c>
      <c r="B72" s="120" t="s">
        <v>436</v>
      </c>
      <c r="C72" t="s">
        <v>338</v>
      </c>
      <c r="D72">
        <v>35</v>
      </c>
      <c r="E72" t="s">
        <v>4041</v>
      </c>
      <c r="F72" s="42" t="b">
        <v>1</v>
      </c>
      <c r="G72" s="42" t="b">
        <v>1</v>
      </c>
      <c r="H72">
        <v>1</v>
      </c>
      <c r="J72" s="184" t="b">
        <v>1</v>
      </c>
      <c r="K72" s="184" t="b">
        <v>1</v>
      </c>
    </row>
    <row r="73" spans="1:11" x14ac:dyDescent="0.25">
      <c r="A73" s="4" t="s">
        <v>139</v>
      </c>
      <c r="B73" s="120" t="s">
        <v>437</v>
      </c>
      <c r="C73" t="s">
        <v>338</v>
      </c>
      <c r="D73">
        <v>35</v>
      </c>
      <c r="E73" t="s">
        <v>4041</v>
      </c>
      <c r="F73" s="42" t="b">
        <v>1</v>
      </c>
      <c r="G73" s="42" t="b">
        <v>1</v>
      </c>
      <c r="H73">
        <v>1</v>
      </c>
      <c r="J73" s="184" t="b">
        <v>1</v>
      </c>
      <c r="K73" s="184" t="b">
        <v>1</v>
      </c>
    </row>
    <row r="74" spans="1:11" x14ac:dyDescent="0.25">
      <c r="A74" s="4" t="s">
        <v>138</v>
      </c>
      <c r="B74" s="120" t="s">
        <v>438</v>
      </c>
      <c r="C74" t="s">
        <v>338</v>
      </c>
      <c r="D74">
        <v>35</v>
      </c>
      <c r="E74" t="s">
        <v>4041</v>
      </c>
      <c r="F74" s="42" t="b">
        <v>1</v>
      </c>
      <c r="G74" s="42" t="b">
        <v>1</v>
      </c>
      <c r="H74">
        <v>1</v>
      </c>
      <c r="J74" s="184" t="b">
        <v>1</v>
      </c>
      <c r="K74" s="184" t="b">
        <v>1</v>
      </c>
    </row>
    <row r="75" spans="1:11" x14ac:dyDescent="0.25">
      <c r="A75" s="4" t="s">
        <v>70</v>
      </c>
      <c r="B75" s="120" t="s">
        <v>439</v>
      </c>
      <c r="C75" t="s">
        <v>338</v>
      </c>
      <c r="D75">
        <v>35</v>
      </c>
      <c r="E75" t="s">
        <v>4041</v>
      </c>
      <c r="F75" s="42" t="b">
        <v>1</v>
      </c>
      <c r="G75" s="42" t="b">
        <v>1</v>
      </c>
      <c r="H75">
        <v>1</v>
      </c>
      <c r="J75" s="184" t="b">
        <v>0</v>
      </c>
      <c r="K75" s="184" t="b">
        <v>0</v>
      </c>
    </row>
    <row r="76" spans="1:11" x14ac:dyDescent="0.25">
      <c r="A76" s="4" t="s">
        <v>71</v>
      </c>
      <c r="B76" s="120" t="s">
        <v>440</v>
      </c>
      <c r="C76" t="s">
        <v>338</v>
      </c>
      <c r="D76">
        <v>36</v>
      </c>
      <c r="E76" t="s">
        <v>4041</v>
      </c>
      <c r="F76" s="42" t="b">
        <v>1</v>
      </c>
      <c r="G76" s="42" t="b">
        <v>1</v>
      </c>
      <c r="H76">
        <v>1</v>
      </c>
      <c r="J76" s="184" t="b">
        <v>1</v>
      </c>
      <c r="K76" s="184" t="b">
        <v>1</v>
      </c>
    </row>
    <row r="77" spans="1:11" x14ac:dyDescent="0.25">
      <c r="A77" s="4" t="s">
        <v>72</v>
      </c>
      <c r="B77" s="120" t="s">
        <v>441</v>
      </c>
      <c r="C77" t="s">
        <v>338</v>
      </c>
      <c r="D77">
        <v>36</v>
      </c>
      <c r="E77" t="s">
        <v>4041</v>
      </c>
      <c r="F77" s="42" t="b">
        <v>1</v>
      </c>
      <c r="G77" s="42" t="b">
        <v>1</v>
      </c>
      <c r="H77">
        <v>1</v>
      </c>
      <c r="J77" s="184" t="b">
        <v>1</v>
      </c>
      <c r="K77" s="184" t="b">
        <v>1</v>
      </c>
    </row>
    <row r="78" spans="1:11" x14ac:dyDescent="0.25">
      <c r="A78" s="4" t="s">
        <v>123</v>
      </c>
      <c r="B78" s="120" t="s">
        <v>442</v>
      </c>
      <c r="C78" t="s">
        <v>338</v>
      </c>
      <c r="D78">
        <v>36</v>
      </c>
      <c r="E78" t="s">
        <v>4041</v>
      </c>
      <c r="F78" s="42" t="b">
        <v>1</v>
      </c>
      <c r="G78" s="42" t="b">
        <v>1</v>
      </c>
      <c r="H78">
        <v>1</v>
      </c>
      <c r="J78" s="184" t="b">
        <v>1</v>
      </c>
      <c r="K78" s="184" t="b">
        <v>1</v>
      </c>
    </row>
    <row r="79" spans="1:11" x14ac:dyDescent="0.25">
      <c r="A79" s="4" t="s">
        <v>124</v>
      </c>
      <c r="B79" s="120" t="s">
        <v>443</v>
      </c>
      <c r="C79" t="s">
        <v>338</v>
      </c>
      <c r="D79">
        <v>36</v>
      </c>
      <c r="E79" t="s">
        <v>4041</v>
      </c>
      <c r="F79" s="42" t="b">
        <v>1</v>
      </c>
      <c r="G79" s="42" t="b">
        <v>1</v>
      </c>
      <c r="H79">
        <v>1</v>
      </c>
      <c r="J79" s="184" t="b">
        <v>0</v>
      </c>
      <c r="K79" s="184" t="b">
        <v>0</v>
      </c>
    </row>
    <row r="80" spans="1:11" x14ac:dyDescent="0.25">
      <c r="A80" s="4" t="s">
        <v>132</v>
      </c>
      <c r="B80" s="120" t="s">
        <v>444</v>
      </c>
      <c r="C80" t="s">
        <v>355</v>
      </c>
      <c r="D80">
        <v>37</v>
      </c>
      <c r="E80" t="s">
        <v>4041</v>
      </c>
      <c r="F80" s="42" t="b">
        <v>1</v>
      </c>
      <c r="G80" s="42" t="b">
        <v>1</v>
      </c>
      <c r="H80">
        <v>1</v>
      </c>
      <c r="J80" s="184" t="b">
        <v>0</v>
      </c>
      <c r="K80" s="184" t="b">
        <v>0</v>
      </c>
    </row>
    <row r="81" spans="1:11" x14ac:dyDescent="0.25">
      <c r="A81" s="4" t="s">
        <v>142</v>
      </c>
      <c r="B81" s="120" t="s">
        <v>445</v>
      </c>
      <c r="C81" t="s">
        <v>355</v>
      </c>
      <c r="D81">
        <v>37</v>
      </c>
      <c r="E81" t="s">
        <v>4041</v>
      </c>
      <c r="F81" s="42" t="b">
        <v>1</v>
      </c>
      <c r="G81" s="42" t="b">
        <v>1</v>
      </c>
      <c r="H81">
        <v>1</v>
      </c>
      <c r="J81" s="184" t="b">
        <v>0</v>
      </c>
      <c r="K81" s="184" t="b">
        <v>0</v>
      </c>
    </row>
    <row r="82" spans="1:11" x14ac:dyDescent="0.25">
      <c r="A82" s="4" t="s">
        <v>158</v>
      </c>
      <c r="B82" s="120" t="s">
        <v>446</v>
      </c>
      <c r="C82" t="s">
        <v>355</v>
      </c>
      <c r="D82">
        <v>37</v>
      </c>
      <c r="E82" t="s">
        <v>4041</v>
      </c>
      <c r="F82" s="42" t="b">
        <v>1</v>
      </c>
      <c r="G82" s="42" t="b">
        <v>1</v>
      </c>
      <c r="H82">
        <v>1</v>
      </c>
      <c r="J82" s="184" t="b">
        <v>0</v>
      </c>
      <c r="K82" s="184" t="b">
        <v>0</v>
      </c>
    </row>
    <row r="83" spans="1:11" x14ac:dyDescent="0.25">
      <c r="A83" s="4" t="s">
        <v>498</v>
      </c>
      <c r="B83" s="120" t="s">
        <v>447</v>
      </c>
      <c r="C83" t="s">
        <v>355</v>
      </c>
      <c r="D83">
        <v>37</v>
      </c>
      <c r="E83" t="s">
        <v>4041</v>
      </c>
      <c r="F83" s="42" t="b">
        <v>1</v>
      </c>
      <c r="G83" s="42" t="b">
        <v>1</v>
      </c>
      <c r="H83">
        <v>1</v>
      </c>
      <c r="J83" s="184" t="b">
        <v>0</v>
      </c>
      <c r="K83" s="184" t="b">
        <v>0</v>
      </c>
    </row>
    <row r="84" spans="1:11" x14ac:dyDescent="0.25">
      <c r="A84" s="4" t="s">
        <v>4064</v>
      </c>
      <c r="B84" s="120" t="s">
        <v>4065</v>
      </c>
      <c r="C84" t="s">
        <v>355</v>
      </c>
      <c r="D84">
        <v>37</v>
      </c>
      <c r="E84" t="s">
        <v>4041</v>
      </c>
      <c r="F84" s="42" t="b">
        <v>1</v>
      </c>
      <c r="G84" s="42" t="b">
        <v>1</v>
      </c>
      <c r="H84">
        <v>1</v>
      </c>
      <c r="J84" s="184" t="b">
        <v>0</v>
      </c>
      <c r="K84" s="184" t="b">
        <v>0</v>
      </c>
    </row>
    <row r="85" spans="1:11" x14ac:dyDescent="0.25">
      <c r="A85" s="4" t="s">
        <v>133</v>
      </c>
      <c r="B85" s="120" t="s">
        <v>501</v>
      </c>
      <c r="C85" t="s">
        <v>355</v>
      </c>
      <c r="D85">
        <v>37</v>
      </c>
      <c r="E85" t="s">
        <v>4041</v>
      </c>
      <c r="F85" s="42" t="b">
        <v>1</v>
      </c>
      <c r="G85" s="42" t="b">
        <v>1</v>
      </c>
      <c r="H85">
        <v>1</v>
      </c>
      <c r="J85" s="184" t="b">
        <v>0</v>
      </c>
      <c r="K85" s="184" t="b">
        <v>0</v>
      </c>
    </row>
    <row r="86" spans="1:11" x14ac:dyDescent="0.25">
      <c r="A86" s="4" t="s">
        <v>73</v>
      </c>
      <c r="B86" s="120" t="s">
        <v>448</v>
      </c>
      <c r="C86" t="s">
        <v>355</v>
      </c>
      <c r="D86">
        <v>38</v>
      </c>
      <c r="E86" t="s">
        <v>4041</v>
      </c>
      <c r="F86" s="42" t="b">
        <v>1</v>
      </c>
      <c r="G86" s="42" t="b">
        <v>1</v>
      </c>
      <c r="H86">
        <v>1</v>
      </c>
      <c r="J86" s="184" t="b">
        <v>1</v>
      </c>
      <c r="K86" s="184" t="b">
        <v>1</v>
      </c>
    </row>
    <row r="87" spans="1:11" x14ac:dyDescent="0.25">
      <c r="A87" s="4" t="s">
        <v>74</v>
      </c>
      <c r="B87" s="120" t="s">
        <v>449</v>
      </c>
      <c r="C87" t="s">
        <v>355</v>
      </c>
      <c r="D87">
        <v>38</v>
      </c>
      <c r="E87" t="s">
        <v>4041</v>
      </c>
      <c r="F87" s="42" t="b">
        <v>1</v>
      </c>
      <c r="G87" s="42" t="b">
        <v>1</v>
      </c>
      <c r="H87">
        <v>1</v>
      </c>
      <c r="J87" s="184" t="b">
        <v>1</v>
      </c>
      <c r="K87" s="184" t="b">
        <v>1</v>
      </c>
    </row>
    <row r="88" spans="1:11" x14ac:dyDescent="0.25">
      <c r="A88" s="4" t="s">
        <v>75</v>
      </c>
      <c r="B88" s="120" t="s">
        <v>450</v>
      </c>
      <c r="C88" t="s">
        <v>355</v>
      </c>
      <c r="D88">
        <v>38</v>
      </c>
      <c r="E88" t="s">
        <v>4041</v>
      </c>
      <c r="F88" s="42" t="b">
        <v>1</v>
      </c>
      <c r="G88" s="42" t="b">
        <v>1</v>
      </c>
      <c r="H88">
        <v>1</v>
      </c>
      <c r="J88" s="184" t="b">
        <v>1</v>
      </c>
      <c r="K88" s="184" t="b">
        <v>1</v>
      </c>
    </row>
    <row r="89" spans="1:11" x14ac:dyDescent="0.25">
      <c r="A89" s="4" t="s">
        <v>108</v>
      </c>
      <c r="B89" s="120" t="s">
        <v>451</v>
      </c>
      <c r="C89" t="s">
        <v>355</v>
      </c>
      <c r="D89">
        <v>38</v>
      </c>
      <c r="E89" t="s">
        <v>4041</v>
      </c>
      <c r="F89" s="42" t="b">
        <v>1</v>
      </c>
      <c r="G89" s="42" t="b">
        <v>1</v>
      </c>
      <c r="H89">
        <v>1</v>
      </c>
      <c r="J89" s="184" t="b">
        <v>1</v>
      </c>
      <c r="K89" s="184" t="b">
        <v>1</v>
      </c>
    </row>
    <row r="90" spans="1:11" x14ac:dyDescent="0.25">
      <c r="A90" s="4" t="s">
        <v>76</v>
      </c>
      <c r="B90" s="120" t="s">
        <v>452</v>
      </c>
      <c r="C90" t="s">
        <v>355</v>
      </c>
      <c r="D90">
        <v>38</v>
      </c>
      <c r="E90" t="s">
        <v>4041</v>
      </c>
      <c r="F90" s="42" t="b">
        <v>1</v>
      </c>
      <c r="G90" s="42" t="b">
        <v>1</v>
      </c>
      <c r="H90">
        <v>1</v>
      </c>
      <c r="J90" s="184" t="b">
        <v>1</v>
      </c>
      <c r="K90" s="184" t="b">
        <v>1</v>
      </c>
    </row>
    <row r="91" spans="1:11" x14ac:dyDescent="0.25">
      <c r="A91" s="4" t="s">
        <v>77</v>
      </c>
      <c r="B91" s="120" t="s">
        <v>453</v>
      </c>
      <c r="C91" t="s">
        <v>355</v>
      </c>
      <c r="D91">
        <v>38</v>
      </c>
      <c r="E91" t="s">
        <v>4041</v>
      </c>
      <c r="F91" s="42" t="b">
        <v>1</v>
      </c>
      <c r="G91" s="42" t="b">
        <v>1</v>
      </c>
      <c r="H91">
        <v>1</v>
      </c>
      <c r="J91" s="184" t="b">
        <v>1</v>
      </c>
      <c r="K91" s="184" t="b">
        <v>1</v>
      </c>
    </row>
    <row r="92" spans="1:11" x14ac:dyDescent="0.25">
      <c r="A92" s="4" t="s">
        <v>78</v>
      </c>
      <c r="B92" s="120" t="s">
        <v>454</v>
      </c>
      <c r="C92" t="s">
        <v>355</v>
      </c>
      <c r="D92">
        <v>38</v>
      </c>
      <c r="E92" t="s">
        <v>4041</v>
      </c>
      <c r="F92" s="42" t="b">
        <v>1</v>
      </c>
      <c r="G92" s="42" t="b">
        <v>1</v>
      </c>
      <c r="H92">
        <v>1</v>
      </c>
      <c r="J92" s="184" t="b">
        <v>1</v>
      </c>
      <c r="K92" s="184" t="b">
        <v>1</v>
      </c>
    </row>
    <row r="93" spans="1:11" x14ac:dyDescent="0.25">
      <c r="A93" s="4" t="s">
        <v>79</v>
      </c>
      <c r="B93" s="120" t="s">
        <v>455</v>
      </c>
      <c r="C93" t="s">
        <v>355</v>
      </c>
      <c r="D93">
        <v>38</v>
      </c>
      <c r="E93" t="s">
        <v>4041</v>
      </c>
      <c r="F93" s="42" t="b">
        <v>1</v>
      </c>
      <c r="G93" s="42" t="b">
        <v>1</v>
      </c>
      <c r="H93">
        <v>1</v>
      </c>
      <c r="J93" s="184" t="b">
        <v>1</v>
      </c>
      <c r="K93" s="184" t="b">
        <v>1</v>
      </c>
    </row>
    <row r="94" spans="1:11" x14ac:dyDescent="0.25">
      <c r="A94" s="4" t="s">
        <v>81</v>
      </c>
      <c r="B94" s="120" t="s">
        <v>456</v>
      </c>
      <c r="C94" t="s">
        <v>355</v>
      </c>
      <c r="D94">
        <v>38</v>
      </c>
      <c r="E94" t="s">
        <v>4041</v>
      </c>
      <c r="F94" s="42" t="b">
        <v>1</v>
      </c>
      <c r="G94" s="42" t="b">
        <v>1</v>
      </c>
      <c r="H94">
        <v>1</v>
      </c>
      <c r="J94" s="184" t="b">
        <v>1</v>
      </c>
      <c r="K94" s="184" t="b">
        <v>1</v>
      </c>
    </row>
    <row r="95" spans="1:11" x14ac:dyDescent="0.25">
      <c r="A95" s="4" t="s">
        <v>140</v>
      </c>
      <c r="B95" s="120" t="s">
        <v>457</v>
      </c>
      <c r="C95" t="s">
        <v>355</v>
      </c>
      <c r="D95">
        <v>38</v>
      </c>
      <c r="E95" t="s">
        <v>4041</v>
      </c>
      <c r="F95" s="42" t="b">
        <v>1</v>
      </c>
      <c r="G95" s="42" t="b">
        <v>1</v>
      </c>
      <c r="H95">
        <v>1</v>
      </c>
      <c r="J95" s="184" t="b">
        <v>1</v>
      </c>
      <c r="K95" s="184" t="b">
        <v>1</v>
      </c>
    </row>
    <row r="96" spans="1:11" x14ac:dyDescent="0.25">
      <c r="A96" s="4" t="s">
        <v>80</v>
      </c>
      <c r="B96" s="120" t="s">
        <v>458</v>
      </c>
      <c r="C96" t="s">
        <v>355</v>
      </c>
      <c r="D96">
        <v>38</v>
      </c>
      <c r="E96" t="s">
        <v>4041</v>
      </c>
      <c r="F96" s="42" t="b">
        <v>1</v>
      </c>
      <c r="G96" s="42" t="b">
        <v>1</v>
      </c>
      <c r="H96">
        <v>1</v>
      </c>
      <c r="J96" s="184" t="b">
        <v>1</v>
      </c>
      <c r="K96" s="184" t="b">
        <v>1</v>
      </c>
    </row>
    <row r="97" spans="1:12" x14ac:dyDescent="0.25">
      <c r="A97" s="44" t="s">
        <v>82</v>
      </c>
      <c r="B97" s="121" t="s">
        <v>459</v>
      </c>
      <c r="C97" t="s">
        <v>356</v>
      </c>
      <c r="D97">
        <v>39</v>
      </c>
      <c r="E97" t="s">
        <v>4041</v>
      </c>
      <c r="F97" s="42" t="b">
        <v>1</v>
      </c>
      <c r="G97" s="42" t="b">
        <v>1</v>
      </c>
      <c r="I97" s="18" t="s">
        <v>4043</v>
      </c>
      <c r="J97" s="184" t="b">
        <v>1</v>
      </c>
      <c r="K97" s="184" t="b">
        <v>1</v>
      </c>
      <c r="L97" s="184" t="b">
        <v>1</v>
      </c>
    </row>
    <row r="98" spans="1:12" x14ac:dyDescent="0.25">
      <c r="A98" s="44" t="s">
        <v>83</v>
      </c>
      <c r="B98" s="121" t="s">
        <v>460</v>
      </c>
      <c r="C98" t="s">
        <v>355</v>
      </c>
      <c r="D98">
        <v>40</v>
      </c>
      <c r="E98" t="s">
        <v>4041</v>
      </c>
      <c r="F98" s="42" t="b">
        <v>1</v>
      </c>
      <c r="G98" s="42" t="b">
        <v>1</v>
      </c>
      <c r="I98" s="18" t="s">
        <v>4043</v>
      </c>
      <c r="J98" s="184" t="b">
        <v>1</v>
      </c>
      <c r="K98" s="184" t="b">
        <v>1</v>
      </c>
      <c r="L98" s="184" t="b">
        <v>0</v>
      </c>
    </row>
    <row r="99" spans="1:12" x14ac:dyDescent="0.25">
      <c r="A99" s="44" t="s">
        <v>84</v>
      </c>
      <c r="B99" s="121" t="s">
        <v>461</v>
      </c>
      <c r="C99" t="s">
        <v>338</v>
      </c>
      <c r="D99">
        <v>41</v>
      </c>
      <c r="E99" t="s">
        <v>4041</v>
      </c>
      <c r="F99" s="42" t="b">
        <v>1</v>
      </c>
      <c r="G99" s="42" t="b">
        <v>1</v>
      </c>
      <c r="H99">
        <v>1</v>
      </c>
      <c r="J99" s="184" t="b">
        <v>1</v>
      </c>
      <c r="K99" s="184" t="b">
        <v>1</v>
      </c>
      <c r="L99" s="184" t="b">
        <v>0</v>
      </c>
    </row>
    <row r="100" spans="1:12" x14ac:dyDescent="0.25">
      <c r="A100" s="44" t="s">
        <v>359</v>
      </c>
      <c r="B100" s="121" t="s">
        <v>462</v>
      </c>
      <c r="C100" t="s">
        <v>338</v>
      </c>
      <c r="D100">
        <v>41</v>
      </c>
      <c r="E100" t="s">
        <v>4041</v>
      </c>
      <c r="F100" s="42" t="b">
        <v>1</v>
      </c>
      <c r="G100" s="42" t="b">
        <v>1</v>
      </c>
      <c r="H100">
        <v>1</v>
      </c>
      <c r="J100" s="184" t="b">
        <v>0</v>
      </c>
      <c r="K100" s="184" t="b">
        <v>0</v>
      </c>
      <c r="L100" s="184" t="b">
        <v>0</v>
      </c>
    </row>
    <row r="101" spans="1:12" x14ac:dyDescent="0.25">
      <c r="A101" s="44" t="s">
        <v>85</v>
      </c>
      <c r="B101" s="121" t="s">
        <v>463</v>
      </c>
      <c r="C101" t="s">
        <v>355</v>
      </c>
      <c r="D101">
        <v>42</v>
      </c>
      <c r="E101" t="s">
        <v>4041</v>
      </c>
      <c r="F101" s="42" t="b">
        <v>1</v>
      </c>
      <c r="G101" s="42" t="b">
        <v>1</v>
      </c>
      <c r="I101" s="18" t="s">
        <v>4043</v>
      </c>
      <c r="J101" s="184" t="b">
        <v>0</v>
      </c>
      <c r="K101" s="184" t="b">
        <v>0</v>
      </c>
      <c r="L101" s="184" t="b">
        <v>0</v>
      </c>
    </row>
    <row r="102" spans="1:12" x14ac:dyDescent="0.25">
      <c r="A102" s="127" t="s">
        <v>4029</v>
      </c>
      <c r="B102" s="129" t="s">
        <v>4030</v>
      </c>
      <c r="C102" t="s">
        <v>356</v>
      </c>
      <c r="D102">
        <v>43</v>
      </c>
      <c r="E102" t="s">
        <v>4051</v>
      </c>
      <c r="F102" s="42" t="b">
        <v>0</v>
      </c>
      <c r="G102" s="42" t="b">
        <v>0</v>
      </c>
      <c r="J102" s="184" t="b">
        <v>1</v>
      </c>
      <c r="K102" s="184" t="b">
        <v>1</v>
      </c>
    </row>
    <row r="103" spans="1:12" x14ac:dyDescent="0.25">
      <c r="A103" s="128" t="s">
        <v>4031</v>
      </c>
      <c r="B103" s="129" t="s">
        <v>4032</v>
      </c>
      <c r="C103" t="s">
        <v>356</v>
      </c>
      <c r="D103">
        <v>44</v>
      </c>
      <c r="E103" t="s">
        <v>4051</v>
      </c>
      <c r="F103" s="42" t="b">
        <v>0</v>
      </c>
      <c r="G103" s="42" t="b">
        <v>0</v>
      </c>
      <c r="J103" s="184" t="b">
        <v>1</v>
      </c>
      <c r="K103" s="184" t="b">
        <v>1</v>
      </c>
    </row>
    <row r="104" spans="1:12" x14ac:dyDescent="0.25">
      <c r="A104" s="128" t="s">
        <v>467</v>
      </c>
      <c r="B104" s="129" t="s">
        <v>470</v>
      </c>
      <c r="C104" t="s">
        <v>356</v>
      </c>
      <c r="D104">
        <v>45</v>
      </c>
      <c r="E104" t="s">
        <v>4051</v>
      </c>
      <c r="F104" s="42" t="b">
        <v>0</v>
      </c>
      <c r="G104" s="42" t="b">
        <v>0</v>
      </c>
      <c r="J104" s="184" t="b">
        <v>0</v>
      </c>
      <c r="K104" s="184" t="b">
        <v>0</v>
      </c>
    </row>
    <row r="105" spans="1:12" x14ac:dyDescent="0.25">
      <c r="A105" s="128" t="s">
        <v>468</v>
      </c>
      <c r="B105" s="129" t="s">
        <v>471</v>
      </c>
      <c r="C105" t="s">
        <v>356</v>
      </c>
      <c r="D105">
        <v>46</v>
      </c>
      <c r="E105" t="s">
        <v>4051</v>
      </c>
      <c r="F105" s="42" t="b">
        <v>0</v>
      </c>
      <c r="G105" s="42" t="b">
        <v>1</v>
      </c>
      <c r="I105" s="18" t="s">
        <v>4043</v>
      </c>
      <c r="J105" s="184" t="b">
        <v>0</v>
      </c>
      <c r="K105" s="184" t="b">
        <v>0</v>
      </c>
    </row>
    <row r="106" spans="1:12" x14ac:dyDescent="0.25">
      <c r="A106" s="128" t="s">
        <v>469</v>
      </c>
      <c r="B106" s="129" t="s">
        <v>472</v>
      </c>
      <c r="C106" t="s">
        <v>356</v>
      </c>
      <c r="D106">
        <v>47</v>
      </c>
      <c r="E106" t="s">
        <v>4051</v>
      </c>
      <c r="F106" s="42" t="b">
        <v>0</v>
      </c>
      <c r="G106" s="42" t="b">
        <v>0</v>
      </c>
      <c r="J106" s="184" t="b">
        <v>0</v>
      </c>
      <c r="K106" s="184" t="b">
        <v>0</v>
      </c>
    </row>
  </sheetData>
  <conditionalFormatting sqref="A2:B4 A11:B14 A6:B9 A25:B67">
    <cfRule type="containsBlanks" dxfId="221" priority="11">
      <formula>LEN(TRIM(A2))=0</formula>
    </cfRule>
  </conditionalFormatting>
  <conditionalFormatting sqref="A10:B10">
    <cfRule type="containsBlanks" dxfId="220" priority="10">
      <formula>LEN(TRIM(A10))=0</formula>
    </cfRule>
  </conditionalFormatting>
  <conditionalFormatting sqref="A5:B5">
    <cfRule type="containsBlanks" dxfId="219" priority="9">
      <formula>LEN(TRIM(A5))=0</formula>
    </cfRule>
  </conditionalFormatting>
  <conditionalFormatting sqref="A15:B24">
    <cfRule type="containsBlanks" dxfId="218" priority="8">
      <formula>LEN(TRIM(A15))=0</formula>
    </cfRule>
  </conditionalFormatting>
  <conditionalFormatting sqref="A68:B96">
    <cfRule type="containsBlanks" dxfId="217" priority="5">
      <formula>LEN(TRIM(A68))=0</formula>
    </cfRule>
  </conditionalFormatting>
  <conditionalFormatting sqref="A98:B101">
    <cfRule type="containsBlanks" dxfId="216" priority="4">
      <formula>LEN(TRIM(A98))=0</formula>
    </cfRule>
  </conditionalFormatting>
  <conditionalFormatting sqref="A102:A106">
    <cfRule type="containsBlanks" dxfId="215" priority="3">
      <formula>LEN(TRIM(A102))=0</formula>
    </cfRule>
  </conditionalFormatting>
  <conditionalFormatting sqref="A97">
    <cfRule type="containsBlanks" dxfId="214" priority="2">
      <formula>LEN(TRIM(A97))=0</formula>
    </cfRule>
  </conditionalFormatting>
  <conditionalFormatting sqref="B97">
    <cfRule type="containsBlanks" dxfId="213"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H32" sqref="H32"/>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738</v>
      </c>
      <c r="M1" s="167" t="s">
        <v>67</v>
      </c>
    </row>
    <row r="2" spans="1:14" x14ac:dyDescent="0.25">
      <c r="A2" t="s">
        <v>599</v>
      </c>
      <c r="B2">
        <v>0</v>
      </c>
      <c r="C2">
        <v>0</v>
      </c>
      <c r="D2">
        <v>1</v>
      </c>
      <c r="E2">
        <v>0</v>
      </c>
      <c r="F2">
        <v>0</v>
      </c>
      <c r="G2">
        <v>0</v>
      </c>
      <c r="H2">
        <v>0</v>
      </c>
      <c r="I2">
        <v>0</v>
      </c>
      <c r="J2">
        <v>0</v>
      </c>
      <c r="K2">
        <v>1</v>
      </c>
      <c r="L2" s="169">
        <v>443.28</v>
      </c>
      <c r="M2" t="s">
        <v>694</v>
      </c>
      <c r="N2" s="168"/>
    </row>
    <row r="3" spans="1:14" x14ac:dyDescent="0.25">
      <c r="A3" t="s">
        <v>535</v>
      </c>
      <c r="B3">
        <v>0</v>
      </c>
      <c r="C3">
        <v>0</v>
      </c>
      <c r="D3">
        <v>0</v>
      </c>
      <c r="E3">
        <v>0</v>
      </c>
      <c r="F3">
        <v>1</v>
      </c>
      <c r="G3">
        <v>0</v>
      </c>
      <c r="H3">
        <v>0</v>
      </c>
      <c r="I3">
        <v>0</v>
      </c>
      <c r="J3">
        <v>0</v>
      </c>
      <c r="K3">
        <v>1</v>
      </c>
      <c r="L3" s="169">
        <v>324.48</v>
      </c>
      <c r="M3" t="s">
        <v>695</v>
      </c>
      <c r="N3" s="168"/>
    </row>
    <row r="4" spans="1:14" x14ac:dyDescent="0.25">
      <c r="A4" t="s">
        <v>572</v>
      </c>
      <c r="B4">
        <v>0</v>
      </c>
      <c r="C4">
        <v>0</v>
      </c>
      <c r="D4">
        <v>0</v>
      </c>
      <c r="E4">
        <v>1</v>
      </c>
      <c r="F4">
        <v>0</v>
      </c>
      <c r="G4">
        <v>0</v>
      </c>
      <c r="H4">
        <v>0</v>
      </c>
      <c r="I4">
        <v>1</v>
      </c>
      <c r="J4">
        <v>0</v>
      </c>
      <c r="K4">
        <v>0</v>
      </c>
      <c r="L4" s="170">
        <v>3290</v>
      </c>
      <c r="M4" t="s">
        <v>619</v>
      </c>
    </row>
    <row r="5" spans="1:14" x14ac:dyDescent="0.25">
      <c r="A5" t="s">
        <v>2</v>
      </c>
      <c r="B5">
        <v>1</v>
      </c>
      <c r="C5">
        <v>0</v>
      </c>
      <c r="D5">
        <v>0</v>
      </c>
      <c r="E5">
        <v>0</v>
      </c>
      <c r="F5">
        <v>0</v>
      </c>
      <c r="G5">
        <v>0</v>
      </c>
      <c r="H5">
        <v>0</v>
      </c>
      <c r="I5">
        <v>1</v>
      </c>
      <c r="J5">
        <v>0</v>
      </c>
      <c r="K5">
        <v>0</v>
      </c>
      <c r="L5" s="170">
        <v>30464</v>
      </c>
      <c r="M5" t="s">
        <v>620</v>
      </c>
    </row>
    <row r="6" spans="1:14" x14ac:dyDescent="0.25">
      <c r="A6" t="s">
        <v>496</v>
      </c>
      <c r="B6">
        <v>1</v>
      </c>
      <c r="C6">
        <v>0</v>
      </c>
      <c r="D6">
        <v>0</v>
      </c>
      <c r="E6">
        <v>0</v>
      </c>
      <c r="F6">
        <v>0</v>
      </c>
      <c r="G6">
        <v>0</v>
      </c>
      <c r="H6">
        <v>0</v>
      </c>
      <c r="I6">
        <v>1</v>
      </c>
      <c r="J6">
        <v>0</v>
      </c>
      <c r="K6">
        <v>0</v>
      </c>
      <c r="L6" s="170">
        <v>20447</v>
      </c>
      <c r="M6" t="s">
        <v>682</v>
      </c>
    </row>
    <row r="7" spans="1:14" x14ac:dyDescent="0.25">
      <c r="A7" t="s">
        <v>600</v>
      </c>
      <c r="B7">
        <v>0</v>
      </c>
      <c r="C7">
        <v>0</v>
      </c>
      <c r="D7">
        <v>1</v>
      </c>
      <c r="E7">
        <v>0</v>
      </c>
      <c r="F7">
        <v>0</v>
      </c>
      <c r="G7">
        <v>0</v>
      </c>
      <c r="H7">
        <v>0</v>
      </c>
      <c r="I7">
        <v>0</v>
      </c>
      <c r="J7">
        <v>0</v>
      </c>
      <c r="K7">
        <v>1</v>
      </c>
      <c r="L7" s="169">
        <v>361.56</v>
      </c>
      <c r="M7" t="s">
        <v>696</v>
      </c>
      <c r="N7" s="168"/>
    </row>
    <row r="8" spans="1:14" x14ac:dyDescent="0.25">
      <c r="A8" t="s">
        <v>3</v>
      </c>
      <c r="B8">
        <v>0</v>
      </c>
      <c r="C8">
        <v>0</v>
      </c>
      <c r="D8">
        <v>0</v>
      </c>
      <c r="E8">
        <v>0</v>
      </c>
      <c r="F8">
        <v>0</v>
      </c>
      <c r="G8">
        <v>1</v>
      </c>
      <c r="H8">
        <v>0</v>
      </c>
      <c r="I8">
        <v>0</v>
      </c>
      <c r="J8">
        <v>0</v>
      </c>
      <c r="K8">
        <v>1</v>
      </c>
      <c r="L8" s="170">
        <v>373</v>
      </c>
      <c r="M8" t="s">
        <v>690</v>
      </c>
    </row>
    <row r="9" spans="1:14" x14ac:dyDescent="0.25">
      <c r="A9" t="s">
        <v>618</v>
      </c>
      <c r="B9">
        <v>0</v>
      </c>
      <c r="C9">
        <v>0</v>
      </c>
      <c r="D9">
        <v>1</v>
      </c>
      <c r="E9">
        <v>0</v>
      </c>
      <c r="F9">
        <v>0</v>
      </c>
      <c r="G9">
        <v>0</v>
      </c>
      <c r="H9">
        <v>0</v>
      </c>
      <c r="I9">
        <v>0</v>
      </c>
      <c r="J9">
        <v>0</v>
      </c>
      <c r="K9">
        <v>1</v>
      </c>
      <c r="L9" s="169">
        <v>1427.76</v>
      </c>
      <c r="M9" t="s">
        <v>697</v>
      </c>
      <c r="N9" s="168"/>
    </row>
    <row r="10" spans="1:14" x14ac:dyDescent="0.25">
      <c r="A10" t="s">
        <v>607</v>
      </c>
      <c r="B10">
        <v>1</v>
      </c>
      <c r="C10">
        <v>0</v>
      </c>
      <c r="D10">
        <v>0</v>
      </c>
      <c r="E10">
        <v>0</v>
      </c>
      <c r="F10">
        <v>0</v>
      </c>
      <c r="G10">
        <v>0</v>
      </c>
      <c r="H10">
        <v>0</v>
      </c>
      <c r="I10">
        <v>1</v>
      </c>
      <c r="J10">
        <v>0</v>
      </c>
      <c r="K10">
        <v>0</v>
      </c>
      <c r="L10" s="170">
        <v>23564</v>
      </c>
      <c r="M10" t="s">
        <v>683</v>
      </c>
    </row>
    <row r="11" spans="1:14" x14ac:dyDescent="0.25">
      <c r="A11" t="s">
        <v>579</v>
      </c>
      <c r="B11">
        <v>0</v>
      </c>
      <c r="C11">
        <v>0</v>
      </c>
      <c r="D11">
        <v>0</v>
      </c>
      <c r="E11">
        <v>1</v>
      </c>
      <c r="F11">
        <v>0</v>
      </c>
      <c r="G11">
        <v>0</v>
      </c>
      <c r="H11">
        <v>0</v>
      </c>
      <c r="I11">
        <v>0</v>
      </c>
      <c r="J11">
        <v>0</v>
      </c>
      <c r="K11">
        <v>1</v>
      </c>
      <c r="L11" s="169">
        <v>622.91999999999996</v>
      </c>
      <c r="M11" t="s">
        <v>698</v>
      </c>
      <c r="N11" s="168"/>
    </row>
    <row r="12" spans="1:14" x14ac:dyDescent="0.25">
      <c r="A12" t="s">
        <v>580</v>
      </c>
      <c r="B12">
        <v>0</v>
      </c>
      <c r="C12">
        <v>0</v>
      </c>
      <c r="D12">
        <v>0</v>
      </c>
      <c r="E12">
        <v>1</v>
      </c>
      <c r="F12">
        <v>0</v>
      </c>
      <c r="G12">
        <v>0</v>
      </c>
      <c r="H12">
        <v>0</v>
      </c>
      <c r="I12">
        <v>0</v>
      </c>
      <c r="J12">
        <v>0</v>
      </c>
      <c r="K12">
        <v>1</v>
      </c>
      <c r="L12" s="170">
        <v>1217</v>
      </c>
      <c r="M12" t="s">
        <v>621</v>
      </c>
    </row>
    <row r="13" spans="1:14" x14ac:dyDescent="0.25">
      <c r="A13" t="s">
        <v>601</v>
      </c>
      <c r="B13">
        <v>0</v>
      </c>
      <c r="C13">
        <v>0</v>
      </c>
      <c r="D13">
        <v>1</v>
      </c>
      <c r="E13">
        <v>0</v>
      </c>
      <c r="F13">
        <v>0</v>
      </c>
      <c r="G13">
        <v>0</v>
      </c>
      <c r="H13">
        <v>0</v>
      </c>
      <c r="I13">
        <v>0</v>
      </c>
      <c r="J13">
        <v>0</v>
      </c>
      <c r="K13">
        <v>1</v>
      </c>
      <c r="L13" s="169">
        <v>1527.3600000000001</v>
      </c>
      <c r="M13" t="s">
        <v>699</v>
      </c>
      <c r="N13" s="168"/>
    </row>
    <row r="14" spans="1:14" x14ac:dyDescent="0.25">
      <c r="A14" t="s">
        <v>581</v>
      </c>
      <c r="B14">
        <v>0</v>
      </c>
      <c r="C14">
        <v>0</v>
      </c>
      <c r="D14">
        <v>0</v>
      </c>
      <c r="E14">
        <v>0</v>
      </c>
      <c r="F14">
        <v>0</v>
      </c>
      <c r="G14">
        <v>0</v>
      </c>
      <c r="H14">
        <v>1</v>
      </c>
      <c r="I14">
        <v>0</v>
      </c>
      <c r="J14">
        <v>0</v>
      </c>
      <c r="K14">
        <v>1</v>
      </c>
      <c r="L14" s="169">
        <v>1674.6000000000001</v>
      </c>
      <c r="M14" t="s">
        <v>700</v>
      </c>
      <c r="N14" s="168"/>
    </row>
    <row r="15" spans="1:14" x14ac:dyDescent="0.25">
      <c r="A15" t="s">
        <v>543</v>
      </c>
      <c r="B15">
        <v>0</v>
      </c>
      <c r="C15">
        <v>0</v>
      </c>
      <c r="D15">
        <v>0</v>
      </c>
      <c r="E15">
        <v>1</v>
      </c>
      <c r="F15">
        <v>0</v>
      </c>
      <c r="G15">
        <v>0</v>
      </c>
      <c r="H15">
        <v>0</v>
      </c>
      <c r="I15">
        <v>0</v>
      </c>
      <c r="J15">
        <v>0</v>
      </c>
      <c r="K15">
        <v>1</v>
      </c>
      <c r="L15" s="170">
        <v>4874</v>
      </c>
      <c r="M15" t="s">
        <v>622</v>
      </c>
    </row>
    <row r="16" spans="1:14" x14ac:dyDescent="0.25">
      <c r="A16" t="s">
        <v>564</v>
      </c>
      <c r="B16">
        <v>0</v>
      </c>
      <c r="C16">
        <v>0</v>
      </c>
      <c r="D16">
        <v>1</v>
      </c>
      <c r="E16">
        <v>0</v>
      </c>
      <c r="F16">
        <v>0</v>
      </c>
      <c r="G16">
        <v>0</v>
      </c>
      <c r="H16">
        <v>0</v>
      </c>
      <c r="I16">
        <v>0</v>
      </c>
      <c r="J16">
        <v>0</v>
      </c>
      <c r="K16">
        <v>1</v>
      </c>
      <c r="L16" s="169">
        <v>810.72</v>
      </c>
      <c r="M16" t="s">
        <v>701</v>
      </c>
      <c r="N16" s="168"/>
    </row>
    <row r="17" spans="1:14" x14ac:dyDescent="0.25">
      <c r="A17" t="s">
        <v>608</v>
      </c>
      <c r="B17">
        <v>0</v>
      </c>
      <c r="C17">
        <v>0</v>
      </c>
      <c r="D17">
        <v>0</v>
      </c>
      <c r="E17">
        <v>0</v>
      </c>
      <c r="F17">
        <v>0</v>
      </c>
      <c r="G17">
        <v>0</v>
      </c>
      <c r="H17">
        <v>1</v>
      </c>
      <c r="I17">
        <v>0</v>
      </c>
      <c r="J17">
        <v>1</v>
      </c>
      <c r="K17">
        <v>0</v>
      </c>
      <c r="L17" s="169">
        <v>207.48</v>
      </c>
      <c r="M17" t="s">
        <v>702</v>
      </c>
      <c r="N17" s="168"/>
    </row>
    <row r="18" spans="1:14" x14ac:dyDescent="0.25">
      <c r="A18" t="s">
        <v>592</v>
      </c>
      <c r="B18">
        <v>0</v>
      </c>
      <c r="C18">
        <v>1</v>
      </c>
      <c r="D18">
        <v>0</v>
      </c>
      <c r="E18">
        <v>0</v>
      </c>
      <c r="F18">
        <v>0</v>
      </c>
      <c r="G18">
        <v>0</v>
      </c>
      <c r="H18">
        <v>0</v>
      </c>
      <c r="I18">
        <v>0</v>
      </c>
      <c r="J18">
        <v>1</v>
      </c>
      <c r="K18">
        <v>0</v>
      </c>
      <c r="L18" s="169">
        <v>325.56</v>
      </c>
      <c r="M18" t="s">
        <v>703</v>
      </c>
      <c r="N18" s="168"/>
    </row>
    <row r="19" spans="1:14" x14ac:dyDescent="0.25">
      <c r="A19" t="s">
        <v>544</v>
      </c>
      <c r="B19">
        <v>0</v>
      </c>
      <c r="C19">
        <v>0</v>
      </c>
      <c r="D19">
        <v>0</v>
      </c>
      <c r="E19">
        <v>0</v>
      </c>
      <c r="F19">
        <v>0</v>
      </c>
      <c r="G19">
        <v>0</v>
      </c>
      <c r="H19">
        <v>1</v>
      </c>
      <c r="I19">
        <v>0</v>
      </c>
      <c r="J19">
        <v>0</v>
      </c>
      <c r="K19">
        <v>1</v>
      </c>
      <c r="L19" s="169">
        <v>414.59999999999997</v>
      </c>
      <c r="M19" t="s">
        <v>704</v>
      </c>
      <c r="N19" s="168"/>
    </row>
    <row r="20" spans="1:14" x14ac:dyDescent="0.25">
      <c r="A20" t="s">
        <v>582</v>
      </c>
      <c r="B20">
        <v>1</v>
      </c>
      <c r="C20">
        <v>0</v>
      </c>
      <c r="D20">
        <v>0</v>
      </c>
      <c r="E20">
        <v>0</v>
      </c>
      <c r="F20">
        <v>0</v>
      </c>
      <c r="G20">
        <v>0</v>
      </c>
      <c r="H20">
        <v>0</v>
      </c>
      <c r="I20">
        <v>1</v>
      </c>
      <c r="J20">
        <v>0</v>
      </c>
      <c r="K20">
        <v>0</v>
      </c>
      <c r="L20" s="170">
        <v>29010</v>
      </c>
      <c r="M20" t="s">
        <v>623</v>
      </c>
    </row>
    <row r="21" spans="1:14" x14ac:dyDescent="0.25">
      <c r="A21" t="s">
        <v>583</v>
      </c>
      <c r="B21">
        <v>1</v>
      </c>
      <c r="C21">
        <v>0</v>
      </c>
      <c r="D21">
        <v>0</v>
      </c>
      <c r="E21">
        <v>0</v>
      </c>
      <c r="F21">
        <v>0</v>
      </c>
      <c r="G21">
        <v>0</v>
      </c>
      <c r="H21">
        <v>0</v>
      </c>
      <c r="I21">
        <v>1</v>
      </c>
      <c r="J21">
        <v>0</v>
      </c>
      <c r="K21">
        <v>0</v>
      </c>
      <c r="L21" s="170">
        <v>3190</v>
      </c>
      <c r="M21" t="s">
        <v>624</v>
      </c>
    </row>
    <row r="22" spans="1:14" x14ac:dyDescent="0.25">
      <c r="A22" t="s">
        <v>5</v>
      </c>
      <c r="B22">
        <v>0</v>
      </c>
      <c r="C22">
        <v>1</v>
      </c>
      <c r="D22">
        <v>0</v>
      </c>
      <c r="E22">
        <v>0</v>
      </c>
      <c r="F22">
        <v>0</v>
      </c>
      <c r="G22">
        <v>0</v>
      </c>
      <c r="H22">
        <v>0</v>
      </c>
      <c r="I22">
        <v>0</v>
      </c>
      <c r="J22">
        <v>0</v>
      </c>
      <c r="K22">
        <v>1</v>
      </c>
      <c r="L22" s="170">
        <v>1526</v>
      </c>
      <c r="M22" t="s">
        <v>625</v>
      </c>
    </row>
    <row r="23" spans="1:14" x14ac:dyDescent="0.25">
      <c r="A23" t="s">
        <v>584</v>
      </c>
      <c r="B23">
        <v>0</v>
      </c>
      <c r="C23">
        <v>0</v>
      </c>
      <c r="D23">
        <v>0</v>
      </c>
      <c r="E23">
        <v>1</v>
      </c>
      <c r="F23">
        <v>0</v>
      </c>
      <c r="G23">
        <v>0</v>
      </c>
      <c r="H23">
        <v>0</v>
      </c>
      <c r="I23">
        <v>0</v>
      </c>
      <c r="J23">
        <v>0</v>
      </c>
      <c r="K23">
        <v>1</v>
      </c>
      <c r="L23" s="170">
        <v>1690</v>
      </c>
      <c r="M23" t="s">
        <v>626</v>
      </c>
    </row>
    <row r="24" spans="1:14" x14ac:dyDescent="0.25">
      <c r="A24" t="s">
        <v>545</v>
      </c>
      <c r="B24">
        <v>0</v>
      </c>
      <c r="C24">
        <v>0</v>
      </c>
      <c r="D24">
        <v>0</v>
      </c>
      <c r="E24">
        <v>1</v>
      </c>
      <c r="F24">
        <v>0</v>
      </c>
      <c r="G24">
        <v>0</v>
      </c>
      <c r="H24">
        <v>0</v>
      </c>
      <c r="I24">
        <v>0</v>
      </c>
      <c r="J24">
        <v>0</v>
      </c>
      <c r="K24">
        <v>1</v>
      </c>
      <c r="L24" s="170">
        <v>3084</v>
      </c>
      <c r="M24" t="s">
        <v>627</v>
      </c>
    </row>
    <row r="25" spans="1:14" x14ac:dyDescent="0.25">
      <c r="A25" t="s">
        <v>585</v>
      </c>
      <c r="B25">
        <v>0</v>
      </c>
      <c r="C25">
        <v>0</v>
      </c>
      <c r="D25">
        <v>0</v>
      </c>
      <c r="E25">
        <v>0</v>
      </c>
      <c r="F25">
        <v>0</v>
      </c>
      <c r="G25">
        <v>0</v>
      </c>
      <c r="H25">
        <v>1</v>
      </c>
      <c r="I25">
        <v>0</v>
      </c>
      <c r="J25">
        <v>0</v>
      </c>
      <c r="K25">
        <v>1</v>
      </c>
      <c r="L25" s="169">
        <v>452.28</v>
      </c>
      <c r="M25" t="s">
        <v>705</v>
      </c>
      <c r="N25" s="168"/>
    </row>
    <row r="26" spans="1:14" x14ac:dyDescent="0.25">
      <c r="A26" t="s">
        <v>613</v>
      </c>
      <c r="B26">
        <v>0</v>
      </c>
      <c r="C26">
        <v>1</v>
      </c>
      <c r="D26">
        <v>0</v>
      </c>
      <c r="E26">
        <v>0</v>
      </c>
      <c r="F26">
        <v>0</v>
      </c>
      <c r="G26">
        <v>0</v>
      </c>
      <c r="H26">
        <v>0</v>
      </c>
      <c r="I26">
        <v>1</v>
      </c>
      <c r="J26">
        <v>0</v>
      </c>
      <c r="K26">
        <v>0</v>
      </c>
      <c r="L26" s="170">
        <v>5388</v>
      </c>
      <c r="M26" t="s">
        <v>628</v>
      </c>
    </row>
    <row r="27" spans="1:14" x14ac:dyDescent="0.25">
      <c r="A27" t="s">
        <v>546</v>
      </c>
      <c r="B27">
        <v>0</v>
      </c>
      <c r="C27">
        <v>0</v>
      </c>
      <c r="D27">
        <v>1</v>
      </c>
      <c r="E27">
        <v>0</v>
      </c>
      <c r="F27">
        <v>0</v>
      </c>
      <c r="G27">
        <v>0</v>
      </c>
      <c r="H27">
        <v>0</v>
      </c>
      <c r="I27">
        <v>1</v>
      </c>
      <c r="J27">
        <v>0</v>
      </c>
      <c r="K27">
        <v>0</v>
      </c>
      <c r="L27" s="170">
        <v>13014</v>
      </c>
      <c r="M27" t="s">
        <v>629</v>
      </c>
    </row>
    <row r="28" spans="1:14" x14ac:dyDescent="0.25">
      <c r="A28" t="s">
        <v>562</v>
      </c>
      <c r="B28">
        <v>1</v>
      </c>
      <c r="C28">
        <v>0</v>
      </c>
      <c r="D28">
        <v>0</v>
      </c>
      <c r="E28">
        <v>0</v>
      </c>
      <c r="F28">
        <v>0</v>
      </c>
      <c r="G28">
        <v>0</v>
      </c>
      <c r="H28">
        <v>0</v>
      </c>
      <c r="I28">
        <v>1</v>
      </c>
      <c r="J28">
        <v>0</v>
      </c>
      <c r="K28">
        <v>0</v>
      </c>
      <c r="L28" s="170">
        <v>5392</v>
      </c>
      <c r="M28" t="s">
        <v>630</v>
      </c>
    </row>
    <row r="29" spans="1:14" x14ac:dyDescent="0.25">
      <c r="A29" t="s">
        <v>556</v>
      </c>
      <c r="B29">
        <v>1</v>
      </c>
      <c r="C29">
        <v>0</v>
      </c>
      <c r="D29">
        <v>0</v>
      </c>
      <c r="E29">
        <v>0</v>
      </c>
      <c r="F29">
        <v>0</v>
      </c>
      <c r="G29">
        <v>0</v>
      </c>
      <c r="H29">
        <v>0</v>
      </c>
      <c r="I29">
        <v>1</v>
      </c>
      <c r="J29">
        <v>0</v>
      </c>
      <c r="K29">
        <v>0</v>
      </c>
      <c r="L29" s="170">
        <v>24677</v>
      </c>
      <c r="M29" t="s">
        <v>631</v>
      </c>
    </row>
    <row r="30" spans="1:14" x14ac:dyDescent="0.25">
      <c r="A30" t="s">
        <v>531</v>
      </c>
      <c r="B30">
        <v>0</v>
      </c>
      <c r="C30">
        <v>0</v>
      </c>
      <c r="D30">
        <v>0</v>
      </c>
      <c r="E30">
        <v>0</v>
      </c>
      <c r="F30">
        <v>1</v>
      </c>
      <c r="G30">
        <v>0</v>
      </c>
      <c r="H30">
        <v>0</v>
      </c>
      <c r="I30">
        <v>0</v>
      </c>
      <c r="J30">
        <v>0</v>
      </c>
      <c r="K30">
        <v>1</v>
      </c>
      <c r="L30" s="169">
        <v>1023</v>
      </c>
      <c r="M30" t="s">
        <v>706</v>
      </c>
      <c r="N30" s="168"/>
    </row>
    <row r="31" spans="1:14" x14ac:dyDescent="0.25">
      <c r="A31" t="s">
        <v>586</v>
      </c>
      <c r="B31">
        <v>0</v>
      </c>
      <c r="C31">
        <v>0</v>
      </c>
      <c r="D31">
        <v>0</v>
      </c>
      <c r="E31">
        <v>1</v>
      </c>
      <c r="F31">
        <v>0</v>
      </c>
      <c r="G31">
        <v>0</v>
      </c>
      <c r="H31">
        <v>0</v>
      </c>
      <c r="I31">
        <v>0</v>
      </c>
      <c r="J31">
        <v>0</v>
      </c>
      <c r="K31">
        <v>1</v>
      </c>
      <c r="L31" s="170">
        <v>1010</v>
      </c>
      <c r="M31" t="s">
        <v>632</v>
      </c>
    </row>
    <row r="32" spans="1:14" x14ac:dyDescent="0.25">
      <c r="A32" t="s">
        <v>587</v>
      </c>
      <c r="B32">
        <v>0</v>
      </c>
      <c r="C32">
        <v>0</v>
      </c>
      <c r="D32">
        <v>0</v>
      </c>
      <c r="E32">
        <v>1</v>
      </c>
      <c r="F32">
        <v>0</v>
      </c>
      <c r="G32">
        <v>0</v>
      </c>
      <c r="H32">
        <v>0</v>
      </c>
      <c r="I32">
        <v>0</v>
      </c>
      <c r="J32">
        <v>0</v>
      </c>
      <c r="K32">
        <v>1</v>
      </c>
      <c r="L32" s="170">
        <v>1326</v>
      </c>
      <c r="M32" t="s">
        <v>633</v>
      </c>
    </row>
    <row r="33" spans="1:14" x14ac:dyDescent="0.25">
      <c r="A33" t="s">
        <v>6</v>
      </c>
      <c r="B33">
        <v>0</v>
      </c>
      <c r="C33">
        <v>0</v>
      </c>
      <c r="D33">
        <v>0</v>
      </c>
      <c r="E33">
        <v>0</v>
      </c>
      <c r="F33">
        <v>1</v>
      </c>
      <c r="G33">
        <v>0</v>
      </c>
      <c r="H33">
        <v>0</v>
      </c>
      <c r="I33">
        <v>0</v>
      </c>
      <c r="J33">
        <v>0</v>
      </c>
      <c r="K33">
        <v>1</v>
      </c>
      <c r="L33" s="170">
        <v>469</v>
      </c>
      <c r="M33" t="s">
        <v>693</v>
      </c>
    </row>
    <row r="34" spans="1:14" x14ac:dyDescent="0.25">
      <c r="A34" t="s">
        <v>570</v>
      </c>
      <c r="B34">
        <v>0</v>
      </c>
      <c r="C34">
        <v>0</v>
      </c>
      <c r="D34">
        <v>0</v>
      </c>
      <c r="E34">
        <v>1</v>
      </c>
      <c r="F34">
        <v>0</v>
      </c>
      <c r="G34">
        <v>0</v>
      </c>
      <c r="H34">
        <v>0</v>
      </c>
      <c r="I34">
        <v>0</v>
      </c>
      <c r="J34">
        <v>0</v>
      </c>
      <c r="K34">
        <v>1</v>
      </c>
      <c r="L34" s="170">
        <v>1065</v>
      </c>
      <c r="M34" t="s">
        <v>634</v>
      </c>
    </row>
    <row r="35" spans="1:14" x14ac:dyDescent="0.25">
      <c r="A35" t="s">
        <v>590</v>
      </c>
      <c r="B35">
        <v>0</v>
      </c>
      <c r="C35">
        <v>0</v>
      </c>
      <c r="D35">
        <v>0</v>
      </c>
      <c r="E35">
        <v>0</v>
      </c>
      <c r="F35">
        <v>0</v>
      </c>
      <c r="G35">
        <v>0</v>
      </c>
      <c r="H35">
        <v>1</v>
      </c>
      <c r="I35">
        <v>0</v>
      </c>
      <c r="J35">
        <v>1</v>
      </c>
      <c r="K35">
        <v>0</v>
      </c>
      <c r="L35" s="169">
        <v>6</v>
      </c>
      <c r="M35" t="s">
        <v>707</v>
      </c>
      <c r="N35" s="168"/>
    </row>
    <row r="36" spans="1:14" x14ac:dyDescent="0.25">
      <c r="A36" t="s">
        <v>591</v>
      </c>
      <c r="B36">
        <v>1</v>
      </c>
      <c r="C36">
        <v>0</v>
      </c>
      <c r="D36">
        <v>0</v>
      </c>
      <c r="E36">
        <v>0</v>
      </c>
      <c r="F36">
        <v>0</v>
      </c>
      <c r="G36">
        <v>0</v>
      </c>
      <c r="H36">
        <v>0</v>
      </c>
      <c r="I36">
        <v>1</v>
      </c>
      <c r="J36">
        <v>0</v>
      </c>
      <c r="K36">
        <v>0</v>
      </c>
      <c r="L36" s="170">
        <v>3072</v>
      </c>
      <c r="M36" t="s">
        <v>635</v>
      </c>
    </row>
    <row r="37" spans="1:14" x14ac:dyDescent="0.25">
      <c r="A37" t="s">
        <v>7</v>
      </c>
      <c r="B37">
        <v>0</v>
      </c>
      <c r="C37">
        <v>0</v>
      </c>
      <c r="D37">
        <v>0</v>
      </c>
      <c r="E37">
        <v>0</v>
      </c>
      <c r="F37">
        <v>0</v>
      </c>
      <c r="G37">
        <v>0</v>
      </c>
      <c r="H37">
        <v>1</v>
      </c>
      <c r="I37">
        <v>0</v>
      </c>
      <c r="J37">
        <v>1</v>
      </c>
      <c r="K37">
        <v>0</v>
      </c>
      <c r="L37" s="169">
        <v>209.64</v>
      </c>
      <c r="M37" t="s">
        <v>708</v>
      </c>
      <c r="N37" s="168"/>
    </row>
    <row r="38" spans="1:14" x14ac:dyDescent="0.25">
      <c r="A38" t="s">
        <v>542</v>
      </c>
      <c r="B38">
        <v>1</v>
      </c>
      <c r="C38">
        <v>0</v>
      </c>
      <c r="D38">
        <v>0</v>
      </c>
      <c r="E38">
        <v>0</v>
      </c>
      <c r="F38">
        <v>0</v>
      </c>
      <c r="G38">
        <v>0</v>
      </c>
      <c r="H38">
        <v>0</v>
      </c>
      <c r="I38">
        <v>1</v>
      </c>
      <c r="J38">
        <v>0</v>
      </c>
      <c r="K38">
        <v>0</v>
      </c>
      <c r="L38" s="170">
        <v>23714</v>
      </c>
      <c r="M38" t="s">
        <v>684</v>
      </c>
    </row>
    <row r="39" spans="1:14" x14ac:dyDescent="0.25">
      <c r="A39" t="s">
        <v>536</v>
      </c>
      <c r="B39">
        <v>1</v>
      </c>
      <c r="C39">
        <v>0</v>
      </c>
      <c r="D39">
        <v>0</v>
      </c>
      <c r="E39">
        <v>0</v>
      </c>
      <c r="F39">
        <v>0</v>
      </c>
      <c r="G39">
        <v>0</v>
      </c>
      <c r="H39">
        <v>0</v>
      </c>
      <c r="I39">
        <v>1</v>
      </c>
      <c r="J39">
        <v>0</v>
      </c>
      <c r="K39">
        <v>0</v>
      </c>
      <c r="L39" s="170">
        <v>23118</v>
      </c>
      <c r="M39" t="s">
        <v>685</v>
      </c>
    </row>
    <row r="40" spans="1:14" x14ac:dyDescent="0.25">
      <c r="A40" t="s">
        <v>568</v>
      </c>
      <c r="B40">
        <v>0</v>
      </c>
      <c r="C40">
        <v>0</v>
      </c>
      <c r="D40">
        <v>0</v>
      </c>
      <c r="E40">
        <v>0</v>
      </c>
      <c r="F40">
        <v>0</v>
      </c>
      <c r="G40">
        <v>0</v>
      </c>
      <c r="H40">
        <v>1</v>
      </c>
      <c r="I40">
        <v>0</v>
      </c>
      <c r="J40">
        <v>1</v>
      </c>
      <c r="K40">
        <v>0</v>
      </c>
      <c r="L40" s="169">
        <v>438.96</v>
      </c>
      <c r="M40" t="s">
        <v>709</v>
      </c>
      <c r="N40" s="168"/>
    </row>
    <row r="41" spans="1:14" x14ac:dyDescent="0.25">
      <c r="A41" t="s">
        <v>8</v>
      </c>
      <c r="B41">
        <v>0</v>
      </c>
      <c r="C41">
        <v>0</v>
      </c>
      <c r="D41">
        <v>1</v>
      </c>
      <c r="E41">
        <v>0</v>
      </c>
      <c r="F41">
        <v>0</v>
      </c>
      <c r="G41">
        <v>0</v>
      </c>
      <c r="H41">
        <v>0</v>
      </c>
      <c r="I41">
        <v>0</v>
      </c>
      <c r="J41">
        <v>0</v>
      </c>
      <c r="K41">
        <v>1</v>
      </c>
      <c r="L41" s="169">
        <v>648.72</v>
      </c>
      <c r="M41" t="s">
        <v>710</v>
      </c>
      <c r="N41" s="168"/>
    </row>
    <row r="42" spans="1:14" x14ac:dyDescent="0.25">
      <c r="A42" t="s">
        <v>559</v>
      </c>
      <c r="B42">
        <v>1</v>
      </c>
      <c r="C42">
        <v>0</v>
      </c>
      <c r="D42">
        <v>0</v>
      </c>
      <c r="E42">
        <v>0</v>
      </c>
      <c r="F42">
        <v>0</v>
      </c>
      <c r="G42">
        <v>0</v>
      </c>
      <c r="H42">
        <v>0</v>
      </c>
      <c r="I42">
        <v>1</v>
      </c>
      <c r="J42">
        <v>0</v>
      </c>
      <c r="K42">
        <v>0</v>
      </c>
      <c r="L42" s="170">
        <v>24079</v>
      </c>
      <c r="M42" t="s">
        <v>686</v>
      </c>
    </row>
    <row r="43" spans="1:14" x14ac:dyDescent="0.25">
      <c r="A43" t="s">
        <v>10</v>
      </c>
      <c r="B43">
        <v>0</v>
      </c>
      <c r="C43">
        <v>0</v>
      </c>
      <c r="D43">
        <v>0</v>
      </c>
      <c r="E43">
        <v>0</v>
      </c>
      <c r="F43">
        <v>0</v>
      </c>
      <c r="G43">
        <v>0</v>
      </c>
      <c r="H43">
        <v>1</v>
      </c>
      <c r="I43">
        <v>0</v>
      </c>
      <c r="J43">
        <v>1</v>
      </c>
      <c r="K43">
        <v>0</v>
      </c>
      <c r="L43" s="170">
        <v>235</v>
      </c>
      <c r="M43" t="s">
        <v>691</v>
      </c>
    </row>
    <row r="44" spans="1:14" x14ac:dyDescent="0.25">
      <c r="A44" t="s">
        <v>577</v>
      </c>
      <c r="B44">
        <v>1</v>
      </c>
      <c r="C44">
        <v>0</v>
      </c>
      <c r="D44">
        <v>0</v>
      </c>
      <c r="E44">
        <v>0</v>
      </c>
      <c r="F44">
        <v>0</v>
      </c>
      <c r="G44">
        <v>0</v>
      </c>
      <c r="H44">
        <v>0</v>
      </c>
      <c r="I44">
        <v>1</v>
      </c>
      <c r="J44">
        <v>0</v>
      </c>
      <c r="K44">
        <v>0</v>
      </c>
      <c r="L44" s="170">
        <v>20938</v>
      </c>
      <c r="M44" t="s">
        <v>636</v>
      </c>
    </row>
    <row r="45" spans="1:14" x14ac:dyDescent="0.25">
      <c r="A45" t="s">
        <v>11</v>
      </c>
      <c r="B45">
        <v>1</v>
      </c>
      <c r="C45">
        <v>0</v>
      </c>
      <c r="D45">
        <v>0</v>
      </c>
      <c r="E45">
        <v>0</v>
      </c>
      <c r="F45">
        <v>0</v>
      </c>
      <c r="G45">
        <v>0</v>
      </c>
      <c r="H45">
        <v>0</v>
      </c>
      <c r="I45">
        <v>1</v>
      </c>
      <c r="J45">
        <v>0</v>
      </c>
      <c r="K45">
        <v>0</v>
      </c>
      <c r="L45" s="170">
        <v>14027</v>
      </c>
      <c r="M45" t="s">
        <v>637</v>
      </c>
    </row>
    <row r="46" spans="1:14" x14ac:dyDescent="0.25">
      <c r="A46" t="s">
        <v>571</v>
      </c>
      <c r="B46">
        <v>0</v>
      </c>
      <c r="C46">
        <v>0</v>
      </c>
      <c r="D46">
        <v>0</v>
      </c>
      <c r="E46">
        <v>1</v>
      </c>
      <c r="F46">
        <v>0</v>
      </c>
      <c r="G46">
        <v>0</v>
      </c>
      <c r="H46">
        <v>0</v>
      </c>
      <c r="I46">
        <v>0</v>
      </c>
      <c r="J46">
        <v>0</v>
      </c>
      <c r="K46">
        <v>1</v>
      </c>
      <c r="L46" s="170">
        <v>835</v>
      </c>
      <c r="M46" t="s">
        <v>638</v>
      </c>
    </row>
    <row r="47" spans="1:14" x14ac:dyDescent="0.25">
      <c r="A47" t="s">
        <v>550</v>
      </c>
      <c r="B47">
        <v>0</v>
      </c>
      <c r="C47">
        <v>0</v>
      </c>
      <c r="D47">
        <v>0</v>
      </c>
      <c r="E47">
        <v>1</v>
      </c>
      <c r="F47">
        <v>0</v>
      </c>
      <c r="G47">
        <v>0</v>
      </c>
      <c r="H47">
        <v>0</v>
      </c>
      <c r="I47">
        <v>0</v>
      </c>
      <c r="J47">
        <v>0</v>
      </c>
      <c r="K47">
        <v>1</v>
      </c>
      <c r="L47" s="170">
        <v>1044</v>
      </c>
      <c r="M47" t="s">
        <v>639</v>
      </c>
    </row>
    <row r="48" spans="1:14" x14ac:dyDescent="0.25">
      <c r="A48" t="s">
        <v>606</v>
      </c>
      <c r="B48">
        <v>0</v>
      </c>
      <c r="C48">
        <v>1</v>
      </c>
      <c r="D48">
        <v>0</v>
      </c>
      <c r="E48">
        <v>0</v>
      </c>
      <c r="F48">
        <v>0</v>
      </c>
      <c r="G48">
        <v>0</v>
      </c>
      <c r="H48">
        <v>0</v>
      </c>
      <c r="I48">
        <v>1</v>
      </c>
      <c r="J48">
        <v>0</v>
      </c>
      <c r="K48">
        <v>0</v>
      </c>
      <c r="L48" s="170">
        <v>26949</v>
      </c>
      <c r="M48" t="s">
        <v>640</v>
      </c>
    </row>
    <row r="49" spans="1:14" x14ac:dyDescent="0.25">
      <c r="A49" t="s">
        <v>553</v>
      </c>
      <c r="B49">
        <v>1</v>
      </c>
      <c r="C49">
        <v>0</v>
      </c>
      <c r="D49">
        <v>0</v>
      </c>
      <c r="E49">
        <v>0</v>
      </c>
      <c r="F49">
        <v>0</v>
      </c>
      <c r="G49">
        <v>0</v>
      </c>
      <c r="H49">
        <v>0</v>
      </c>
      <c r="I49">
        <v>1</v>
      </c>
      <c r="J49">
        <v>0</v>
      </c>
      <c r="K49">
        <v>0</v>
      </c>
      <c r="L49" s="169">
        <v>2466.12</v>
      </c>
      <c r="M49" t="s">
        <v>711</v>
      </c>
      <c r="N49" s="168"/>
    </row>
    <row r="50" spans="1:14" x14ac:dyDescent="0.25">
      <c r="A50" t="s">
        <v>12</v>
      </c>
      <c r="B50">
        <v>0</v>
      </c>
      <c r="C50">
        <v>0</v>
      </c>
      <c r="D50">
        <v>0</v>
      </c>
      <c r="E50">
        <v>0</v>
      </c>
      <c r="F50">
        <v>0</v>
      </c>
      <c r="G50">
        <v>1</v>
      </c>
      <c r="H50">
        <v>0</v>
      </c>
      <c r="I50">
        <v>0</v>
      </c>
      <c r="J50">
        <v>0</v>
      </c>
      <c r="K50">
        <v>1</v>
      </c>
      <c r="L50" s="170">
        <v>1141</v>
      </c>
      <c r="M50" t="s">
        <v>641</v>
      </c>
    </row>
    <row r="51" spans="1:14" x14ac:dyDescent="0.25">
      <c r="A51" t="s">
        <v>13</v>
      </c>
      <c r="B51">
        <v>0</v>
      </c>
      <c r="C51">
        <v>1</v>
      </c>
      <c r="D51">
        <v>0</v>
      </c>
      <c r="E51">
        <v>0</v>
      </c>
      <c r="F51">
        <v>0</v>
      </c>
      <c r="G51">
        <v>0</v>
      </c>
      <c r="H51">
        <v>0</v>
      </c>
      <c r="I51">
        <v>0</v>
      </c>
      <c r="J51">
        <v>0</v>
      </c>
      <c r="K51">
        <v>1</v>
      </c>
      <c r="L51" s="170">
        <v>348</v>
      </c>
      <c r="M51" t="s">
        <v>642</v>
      </c>
    </row>
    <row r="52" spans="1:14" x14ac:dyDescent="0.25">
      <c r="A52" t="s">
        <v>15</v>
      </c>
      <c r="B52">
        <v>0</v>
      </c>
      <c r="C52">
        <v>0</v>
      </c>
      <c r="D52">
        <v>0</v>
      </c>
      <c r="E52">
        <v>0</v>
      </c>
      <c r="F52">
        <v>1</v>
      </c>
      <c r="G52">
        <v>0</v>
      </c>
      <c r="H52">
        <v>0</v>
      </c>
      <c r="I52">
        <v>0</v>
      </c>
      <c r="J52">
        <v>0</v>
      </c>
      <c r="K52">
        <v>1</v>
      </c>
      <c r="L52" s="169">
        <v>1395.96</v>
      </c>
      <c r="M52" t="s">
        <v>737</v>
      </c>
      <c r="N52" s="168"/>
    </row>
    <row r="53" spans="1:14" x14ac:dyDescent="0.25">
      <c r="A53" t="s">
        <v>602</v>
      </c>
      <c r="B53">
        <v>0</v>
      </c>
      <c r="C53">
        <v>0</v>
      </c>
      <c r="D53">
        <v>0</v>
      </c>
      <c r="E53">
        <v>0</v>
      </c>
      <c r="F53">
        <v>1</v>
      </c>
      <c r="G53">
        <v>0</v>
      </c>
      <c r="H53">
        <v>0</v>
      </c>
      <c r="I53">
        <v>0</v>
      </c>
      <c r="J53">
        <v>0</v>
      </c>
      <c r="K53">
        <v>1</v>
      </c>
      <c r="L53" s="169">
        <v>30</v>
      </c>
      <c r="M53" t="s">
        <v>707</v>
      </c>
      <c r="N53" s="168"/>
    </row>
    <row r="54" spans="1:14" x14ac:dyDescent="0.25">
      <c r="A54" t="s">
        <v>578</v>
      </c>
      <c r="B54">
        <v>1</v>
      </c>
      <c r="C54">
        <v>0</v>
      </c>
      <c r="D54">
        <v>0</v>
      </c>
      <c r="E54">
        <v>0</v>
      </c>
      <c r="F54">
        <v>0</v>
      </c>
      <c r="G54">
        <v>0</v>
      </c>
      <c r="H54">
        <v>0</v>
      </c>
      <c r="I54">
        <v>1</v>
      </c>
      <c r="J54">
        <v>0</v>
      </c>
      <c r="K54">
        <v>0</v>
      </c>
      <c r="L54" s="170">
        <v>22862</v>
      </c>
      <c r="M54" t="s">
        <v>643</v>
      </c>
    </row>
    <row r="55" spans="1:14" x14ac:dyDescent="0.25">
      <c r="A55" t="s">
        <v>537</v>
      </c>
      <c r="B55">
        <v>1</v>
      </c>
      <c r="C55">
        <v>0</v>
      </c>
      <c r="D55">
        <v>0</v>
      </c>
      <c r="E55">
        <v>0</v>
      </c>
      <c r="F55">
        <v>0</v>
      </c>
      <c r="G55">
        <v>0</v>
      </c>
      <c r="H55">
        <v>0</v>
      </c>
      <c r="I55">
        <v>1</v>
      </c>
      <c r="J55">
        <v>0</v>
      </c>
      <c r="K55">
        <v>0</v>
      </c>
      <c r="L55" s="170">
        <v>21364</v>
      </c>
      <c r="M55" t="s">
        <v>644</v>
      </c>
    </row>
    <row r="56" spans="1:14" x14ac:dyDescent="0.25">
      <c r="A56" t="s">
        <v>491</v>
      </c>
      <c r="B56">
        <v>1</v>
      </c>
      <c r="C56">
        <v>0</v>
      </c>
      <c r="D56">
        <v>0</v>
      </c>
      <c r="E56">
        <v>0</v>
      </c>
      <c r="F56">
        <v>0</v>
      </c>
      <c r="G56">
        <v>0</v>
      </c>
      <c r="H56">
        <v>0</v>
      </c>
      <c r="I56">
        <v>1</v>
      </c>
      <c r="J56">
        <v>0</v>
      </c>
      <c r="K56">
        <v>0</v>
      </c>
      <c r="L56" s="170">
        <v>21139</v>
      </c>
      <c r="M56" t="s">
        <v>645</v>
      </c>
    </row>
    <row r="57" spans="1:14" x14ac:dyDescent="0.25">
      <c r="A57" t="s">
        <v>609</v>
      </c>
      <c r="B57">
        <v>0</v>
      </c>
      <c r="C57">
        <v>0</v>
      </c>
      <c r="D57">
        <v>0</v>
      </c>
      <c r="E57">
        <v>1</v>
      </c>
      <c r="F57">
        <v>0</v>
      </c>
      <c r="G57">
        <v>0</v>
      </c>
      <c r="H57">
        <v>0</v>
      </c>
      <c r="I57">
        <v>0</v>
      </c>
      <c r="J57">
        <v>0</v>
      </c>
      <c r="K57">
        <v>1</v>
      </c>
      <c r="L57" s="170">
        <v>1389</v>
      </c>
      <c r="M57" t="s">
        <v>646</v>
      </c>
    </row>
    <row r="58" spans="1:14" x14ac:dyDescent="0.25">
      <c r="A58" t="s">
        <v>560</v>
      </c>
      <c r="B58">
        <v>1</v>
      </c>
      <c r="C58">
        <v>0</v>
      </c>
      <c r="D58">
        <v>0</v>
      </c>
      <c r="E58">
        <v>0</v>
      </c>
      <c r="F58">
        <v>0</v>
      </c>
      <c r="G58">
        <v>0</v>
      </c>
      <c r="H58">
        <v>0</v>
      </c>
      <c r="I58">
        <v>1</v>
      </c>
      <c r="J58">
        <v>0</v>
      </c>
      <c r="K58">
        <v>0</v>
      </c>
      <c r="L58" s="170">
        <v>22501</v>
      </c>
      <c r="M58" t="s">
        <v>647</v>
      </c>
    </row>
    <row r="59" spans="1:14" x14ac:dyDescent="0.25">
      <c r="A59" t="s">
        <v>538</v>
      </c>
      <c r="B59">
        <v>0</v>
      </c>
      <c r="C59">
        <v>0</v>
      </c>
      <c r="D59">
        <v>0</v>
      </c>
      <c r="E59">
        <v>0</v>
      </c>
      <c r="F59">
        <v>1</v>
      </c>
      <c r="G59">
        <v>0</v>
      </c>
      <c r="H59">
        <v>0</v>
      </c>
      <c r="I59">
        <v>0</v>
      </c>
      <c r="J59">
        <v>0</v>
      </c>
      <c r="K59">
        <v>1</v>
      </c>
      <c r="L59" s="169">
        <v>1142.04</v>
      </c>
      <c r="M59" t="s">
        <v>712</v>
      </c>
      <c r="N59" s="168"/>
    </row>
    <row r="60" spans="1:14" x14ac:dyDescent="0.25">
      <c r="A60" t="s">
        <v>533</v>
      </c>
      <c r="B60">
        <v>0</v>
      </c>
      <c r="C60">
        <v>0</v>
      </c>
      <c r="D60">
        <v>1</v>
      </c>
      <c r="E60">
        <v>0</v>
      </c>
      <c r="F60">
        <v>0</v>
      </c>
      <c r="G60">
        <v>0</v>
      </c>
      <c r="H60">
        <v>0</v>
      </c>
      <c r="I60">
        <v>0</v>
      </c>
      <c r="J60">
        <v>0</v>
      </c>
      <c r="K60">
        <v>1</v>
      </c>
      <c r="L60" s="169">
        <v>1056.5999999999999</v>
      </c>
      <c r="M60" t="s">
        <v>713</v>
      </c>
      <c r="N60" s="168"/>
    </row>
    <row r="61" spans="1:14" x14ac:dyDescent="0.25">
      <c r="A61" t="s">
        <v>474</v>
      </c>
      <c r="B61">
        <v>0</v>
      </c>
      <c r="C61">
        <v>0</v>
      </c>
      <c r="D61">
        <v>0</v>
      </c>
      <c r="E61">
        <v>0</v>
      </c>
      <c r="F61">
        <v>0</v>
      </c>
      <c r="G61">
        <v>0</v>
      </c>
      <c r="H61">
        <v>1</v>
      </c>
      <c r="I61">
        <v>0</v>
      </c>
      <c r="J61">
        <v>0</v>
      </c>
      <c r="K61">
        <v>1</v>
      </c>
      <c r="L61" s="169">
        <v>431.76</v>
      </c>
      <c r="M61" t="s">
        <v>714</v>
      </c>
      <c r="N61" s="168"/>
    </row>
    <row r="62" spans="1:14" x14ac:dyDescent="0.25">
      <c r="A62" t="s">
        <v>555</v>
      </c>
      <c r="B62">
        <v>1</v>
      </c>
      <c r="C62">
        <v>0</v>
      </c>
      <c r="D62">
        <v>0</v>
      </c>
      <c r="E62">
        <v>0</v>
      </c>
      <c r="F62">
        <v>0</v>
      </c>
      <c r="G62">
        <v>0</v>
      </c>
      <c r="H62">
        <v>0</v>
      </c>
      <c r="I62">
        <v>1</v>
      </c>
      <c r="J62">
        <v>0</v>
      </c>
      <c r="K62">
        <v>0</v>
      </c>
      <c r="L62" s="170">
        <v>13995</v>
      </c>
      <c r="M62" t="s">
        <v>648</v>
      </c>
    </row>
    <row r="63" spans="1:14" x14ac:dyDescent="0.25">
      <c r="A63" t="s">
        <v>529</v>
      </c>
      <c r="B63">
        <v>0</v>
      </c>
      <c r="C63">
        <v>0</v>
      </c>
      <c r="D63">
        <v>0</v>
      </c>
      <c r="E63">
        <v>0</v>
      </c>
      <c r="F63">
        <v>1</v>
      </c>
      <c r="G63">
        <v>0</v>
      </c>
      <c r="H63">
        <v>0</v>
      </c>
      <c r="I63">
        <v>1</v>
      </c>
      <c r="J63">
        <v>0</v>
      </c>
      <c r="K63">
        <v>0</v>
      </c>
      <c r="L63" s="169">
        <v>6190.4400000000005</v>
      </c>
      <c r="M63" t="s">
        <v>715</v>
      </c>
      <c r="N63" s="168"/>
    </row>
    <row r="64" spans="1:14" x14ac:dyDescent="0.25">
      <c r="A64" t="s">
        <v>603</v>
      </c>
      <c r="B64">
        <v>0</v>
      </c>
      <c r="C64">
        <v>0</v>
      </c>
      <c r="D64">
        <v>1</v>
      </c>
      <c r="E64">
        <v>0</v>
      </c>
      <c r="F64">
        <v>0</v>
      </c>
      <c r="G64">
        <v>0</v>
      </c>
      <c r="H64">
        <v>0</v>
      </c>
      <c r="I64">
        <v>0</v>
      </c>
      <c r="J64">
        <v>0</v>
      </c>
      <c r="K64">
        <v>1</v>
      </c>
      <c r="L64" s="169">
        <v>265.20000000000005</v>
      </c>
      <c r="M64" t="s">
        <v>716</v>
      </c>
      <c r="N64" s="168"/>
    </row>
    <row r="65" spans="1:14" x14ac:dyDescent="0.25">
      <c r="A65" t="s">
        <v>565</v>
      </c>
      <c r="B65">
        <v>0</v>
      </c>
      <c r="C65">
        <v>0</v>
      </c>
      <c r="D65">
        <v>1</v>
      </c>
      <c r="E65">
        <v>0</v>
      </c>
      <c r="F65">
        <v>0</v>
      </c>
      <c r="G65">
        <v>0</v>
      </c>
      <c r="H65">
        <v>0</v>
      </c>
      <c r="I65">
        <v>1</v>
      </c>
      <c r="J65">
        <v>0</v>
      </c>
      <c r="K65">
        <v>0</v>
      </c>
      <c r="L65" s="170">
        <v>3368</v>
      </c>
      <c r="M65" t="s">
        <v>649</v>
      </c>
    </row>
    <row r="66" spans="1:14" x14ac:dyDescent="0.25">
      <c r="A66" t="s">
        <v>611</v>
      </c>
      <c r="B66">
        <v>0</v>
      </c>
      <c r="C66">
        <v>0</v>
      </c>
      <c r="D66">
        <v>0</v>
      </c>
      <c r="E66">
        <v>0</v>
      </c>
      <c r="F66">
        <v>0</v>
      </c>
      <c r="G66">
        <v>0</v>
      </c>
      <c r="H66">
        <v>1</v>
      </c>
      <c r="I66">
        <v>0</v>
      </c>
      <c r="J66">
        <v>0</v>
      </c>
      <c r="K66">
        <v>1</v>
      </c>
      <c r="L66" s="169">
        <v>498.48</v>
      </c>
      <c r="M66" t="s">
        <v>717</v>
      </c>
      <c r="N66" s="168"/>
    </row>
    <row r="67" spans="1:14" x14ac:dyDescent="0.25">
      <c r="A67" t="s">
        <v>557</v>
      </c>
      <c r="B67">
        <v>0</v>
      </c>
      <c r="C67">
        <v>0</v>
      </c>
      <c r="D67">
        <v>0</v>
      </c>
      <c r="E67">
        <v>0</v>
      </c>
      <c r="F67">
        <v>0</v>
      </c>
      <c r="G67">
        <v>0</v>
      </c>
      <c r="H67">
        <v>1</v>
      </c>
      <c r="I67">
        <v>0</v>
      </c>
      <c r="J67">
        <v>1</v>
      </c>
      <c r="K67">
        <v>0</v>
      </c>
      <c r="L67" s="169">
        <v>276.95999999999998</v>
      </c>
      <c r="M67" t="s">
        <v>718</v>
      </c>
      <c r="N67" s="168"/>
    </row>
    <row r="68" spans="1:14" x14ac:dyDescent="0.25">
      <c r="A68" t="s">
        <v>554</v>
      </c>
      <c r="B68">
        <v>0</v>
      </c>
      <c r="C68">
        <v>0</v>
      </c>
      <c r="D68">
        <v>0</v>
      </c>
      <c r="E68">
        <v>0</v>
      </c>
      <c r="F68">
        <v>0</v>
      </c>
      <c r="G68">
        <v>0</v>
      </c>
      <c r="H68">
        <v>1</v>
      </c>
      <c r="I68">
        <v>0</v>
      </c>
      <c r="J68">
        <v>1</v>
      </c>
      <c r="K68">
        <v>0</v>
      </c>
      <c r="L68" s="169">
        <v>162.60000000000002</v>
      </c>
      <c r="M68" t="s">
        <v>719</v>
      </c>
      <c r="N68" s="168"/>
    </row>
    <row r="69" spans="1:14" x14ac:dyDescent="0.25">
      <c r="A69" t="s">
        <v>16</v>
      </c>
      <c r="B69">
        <v>0</v>
      </c>
      <c r="C69">
        <v>1</v>
      </c>
      <c r="D69">
        <v>0</v>
      </c>
      <c r="E69">
        <v>0</v>
      </c>
      <c r="F69">
        <v>0</v>
      </c>
      <c r="G69">
        <v>0</v>
      </c>
      <c r="H69">
        <v>0</v>
      </c>
      <c r="I69">
        <v>0</v>
      </c>
      <c r="J69">
        <v>0</v>
      </c>
      <c r="K69">
        <v>1</v>
      </c>
      <c r="L69" s="170">
        <v>2185</v>
      </c>
      <c r="M69" t="s">
        <v>650</v>
      </c>
    </row>
    <row r="70" spans="1:14" x14ac:dyDescent="0.25">
      <c r="A70" t="s">
        <v>617</v>
      </c>
      <c r="B70">
        <v>0</v>
      </c>
      <c r="C70">
        <v>0</v>
      </c>
      <c r="D70">
        <v>0</v>
      </c>
      <c r="E70">
        <v>0</v>
      </c>
      <c r="F70">
        <v>0</v>
      </c>
      <c r="G70">
        <v>1</v>
      </c>
      <c r="H70">
        <v>0</v>
      </c>
      <c r="I70">
        <v>0</v>
      </c>
      <c r="J70">
        <v>0</v>
      </c>
      <c r="K70">
        <v>1</v>
      </c>
      <c r="L70" s="169">
        <v>636</v>
      </c>
      <c r="M70" t="s">
        <v>720</v>
      </c>
      <c r="N70" s="168"/>
    </row>
    <row r="71" spans="1:14" x14ac:dyDescent="0.25">
      <c r="A71" t="s">
        <v>539</v>
      </c>
      <c r="B71">
        <v>0</v>
      </c>
      <c r="C71">
        <v>0</v>
      </c>
      <c r="D71">
        <v>0</v>
      </c>
      <c r="E71">
        <v>0</v>
      </c>
      <c r="F71">
        <v>1</v>
      </c>
      <c r="G71">
        <v>0</v>
      </c>
      <c r="H71">
        <v>0</v>
      </c>
      <c r="I71">
        <v>1</v>
      </c>
      <c r="J71">
        <v>0</v>
      </c>
      <c r="K71">
        <v>0</v>
      </c>
      <c r="L71" s="170">
        <v>11194</v>
      </c>
      <c r="M71" t="s">
        <v>651</v>
      </c>
    </row>
    <row r="72" spans="1:14" x14ac:dyDescent="0.25">
      <c r="A72" t="s">
        <v>547</v>
      </c>
      <c r="B72">
        <v>0</v>
      </c>
      <c r="C72">
        <v>0</v>
      </c>
      <c r="D72">
        <v>0</v>
      </c>
      <c r="E72">
        <v>1</v>
      </c>
      <c r="F72">
        <v>0</v>
      </c>
      <c r="G72">
        <v>0</v>
      </c>
      <c r="H72">
        <v>0</v>
      </c>
      <c r="I72">
        <v>0</v>
      </c>
      <c r="J72">
        <v>0</v>
      </c>
      <c r="K72">
        <v>1</v>
      </c>
      <c r="L72" s="170">
        <v>1310</v>
      </c>
      <c r="M72" t="s">
        <v>652</v>
      </c>
    </row>
    <row r="73" spans="1:14" x14ac:dyDescent="0.25">
      <c r="A73" t="s">
        <v>567</v>
      </c>
      <c r="B73">
        <v>0</v>
      </c>
      <c r="C73">
        <v>0</v>
      </c>
      <c r="D73">
        <v>1</v>
      </c>
      <c r="E73">
        <v>0</v>
      </c>
      <c r="F73">
        <v>0</v>
      </c>
      <c r="G73">
        <v>0</v>
      </c>
      <c r="H73">
        <v>0</v>
      </c>
      <c r="I73">
        <v>0</v>
      </c>
      <c r="J73">
        <v>0</v>
      </c>
      <c r="K73">
        <v>1</v>
      </c>
      <c r="L73" s="169">
        <v>667.31999999999994</v>
      </c>
      <c r="M73" t="s">
        <v>721</v>
      </c>
      <c r="N73" s="168"/>
    </row>
    <row r="74" spans="1:14" x14ac:dyDescent="0.25">
      <c r="A74" t="s">
        <v>598</v>
      </c>
      <c r="B74">
        <v>0</v>
      </c>
      <c r="C74">
        <v>1</v>
      </c>
      <c r="D74">
        <v>0</v>
      </c>
      <c r="E74">
        <v>0</v>
      </c>
      <c r="F74">
        <v>0</v>
      </c>
      <c r="G74">
        <v>0</v>
      </c>
      <c r="H74">
        <v>0</v>
      </c>
      <c r="I74">
        <v>0</v>
      </c>
      <c r="J74">
        <v>0</v>
      </c>
      <c r="K74">
        <v>1</v>
      </c>
      <c r="L74" s="169">
        <v>843.96</v>
      </c>
      <c r="M74" t="s">
        <v>722</v>
      </c>
      <c r="N74" s="168"/>
    </row>
    <row r="75" spans="1:14" x14ac:dyDescent="0.25">
      <c r="A75" t="s">
        <v>540</v>
      </c>
      <c r="B75">
        <v>0</v>
      </c>
      <c r="C75">
        <v>0</v>
      </c>
      <c r="D75">
        <v>0</v>
      </c>
      <c r="E75">
        <v>0</v>
      </c>
      <c r="F75">
        <v>1</v>
      </c>
      <c r="G75">
        <v>0</v>
      </c>
      <c r="H75">
        <v>0</v>
      </c>
      <c r="I75">
        <v>0</v>
      </c>
      <c r="J75">
        <v>0</v>
      </c>
      <c r="K75">
        <v>1</v>
      </c>
      <c r="L75" s="170">
        <v>1181</v>
      </c>
      <c r="M75" t="s">
        <v>653</v>
      </c>
    </row>
    <row r="76" spans="1:14" x14ac:dyDescent="0.25">
      <c r="A76" t="s">
        <v>573</v>
      </c>
      <c r="B76">
        <v>0</v>
      </c>
      <c r="C76">
        <v>0</v>
      </c>
      <c r="D76">
        <v>0</v>
      </c>
      <c r="E76">
        <v>0</v>
      </c>
      <c r="F76">
        <v>0</v>
      </c>
      <c r="G76">
        <v>0</v>
      </c>
      <c r="H76">
        <v>1</v>
      </c>
      <c r="I76">
        <v>0</v>
      </c>
      <c r="J76">
        <v>0</v>
      </c>
      <c r="K76">
        <v>1</v>
      </c>
      <c r="L76" s="169">
        <v>1736.16</v>
      </c>
      <c r="M76" t="s">
        <v>723</v>
      </c>
      <c r="N76" s="168"/>
    </row>
    <row r="77" spans="1:14" x14ac:dyDescent="0.25">
      <c r="A77" t="s">
        <v>612</v>
      </c>
      <c r="B77">
        <v>0</v>
      </c>
      <c r="C77">
        <v>0</v>
      </c>
      <c r="D77">
        <v>0</v>
      </c>
      <c r="E77">
        <v>0</v>
      </c>
      <c r="F77">
        <v>0</v>
      </c>
      <c r="G77">
        <v>1</v>
      </c>
      <c r="H77">
        <v>0</v>
      </c>
      <c r="I77">
        <v>0</v>
      </c>
      <c r="J77">
        <v>1</v>
      </c>
      <c r="K77">
        <v>0</v>
      </c>
      <c r="L77" s="169">
        <v>242.76</v>
      </c>
      <c r="M77" t="s">
        <v>724</v>
      </c>
      <c r="N77" s="168"/>
    </row>
    <row r="78" spans="1:14" x14ac:dyDescent="0.25">
      <c r="A78" t="s">
        <v>18</v>
      </c>
      <c r="B78">
        <v>1</v>
      </c>
      <c r="C78">
        <v>0</v>
      </c>
      <c r="D78">
        <v>0</v>
      </c>
      <c r="E78">
        <v>0</v>
      </c>
      <c r="F78">
        <v>0</v>
      </c>
      <c r="G78">
        <v>0</v>
      </c>
      <c r="H78">
        <v>0</v>
      </c>
      <c r="I78">
        <v>1</v>
      </c>
      <c r="J78">
        <v>0</v>
      </c>
      <c r="K78">
        <v>0</v>
      </c>
      <c r="L78" s="170">
        <v>28339</v>
      </c>
      <c r="M78" t="s">
        <v>654</v>
      </c>
    </row>
    <row r="79" spans="1:14" x14ac:dyDescent="0.25">
      <c r="A79" t="s">
        <v>615</v>
      </c>
      <c r="B79">
        <v>1</v>
      </c>
      <c r="C79">
        <v>0</v>
      </c>
      <c r="D79">
        <v>0</v>
      </c>
      <c r="E79">
        <v>0</v>
      </c>
      <c r="F79">
        <v>0</v>
      </c>
      <c r="G79">
        <v>0</v>
      </c>
      <c r="H79">
        <v>0</v>
      </c>
      <c r="I79">
        <v>1</v>
      </c>
      <c r="J79">
        <v>0</v>
      </c>
      <c r="K79">
        <v>0</v>
      </c>
      <c r="L79" s="170">
        <v>19352</v>
      </c>
      <c r="M79" t="s">
        <v>655</v>
      </c>
    </row>
    <row r="80" spans="1:14" x14ac:dyDescent="0.25">
      <c r="A80" t="s">
        <v>551</v>
      </c>
      <c r="B80">
        <v>0</v>
      </c>
      <c r="C80">
        <v>0</v>
      </c>
      <c r="D80">
        <v>0</v>
      </c>
      <c r="E80">
        <v>1</v>
      </c>
      <c r="F80">
        <v>0</v>
      </c>
      <c r="G80">
        <v>0</v>
      </c>
      <c r="H80">
        <v>0</v>
      </c>
      <c r="I80">
        <v>0</v>
      </c>
      <c r="J80">
        <v>0</v>
      </c>
      <c r="K80">
        <v>1</v>
      </c>
      <c r="L80" s="170">
        <v>478</v>
      </c>
      <c r="M80" t="s">
        <v>641</v>
      </c>
    </row>
    <row r="81" spans="1:14" x14ac:dyDescent="0.25">
      <c r="A81" t="s">
        <v>604</v>
      </c>
      <c r="B81">
        <v>0</v>
      </c>
      <c r="C81">
        <v>0</v>
      </c>
      <c r="D81">
        <v>0</v>
      </c>
      <c r="E81">
        <v>0</v>
      </c>
      <c r="F81">
        <v>0</v>
      </c>
      <c r="G81">
        <v>0</v>
      </c>
      <c r="H81">
        <v>1</v>
      </c>
      <c r="I81">
        <v>0</v>
      </c>
      <c r="J81">
        <v>1</v>
      </c>
      <c r="K81">
        <v>0</v>
      </c>
      <c r="L81" s="169">
        <v>303.95999999999998</v>
      </c>
      <c r="M81" t="s">
        <v>725</v>
      </c>
      <c r="N81" s="168"/>
    </row>
    <row r="82" spans="1:14" x14ac:dyDescent="0.25">
      <c r="A82" t="s">
        <v>19</v>
      </c>
      <c r="B82">
        <v>0</v>
      </c>
      <c r="C82">
        <v>0</v>
      </c>
      <c r="D82">
        <v>0</v>
      </c>
      <c r="E82">
        <v>0</v>
      </c>
      <c r="F82">
        <v>0</v>
      </c>
      <c r="G82">
        <v>0</v>
      </c>
      <c r="H82">
        <v>1</v>
      </c>
      <c r="I82">
        <v>0</v>
      </c>
      <c r="J82">
        <v>0</v>
      </c>
      <c r="K82">
        <v>1</v>
      </c>
      <c r="L82" s="170">
        <v>1200</v>
      </c>
      <c r="M82" t="s">
        <v>689</v>
      </c>
    </row>
    <row r="83" spans="1:14" x14ac:dyDescent="0.25">
      <c r="A83" t="s">
        <v>616</v>
      </c>
      <c r="B83">
        <v>1</v>
      </c>
      <c r="C83">
        <v>0</v>
      </c>
      <c r="D83">
        <v>0</v>
      </c>
      <c r="E83">
        <v>0</v>
      </c>
      <c r="F83">
        <v>0</v>
      </c>
      <c r="G83">
        <v>0</v>
      </c>
      <c r="H83">
        <v>0</v>
      </c>
      <c r="I83">
        <v>1</v>
      </c>
      <c r="J83">
        <v>0</v>
      </c>
      <c r="K83">
        <v>0</v>
      </c>
      <c r="L83" s="170">
        <v>19221</v>
      </c>
      <c r="M83" t="s">
        <v>656</v>
      </c>
    </row>
    <row r="84" spans="1:14" x14ac:dyDescent="0.25">
      <c r="A84" t="s">
        <v>484</v>
      </c>
      <c r="B84">
        <v>1</v>
      </c>
      <c r="C84">
        <v>0</v>
      </c>
      <c r="D84">
        <v>0</v>
      </c>
      <c r="E84">
        <v>0</v>
      </c>
      <c r="F84">
        <v>0</v>
      </c>
      <c r="G84">
        <v>0</v>
      </c>
      <c r="H84">
        <v>0</v>
      </c>
      <c r="I84">
        <v>1</v>
      </c>
      <c r="J84">
        <v>0</v>
      </c>
      <c r="K84">
        <v>0</v>
      </c>
      <c r="L84" s="170">
        <v>32473</v>
      </c>
      <c r="M84" t="s">
        <v>657</v>
      </c>
    </row>
    <row r="85" spans="1:14" x14ac:dyDescent="0.25">
      <c r="A85" t="s">
        <v>20</v>
      </c>
      <c r="B85">
        <v>0</v>
      </c>
      <c r="C85">
        <v>0</v>
      </c>
      <c r="D85">
        <v>0</v>
      </c>
      <c r="E85">
        <v>0</v>
      </c>
      <c r="F85">
        <v>0</v>
      </c>
      <c r="G85">
        <v>1</v>
      </c>
      <c r="H85">
        <v>0</v>
      </c>
      <c r="I85">
        <v>0</v>
      </c>
      <c r="J85">
        <v>0</v>
      </c>
      <c r="K85">
        <v>1</v>
      </c>
      <c r="L85" s="170">
        <v>465</v>
      </c>
      <c r="M85" t="s">
        <v>658</v>
      </c>
    </row>
    <row r="86" spans="1:14" x14ac:dyDescent="0.25">
      <c r="A86" t="s">
        <v>527</v>
      </c>
      <c r="B86">
        <v>0</v>
      </c>
      <c r="C86">
        <v>0</v>
      </c>
      <c r="D86">
        <v>0</v>
      </c>
      <c r="E86">
        <v>0</v>
      </c>
      <c r="F86">
        <v>1</v>
      </c>
      <c r="G86">
        <v>0</v>
      </c>
      <c r="H86">
        <v>0</v>
      </c>
      <c r="I86">
        <v>0</v>
      </c>
      <c r="J86">
        <v>0</v>
      </c>
      <c r="K86">
        <v>1</v>
      </c>
      <c r="L86" s="169">
        <v>962.04</v>
      </c>
      <c r="M86" t="s">
        <v>726</v>
      </c>
      <c r="N86" s="168"/>
    </row>
    <row r="87" spans="1:14" x14ac:dyDescent="0.25">
      <c r="A87" t="s">
        <v>569</v>
      </c>
      <c r="B87">
        <v>0</v>
      </c>
      <c r="C87">
        <v>0</v>
      </c>
      <c r="D87">
        <v>0</v>
      </c>
      <c r="E87">
        <v>1</v>
      </c>
      <c r="F87">
        <v>0</v>
      </c>
      <c r="G87">
        <v>0</v>
      </c>
      <c r="H87">
        <v>0</v>
      </c>
      <c r="I87">
        <v>0</v>
      </c>
      <c r="J87">
        <v>0</v>
      </c>
      <c r="K87">
        <v>1</v>
      </c>
      <c r="L87" s="170">
        <v>1913</v>
      </c>
      <c r="M87" t="s">
        <v>659</v>
      </c>
    </row>
    <row r="88" spans="1:14" x14ac:dyDescent="0.25">
      <c r="A88" t="s">
        <v>21</v>
      </c>
      <c r="B88">
        <v>0</v>
      </c>
      <c r="C88">
        <v>1</v>
      </c>
      <c r="D88">
        <v>0</v>
      </c>
      <c r="E88">
        <v>0</v>
      </c>
      <c r="F88">
        <v>0</v>
      </c>
      <c r="G88">
        <v>0</v>
      </c>
      <c r="H88">
        <v>0</v>
      </c>
      <c r="I88">
        <v>0</v>
      </c>
      <c r="J88">
        <v>0</v>
      </c>
      <c r="K88">
        <v>1</v>
      </c>
      <c r="L88" s="169">
        <v>1490.16</v>
      </c>
      <c r="M88" t="s">
        <v>727</v>
      </c>
      <c r="N88" s="168"/>
    </row>
    <row r="89" spans="1:14" x14ac:dyDescent="0.25">
      <c r="A89" t="s">
        <v>610</v>
      </c>
      <c r="B89">
        <v>0</v>
      </c>
      <c r="C89">
        <v>0</v>
      </c>
      <c r="D89">
        <v>0</v>
      </c>
      <c r="E89">
        <v>1</v>
      </c>
      <c r="F89">
        <v>0</v>
      </c>
      <c r="G89">
        <v>0</v>
      </c>
      <c r="H89">
        <v>0</v>
      </c>
      <c r="I89">
        <v>0</v>
      </c>
      <c r="J89">
        <v>0</v>
      </c>
      <c r="K89">
        <v>1</v>
      </c>
      <c r="L89" s="170">
        <v>706</v>
      </c>
      <c r="M89" t="s">
        <v>660</v>
      </c>
    </row>
    <row r="90" spans="1:14" x14ac:dyDescent="0.25">
      <c r="A90" t="s">
        <v>597</v>
      </c>
      <c r="B90">
        <v>0</v>
      </c>
      <c r="C90">
        <v>0</v>
      </c>
      <c r="D90">
        <v>0</v>
      </c>
      <c r="E90">
        <v>1</v>
      </c>
      <c r="F90">
        <v>0</v>
      </c>
      <c r="G90">
        <v>0</v>
      </c>
      <c r="H90">
        <v>0</v>
      </c>
      <c r="I90">
        <v>0</v>
      </c>
      <c r="J90">
        <v>0</v>
      </c>
      <c r="K90">
        <v>1</v>
      </c>
      <c r="L90" s="170">
        <v>1037</v>
      </c>
      <c r="M90" t="s">
        <v>633</v>
      </c>
    </row>
    <row r="91" spans="1:14" x14ac:dyDescent="0.25">
      <c r="A91" t="s">
        <v>588</v>
      </c>
      <c r="B91">
        <v>0</v>
      </c>
      <c r="C91">
        <v>1</v>
      </c>
      <c r="D91">
        <v>0</v>
      </c>
      <c r="E91">
        <v>0</v>
      </c>
      <c r="F91">
        <v>0</v>
      </c>
      <c r="G91">
        <v>0</v>
      </c>
      <c r="H91">
        <v>0</v>
      </c>
      <c r="I91">
        <v>0</v>
      </c>
      <c r="J91">
        <v>0</v>
      </c>
      <c r="K91">
        <v>1</v>
      </c>
      <c r="L91" s="170">
        <v>730</v>
      </c>
      <c r="M91" t="s">
        <v>661</v>
      </c>
    </row>
    <row r="92" spans="1:14" x14ac:dyDescent="0.25">
      <c r="A92" t="s">
        <v>23</v>
      </c>
      <c r="B92">
        <v>1</v>
      </c>
      <c r="C92">
        <v>0</v>
      </c>
      <c r="D92">
        <v>0</v>
      </c>
      <c r="E92">
        <v>0</v>
      </c>
      <c r="F92">
        <v>0</v>
      </c>
      <c r="G92">
        <v>0</v>
      </c>
      <c r="H92">
        <v>0</v>
      </c>
      <c r="I92">
        <v>1</v>
      </c>
      <c r="J92">
        <v>0</v>
      </c>
      <c r="K92">
        <v>0</v>
      </c>
      <c r="L92" s="170">
        <v>3124</v>
      </c>
      <c r="M92" t="s">
        <v>662</v>
      </c>
    </row>
    <row r="93" spans="1:14" x14ac:dyDescent="0.25">
      <c r="A93" t="s">
        <v>541</v>
      </c>
      <c r="B93">
        <v>1</v>
      </c>
      <c r="C93">
        <v>0</v>
      </c>
      <c r="D93">
        <v>0</v>
      </c>
      <c r="E93">
        <v>0</v>
      </c>
      <c r="F93">
        <v>0</v>
      </c>
      <c r="G93">
        <v>0</v>
      </c>
      <c r="H93">
        <v>0</v>
      </c>
      <c r="I93">
        <v>1</v>
      </c>
      <c r="J93">
        <v>0</v>
      </c>
      <c r="K93">
        <v>0</v>
      </c>
      <c r="L93" s="170">
        <v>8357</v>
      </c>
      <c r="M93" t="s">
        <v>663</v>
      </c>
    </row>
    <row r="94" spans="1:14" x14ac:dyDescent="0.25">
      <c r="A94" t="s">
        <v>576</v>
      </c>
      <c r="B94">
        <v>1</v>
      </c>
      <c r="C94">
        <v>0</v>
      </c>
      <c r="D94">
        <v>0</v>
      </c>
      <c r="E94">
        <v>0</v>
      </c>
      <c r="F94">
        <v>0</v>
      </c>
      <c r="G94">
        <v>0</v>
      </c>
      <c r="H94">
        <v>0</v>
      </c>
      <c r="I94">
        <v>1</v>
      </c>
      <c r="J94">
        <v>0</v>
      </c>
      <c r="K94">
        <v>0</v>
      </c>
      <c r="L94" s="170">
        <v>8907</v>
      </c>
      <c r="M94" t="s">
        <v>664</v>
      </c>
    </row>
    <row r="95" spans="1:14" x14ac:dyDescent="0.25">
      <c r="A95" t="s">
        <v>530</v>
      </c>
      <c r="B95">
        <v>0</v>
      </c>
      <c r="C95">
        <v>0</v>
      </c>
      <c r="D95">
        <v>1</v>
      </c>
      <c r="E95">
        <v>0</v>
      </c>
      <c r="F95">
        <v>0</v>
      </c>
      <c r="G95">
        <v>0</v>
      </c>
      <c r="H95">
        <v>0</v>
      </c>
      <c r="I95">
        <v>0</v>
      </c>
      <c r="J95">
        <v>0</v>
      </c>
      <c r="K95">
        <v>1</v>
      </c>
      <c r="L95" s="170">
        <v>1689</v>
      </c>
      <c r="M95" t="s">
        <v>665</v>
      </c>
    </row>
    <row r="96" spans="1:14" x14ac:dyDescent="0.25">
      <c r="A96" t="s">
        <v>566</v>
      </c>
      <c r="B96">
        <v>0</v>
      </c>
      <c r="C96">
        <v>0</v>
      </c>
      <c r="D96">
        <v>1</v>
      </c>
      <c r="E96">
        <v>0</v>
      </c>
      <c r="F96">
        <v>0</v>
      </c>
      <c r="G96">
        <v>0</v>
      </c>
      <c r="H96">
        <v>0</v>
      </c>
      <c r="I96">
        <v>1</v>
      </c>
      <c r="J96">
        <v>0</v>
      </c>
      <c r="K96">
        <v>0</v>
      </c>
      <c r="L96" s="169">
        <v>2382.12</v>
      </c>
      <c r="M96" t="s">
        <v>728</v>
      </c>
      <c r="N96" s="168"/>
    </row>
    <row r="97" spans="1:14" x14ac:dyDescent="0.25">
      <c r="A97" t="s">
        <v>593</v>
      </c>
      <c r="B97">
        <v>0</v>
      </c>
      <c r="C97">
        <v>0</v>
      </c>
      <c r="D97">
        <v>0</v>
      </c>
      <c r="E97">
        <v>0</v>
      </c>
      <c r="F97">
        <v>0</v>
      </c>
      <c r="G97">
        <v>0</v>
      </c>
      <c r="H97">
        <v>1</v>
      </c>
      <c r="I97">
        <v>0</v>
      </c>
      <c r="J97">
        <v>1</v>
      </c>
      <c r="K97">
        <v>0</v>
      </c>
      <c r="L97" s="169">
        <v>298.32</v>
      </c>
      <c r="M97" t="s">
        <v>729</v>
      </c>
      <c r="N97" s="168"/>
    </row>
    <row r="98" spans="1:14" x14ac:dyDescent="0.25">
      <c r="A98" t="s">
        <v>552</v>
      </c>
      <c r="B98">
        <v>0</v>
      </c>
      <c r="C98">
        <v>0</v>
      </c>
      <c r="D98">
        <v>1</v>
      </c>
      <c r="E98">
        <v>0</v>
      </c>
      <c r="F98">
        <v>0</v>
      </c>
      <c r="G98">
        <v>0</v>
      </c>
      <c r="H98">
        <v>0</v>
      </c>
      <c r="I98">
        <v>0</v>
      </c>
      <c r="J98">
        <v>0</v>
      </c>
      <c r="K98">
        <v>1</v>
      </c>
      <c r="L98" s="170">
        <v>3517</v>
      </c>
      <c r="M98" t="s">
        <v>666</v>
      </c>
    </row>
    <row r="99" spans="1:14" x14ac:dyDescent="0.25">
      <c r="A99" t="s">
        <v>594</v>
      </c>
      <c r="B99">
        <v>0</v>
      </c>
      <c r="C99">
        <v>1</v>
      </c>
      <c r="D99">
        <v>0</v>
      </c>
      <c r="E99">
        <v>0</v>
      </c>
      <c r="F99">
        <v>0</v>
      </c>
      <c r="G99">
        <v>0</v>
      </c>
      <c r="H99">
        <v>0</v>
      </c>
      <c r="I99">
        <v>1</v>
      </c>
      <c r="J99">
        <v>0</v>
      </c>
      <c r="K99">
        <v>0</v>
      </c>
      <c r="L99" s="170">
        <v>22413</v>
      </c>
      <c r="M99" t="s">
        <v>667</v>
      </c>
    </row>
    <row r="100" spans="1:14" x14ac:dyDescent="0.25">
      <c r="A100" t="s">
        <v>563</v>
      </c>
      <c r="B100">
        <v>1</v>
      </c>
      <c r="C100">
        <v>0</v>
      </c>
      <c r="D100">
        <v>0</v>
      </c>
      <c r="E100">
        <v>0</v>
      </c>
      <c r="F100">
        <v>0</v>
      </c>
      <c r="G100">
        <v>0</v>
      </c>
      <c r="H100">
        <v>0</v>
      </c>
      <c r="I100">
        <v>1</v>
      </c>
      <c r="J100">
        <v>0</v>
      </c>
      <c r="K100">
        <v>0</v>
      </c>
      <c r="L100" s="170">
        <v>5649</v>
      </c>
      <c r="M100" t="s">
        <v>668</v>
      </c>
    </row>
    <row r="101" spans="1:14" x14ac:dyDescent="0.25">
      <c r="A101" t="s">
        <v>24</v>
      </c>
      <c r="B101">
        <v>1</v>
      </c>
      <c r="C101">
        <v>0</v>
      </c>
      <c r="D101">
        <v>0</v>
      </c>
      <c r="E101">
        <v>0</v>
      </c>
      <c r="F101">
        <v>0</v>
      </c>
      <c r="G101">
        <v>0</v>
      </c>
      <c r="H101">
        <v>0</v>
      </c>
      <c r="I101">
        <v>1</v>
      </c>
      <c r="J101">
        <v>0</v>
      </c>
      <c r="K101">
        <v>0</v>
      </c>
      <c r="L101" s="170">
        <v>8394</v>
      </c>
      <c r="M101" t="s">
        <v>669</v>
      </c>
    </row>
    <row r="102" spans="1:14" x14ac:dyDescent="0.25">
      <c r="A102" t="s">
        <v>25</v>
      </c>
      <c r="B102">
        <v>0</v>
      </c>
      <c r="C102">
        <v>0</v>
      </c>
      <c r="D102">
        <v>0</v>
      </c>
      <c r="E102">
        <v>0</v>
      </c>
      <c r="F102">
        <v>0</v>
      </c>
      <c r="G102">
        <v>0</v>
      </c>
      <c r="H102">
        <v>1</v>
      </c>
      <c r="I102">
        <v>0</v>
      </c>
      <c r="J102">
        <v>0</v>
      </c>
      <c r="K102">
        <v>1</v>
      </c>
      <c r="L102" s="170">
        <v>5615</v>
      </c>
      <c r="M102" t="s">
        <v>670</v>
      </c>
    </row>
    <row r="103" spans="1:14" x14ac:dyDescent="0.25">
      <c r="A103" t="s">
        <v>26</v>
      </c>
      <c r="B103">
        <v>1</v>
      </c>
      <c r="C103">
        <v>0</v>
      </c>
      <c r="D103">
        <v>0</v>
      </c>
      <c r="E103">
        <v>0</v>
      </c>
      <c r="F103">
        <v>0</v>
      </c>
      <c r="G103">
        <v>0</v>
      </c>
      <c r="H103">
        <v>0</v>
      </c>
      <c r="I103">
        <v>1</v>
      </c>
      <c r="J103">
        <v>0</v>
      </c>
      <c r="K103">
        <v>0</v>
      </c>
      <c r="L103" s="170">
        <v>16799</v>
      </c>
      <c r="M103" t="s">
        <v>671</v>
      </c>
    </row>
    <row r="104" spans="1:14" x14ac:dyDescent="0.25">
      <c r="A104" t="s">
        <v>27</v>
      </c>
      <c r="B104">
        <v>0</v>
      </c>
      <c r="C104">
        <v>0</v>
      </c>
      <c r="D104">
        <v>0</v>
      </c>
      <c r="E104">
        <v>0</v>
      </c>
      <c r="F104">
        <v>0</v>
      </c>
      <c r="G104">
        <v>1</v>
      </c>
      <c r="H104">
        <v>0</v>
      </c>
      <c r="I104">
        <v>0</v>
      </c>
      <c r="J104">
        <v>0</v>
      </c>
      <c r="K104">
        <v>1</v>
      </c>
      <c r="L104" s="170">
        <v>361</v>
      </c>
      <c r="M104" t="s">
        <v>672</v>
      </c>
    </row>
    <row r="105" spans="1:14" x14ac:dyDescent="0.25">
      <c r="A105" t="s">
        <v>528</v>
      </c>
      <c r="B105">
        <v>0</v>
      </c>
      <c r="C105">
        <v>0</v>
      </c>
      <c r="D105">
        <v>0</v>
      </c>
      <c r="E105">
        <v>0</v>
      </c>
      <c r="F105">
        <v>0</v>
      </c>
      <c r="G105">
        <v>0</v>
      </c>
      <c r="H105">
        <v>1</v>
      </c>
      <c r="I105">
        <v>0</v>
      </c>
      <c r="J105">
        <v>0</v>
      </c>
      <c r="K105">
        <v>1</v>
      </c>
      <c r="L105" s="169">
        <v>529.79999999999995</v>
      </c>
      <c r="M105" t="s">
        <v>729</v>
      </c>
      <c r="N105" s="168"/>
    </row>
    <row r="106" spans="1:14" x14ac:dyDescent="0.25">
      <c r="A106" t="s">
        <v>534</v>
      </c>
      <c r="B106">
        <v>1</v>
      </c>
      <c r="C106">
        <v>0</v>
      </c>
      <c r="D106">
        <v>0</v>
      </c>
      <c r="E106">
        <v>0</v>
      </c>
      <c r="F106">
        <v>0</v>
      </c>
      <c r="G106">
        <v>0</v>
      </c>
      <c r="H106">
        <v>0</v>
      </c>
      <c r="I106">
        <v>1</v>
      </c>
      <c r="J106">
        <v>0</v>
      </c>
      <c r="K106">
        <v>0</v>
      </c>
      <c r="L106" s="170">
        <v>25596</v>
      </c>
      <c r="M106" t="s">
        <v>673</v>
      </c>
    </row>
    <row r="107" spans="1:14" x14ac:dyDescent="0.25">
      <c r="A107" t="s">
        <v>595</v>
      </c>
      <c r="B107">
        <v>1</v>
      </c>
      <c r="C107">
        <v>0</v>
      </c>
      <c r="D107">
        <v>0</v>
      </c>
      <c r="E107">
        <v>0</v>
      </c>
      <c r="F107">
        <v>0</v>
      </c>
      <c r="G107">
        <v>0</v>
      </c>
      <c r="H107">
        <v>0</v>
      </c>
      <c r="I107">
        <v>1</v>
      </c>
      <c r="J107">
        <v>0</v>
      </c>
      <c r="K107">
        <v>0</v>
      </c>
      <c r="L107" s="170">
        <v>38340</v>
      </c>
      <c r="M107" t="s">
        <v>687</v>
      </c>
    </row>
    <row r="108" spans="1:14" x14ac:dyDescent="0.25">
      <c r="A108" t="s">
        <v>548</v>
      </c>
      <c r="B108">
        <v>0</v>
      </c>
      <c r="C108">
        <v>1</v>
      </c>
      <c r="D108">
        <v>0</v>
      </c>
      <c r="E108">
        <v>0</v>
      </c>
      <c r="F108">
        <v>0</v>
      </c>
      <c r="G108">
        <v>0</v>
      </c>
      <c r="H108">
        <v>0</v>
      </c>
      <c r="I108">
        <v>1</v>
      </c>
      <c r="J108">
        <v>0</v>
      </c>
      <c r="K108">
        <v>0</v>
      </c>
      <c r="L108" s="170">
        <v>9199</v>
      </c>
      <c r="M108" t="s">
        <v>674</v>
      </c>
    </row>
    <row r="109" spans="1:14" x14ac:dyDescent="0.25">
      <c r="A109" t="s">
        <v>532</v>
      </c>
      <c r="B109">
        <v>0</v>
      </c>
      <c r="C109">
        <v>0</v>
      </c>
      <c r="D109">
        <v>1</v>
      </c>
      <c r="E109">
        <v>0</v>
      </c>
      <c r="F109">
        <v>0</v>
      </c>
      <c r="G109">
        <v>0</v>
      </c>
      <c r="H109">
        <v>0</v>
      </c>
      <c r="I109">
        <v>0</v>
      </c>
      <c r="J109">
        <v>0</v>
      </c>
      <c r="K109">
        <v>1</v>
      </c>
      <c r="L109" s="169">
        <v>201.60000000000002</v>
      </c>
      <c r="M109" t="s">
        <v>730</v>
      </c>
      <c r="N109" s="168"/>
    </row>
    <row r="110" spans="1:14" x14ac:dyDescent="0.25">
      <c r="A110" t="s">
        <v>493</v>
      </c>
      <c r="B110">
        <v>0</v>
      </c>
      <c r="C110">
        <v>0</v>
      </c>
      <c r="D110">
        <v>0</v>
      </c>
      <c r="E110">
        <v>0</v>
      </c>
      <c r="F110">
        <v>0</v>
      </c>
      <c r="G110">
        <v>0</v>
      </c>
      <c r="H110">
        <v>1</v>
      </c>
      <c r="I110">
        <v>0</v>
      </c>
      <c r="J110">
        <v>1</v>
      </c>
      <c r="K110">
        <v>0</v>
      </c>
      <c r="L110" s="169">
        <v>204</v>
      </c>
      <c r="M110" t="s">
        <v>731</v>
      </c>
      <c r="N110" s="168"/>
    </row>
    <row r="111" spans="1:14" x14ac:dyDescent="0.25">
      <c r="A111" t="s">
        <v>28</v>
      </c>
      <c r="B111">
        <v>0</v>
      </c>
      <c r="C111">
        <v>1</v>
      </c>
      <c r="D111">
        <v>0</v>
      </c>
      <c r="E111">
        <v>0</v>
      </c>
      <c r="F111">
        <v>0</v>
      </c>
      <c r="G111">
        <v>0</v>
      </c>
      <c r="H111">
        <v>0</v>
      </c>
      <c r="I111">
        <v>0</v>
      </c>
      <c r="J111">
        <v>0</v>
      </c>
      <c r="K111">
        <v>1</v>
      </c>
      <c r="L111" s="170">
        <v>1343</v>
      </c>
      <c r="M111" t="s">
        <v>675</v>
      </c>
    </row>
    <row r="112" spans="1:14" x14ac:dyDescent="0.25">
      <c r="A112" t="s">
        <v>605</v>
      </c>
      <c r="B112">
        <v>0</v>
      </c>
      <c r="C112">
        <v>1</v>
      </c>
      <c r="D112">
        <v>0</v>
      </c>
      <c r="E112">
        <v>0</v>
      </c>
      <c r="F112">
        <v>0</v>
      </c>
      <c r="G112">
        <v>0</v>
      </c>
      <c r="H112">
        <v>0</v>
      </c>
      <c r="I112">
        <v>0</v>
      </c>
      <c r="J112">
        <v>0</v>
      </c>
      <c r="K112">
        <v>1</v>
      </c>
      <c r="L112" s="169">
        <v>144</v>
      </c>
      <c r="M112" t="s">
        <v>732</v>
      </c>
      <c r="N112" s="168"/>
    </row>
    <row r="113" spans="1:14" x14ac:dyDescent="0.25">
      <c r="A113" t="s">
        <v>596</v>
      </c>
      <c r="B113">
        <v>0</v>
      </c>
      <c r="C113">
        <v>0</v>
      </c>
      <c r="D113">
        <v>0</v>
      </c>
      <c r="E113">
        <v>0</v>
      </c>
      <c r="F113">
        <v>1</v>
      </c>
      <c r="G113">
        <v>0</v>
      </c>
      <c r="H113">
        <v>0</v>
      </c>
      <c r="I113">
        <v>0</v>
      </c>
      <c r="J113">
        <v>0</v>
      </c>
      <c r="K113">
        <v>1</v>
      </c>
      <c r="L113" s="170">
        <v>1268</v>
      </c>
      <c r="M113" t="s">
        <v>676</v>
      </c>
    </row>
    <row r="114" spans="1:14" x14ac:dyDescent="0.25">
      <c r="A114" t="s">
        <v>29</v>
      </c>
      <c r="B114">
        <v>0</v>
      </c>
      <c r="C114">
        <v>0</v>
      </c>
      <c r="D114">
        <v>1</v>
      </c>
      <c r="E114">
        <v>0</v>
      </c>
      <c r="F114">
        <v>0</v>
      </c>
      <c r="G114">
        <v>0</v>
      </c>
      <c r="H114">
        <v>0</v>
      </c>
      <c r="I114">
        <v>0</v>
      </c>
      <c r="J114">
        <v>0</v>
      </c>
      <c r="K114">
        <v>1</v>
      </c>
      <c r="L114" s="170">
        <v>3292</v>
      </c>
      <c r="M114" t="s">
        <v>677</v>
      </c>
    </row>
    <row r="115" spans="1:14" x14ac:dyDescent="0.25">
      <c r="A115" t="s">
        <v>558</v>
      </c>
      <c r="B115">
        <v>0</v>
      </c>
      <c r="C115">
        <v>0</v>
      </c>
      <c r="D115">
        <v>0</v>
      </c>
      <c r="E115">
        <v>0</v>
      </c>
      <c r="F115">
        <v>0</v>
      </c>
      <c r="G115">
        <v>0</v>
      </c>
      <c r="H115">
        <v>1</v>
      </c>
      <c r="I115">
        <v>0</v>
      </c>
      <c r="J115">
        <v>1</v>
      </c>
      <c r="K115">
        <v>0</v>
      </c>
      <c r="L115" s="169">
        <v>277.92</v>
      </c>
      <c r="M115" t="s">
        <v>733</v>
      </c>
      <c r="N115" s="168"/>
    </row>
    <row r="116" spans="1:14" x14ac:dyDescent="0.25">
      <c r="A116" t="s">
        <v>575</v>
      </c>
      <c r="B116">
        <v>0</v>
      </c>
      <c r="C116">
        <v>0</v>
      </c>
      <c r="D116">
        <v>1</v>
      </c>
      <c r="E116">
        <v>0</v>
      </c>
      <c r="F116">
        <v>0</v>
      </c>
      <c r="G116">
        <v>0</v>
      </c>
      <c r="H116">
        <v>0</v>
      </c>
      <c r="I116">
        <v>0</v>
      </c>
      <c r="J116">
        <v>0</v>
      </c>
      <c r="K116">
        <v>1</v>
      </c>
      <c r="L116" s="169">
        <v>807.72</v>
      </c>
      <c r="M116" t="s">
        <v>734</v>
      </c>
      <c r="N116" s="168"/>
    </row>
    <row r="117" spans="1:14" x14ac:dyDescent="0.25">
      <c r="A117" t="s">
        <v>614</v>
      </c>
      <c r="B117">
        <v>0</v>
      </c>
      <c r="C117">
        <v>0</v>
      </c>
      <c r="D117">
        <v>0</v>
      </c>
      <c r="E117">
        <v>0</v>
      </c>
      <c r="F117">
        <v>1</v>
      </c>
      <c r="G117">
        <v>0</v>
      </c>
      <c r="H117">
        <v>0</v>
      </c>
      <c r="I117">
        <v>1</v>
      </c>
      <c r="J117">
        <v>0</v>
      </c>
      <c r="K117">
        <v>0</v>
      </c>
      <c r="L117" s="170">
        <v>42283</v>
      </c>
      <c r="M117" t="s">
        <v>688</v>
      </c>
    </row>
    <row r="118" spans="1:14" x14ac:dyDescent="0.25">
      <c r="A118" t="s">
        <v>335</v>
      </c>
      <c r="B118">
        <v>1</v>
      </c>
      <c r="C118">
        <v>0</v>
      </c>
      <c r="D118">
        <v>1</v>
      </c>
      <c r="E118">
        <v>0</v>
      </c>
      <c r="F118">
        <v>0</v>
      </c>
      <c r="G118">
        <v>0</v>
      </c>
      <c r="H118">
        <v>0</v>
      </c>
      <c r="I118">
        <v>1</v>
      </c>
      <c r="J118">
        <v>0</v>
      </c>
      <c r="K118">
        <v>0</v>
      </c>
      <c r="L118" s="170">
        <v>22168</v>
      </c>
      <c r="M118" t="s">
        <v>678</v>
      </c>
    </row>
    <row r="119" spans="1:14" x14ac:dyDescent="0.25">
      <c r="A119" t="s">
        <v>239</v>
      </c>
      <c r="B119">
        <v>1</v>
      </c>
      <c r="C119">
        <v>0</v>
      </c>
      <c r="D119">
        <v>0</v>
      </c>
      <c r="E119">
        <v>0</v>
      </c>
      <c r="F119">
        <v>0</v>
      </c>
      <c r="G119">
        <v>0</v>
      </c>
      <c r="H119">
        <v>0</v>
      </c>
      <c r="I119">
        <v>1</v>
      </c>
      <c r="J119">
        <v>0</v>
      </c>
      <c r="K119">
        <v>0</v>
      </c>
      <c r="L119" s="170">
        <v>44366</v>
      </c>
      <c r="M119" t="s">
        <v>679</v>
      </c>
    </row>
    <row r="120" spans="1:14" x14ac:dyDescent="0.25">
      <c r="A120" t="s">
        <v>589</v>
      </c>
      <c r="B120">
        <v>0</v>
      </c>
      <c r="C120">
        <v>0</v>
      </c>
      <c r="D120">
        <v>0</v>
      </c>
      <c r="E120">
        <v>1</v>
      </c>
      <c r="F120">
        <v>0</v>
      </c>
      <c r="G120">
        <v>0</v>
      </c>
      <c r="H120">
        <v>0</v>
      </c>
      <c r="I120">
        <v>1</v>
      </c>
      <c r="J120">
        <v>0</v>
      </c>
      <c r="K120">
        <v>0</v>
      </c>
      <c r="L120" s="170">
        <v>5025</v>
      </c>
      <c r="M120" t="s">
        <v>680</v>
      </c>
    </row>
    <row r="121" spans="1:14" x14ac:dyDescent="0.25">
      <c r="A121" t="s">
        <v>574</v>
      </c>
      <c r="B121">
        <v>0</v>
      </c>
      <c r="C121">
        <v>0</v>
      </c>
      <c r="D121">
        <v>0</v>
      </c>
      <c r="E121">
        <v>1</v>
      </c>
      <c r="F121">
        <v>0</v>
      </c>
      <c r="G121">
        <v>0</v>
      </c>
      <c r="H121">
        <v>0</v>
      </c>
      <c r="I121">
        <v>1</v>
      </c>
      <c r="J121">
        <v>0</v>
      </c>
      <c r="K121">
        <v>0</v>
      </c>
      <c r="L121" s="169">
        <v>988.08</v>
      </c>
      <c r="M121" t="s">
        <v>735</v>
      </c>
      <c r="N121" s="168"/>
    </row>
    <row r="122" spans="1:14" x14ac:dyDescent="0.25">
      <c r="A122" t="s">
        <v>561</v>
      </c>
      <c r="B122">
        <v>0</v>
      </c>
      <c r="C122">
        <v>1</v>
      </c>
      <c r="D122">
        <v>0</v>
      </c>
      <c r="E122">
        <v>0</v>
      </c>
      <c r="F122">
        <v>0</v>
      </c>
      <c r="G122">
        <v>0</v>
      </c>
      <c r="H122">
        <v>0</v>
      </c>
      <c r="I122">
        <v>0</v>
      </c>
      <c r="J122">
        <v>0</v>
      </c>
      <c r="K122">
        <v>1</v>
      </c>
      <c r="L122" s="170">
        <v>343</v>
      </c>
      <c r="M122" t="s">
        <v>681</v>
      </c>
    </row>
    <row r="123" spans="1:14" x14ac:dyDescent="0.25">
      <c r="A123" t="s">
        <v>30</v>
      </c>
      <c r="B123">
        <v>0</v>
      </c>
      <c r="C123">
        <v>0</v>
      </c>
      <c r="D123">
        <v>0</v>
      </c>
      <c r="E123">
        <v>0</v>
      </c>
      <c r="F123">
        <v>0</v>
      </c>
      <c r="G123">
        <v>0</v>
      </c>
      <c r="H123">
        <v>1</v>
      </c>
      <c r="I123">
        <v>0</v>
      </c>
      <c r="J123">
        <v>0</v>
      </c>
      <c r="K123">
        <v>1</v>
      </c>
      <c r="L123" s="170">
        <v>226</v>
      </c>
      <c r="M123" t="s">
        <v>692</v>
      </c>
    </row>
    <row r="124" spans="1:14" x14ac:dyDescent="0.25">
      <c r="A124" t="s">
        <v>549</v>
      </c>
      <c r="B124">
        <v>0</v>
      </c>
      <c r="C124">
        <v>0</v>
      </c>
      <c r="D124">
        <v>0</v>
      </c>
      <c r="E124">
        <v>0</v>
      </c>
      <c r="F124">
        <v>0</v>
      </c>
      <c r="G124">
        <v>0</v>
      </c>
      <c r="H124">
        <v>1</v>
      </c>
      <c r="I124">
        <v>0</v>
      </c>
      <c r="J124">
        <v>1</v>
      </c>
      <c r="K124">
        <v>0</v>
      </c>
      <c r="L124" s="169">
        <v>308.64</v>
      </c>
      <c r="M124" t="s">
        <v>736</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62" activePane="bottomLeft" state="frozen"/>
      <selection activeCell="D1" sqref="D1"/>
      <selection pane="bottomLeft" activeCell="J59" sqref="J59"/>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739</v>
      </c>
      <c r="B1" s="172" t="s">
        <v>740</v>
      </c>
      <c r="C1" s="173" t="s">
        <v>741</v>
      </c>
      <c r="D1" s="172" t="s">
        <v>298</v>
      </c>
      <c r="E1" s="172" t="s">
        <v>742</v>
      </c>
      <c r="F1" s="172" t="s">
        <v>743</v>
      </c>
      <c r="G1" s="172" t="s">
        <v>744</v>
      </c>
      <c r="H1" s="172" t="s">
        <v>3991</v>
      </c>
      <c r="I1" s="172" t="s">
        <v>1112</v>
      </c>
      <c r="J1" s="172" t="s">
        <v>1113</v>
      </c>
      <c r="K1" s="172" t="s">
        <v>1111</v>
      </c>
      <c r="L1" s="172" t="s">
        <v>745</v>
      </c>
      <c r="M1" s="172" t="s">
        <v>746</v>
      </c>
      <c r="N1" s="172" t="s">
        <v>747</v>
      </c>
      <c r="O1" s="172" t="s">
        <v>748</v>
      </c>
      <c r="P1" s="174" t="s">
        <v>749</v>
      </c>
      <c r="Q1" s="174" t="s">
        <v>750</v>
      </c>
      <c r="R1" s="174" t="s">
        <v>751</v>
      </c>
      <c r="S1" s="175" t="s">
        <v>752</v>
      </c>
    </row>
    <row r="2" spans="1:19" x14ac:dyDescent="0.25">
      <c r="A2" s="176">
        <v>1</v>
      </c>
      <c r="B2" s="176" t="s">
        <v>125</v>
      </c>
      <c r="C2" s="176" t="s">
        <v>753</v>
      </c>
      <c r="D2" s="176">
        <v>2008</v>
      </c>
      <c r="E2" s="176" t="s">
        <v>754</v>
      </c>
      <c r="F2" s="176" t="s">
        <v>755</v>
      </c>
      <c r="G2" s="176" t="s">
        <v>756</v>
      </c>
      <c r="H2" s="176" t="s">
        <v>4025</v>
      </c>
      <c r="I2" s="176" t="b">
        <v>1</v>
      </c>
      <c r="J2" s="176">
        <f t="shared" ref="J2:J33" si="0">D2-MIN($D:$D)</f>
        <v>12</v>
      </c>
      <c r="K2" s="176" cm="1">
        <f t="array" ref="K2">IFERROR(INDEX(impact_factors!$C$1:$C$3000,MATCH(TRUE,ISNUMBER(SEARCH(H2,impact_factors!$B$1:$B$3000)),0)),IF(H2="XX",0,"X"))</f>
        <v>0.186</v>
      </c>
      <c r="L2" s="176">
        <v>134</v>
      </c>
      <c r="M2" s="176" t="s">
        <v>757</v>
      </c>
      <c r="N2" s="176" t="s">
        <v>758</v>
      </c>
      <c r="O2" s="176" t="s">
        <v>759</v>
      </c>
      <c r="P2" s="176" t="s">
        <v>167</v>
      </c>
      <c r="Q2" s="176" t="s">
        <v>167</v>
      </c>
      <c r="R2" s="176" t="s">
        <v>167</v>
      </c>
      <c r="S2" s="177">
        <v>2</v>
      </c>
    </row>
    <row r="3" spans="1:19" x14ac:dyDescent="0.25">
      <c r="A3">
        <v>2</v>
      </c>
      <c r="B3" t="s">
        <v>128</v>
      </c>
      <c r="C3" t="s">
        <v>760</v>
      </c>
      <c r="D3">
        <v>2013</v>
      </c>
      <c r="E3" t="s">
        <v>761</v>
      </c>
      <c r="F3" t="s">
        <v>762</v>
      </c>
      <c r="G3" t="s">
        <v>763</v>
      </c>
      <c r="H3" t="s">
        <v>3993</v>
      </c>
      <c r="I3" t="b">
        <v>1</v>
      </c>
      <c r="J3">
        <f t="shared" si="0"/>
        <v>17</v>
      </c>
      <c r="K3" cm="1">
        <f t="array" ref="K3">IFERROR(INDEX(impact_factors!$C$1:$C$3000,MATCH(TRUE,ISNUMBER(SEARCH(H3,impact_factors!$B$1:$B$3000)),0)),IF(H3="XX",0,"X"))</f>
        <v>0.03</v>
      </c>
      <c r="L3">
        <v>16</v>
      </c>
      <c r="M3" t="s">
        <v>764</v>
      </c>
      <c r="N3" t="s">
        <v>765</v>
      </c>
      <c r="O3" t="s">
        <v>766</v>
      </c>
      <c r="P3" t="s">
        <v>167</v>
      </c>
      <c r="Q3" t="s">
        <v>167</v>
      </c>
      <c r="R3" t="s">
        <v>167</v>
      </c>
      <c r="S3" s="25">
        <v>1</v>
      </c>
    </row>
    <row r="4" spans="1:19" x14ac:dyDescent="0.25">
      <c r="A4">
        <v>3</v>
      </c>
      <c r="B4" t="s">
        <v>130</v>
      </c>
      <c r="C4" t="s">
        <v>767</v>
      </c>
      <c r="D4">
        <v>2006</v>
      </c>
      <c r="E4" t="s">
        <v>768</v>
      </c>
      <c r="F4" t="s">
        <v>769</v>
      </c>
      <c r="G4" t="s">
        <v>770</v>
      </c>
      <c r="H4" t="s">
        <v>3994</v>
      </c>
      <c r="I4" t="b">
        <v>1</v>
      </c>
      <c r="J4">
        <f t="shared" si="0"/>
        <v>10</v>
      </c>
      <c r="K4" cm="1">
        <f t="array" ref="K4">IFERROR(INDEX(impact_factors!$C$1:$C$3000,MATCH(TRUE,ISNUMBER(SEARCH(H4,impact_factors!$B$1:$B$3000)),0)),IF(H4="XX",0,"X"))</f>
        <v>3.5000000000000003E-2</v>
      </c>
      <c r="L4">
        <v>33</v>
      </c>
      <c r="M4" t="s">
        <v>771</v>
      </c>
      <c r="N4" t="s">
        <v>772</v>
      </c>
      <c r="O4" s="178" t="s">
        <v>773</v>
      </c>
      <c r="P4" t="s">
        <v>167</v>
      </c>
      <c r="Q4" t="s">
        <v>167</v>
      </c>
      <c r="R4" t="s">
        <v>167</v>
      </c>
      <c r="S4" s="25">
        <v>2</v>
      </c>
    </row>
    <row r="5" spans="1:19" x14ac:dyDescent="0.25">
      <c r="A5">
        <v>4</v>
      </c>
      <c r="B5" t="s">
        <v>131</v>
      </c>
      <c r="C5" t="s">
        <v>774</v>
      </c>
      <c r="D5">
        <v>2010</v>
      </c>
      <c r="E5" t="s">
        <v>775</v>
      </c>
      <c r="F5" t="s">
        <v>776</v>
      </c>
      <c r="G5" t="s">
        <v>777</v>
      </c>
      <c r="H5" t="s">
        <v>3995</v>
      </c>
      <c r="I5" t="b">
        <v>1</v>
      </c>
      <c r="J5">
        <f t="shared" si="0"/>
        <v>14</v>
      </c>
      <c r="K5" cm="1">
        <f t="array" ref="K5">IFERROR(INDEX(impact_factors!$C$1:$C$3000,MATCH(TRUE,ISNUMBER(SEARCH(H5,impact_factors!$B$1:$B$3000)),0)),IF(H5="XX",0,"X"))</f>
        <v>1.2E-2</v>
      </c>
      <c r="L5">
        <v>36</v>
      </c>
      <c r="M5" t="s">
        <v>778</v>
      </c>
      <c r="N5" t="s">
        <v>779</v>
      </c>
      <c r="O5" t="s">
        <v>780</v>
      </c>
      <c r="P5" t="s">
        <v>167</v>
      </c>
      <c r="Q5" t="s">
        <v>167</v>
      </c>
      <c r="R5" t="s">
        <v>167</v>
      </c>
      <c r="S5" s="25">
        <v>3</v>
      </c>
    </row>
    <row r="6" spans="1:19" x14ac:dyDescent="0.25">
      <c r="A6">
        <v>5</v>
      </c>
      <c r="B6" t="s">
        <v>134</v>
      </c>
      <c r="C6" t="s">
        <v>781</v>
      </c>
      <c r="D6">
        <v>2020</v>
      </c>
      <c r="E6" t="s">
        <v>782</v>
      </c>
      <c r="F6" t="s">
        <v>783</v>
      </c>
      <c r="G6" t="s">
        <v>784</v>
      </c>
      <c r="H6" t="s">
        <v>3996</v>
      </c>
      <c r="I6" t="b">
        <v>1</v>
      </c>
      <c r="J6">
        <f t="shared" si="0"/>
        <v>24</v>
      </c>
      <c r="K6" cm="1">
        <f t="array" ref="K6">IFERROR(INDEX(impact_factors!$C$1:$C$3000,MATCH(TRUE,ISNUMBER(SEARCH(H6,impact_factors!$B$1:$B$3000)),0)),IF(H6="XX",0,"X"))</f>
        <v>9.7000000000000003E-2</v>
      </c>
      <c r="L6">
        <v>2</v>
      </c>
      <c r="M6" t="s">
        <v>785</v>
      </c>
      <c r="N6" t="s">
        <v>786</v>
      </c>
      <c r="O6" t="s">
        <v>787</v>
      </c>
      <c r="P6" t="s">
        <v>167</v>
      </c>
      <c r="Q6" t="s">
        <v>167</v>
      </c>
      <c r="R6" t="s">
        <v>167</v>
      </c>
      <c r="S6" s="25">
        <v>3</v>
      </c>
    </row>
    <row r="7" spans="1:19" x14ac:dyDescent="0.25">
      <c r="A7">
        <v>6</v>
      </c>
      <c r="B7" t="s">
        <v>135</v>
      </c>
      <c r="C7" t="s">
        <v>788</v>
      </c>
      <c r="D7">
        <v>2004</v>
      </c>
      <c r="E7" t="s">
        <v>789</v>
      </c>
      <c r="F7" t="s">
        <v>790</v>
      </c>
      <c r="G7" t="s">
        <v>791</v>
      </c>
      <c r="H7" t="s">
        <v>4018</v>
      </c>
      <c r="I7" t="b">
        <v>1</v>
      </c>
      <c r="J7">
        <f t="shared" si="0"/>
        <v>8</v>
      </c>
      <c r="K7" cm="1">
        <f t="array" ref="K7">IFERROR(INDEX(impact_factors!$C$1:$C$3000,MATCH(TRUE,ISNUMBER(SEARCH(H7,impact_factors!$B$1:$B$3000)),0)),IF(H7="XX",0,"X"))</f>
        <v>0</v>
      </c>
      <c r="L7">
        <v>65</v>
      </c>
      <c r="M7" t="s">
        <v>792</v>
      </c>
      <c r="N7" t="s">
        <v>793</v>
      </c>
      <c r="O7" t="s">
        <v>794</v>
      </c>
      <c r="P7" t="s">
        <v>167</v>
      </c>
      <c r="Q7" t="s">
        <v>167</v>
      </c>
      <c r="R7" t="s">
        <v>167</v>
      </c>
      <c r="S7" s="25">
        <v>4</v>
      </c>
    </row>
    <row r="8" spans="1:19" x14ac:dyDescent="0.25">
      <c r="A8">
        <v>7</v>
      </c>
      <c r="B8" t="s">
        <v>137</v>
      </c>
      <c r="C8" t="s">
        <v>795</v>
      </c>
      <c r="D8">
        <v>2004</v>
      </c>
      <c r="E8" t="s">
        <v>796</v>
      </c>
      <c r="F8" t="s">
        <v>797</v>
      </c>
      <c r="G8" t="s">
        <v>798</v>
      </c>
      <c r="H8" t="s">
        <v>4018</v>
      </c>
      <c r="I8" t="b">
        <v>0</v>
      </c>
      <c r="J8">
        <f t="shared" si="0"/>
        <v>8</v>
      </c>
      <c r="K8" cm="1">
        <f t="array" ref="K8">IFERROR(INDEX(impact_factors!$C$1:$C$3000,MATCH(TRUE,ISNUMBER(SEARCH(H8,impact_factors!$B$1:$B$3000)),0)),IF(H8="XX",0,"X"))</f>
        <v>0</v>
      </c>
      <c r="L8">
        <v>0</v>
      </c>
      <c r="M8" t="s">
        <v>799</v>
      </c>
      <c r="N8" t="s">
        <v>800</v>
      </c>
      <c r="O8" t="s">
        <v>800</v>
      </c>
      <c r="P8" t="s">
        <v>167</v>
      </c>
      <c r="Q8" t="s">
        <v>167</v>
      </c>
      <c r="R8" t="s">
        <v>167</v>
      </c>
      <c r="S8" s="25">
        <v>3</v>
      </c>
    </row>
    <row r="9" spans="1:19" x14ac:dyDescent="0.25">
      <c r="A9">
        <v>8</v>
      </c>
      <c r="B9" t="s">
        <v>17</v>
      </c>
      <c r="C9" t="s">
        <v>801</v>
      </c>
      <c r="D9">
        <v>2013</v>
      </c>
      <c r="E9" t="s">
        <v>802</v>
      </c>
      <c r="F9" t="s">
        <v>803</v>
      </c>
      <c r="G9" t="s">
        <v>804</v>
      </c>
      <c r="H9" t="s">
        <v>3997</v>
      </c>
      <c r="I9" t="b">
        <v>1</v>
      </c>
      <c r="J9">
        <f t="shared" si="0"/>
        <v>17</v>
      </c>
      <c r="K9" cm="1">
        <f t="array" ref="K9">IFERROR(INDEX(impact_factors!$C$1:$C$3000,MATCH(TRUE,ISNUMBER(SEARCH(H9,impact_factors!$B$1:$B$3000)),0)),IF(H9="XX",0,"X"))</f>
        <v>2.5000000000000001E-2</v>
      </c>
      <c r="L9">
        <v>44</v>
      </c>
      <c r="M9" t="s">
        <v>805</v>
      </c>
      <c r="N9" t="s">
        <v>806</v>
      </c>
      <c r="O9" t="s">
        <v>780</v>
      </c>
      <c r="P9" t="s">
        <v>167</v>
      </c>
      <c r="Q9" t="s">
        <v>167</v>
      </c>
      <c r="R9" t="s">
        <v>167</v>
      </c>
      <c r="S9" s="25">
        <v>3</v>
      </c>
    </row>
    <row r="10" spans="1:19" x14ac:dyDescent="0.25">
      <c r="A10">
        <v>9</v>
      </c>
      <c r="B10" t="s">
        <v>4</v>
      </c>
      <c r="C10" t="s">
        <v>807</v>
      </c>
      <c r="D10">
        <v>2006</v>
      </c>
      <c r="E10" t="s">
        <v>808</v>
      </c>
      <c r="F10" t="s">
        <v>809</v>
      </c>
      <c r="G10" t="s">
        <v>810</v>
      </c>
      <c r="H10" t="s">
        <v>3998</v>
      </c>
      <c r="I10" t="b">
        <v>1</v>
      </c>
      <c r="J10">
        <f t="shared" si="0"/>
        <v>10</v>
      </c>
      <c r="K10" cm="1">
        <f t="array" ref="K10">IFERROR(INDEX(impact_factors!$C$1:$C$3000,MATCH(TRUE,ISNUMBER(SEARCH(H10,impact_factors!$B$1:$B$3000)),0)),IF(H10="XX",0,"X"))</f>
        <v>0.14599999999999999</v>
      </c>
      <c r="L10">
        <v>187</v>
      </c>
      <c r="M10" t="s">
        <v>811</v>
      </c>
      <c r="N10" t="s">
        <v>812</v>
      </c>
      <c r="O10" t="s">
        <v>813</v>
      </c>
      <c r="P10" t="s">
        <v>167</v>
      </c>
      <c r="Q10" t="s">
        <v>167</v>
      </c>
      <c r="R10" t="s">
        <v>167</v>
      </c>
      <c r="S10" s="25">
        <v>4</v>
      </c>
    </row>
    <row r="11" spans="1:19" x14ac:dyDescent="0.25">
      <c r="A11">
        <v>10</v>
      </c>
      <c r="B11" t="s">
        <v>22</v>
      </c>
      <c r="C11" t="s">
        <v>814</v>
      </c>
      <c r="D11">
        <v>1998</v>
      </c>
      <c r="E11" t="s">
        <v>815</v>
      </c>
      <c r="F11" t="s">
        <v>816</v>
      </c>
      <c r="G11" t="s">
        <v>817</v>
      </c>
      <c r="H11" t="s">
        <v>4018</v>
      </c>
      <c r="I11" t="b">
        <v>0</v>
      </c>
      <c r="J11">
        <f t="shared" si="0"/>
        <v>2</v>
      </c>
      <c r="K11" cm="1">
        <f t="array" ref="K11">IFERROR(INDEX(impact_factors!$C$1:$C$3000,MATCH(TRUE,ISNUMBER(SEARCH(H11,impact_factors!$B$1:$B$3000)),0)),IF(H11="XX",0,"X"))</f>
        <v>0</v>
      </c>
      <c r="L11">
        <v>110</v>
      </c>
      <c r="M11" t="s">
        <v>818</v>
      </c>
      <c r="N11" t="s">
        <v>819</v>
      </c>
      <c r="O11" t="s">
        <v>820</v>
      </c>
      <c r="P11" t="s">
        <v>167</v>
      </c>
      <c r="Q11" t="s">
        <v>167</v>
      </c>
      <c r="R11" t="s">
        <v>167</v>
      </c>
      <c r="S11" s="25">
        <v>2</v>
      </c>
    </row>
    <row r="12" spans="1:19" x14ac:dyDescent="0.25">
      <c r="A12">
        <v>11</v>
      </c>
      <c r="B12" t="s">
        <v>144</v>
      </c>
      <c r="C12" t="s">
        <v>821</v>
      </c>
      <c r="D12">
        <v>2019</v>
      </c>
      <c r="E12" t="s">
        <v>822</v>
      </c>
      <c r="F12" t="s">
        <v>823</v>
      </c>
      <c r="G12" t="s">
        <v>824</v>
      </c>
      <c r="H12" t="s">
        <v>3999</v>
      </c>
      <c r="I12" t="b">
        <v>1</v>
      </c>
      <c r="J12">
        <f t="shared" si="0"/>
        <v>23</v>
      </c>
      <c r="K12" cm="1">
        <f t="array" ref="K12">IFERROR(INDEX(impact_factors!$C$1:$C$3000,MATCH(TRUE,ISNUMBER(SEARCH(H12,impact_factors!$B$1:$B$3000)),0)),IF(H12="XX",0,"X"))</f>
        <v>5.0000000000000001E-3</v>
      </c>
      <c r="L12">
        <v>12</v>
      </c>
      <c r="M12" t="s">
        <v>825</v>
      </c>
      <c r="N12" t="s">
        <v>826</v>
      </c>
      <c r="O12" t="s">
        <v>827</v>
      </c>
      <c r="P12" t="s">
        <v>167</v>
      </c>
      <c r="Q12" t="s">
        <v>167</v>
      </c>
      <c r="R12" t="s">
        <v>167</v>
      </c>
      <c r="S12" s="25">
        <v>2</v>
      </c>
    </row>
    <row r="13" spans="1:19" x14ac:dyDescent="0.25">
      <c r="A13">
        <v>12</v>
      </c>
      <c r="B13" t="s">
        <v>145</v>
      </c>
      <c r="C13" t="s">
        <v>828</v>
      </c>
      <c r="D13">
        <v>2015</v>
      </c>
      <c r="E13" t="s">
        <v>829</v>
      </c>
      <c r="F13" t="s">
        <v>830</v>
      </c>
      <c r="G13" t="s">
        <v>831</v>
      </c>
      <c r="H13" t="s">
        <v>4019</v>
      </c>
      <c r="I13" t="b">
        <v>1</v>
      </c>
      <c r="J13">
        <f t="shared" si="0"/>
        <v>19</v>
      </c>
      <c r="K13" cm="1">
        <f t="array" ref="K13">IFERROR(INDEX(impact_factors!$C$1:$C$3000,MATCH(TRUE,ISNUMBER(SEARCH(H13,impact_factors!$B$1:$B$3000)),0)),IF(H13="XX",0,"X"))</f>
        <v>1.7999999999999999E-2</v>
      </c>
      <c r="L13">
        <v>23</v>
      </c>
      <c r="M13" t="s">
        <v>832</v>
      </c>
      <c r="N13" t="s">
        <v>833</v>
      </c>
      <c r="O13" t="s">
        <v>834</v>
      </c>
      <c r="P13" t="s">
        <v>167</v>
      </c>
      <c r="Q13" t="s">
        <v>167</v>
      </c>
      <c r="R13" t="s">
        <v>167</v>
      </c>
      <c r="S13" s="25">
        <v>2</v>
      </c>
    </row>
    <row r="14" spans="1:19" x14ac:dyDescent="0.25">
      <c r="A14">
        <v>13</v>
      </c>
      <c r="B14" t="s">
        <v>146</v>
      </c>
      <c r="C14" t="s">
        <v>835</v>
      </c>
      <c r="D14">
        <v>2014</v>
      </c>
      <c r="E14" t="s">
        <v>836</v>
      </c>
      <c r="F14" t="s">
        <v>837</v>
      </c>
      <c r="G14" t="s">
        <v>838</v>
      </c>
      <c r="H14" t="s">
        <v>4020</v>
      </c>
      <c r="I14" t="b">
        <v>1</v>
      </c>
      <c r="J14">
        <f t="shared" si="0"/>
        <v>18</v>
      </c>
      <c r="K14" t="str" cm="1">
        <f t="array" ref="K14">IFERROR(INDEX(impact_factors!$C$1:$C$3000,MATCH(TRUE,ISNUMBER(SEARCH(H14,impact_factors!$B$1:$B$3000)),0)),IF(H14="XX",0,"X"))</f>
        <v>X</v>
      </c>
      <c r="L14">
        <v>3</v>
      </c>
      <c r="M14" t="s">
        <v>839</v>
      </c>
      <c r="N14" t="s">
        <v>840</v>
      </c>
      <c r="O14" t="s">
        <v>840</v>
      </c>
      <c r="P14" t="s">
        <v>167</v>
      </c>
      <c r="Q14" t="s">
        <v>167</v>
      </c>
      <c r="R14" t="s">
        <v>167</v>
      </c>
      <c r="S14" s="25">
        <v>3</v>
      </c>
    </row>
    <row r="15" spans="1:19" x14ac:dyDescent="0.25">
      <c r="A15">
        <v>14</v>
      </c>
      <c r="B15" t="s">
        <v>147</v>
      </c>
      <c r="C15" t="s">
        <v>841</v>
      </c>
      <c r="D15">
        <v>2014</v>
      </c>
      <c r="E15" t="s">
        <v>842</v>
      </c>
      <c r="F15" t="s">
        <v>843</v>
      </c>
      <c r="G15" t="s">
        <v>844</v>
      </c>
      <c r="H15" t="s">
        <v>4000</v>
      </c>
      <c r="I15" t="b">
        <v>0</v>
      </c>
      <c r="J15">
        <f t="shared" si="0"/>
        <v>18</v>
      </c>
      <c r="K15" t="str" cm="1">
        <f t="array" ref="K15">IFERROR(INDEX(impact_factors!$C$1:$C$3000,MATCH(TRUE,ISNUMBER(SEARCH(H15,impact_factors!$B$1:$B$3000)),0)),IF(H15="XX",0,"X"))</f>
        <v>X</v>
      </c>
      <c r="L15">
        <v>5</v>
      </c>
      <c r="M15" t="s">
        <v>845</v>
      </c>
      <c r="N15" t="s">
        <v>780</v>
      </c>
      <c r="O15" t="s">
        <v>780</v>
      </c>
      <c r="P15" t="s">
        <v>167</v>
      </c>
      <c r="Q15" t="s">
        <v>167</v>
      </c>
      <c r="R15" t="s">
        <v>167</v>
      </c>
      <c r="S15" s="25">
        <v>4</v>
      </c>
    </row>
    <row r="16" spans="1:19" x14ac:dyDescent="0.25">
      <c r="A16">
        <v>15</v>
      </c>
      <c r="B16" t="s">
        <v>172</v>
      </c>
      <c r="C16" t="s">
        <v>847</v>
      </c>
      <c r="D16">
        <v>2012</v>
      </c>
      <c r="E16" t="s">
        <v>848</v>
      </c>
      <c r="F16" t="s">
        <v>849</v>
      </c>
      <c r="G16" t="s">
        <v>850</v>
      </c>
      <c r="H16" t="s">
        <v>4018</v>
      </c>
      <c r="I16" t="b">
        <v>0</v>
      </c>
      <c r="J16">
        <f t="shared" si="0"/>
        <v>16</v>
      </c>
      <c r="K16" cm="1">
        <f t="array" ref="K16">IFERROR(INDEX(impact_factors!$C$1:$C$3000,MATCH(TRUE,ISNUMBER(SEARCH(H16,impact_factors!$B$1:$B$3000)),0)),IF(H16="XX",0,"X"))</f>
        <v>0</v>
      </c>
      <c r="L16">
        <v>106</v>
      </c>
      <c r="M16" t="s">
        <v>851</v>
      </c>
      <c r="N16" t="s">
        <v>852</v>
      </c>
      <c r="O16" t="s">
        <v>853</v>
      </c>
      <c r="P16" t="s">
        <v>167</v>
      </c>
      <c r="Q16" t="s">
        <v>167</v>
      </c>
      <c r="R16" t="s">
        <v>167</v>
      </c>
      <c r="S16" s="25">
        <v>3</v>
      </c>
    </row>
    <row r="17" spans="1:19" x14ac:dyDescent="0.25">
      <c r="A17">
        <v>16</v>
      </c>
      <c r="B17" t="s">
        <v>198</v>
      </c>
      <c r="C17" t="s">
        <v>854</v>
      </c>
      <c r="D17">
        <v>2008</v>
      </c>
      <c r="E17" t="s">
        <v>855</v>
      </c>
      <c r="F17" t="s">
        <v>856</v>
      </c>
      <c r="G17" t="s">
        <v>857</v>
      </c>
      <c r="H17" t="s">
        <v>4018</v>
      </c>
      <c r="I17" t="b">
        <v>0</v>
      </c>
      <c r="J17">
        <f t="shared" si="0"/>
        <v>12</v>
      </c>
      <c r="K17" cm="1">
        <f t="array" ref="K17">IFERROR(INDEX(impact_factors!$C$1:$C$3000,MATCH(TRUE,ISNUMBER(SEARCH(H17,impact_factors!$B$1:$B$3000)),0)),IF(H17="XX",0,"X"))</f>
        <v>0</v>
      </c>
      <c r="L17">
        <v>30</v>
      </c>
      <c r="M17" t="s">
        <v>858</v>
      </c>
      <c r="N17" t="s">
        <v>859</v>
      </c>
      <c r="O17" t="s">
        <v>859</v>
      </c>
      <c r="P17" t="s">
        <v>167</v>
      </c>
      <c r="Q17" t="s">
        <v>167</v>
      </c>
      <c r="R17" t="s">
        <v>167</v>
      </c>
      <c r="S17" s="25">
        <v>2</v>
      </c>
    </row>
    <row r="18" spans="1:19" x14ac:dyDescent="0.25">
      <c r="A18">
        <v>17</v>
      </c>
      <c r="B18" t="s">
        <v>218</v>
      </c>
      <c r="C18" t="s">
        <v>860</v>
      </c>
      <c r="D18">
        <v>2021</v>
      </c>
      <c r="E18" t="s">
        <v>861</v>
      </c>
      <c r="F18" t="s">
        <v>862</v>
      </c>
      <c r="G18" t="s">
        <v>863</v>
      </c>
      <c r="H18" t="s">
        <v>4002</v>
      </c>
      <c r="I18" t="b">
        <v>1</v>
      </c>
      <c r="J18">
        <f t="shared" si="0"/>
        <v>25</v>
      </c>
      <c r="K18" cm="1">
        <f t="array" ref="K18">IFERROR(INDEX(impact_factors!$C$1:$C$3000,MATCH(TRUE,ISNUMBER(SEARCH(H18,impact_factors!$B$1:$B$3000)),0)),IF(H18="XX",0,"X"))</f>
        <v>4.149</v>
      </c>
      <c r="L18">
        <v>14</v>
      </c>
      <c r="M18" t="s">
        <v>864</v>
      </c>
      <c r="N18" t="s">
        <v>865</v>
      </c>
      <c r="O18" t="s">
        <v>780</v>
      </c>
      <c r="P18" t="s">
        <v>167</v>
      </c>
      <c r="Q18" t="s">
        <v>167</v>
      </c>
      <c r="R18" t="s">
        <v>167</v>
      </c>
      <c r="S18" s="25">
        <v>2</v>
      </c>
    </row>
    <row r="19" spans="1:19" x14ac:dyDescent="0.25">
      <c r="A19">
        <v>18</v>
      </c>
      <c r="B19" t="s">
        <v>219</v>
      </c>
      <c r="C19" t="s">
        <v>866</v>
      </c>
      <c r="D19">
        <v>2019</v>
      </c>
      <c r="E19" t="s">
        <v>867</v>
      </c>
      <c r="F19" t="s">
        <v>868</v>
      </c>
      <c r="G19" t="s">
        <v>869</v>
      </c>
      <c r="H19" t="s">
        <v>4001</v>
      </c>
      <c r="I19" t="b">
        <v>1</v>
      </c>
      <c r="J19">
        <f t="shared" si="0"/>
        <v>23</v>
      </c>
      <c r="K19" cm="1">
        <f t="array" ref="K19">IFERROR(INDEX(impact_factors!$C$1:$C$3000,MATCH(TRUE,ISNUMBER(SEARCH(H19,impact_factors!$B$1:$B$3000)),0)),IF(H19="XX",0,"X"))</f>
        <v>0.217</v>
      </c>
      <c r="L19">
        <v>129</v>
      </c>
      <c r="M19" t="s">
        <v>870</v>
      </c>
      <c r="N19" t="s">
        <v>871</v>
      </c>
      <c r="O19" t="s">
        <v>872</v>
      </c>
      <c r="P19" t="s">
        <v>167</v>
      </c>
      <c r="Q19" t="s">
        <v>167</v>
      </c>
      <c r="R19" t="s">
        <v>167</v>
      </c>
      <c r="S19" s="25">
        <v>2</v>
      </c>
    </row>
    <row r="20" spans="1:19" x14ac:dyDescent="0.25">
      <c r="A20">
        <v>19</v>
      </c>
      <c r="B20" t="s">
        <v>225</v>
      </c>
      <c r="C20" t="s">
        <v>873</v>
      </c>
      <c r="D20">
        <v>2013</v>
      </c>
      <c r="E20" t="s">
        <v>874</v>
      </c>
      <c r="F20" t="s">
        <v>875</v>
      </c>
      <c r="G20" t="s">
        <v>876</v>
      </c>
      <c r="H20" t="s">
        <v>4018</v>
      </c>
      <c r="I20" t="b">
        <v>0</v>
      </c>
      <c r="J20">
        <f t="shared" si="0"/>
        <v>17</v>
      </c>
      <c r="K20" cm="1">
        <f t="array" ref="K20">IFERROR(INDEX(impact_factors!$C$1:$C$3000,MATCH(TRUE,ISNUMBER(SEARCH(H20,impact_factors!$B$1:$B$3000)),0)),IF(H20="XX",0,"X"))</f>
        <v>0</v>
      </c>
      <c r="L20">
        <v>0</v>
      </c>
      <c r="M20" t="s">
        <v>877</v>
      </c>
      <c r="N20" t="s">
        <v>878</v>
      </c>
      <c r="O20" t="s">
        <v>878</v>
      </c>
      <c r="P20" t="s">
        <v>167</v>
      </c>
      <c r="Q20" t="s">
        <v>167</v>
      </c>
      <c r="R20" t="s">
        <v>167</v>
      </c>
      <c r="S20" s="25">
        <v>2</v>
      </c>
    </row>
    <row r="21" spans="1:19" x14ac:dyDescent="0.25">
      <c r="A21">
        <v>20</v>
      </c>
      <c r="B21" t="s">
        <v>238</v>
      </c>
      <c r="C21" t="s">
        <v>879</v>
      </c>
      <c r="D21">
        <v>1999</v>
      </c>
      <c r="E21" t="s">
        <v>880</v>
      </c>
      <c r="F21" t="s">
        <v>881</v>
      </c>
      <c r="G21" t="s">
        <v>882</v>
      </c>
      <c r="H21" t="s">
        <v>4018</v>
      </c>
      <c r="I21" t="b">
        <v>0</v>
      </c>
      <c r="J21">
        <f t="shared" si="0"/>
        <v>3</v>
      </c>
      <c r="K21" cm="1">
        <f t="array" ref="K21">IFERROR(INDEX(impact_factors!$C$1:$C$3000,MATCH(TRUE,ISNUMBER(SEARCH(H21,impact_factors!$B$1:$B$3000)),0)),IF(H21="XX",0,"X"))</f>
        <v>0</v>
      </c>
      <c r="L21">
        <v>591</v>
      </c>
      <c r="M21" t="s">
        <v>883</v>
      </c>
      <c r="N21" t="s">
        <v>884</v>
      </c>
      <c r="O21" t="s">
        <v>885</v>
      </c>
      <c r="P21" t="s">
        <v>167</v>
      </c>
      <c r="Q21" t="s">
        <v>167</v>
      </c>
      <c r="R21" t="s">
        <v>167</v>
      </c>
      <c r="S21" s="25">
        <v>4</v>
      </c>
    </row>
    <row r="22" spans="1:19" x14ac:dyDescent="0.25">
      <c r="A22">
        <v>21</v>
      </c>
      <c r="B22" t="s">
        <v>240</v>
      </c>
      <c r="C22" t="s">
        <v>886</v>
      </c>
      <c r="D22">
        <v>2020</v>
      </c>
      <c r="E22" t="s">
        <v>887</v>
      </c>
      <c r="F22" t="s">
        <v>888</v>
      </c>
      <c r="G22" t="s">
        <v>889</v>
      </c>
      <c r="H22" t="s">
        <v>4021</v>
      </c>
      <c r="I22" t="b">
        <v>1</v>
      </c>
      <c r="J22">
        <f t="shared" si="0"/>
        <v>24</v>
      </c>
      <c r="K22" cm="1">
        <f t="array" ref="K22">IFERROR(INDEX(impact_factors!$C$1:$C$3000,MATCH(TRUE,ISNUMBER(SEARCH(H22,impact_factors!$B$1:$B$3000)),0)),IF(H22="XX",0,"X"))</f>
        <v>1.2999999999999999E-2</v>
      </c>
      <c r="L22">
        <v>3</v>
      </c>
      <c r="M22" t="s">
        <v>890</v>
      </c>
      <c r="N22" t="s">
        <v>891</v>
      </c>
      <c r="O22" t="s">
        <v>780</v>
      </c>
      <c r="P22" t="s">
        <v>167</v>
      </c>
      <c r="Q22" t="s">
        <v>167</v>
      </c>
      <c r="R22" t="s">
        <v>167</v>
      </c>
      <c r="S22" s="25">
        <v>2</v>
      </c>
    </row>
    <row r="23" spans="1:19" x14ac:dyDescent="0.25">
      <c r="A23">
        <v>22</v>
      </c>
      <c r="B23" t="s">
        <v>241</v>
      </c>
      <c r="C23" t="s">
        <v>892</v>
      </c>
      <c r="D23">
        <v>2007</v>
      </c>
      <c r="E23" t="s">
        <v>893</v>
      </c>
      <c r="F23" t="s">
        <v>894</v>
      </c>
      <c r="G23" t="s">
        <v>895</v>
      </c>
      <c r="H23" t="s">
        <v>4018</v>
      </c>
      <c r="I23" t="b">
        <v>0</v>
      </c>
      <c r="J23">
        <f t="shared" si="0"/>
        <v>11</v>
      </c>
      <c r="K23" cm="1">
        <f t="array" ref="K23">IFERROR(INDEX(impact_factors!$C$1:$C$3000,MATCH(TRUE,ISNUMBER(SEARCH(H23,impact_factors!$B$1:$B$3000)),0)),IF(H23="XX",0,"X"))</f>
        <v>0</v>
      </c>
      <c r="L23">
        <v>3</v>
      </c>
      <c r="M23" t="s">
        <v>896</v>
      </c>
      <c r="N23" t="s">
        <v>897</v>
      </c>
      <c r="O23" t="s">
        <v>897</v>
      </c>
      <c r="P23" t="s">
        <v>167</v>
      </c>
      <c r="Q23" t="s">
        <v>167</v>
      </c>
      <c r="R23" t="s">
        <v>167</v>
      </c>
      <c r="S23" s="25">
        <v>2</v>
      </c>
    </row>
    <row r="24" spans="1:19" x14ac:dyDescent="0.25">
      <c r="A24">
        <v>23</v>
      </c>
      <c r="B24" t="s">
        <v>242</v>
      </c>
      <c r="C24" t="s">
        <v>898</v>
      </c>
      <c r="D24">
        <v>2012</v>
      </c>
      <c r="E24" t="s">
        <v>899</v>
      </c>
      <c r="F24" t="s">
        <v>900</v>
      </c>
      <c r="G24" t="s">
        <v>901</v>
      </c>
      <c r="H24" t="s">
        <v>4018</v>
      </c>
      <c r="I24" t="b">
        <v>0</v>
      </c>
      <c r="J24">
        <f t="shared" si="0"/>
        <v>16</v>
      </c>
      <c r="K24" cm="1">
        <f t="array" ref="K24">IFERROR(INDEX(impact_factors!$C$1:$C$3000,MATCH(TRUE,ISNUMBER(SEARCH(H24,impact_factors!$B$1:$B$3000)),0)),IF(H24="XX",0,"X"))</f>
        <v>0</v>
      </c>
      <c r="L24">
        <v>2</v>
      </c>
      <c r="M24" t="s">
        <v>902</v>
      </c>
      <c r="N24" t="s">
        <v>903</v>
      </c>
      <c r="O24" t="s">
        <v>904</v>
      </c>
      <c r="P24" t="s">
        <v>167</v>
      </c>
      <c r="Q24" t="s">
        <v>167</v>
      </c>
      <c r="R24" t="s">
        <v>167</v>
      </c>
      <c r="S24" s="25">
        <v>3</v>
      </c>
    </row>
    <row r="25" spans="1:19" x14ac:dyDescent="0.25">
      <c r="A25">
        <v>24</v>
      </c>
      <c r="B25" t="s">
        <v>253</v>
      </c>
      <c r="C25" t="s">
        <v>846</v>
      </c>
      <c r="D25">
        <v>2007</v>
      </c>
      <c r="E25" t="s">
        <v>905</v>
      </c>
      <c r="F25" t="s">
        <v>906</v>
      </c>
      <c r="G25" t="s">
        <v>907</v>
      </c>
      <c r="H25" t="s">
        <v>4018</v>
      </c>
      <c r="I25" t="b">
        <v>0</v>
      </c>
      <c r="J25">
        <f t="shared" si="0"/>
        <v>11</v>
      </c>
      <c r="K25" cm="1">
        <f t="array" ref="K25">IFERROR(INDEX(impact_factors!$C$1:$C$3000,MATCH(TRUE,ISNUMBER(SEARCH(H25,impact_factors!$B$1:$B$3000)),0)),IF(H25="XX",0,"X"))</f>
        <v>0</v>
      </c>
      <c r="L25">
        <v>83</v>
      </c>
      <c r="M25" t="s">
        <v>908</v>
      </c>
      <c r="N25" t="s">
        <v>909</v>
      </c>
      <c r="O25" t="s">
        <v>910</v>
      </c>
      <c r="P25" t="s">
        <v>167</v>
      </c>
      <c r="Q25" t="s">
        <v>167</v>
      </c>
      <c r="R25" t="s">
        <v>167</v>
      </c>
      <c r="S25" s="25">
        <v>2</v>
      </c>
    </row>
    <row r="26" spans="1:19" x14ac:dyDescent="0.25">
      <c r="A26">
        <v>25</v>
      </c>
      <c r="B26" t="s">
        <v>266</v>
      </c>
      <c r="C26" t="s">
        <v>911</v>
      </c>
      <c r="D26">
        <v>2016</v>
      </c>
      <c r="E26" t="s">
        <v>912</v>
      </c>
      <c r="F26" t="s">
        <v>913</v>
      </c>
      <c r="G26" t="s">
        <v>914</v>
      </c>
      <c r="H26" t="s">
        <v>3998</v>
      </c>
      <c r="I26" t="b">
        <v>1</v>
      </c>
      <c r="J26">
        <f t="shared" si="0"/>
        <v>20</v>
      </c>
      <c r="K26" cm="1">
        <f t="array" ref="K26">IFERROR(INDEX(impact_factors!$C$1:$C$3000,MATCH(TRUE,ISNUMBER(SEARCH(H26,impact_factors!$B$1:$B$3000)),0)),IF(H26="XX",0,"X"))</f>
        <v>0.14599999999999999</v>
      </c>
      <c r="L26">
        <v>39</v>
      </c>
      <c r="M26" t="s">
        <v>915</v>
      </c>
      <c r="N26" t="s">
        <v>916</v>
      </c>
      <c r="O26" t="s">
        <v>917</v>
      </c>
      <c r="P26" t="s">
        <v>167</v>
      </c>
      <c r="Q26" t="s">
        <v>167</v>
      </c>
      <c r="R26" t="s">
        <v>167</v>
      </c>
      <c r="S26" s="25">
        <v>1</v>
      </c>
    </row>
    <row r="27" spans="1:19" x14ac:dyDescent="0.25">
      <c r="A27">
        <v>26</v>
      </c>
      <c r="B27" t="s">
        <v>267</v>
      </c>
      <c r="C27" t="s">
        <v>918</v>
      </c>
      <c r="D27">
        <v>2010</v>
      </c>
      <c r="E27" t="s">
        <v>919</v>
      </c>
      <c r="F27" t="s">
        <v>920</v>
      </c>
      <c r="G27" t="s">
        <v>921</v>
      </c>
      <c r="H27" t="s">
        <v>4003</v>
      </c>
      <c r="I27" t="b">
        <v>1</v>
      </c>
      <c r="J27">
        <f t="shared" si="0"/>
        <v>14</v>
      </c>
      <c r="K27" cm="1">
        <f t="array" ref="K27">IFERROR(INDEX(impact_factors!$C$1:$C$3000,MATCH(TRUE,ISNUMBER(SEARCH(H27,impact_factors!$B$1:$B$3000)),0)),IF(H27="XX",0,"X"))</f>
        <v>0.16400000000000001</v>
      </c>
      <c r="L27">
        <v>127</v>
      </c>
      <c r="M27" t="s">
        <v>922</v>
      </c>
      <c r="N27" t="s">
        <v>923</v>
      </c>
      <c r="O27" t="s">
        <v>924</v>
      </c>
      <c r="P27" t="s">
        <v>167</v>
      </c>
      <c r="Q27" t="s">
        <v>167</v>
      </c>
      <c r="R27" t="s">
        <v>167</v>
      </c>
      <c r="S27" s="25">
        <v>2</v>
      </c>
    </row>
    <row r="28" spans="1:19" x14ac:dyDescent="0.25">
      <c r="A28">
        <v>27</v>
      </c>
      <c r="B28" t="s">
        <v>509</v>
      </c>
      <c r="C28" t="s">
        <v>925</v>
      </c>
      <c r="D28">
        <v>2006</v>
      </c>
      <c r="E28" t="s">
        <v>926</v>
      </c>
      <c r="F28" t="s">
        <v>927</v>
      </c>
      <c r="G28" t="s">
        <v>928</v>
      </c>
      <c r="H28" t="s">
        <v>4004</v>
      </c>
      <c r="I28" t="b">
        <v>1</v>
      </c>
      <c r="J28">
        <f t="shared" si="0"/>
        <v>10</v>
      </c>
      <c r="K28" cm="1">
        <f t="array" ref="K28">IFERROR(INDEX(impact_factors!$C$1:$C$3000,MATCH(TRUE,ISNUMBER(SEARCH(H28,impact_factors!$B$1:$B$3000)),0)),IF(H28="XX",0,"X"))</f>
        <v>8.5000000000000006E-2</v>
      </c>
      <c r="L28">
        <v>58</v>
      </c>
      <c r="M28" t="s">
        <v>929</v>
      </c>
      <c r="N28" t="s">
        <v>930</v>
      </c>
      <c r="O28" t="s">
        <v>931</v>
      </c>
      <c r="P28" t="s">
        <v>167</v>
      </c>
      <c r="Q28" t="s">
        <v>167</v>
      </c>
      <c r="R28" t="s">
        <v>167</v>
      </c>
      <c r="S28" s="25">
        <v>3</v>
      </c>
    </row>
    <row r="29" spans="1:19" x14ac:dyDescent="0.25">
      <c r="A29">
        <v>28</v>
      </c>
      <c r="B29" t="s">
        <v>281</v>
      </c>
      <c r="C29" t="s">
        <v>932</v>
      </c>
      <c r="D29">
        <v>2009</v>
      </c>
      <c r="E29" t="s">
        <v>933</v>
      </c>
      <c r="F29" t="s">
        <v>934</v>
      </c>
      <c r="G29" t="s">
        <v>935</v>
      </c>
      <c r="H29" t="s">
        <v>4005</v>
      </c>
      <c r="I29" t="b">
        <v>1</v>
      </c>
      <c r="J29">
        <f t="shared" si="0"/>
        <v>13</v>
      </c>
      <c r="K29" cm="1">
        <f t="array" ref="K29">IFERROR(INDEX(impact_factors!$C$1:$C$3000,MATCH(TRUE,ISNUMBER(SEARCH(H29,impact_factors!$B$1:$B$3000)),0)),IF(H29="XX",0,"X"))</f>
        <v>2.3E-2</v>
      </c>
      <c r="L29">
        <v>97</v>
      </c>
      <c r="M29" t="s">
        <v>936</v>
      </c>
      <c r="N29" t="s">
        <v>937</v>
      </c>
      <c r="O29" t="s">
        <v>938</v>
      </c>
      <c r="P29" t="s">
        <v>167</v>
      </c>
      <c r="Q29" t="s">
        <v>167</v>
      </c>
      <c r="R29" t="s">
        <v>167</v>
      </c>
      <c r="S29" s="25">
        <v>3</v>
      </c>
    </row>
    <row r="30" spans="1:19" x14ac:dyDescent="0.25">
      <c r="A30">
        <v>29</v>
      </c>
      <c r="B30" t="s">
        <v>9</v>
      </c>
      <c r="C30" t="s">
        <v>939</v>
      </c>
      <c r="D30">
        <v>2007</v>
      </c>
      <c r="E30" t="s">
        <v>940</v>
      </c>
      <c r="F30" t="s">
        <v>941</v>
      </c>
      <c r="G30" t="s">
        <v>942</v>
      </c>
      <c r="H30" t="s">
        <v>4006</v>
      </c>
      <c r="I30" t="b">
        <v>0</v>
      </c>
      <c r="J30">
        <f t="shared" si="0"/>
        <v>11</v>
      </c>
      <c r="K30" t="str" cm="1">
        <f t="array" ref="K30">IFERROR(INDEX(impact_factors!$C$1:$C$3000,MATCH(TRUE,ISNUMBER(SEARCH(H30,impact_factors!$B$1:$B$3000)),0)),IF(H30="XX",0,"X"))</f>
        <v>X</v>
      </c>
      <c r="L30">
        <v>3</v>
      </c>
      <c r="M30" t="s">
        <v>943</v>
      </c>
      <c r="N30" t="s">
        <v>944</v>
      </c>
      <c r="O30" t="s">
        <v>944</v>
      </c>
      <c r="P30" t="s">
        <v>167</v>
      </c>
      <c r="Q30" t="s">
        <v>167</v>
      </c>
      <c r="R30" t="s">
        <v>167</v>
      </c>
      <c r="S30" s="25">
        <v>3</v>
      </c>
    </row>
    <row r="31" spans="1:19" x14ac:dyDescent="0.25">
      <c r="A31">
        <v>30</v>
      </c>
      <c r="B31" t="s">
        <v>318</v>
      </c>
      <c r="C31" t="s">
        <v>945</v>
      </c>
      <c r="D31">
        <v>2005</v>
      </c>
      <c r="E31" t="s">
        <v>946</v>
      </c>
      <c r="F31" t="s">
        <v>947</v>
      </c>
      <c r="G31" t="s">
        <v>948</v>
      </c>
      <c r="H31" t="s">
        <v>4022</v>
      </c>
      <c r="I31" t="b">
        <v>1</v>
      </c>
      <c r="J31">
        <f t="shared" si="0"/>
        <v>9</v>
      </c>
      <c r="K31" cm="1">
        <f t="array" ref="K31">IFERROR(INDEX(impact_factors!$C$1:$C$3000,MATCH(TRUE,ISNUMBER(SEARCH(H31,impact_factors!$B$1:$B$3000)),0)),IF(H31="XX",0,"X"))</f>
        <v>0.13900000000000001</v>
      </c>
      <c r="L31">
        <v>46</v>
      </c>
      <c r="M31" t="s">
        <v>949</v>
      </c>
      <c r="N31" t="s">
        <v>950</v>
      </c>
      <c r="O31" t="s">
        <v>951</v>
      </c>
      <c r="P31" t="s">
        <v>167</v>
      </c>
      <c r="Q31" t="s">
        <v>167</v>
      </c>
      <c r="R31" t="s">
        <v>167</v>
      </c>
      <c r="S31" s="25">
        <v>2</v>
      </c>
    </row>
    <row r="32" spans="1:19" x14ac:dyDescent="0.25">
      <c r="A32">
        <v>31</v>
      </c>
      <c r="B32" t="s">
        <v>317</v>
      </c>
      <c r="C32" t="s">
        <v>952</v>
      </c>
      <c r="D32">
        <v>2008</v>
      </c>
      <c r="E32" t="s">
        <v>953</v>
      </c>
      <c r="F32" t="s">
        <v>954</v>
      </c>
      <c r="G32" t="s">
        <v>955</v>
      </c>
      <c r="H32" t="s">
        <v>4007</v>
      </c>
      <c r="I32" t="b">
        <v>1</v>
      </c>
      <c r="J32">
        <f t="shared" si="0"/>
        <v>12</v>
      </c>
      <c r="K32" cm="1">
        <f t="array" ref="K32">IFERROR(INDEX(impact_factors!$C$1:$C$3000,MATCH(TRUE,ISNUMBER(SEARCH(H32,impact_factors!$B$1:$B$3000)),0)),IF(H32="XX",0,"X"))</f>
        <v>0.123</v>
      </c>
      <c r="L32">
        <v>226</v>
      </c>
      <c r="M32" t="s">
        <v>956</v>
      </c>
      <c r="N32" t="s">
        <v>957</v>
      </c>
      <c r="O32" t="s">
        <v>958</v>
      </c>
      <c r="P32" t="s">
        <v>167</v>
      </c>
      <c r="Q32" t="s">
        <v>167</v>
      </c>
      <c r="R32" t="s">
        <v>167</v>
      </c>
      <c r="S32" s="25">
        <v>2</v>
      </c>
    </row>
    <row r="33" spans="1:19" x14ac:dyDescent="0.25">
      <c r="A33">
        <v>32</v>
      </c>
      <c r="B33" t="s">
        <v>319</v>
      </c>
      <c r="C33" t="s">
        <v>959</v>
      </c>
      <c r="D33">
        <v>2021</v>
      </c>
      <c r="E33" t="s">
        <v>960</v>
      </c>
      <c r="F33" t="s">
        <v>961</v>
      </c>
      <c r="G33" t="s">
        <v>962</v>
      </c>
      <c r="H33" t="s">
        <v>4008</v>
      </c>
      <c r="I33" t="b">
        <v>1</v>
      </c>
      <c r="J33">
        <f t="shared" si="0"/>
        <v>25</v>
      </c>
      <c r="K33" cm="1">
        <f t="array" ref="K33">IFERROR(INDEX(impact_factors!$C$1:$C$3000,MATCH(TRUE,ISNUMBER(SEARCH(H33,impact_factors!$B$1:$B$3000)),0)),IF(H33="XX",0,"X"))</f>
        <v>1.35</v>
      </c>
      <c r="L33">
        <v>0</v>
      </c>
      <c r="M33" t="s">
        <v>963</v>
      </c>
      <c r="N33" t="s">
        <v>964</v>
      </c>
      <c r="O33" t="s">
        <v>780</v>
      </c>
      <c r="P33" t="s">
        <v>167</v>
      </c>
      <c r="Q33" t="s">
        <v>167</v>
      </c>
      <c r="R33" t="s">
        <v>167</v>
      </c>
      <c r="S33" s="25">
        <v>1</v>
      </c>
    </row>
    <row r="34" spans="1:19" x14ac:dyDescent="0.25">
      <c r="A34">
        <v>33</v>
      </c>
      <c r="B34" t="s">
        <v>326</v>
      </c>
      <c r="C34" t="s">
        <v>965</v>
      </c>
      <c r="D34">
        <v>2015</v>
      </c>
      <c r="E34" t="s">
        <v>966</v>
      </c>
      <c r="F34" t="s">
        <v>967</v>
      </c>
      <c r="G34" t="s">
        <v>968</v>
      </c>
      <c r="H34" t="s">
        <v>3992</v>
      </c>
      <c r="I34" t="b">
        <v>1</v>
      </c>
      <c r="J34">
        <f t="shared" ref="J34:J65" si="1">D34-MIN($D:$D)</f>
        <v>19</v>
      </c>
      <c r="K34" cm="1">
        <f t="array" ref="K34">IFERROR(INDEX(impact_factors!$C$1:$C$3000,MATCH(TRUE,ISNUMBER(SEARCH(H34,impact_factors!$B$1:$B$3000)),0)),IF(H34="XX",0,"X"))</f>
        <v>1.232</v>
      </c>
      <c r="L34">
        <v>2</v>
      </c>
      <c r="M34" t="s">
        <v>969</v>
      </c>
      <c r="N34" t="s">
        <v>970</v>
      </c>
      <c r="O34" t="s">
        <v>970</v>
      </c>
      <c r="P34" t="s">
        <v>167</v>
      </c>
      <c r="Q34" t="s">
        <v>167</v>
      </c>
      <c r="R34" t="s">
        <v>167</v>
      </c>
      <c r="S34" s="25">
        <v>2</v>
      </c>
    </row>
    <row r="35" spans="1:19" x14ac:dyDescent="0.25">
      <c r="A35">
        <v>34</v>
      </c>
      <c r="B35" t="s">
        <v>327</v>
      </c>
      <c r="C35" t="s">
        <v>971</v>
      </c>
      <c r="D35">
        <v>2006</v>
      </c>
      <c r="E35" t="s">
        <v>972</v>
      </c>
      <c r="F35" t="s">
        <v>973</v>
      </c>
      <c r="G35" t="s">
        <v>974</v>
      </c>
      <c r="H35" t="s">
        <v>3998</v>
      </c>
      <c r="I35" t="b">
        <v>1</v>
      </c>
      <c r="J35">
        <f t="shared" si="1"/>
        <v>10</v>
      </c>
      <c r="K35" cm="1">
        <f t="array" ref="K35">IFERROR(INDEX(impact_factors!$C$1:$C$3000,MATCH(TRUE,ISNUMBER(SEARCH(H35,impact_factors!$B$1:$B$3000)),0)),IF(H35="XX",0,"X"))</f>
        <v>0.14599999999999999</v>
      </c>
      <c r="L35">
        <v>118</v>
      </c>
      <c r="M35" t="s">
        <v>975</v>
      </c>
      <c r="N35" t="s">
        <v>976</v>
      </c>
      <c r="O35" t="s">
        <v>780</v>
      </c>
      <c r="P35" t="s">
        <v>167</v>
      </c>
      <c r="Q35" t="s">
        <v>167</v>
      </c>
      <c r="R35" t="s">
        <v>167</v>
      </c>
      <c r="S35" s="25">
        <v>4</v>
      </c>
    </row>
    <row r="36" spans="1:19" x14ac:dyDescent="0.25">
      <c r="A36">
        <v>35</v>
      </c>
      <c r="B36" t="s">
        <v>331</v>
      </c>
      <c r="C36" t="s">
        <v>977</v>
      </c>
      <c r="D36">
        <v>2006</v>
      </c>
      <c r="E36" t="s">
        <v>978</v>
      </c>
      <c r="F36" t="s">
        <v>979</v>
      </c>
      <c r="G36" t="s">
        <v>980</v>
      </c>
      <c r="H36" t="s">
        <v>4009</v>
      </c>
      <c r="I36" t="b">
        <v>1</v>
      </c>
      <c r="J36">
        <f t="shared" si="1"/>
        <v>10</v>
      </c>
      <c r="K36" cm="1">
        <f t="array" ref="K36">IFERROR(INDEX(impact_factors!$C$1:$C$3000,MATCH(TRUE,ISNUMBER(SEARCH(H36,impact_factors!$B$1:$B$3000)),0)),IF(H36="XX",0,"X"))</f>
        <v>0.29799999999999999</v>
      </c>
      <c r="L36">
        <v>18</v>
      </c>
      <c r="M36" t="s">
        <v>981</v>
      </c>
      <c r="N36" t="s">
        <v>982</v>
      </c>
      <c r="O36" t="s">
        <v>983</v>
      </c>
      <c r="P36" t="s">
        <v>167</v>
      </c>
      <c r="Q36" t="s">
        <v>167</v>
      </c>
      <c r="R36" t="s">
        <v>167</v>
      </c>
      <c r="S36" s="25">
        <v>4</v>
      </c>
    </row>
    <row r="37" spans="1:19" x14ac:dyDescent="0.25">
      <c r="A37">
        <v>36</v>
      </c>
      <c r="B37" t="s">
        <v>332</v>
      </c>
      <c r="C37" t="s">
        <v>984</v>
      </c>
      <c r="D37">
        <v>2004</v>
      </c>
      <c r="E37" t="s">
        <v>985</v>
      </c>
      <c r="F37" t="s">
        <v>986</v>
      </c>
      <c r="G37" t="s">
        <v>987</v>
      </c>
      <c r="H37" t="s">
        <v>4009</v>
      </c>
      <c r="I37" t="b">
        <v>1</v>
      </c>
      <c r="J37">
        <f t="shared" si="1"/>
        <v>8</v>
      </c>
      <c r="K37" cm="1">
        <f t="array" ref="K37">IFERROR(INDEX(impact_factors!$C$1:$C$3000,MATCH(TRUE,ISNUMBER(SEARCH(H37,impact_factors!$B$1:$B$3000)),0)),IF(H37="XX",0,"X"))</f>
        <v>0.29799999999999999</v>
      </c>
      <c r="L37">
        <v>72</v>
      </c>
      <c r="M37" t="s">
        <v>988</v>
      </c>
      <c r="N37" t="s">
        <v>989</v>
      </c>
      <c r="O37" t="s">
        <v>990</v>
      </c>
      <c r="P37" t="s">
        <v>167</v>
      </c>
      <c r="Q37" t="s">
        <v>167</v>
      </c>
      <c r="R37" t="s">
        <v>167</v>
      </c>
      <c r="S37" s="25">
        <v>4</v>
      </c>
    </row>
    <row r="38" spans="1:19" x14ac:dyDescent="0.25">
      <c r="A38">
        <v>37</v>
      </c>
      <c r="B38" t="s">
        <v>14</v>
      </c>
      <c r="C38" t="s">
        <v>991</v>
      </c>
      <c r="D38">
        <v>2013</v>
      </c>
      <c r="E38" t="s">
        <v>992</v>
      </c>
      <c r="F38" t="s">
        <v>993</v>
      </c>
      <c r="G38" t="s">
        <v>994</v>
      </c>
      <c r="H38" t="s">
        <v>4010</v>
      </c>
      <c r="I38" t="b">
        <v>1</v>
      </c>
      <c r="J38">
        <f t="shared" si="1"/>
        <v>17</v>
      </c>
      <c r="K38" cm="1">
        <f t="array" ref="K38">IFERROR(INDEX(impact_factors!$C$1:$C$3000,MATCH(TRUE,ISNUMBER(SEARCH(H38,impact_factors!$B$1:$B$3000)),0)),IF(H38="XX",0,"X"))</f>
        <v>3.1E-2</v>
      </c>
      <c r="L38">
        <v>46</v>
      </c>
      <c r="M38" t="s">
        <v>995</v>
      </c>
      <c r="N38" t="s">
        <v>996</v>
      </c>
      <c r="O38" t="s">
        <v>997</v>
      </c>
      <c r="P38" t="s">
        <v>167</v>
      </c>
      <c r="Q38" t="s">
        <v>167</v>
      </c>
      <c r="R38" t="s">
        <v>167</v>
      </c>
      <c r="S38" s="25">
        <v>3</v>
      </c>
    </row>
    <row r="39" spans="1:19" x14ac:dyDescent="0.25">
      <c r="A39">
        <v>38</v>
      </c>
      <c r="B39" t="s">
        <v>334</v>
      </c>
      <c r="C39" t="s">
        <v>998</v>
      </c>
      <c r="D39">
        <v>2002</v>
      </c>
      <c r="E39" t="s">
        <v>999</v>
      </c>
      <c r="F39" t="s">
        <v>1000</v>
      </c>
      <c r="G39" t="s">
        <v>1001</v>
      </c>
      <c r="H39" t="s">
        <v>4018</v>
      </c>
      <c r="I39" t="b">
        <v>0</v>
      </c>
      <c r="J39">
        <f t="shared" si="1"/>
        <v>6</v>
      </c>
      <c r="K39" cm="1">
        <f t="array" ref="K39">IFERROR(INDEX(impact_factors!$C$1:$C$3000,MATCH(TRUE,ISNUMBER(SEARCH(H39,impact_factors!$B$1:$B$3000)),0)),IF(H39="XX",0,"X"))</f>
        <v>0</v>
      </c>
      <c r="L39">
        <v>43</v>
      </c>
      <c r="M39" t="s">
        <v>1002</v>
      </c>
      <c r="N39" t="s">
        <v>1003</v>
      </c>
      <c r="O39" t="s">
        <v>1004</v>
      </c>
      <c r="P39" t="s">
        <v>167</v>
      </c>
      <c r="Q39" t="s">
        <v>167</v>
      </c>
      <c r="R39" t="s">
        <v>167</v>
      </c>
      <c r="S39" s="25">
        <v>1</v>
      </c>
    </row>
    <row r="40" spans="1:19" x14ac:dyDescent="0.25">
      <c r="A40">
        <v>39</v>
      </c>
      <c r="B40" t="s">
        <v>336</v>
      </c>
      <c r="C40" t="s">
        <v>1005</v>
      </c>
      <c r="D40">
        <v>2006</v>
      </c>
      <c r="E40" t="s">
        <v>1006</v>
      </c>
      <c r="F40" t="s">
        <v>1007</v>
      </c>
      <c r="G40" t="s">
        <v>1008</v>
      </c>
      <c r="H40" t="s">
        <v>4018</v>
      </c>
      <c r="I40" t="b">
        <v>0</v>
      </c>
      <c r="J40">
        <f t="shared" si="1"/>
        <v>10</v>
      </c>
      <c r="K40" cm="1">
        <f t="array" ref="K40">IFERROR(INDEX(impact_factors!$C$1:$C$3000,MATCH(TRUE,ISNUMBER(SEARCH(H40,impact_factors!$B$1:$B$3000)),0)),IF(H40="XX",0,"X"))</f>
        <v>0</v>
      </c>
      <c r="L40">
        <v>0</v>
      </c>
      <c r="M40" t="s">
        <v>1009</v>
      </c>
      <c r="N40" t="s">
        <v>1010</v>
      </c>
      <c r="O40" t="s">
        <v>1010</v>
      </c>
      <c r="P40" t="s">
        <v>167</v>
      </c>
      <c r="Q40" t="s">
        <v>167</v>
      </c>
      <c r="R40" t="s">
        <v>167</v>
      </c>
      <c r="S40" s="25">
        <v>4</v>
      </c>
    </row>
    <row r="41" spans="1:19" x14ac:dyDescent="0.25">
      <c r="A41">
        <v>40</v>
      </c>
      <c r="B41" t="s">
        <v>339</v>
      </c>
      <c r="C41" t="s">
        <v>1011</v>
      </c>
      <c r="D41">
        <v>2011</v>
      </c>
      <c r="E41" t="s">
        <v>1012</v>
      </c>
      <c r="F41" t="s">
        <v>1013</v>
      </c>
      <c r="G41" t="s">
        <v>1014</v>
      </c>
      <c r="H41" t="s">
        <v>4011</v>
      </c>
      <c r="I41" t="b">
        <v>1</v>
      </c>
      <c r="J41">
        <f t="shared" si="1"/>
        <v>15</v>
      </c>
      <c r="K41" cm="1">
        <f t="array" ref="K41">IFERROR(INDEX(impact_factors!$C$1:$C$3000,MATCH(TRUE,ISNUMBER(SEARCH(H41,impact_factors!$B$1:$B$3000)),0)),IF(H41="XX",0,"X"))</f>
        <v>0.17100000000000001</v>
      </c>
      <c r="L41">
        <v>66</v>
      </c>
      <c r="M41" t="s">
        <v>1015</v>
      </c>
      <c r="N41" t="s">
        <v>1016</v>
      </c>
      <c r="O41" t="s">
        <v>780</v>
      </c>
      <c r="P41" t="s">
        <v>167</v>
      </c>
      <c r="Q41" t="s">
        <v>167</v>
      </c>
      <c r="R41" t="s">
        <v>167</v>
      </c>
      <c r="S41" s="25">
        <v>2</v>
      </c>
    </row>
    <row r="42" spans="1:19" x14ac:dyDescent="0.25">
      <c r="A42">
        <v>41</v>
      </c>
      <c r="B42" t="s">
        <v>340</v>
      </c>
      <c r="C42" t="s">
        <v>1017</v>
      </c>
      <c r="D42">
        <v>2018</v>
      </c>
      <c r="E42" t="s">
        <v>1018</v>
      </c>
      <c r="F42" t="s">
        <v>1019</v>
      </c>
      <c r="G42" t="s">
        <v>1020</v>
      </c>
      <c r="H42" t="s">
        <v>4022</v>
      </c>
      <c r="I42" t="b">
        <v>1</v>
      </c>
      <c r="J42">
        <f t="shared" si="1"/>
        <v>22</v>
      </c>
      <c r="K42" cm="1">
        <f t="array" ref="K42">IFERROR(INDEX(impact_factors!$C$1:$C$3000,MATCH(TRUE,ISNUMBER(SEARCH(H42,impact_factors!$B$1:$B$3000)),0)),IF(H42="XX",0,"X"))</f>
        <v>0.13900000000000001</v>
      </c>
      <c r="L42">
        <v>42</v>
      </c>
      <c r="M42" t="s">
        <v>1021</v>
      </c>
      <c r="N42" t="s">
        <v>1022</v>
      </c>
      <c r="O42" t="s">
        <v>1023</v>
      </c>
      <c r="P42" t="s">
        <v>167</v>
      </c>
      <c r="Q42" t="s">
        <v>167</v>
      </c>
      <c r="R42" t="s">
        <v>167</v>
      </c>
      <c r="S42" s="25">
        <v>3</v>
      </c>
    </row>
    <row r="43" spans="1:19" x14ac:dyDescent="0.25">
      <c r="A43">
        <v>42</v>
      </c>
      <c r="B43" t="s">
        <v>465</v>
      </c>
      <c r="C43" t="s">
        <v>1024</v>
      </c>
      <c r="D43">
        <v>2008</v>
      </c>
      <c r="E43" t="s">
        <v>1025</v>
      </c>
      <c r="F43" t="s">
        <v>1026</v>
      </c>
      <c r="G43" t="s">
        <v>1027</v>
      </c>
      <c r="H43" t="s">
        <v>4023</v>
      </c>
      <c r="I43" t="b">
        <v>1</v>
      </c>
      <c r="J43">
        <f t="shared" si="1"/>
        <v>12</v>
      </c>
      <c r="K43" cm="1">
        <f t="array" ref="K43">IFERROR(INDEX(impact_factors!$C$1:$C$3000,MATCH(TRUE,ISNUMBER(SEARCH(H43,impact_factors!$B$1:$B$3000)),0)),IF(H43="XX",0,"X"))</f>
        <v>0.63</v>
      </c>
      <c r="L43">
        <v>335</v>
      </c>
      <c r="M43" t="s">
        <v>1028</v>
      </c>
      <c r="N43" t="s">
        <v>1029</v>
      </c>
      <c r="O43" t="s">
        <v>1030</v>
      </c>
      <c r="P43" t="s">
        <v>167</v>
      </c>
      <c r="Q43" t="s">
        <v>167</v>
      </c>
      <c r="R43" t="s">
        <v>167</v>
      </c>
      <c r="S43" s="25">
        <v>4</v>
      </c>
    </row>
    <row r="44" spans="1:19" x14ac:dyDescent="0.25">
      <c r="A44">
        <v>43</v>
      </c>
      <c r="B44" t="s">
        <v>473</v>
      </c>
      <c r="C44" t="s">
        <v>1031</v>
      </c>
      <c r="D44">
        <v>2003</v>
      </c>
      <c r="E44" t="s">
        <v>1032</v>
      </c>
      <c r="F44" t="s">
        <v>1033</v>
      </c>
      <c r="G44" t="s">
        <v>1034</v>
      </c>
      <c r="H44" t="s">
        <v>4018</v>
      </c>
      <c r="I44" t="b">
        <v>0</v>
      </c>
      <c r="J44">
        <f t="shared" si="1"/>
        <v>7</v>
      </c>
      <c r="K44" cm="1">
        <f t="array" ref="K44">IFERROR(INDEX(impact_factors!$C$1:$C$3000,MATCH(TRUE,ISNUMBER(SEARCH(H44,impact_factors!$B$1:$B$3000)),0)),IF(H44="XX",0,"X"))</f>
        <v>0</v>
      </c>
      <c r="L44">
        <v>17</v>
      </c>
      <c r="M44" t="s">
        <v>1035</v>
      </c>
      <c r="N44" t="s">
        <v>1036</v>
      </c>
      <c r="O44" t="s">
        <v>1037</v>
      </c>
      <c r="P44" t="s">
        <v>167</v>
      </c>
      <c r="Q44" t="s">
        <v>167</v>
      </c>
      <c r="R44" t="s">
        <v>167</v>
      </c>
      <c r="S44" s="25">
        <v>3</v>
      </c>
    </row>
    <row r="45" spans="1:19" x14ac:dyDescent="0.25">
      <c r="A45">
        <v>44</v>
      </c>
      <c r="B45" t="s">
        <v>483</v>
      </c>
      <c r="C45" t="s">
        <v>1038</v>
      </c>
      <c r="D45">
        <v>2022</v>
      </c>
      <c r="E45" t="s">
        <v>1039</v>
      </c>
      <c r="F45" t="s">
        <v>1040</v>
      </c>
      <c r="G45" t="s">
        <v>1041</v>
      </c>
      <c r="H45" t="s">
        <v>4012</v>
      </c>
      <c r="I45" t="b">
        <v>1</v>
      </c>
      <c r="J45">
        <f t="shared" si="1"/>
        <v>26</v>
      </c>
      <c r="K45" cm="1">
        <f t="array" ref="K45">IFERROR(INDEX(impact_factors!$C$1:$C$3000,MATCH(TRUE,ISNUMBER(SEARCH(H45,impact_factors!$B$1:$B$3000)),0)),IF(H45="XX",0,"X"))</f>
        <v>3.0070000000000001</v>
      </c>
      <c r="L45">
        <v>32</v>
      </c>
      <c r="M45" t="s">
        <v>1042</v>
      </c>
      <c r="N45" t="s">
        <v>1043</v>
      </c>
      <c r="O45" t="s">
        <v>1044</v>
      </c>
      <c r="P45" t="s">
        <v>167</v>
      </c>
      <c r="Q45" t="s">
        <v>167</v>
      </c>
      <c r="R45" t="s">
        <v>167</v>
      </c>
      <c r="S45" s="25">
        <v>1</v>
      </c>
    </row>
    <row r="46" spans="1:19" x14ac:dyDescent="0.25">
      <c r="A46">
        <v>45</v>
      </c>
      <c r="B46" t="s">
        <v>489</v>
      </c>
      <c r="C46" t="s">
        <v>1045</v>
      </c>
      <c r="D46">
        <v>2013</v>
      </c>
      <c r="E46" t="s">
        <v>1046</v>
      </c>
      <c r="F46" t="s">
        <v>1047</v>
      </c>
      <c r="G46" t="s">
        <v>1048</v>
      </c>
      <c r="H46" t="s">
        <v>4005</v>
      </c>
      <c r="I46" t="b">
        <v>1</v>
      </c>
      <c r="J46">
        <f t="shared" si="1"/>
        <v>17</v>
      </c>
      <c r="K46" cm="1">
        <f t="array" ref="K46">IFERROR(INDEX(impact_factors!$C$1:$C$3000,MATCH(TRUE,ISNUMBER(SEARCH(H46,impact_factors!$B$1:$B$3000)),0)),IF(H46="XX",0,"X"))</f>
        <v>2.3E-2</v>
      </c>
      <c r="L46">
        <v>13</v>
      </c>
      <c r="M46" t="s">
        <v>1049</v>
      </c>
      <c r="N46" t="s">
        <v>1050</v>
      </c>
      <c r="O46" t="s">
        <v>1051</v>
      </c>
      <c r="P46" t="s">
        <v>167</v>
      </c>
      <c r="Q46" t="s">
        <v>167</v>
      </c>
      <c r="R46" t="s">
        <v>167</v>
      </c>
      <c r="S46" s="25">
        <v>3</v>
      </c>
    </row>
    <row r="47" spans="1:19" x14ac:dyDescent="0.25">
      <c r="A47">
        <v>46</v>
      </c>
      <c r="B47" t="s">
        <v>490</v>
      </c>
      <c r="C47" t="s">
        <v>1052</v>
      </c>
      <c r="D47">
        <v>2016</v>
      </c>
      <c r="E47" t="s">
        <v>1053</v>
      </c>
      <c r="F47" t="s">
        <v>1054</v>
      </c>
      <c r="G47" t="s">
        <v>1055</v>
      </c>
      <c r="H47" t="s">
        <v>4009</v>
      </c>
      <c r="I47" t="b">
        <v>1</v>
      </c>
      <c r="J47">
        <f t="shared" si="1"/>
        <v>20</v>
      </c>
      <c r="K47" cm="1">
        <f t="array" ref="K47">IFERROR(INDEX(impact_factors!$C$1:$C$3000,MATCH(TRUE,ISNUMBER(SEARCH(H47,impact_factors!$B$1:$B$3000)),0)),IF(H47="XX",0,"X"))</f>
        <v>0.29799999999999999</v>
      </c>
      <c r="L47">
        <v>21</v>
      </c>
      <c r="M47" t="s">
        <v>1056</v>
      </c>
      <c r="N47" t="s">
        <v>1057</v>
      </c>
      <c r="O47" t="s">
        <v>1058</v>
      </c>
      <c r="P47" t="s">
        <v>167</v>
      </c>
      <c r="Q47" t="s">
        <v>167</v>
      </c>
      <c r="R47" t="s">
        <v>167</v>
      </c>
      <c r="S47" s="25">
        <v>3</v>
      </c>
    </row>
    <row r="48" spans="1:19" x14ac:dyDescent="0.25">
      <c r="A48">
        <v>47</v>
      </c>
      <c r="B48" t="s">
        <v>492</v>
      </c>
      <c r="C48" t="s">
        <v>1059</v>
      </c>
      <c r="D48">
        <v>2020</v>
      </c>
      <c r="E48" t="s">
        <v>1060</v>
      </c>
      <c r="F48" t="s">
        <v>1061</v>
      </c>
      <c r="G48" t="s">
        <v>1062</v>
      </c>
      <c r="H48" t="s">
        <v>4013</v>
      </c>
      <c r="I48" t="b">
        <v>1</v>
      </c>
      <c r="J48">
        <f t="shared" si="1"/>
        <v>24</v>
      </c>
      <c r="K48" t="str" cm="1">
        <f t="array" ref="K48">IFERROR(INDEX(impact_factors!$C$1:$C$3000,MATCH(TRUE,ISNUMBER(SEARCH(H48,impact_factors!$B$1:$B$3000)),0)),IF(H48="XX",0,"X"))</f>
        <v>X</v>
      </c>
      <c r="L48">
        <v>1</v>
      </c>
      <c r="M48" t="s">
        <v>1063</v>
      </c>
      <c r="N48" t="s">
        <v>1064</v>
      </c>
      <c r="O48" t="s">
        <v>1065</v>
      </c>
      <c r="P48" t="s">
        <v>167</v>
      </c>
      <c r="Q48" t="s">
        <v>167</v>
      </c>
      <c r="R48" t="s">
        <v>167</v>
      </c>
      <c r="S48" s="25">
        <v>2</v>
      </c>
    </row>
    <row r="49" spans="1:19" x14ac:dyDescent="0.25">
      <c r="A49">
        <v>48</v>
      </c>
      <c r="B49" t="s">
        <v>494</v>
      </c>
      <c r="C49" t="s">
        <v>1066</v>
      </c>
      <c r="D49">
        <v>2015</v>
      </c>
      <c r="E49" t="s">
        <v>1067</v>
      </c>
      <c r="F49" t="s">
        <v>1068</v>
      </c>
      <c r="G49" t="s">
        <v>1069</v>
      </c>
      <c r="H49" t="s">
        <v>3997</v>
      </c>
      <c r="I49" t="b">
        <v>1</v>
      </c>
      <c r="J49">
        <f t="shared" si="1"/>
        <v>19</v>
      </c>
      <c r="K49" cm="1">
        <f t="array" ref="K49">IFERROR(INDEX(impact_factors!$C$1:$C$3000,MATCH(TRUE,ISNUMBER(SEARCH(H49,impact_factors!$B$1:$B$3000)),0)),IF(H49="XX",0,"X"))</f>
        <v>2.5000000000000001E-2</v>
      </c>
      <c r="L49">
        <v>25</v>
      </c>
      <c r="M49" t="s">
        <v>1070</v>
      </c>
      <c r="N49" t="s">
        <v>1071</v>
      </c>
      <c r="O49" t="s">
        <v>780</v>
      </c>
      <c r="P49" t="s">
        <v>167</v>
      </c>
      <c r="Q49" t="s">
        <v>167</v>
      </c>
      <c r="R49" t="s">
        <v>167</v>
      </c>
      <c r="S49" s="25">
        <v>2</v>
      </c>
    </row>
    <row r="50" spans="1:19" x14ac:dyDescent="0.25">
      <c r="A50">
        <v>49</v>
      </c>
      <c r="B50" t="s">
        <v>495</v>
      </c>
      <c r="C50" t="s">
        <v>1072</v>
      </c>
      <c r="D50">
        <v>2008</v>
      </c>
      <c r="E50" t="s">
        <v>1073</v>
      </c>
      <c r="F50" t="s">
        <v>1074</v>
      </c>
      <c r="G50" t="s">
        <v>1075</v>
      </c>
      <c r="H50" t="s">
        <v>4023</v>
      </c>
      <c r="I50" t="b">
        <v>1</v>
      </c>
      <c r="J50">
        <f t="shared" si="1"/>
        <v>12</v>
      </c>
      <c r="K50" cm="1">
        <f t="array" ref="K50">IFERROR(INDEX(impact_factors!$C$1:$C$3000,MATCH(TRUE,ISNUMBER(SEARCH(H50,impact_factors!$B$1:$B$3000)),0)),IF(H50="XX",0,"X"))</f>
        <v>0.63</v>
      </c>
      <c r="L50">
        <v>161</v>
      </c>
      <c r="M50" t="s">
        <v>1076</v>
      </c>
      <c r="N50" t="s">
        <v>1077</v>
      </c>
      <c r="O50" t="s">
        <v>1078</v>
      </c>
      <c r="P50" t="s">
        <v>167</v>
      </c>
      <c r="Q50" t="s">
        <v>167</v>
      </c>
      <c r="R50" t="s">
        <v>167</v>
      </c>
      <c r="S50" s="25">
        <v>2</v>
      </c>
    </row>
    <row r="51" spans="1:19" x14ac:dyDescent="0.25">
      <c r="A51">
        <v>50</v>
      </c>
      <c r="B51" t="s">
        <v>497</v>
      </c>
      <c r="C51" t="s">
        <v>841</v>
      </c>
      <c r="D51">
        <v>2017</v>
      </c>
      <c r="E51" t="s">
        <v>1079</v>
      </c>
      <c r="F51" t="s">
        <v>1080</v>
      </c>
      <c r="G51" t="s">
        <v>1081</v>
      </c>
      <c r="H51" t="s">
        <v>4014</v>
      </c>
      <c r="I51" t="b">
        <v>0</v>
      </c>
      <c r="J51">
        <f t="shared" si="1"/>
        <v>21</v>
      </c>
      <c r="K51" t="str" cm="1">
        <f t="array" ref="K51">IFERROR(INDEX(impact_factors!$C$1:$C$3000,MATCH(TRUE,ISNUMBER(SEARCH(H51,impact_factors!$B$1:$B$3000)),0)),IF(H51="XX",0,"X"))</f>
        <v>X</v>
      </c>
      <c r="L51">
        <v>7</v>
      </c>
      <c r="M51" t="s">
        <v>1082</v>
      </c>
      <c r="N51" t="s">
        <v>1083</v>
      </c>
      <c r="O51" t="s">
        <v>1083</v>
      </c>
      <c r="P51" t="s">
        <v>167</v>
      </c>
      <c r="Q51" t="s">
        <v>167</v>
      </c>
      <c r="R51" t="s">
        <v>167</v>
      </c>
      <c r="S51" s="25">
        <v>4</v>
      </c>
    </row>
    <row r="52" spans="1:19" x14ac:dyDescent="0.25">
      <c r="A52">
        <v>51</v>
      </c>
      <c r="B52" t="s">
        <v>499</v>
      </c>
      <c r="C52" t="s">
        <v>1084</v>
      </c>
      <c r="D52">
        <v>2013</v>
      </c>
      <c r="E52" t="s">
        <v>1085</v>
      </c>
      <c r="F52" t="s">
        <v>1086</v>
      </c>
      <c r="G52" t="s">
        <v>1087</v>
      </c>
      <c r="H52" t="s">
        <v>4024</v>
      </c>
      <c r="I52" t="b">
        <v>1</v>
      </c>
      <c r="J52">
        <f t="shared" si="1"/>
        <v>17</v>
      </c>
      <c r="K52" cm="1">
        <f t="array" ref="K52">IFERROR(INDEX(impact_factors!$C$1:$C$3000,MATCH(TRUE,ISNUMBER(SEARCH(H52,impact_factors!$B$1:$B$3000)),0)),IF(H52="XX",0,"X"))</f>
        <v>0.20599999999999999</v>
      </c>
      <c r="L52">
        <v>0</v>
      </c>
      <c r="M52" t="s">
        <v>1088</v>
      </c>
      <c r="N52" t="s">
        <v>1089</v>
      </c>
      <c r="O52" t="s">
        <v>1090</v>
      </c>
      <c r="P52" t="s">
        <v>167</v>
      </c>
      <c r="Q52" t="s">
        <v>167</v>
      </c>
      <c r="R52" t="s">
        <v>167</v>
      </c>
      <c r="S52" s="25">
        <v>2</v>
      </c>
    </row>
    <row r="53" spans="1:19" x14ac:dyDescent="0.25">
      <c r="A53">
        <v>52</v>
      </c>
      <c r="B53" t="s">
        <v>500</v>
      </c>
      <c r="C53" t="s">
        <v>1091</v>
      </c>
      <c r="D53">
        <v>2010</v>
      </c>
      <c r="E53" t="s">
        <v>1092</v>
      </c>
      <c r="F53" t="s">
        <v>1093</v>
      </c>
      <c r="G53" t="s">
        <v>1094</v>
      </c>
      <c r="H53" t="s">
        <v>4015</v>
      </c>
      <c r="I53" t="b">
        <v>1</v>
      </c>
      <c r="J53">
        <f t="shared" si="1"/>
        <v>14</v>
      </c>
      <c r="K53" cm="1">
        <f t="array" ref="K53">IFERROR(INDEX(impact_factors!$C$1:$C$3000,MATCH(TRUE,ISNUMBER(SEARCH(H53,impact_factors!$B$1:$B$3000)),0)),IF(H53="XX",0,"X"))</f>
        <v>6.9000000000000006E-2</v>
      </c>
      <c r="L53">
        <v>47</v>
      </c>
      <c r="M53" t="s">
        <v>1095</v>
      </c>
      <c r="N53" t="s">
        <v>1096</v>
      </c>
      <c r="O53" t="s">
        <v>1097</v>
      </c>
      <c r="P53" t="s">
        <v>167</v>
      </c>
      <c r="Q53" t="s">
        <v>167</v>
      </c>
      <c r="R53" t="s">
        <v>167</v>
      </c>
      <c r="S53" s="25">
        <v>2</v>
      </c>
    </row>
    <row r="54" spans="1:19" x14ac:dyDescent="0.25">
      <c r="A54">
        <v>53</v>
      </c>
      <c r="B54" t="s">
        <v>4164</v>
      </c>
      <c r="C54" t="s">
        <v>4165</v>
      </c>
      <c r="D54">
        <v>1996</v>
      </c>
      <c r="E54" t="s">
        <v>4166</v>
      </c>
      <c r="F54" t="s">
        <v>4167</v>
      </c>
      <c r="G54" t="s">
        <v>4168</v>
      </c>
      <c r="H54" t="s">
        <v>4169</v>
      </c>
      <c r="I54" t="b">
        <v>1</v>
      </c>
      <c r="J54">
        <f t="shared" si="1"/>
        <v>0</v>
      </c>
      <c r="K54" cm="1">
        <f t="array" ref="K54">IFERROR(INDEX(impact_factors!$C$1:$C$3000,MATCH(TRUE,ISNUMBER(SEARCH(H54,impact_factors!$B$1:$B$3000)),0)),IF(H54="XX",0,"X"))</f>
        <v>0.76700000000000002</v>
      </c>
      <c r="L54">
        <v>347</v>
      </c>
      <c r="M54" t="s">
        <v>4162</v>
      </c>
      <c r="N54" t="s">
        <v>4163</v>
      </c>
      <c r="O54" t="s">
        <v>780</v>
      </c>
      <c r="P54" t="s">
        <v>167</v>
      </c>
      <c r="Q54" t="s">
        <v>167</v>
      </c>
      <c r="R54" t="s">
        <v>167</v>
      </c>
      <c r="S54" s="25">
        <v>1</v>
      </c>
    </row>
    <row r="55" spans="1:19" x14ac:dyDescent="0.25">
      <c r="A55">
        <v>54</v>
      </c>
      <c r="B55" t="s">
        <v>502</v>
      </c>
      <c r="C55" t="s">
        <v>1098</v>
      </c>
      <c r="D55">
        <v>2001</v>
      </c>
      <c r="E55" t="s">
        <v>1099</v>
      </c>
      <c r="F55" t="s">
        <v>1100</v>
      </c>
      <c r="G55" t="s">
        <v>1101</v>
      </c>
      <c r="H55" t="s">
        <v>4018</v>
      </c>
      <c r="I55" t="b">
        <v>0</v>
      </c>
      <c r="J55">
        <f t="shared" si="1"/>
        <v>5</v>
      </c>
      <c r="K55" cm="1">
        <f t="array" ref="K55">IFERROR(INDEX(impact_factors!$C$1:$C$3000,MATCH(TRUE,ISNUMBER(SEARCH(H55,impact_factors!$B$1:$B$3000)),0)),IF(H55="XX",0,"X"))</f>
        <v>0</v>
      </c>
      <c r="L55">
        <v>125</v>
      </c>
      <c r="M55" t="s">
        <v>1102</v>
      </c>
      <c r="N55" t="s">
        <v>1103</v>
      </c>
      <c r="O55" t="s">
        <v>1103</v>
      </c>
      <c r="P55" t="s">
        <v>167</v>
      </c>
      <c r="Q55" t="s">
        <v>167</v>
      </c>
      <c r="R55" t="s">
        <v>167</v>
      </c>
      <c r="S55" s="25">
        <v>2</v>
      </c>
    </row>
    <row r="56" spans="1:19" x14ac:dyDescent="0.25">
      <c r="A56">
        <v>55</v>
      </c>
      <c r="B56" t="s">
        <v>510</v>
      </c>
      <c r="C56" t="s">
        <v>1104</v>
      </c>
      <c r="D56">
        <v>2020</v>
      </c>
      <c r="E56" t="s">
        <v>1105</v>
      </c>
      <c r="F56" t="s">
        <v>1106</v>
      </c>
      <c r="G56" t="s">
        <v>1107</v>
      </c>
      <c r="H56" t="s">
        <v>4016</v>
      </c>
      <c r="I56" t="b">
        <v>1</v>
      </c>
      <c r="J56">
        <f t="shared" si="1"/>
        <v>24</v>
      </c>
      <c r="K56" cm="1">
        <f t="array" ref="K56">IFERROR(INDEX(impact_factors!$C$1:$C$3000,MATCH(TRUE,ISNUMBER(SEARCH(H56,impact_factors!$B$1:$B$3000)),0)),IF(H56="XX",0,"X"))</f>
        <v>4.0000000000000001E-3</v>
      </c>
      <c r="L56">
        <v>2</v>
      </c>
      <c r="M56" t="s">
        <v>1108</v>
      </c>
      <c r="N56" t="s">
        <v>1109</v>
      </c>
      <c r="O56" t="s">
        <v>1110</v>
      </c>
      <c r="P56" t="s">
        <v>167</v>
      </c>
      <c r="Q56" t="s">
        <v>167</v>
      </c>
      <c r="R56" t="s">
        <v>167</v>
      </c>
      <c r="S56" s="25">
        <v>4</v>
      </c>
    </row>
    <row r="57" spans="1:19" x14ac:dyDescent="0.25">
      <c r="A57">
        <v>56</v>
      </c>
      <c r="B57" t="s">
        <v>4034</v>
      </c>
      <c r="C57" t="s">
        <v>4044</v>
      </c>
      <c r="D57">
        <v>2019</v>
      </c>
      <c r="E57" t="s">
        <v>4045</v>
      </c>
      <c r="F57" t="s">
        <v>4046</v>
      </c>
      <c r="G57" t="s">
        <v>4047</v>
      </c>
      <c r="H57" t="s">
        <v>4002</v>
      </c>
      <c r="I57" t="b">
        <v>1</v>
      </c>
      <c r="J57">
        <f t="shared" si="1"/>
        <v>23</v>
      </c>
      <c r="K57" cm="1">
        <f t="array" ref="K57">IFERROR(INDEX(impact_factors!$C$1:$C$3000,MATCH(TRUE,ISNUMBER(SEARCH(H57,impact_factors!$B$1:$B$3000)),0)),IF(H57="XX",0,"X"))</f>
        <v>4.149</v>
      </c>
      <c r="L57">
        <v>8</v>
      </c>
      <c r="M57" t="s">
        <v>4048</v>
      </c>
      <c r="N57" t="s">
        <v>4049</v>
      </c>
      <c r="O57" t="s">
        <v>4050</v>
      </c>
      <c r="P57" t="s">
        <v>167</v>
      </c>
      <c r="Q57" t="s">
        <v>167</v>
      </c>
      <c r="R57" t="s">
        <v>167</v>
      </c>
      <c r="S57" s="25">
        <v>2</v>
      </c>
    </row>
    <row r="58" spans="1:19" x14ac:dyDescent="0.25">
      <c r="A58">
        <v>57</v>
      </c>
      <c r="B58" t="s">
        <v>4054</v>
      </c>
      <c r="C58" t="s">
        <v>4055</v>
      </c>
      <c r="D58">
        <v>2007</v>
      </c>
      <c r="E58" t="s">
        <v>4056</v>
      </c>
      <c r="F58" t="s">
        <v>4057</v>
      </c>
      <c r="G58" t="s">
        <v>4058</v>
      </c>
      <c r="H58" t="s">
        <v>4059</v>
      </c>
      <c r="I58" t="b">
        <v>1</v>
      </c>
      <c r="J58">
        <f t="shared" si="1"/>
        <v>11</v>
      </c>
      <c r="K58" t="str" cm="1">
        <f t="array" ref="K58">IFERROR(INDEX(impact_factors!$C$1:$C$3000,MATCH(TRUE,ISNUMBER(SEARCH(H58,impact_factors!$B$1:$B$3000)),0)),IF(H58="XX",0,"X"))</f>
        <v>X</v>
      </c>
      <c r="L58">
        <v>4</v>
      </c>
      <c r="M58" t="s">
        <v>4060</v>
      </c>
      <c r="N58" t="s">
        <v>4061</v>
      </c>
      <c r="O58" t="s">
        <v>4062</v>
      </c>
      <c r="P58" t="s">
        <v>167</v>
      </c>
      <c r="Q58" t="s">
        <v>167</v>
      </c>
      <c r="R58" t="s">
        <v>167</v>
      </c>
      <c r="S58" s="25">
        <v>3</v>
      </c>
    </row>
    <row r="59" spans="1:19" x14ac:dyDescent="0.25">
      <c r="A59">
        <v>58</v>
      </c>
      <c r="B59" t="s">
        <v>4063</v>
      </c>
      <c r="C59" t="s">
        <v>4066</v>
      </c>
      <c r="D59">
        <v>2015</v>
      </c>
      <c r="E59" t="s">
        <v>4067</v>
      </c>
      <c r="F59" t="s">
        <v>4068</v>
      </c>
      <c r="G59" t="s">
        <v>4069</v>
      </c>
      <c r="H59" t="s">
        <v>4018</v>
      </c>
      <c r="I59" t="b">
        <v>0</v>
      </c>
      <c r="J59">
        <f t="shared" si="1"/>
        <v>19</v>
      </c>
      <c r="K59" cm="1">
        <f t="array" ref="K59">IFERROR(INDEX(impact_factors!$C$1:$C$3000,MATCH(TRUE,ISNUMBER(SEARCH(H59,impact_factors!$B$1:$B$3000)),0)),IF(H59="XX",0,"X"))</f>
        <v>0</v>
      </c>
      <c r="L59">
        <v>0</v>
      </c>
      <c r="M59" t="s">
        <v>4070</v>
      </c>
      <c r="N59" t="s">
        <v>4071</v>
      </c>
      <c r="O59" t="s">
        <v>4072</v>
      </c>
      <c r="P59" t="s">
        <v>167</v>
      </c>
      <c r="Q59" t="s">
        <v>167</v>
      </c>
      <c r="R59" t="s">
        <v>167</v>
      </c>
      <c r="S59" s="25">
        <v>2</v>
      </c>
    </row>
    <row r="60" spans="1:19" x14ac:dyDescent="0.25">
      <c r="A60">
        <v>59</v>
      </c>
      <c r="B60" t="s">
        <v>4073</v>
      </c>
      <c r="C60" t="s">
        <v>4074</v>
      </c>
      <c r="D60">
        <v>2023</v>
      </c>
      <c r="E60" t="s">
        <v>4075</v>
      </c>
      <c r="F60" t="s">
        <v>4076</v>
      </c>
      <c r="G60" t="s">
        <v>4077</v>
      </c>
      <c r="H60" t="s">
        <v>4018</v>
      </c>
      <c r="I60" t="b">
        <v>0</v>
      </c>
      <c r="J60">
        <f t="shared" si="1"/>
        <v>27</v>
      </c>
      <c r="K60" cm="1">
        <f t="array" ref="K60">IFERROR(INDEX(impact_factors!$C$1:$C$3000,MATCH(TRUE,ISNUMBER(SEARCH(H60,impact_factors!$B$1:$B$3000)),0)),IF(H60="XX",0,"X"))</f>
        <v>0</v>
      </c>
      <c r="L60">
        <v>2</v>
      </c>
      <c r="M60" t="s">
        <v>4078</v>
      </c>
      <c r="N60" t="s">
        <v>4079</v>
      </c>
      <c r="O60" t="s">
        <v>4079</v>
      </c>
      <c r="P60" t="s">
        <v>167</v>
      </c>
      <c r="Q60" t="s">
        <v>167</v>
      </c>
      <c r="R60" t="s">
        <v>167</v>
      </c>
      <c r="S60" s="25">
        <v>1</v>
      </c>
    </row>
    <row r="61" spans="1:19" x14ac:dyDescent="0.25">
      <c r="A61">
        <v>60</v>
      </c>
      <c r="B61" t="s">
        <v>4080</v>
      </c>
      <c r="C61" t="s">
        <v>4081</v>
      </c>
      <c r="D61">
        <v>2020</v>
      </c>
      <c r="E61" t="s">
        <v>4082</v>
      </c>
      <c r="F61" t="s">
        <v>4083</v>
      </c>
      <c r="G61" t="s">
        <v>4084</v>
      </c>
      <c r="H61" t="s">
        <v>4085</v>
      </c>
      <c r="I61" t="b">
        <v>1</v>
      </c>
      <c r="J61">
        <f t="shared" si="1"/>
        <v>24</v>
      </c>
      <c r="K61" cm="1">
        <f t="array" ref="K61">IFERROR(INDEX(impact_factors!$C$1:$C$3000,MATCH(TRUE,ISNUMBER(SEARCH(H61,impact_factors!$B$1:$B$3000)),0)),IF(H61="XX",0,"X"))</f>
        <v>4.2000000000000003E-2</v>
      </c>
      <c r="L61">
        <v>6</v>
      </c>
      <c r="M61" t="s">
        <v>4086</v>
      </c>
      <c r="N61" t="s">
        <v>4087</v>
      </c>
      <c r="O61" t="s">
        <v>780</v>
      </c>
      <c r="P61" t="s">
        <v>167</v>
      </c>
      <c r="Q61" t="s">
        <v>167</v>
      </c>
      <c r="R61" t="s">
        <v>167</v>
      </c>
      <c r="S61" s="25">
        <v>3</v>
      </c>
    </row>
    <row r="62" spans="1:19" x14ac:dyDescent="0.25">
      <c r="A62">
        <v>61</v>
      </c>
      <c r="B62" t="s">
        <v>4088</v>
      </c>
      <c r="C62" t="s">
        <v>4089</v>
      </c>
      <c r="D62">
        <v>2012</v>
      </c>
      <c r="E62" t="s">
        <v>4090</v>
      </c>
      <c r="F62" t="s">
        <v>4091</v>
      </c>
      <c r="G62" t="s">
        <v>4092</v>
      </c>
      <c r="H62" t="s">
        <v>4018</v>
      </c>
      <c r="I62" t="b">
        <v>0</v>
      </c>
      <c r="J62">
        <f t="shared" si="1"/>
        <v>16</v>
      </c>
      <c r="K62" cm="1">
        <f t="array" ref="K62">IFERROR(INDEX(impact_factors!$C$1:$C$3000,MATCH(TRUE,ISNUMBER(SEARCH(H62,impact_factors!$B$1:$B$3000)),0)),IF(H62="XX",0,"X"))</f>
        <v>0</v>
      </c>
      <c r="L62">
        <v>0</v>
      </c>
      <c r="M62" t="s">
        <v>4093</v>
      </c>
      <c r="N62" t="s">
        <v>4094</v>
      </c>
      <c r="O62" t="s">
        <v>4094</v>
      </c>
      <c r="P62" t="s">
        <v>167</v>
      </c>
      <c r="Q62" t="s">
        <v>167</v>
      </c>
      <c r="R62" t="s">
        <v>167</v>
      </c>
      <c r="S62" s="25">
        <v>3</v>
      </c>
    </row>
    <row r="63" spans="1:19" x14ac:dyDescent="0.25">
      <c r="A63">
        <v>62</v>
      </c>
      <c r="B63" t="s">
        <v>4095</v>
      </c>
      <c r="C63" t="s">
        <v>4096</v>
      </c>
      <c r="D63">
        <v>2018</v>
      </c>
      <c r="E63" t="s">
        <v>4097</v>
      </c>
      <c r="F63" t="s">
        <v>4098</v>
      </c>
      <c r="G63" t="s">
        <v>4099</v>
      </c>
      <c r="H63" t="s">
        <v>4018</v>
      </c>
      <c r="I63" t="b">
        <v>0</v>
      </c>
      <c r="J63">
        <f t="shared" si="1"/>
        <v>22</v>
      </c>
      <c r="K63" cm="1">
        <f t="array" ref="K63">IFERROR(INDEX(impact_factors!$C$1:$C$3000,MATCH(TRUE,ISNUMBER(SEARCH(H63,impact_factors!$B$1:$B$3000)),0)),IF(H63="XX",0,"X"))</f>
        <v>0</v>
      </c>
      <c r="L63">
        <v>0</v>
      </c>
      <c r="M63" t="s">
        <v>4100</v>
      </c>
      <c r="N63" t="s">
        <v>4101</v>
      </c>
      <c r="O63" t="s">
        <v>4101</v>
      </c>
      <c r="P63" t="s">
        <v>167</v>
      </c>
      <c r="Q63" t="s">
        <v>167</v>
      </c>
      <c r="R63" t="s">
        <v>167</v>
      </c>
      <c r="S63" s="25">
        <v>3</v>
      </c>
    </row>
    <row r="64" spans="1:19" x14ac:dyDescent="0.25">
      <c r="A64">
        <v>63</v>
      </c>
      <c r="B64" t="s">
        <v>4105</v>
      </c>
      <c r="C64" t="s">
        <v>4131</v>
      </c>
      <c r="D64">
        <v>2009</v>
      </c>
      <c r="E64" t="s">
        <v>4132</v>
      </c>
      <c r="F64" t="s">
        <v>4133</v>
      </c>
      <c r="G64" t="s">
        <v>4134</v>
      </c>
      <c r="H64" t="s">
        <v>4011</v>
      </c>
      <c r="I64" t="b">
        <v>1</v>
      </c>
      <c r="J64">
        <f t="shared" si="1"/>
        <v>13</v>
      </c>
      <c r="K64" cm="1">
        <f t="array" ref="K64">IFERROR(INDEX(impact_factors!$C$1:$C$3000,MATCH(TRUE,ISNUMBER(SEARCH(H64,impact_factors!$B$1:$B$3000)),0)),IF(H64="XX",0,"X"))</f>
        <v>0.17100000000000001</v>
      </c>
      <c r="L64">
        <v>120</v>
      </c>
      <c r="M64" t="s">
        <v>4135</v>
      </c>
      <c r="N64" t="s">
        <v>4136</v>
      </c>
      <c r="O64" t="s">
        <v>780</v>
      </c>
      <c r="P64" t="s">
        <v>167</v>
      </c>
      <c r="Q64" t="s">
        <v>167</v>
      </c>
      <c r="R64" t="s">
        <v>167</v>
      </c>
      <c r="S64" s="25">
        <v>2</v>
      </c>
    </row>
    <row r="65" spans="1:19" x14ac:dyDescent="0.25">
      <c r="A65">
        <v>64</v>
      </c>
      <c r="B65" t="s">
        <v>4106</v>
      </c>
      <c r="C65" t="s">
        <v>4107</v>
      </c>
      <c r="D65">
        <v>2014</v>
      </c>
      <c r="E65" t="s">
        <v>4108</v>
      </c>
      <c r="F65" t="s">
        <v>4109</v>
      </c>
      <c r="G65" t="s">
        <v>4110</v>
      </c>
      <c r="H65" t="s">
        <v>4114</v>
      </c>
      <c r="I65" t="b">
        <v>1</v>
      </c>
      <c r="J65">
        <f t="shared" si="1"/>
        <v>18</v>
      </c>
      <c r="K65" t="str" cm="1">
        <f t="array" ref="K65">IFERROR(INDEX(impact_factors!$C$1:$C$3000,MATCH(TRUE,ISNUMBER(SEARCH(H65,impact_factors!$B$1:$B$3000)),0)),IF(H65="XX",0,"X"))</f>
        <v>X</v>
      </c>
      <c r="L65">
        <v>4</v>
      </c>
      <c r="M65" t="s">
        <v>4111</v>
      </c>
      <c r="N65" t="s">
        <v>4112</v>
      </c>
      <c r="O65" t="s">
        <v>4113</v>
      </c>
      <c r="P65" t="s">
        <v>167</v>
      </c>
      <c r="Q65" t="s">
        <v>167</v>
      </c>
      <c r="R65" t="s">
        <v>167</v>
      </c>
      <c r="S65" s="25">
        <v>3</v>
      </c>
    </row>
    <row r="66" spans="1:19" x14ac:dyDescent="0.25">
      <c r="A66">
        <v>65</v>
      </c>
      <c r="B66" t="s">
        <v>4115</v>
      </c>
      <c r="C66" t="s">
        <v>4116</v>
      </c>
      <c r="D66">
        <v>2013</v>
      </c>
      <c r="E66" t="s">
        <v>4117</v>
      </c>
      <c r="F66" t="s">
        <v>4118</v>
      </c>
      <c r="G66" t="s">
        <v>4119</v>
      </c>
      <c r="H66" t="s">
        <v>4120</v>
      </c>
      <c r="I66" t="b">
        <v>1</v>
      </c>
      <c r="J66">
        <f t="shared" ref="J66:J75" si="2">D66-MIN($D:$D)</f>
        <v>17</v>
      </c>
      <c r="K66" cm="1">
        <f t="array" ref="K66">IFERROR(INDEX(impact_factors!$C$1:$C$3000,MATCH(TRUE,ISNUMBER(SEARCH(H66,impact_factors!$B$1:$B$3000)),0)),IF(H66="XX",0,"X"))</f>
        <v>0.19600000000000001</v>
      </c>
      <c r="L66">
        <v>166</v>
      </c>
      <c r="M66" t="s">
        <v>4121</v>
      </c>
      <c r="N66" t="s">
        <v>4122</v>
      </c>
      <c r="O66" t="s">
        <v>780</v>
      </c>
      <c r="P66" t="s">
        <v>167</v>
      </c>
      <c r="Q66" t="s">
        <v>167</v>
      </c>
      <c r="R66" t="s">
        <v>167</v>
      </c>
      <c r="S66" s="25">
        <v>1</v>
      </c>
    </row>
    <row r="67" spans="1:19" x14ac:dyDescent="0.25">
      <c r="A67">
        <v>66</v>
      </c>
      <c r="B67" t="s">
        <v>4123</v>
      </c>
      <c r="C67" t="s">
        <v>4124</v>
      </c>
      <c r="D67">
        <v>1998</v>
      </c>
      <c r="E67" t="s">
        <v>4125</v>
      </c>
      <c r="F67" t="s">
        <v>4126</v>
      </c>
      <c r="G67" t="s">
        <v>4127</v>
      </c>
      <c r="H67" t="s">
        <v>4128</v>
      </c>
      <c r="I67" t="b">
        <v>1</v>
      </c>
      <c r="J67">
        <f t="shared" si="2"/>
        <v>2</v>
      </c>
      <c r="K67" t="str" cm="1">
        <f t="array" ref="K67">IFERROR(INDEX(impact_factors!$C$1:$C$3000,MATCH(TRUE,ISNUMBER(SEARCH(H67,impact_factors!$B$1:$B$3000)),0)),IF(H67="XX",0,"X"))</f>
        <v>X</v>
      </c>
      <c r="L67">
        <v>6</v>
      </c>
      <c r="M67" t="s">
        <v>4129</v>
      </c>
      <c r="N67" t="s">
        <v>4130</v>
      </c>
      <c r="O67" t="s">
        <v>4130</v>
      </c>
      <c r="P67" t="s">
        <v>167</v>
      </c>
      <c r="Q67" t="s">
        <v>167</v>
      </c>
      <c r="R67" t="s">
        <v>167</v>
      </c>
      <c r="S67" s="25">
        <v>4</v>
      </c>
    </row>
    <row r="68" spans="1:19" x14ac:dyDescent="0.25">
      <c r="A68">
        <v>67</v>
      </c>
      <c r="B68" t="s">
        <v>4137</v>
      </c>
      <c r="C68" t="s">
        <v>4138</v>
      </c>
      <c r="D68">
        <v>2015</v>
      </c>
      <c r="E68" t="s">
        <v>4139</v>
      </c>
      <c r="F68" t="s">
        <v>4140</v>
      </c>
      <c r="G68" t="s">
        <v>4141</v>
      </c>
      <c r="H68" t="s">
        <v>4120</v>
      </c>
      <c r="I68" t="b">
        <v>1</v>
      </c>
      <c r="J68">
        <f t="shared" si="2"/>
        <v>19</v>
      </c>
      <c r="K68" cm="1">
        <f t="array" ref="K68">IFERROR(INDEX(impact_factors!$C$1:$C$3000,MATCH(TRUE,ISNUMBER(SEARCH(H68,impact_factors!$B$1:$B$3000)),0)),IF(H68="XX",0,"X"))</f>
        <v>0.19600000000000001</v>
      </c>
      <c r="L68">
        <v>118</v>
      </c>
      <c r="M68" t="s">
        <v>4142</v>
      </c>
      <c r="N68" t="s">
        <v>4143</v>
      </c>
      <c r="O68" t="s">
        <v>4144</v>
      </c>
      <c r="P68" t="s">
        <v>167</v>
      </c>
      <c r="Q68" t="s">
        <v>167</v>
      </c>
      <c r="R68" t="s">
        <v>167</v>
      </c>
      <c r="S68" s="25">
        <v>2</v>
      </c>
    </row>
    <row r="69" spans="1:19" x14ac:dyDescent="0.25">
      <c r="A69">
        <v>68</v>
      </c>
      <c r="B69" t="s">
        <v>4145</v>
      </c>
      <c r="C69" t="s">
        <v>4146</v>
      </c>
      <c r="D69">
        <v>2012</v>
      </c>
      <c r="E69" t="s">
        <v>4147</v>
      </c>
      <c r="F69" t="s">
        <v>4148</v>
      </c>
      <c r="G69" t="s">
        <v>4149</v>
      </c>
      <c r="H69" t="s">
        <v>4150</v>
      </c>
      <c r="I69" t="b">
        <v>1</v>
      </c>
      <c r="J69">
        <f t="shared" si="2"/>
        <v>16</v>
      </c>
      <c r="K69" t="str" cm="1">
        <f t="array" ref="K69">IFERROR(INDEX(impact_factors!$C$1:$C$3000,MATCH(TRUE,ISNUMBER(SEARCH(H69,impact_factors!$B$1:$B$3000)),0)),IF(H69="XX",0,"X"))</f>
        <v>X</v>
      </c>
      <c r="L69">
        <v>149</v>
      </c>
      <c r="M69" t="s">
        <v>4151</v>
      </c>
      <c r="N69" t="s">
        <v>4152</v>
      </c>
      <c r="O69" t="s">
        <v>4153</v>
      </c>
      <c r="P69" t="s">
        <v>167</v>
      </c>
      <c r="Q69" t="s">
        <v>167</v>
      </c>
      <c r="R69" t="s">
        <v>167</v>
      </c>
      <c r="S69" s="25">
        <v>3</v>
      </c>
    </row>
    <row r="70" spans="1:19" x14ac:dyDescent="0.25">
      <c r="A70">
        <v>69</v>
      </c>
      <c r="B70" t="s">
        <v>4156</v>
      </c>
      <c r="C70" t="s">
        <v>4157</v>
      </c>
      <c r="D70">
        <v>2017</v>
      </c>
      <c r="E70" t="s">
        <v>4158</v>
      </c>
      <c r="F70" t="s">
        <v>4159</v>
      </c>
      <c r="G70" t="s">
        <v>4160</v>
      </c>
      <c r="H70" t="s">
        <v>4161</v>
      </c>
      <c r="I70" t="b">
        <v>1</v>
      </c>
      <c r="J70">
        <f t="shared" si="2"/>
        <v>21</v>
      </c>
      <c r="K70" cm="1">
        <f t="array" ref="K70">IFERROR(INDEX(impact_factors!$C$1:$C$3000,MATCH(TRUE,ISNUMBER(SEARCH(H70,impact_factors!$B$1:$B$3000)),0)),IF(H70="XX",0,"X"))</f>
        <v>0.04</v>
      </c>
      <c r="L70">
        <v>4</v>
      </c>
      <c r="M70" t="s">
        <v>4154</v>
      </c>
      <c r="N70" t="s">
        <v>4155</v>
      </c>
      <c r="O70" t="s">
        <v>4155</v>
      </c>
      <c r="P70" t="s">
        <v>167</v>
      </c>
      <c r="Q70" t="s">
        <v>167</v>
      </c>
      <c r="R70" t="s">
        <v>167</v>
      </c>
      <c r="S70" s="25">
        <v>3</v>
      </c>
    </row>
    <row r="71" spans="1:19" x14ac:dyDescent="0.25">
      <c r="A71">
        <v>70</v>
      </c>
      <c r="B71" t="s">
        <v>4170</v>
      </c>
      <c r="C71" t="s">
        <v>4107</v>
      </c>
      <c r="D71">
        <v>2012</v>
      </c>
      <c r="E71" t="s">
        <v>4171</v>
      </c>
      <c r="F71" t="s">
        <v>4172</v>
      </c>
      <c r="G71" t="s">
        <v>4173</v>
      </c>
      <c r="H71" t="s">
        <v>4018</v>
      </c>
      <c r="I71" t="b">
        <v>0</v>
      </c>
      <c r="J71">
        <f t="shared" si="2"/>
        <v>16</v>
      </c>
      <c r="K71" cm="1">
        <f t="array" ref="K71">IFERROR(INDEX(impact_factors!$C$1:$C$3000,MATCH(TRUE,ISNUMBER(SEARCH(H71,impact_factors!$B$1:$B$3000)),0)),IF(H71="XX",0,"X"))</f>
        <v>0</v>
      </c>
      <c r="L71">
        <v>2</v>
      </c>
      <c r="M71" t="s">
        <v>4174</v>
      </c>
      <c r="N71" t="s">
        <v>4175</v>
      </c>
      <c r="O71" t="s">
        <v>4175</v>
      </c>
      <c r="P71" t="s">
        <v>167</v>
      </c>
      <c r="Q71" t="s">
        <v>167</v>
      </c>
      <c r="R71" t="s">
        <v>167</v>
      </c>
      <c r="S71" s="25">
        <v>2</v>
      </c>
    </row>
    <row r="72" spans="1:19" x14ac:dyDescent="0.25">
      <c r="A72">
        <v>71</v>
      </c>
      <c r="B72" t="s">
        <v>4176</v>
      </c>
      <c r="C72" t="s">
        <v>4177</v>
      </c>
      <c r="D72">
        <v>2019</v>
      </c>
      <c r="E72" t="s">
        <v>4178</v>
      </c>
      <c r="F72" t="s">
        <v>4179</v>
      </c>
      <c r="G72" t="s">
        <v>4180</v>
      </c>
      <c r="H72" t="s">
        <v>4181</v>
      </c>
      <c r="I72" t="b">
        <v>1</v>
      </c>
      <c r="J72">
        <f t="shared" si="2"/>
        <v>23</v>
      </c>
      <c r="K72" t="str" cm="1">
        <f t="array" ref="K72">IFERROR(INDEX(impact_factors!$C$1:$C$3000,MATCH(TRUE,ISNUMBER(SEARCH(H72,impact_factors!$B$1:$B$3000)),0)),IF(H72="XX",0,"X"))</f>
        <v>X</v>
      </c>
      <c r="L72">
        <v>15</v>
      </c>
      <c r="M72" t="s">
        <v>4182</v>
      </c>
      <c r="N72" t="s">
        <v>4183</v>
      </c>
      <c r="O72" t="s">
        <v>4184</v>
      </c>
      <c r="P72" t="s">
        <v>167</v>
      </c>
      <c r="Q72" t="s">
        <v>167</v>
      </c>
      <c r="R72" t="s">
        <v>167</v>
      </c>
      <c r="S72" s="25">
        <v>3</v>
      </c>
    </row>
    <row r="73" spans="1:19" x14ac:dyDescent="0.25">
      <c r="A73">
        <v>72</v>
      </c>
      <c r="B73" t="s">
        <v>4186</v>
      </c>
      <c r="C73" t="s">
        <v>4187</v>
      </c>
      <c r="D73">
        <v>2005</v>
      </c>
      <c r="E73" t="s">
        <v>4188</v>
      </c>
      <c r="F73" t="s">
        <v>4189</v>
      </c>
      <c r="G73" t="s">
        <v>4190</v>
      </c>
      <c r="H73" t="s">
        <v>4018</v>
      </c>
      <c r="I73" t="b">
        <v>0</v>
      </c>
      <c r="J73">
        <f t="shared" si="2"/>
        <v>9</v>
      </c>
      <c r="K73" cm="1">
        <f t="array" ref="K73">IFERROR(INDEX(impact_factors!$C$1:$C$3000,MATCH(TRUE,ISNUMBER(SEARCH(H73,impact_factors!$B$1:$B$3000)),0)),IF(H73="XX",0,"X"))</f>
        <v>0</v>
      </c>
      <c r="L73">
        <v>0</v>
      </c>
      <c r="M73" t="s">
        <v>4191</v>
      </c>
      <c r="N73" t="s">
        <v>4192</v>
      </c>
      <c r="O73" t="s">
        <v>4193</v>
      </c>
      <c r="P73" t="s">
        <v>167</v>
      </c>
      <c r="Q73" t="s">
        <v>167</v>
      </c>
      <c r="R73" t="s">
        <v>167</v>
      </c>
      <c r="S73" s="25">
        <v>3</v>
      </c>
    </row>
    <row r="74" spans="1:19" x14ac:dyDescent="0.25">
      <c r="A74">
        <v>73</v>
      </c>
      <c r="B74" t="s">
        <v>4194</v>
      </c>
      <c r="C74" t="s">
        <v>4195</v>
      </c>
      <c r="D74">
        <v>2022</v>
      </c>
      <c r="E74" t="s">
        <v>4196</v>
      </c>
      <c r="F74" t="s">
        <v>4197</v>
      </c>
      <c r="G74" t="s">
        <v>4198</v>
      </c>
      <c r="H74" t="s">
        <v>4199</v>
      </c>
      <c r="I74" t="b">
        <v>1</v>
      </c>
      <c r="J74">
        <f t="shared" si="2"/>
        <v>26</v>
      </c>
      <c r="K74" cm="1">
        <f t="array" ref="K74">IFERROR(INDEX(impact_factors!$C$1:$C$3000,MATCH(TRUE,ISNUMBER(SEARCH(H74,impact_factors!$B$1:$B$3000)),0)),IF(H74="XX",0,"X"))</f>
        <v>2.9000000000000001E-2</v>
      </c>
      <c r="L74">
        <v>0</v>
      </c>
      <c r="M74" t="s">
        <v>4200</v>
      </c>
      <c r="N74" t="s">
        <v>4201</v>
      </c>
      <c r="O74" t="s">
        <v>4202</v>
      </c>
      <c r="P74" t="s">
        <v>167</v>
      </c>
      <c r="Q74" t="s">
        <v>167</v>
      </c>
      <c r="R74" t="s">
        <v>167</v>
      </c>
      <c r="S74" s="25">
        <v>3</v>
      </c>
    </row>
    <row r="75" spans="1:19" x14ac:dyDescent="0.25">
      <c r="A75" s="84">
        <v>74</v>
      </c>
      <c r="B75" s="84" t="s">
        <v>4203</v>
      </c>
      <c r="C75" s="84" t="s">
        <v>4066</v>
      </c>
      <c r="D75" s="84">
        <v>2016</v>
      </c>
      <c r="E75" s="84" t="s">
        <v>4204</v>
      </c>
      <c r="F75" s="84" t="s">
        <v>4205</v>
      </c>
      <c r="G75" s="84" t="s">
        <v>4206</v>
      </c>
      <c r="H75" s="84" t="s">
        <v>4002</v>
      </c>
      <c r="I75" s="84" t="b">
        <v>1</v>
      </c>
      <c r="J75" s="84">
        <f t="shared" si="2"/>
        <v>20</v>
      </c>
      <c r="K75" s="84" cm="1">
        <f t="array" ref="K75">IFERROR(INDEX(impact_factors!$C$1:$C$3000,MATCH(TRUE,ISNUMBER(SEARCH(H75,impact_factors!$B$1:$B$3000)),0)),IF(H75="XX",0,"X"))</f>
        <v>4.149</v>
      </c>
      <c r="L75" s="84">
        <v>6</v>
      </c>
      <c r="M75" s="84" t="s">
        <v>4207</v>
      </c>
      <c r="N75" s="84" t="s">
        <v>4071</v>
      </c>
      <c r="O75" s="84" t="s">
        <v>780</v>
      </c>
      <c r="P75" s="84" t="s">
        <v>167</v>
      </c>
      <c r="Q75" s="84" t="s">
        <v>167</v>
      </c>
      <c r="R75" s="84" t="s">
        <v>167</v>
      </c>
      <c r="S75" s="85">
        <v>2</v>
      </c>
    </row>
  </sheetData>
  <conditionalFormatting sqref="F1:F53 F55">
    <cfRule type="containsBlanks" dxfId="212" priority="202">
      <formula>LEN(TRIM(F1))=0</formula>
    </cfRule>
  </conditionalFormatting>
  <conditionalFormatting sqref="P2:R53 P55:R55">
    <cfRule type="containsText" dxfId="211" priority="199" operator="containsText" text="PRIMARY STUDY">
      <formula>NOT(ISERROR(SEARCH("PRIMARY STUDY",P2)))</formula>
    </cfRule>
    <cfRule type="notContainsText" dxfId="210" priority="200" operator="notContains" text="YES">
      <formula>ISERROR(SEARCH("YES",P2))</formula>
    </cfRule>
    <cfRule type="containsText" dxfId="209" priority="201" operator="containsText" text="YES">
      <formula>NOT(ISERROR(SEARCH("YES",P2)))</formula>
    </cfRule>
  </conditionalFormatting>
  <conditionalFormatting sqref="S2:S53 S55">
    <cfRule type="containsBlanks" dxfId="208" priority="203">
      <formula>LEN(TRIM(S2))=0</formula>
    </cfRule>
  </conditionalFormatting>
  <conditionalFormatting sqref="S2:S53 S55">
    <cfRule type="cellIs" dxfId="207" priority="197" operator="between">
      <formula>1</formula>
      <formula>4</formula>
    </cfRule>
    <cfRule type="containsText" dxfId="206" priority="198" operator="containsText" text="X">
      <formula>NOT(ISERROR(SEARCH("X",S2)))</formula>
    </cfRule>
  </conditionalFormatting>
  <conditionalFormatting sqref="F56">
    <cfRule type="containsBlanks" dxfId="205" priority="194">
      <formula>LEN(TRIM(F56))=0</formula>
    </cfRule>
  </conditionalFormatting>
  <conditionalFormatting sqref="P56:R56">
    <cfRule type="containsText" dxfId="204" priority="191" operator="containsText" text="PRIMARY STUDY">
      <formula>NOT(ISERROR(SEARCH("PRIMARY STUDY",P56)))</formula>
    </cfRule>
    <cfRule type="notContainsText" dxfId="203" priority="192" operator="notContains" text="YES">
      <formula>ISERROR(SEARCH("YES",P56))</formula>
    </cfRule>
    <cfRule type="containsText" dxfId="202" priority="193" operator="containsText" text="YES">
      <formula>NOT(ISERROR(SEARCH("YES",P56)))</formula>
    </cfRule>
  </conditionalFormatting>
  <conditionalFormatting sqref="B56">
    <cfRule type="duplicateValues" dxfId="201" priority="188"/>
  </conditionalFormatting>
  <conditionalFormatting sqref="S56">
    <cfRule type="containsBlanks" dxfId="200" priority="195">
      <formula>LEN(TRIM(S56))=0</formula>
    </cfRule>
  </conditionalFormatting>
  <conditionalFormatting sqref="S56">
    <cfRule type="cellIs" dxfId="199" priority="189" operator="between">
      <formula>1</formula>
      <formula>4</formula>
    </cfRule>
    <cfRule type="containsText" dxfId="198" priority="190" operator="containsText" text="X">
      <formula>NOT(ISERROR(SEARCH("X",S56)))</formula>
    </cfRule>
  </conditionalFormatting>
  <conditionalFormatting sqref="F57">
    <cfRule type="containsBlanks" dxfId="197" priority="186">
      <formula>LEN(TRIM(F57))=0</formula>
    </cfRule>
  </conditionalFormatting>
  <conditionalFormatting sqref="P57:R57">
    <cfRule type="containsText" dxfId="196" priority="183" operator="containsText" text="PRIMARY STUDY">
      <formula>NOT(ISERROR(SEARCH("PRIMARY STUDY",P57)))</formula>
    </cfRule>
    <cfRule type="notContainsText" dxfId="195" priority="184" operator="notContains" text="YES">
      <formula>ISERROR(SEARCH("YES",P57))</formula>
    </cfRule>
    <cfRule type="containsText" dxfId="194" priority="185" operator="containsText" text="YES">
      <formula>NOT(ISERROR(SEARCH("YES",P57)))</formula>
    </cfRule>
  </conditionalFormatting>
  <conditionalFormatting sqref="B57">
    <cfRule type="duplicateValues" dxfId="193" priority="180"/>
  </conditionalFormatting>
  <conditionalFormatting sqref="S57">
    <cfRule type="containsBlanks" dxfId="192" priority="187">
      <formula>LEN(TRIM(S57))=0</formula>
    </cfRule>
  </conditionalFormatting>
  <conditionalFormatting sqref="S57">
    <cfRule type="cellIs" dxfId="191" priority="181" operator="between">
      <formula>1</formula>
      <formula>4</formula>
    </cfRule>
    <cfRule type="containsText" dxfId="190" priority="182" operator="containsText" text="X">
      <formula>NOT(ISERROR(SEARCH("X",S57)))</formula>
    </cfRule>
  </conditionalFormatting>
  <conditionalFormatting sqref="F58">
    <cfRule type="containsBlanks" dxfId="189" priority="179">
      <formula>LEN(TRIM(F58))=0</formula>
    </cfRule>
  </conditionalFormatting>
  <conditionalFormatting sqref="B58">
    <cfRule type="duplicateValues" dxfId="188" priority="178"/>
  </conditionalFormatting>
  <conditionalFormatting sqref="P58:R58">
    <cfRule type="containsText" dxfId="187" priority="174" operator="containsText" text="PRIMARY STUDY">
      <formula>NOT(ISERROR(SEARCH("PRIMARY STUDY",P58)))</formula>
    </cfRule>
    <cfRule type="notContainsText" dxfId="186" priority="175" operator="notContains" text="YES">
      <formula>ISERROR(SEARCH("YES",P58))</formula>
    </cfRule>
    <cfRule type="containsText" dxfId="185" priority="176" operator="containsText" text="YES">
      <formula>NOT(ISERROR(SEARCH("YES",P58)))</formula>
    </cfRule>
  </conditionalFormatting>
  <conditionalFormatting sqref="S58">
    <cfRule type="containsBlanks" dxfId="184" priority="177">
      <formula>LEN(TRIM(S58))=0</formula>
    </cfRule>
  </conditionalFormatting>
  <conditionalFormatting sqref="S58">
    <cfRule type="cellIs" dxfId="183" priority="172" operator="between">
      <formula>1</formula>
      <formula>4</formula>
    </cfRule>
    <cfRule type="containsText" dxfId="182" priority="173" operator="containsText" text="X">
      <formula>NOT(ISERROR(SEARCH("X",S58)))</formula>
    </cfRule>
  </conditionalFormatting>
  <conditionalFormatting sqref="F59">
    <cfRule type="containsBlanks" dxfId="181" priority="171">
      <formula>LEN(TRIM(F59))=0</formula>
    </cfRule>
  </conditionalFormatting>
  <conditionalFormatting sqref="B59">
    <cfRule type="duplicateValues" dxfId="180" priority="170"/>
  </conditionalFormatting>
  <conditionalFormatting sqref="P59:R59">
    <cfRule type="containsText" dxfId="179" priority="166" operator="containsText" text="PRIMARY STUDY">
      <formula>NOT(ISERROR(SEARCH("PRIMARY STUDY",P59)))</formula>
    </cfRule>
    <cfRule type="notContainsText" dxfId="178" priority="167" operator="notContains" text="YES">
      <formula>ISERROR(SEARCH("YES",P59))</formula>
    </cfRule>
    <cfRule type="containsText" dxfId="177" priority="168" operator="containsText" text="YES">
      <formula>NOT(ISERROR(SEARCH("YES",P59)))</formula>
    </cfRule>
  </conditionalFormatting>
  <conditionalFormatting sqref="S59">
    <cfRule type="containsBlanks" dxfId="176" priority="169">
      <formula>LEN(TRIM(S59))=0</formula>
    </cfRule>
  </conditionalFormatting>
  <conditionalFormatting sqref="S59">
    <cfRule type="cellIs" dxfId="175" priority="164" operator="between">
      <formula>1</formula>
      <formula>4</formula>
    </cfRule>
    <cfRule type="containsText" dxfId="174" priority="165" operator="containsText" text="X">
      <formula>NOT(ISERROR(SEARCH("X",S59)))</formula>
    </cfRule>
  </conditionalFormatting>
  <conditionalFormatting sqref="F60">
    <cfRule type="containsBlanks" dxfId="173" priority="163">
      <formula>LEN(TRIM(F60))=0</formula>
    </cfRule>
  </conditionalFormatting>
  <conditionalFormatting sqref="B60">
    <cfRule type="duplicateValues" dxfId="172" priority="162"/>
  </conditionalFormatting>
  <conditionalFormatting sqref="P60:R60">
    <cfRule type="containsText" dxfId="171" priority="158" operator="containsText" text="PRIMARY STUDY">
      <formula>NOT(ISERROR(SEARCH("PRIMARY STUDY",P60)))</formula>
    </cfRule>
    <cfRule type="notContainsText" dxfId="170" priority="159" operator="notContains" text="YES">
      <formula>ISERROR(SEARCH("YES",P60))</formula>
    </cfRule>
    <cfRule type="containsText" dxfId="169" priority="160" operator="containsText" text="YES">
      <formula>NOT(ISERROR(SEARCH("YES",P60)))</formula>
    </cfRule>
  </conditionalFormatting>
  <conditionalFormatting sqref="S60">
    <cfRule type="containsBlanks" dxfId="168" priority="161">
      <formula>LEN(TRIM(S60))=0</formula>
    </cfRule>
  </conditionalFormatting>
  <conditionalFormatting sqref="S60">
    <cfRule type="cellIs" dxfId="167" priority="156" operator="between">
      <formula>1</formula>
      <formula>4</formula>
    </cfRule>
    <cfRule type="containsText" dxfId="166" priority="157" operator="containsText" text="X">
      <formula>NOT(ISERROR(SEARCH("X",S60)))</formula>
    </cfRule>
  </conditionalFormatting>
  <conditionalFormatting sqref="F61">
    <cfRule type="containsBlanks" dxfId="165" priority="155">
      <formula>LEN(TRIM(F61))=0</formula>
    </cfRule>
  </conditionalFormatting>
  <conditionalFormatting sqref="B61">
    <cfRule type="duplicateValues" dxfId="164" priority="154"/>
  </conditionalFormatting>
  <conditionalFormatting sqref="P61:R61">
    <cfRule type="containsText" dxfId="163" priority="150" operator="containsText" text="PRIMARY STUDY">
      <formula>NOT(ISERROR(SEARCH("PRIMARY STUDY",P61)))</formula>
    </cfRule>
    <cfRule type="notContainsText" dxfId="162" priority="151" operator="notContains" text="YES">
      <formula>ISERROR(SEARCH("YES",P61))</formula>
    </cfRule>
    <cfRule type="containsText" dxfId="161" priority="152" operator="containsText" text="YES">
      <formula>NOT(ISERROR(SEARCH("YES",P61)))</formula>
    </cfRule>
  </conditionalFormatting>
  <conditionalFormatting sqref="S61">
    <cfRule type="containsBlanks" dxfId="160" priority="153">
      <formula>LEN(TRIM(S61))=0</formula>
    </cfRule>
  </conditionalFormatting>
  <conditionalFormatting sqref="S61">
    <cfRule type="cellIs" dxfId="159" priority="148" operator="between">
      <formula>1</formula>
      <formula>4</formula>
    </cfRule>
    <cfRule type="containsText" dxfId="158" priority="149" operator="containsText" text="X">
      <formula>NOT(ISERROR(SEARCH("X",S61)))</formula>
    </cfRule>
  </conditionalFormatting>
  <conditionalFormatting sqref="B15:B53 B1:B13 B55">
    <cfRule type="duplicateValues" dxfId="157" priority="242"/>
  </conditionalFormatting>
  <conditionalFormatting sqref="F62">
    <cfRule type="containsBlanks" dxfId="156" priority="147">
      <formula>LEN(TRIM(F62))=0</formula>
    </cfRule>
  </conditionalFormatting>
  <conditionalFormatting sqref="B62">
    <cfRule type="duplicateValues" dxfId="155" priority="146"/>
  </conditionalFormatting>
  <conditionalFormatting sqref="P62:R62">
    <cfRule type="containsText" dxfId="154" priority="142" operator="containsText" text="PRIMARY STUDY">
      <formula>NOT(ISERROR(SEARCH("PRIMARY STUDY",P62)))</formula>
    </cfRule>
    <cfRule type="notContainsText" dxfId="153" priority="143" operator="notContains" text="YES">
      <formula>ISERROR(SEARCH("YES",P62))</formula>
    </cfRule>
    <cfRule type="containsText" dxfId="152" priority="144" operator="containsText" text="YES">
      <formula>NOT(ISERROR(SEARCH("YES",P62)))</formula>
    </cfRule>
  </conditionalFormatting>
  <conditionalFormatting sqref="S62">
    <cfRule type="containsBlanks" dxfId="151" priority="145">
      <formula>LEN(TRIM(S62))=0</formula>
    </cfRule>
  </conditionalFormatting>
  <conditionalFormatting sqref="S62">
    <cfRule type="cellIs" dxfId="150" priority="140" operator="between">
      <formula>1</formula>
      <formula>4</formula>
    </cfRule>
    <cfRule type="containsText" dxfId="149" priority="141" operator="containsText" text="X">
      <formula>NOT(ISERROR(SEARCH("X",S62)))</formula>
    </cfRule>
  </conditionalFormatting>
  <conditionalFormatting sqref="F63">
    <cfRule type="containsBlanks" dxfId="148" priority="139">
      <formula>LEN(TRIM(F63))=0</formula>
    </cfRule>
  </conditionalFormatting>
  <conditionalFormatting sqref="B63">
    <cfRule type="duplicateValues" dxfId="147" priority="138"/>
  </conditionalFormatting>
  <conditionalFormatting sqref="P63:R63">
    <cfRule type="containsText" dxfId="146" priority="134" operator="containsText" text="PRIMARY STUDY">
      <formula>NOT(ISERROR(SEARCH("PRIMARY STUDY",P63)))</formula>
    </cfRule>
    <cfRule type="notContainsText" dxfId="145" priority="135" operator="notContains" text="YES">
      <formula>ISERROR(SEARCH("YES",P63))</formula>
    </cfRule>
    <cfRule type="containsText" dxfId="144" priority="136" operator="containsText" text="YES">
      <formula>NOT(ISERROR(SEARCH("YES",P63)))</formula>
    </cfRule>
  </conditionalFormatting>
  <conditionalFormatting sqref="S63">
    <cfRule type="containsBlanks" dxfId="143" priority="137">
      <formula>LEN(TRIM(S63))=0</formula>
    </cfRule>
  </conditionalFormatting>
  <conditionalFormatting sqref="S63">
    <cfRule type="cellIs" dxfId="142" priority="132" operator="between">
      <formula>1</formula>
      <formula>4</formula>
    </cfRule>
    <cfRule type="containsText" dxfId="141" priority="133" operator="containsText" text="X">
      <formula>NOT(ISERROR(SEARCH("X",S63)))</formula>
    </cfRule>
  </conditionalFormatting>
  <conditionalFormatting sqref="F65">
    <cfRule type="containsBlanks" dxfId="140" priority="107">
      <formula>LEN(TRIM(F65))=0</formula>
    </cfRule>
  </conditionalFormatting>
  <conditionalFormatting sqref="F65">
    <cfRule type="containsBlanks" dxfId="139" priority="123">
      <formula>LEN(TRIM(F65))=0</formula>
    </cfRule>
  </conditionalFormatting>
  <conditionalFormatting sqref="B65">
    <cfRule type="duplicateValues" dxfId="138" priority="122"/>
  </conditionalFormatting>
  <conditionalFormatting sqref="P65:R65">
    <cfRule type="containsText" dxfId="137" priority="118" operator="containsText" text="PRIMARY STUDY">
      <formula>NOT(ISERROR(SEARCH("PRIMARY STUDY",P65)))</formula>
    </cfRule>
    <cfRule type="notContainsText" dxfId="136" priority="119" operator="notContains" text="YES">
      <formula>ISERROR(SEARCH("YES",P65))</formula>
    </cfRule>
    <cfRule type="containsText" dxfId="135" priority="120" operator="containsText" text="YES">
      <formula>NOT(ISERROR(SEARCH("YES",P65)))</formula>
    </cfRule>
  </conditionalFormatting>
  <conditionalFormatting sqref="S65">
    <cfRule type="containsBlanks" dxfId="134" priority="121">
      <formula>LEN(TRIM(S65))=0</formula>
    </cfRule>
  </conditionalFormatting>
  <conditionalFormatting sqref="S65">
    <cfRule type="cellIs" dxfId="133" priority="116" operator="between">
      <formula>1</formula>
      <formula>4</formula>
    </cfRule>
    <cfRule type="containsText" dxfId="132" priority="117" operator="containsText" text="X">
      <formula>NOT(ISERROR(SEARCH("X",S65)))</formula>
    </cfRule>
  </conditionalFormatting>
  <conditionalFormatting sqref="F66">
    <cfRule type="containsBlanks" dxfId="131" priority="115">
      <formula>LEN(TRIM(F66))=0</formula>
    </cfRule>
  </conditionalFormatting>
  <conditionalFormatting sqref="B66">
    <cfRule type="duplicateValues" dxfId="130" priority="114"/>
  </conditionalFormatting>
  <conditionalFormatting sqref="P66:R66">
    <cfRule type="containsText" dxfId="129" priority="110" operator="containsText" text="PRIMARY STUDY">
      <formula>NOT(ISERROR(SEARCH("PRIMARY STUDY",P66)))</formula>
    </cfRule>
    <cfRule type="notContainsText" dxfId="128" priority="111" operator="notContains" text="YES">
      <formula>ISERROR(SEARCH("YES",P66))</formula>
    </cfRule>
    <cfRule type="containsText" dxfId="127" priority="112" operator="containsText" text="YES">
      <formula>NOT(ISERROR(SEARCH("YES",P66)))</formula>
    </cfRule>
  </conditionalFormatting>
  <conditionalFormatting sqref="S66">
    <cfRule type="containsBlanks" dxfId="126" priority="113">
      <formula>LEN(TRIM(S66))=0</formula>
    </cfRule>
  </conditionalFormatting>
  <conditionalFormatting sqref="S66">
    <cfRule type="cellIs" dxfId="125" priority="108" operator="between">
      <formula>1</formula>
      <formula>4</formula>
    </cfRule>
    <cfRule type="containsText" dxfId="124" priority="109" operator="containsText" text="X">
      <formula>NOT(ISERROR(SEARCH("X",S66)))</formula>
    </cfRule>
  </conditionalFormatting>
  <conditionalFormatting sqref="B65">
    <cfRule type="duplicateValues" dxfId="123" priority="106"/>
  </conditionalFormatting>
  <conditionalFormatting sqref="F66">
    <cfRule type="containsBlanks" dxfId="122" priority="105">
      <formula>LEN(TRIM(F66))=0</formula>
    </cfRule>
  </conditionalFormatting>
  <conditionalFormatting sqref="B66">
    <cfRule type="duplicateValues" dxfId="121" priority="104"/>
  </conditionalFormatting>
  <conditionalFormatting sqref="F67">
    <cfRule type="containsBlanks" dxfId="120" priority="103">
      <formula>LEN(TRIM(F67))=0</formula>
    </cfRule>
  </conditionalFormatting>
  <conditionalFormatting sqref="B67">
    <cfRule type="duplicateValues" dxfId="119" priority="102"/>
  </conditionalFormatting>
  <conditionalFormatting sqref="P65:R65">
    <cfRule type="containsText" dxfId="118" priority="98" operator="containsText" text="PRIMARY STUDY">
      <formula>NOT(ISERROR(SEARCH("PRIMARY STUDY",P65)))</formula>
    </cfRule>
    <cfRule type="notContainsText" dxfId="117" priority="99" operator="notContains" text="YES">
      <formula>ISERROR(SEARCH("YES",P65))</formula>
    </cfRule>
    <cfRule type="containsText" dxfId="116" priority="100" operator="containsText" text="YES">
      <formula>NOT(ISERROR(SEARCH("YES",P65)))</formula>
    </cfRule>
  </conditionalFormatting>
  <conditionalFormatting sqref="S65">
    <cfRule type="containsBlanks" dxfId="115" priority="101">
      <formula>LEN(TRIM(S65))=0</formula>
    </cfRule>
  </conditionalFormatting>
  <conditionalFormatting sqref="S65">
    <cfRule type="cellIs" dxfId="114" priority="96" operator="between">
      <formula>1</formula>
      <formula>4</formula>
    </cfRule>
    <cfRule type="containsText" dxfId="113" priority="97" operator="containsText" text="X">
      <formula>NOT(ISERROR(SEARCH("X",S65)))</formula>
    </cfRule>
  </conditionalFormatting>
  <conditionalFormatting sqref="P66:R66">
    <cfRule type="containsText" dxfId="112" priority="92" operator="containsText" text="PRIMARY STUDY">
      <formula>NOT(ISERROR(SEARCH("PRIMARY STUDY",P66)))</formula>
    </cfRule>
    <cfRule type="notContainsText" dxfId="111" priority="93" operator="notContains" text="YES">
      <formula>ISERROR(SEARCH("YES",P66))</formula>
    </cfRule>
    <cfRule type="containsText" dxfId="110" priority="94" operator="containsText" text="YES">
      <formula>NOT(ISERROR(SEARCH("YES",P66)))</formula>
    </cfRule>
  </conditionalFormatting>
  <conditionalFormatting sqref="S66">
    <cfRule type="containsBlanks" dxfId="109" priority="95">
      <formula>LEN(TRIM(S66))=0</formula>
    </cfRule>
  </conditionalFormatting>
  <conditionalFormatting sqref="S66">
    <cfRule type="cellIs" dxfId="108" priority="90" operator="between">
      <formula>1</formula>
      <formula>4</formula>
    </cfRule>
    <cfRule type="containsText" dxfId="107" priority="91" operator="containsText" text="X">
      <formula>NOT(ISERROR(SEARCH("X",S66)))</formula>
    </cfRule>
  </conditionalFormatting>
  <conditionalFormatting sqref="P67:R67">
    <cfRule type="containsText" dxfId="106" priority="86" operator="containsText" text="PRIMARY STUDY">
      <formula>NOT(ISERROR(SEARCH("PRIMARY STUDY",P67)))</formula>
    </cfRule>
    <cfRule type="notContainsText" dxfId="105" priority="87" operator="notContains" text="YES">
      <formula>ISERROR(SEARCH("YES",P67))</formula>
    </cfRule>
    <cfRule type="containsText" dxfId="104" priority="88" operator="containsText" text="YES">
      <formula>NOT(ISERROR(SEARCH("YES",P67)))</formula>
    </cfRule>
  </conditionalFormatting>
  <conditionalFormatting sqref="S67">
    <cfRule type="containsBlanks" dxfId="103" priority="89">
      <formula>LEN(TRIM(S67))=0</formula>
    </cfRule>
  </conditionalFormatting>
  <conditionalFormatting sqref="S67">
    <cfRule type="cellIs" dxfId="102" priority="84" operator="between">
      <formula>1</formula>
      <formula>4</formula>
    </cfRule>
    <cfRule type="containsText" dxfId="101" priority="85" operator="containsText" text="X">
      <formula>NOT(ISERROR(SEARCH("X",S67)))</formula>
    </cfRule>
  </conditionalFormatting>
  <conditionalFormatting sqref="F64">
    <cfRule type="containsBlanks" dxfId="100" priority="83">
      <formula>LEN(TRIM(F64))=0</formula>
    </cfRule>
  </conditionalFormatting>
  <conditionalFormatting sqref="B64">
    <cfRule type="duplicateValues" dxfId="99" priority="82"/>
  </conditionalFormatting>
  <conditionalFormatting sqref="P64:R64">
    <cfRule type="containsText" dxfId="98" priority="78" operator="containsText" text="PRIMARY STUDY">
      <formula>NOT(ISERROR(SEARCH("PRIMARY STUDY",P64)))</formula>
    </cfRule>
    <cfRule type="notContainsText" dxfId="97" priority="79" operator="notContains" text="YES">
      <formula>ISERROR(SEARCH("YES",P64))</formula>
    </cfRule>
    <cfRule type="containsText" dxfId="96" priority="80" operator="containsText" text="YES">
      <formula>NOT(ISERROR(SEARCH("YES",P64)))</formula>
    </cfRule>
  </conditionalFormatting>
  <conditionalFormatting sqref="S64">
    <cfRule type="containsBlanks" dxfId="95" priority="81">
      <formula>LEN(TRIM(S64))=0</formula>
    </cfRule>
  </conditionalFormatting>
  <conditionalFormatting sqref="S64">
    <cfRule type="cellIs" dxfId="94" priority="76" operator="between">
      <formula>1</formula>
      <formula>4</formula>
    </cfRule>
    <cfRule type="containsText" dxfId="93" priority="77" operator="containsText" text="X">
      <formula>NOT(ISERROR(SEARCH("X",S64)))</formula>
    </cfRule>
  </conditionalFormatting>
  <conditionalFormatting sqref="F68">
    <cfRule type="containsBlanks" dxfId="92" priority="75">
      <formula>LEN(TRIM(F68))=0</formula>
    </cfRule>
  </conditionalFormatting>
  <conditionalFormatting sqref="B68">
    <cfRule type="duplicateValues" dxfId="91" priority="74"/>
  </conditionalFormatting>
  <conditionalFormatting sqref="P68:R68">
    <cfRule type="containsText" dxfId="90" priority="70" operator="containsText" text="PRIMARY STUDY">
      <formula>NOT(ISERROR(SEARCH("PRIMARY STUDY",P68)))</formula>
    </cfRule>
    <cfRule type="notContainsText" dxfId="89" priority="71" operator="notContains" text="YES">
      <formula>ISERROR(SEARCH("YES",P68))</formula>
    </cfRule>
    <cfRule type="containsText" dxfId="88" priority="72" operator="containsText" text="YES">
      <formula>NOT(ISERROR(SEARCH("YES",P68)))</formula>
    </cfRule>
  </conditionalFormatting>
  <conditionalFormatting sqref="S68">
    <cfRule type="containsBlanks" dxfId="87" priority="73">
      <formula>LEN(TRIM(S68))=0</formula>
    </cfRule>
  </conditionalFormatting>
  <conditionalFormatting sqref="S68">
    <cfRule type="cellIs" dxfId="86" priority="68" operator="between">
      <formula>1</formula>
      <formula>4</formula>
    </cfRule>
    <cfRule type="containsText" dxfId="85" priority="69" operator="containsText" text="X">
      <formula>NOT(ISERROR(SEARCH("X",S68)))</formula>
    </cfRule>
  </conditionalFormatting>
  <conditionalFormatting sqref="F69">
    <cfRule type="containsBlanks" dxfId="84" priority="67">
      <formula>LEN(TRIM(F69))=0</formula>
    </cfRule>
  </conditionalFormatting>
  <conditionalFormatting sqref="B69">
    <cfRule type="duplicateValues" dxfId="83" priority="66"/>
  </conditionalFormatting>
  <conditionalFormatting sqref="P69:R69">
    <cfRule type="containsText" dxfId="82" priority="62" operator="containsText" text="PRIMARY STUDY">
      <formula>NOT(ISERROR(SEARCH("PRIMARY STUDY",P69)))</formula>
    </cfRule>
    <cfRule type="notContainsText" dxfId="81" priority="63" operator="notContains" text="YES">
      <formula>ISERROR(SEARCH("YES",P69))</formula>
    </cfRule>
    <cfRule type="containsText" dxfId="80" priority="64" operator="containsText" text="YES">
      <formula>NOT(ISERROR(SEARCH("YES",P69)))</formula>
    </cfRule>
  </conditionalFormatting>
  <conditionalFormatting sqref="S69">
    <cfRule type="containsBlanks" dxfId="79" priority="65">
      <formula>LEN(TRIM(S69))=0</formula>
    </cfRule>
  </conditionalFormatting>
  <conditionalFormatting sqref="S69">
    <cfRule type="cellIs" dxfId="78" priority="60" operator="between">
      <formula>1</formula>
      <formula>4</formula>
    </cfRule>
    <cfRule type="containsText" dxfId="77" priority="61" operator="containsText" text="X">
      <formula>NOT(ISERROR(SEARCH("X",S69)))</formula>
    </cfRule>
  </conditionalFormatting>
  <conditionalFormatting sqref="P70:R70">
    <cfRule type="containsText" dxfId="76" priority="56" operator="containsText" text="PRIMARY STUDY">
      <formula>NOT(ISERROR(SEARCH("PRIMARY STUDY",P70)))</formula>
    </cfRule>
    <cfRule type="notContainsText" dxfId="75" priority="57" operator="notContains" text="YES">
      <formula>ISERROR(SEARCH("YES",P70))</formula>
    </cfRule>
    <cfRule type="containsText" dxfId="74" priority="58" operator="containsText" text="YES">
      <formula>NOT(ISERROR(SEARCH("YES",P70)))</formula>
    </cfRule>
  </conditionalFormatting>
  <conditionalFormatting sqref="S70">
    <cfRule type="containsBlanks" dxfId="73" priority="59">
      <formula>LEN(TRIM(S70))=0</formula>
    </cfRule>
  </conditionalFormatting>
  <conditionalFormatting sqref="S70">
    <cfRule type="cellIs" dxfId="72" priority="54" operator="between">
      <formula>1</formula>
      <formula>4</formula>
    </cfRule>
    <cfRule type="containsText" dxfId="71" priority="55" operator="containsText" text="X">
      <formula>NOT(ISERROR(SEARCH("X",S70)))</formula>
    </cfRule>
  </conditionalFormatting>
  <conditionalFormatting sqref="F70">
    <cfRule type="containsBlanks" dxfId="70" priority="53">
      <formula>LEN(TRIM(F70))=0</formula>
    </cfRule>
  </conditionalFormatting>
  <conditionalFormatting sqref="B70">
    <cfRule type="duplicateValues" dxfId="69" priority="52"/>
  </conditionalFormatting>
  <conditionalFormatting sqref="P54:R54">
    <cfRule type="containsText" dxfId="68" priority="46" operator="containsText" text="PRIMARY STUDY">
      <formula>NOT(ISERROR(SEARCH("PRIMARY STUDY",P54)))</formula>
    </cfRule>
    <cfRule type="notContainsText" dxfId="67" priority="47" operator="notContains" text="YES">
      <formula>ISERROR(SEARCH("YES",P54))</formula>
    </cfRule>
    <cfRule type="containsText" dxfId="66" priority="48" operator="containsText" text="YES">
      <formula>NOT(ISERROR(SEARCH("YES",P54)))</formula>
    </cfRule>
  </conditionalFormatting>
  <conditionalFormatting sqref="S54">
    <cfRule type="containsBlanks" dxfId="65" priority="49">
      <formula>LEN(TRIM(S54))=0</formula>
    </cfRule>
  </conditionalFormatting>
  <conditionalFormatting sqref="S54">
    <cfRule type="cellIs" dxfId="64" priority="44" operator="between">
      <formula>1</formula>
      <formula>4</formula>
    </cfRule>
    <cfRule type="containsText" dxfId="63" priority="45" operator="containsText" text="X">
      <formula>NOT(ISERROR(SEARCH("X",S54)))</formula>
    </cfRule>
  </conditionalFormatting>
  <conditionalFormatting sqref="F54">
    <cfRule type="containsBlanks" dxfId="62" priority="43">
      <formula>LEN(TRIM(F54))=0</formula>
    </cfRule>
  </conditionalFormatting>
  <conditionalFormatting sqref="B54">
    <cfRule type="duplicateValues" dxfId="61" priority="42"/>
  </conditionalFormatting>
  <conditionalFormatting sqref="F71">
    <cfRule type="containsBlanks" dxfId="60" priority="41">
      <formula>LEN(TRIM(F71))=0</formula>
    </cfRule>
  </conditionalFormatting>
  <conditionalFormatting sqref="B71">
    <cfRule type="duplicateValues" dxfId="59" priority="40"/>
  </conditionalFormatting>
  <conditionalFormatting sqref="P71:R71">
    <cfRule type="containsText" dxfId="58" priority="36" operator="containsText" text="PRIMARY STUDY">
      <formula>NOT(ISERROR(SEARCH("PRIMARY STUDY",P71)))</formula>
    </cfRule>
    <cfRule type="notContainsText" dxfId="57" priority="37" operator="notContains" text="YES">
      <formula>ISERROR(SEARCH("YES",P71))</formula>
    </cfRule>
    <cfRule type="containsText" dxfId="56" priority="38" operator="containsText" text="YES">
      <formula>NOT(ISERROR(SEARCH("YES",P71)))</formula>
    </cfRule>
  </conditionalFormatting>
  <conditionalFormatting sqref="S71">
    <cfRule type="containsBlanks" dxfId="55" priority="39">
      <formula>LEN(TRIM(S71))=0</formula>
    </cfRule>
  </conditionalFormatting>
  <conditionalFormatting sqref="S71">
    <cfRule type="cellIs" dxfId="54" priority="34" operator="between">
      <formula>1</formula>
      <formula>4</formula>
    </cfRule>
    <cfRule type="containsText" dxfId="53" priority="35" operator="containsText" text="X">
      <formula>NOT(ISERROR(SEARCH("X",S71)))</formula>
    </cfRule>
  </conditionalFormatting>
  <conditionalFormatting sqref="F72">
    <cfRule type="containsBlanks" dxfId="52" priority="33">
      <formula>LEN(TRIM(F72))=0</formula>
    </cfRule>
  </conditionalFormatting>
  <conditionalFormatting sqref="B72">
    <cfRule type="duplicateValues" dxfId="51" priority="32"/>
  </conditionalFormatting>
  <conditionalFormatting sqref="P72:R72">
    <cfRule type="containsText" dxfId="50" priority="28" operator="containsText" text="PRIMARY STUDY">
      <formula>NOT(ISERROR(SEARCH("PRIMARY STUDY",P72)))</formula>
    </cfRule>
    <cfRule type="notContainsText" dxfId="49" priority="29" operator="notContains" text="YES">
      <formula>ISERROR(SEARCH("YES",P72))</formula>
    </cfRule>
    <cfRule type="containsText" dxfId="48" priority="30" operator="containsText" text="YES">
      <formula>NOT(ISERROR(SEARCH("YES",P72)))</formula>
    </cfRule>
  </conditionalFormatting>
  <conditionalFormatting sqref="S72">
    <cfRule type="containsBlanks" dxfId="47" priority="31">
      <formula>LEN(TRIM(S72))=0</formula>
    </cfRule>
  </conditionalFormatting>
  <conditionalFormatting sqref="S72">
    <cfRule type="cellIs" dxfId="46" priority="26" operator="between">
      <formula>1</formula>
      <formula>4</formula>
    </cfRule>
    <cfRule type="containsText" dxfId="45" priority="27" operator="containsText" text="X">
      <formula>NOT(ISERROR(SEARCH("X",S72)))</formula>
    </cfRule>
  </conditionalFormatting>
  <conditionalFormatting sqref="F73">
    <cfRule type="containsBlanks" dxfId="44" priority="25">
      <formula>LEN(TRIM(F73))=0</formula>
    </cfRule>
  </conditionalFormatting>
  <conditionalFormatting sqref="B73">
    <cfRule type="duplicateValues" dxfId="43" priority="24"/>
  </conditionalFormatting>
  <conditionalFormatting sqref="P73:R73">
    <cfRule type="containsText" dxfId="42" priority="20" operator="containsText" text="PRIMARY STUDY">
      <formula>NOT(ISERROR(SEARCH("PRIMARY STUDY",P73)))</formula>
    </cfRule>
    <cfRule type="notContainsText" dxfId="41" priority="21" operator="notContains" text="YES">
      <formula>ISERROR(SEARCH("YES",P73))</formula>
    </cfRule>
    <cfRule type="containsText" dxfId="40" priority="22" operator="containsText" text="YES">
      <formula>NOT(ISERROR(SEARCH("YES",P73)))</formula>
    </cfRule>
  </conditionalFormatting>
  <conditionalFormatting sqref="S73">
    <cfRule type="containsBlanks" dxfId="39" priority="23">
      <formula>LEN(TRIM(S73))=0</formula>
    </cfRule>
  </conditionalFormatting>
  <conditionalFormatting sqref="S73">
    <cfRule type="cellIs" dxfId="38" priority="18" operator="between">
      <formula>1</formula>
      <formula>4</formula>
    </cfRule>
    <cfRule type="containsText" dxfId="37" priority="19" operator="containsText" text="X">
      <formula>NOT(ISERROR(SEARCH("X",S73)))</formula>
    </cfRule>
  </conditionalFormatting>
  <conditionalFormatting sqref="F74">
    <cfRule type="containsBlanks" dxfId="36" priority="17">
      <formula>LEN(TRIM(F74))=0</formula>
    </cfRule>
  </conditionalFormatting>
  <conditionalFormatting sqref="B74">
    <cfRule type="duplicateValues" dxfId="35" priority="16"/>
  </conditionalFormatting>
  <conditionalFormatting sqref="P74:R74">
    <cfRule type="containsText" dxfId="34" priority="12" operator="containsText" text="PRIMARY STUDY">
      <formula>NOT(ISERROR(SEARCH("PRIMARY STUDY",P74)))</formula>
    </cfRule>
    <cfRule type="notContainsText" dxfId="33" priority="13" operator="notContains" text="YES">
      <formula>ISERROR(SEARCH("YES",P74))</formula>
    </cfRule>
    <cfRule type="containsText" dxfId="32" priority="14" operator="containsText" text="YES">
      <formula>NOT(ISERROR(SEARCH("YES",P74)))</formula>
    </cfRule>
  </conditionalFormatting>
  <conditionalFormatting sqref="S74">
    <cfRule type="containsBlanks" dxfId="31" priority="15">
      <formula>LEN(TRIM(S74))=0</formula>
    </cfRule>
  </conditionalFormatting>
  <conditionalFormatting sqref="S74">
    <cfRule type="cellIs" dxfId="30" priority="10" operator="between">
      <formula>1</formula>
      <formula>4</formula>
    </cfRule>
    <cfRule type="containsText" dxfId="29" priority="11" operator="containsText" text="X">
      <formula>NOT(ISERROR(SEARCH("X",S74)))</formula>
    </cfRule>
  </conditionalFormatting>
  <conditionalFormatting sqref="F75">
    <cfRule type="containsBlanks" dxfId="28" priority="9">
      <formula>LEN(TRIM(F75))=0</formula>
    </cfRule>
  </conditionalFormatting>
  <conditionalFormatting sqref="B75">
    <cfRule type="duplicateValues" dxfId="27" priority="8"/>
  </conditionalFormatting>
  <conditionalFormatting sqref="P75:R75">
    <cfRule type="containsText" dxfId="26" priority="4" operator="containsText" text="PRIMARY STUDY">
      <formula>NOT(ISERROR(SEARCH("PRIMARY STUDY",P75)))</formula>
    </cfRule>
    <cfRule type="notContainsText" dxfId="25" priority="5" operator="notContains" text="YES">
      <formula>ISERROR(SEARCH("YES",P75))</formula>
    </cfRule>
    <cfRule type="containsText" dxfId="24" priority="6" operator="containsText" text="YES">
      <formula>NOT(ISERROR(SEARCH("YES",P75)))</formula>
    </cfRule>
  </conditionalFormatting>
  <conditionalFormatting sqref="S75">
    <cfRule type="containsBlanks" dxfId="23" priority="7">
      <formula>LEN(TRIM(S75))=0</formula>
    </cfRule>
  </conditionalFormatting>
  <conditionalFormatting sqref="S75">
    <cfRule type="cellIs" dxfId="22" priority="2" operator="between">
      <formula>1</formula>
      <formula>4</formula>
    </cfRule>
    <cfRule type="containsText" dxfId="21"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heetViews>
  <sheetFormatPr defaultRowHeight="15" x14ac:dyDescent="0.25"/>
  <cols>
    <col min="1" max="1" width="7.7109375" bestFit="1" customWidth="1"/>
    <col min="2" max="2" width="81.140625" bestFit="1" customWidth="1"/>
    <col min="3" max="3" width="13.85546875" customWidth="1"/>
  </cols>
  <sheetData>
    <row r="1" spans="1:3" x14ac:dyDescent="0.25">
      <c r="A1" s="76" t="s">
        <v>1115</v>
      </c>
      <c r="B1" s="76" t="s">
        <v>1116</v>
      </c>
      <c r="C1" s="76" t="s">
        <v>4017</v>
      </c>
    </row>
    <row r="2" spans="1:3" x14ac:dyDescent="0.25">
      <c r="A2">
        <v>1</v>
      </c>
      <c r="B2" t="s">
        <v>1117</v>
      </c>
      <c r="C2">
        <v>4.3029999999999999</v>
      </c>
    </row>
    <row r="3" spans="1:3" x14ac:dyDescent="0.25">
      <c r="A3">
        <v>2</v>
      </c>
      <c r="B3" t="s">
        <v>1118</v>
      </c>
      <c r="C3">
        <v>4.149</v>
      </c>
    </row>
    <row r="4" spans="1:3" x14ac:dyDescent="0.25">
      <c r="A4">
        <v>3</v>
      </c>
      <c r="B4" t="s">
        <v>1119</v>
      </c>
      <c r="C4">
        <v>3.879</v>
      </c>
    </row>
    <row r="5" spans="1:3" x14ac:dyDescent="0.25">
      <c r="A5">
        <v>4</v>
      </c>
      <c r="B5" t="s">
        <v>1120</v>
      </c>
      <c r="C5">
        <v>3.4119999999999999</v>
      </c>
    </row>
    <row r="6" spans="1:3" x14ac:dyDescent="0.25">
      <c r="A6">
        <v>5</v>
      </c>
      <c r="B6" t="s">
        <v>1121</v>
      </c>
      <c r="C6">
        <v>3.1920000000000002</v>
      </c>
    </row>
    <row r="7" spans="1:3" x14ac:dyDescent="0.25">
      <c r="A7">
        <v>6</v>
      </c>
      <c r="B7" t="s">
        <v>1122</v>
      </c>
      <c r="C7">
        <v>3.0920000000000001</v>
      </c>
    </row>
    <row r="8" spans="1:3" x14ac:dyDescent="0.25">
      <c r="A8">
        <v>7</v>
      </c>
      <c r="B8" t="s">
        <v>1123</v>
      </c>
      <c r="C8">
        <v>3.0070000000000001</v>
      </c>
    </row>
    <row r="9" spans="1:3" x14ac:dyDescent="0.25">
      <c r="A9">
        <v>8</v>
      </c>
      <c r="B9" t="s">
        <v>1124</v>
      </c>
      <c r="C9">
        <v>2.891</v>
      </c>
    </row>
    <row r="10" spans="1:3" x14ac:dyDescent="0.25">
      <c r="A10">
        <v>9</v>
      </c>
      <c r="B10" t="s">
        <v>1125</v>
      </c>
      <c r="C10">
        <v>2.8730000000000002</v>
      </c>
    </row>
    <row r="11" spans="1:3" x14ac:dyDescent="0.25">
      <c r="A11">
        <v>10</v>
      </c>
      <c r="B11" t="s">
        <v>1126</v>
      </c>
      <c r="C11">
        <v>2.6120000000000001</v>
      </c>
    </row>
    <row r="12" spans="1:3" x14ac:dyDescent="0.25">
      <c r="A12">
        <v>11</v>
      </c>
      <c r="B12" t="s">
        <v>1127</v>
      </c>
      <c r="C12">
        <v>2.4889999999999999</v>
      </c>
    </row>
    <row r="13" spans="1:3" x14ac:dyDescent="0.25">
      <c r="A13">
        <v>12</v>
      </c>
      <c r="B13" t="s">
        <v>1128</v>
      </c>
      <c r="C13">
        <v>2.48</v>
      </c>
    </row>
    <row r="14" spans="1:3" x14ac:dyDescent="0.25">
      <c r="A14">
        <v>13</v>
      </c>
      <c r="B14" t="s">
        <v>1129</v>
      </c>
      <c r="C14">
        <v>2.3879999999999999</v>
      </c>
    </row>
    <row r="15" spans="1:3" x14ac:dyDescent="0.25">
      <c r="A15">
        <v>14</v>
      </c>
      <c r="B15" t="s">
        <v>1130</v>
      </c>
      <c r="C15">
        <v>2.2850000000000001</v>
      </c>
    </row>
    <row r="16" spans="1:3" x14ac:dyDescent="0.25">
      <c r="A16">
        <v>15</v>
      </c>
      <c r="B16" t="s">
        <v>1131</v>
      </c>
      <c r="C16">
        <v>2.2850000000000001</v>
      </c>
    </row>
    <row r="17" spans="1:3" x14ac:dyDescent="0.25">
      <c r="A17">
        <v>16</v>
      </c>
      <c r="B17" t="s">
        <v>1132</v>
      </c>
      <c r="C17">
        <v>2.1269999999999998</v>
      </c>
    </row>
    <row r="18" spans="1:3" x14ac:dyDescent="0.25">
      <c r="A18">
        <v>17</v>
      </c>
      <c r="B18" t="s">
        <v>1133</v>
      </c>
      <c r="C18">
        <v>2.0790000000000002</v>
      </c>
    </row>
    <row r="19" spans="1:3" x14ac:dyDescent="0.25">
      <c r="A19">
        <v>18</v>
      </c>
      <c r="B19" t="s">
        <v>1134</v>
      </c>
      <c r="C19">
        <v>2.0129999999999999</v>
      </c>
    </row>
    <row r="20" spans="1:3" x14ac:dyDescent="0.25">
      <c r="A20">
        <v>19</v>
      </c>
      <c r="B20" t="s">
        <v>1135</v>
      </c>
      <c r="C20">
        <v>1.8520000000000001</v>
      </c>
    </row>
    <row r="21" spans="1:3" x14ac:dyDescent="0.25">
      <c r="A21">
        <v>20</v>
      </c>
      <c r="B21" t="s">
        <v>1136</v>
      </c>
      <c r="C21">
        <v>1.8460000000000001</v>
      </c>
    </row>
    <row r="22" spans="1:3" x14ac:dyDescent="0.25">
      <c r="A22">
        <v>21</v>
      </c>
      <c r="B22" t="s">
        <v>1137</v>
      </c>
      <c r="C22">
        <v>1.8049999999999999</v>
      </c>
    </row>
    <row r="23" spans="1:3" x14ac:dyDescent="0.25">
      <c r="A23">
        <v>22</v>
      </c>
      <c r="B23" t="s">
        <v>1138</v>
      </c>
      <c r="C23">
        <v>1.66</v>
      </c>
    </row>
    <row r="24" spans="1:3" x14ac:dyDescent="0.25">
      <c r="A24">
        <v>23</v>
      </c>
      <c r="B24" t="s">
        <v>1139</v>
      </c>
      <c r="C24">
        <v>1.65</v>
      </c>
    </row>
    <row r="25" spans="1:3" x14ac:dyDescent="0.25">
      <c r="A25">
        <v>24</v>
      </c>
      <c r="B25" t="s">
        <v>1140</v>
      </c>
      <c r="C25">
        <v>1.506</v>
      </c>
    </row>
    <row r="26" spans="1:3" x14ac:dyDescent="0.25">
      <c r="A26">
        <v>25</v>
      </c>
      <c r="B26" t="s">
        <v>1141</v>
      </c>
      <c r="C26">
        <v>1.393</v>
      </c>
    </row>
    <row r="27" spans="1:3" x14ac:dyDescent="0.25">
      <c r="A27">
        <v>26</v>
      </c>
      <c r="B27" t="s">
        <v>1142</v>
      </c>
      <c r="C27">
        <v>1.383</v>
      </c>
    </row>
    <row r="28" spans="1:3" x14ac:dyDescent="0.25">
      <c r="A28">
        <v>27</v>
      </c>
      <c r="B28" t="s">
        <v>1143</v>
      </c>
      <c r="C28">
        <v>1.38</v>
      </c>
    </row>
    <row r="29" spans="1:3" x14ac:dyDescent="0.25">
      <c r="A29">
        <v>28</v>
      </c>
      <c r="B29" t="s">
        <v>4008</v>
      </c>
      <c r="C29">
        <v>1.35</v>
      </c>
    </row>
    <row r="30" spans="1:3" x14ac:dyDescent="0.25">
      <c r="A30">
        <v>29</v>
      </c>
      <c r="B30" t="s">
        <v>1144</v>
      </c>
      <c r="C30">
        <v>1.232</v>
      </c>
    </row>
    <row r="31" spans="1:3" x14ac:dyDescent="0.25">
      <c r="A31">
        <v>30</v>
      </c>
      <c r="B31" t="s">
        <v>1145</v>
      </c>
      <c r="C31">
        <v>1.2170000000000001</v>
      </c>
    </row>
    <row r="32" spans="1:3" x14ac:dyDescent="0.25">
      <c r="A32">
        <v>31</v>
      </c>
      <c r="B32" t="s">
        <v>1146</v>
      </c>
      <c r="C32">
        <v>1.18</v>
      </c>
    </row>
    <row r="33" spans="1:3" x14ac:dyDescent="0.25">
      <c r="A33">
        <v>32</v>
      </c>
      <c r="B33" t="s">
        <v>1147</v>
      </c>
      <c r="C33">
        <v>1.159</v>
      </c>
    </row>
    <row r="34" spans="1:3" x14ac:dyDescent="0.25">
      <c r="A34">
        <v>33</v>
      </c>
      <c r="B34" t="s">
        <v>1148</v>
      </c>
      <c r="C34">
        <v>1.1459999999999999</v>
      </c>
    </row>
    <row r="35" spans="1:3" x14ac:dyDescent="0.25">
      <c r="A35">
        <v>34</v>
      </c>
      <c r="B35" t="s">
        <v>1149</v>
      </c>
      <c r="C35">
        <v>1.1419999999999999</v>
      </c>
    </row>
    <row r="36" spans="1:3" x14ac:dyDescent="0.25">
      <c r="A36">
        <v>35</v>
      </c>
      <c r="B36" t="s">
        <v>1150</v>
      </c>
      <c r="C36">
        <v>1.123</v>
      </c>
    </row>
    <row r="37" spans="1:3" x14ac:dyDescent="0.25">
      <c r="A37">
        <v>36</v>
      </c>
      <c r="B37" t="s">
        <v>1151</v>
      </c>
      <c r="C37">
        <v>1.091</v>
      </c>
    </row>
    <row r="38" spans="1:3" x14ac:dyDescent="0.25">
      <c r="A38">
        <v>37</v>
      </c>
      <c r="B38" t="s">
        <v>1152</v>
      </c>
      <c r="C38">
        <v>1.0649999999999999</v>
      </c>
    </row>
    <row r="39" spans="1:3" x14ac:dyDescent="0.25">
      <c r="A39">
        <v>38</v>
      </c>
      <c r="B39" t="s">
        <v>1153</v>
      </c>
      <c r="C39">
        <v>1.052</v>
      </c>
    </row>
    <row r="40" spans="1:3" x14ac:dyDescent="0.25">
      <c r="A40">
        <v>39</v>
      </c>
      <c r="B40" t="s">
        <v>1154</v>
      </c>
      <c r="C40">
        <v>1.0349999999999999</v>
      </c>
    </row>
    <row r="41" spans="1:3" x14ac:dyDescent="0.25">
      <c r="A41">
        <v>40</v>
      </c>
      <c r="B41" t="s">
        <v>1155</v>
      </c>
      <c r="C41">
        <v>1.02</v>
      </c>
    </row>
    <row r="42" spans="1:3" x14ac:dyDescent="0.25">
      <c r="A42">
        <v>41</v>
      </c>
      <c r="B42" t="s">
        <v>1156</v>
      </c>
      <c r="C42">
        <v>1.0049999999999999</v>
      </c>
    </row>
    <row r="43" spans="1:3" x14ac:dyDescent="0.25">
      <c r="A43">
        <v>42</v>
      </c>
      <c r="B43" t="s">
        <v>1157</v>
      </c>
      <c r="C43">
        <v>0.99199999999999999</v>
      </c>
    </row>
    <row r="44" spans="1:3" x14ac:dyDescent="0.25">
      <c r="A44">
        <v>43</v>
      </c>
      <c r="B44" t="s">
        <v>1158</v>
      </c>
      <c r="C44">
        <v>0.97099999999999997</v>
      </c>
    </row>
    <row r="45" spans="1:3" x14ac:dyDescent="0.25">
      <c r="A45">
        <v>44</v>
      </c>
      <c r="B45" t="s">
        <v>1159</v>
      </c>
      <c r="C45">
        <v>0.96399999999999997</v>
      </c>
    </row>
    <row r="46" spans="1:3" x14ac:dyDescent="0.25">
      <c r="A46">
        <v>45</v>
      </c>
      <c r="B46" t="s">
        <v>1160</v>
      </c>
      <c r="C46">
        <v>0.90500000000000003</v>
      </c>
    </row>
    <row r="47" spans="1:3" x14ac:dyDescent="0.25">
      <c r="A47">
        <v>46</v>
      </c>
      <c r="B47" t="s">
        <v>1161</v>
      </c>
      <c r="C47">
        <v>0.90300000000000002</v>
      </c>
    </row>
    <row r="48" spans="1:3" x14ac:dyDescent="0.25">
      <c r="A48">
        <v>47</v>
      </c>
      <c r="B48" t="s">
        <v>1162</v>
      </c>
      <c r="C48">
        <v>0.9</v>
      </c>
    </row>
    <row r="49" spans="1:3" x14ac:dyDescent="0.25">
      <c r="A49">
        <v>48</v>
      </c>
      <c r="B49" t="s">
        <v>1163</v>
      </c>
      <c r="C49">
        <v>0.876</v>
      </c>
    </row>
    <row r="50" spans="1:3" x14ac:dyDescent="0.25">
      <c r="A50">
        <v>49</v>
      </c>
      <c r="B50" t="s">
        <v>1164</v>
      </c>
      <c r="C50">
        <v>0.79900000000000004</v>
      </c>
    </row>
    <row r="51" spans="1:3" x14ac:dyDescent="0.25">
      <c r="A51">
        <v>50</v>
      </c>
      <c r="B51" t="s">
        <v>1165</v>
      </c>
      <c r="C51">
        <v>0.79800000000000004</v>
      </c>
    </row>
    <row r="52" spans="1:3" x14ac:dyDescent="0.25">
      <c r="A52">
        <v>51</v>
      </c>
      <c r="B52" t="s">
        <v>1166</v>
      </c>
      <c r="C52">
        <v>0.79400000000000004</v>
      </c>
    </row>
    <row r="53" spans="1:3" x14ac:dyDescent="0.25">
      <c r="A53">
        <v>52</v>
      </c>
      <c r="B53" t="s">
        <v>1167</v>
      </c>
      <c r="C53">
        <v>0.79300000000000004</v>
      </c>
    </row>
    <row r="54" spans="1:3" x14ac:dyDescent="0.25">
      <c r="A54">
        <v>53</v>
      </c>
      <c r="B54" t="s">
        <v>1168</v>
      </c>
      <c r="C54">
        <v>0.78100000000000003</v>
      </c>
    </row>
    <row r="55" spans="1:3" x14ac:dyDescent="0.25">
      <c r="A55">
        <v>54</v>
      </c>
      <c r="B55" t="s">
        <v>1169</v>
      </c>
      <c r="C55">
        <v>0.78100000000000003</v>
      </c>
    </row>
    <row r="56" spans="1:3" x14ac:dyDescent="0.25">
      <c r="A56">
        <v>55</v>
      </c>
      <c r="B56" t="s">
        <v>1170</v>
      </c>
      <c r="C56">
        <v>0.78</v>
      </c>
    </row>
    <row r="57" spans="1:3" x14ac:dyDescent="0.25">
      <c r="A57">
        <v>56</v>
      </c>
      <c r="B57" t="s">
        <v>1171</v>
      </c>
      <c r="C57">
        <v>0.77500000000000002</v>
      </c>
    </row>
    <row r="58" spans="1:3" x14ac:dyDescent="0.25">
      <c r="A58">
        <v>57</v>
      </c>
      <c r="B58" t="s">
        <v>1172</v>
      </c>
      <c r="C58">
        <v>0.76700000000000002</v>
      </c>
    </row>
    <row r="59" spans="1:3" x14ac:dyDescent="0.25">
      <c r="A59">
        <v>58</v>
      </c>
      <c r="B59" t="s">
        <v>1173</v>
      </c>
      <c r="C59">
        <v>0.72199999999999998</v>
      </c>
    </row>
    <row r="60" spans="1:3" x14ac:dyDescent="0.25">
      <c r="A60">
        <v>59</v>
      </c>
      <c r="B60" t="s">
        <v>1174</v>
      </c>
      <c r="C60">
        <v>0.70799999999999996</v>
      </c>
    </row>
    <row r="61" spans="1:3" x14ac:dyDescent="0.25">
      <c r="A61">
        <v>60</v>
      </c>
      <c r="B61" t="s">
        <v>1175</v>
      </c>
      <c r="C61">
        <v>0.68500000000000005</v>
      </c>
    </row>
    <row r="62" spans="1:3" x14ac:dyDescent="0.25">
      <c r="A62">
        <v>61</v>
      </c>
      <c r="B62" t="s">
        <v>1176</v>
      </c>
      <c r="C62">
        <v>0.66900000000000004</v>
      </c>
    </row>
    <row r="63" spans="1:3" x14ac:dyDescent="0.25">
      <c r="A63">
        <v>62</v>
      </c>
      <c r="B63" t="s">
        <v>1177</v>
      </c>
      <c r="C63">
        <v>0.66600000000000004</v>
      </c>
    </row>
    <row r="64" spans="1:3" x14ac:dyDescent="0.25">
      <c r="A64">
        <v>63</v>
      </c>
      <c r="B64" t="s">
        <v>1178</v>
      </c>
      <c r="C64">
        <v>0.65</v>
      </c>
    </row>
    <row r="65" spans="1:3" x14ac:dyDescent="0.25">
      <c r="A65">
        <v>64</v>
      </c>
      <c r="B65" t="s">
        <v>1179</v>
      </c>
      <c r="C65">
        <v>0.64100000000000001</v>
      </c>
    </row>
    <row r="66" spans="1:3" x14ac:dyDescent="0.25">
      <c r="A66">
        <v>65</v>
      </c>
      <c r="B66" t="s">
        <v>1180</v>
      </c>
      <c r="C66">
        <v>0.63</v>
      </c>
    </row>
    <row r="67" spans="1:3" x14ac:dyDescent="0.25">
      <c r="A67">
        <v>66</v>
      </c>
      <c r="B67" t="s">
        <v>1181</v>
      </c>
      <c r="C67">
        <v>0.625</v>
      </c>
    </row>
    <row r="68" spans="1:3" x14ac:dyDescent="0.25">
      <c r="A68">
        <v>67</v>
      </c>
      <c r="B68" t="s">
        <v>1182</v>
      </c>
      <c r="C68">
        <v>0.624</v>
      </c>
    </row>
    <row r="69" spans="1:3" x14ac:dyDescent="0.25">
      <c r="A69">
        <v>68</v>
      </c>
      <c r="B69" t="s">
        <v>1183</v>
      </c>
      <c r="C69">
        <v>0.61399999999999999</v>
      </c>
    </row>
    <row r="70" spans="1:3" x14ac:dyDescent="0.25">
      <c r="A70">
        <v>69</v>
      </c>
      <c r="B70" t="s">
        <v>1184</v>
      </c>
      <c r="C70">
        <v>0.61399999999999999</v>
      </c>
    </row>
    <row r="71" spans="1:3" x14ac:dyDescent="0.25">
      <c r="A71">
        <v>70</v>
      </c>
      <c r="B71" t="s">
        <v>1185</v>
      </c>
      <c r="C71">
        <v>0.60399999999999998</v>
      </c>
    </row>
    <row r="72" spans="1:3" x14ac:dyDescent="0.25">
      <c r="A72">
        <v>71</v>
      </c>
      <c r="B72" t="s">
        <v>1186</v>
      </c>
      <c r="C72">
        <v>0.60199999999999998</v>
      </c>
    </row>
    <row r="73" spans="1:3" x14ac:dyDescent="0.25">
      <c r="A73">
        <v>72</v>
      </c>
      <c r="B73" t="s">
        <v>1187</v>
      </c>
      <c r="C73">
        <v>0.60099999999999998</v>
      </c>
    </row>
    <row r="74" spans="1:3" x14ac:dyDescent="0.25">
      <c r="A74">
        <v>73</v>
      </c>
      <c r="B74" t="s">
        <v>1188</v>
      </c>
      <c r="C74">
        <v>0.6</v>
      </c>
    </row>
    <row r="75" spans="1:3" x14ac:dyDescent="0.25">
      <c r="A75">
        <v>74</v>
      </c>
      <c r="B75" t="s">
        <v>1189</v>
      </c>
      <c r="C75">
        <v>0.59599999999999997</v>
      </c>
    </row>
    <row r="76" spans="1:3" x14ac:dyDescent="0.25">
      <c r="A76">
        <v>75</v>
      </c>
      <c r="B76" t="s">
        <v>1190</v>
      </c>
      <c r="C76">
        <v>0.59</v>
      </c>
    </row>
    <row r="77" spans="1:3" x14ac:dyDescent="0.25">
      <c r="A77">
        <v>76</v>
      </c>
      <c r="B77" t="s">
        <v>1191</v>
      </c>
      <c r="C77">
        <v>0.58699999999999997</v>
      </c>
    </row>
    <row r="78" spans="1:3" x14ac:dyDescent="0.25">
      <c r="A78">
        <v>77</v>
      </c>
      <c r="B78" t="s">
        <v>1192</v>
      </c>
      <c r="C78">
        <v>0.56599999999999995</v>
      </c>
    </row>
    <row r="79" spans="1:3" x14ac:dyDescent="0.25">
      <c r="A79">
        <v>78</v>
      </c>
      <c r="B79" t="s">
        <v>1193</v>
      </c>
      <c r="C79">
        <v>0.55300000000000005</v>
      </c>
    </row>
    <row r="80" spans="1:3" x14ac:dyDescent="0.25">
      <c r="A80">
        <v>79</v>
      </c>
      <c r="B80" t="s">
        <v>1194</v>
      </c>
      <c r="C80">
        <v>0.54400000000000004</v>
      </c>
    </row>
    <row r="81" spans="1:3" x14ac:dyDescent="0.25">
      <c r="A81">
        <v>80</v>
      </c>
      <c r="B81" t="s">
        <v>1195</v>
      </c>
      <c r="C81">
        <v>0.52900000000000003</v>
      </c>
    </row>
    <row r="82" spans="1:3" x14ac:dyDescent="0.25">
      <c r="A82">
        <v>81</v>
      </c>
      <c r="B82" t="s">
        <v>1196</v>
      </c>
      <c r="C82">
        <v>0.52800000000000002</v>
      </c>
    </row>
    <row r="83" spans="1:3" x14ac:dyDescent="0.25">
      <c r="A83">
        <v>82</v>
      </c>
      <c r="B83" t="s">
        <v>1197</v>
      </c>
      <c r="C83">
        <v>0.50800000000000001</v>
      </c>
    </row>
    <row r="84" spans="1:3" x14ac:dyDescent="0.25">
      <c r="A84">
        <v>83</v>
      </c>
      <c r="B84" t="s">
        <v>1198</v>
      </c>
      <c r="C84">
        <v>0.5</v>
      </c>
    </row>
    <row r="85" spans="1:3" x14ac:dyDescent="0.25">
      <c r="A85">
        <v>84</v>
      </c>
      <c r="B85" t="s">
        <v>1199</v>
      </c>
      <c r="C85">
        <v>0.497</v>
      </c>
    </row>
    <row r="86" spans="1:3" x14ac:dyDescent="0.25">
      <c r="A86">
        <v>85</v>
      </c>
      <c r="B86" t="s">
        <v>1200</v>
      </c>
      <c r="C86">
        <v>0.496</v>
      </c>
    </row>
    <row r="87" spans="1:3" x14ac:dyDescent="0.25">
      <c r="A87">
        <v>86</v>
      </c>
      <c r="B87" t="s">
        <v>1201</v>
      </c>
      <c r="C87">
        <v>0.47699999999999998</v>
      </c>
    </row>
    <row r="88" spans="1:3" x14ac:dyDescent="0.25">
      <c r="A88">
        <v>87</v>
      </c>
      <c r="B88" t="s">
        <v>1202</v>
      </c>
      <c r="C88">
        <v>0.47099999999999997</v>
      </c>
    </row>
    <row r="89" spans="1:3" x14ac:dyDescent="0.25">
      <c r="A89">
        <v>88</v>
      </c>
      <c r="B89" t="s">
        <v>1203</v>
      </c>
      <c r="C89">
        <v>0.46899999999999997</v>
      </c>
    </row>
    <row r="90" spans="1:3" x14ac:dyDescent="0.25">
      <c r="A90">
        <v>89</v>
      </c>
      <c r="B90" t="s">
        <v>1204</v>
      </c>
      <c r="C90">
        <v>0.46700000000000003</v>
      </c>
    </row>
    <row r="91" spans="1:3" x14ac:dyDescent="0.25">
      <c r="A91">
        <v>90</v>
      </c>
      <c r="B91" t="s">
        <v>1205</v>
      </c>
      <c r="C91">
        <v>0.46400000000000002</v>
      </c>
    </row>
    <row r="92" spans="1:3" x14ac:dyDescent="0.25">
      <c r="A92">
        <v>91</v>
      </c>
      <c r="B92" t="s">
        <v>1206</v>
      </c>
      <c r="C92">
        <v>0.45200000000000001</v>
      </c>
    </row>
    <row r="93" spans="1:3" x14ac:dyDescent="0.25">
      <c r="A93">
        <v>92</v>
      </c>
      <c r="B93" t="s">
        <v>1207</v>
      </c>
      <c r="C93">
        <v>0.45200000000000001</v>
      </c>
    </row>
    <row r="94" spans="1:3" x14ac:dyDescent="0.25">
      <c r="A94">
        <v>93</v>
      </c>
      <c r="B94" t="s">
        <v>1208</v>
      </c>
      <c r="C94">
        <v>0.44900000000000001</v>
      </c>
    </row>
    <row r="95" spans="1:3" x14ac:dyDescent="0.25">
      <c r="A95">
        <v>94</v>
      </c>
      <c r="B95" t="s">
        <v>1209</v>
      </c>
      <c r="C95">
        <v>0.44800000000000001</v>
      </c>
    </row>
    <row r="96" spans="1:3" x14ac:dyDescent="0.25">
      <c r="A96">
        <v>95</v>
      </c>
      <c r="B96" t="s">
        <v>1210</v>
      </c>
      <c r="C96">
        <v>0.442</v>
      </c>
    </row>
    <row r="97" spans="1:3" x14ac:dyDescent="0.25">
      <c r="A97">
        <v>96</v>
      </c>
      <c r="B97" t="s">
        <v>1211</v>
      </c>
      <c r="C97">
        <v>0.437</v>
      </c>
    </row>
    <row r="98" spans="1:3" x14ac:dyDescent="0.25">
      <c r="A98">
        <v>97</v>
      </c>
      <c r="B98" t="s">
        <v>1212</v>
      </c>
      <c r="C98">
        <v>0.435</v>
      </c>
    </row>
    <row r="99" spans="1:3" x14ac:dyDescent="0.25">
      <c r="A99">
        <v>98</v>
      </c>
      <c r="B99" t="s">
        <v>1213</v>
      </c>
      <c r="C99">
        <v>0.432</v>
      </c>
    </row>
    <row r="100" spans="1:3" x14ac:dyDescent="0.25">
      <c r="A100">
        <v>99</v>
      </c>
      <c r="B100" t="s">
        <v>1214</v>
      </c>
      <c r="C100">
        <v>0.42199999999999999</v>
      </c>
    </row>
    <row r="101" spans="1:3" x14ac:dyDescent="0.25">
      <c r="A101">
        <v>100</v>
      </c>
      <c r="B101" t="s">
        <v>1215</v>
      </c>
      <c r="C101">
        <v>0.42199999999999999</v>
      </c>
    </row>
    <row r="102" spans="1:3" x14ac:dyDescent="0.25">
      <c r="A102">
        <v>101</v>
      </c>
      <c r="B102" t="s">
        <v>1216</v>
      </c>
      <c r="C102">
        <v>0.41899999999999998</v>
      </c>
    </row>
    <row r="103" spans="1:3" x14ac:dyDescent="0.25">
      <c r="A103">
        <v>102</v>
      </c>
      <c r="B103" t="s">
        <v>1217</v>
      </c>
      <c r="C103">
        <v>0.41699999999999998</v>
      </c>
    </row>
    <row r="104" spans="1:3" x14ac:dyDescent="0.25">
      <c r="A104">
        <v>103</v>
      </c>
      <c r="B104" t="s">
        <v>1218</v>
      </c>
      <c r="C104">
        <v>0.40500000000000003</v>
      </c>
    </row>
    <row r="105" spans="1:3" x14ac:dyDescent="0.25">
      <c r="A105">
        <v>104</v>
      </c>
      <c r="B105" t="s">
        <v>1219</v>
      </c>
      <c r="C105">
        <v>0.40400000000000003</v>
      </c>
    </row>
    <row r="106" spans="1:3" x14ac:dyDescent="0.25">
      <c r="A106">
        <v>105</v>
      </c>
      <c r="B106" t="s">
        <v>1220</v>
      </c>
      <c r="C106">
        <v>0.40100000000000002</v>
      </c>
    </row>
    <row r="107" spans="1:3" x14ac:dyDescent="0.25">
      <c r="A107">
        <v>106</v>
      </c>
      <c r="B107" t="s">
        <v>1221</v>
      </c>
      <c r="C107">
        <v>0.39800000000000002</v>
      </c>
    </row>
    <row r="108" spans="1:3" x14ac:dyDescent="0.25">
      <c r="A108">
        <v>107</v>
      </c>
      <c r="B108" t="s">
        <v>1222</v>
      </c>
      <c r="C108">
        <v>0.39500000000000002</v>
      </c>
    </row>
    <row r="109" spans="1:3" x14ac:dyDescent="0.25">
      <c r="A109">
        <v>108</v>
      </c>
      <c r="B109" t="s">
        <v>1223</v>
      </c>
      <c r="C109">
        <v>0.39200000000000002</v>
      </c>
    </row>
    <row r="110" spans="1:3" x14ac:dyDescent="0.25">
      <c r="A110">
        <v>109</v>
      </c>
      <c r="B110" t="s">
        <v>1224</v>
      </c>
      <c r="C110">
        <v>0.375</v>
      </c>
    </row>
    <row r="111" spans="1:3" x14ac:dyDescent="0.25">
      <c r="A111">
        <v>110</v>
      </c>
      <c r="B111" t="s">
        <v>1225</v>
      </c>
      <c r="C111">
        <v>0.375</v>
      </c>
    </row>
    <row r="112" spans="1:3" x14ac:dyDescent="0.25">
      <c r="A112">
        <v>111</v>
      </c>
      <c r="B112" t="s">
        <v>1226</v>
      </c>
      <c r="C112">
        <v>0.372</v>
      </c>
    </row>
    <row r="113" spans="1:3" x14ac:dyDescent="0.25">
      <c r="A113">
        <v>112</v>
      </c>
      <c r="B113" t="s">
        <v>1227</v>
      </c>
      <c r="C113">
        <v>0.371</v>
      </c>
    </row>
    <row r="114" spans="1:3" x14ac:dyDescent="0.25">
      <c r="A114">
        <v>113</v>
      </c>
      <c r="B114" t="s">
        <v>1228</v>
      </c>
      <c r="C114">
        <v>0.371</v>
      </c>
    </row>
    <row r="115" spans="1:3" x14ac:dyDescent="0.25">
      <c r="A115">
        <v>114</v>
      </c>
      <c r="B115" t="s">
        <v>1229</v>
      </c>
      <c r="C115">
        <v>0.36199999999999999</v>
      </c>
    </row>
    <row r="116" spans="1:3" x14ac:dyDescent="0.25">
      <c r="A116">
        <v>115</v>
      </c>
      <c r="B116" t="s">
        <v>1230</v>
      </c>
      <c r="C116">
        <v>0.35899999999999999</v>
      </c>
    </row>
    <row r="117" spans="1:3" x14ac:dyDescent="0.25">
      <c r="A117">
        <v>116</v>
      </c>
      <c r="B117" t="s">
        <v>1231</v>
      </c>
      <c r="C117">
        <v>0.35799999999999998</v>
      </c>
    </row>
    <row r="118" spans="1:3" x14ac:dyDescent="0.25">
      <c r="A118">
        <v>117</v>
      </c>
      <c r="B118" t="s">
        <v>1232</v>
      </c>
      <c r="C118">
        <v>0.35499999999999998</v>
      </c>
    </row>
    <row r="119" spans="1:3" x14ac:dyDescent="0.25">
      <c r="A119">
        <v>118</v>
      </c>
      <c r="B119" t="s">
        <v>1233</v>
      </c>
      <c r="C119">
        <v>0.34599999999999997</v>
      </c>
    </row>
    <row r="120" spans="1:3" x14ac:dyDescent="0.25">
      <c r="A120">
        <v>119</v>
      </c>
      <c r="B120" t="s">
        <v>1234</v>
      </c>
      <c r="C120">
        <v>0.34599999999999997</v>
      </c>
    </row>
    <row r="121" spans="1:3" x14ac:dyDescent="0.25">
      <c r="A121">
        <v>120</v>
      </c>
      <c r="B121" t="s">
        <v>1235</v>
      </c>
      <c r="C121">
        <v>0.34300000000000003</v>
      </c>
    </row>
    <row r="122" spans="1:3" x14ac:dyDescent="0.25">
      <c r="A122">
        <v>121</v>
      </c>
      <c r="B122" t="s">
        <v>1236</v>
      </c>
      <c r="C122">
        <v>0.34100000000000003</v>
      </c>
    </row>
    <row r="123" spans="1:3" x14ac:dyDescent="0.25">
      <c r="A123">
        <v>122</v>
      </c>
      <c r="B123" t="s">
        <v>1237</v>
      </c>
      <c r="C123">
        <v>0.33900000000000002</v>
      </c>
    </row>
    <row r="124" spans="1:3" x14ac:dyDescent="0.25">
      <c r="A124">
        <v>123</v>
      </c>
      <c r="B124" t="s">
        <v>1238</v>
      </c>
      <c r="C124">
        <v>0.33600000000000002</v>
      </c>
    </row>
    <row r="125" spans="1:3" x14ac:dyDescent="0.25">
      <c r="A125">
        <v>124</v>
      </c>
      <c r="B125" t="s">
        <v>1239</v>
      </c>
      <c r="C125">
        <v>0.33600000000000002</v>
      </c>
    </row>
    <row r="126" spans="1:3" x14ac:dyDescent="0.25">
      <c r="A126">
        <v>125</v>
      </c>
      <c r="B126" t="s">
        <v>1240</v>
      </c>
      <c r="C126">
        <v>0.33500000000000002</v>
      </c>
    </row>
    <row r="127" spans="1:3" x14ac:dyDescent="0.25">
      <c r="A127">
        <v>126</v>
      </c>
      <c r="B127" t="s">
        <v>1241</v>
      </c>
      <c r="C127">
        <v>0.33400000000000002</v>
      </c>
    </row>
    <row r="128" spans="1:3" x14ac:dyDescent="0.25">
      <c r="A128">
        <v>127</v>
      </c>
      <c r="B128" t="s">
        <v>1242</v>
      </c>
      <c r="C128">
        <v>0.33200000000000002</v>
      </c>
    </row>
    <row r="129" spans="1:3" x14ac:dyDescent="0.25">
      <c r="A129">
        <v>128</v>
      </c>
      <c r="B129" t="s">
        <v>1243</v>
      </c>
      <c r="C129">
        <v>0.32800000000000001</v>
      </c>
    </row>
    <row r="130" spans="1:3" x14ac:dyDescent="0.25">
      <c r="A130">
        <v>129</v>
      </c>
      <c r="B130" t="s">
        <v>1244</v>
      </c>
      <c r="C130">
        <v>0.32600000000000001</v>
      </c>
    </row>
    <row r="131" spans="1:3" x14ac:dyDescent="0.25">
      <c r="A131">
        <v>130</v>
      </c>
      <c r="B131" t="s">
        <v>1245</v>
      </c>
      <c r="C131">
        <v>0.32300000000000001</v>
      </c>
    </row>
    <row r="132" spans="1:3" x14ac:dyDescent="0.25">
      <c r="A132">
        <v>131</v>
      </c>
      <c r="B132" t="s">
        <v>1246</v>
      </c>
      <c r="C132">
        <v>0.317</v>
      </c>
    </row>
    <row r="133" spans="1:3" x14ac:dyDescent="0.25">
      <c r="A133">
        <v>132</v>
      </c>
      <c r="B133" t="s">
        <v>1247</v>
      </c>
      <c r="C133">
        <v>0.316</v>
      </c>
    </row>
    <row r="134" spans="1:3" x14ac:dyDescent="0.25">
      <c r="A134">
        <v>133</v>
      </c>
      <c r="B134" t="s">
        <v>1248</v>
      </c>
      <c r="C134">
        <v>0.311</v>
      </c>
    </row>
    <row r="135" spans="1:3" x14ac:dyDescent="0.25">
      <c r="A135">
        <v>134</v>
      </c>
      <c r="B135" t="s">
        <v>1249</v>
      </c>
      <c r="C135">
        <v>0.30599999999999999</v>
      </c>
    </row>
    <row r="136" spans="1:3" x14ac:dyDescent="0.25">
      <c r="A136">
        <v>135</v>
      </c>
      <c r="B136" t="s">
        <v>1250</v>
      </c>
      <c r="C136">
        <v>0.30599999999999999</v>
      </c>
    </row>
    <row r="137" spans="1:3" x14ac:dyDescent="0.25">
      <c r="A137">
        <v>136</v>
      </c>
      <c r="B137" t="s">
        <v>1251</v>
      </c>
      <c r="C137">
        <v>0.30399999999999999</v>
      </c>
    </row>
    <row r="138" spans="1:3" x14ac:dyDescent="0.25">
      <c r="A138">
        <v>137</v>
      </c>
      <c r="B138" t="s">
        <v>1252</v>
      </c>
      <c r="C138">
        <v>0.30299999999999999</v>
      </c>
    </row>
    <row r="139" spans="1:3" x14ac:dyDescent="0.25">
      <c r="A139">
        <v>138</v>
      </c>
      <c r="B139" t="s">
        <v>1253</v>
      </c>
      <c r="C139">
        <v>0.30199999999999999</v>
      </c>
    </row>
    <row r="140" spans="1:3" x14ac:dyDescent="0.25">
      <c r="A140">
        <v>139</v>
      </c>
      <c r="B140" t="s">
        <v>1254</v>
      </c>
      <c r="C140">
        <v>0.29899999999999999</v>
      </c>
    </row>
    <row r="141" spans="1:3" x14ac:dyDescent="0.25">
      <c r="A141">
        <v>140</v>
      </c>
      <c r="B141" t="s">
        <v>1255</v>
      </c>
      <c r="C141">
        <v>0.29799999999999999</v>
      </c>
    </row>
    <row r="142" spans="1:3" x14ac:dyDescent="0.25">
      <c r="A142">
        <v>141</v>
      </c>
      <c r="B142" t="s">
        <v>1256</v>
      </c>
      <c r="C142">
        <v>0.29099999999999998</v>
      </c>
    </row>
    <row r="143" spans="1:3" x14ac:dyDescent="0.25">
      <c r="A143">
        <v>142</v>
      </c>
      <c r="B143" t="s">
        <v>1257</v>
      </c>
      <c r="C143">
        <v>0.28999999999999998</v>
      </c>
    </row>
    <row r="144" spans="1:3" x14ac:dyDescent="0.25">
      <c r="A144">
        <v>143</v>
      </c>
      <c r="B144" t="s">
        <v>1258</v>
      </c>
      <c r="C144">
        <v>0.28699999999999998</v>
      </c>
    </row>
    <row r="145" spans="1:3" x14ac:dyDescent="0.25">
      <c r="A145">
        <v>144</v>
      </c>
      <c r="B145" t="s">
        <v>1259</v>
      </c>
      <c r="C145">
        <v>0.28699999999999998</v>
      </c>
    </row>
    <row r="146" spans="1:3" x14ac:dyDescent="0.25">
      <c r="A146">
        <v>145</v>
      </c>
      <c r="B146" t="s">
        <v>1260</v>
      </c>
      <c r="C146">
        <v>0.28599999999999998</v>
      </c>
    </row>
    <row r="147" spans="1:3" x14ac:dyDescent="0.25">
      <c r="A147">
        <v>146</v>
      </c>
      <c r="B147" t="s">
        <v>1261</v>
      </c>
      <c r="C147">
        <v>0.28399999999999997</v>
      </c>
    </row>
    <row r="148" spans="1:3" x14ac:dyDescent="0.25">
      <c r="A148">
        <v>147</v>
      </c>
      <c r="B148" t="s">
        <v>1262</v>
      </c>
      <c r="C148">
        <v>0.28299999999999997</v>
      </c>
    </row>
    <row r="149" spans="1:3" x14ac:dyDescent="0.25">
      <c r="A149">
        <v>148</v>
      </c>
      <c r="B149" t="s">
        <v>1263</v>
      </c>
      <c r="C149">
        <v>0.28000000000000003</v>
      </c>
    </row>
    <row r="150" spans="1:3" x14ac:dyDescent="0.25">
      <c r="A150">
        <v>149</v>
      </c>
      <c r="B150" t="s">
        <v>1264</v>
      </c>
      <c r="C150">
        <v>0.27700000000000002</v>
      </c>
    </row>
    <row r="151" spans="1:3" x14ac:dyDescent="0.25">
      <c r="A151">
        <v>150</v>
      </c>
      <c r="B151" t="s">
        <v>1265</v>
      </c>
      <c r="C151">
        <v>0.27200000000000002</v>
      </c>
    </row>
    <row r="152" spans="1:3" x14ac:dyDescent="0.25">
      <c r="A152">
        <v>151</v>
      </c>
      <c r="B152" t="s">
        <v>1266</v>
      </c>
      <c r="C152">
        <v>0.27</v>
      </c>
    </row>
    <row r="153" spans="1:3" x14ac:dyDescent="0.25">
      <c r="A153">
        <v>152</v>
      </c>
      <c r="B153" t="s">
        <v>1267</v>
      </c>
      <c r="C153">
        <v>0.27</v>
      </c>
    </row>
    <row r="154" spans="1:3" x14ac:dyDescent="0.25">
      <c r="A154">
        <v>153</v>
      </c>
      <c r="B154" t="s">
        <v>1268</v>
      </c>
      <c r="C154">
        <v>0.26400000000000001</v>
      </c>
    </row>
    <row r="155" spans="1:3" x14ac:dyDescent="0.25">
      <c r="A155">
        <v>154</v>
      </c>
      <c r="B155" t="s">
        <v>1269</v>
      </c>
      <c r="C155">
        <v>0.26300000000000001</v>
      </c>
    </row>
    <row r="156" spans="1:3" x14ac:dyDescent="0.25">
      <c r="A156">
        <v>155</v>
      </c>
      <c r="B156" t="s">
        <v>1270</v>
      </c>
      <c r="C156">
        <v>0.26</v>
      </c>
    </row>
    <row r="157" spans="1:3" x14ac:dyDescent="0.25">
      <c r="A157">
        <v>156</v>
      </c>
      <c r="B157" t="s">
        <v>1271</v>
      </c>
      <c r="C157">
        <v>0.25600000000000001</v>
      </c>
    </row>
    <row r="158" spans="1:3" x14ac:dyDescent="0.25">
      <c r="A158">
        <v>157</v>
      </c>
      <c r="B158" t="s">
        <v>1272</v>
      </c>
      <c r="C158">
        <v>0.25600000000000001</v>
      </c>
    </row>
    <row r="159" spans="1:3" x14ac:dyDescent="0.25">
      <c r="A159">
        <v>158</v>
      </c>
      <c r="B159" t="s">
        <v>1273</v>
      </c>
      <c r="C159">
        <v>0.255</v>
      </c>
    </row>
    <row r="160" spans="1:3" x14ac:dyDescent="0.25">
      <c r="A160">
        <v>159</v>
      </c>
      <c r="B160" t="s">
        <v>1274</v>
      </c>
      <c r="C160">
        <v>0.255</v>
      </c>
    </row>
    <row r="161" spans="1:3" x14ac:dyDescent="0.25">
      <c r="A161">
        <v>160</v>
      </c>
      <c r="B161" t="s">
        <v>1275</v>
      </c>
      <c r="C161">
        <v>0.254</v>
      </c>
    </row>
    <row r="162" spans="1:3" x14ac:dyDescent="0.25">
      <c r="A162">
        <v>161</v>
      </c>
      <c r="B162" t="s">
        <v>1276</v>
      </c>
      <c r="C162">
        <v>0.251</v>
      </c>
    </row>
    <row r="163" spans="1:3" x14ac:dyDescent="0.25">
      <c r="A163">
        <v>162</v>
      </c>
      <c r="B163" t="s">
        <v>1277</v>
      </c>
      <c r="C163">
        <v>0.251</v>
      </c>
    </row>
    <row r="164" spans="1:3" x14ac:dyDescent="0.25">
      <c r="A164">
        <v>163</v>
      </c>
      <c r="B164" t="s">
        <v>1278</v>
      </c>
      <c r="C164">
        <v>0.25</v>
      </c>
    </row>
    <row r="165" spans="1:3" x14ac:dyDescent="0.25">
      <c r="A165">
        <v>164</v>
      </c>
      <c r="B165" t="s">
        <v>1279</v>
      </c>
      <c r="C165">
        <v>0.249</v>
      </c>
    </row>
    <row r="166" spans="1:3" x14ac:dyDescent="0.25">
      <c r="A166">
        <v>165</v>
      </c>
      <c r="B166" t="s">
        <v>1280</v>
      </c>
      <c r="C166">
        <v>0.246</v>
      </c>
    </row>
    <row r="167" spans="1:3" x14ac:dyDescent="0.25">
      <c r="A167">
        <v>166</v>
      </c>
      <c r="B167" t="s">
        <v>1281</v>
      </c>
      <c r="C167">
        <v>0.245</v>
      </c>
    </row>
    <row r="168" spans="1:3" x14ac:dyDescent="0.25">
      <c r="A168">
        <v>167</v>
      </c>
      <c r="B168" t="s">
        <v>1282</v>
      </c>
      <c r="C168">
        <v>0.24399999999999999</v>
      </c>
    </row>
    <row r="169" spans="1:3" x14ac:dyDescent="0.25">
      <c r="A169">
        <v>168</v>
      </c>
      <c r="B169" t="s">
        <v>1283</v>
      </c>
      <c r="C169">
        <v>0.24199999999999999</v>
      </c>
    </row>
    <row r="170" spans="1:3" x14ac:dyDescent="0.25">
      <c r="A170">
        <v>169</v>
      </c>
      <c r="B170" t="s">
        <v>1284</v>
      </c>
      <c r="C170">
        <v>0.24099999999999999</v>
      </c>
    </row>
    <row r="171" spans="1:3" x14ac:dyDescent="0.25">
      <c r="A171">
        <v>170</v>
      </c>
      <c r="B171" t="s">
        <v>1285</v>
      </c>
      <c r="C171">
        <v>0.24</v>
      </c>
    </row>
    <row r="172" spans="1:3" x14ac:dyDescent="0.25">
      <c r="A172">
        <v>171</v>
      </c>
      <c r="B172" t="s">
        <v>1286</v>
      </c>
      <c r="C172">
        <v>0.23899999999999999</v>
      </c>
    </row>
    <row r="173" spans="1:3" x14ac:dyDescent="0.25">
      <c r="A173">
        <v>172</v>
      </c>
      <c r="B173" t="s">
        <v>1287</v>
      </c>
      <c r="C173">
        <v>0.23899999999999999</v>
      </c>
    </row>
    <row r="174" spans="1:3" x14ac:dyDescent="0.25">
      <c r="A174">
        <v>173</v>
      </c>
      <c r="B174" t="s">
        <v>1288</v>
      </c>
      <c r="C174">
        <v>0.23499999999999999</v>
      </c>
    </row>
    <row r="175" spans="1:3" x14ac:dyDescent="0.25">
      <c r="A175">
        <v>174</v>
      </c>
      <c r="B175" t="s">
        <v>1289</v>
      </c>
      <c r="C175">
        <v>0.23499999999999999</v>
      </c>
    </row>
    <row r="176" spans="1:3" x14ac:dyDescent="0.25">
      <c r="A176">
        <v>175</v>
      </c>
      <c r="B176" t="s">
        <v>1290</v>
      </c>
      <c r="C176">
        <v>0.23</v>
      </c>
    </row>
    <row r="177" spans="1:3" x14ac:dyDescent="0.25">
      <c r="A177">
        <v>176</v>
      </c>
      <c r="B177" t="s">
        <v>1291</v>
      </c>
      <c r="C177">
        <v>0.22700000000000001</v>
      </c>
    </row>
    <row r="178" spans="1:3" x14ac:dyDescent="0.25">
      <c r="A178">
        <v>177</v>
      </c>
      <c r="B178" t="s">
        <v>1292</v>
      </c>
      <c r="C178">
        <v>0.22700000000000001</v>
      </c>
    </row>
    <row r="179" spans="1:3" x14ac:dyDescent="0.25">
      <c r="A179">
        <v>178</v>
      </c>
      <c r="B179" t="s">
        <v>1293</v>
      </c>
      <c r="C179">
        <v>0.224</v>
      </c>
    </row>
    <row r="180" spans="1:3" x14ac:dyDescent="0.25">
      <c r="A180">
        <v>179</v>
      </c>
      <c r="B180" t="s">
        <v>1294</v>
      </c>
      <c r="C180">
        <v>0.222</v>
      </c>
    </row>
    <row r="181" spans="1:3" x14ac:dyDescent="0.25">
      <c r="A181">
        <v>180</v>
      </c>
      <c r="B181" t="s">
        <v>1295</v>
      </c>
      <c r="C181">
        <v>0.222</v>
      </c>
    </row>
    <row r="182" spans="1:3" x14ac:dyDescent="0.25">
      <c r="A182">
        <v>181</v>
      </c>
      <c r="B182" t="s">
        <v>1296</v>
      </c>
      <c r="C182">
        <v>0.221</v>
      </c>
    </row>
    <row r="183" spans="1:3" x14ac:dyDescent="0.25">
      <c r="A183">
        <v>182</v>
      </c>
      <c r="B183" t="s">
        <v>1297</v>
      </c>
      <c r="C183">
        <v>0.219</v>
      </c>
    </row>
    <row r="184" spans="1:3" x14ac:dyDescent="0.25">
      <c r="A184">
        <v>183</v>
      </c>
      <c r="B184" t="s">
        <v>1298</v>
      </c>
      <c r="C184">
        <v>0.217</v>
      </c>
    </row>
    <row r="185" spans="1:3" x14ac:dyDescent="0.25">
      <c r="A185">
        <v>184</v>
      </c>
      <c r="B185" t="s">
        <v>1299</v>
      </c>
      <c r="C185">
        <v>0.215</v>
      </c>
    </row>
    <row r="186" spans="1:3" x14ac:dyDescent="0.25">
      <c r="A186">
        <v>185</v>
      </c>
      <c r="B186" t="s">
        <v>1300</v>
      </c>
      <c r="C186">
        <v>0.215</v>
      </c>
    </row>
    <row r="187" spans="1:3" x14ac:dyDescent="0.25">
      <c r="A187">
        <v>186</v>
      </c>
      <c r="B187" t="s">
        <v>1301</v>
      </c>
      <c r="C187">
        <v>0.215</v>
      </c>
    </row>
    <row r="188" spans="1:3" x14ac:dyDescent="0.25">
      <c r="A188">
        <v>187</v>
      </c>
      <c r="B188" t="s">
        <v>1302</v>
      </c>
      <c r="C188">
        <v>0.214</v>
      </c>
    </row>
    <row r="189" spans="1:3" x14ac:dyDescent="0.25">
      <c r="A189">
        <v>188</v>
      </c>
      <c r="B189" t="s">
        <v>1303</v>
      </c>
      <c r="C189">
        <v>0.21299999999999999</v>
      </c>
    </row>
    <row r="190" spans="1:3" x14ac:dyDescent="0.25">
      <c r="A190">
        <v>189</v>
      </c>
      <c r="B190" t="s">
        <v>1304</v>
      </c>
      <c r="C190">
        <v>0.21199999999999999</v>
      </c>
    </row>
    <row r="191" spans="1:3" x14ac:dyDescent="0.25">
      <c r="A191">
        <v>190</v>
      </c>
      <c r="B191" t="s">
        <v>1305</v>
      </c>
      <c r="C191">
        <v>0.21199999999999999</v>
      </c>
    </row>
    <row r="192" spans="1:3" x14ac:dyDescent="0.25">
      <c r="A192">
        <v>191</v>
      </c>
      <c r="B192" t="s">
        <v>1306</v>
      </c>
      <c r="C192">
        <v>0.21</v>
      </c>
    </row>
    <row r="193" spans="1:3" x14ac:dyDescent="0.25">
      <c r="A193">
        <v>192</v>
      </c>
      <c r="B193" t="s">
        <v>1307</v>
      </c>
      <c r="C193">
        <v>0.20899999999999999</v>
      </c>
    </row>
    <row r="194" spans="1:3" x14ac:dyDescent="0.25">
      <c r="A194">
        <v>193</v>
      </c>
      <c r="B194" t="s">
        <v>1308</v>
      </c>
      <c r="C194">
        <v>0.20799999999999999</v>
      </c>
    </row>
    <row r="195" spans="1:3" x14ac:dyDescent="0.25">
      <c r="A195">
        <v>194</v>
      </c>
      <c r="B195" t="s">
        <v>1309</v>
      </c>
      <c r="C195">
        <v>0.20799999999999999</v>
      </c>
    </row>
    <row r="196" spans="1:3" x14ac:dyDescent="0.25">
      <c r="A196">
        <v>195</v>
      </c>
      <c r="B196" t="s">
        <v>1310</v>
      </c>
      <c r="C196">
        <v>0.20599999999999999</v>
      </c>
    </row>
    <row r="197" spans="1:3" x14ac:dyDescent="0.25">
      <c r="A197">
        <v>196</v>
      </c>
      <c r="B197" t="s">
        <v>1311</v>
      </c>
      <c r="C197">
        <v>0.20599999999999999</v>
      </c>
    </row>
    <row r="198" spans="1:3" x14ac:dyDescent="0.25">
      <c r="A198">
        <v>197</v>
      </c>
      <c r="B198" t="s">
        <v>1312</v>
      </c>
      <c r="C198">
        <v>0.20399999999999999</v>
      </c>
    </row>
    <row r="199" spans="1:3" x14ac:dyDescent="0.25">
      <c r="A199">
        <v>198</v>
      </c>
      <c r="B199" t="s">
        <v>1313</v>
      </c>
      <c r="C199">
        <v>0.20200000000000001</v>
      </c>
    </row>
    <row r="200" spans="1:3" x14ac:dyDescent="0.25">
      <c r="A200">
        <v>199</v>
      </c>
      <c r="B200" t="s">
        <v>1314</v>
      </c>
      <c r="C200">
        <v>0.20200000000000001</v>
      </c>
    </row>
    <row r="201" spans="1:3" x14ac:dyDescent="0.25">
      <c r="A201">
        <v>200</v>
      </c>
      <c r="B201" t="s">
        <v>1315</v>
      </c>
      <c r="C201">
        <v>0.20200000000000001</v>
      </c>
    </row>
    <row r="202" spans="1:3" x14ac:dyDescent="0.25">
      <c r="A202">
        <v>201</v>
      </c>
      <c r="B202" t="s">
        <v>1316</v>
      </c>
      <c r="C202">
        <v>0.20200000000000001</v>
      </c>
    </row>
    <row r="203" spans="1:3" x14ac:dyDescent="0.25">
      <c r="A203">
        <v>202</v>
      </c>
      <c r="B203" t="s">
        <v>1317</v>
      </c>
      <c r="C203">
        <v>0.20100000000000001</v>
      </c>
    </row>
    <row r="204" spans="1:3" x14ac:dyDescent="0.25">
      <c r="A204">
        <v>203</v>
      </c>
      <c r="B204" t="s">
        <v>1318</v>
      </c>
      <c r="C204">
        <v>0.19900000000000001</v>
      </c>
    </row>
    <row r="205" spans="1:3" x14ac:dyDescent="0.25">
      <c r="A205">
        <v>204</v>
      </c>
      <c r="B205" t="s">
        <v>1319</v>
      </c>
      <c r="C205">
        <v>0.19700000000000001</v>
      </c>
    </row>
    <row r="206" spans="1:3" x14ac:dyDescent="0.25">
      <c r="A206">
        <v>205</v>
      </c>
      <c r="B206" t="s">
        <v>1320</v>
      </c>
      <c r="C206">
        <v>0.19600000000000001</v>
      </c>
    </row>
    <row r="207" spans="1:3" x14ac:dyDescent="0.25">
      <c r="A207">
        <v>206</v>
      </c>
      <c r="B207" t="s">
        <v>1321</v>
      </c>
      <c r="C207">
        <v>0.19500000000000001</v>
      </c>
    </row>
    <row r="208" spans="1:3" x14ac:dyDescent="0.25">
      <c r="A208">
        <v>207</v>
      </c>
      <c r="B208" t="s">
        <v>1322</v>
      </c>
      <c r="C208">
        <v>0.193</v>
      </c>
    </row>
    <row r="209" spans="1:3" x14ac:dyDescent="0.25">
      <c r="A209">
        <v>208</v>
      </c>
      <c r="B209" t="s">
        <v>1323</v>
      </c>
      <c r="C209">
        <v>0.193</v>
      </c>
    </row>
    <row r="210" spans="1:3" x14ac:dyDescent="0.25">
      <c r="A210">
        <v>209</v>
      </c>
      <c r="B210" t="s">
        <v>1324</v>
      </c>
      <c r="C210">
        <v>0.193</v>
      </c>
    </row>
    <row r="211" spans="1:3" x14ac:dyDescent="0.25">
      <c r="A211">
        <v>210</v>
      </c>
      <c r="B211" t="s">
        <v>1325</v>
      </c>
      <c r="C211">
        <v>0.192</v>
      </c>
    </row>
    <row r="212" spans="1:3" x14ac:dyDescent="0.25">
      <c r="A212">
        <v>211</v>
      </c>
      <c r="B212" t="s">
        <v>1326</v>
      </c>
      <c r="C212">
        <v>0.189</v>
      </c>
    </row>
    <row r="213" spans="1:3" x14ac:dyDescent="0.25">
      <c r="A213">
        <v>212</v>
      </c>
      <c r="B213" t="s">
        <v>1327</v>
      </c>
      <c r="C213">
        <v>0.187</v>
      </c>
    </row>
    <row r="214" spans="1:3" x14ac:dyDescent="0.25">
      <c r="A214">
        <v>213</v>
      </c>
      <c r="B214" t="s">
        <v>1328</v>
      </c>
      <c r="C214">
        <v>0.187</v>
      </c>
    </row>
    <row r="215" spans="1:3" x14ac:dyDescent="0.25">
      <c r="A215">
        <v>214</v>
      </c>
      <c r="B215" t="s">
        <v>1329</v>
      </c>
      <c r="C215">
        <v>0.187</v>
      </c>
    </row>
    <row r="216" spans="1:3" x14ac:dyDescent="0.25">
      <c r="A216">
        <v>215</v>
      </c>
      <c r="B216" t="s">
        <v>1330</v>
      </c>
      <c r="C216">
        <v>0.187</v>
      </c>
    </row>
    <row r="217" spans="1:3" x14ac:dyDescent="0.25">
      <c r="A217">
        <v>216</v>
      </c>
      <c r="B217" t="s">
        <v>1331</v>
      </c>
      <c r="C217">
        <v>0.186</v>
      </c>
    </row>
    <row r="218" spans="1:3" x14ac:dyDescent="0.25">
      <c r="A218">
        <v>217</v>
      </c>
      <c r="B218" t="s">
        <v>1332</v>
      </c>
      <c r="C218">
        <v>0.186</v>
      </c>
    </row>
    <row r="219" spans="1:3" x14ac:dyDescent="0.25">
      <c r="A219">
        <v>218</v>
      </c>
      <c r="B219" t="s">
        <v>1333</v>
      </c>
      <c r="C219">
        <v>0.184</v>
      </c>
    </row>
    <row r="220" spans="1:3" x14ac:dyDescent="0.25">
      <c r="A220">
        <v>219</v>
      </c>
      <c r="B220" t="s">
        <v>1334</v>
      </c>
      <c r="C220">
        <v>0.183</v>
      </c>
    </row>
    <row r="221" spans="1:3" x14ac:dyDescent="0.25">
      <c r="A221">
        <v>220</v>
      </c>
      <c r="B221" t="s">
        <v>1335</v>
      </c>
      <c r="C221">
        <v>0.18099999999999999</v>
      </c>
    </row>
    <row r="222" spans="1:3" x14ac:dyDescent="0.25">
      <c r="A222">
        <v>221</v>
      </c>
      <c r="B222" t="s">
        <v>1336</v>
      </c>
      <c r="C222">
        <v>0.18</v>
      </c>
    </row>
    <row r="223" spans="1:3" x14ac:dyDescent="0.25">
      <c r="A223">
        <v>222</v>
      </c>
      <c r="B223" t="s">
        <v>1337</v>
      </c>
      <c r="C223">
        <v>0.17499999999999999</v>
      </c>
    </row>
    <row r="224" spans="1:3" x14ac:dyDescent="0.25">
      <c r="A224">
        <v>223</v>
      </c>
      <c r="B224" t="s">
        <v>1338</v>
      </c>
      <c r="C224">
        <v>0.17499999999999999</v>
      </c>
    </row>
    <row r="225" spans="1:3" x14ac:dyDescent="0.25">
      <c r="A225">
        <v>224</v>
      </c>
      <c r="B225" t="s">
        <v>1339</v>
      </c>
      <c r="C225">
        <v>0.17499999999999999</v>
      </c>
    </row>
    <row r="226" spans="1:3" x14ac:dyDescent="0.25">
      <c r="A226">
        <v>225</v>
      </c>
      <c r="B226" t="s">
        <v>1340</v>
      </c>
      <c r="C226">
        <v>0.17399999999999999</v>
      </c>
    </row>
    <row r="227" spans="1:3" x14ac:dyDescent="0.25">
      <c r="A227">
        <v>226</v>
      </c>
      <c r="B227" t="s">
        <v>1341</v>
      </c>
      <c r="C227">
        <v>0.17399999999999999</v>
      </c>
    </row>
    <row r="228" spans="1:3" x14ac:dyDescent="0.25">
      <c r="A228">
        <v>227</v>
      </c>
      <c r="B228" t="s">
        <v>1342</v>
      </c>
      <c r="C228">
        <v>0.17199999999999999</v>
      </c>
    </row>
    <row r="229" spans="1:3" x14ac:dyDescent="0.25">
      <c r="A229">
        <v>228</v>
      </c>
      <c r="B229" t="s">
        <v>1343</v>
      </c>
      <c r="C229">
        <v>0.17100000000000001</v>
      </c>
    </row>
    <row r="230" spans="1:3" x14ac:dyDescent="0.25">
      <c r="A230">
        <v>229</v>
      </c>
      <c r="B230" t="s">
        <v>1344</v>
      </c>
      <c r="C230">
        <v>0.17100000000000001</v>
      </c>
    </row>
    <row r="231" spans="1:3" x14ac:dyDescent="0.25">
      <c r="A231">
        <v>230</v>
      </c>
      <c r="B231" t="s">
        <v>1345</v>
      </c>
      <c r="C231">
        <v>0.17100000000000001</v>
      </c>
    </row>
    <row r="232" spans="1:3" x14ac:dyDescent="0.25">
      <c r="A232">
        <v>231</v>
      </c>
      <c r="B232" t="s">
        <v>1346</v>
      </c>
      <c r="C232">
        <v>0.16900000000000001</v>
      </c>
    </row>
    <row r="233" spans="1:3" x14ac:dyDescent="0.25">
      <c r="A233">
        <v>232</v>
      </c>
      <c r="B233" t="s">
        <v>1347</v>
      </c>
      <c r="C233">
        <v>0.16700000000000001</v>
      </c>
    </row>
    <row r="234" spans="1:3" x14ac:dyDescent="0.25">
      <c r="A234">
        <v>233</v>
      </c>
      <c r="B234" t="s">
        <v>1348</v>
      </c>
      <c r="C234">
        <v>0.16700000000000001</v>
      </c>
    </row>
    <row r="235" spans="1:3" x14ac:dyDescent="0.25">
      <c r="A235">
        <v>234</v>
      </c>
      <c r="B235" t="s">
        <v>1349</v>
      </c>
      <c r="C235">
        <v>0.16600000000000001</v>
      </c>
    </row>
    <row r="236" spans="1:3" x14ac:dyDescent="0.25">
      <c r="A236">
        <v>235</v>
      </c>
      <c r="B236" t="s">
        <v>1350</v>
      </c>
      <c r="C236">
        <v>0.16400000000000001</v>
      </c>
    </row>
    <row r="237" spans="1:3" x14ac:dyDescent="0.25">
      <c r="A237">
        <v>236</v>
      </c>
      <c r="B237" t="s">
        <v>1351</v>
      </c>
      <c r="C237">
        <v>0.16400000000000001</v>
      </c>
    </row>
    <row r="238" spans="1:3" x14ac:dyDescent="0.25">
      <c r="A238">
        <v>237</v>
      </c>
      <c r="B238" t="s">
        <v>1352</v>
      </c>
      <c r="C238">
        <v>0.16400000000000001</v>
      </c>
    </row>
    <row r="239" spans="1:3" x14ac:dyDescent="0.25">
      <c r="A239">
        <v>238</v>
      </c>
      <c r="B239" t="s">
        <v>1353</v>
      </c>
      <c r="C239">
        <v>0.16200000000000001</v>
      </c>
    </row>
    <row r="240" spans="1:3" x14ac:dyDescent="0.25">
      <c r="A240">
        <v>239</v>
      </c>
      <c r="B240" t="s">
        <v>1354</v>
      </c>
      <c r="C240">
        <v>0.16</v>
      </c>
    </row>
    <row r="241" spans="1:3" x14ac:dyDescent="0.25">
      <c r="A241">
        <v>240</v>
      </c>
      <c r="B241" t="s">
        <v>1355</v>
      </c>
      <c r="C241">
        <v>0.159</v>
      </c>
    </row>
    <row r="242" spans="1:3" x14ac:dyDescent="0.25">
      <c r="A242">
        <v>241</v>
      </c>
      <c r="B242" t="s">
        <v>1356</v>
      </c>
      <c r="C242">
        <v>0.159</v>
      </c>
    </row>
    <row r="243" spans="1:3" x14ac:dyDescent="0.25">
      <c r="A243">
        <v>242</v>
      </c>
      <c r="B243" t="s">
        <v>1357</v>
      </c>
      <c r="C243">
        <v>0.157</v>
      </c>
    </row>
    <row r="244" spans="1:3" x14ac:dyDescent="0.25">
      <c r="A244">
        <v>243</v>
      </c>
      <c r="B244" t="s">
        <v>1358</v>
      </c>
      <c r="C244">
        <v>0.156</v>
      </c>
    </row>
    <row r="245" spans="1:3" x14ac:dyDescent="0.25">
      <c r="A245">
        <v>244</v>
      </c>
      <c r="B245" t="s">
        <v>1359</v>
      </c>
      <c r="C245">
        <v>0.155</v>
      </c>
    </row>
    <row r="246" spans="1:3" x14ac:dyDescent="0.25">
      <c r="A246">
        <v>245</v>
      </c>
      <c r="B246" t="s">
        <v>1360</v>
      </c>
      <c r="C246">
        <v>0.155</v>
      </c>
    </row>
    <row r="247" spans="1:3" x14ac:dyDescent="0.25">
      <c r="A247">
        <v>246</v>
      </c>
      <c r="B247" t="s">
        <v>1361</v>
      </c>
      <c r="C247">
        <v>0.153</v>
      </c>
    </row>
    <row r="248" spans="1:3" x14ac:dyDescent="0.25">
      <c r="A248">
        <v>247</v>
      </c>
      <c r="B248" t="s">
        <v>1362</v>
      </c>
      <c r="C248">
        <v>0.152</v>
      </c>
    </row>
    <row r="249" spans="1:3" x14ac:dyDescent="0.25">
      <c r="A249">
        <v>248</v>
      </c>
      <c r="B249" t="s">
        <v>1363</v>
      </c>
      <c r="C249">
        <v>0.152</v>
      </c>
    </row>
    <row r="250" spans="1:3" x14ac:dyDescent="0.25">
      <c r="A250">
        <v>249</v>
      </c>
      <c r="B250" t="s">
        <v>1364</v>
      </c>
      <c r="C250">
        <v>0.151</v>
      </c>
    </row>
    <row r="251" spans="1:3" x14ac:dyDescent="0.25">
      <c r="A251">
        <v>250</v>
      </c>
      <c r="B251" t="s">
        <v>1365</v>
      </c>
      <c r="C251">
        <v>0.15</v>
      </c>
    </row>
    <row r="252" spans="1:3" x14ac:dyDescent="0.25">
      <c r="A252">
        <v>251</v>
      </c>
      <c r="B252" t="s">
        <v>1366</v>
      </c>
      <c r="C252">
        <v>0.14899999999999999</v>
      </c>
    </row>
    <row r="253" spans="1:3" x14ac:dyDescent="0.25">
      <c r="A253">
        <v>252</v>
      </c>
      <c r="B253" t="s">
        <v>1367</v>
      </c>
      <c r="C253">
        <v>0.14899999999999999</v>
      </c>
    </row>
    <row r="254" spans="1:3" x14ac:dyDescent="0.25">
      <c r="A254">
        <v>253</v>
      </c>
      <c r="B254" t="s">
        <v>1368</v>
      </c>
      <c r="C254">
        <v>0.14799999999999999</v>
      </c>
    </row>
    <row r="255" spans="1:3" x14ac:dyDescent="0.25">
      <c r="A255">
        <v>254</v>
      </c>
      <c r="B255" t="s">
        <v>1369</v>
      </c>
      <c r="C255">
        <v>0.14699999999999999</v>
      </c>
    </row>
    <row r="256" spans="1:3" x14ac:dyDescent="0.25">
      <c r="A256">
        <v>255</v>
      </c>
      <c r="B256" t="s">
        <v>1370</v>
      </c>
      <c r="C256">
        <v>0.14699999999999999</v>
      </c>
    </row>
    <row r="257" spans="1:3" x14ac:dyDescent="0.25">
      <c r="A257">
        <v>256</v>
      </c>
      <c r="B257" t="s">
        <v>1371</v>
      </c>
      <c r="C257">
        <v>0.14699999999999999</v>
      </c>
    </row>
    <row r="258" spans="1:3" x14ac:dyDescent="0.25">
      <c r="A258">
        <v>257</v>
      </c>
      <c r="B258" t="s">
        <v>1372</v>
      </c>
      <c r="C258">
        <v>0.14599999999999999</v>
      </c>
    </row>
    <row r="259" spans="1:3" x14ac:dyDescent="0.25">
      <c r="A259">
        <v>258</v>
      </c>
      <c r="B259" t="s">
        <v>1373</v>
      </c>
      <c r="C259">
        <v>0.14599999999999999</v>
      </c>
    </row>
    <row r="260" spans="1:3" x14ac:dyDescent="0.25">
      <c r="A260">
        <v>259</v>
      </c>
      <c r="B260" t="s">
        <v>1374</v>
      </c>
      <c r="C260">
        <v>0.14499999999999999</v>
      </c>
    </row>
    <row r="261" spans="1:3" x14ac:dyDescent="0.25">
      <c r="A261">
        <v>260</v>
      </c>
      <c r="B261" t="s">
        <v>1375</v>
      </c>
      <c r="C261">
        <v>0.14399999999999999</v>
      </c>
    </row>
    <row r="262" spans="1:3" x14ac:dyDescent="0.25">
      <c r="A262">
        <v>261</v>
      </c>
      <c r="B262" t="s">
        <v>1376</v>
      </c>
      <c r="C262">
        <v>0.14399999999999999</v>
      </c>
    </row>
    <row r="263" spans="1:3" x14ac:dyDescent="0.25">
      <c r="A263">
        <v>262</v>
      </c>
      <c r="B263" t="s">
        <v>1377</v>
      </c>
      <c r="C263">
        <v>0.14299999999999999</v>
      </c>
    </row>
    <row r="264" spans="1:3" x14ac:dyDescent="0.25">
      <c r="A264">
        <v>263</v>
      </c>
      <c r="B264" t="s">
        <v>1378</v>
      </c>
      <c r="C264">
        <v>0.14000000000000001</v>
      </c>
    </row>
    <row r="265" spans="1:3" x14ac:dyDescent="0.25">
      <c r="A265">
        <v>264</v>
      </c>
      <c r="B265" t="s">
        <v>1379</v>
      </c>
      <c r="C265">
        <v>0.13900000000000001</v>
      </c>
    </row>
    <row r="266" spans="1:3" x14ac:dyDescent="0.25">
      <c r="A266">
        <v>265</v>
      </c>
      <c r="B266" t="s">
        <v>1380</v>
      </c>
      <c r="C266">
        <v>0.13900000000000001</v>
      </c>
    </row>
    <row r="267" spans="1:3" x14ac:dyDescent="0.25">
      <c r="A267">
        <v>266</v>
      </c>
      <c r="B267" t="s">
        <v>1381</v>
      </c>
      <c r="C267">
        <v>0.13900000000000001</v>
      </c>
    </row>
    <row r="268" spans="1:3" x14ac:dyDescent="0.25">
      <c r="A268">
        <v>267</v>
      </c>
      <c r="B268" t="s">
        <v>1382</v>
      </c>
      <c r="C268">
        <v>0.13800000000000001</v>
      </c>
    </row>
    <row r="269" spans="1:3" x14ac:dyDescent="0.25">
      <c r="A269">
        <v>268</v>
      </c>
      <c r="B269" t="s">
        <v>1383</v>
      </c>
      <c r="C269">
        <v>0.13800000000000001</v>
      </c>
    </row>
    <row r="270" spans="1:3" x14ac:dyDescent="0.25">
      <c r="A270">
        <v>269</v>
      </c>
      <c r="B270" t="s">
        <v>1384</v>
      </c>
      <c r="C270">
        <v>0.13700000000000001</v>
      </c>
    </row>
    <row r="271" spans="1:3" x14ac:dyDescent="0.25">
      <c r="A271">
        <v>270</v>
      </c>
      <c r="B271" t="s">
        <v>1385</v>
      </c>
      <c r="C271">
        <v>0.13600000000000001</v>
      </c>
    </row>
    <row r="272" spans="1:3" x14ac:dyDescent="0.25">
      <c r="A272">
        <v>271</v>
      </c>
      <c r="B272" t="s">
        <v>1386</v>
      </c>
      <c r="C272">
        <v>0.13500000000000001</v>
      </c>
    </row>
    <row r="273" spans="1:3" x14ac:dyDescent="0.25">
      <c r="A273">
        <v>272</v>
      </c>
      <c r="B273" t="s">
        <v>1387</v>
      </c>
      <c r="C273">
        <v>0.13500000000000001</v>
      </c>
    </row>
    <row r="274" spans="1:3" x14ac:dyDescent="0.25">
      <c r="A274">
        <v>273</v>
      </c>
      <c r="B274" t="s">
        <v>1388</v>
      </c>
      <c r="C274">
        <v>0.13500000000000001</v>
      </c>
    </row>
    <row r="275" spans="1:3" x14ac:dyDescent="0.25">
      <c r="A275">
        <v>274</v>
      </c>
      <c r="B275" t="s">
        <v>1389</v>
      </c>
      <c r="C275">
        <v>0.13500000000000001</v>
      </c>
    </row>
    <row r="276" spans="1:3" x14ac:dyDescent="0.25">
      <c r="A276">
        <v>275</v>
      </c>
      <c r="B276" t="s">
        <v>1390</v>
      </c>
      <c r="C276">
        <v>0.13400000000000001</v>
      </c>
    </row>
    <row r="277" spans="1:3" x14ac:dyDescent="0.25">
      <c r="A277">
        <v>276</v>
      </c>
      <c r="B277" t="s">
        <v>1391</v>
      </c>
      <c r="C277">
        <v>0.13400000000000001</v>
      </c>
    </row>
    <row r="278" spans="1:3" x14ac:dyDescent="0.25">
      <c r="A278">
        <v>277</v>
      </c>
      <c r="B278" t="s">
        <v>1392</v>
      </c>
      <c r="C278">
        <v>0.13300000000000001</v>
      </c>
    </row>
    <row r="279" spans="1:3" x14ac:dyDescent="0.25">
      <c r="A279">
        <v>278</v>
      </c>
      <c r="B279" t="s">
        <v>1393</v>
      </c>
      <c r="C279">
        <v>0.13200000000000001</v>
      </c>
    </row>
    <row r="280" spans="1:3" x14ac:dyDescent="0.25">
      <c r="A280">
        <v>279</v>
      </c>
      <c r="B280" t="s">
        <v>1394</v>
      </c>
      <c r="C280">
        <v>0.13200000000000001</v>
      </c>
    </row>
    <row r="281" spans="1:3" x14ac:dyDescent="0.25">
      <c r="A281">
        <v>280</v>
      </c>
      <c r="B281" t="s">
        <v>1395</v>
      </c>
      <c r="C281">
        <v>0.13200000000000001</v>
      </c>
    </row>
    <row r="282" spans="1:3" x14ac:dyDescent="0.25">
      <c r="A282">
        <v>281</v>
      </c>
      <c r="B282" t="s">
        <v>1396</v>
      </c>
      <c r="C282">
        <v>0.13100000000000001</v>
      </c>
    </row>
    <row r="283" spans="1:3" x14ac:dyDescent="0.25">
      <c r="A283">
        <v>282</v>
      </c>
      <c r="B283" t="s">
        <v>1397</v>
      </c>
      <c r="C283">
        <v>0.13100000000000001</v>
      </c>
    </row>
    <row r="284" spans="1:3" x14ac:dyDescent="0.25">
      <c r="A284">
        <v>283</v>
      </c>
      <c r="B284" t="s">
        <v>1398</v>
      </c>
      <c r="C284">
        <v>0.13</v>
      </c>
    </row>
    <row r="285" spans="1:3" x14ac:dyDescent="0.25">
      <c r="A285">
        <v>284</v>
      </c>
      <c r="B285" t="s">
        <v>1399</v>
      </c>
      <c r="C285">
        <v>0.13</v>
      </c>
    </row>
    <row r="286" spans="1:3" x14ac:dyDescent="0.25">
      <c r="A286">
        <v>285</v>
      </c>
      <c r="B286" t="s">
        <v>1400</v>
      </c>
      <c r="C286">
        <v>0.13</v>
      </c>
    </row>
    <row r="287" spans="1:3" x14ac:dyDescent="0.25">
      <c r="A287">
        <v>286</v>
      </c>
      <c r="B287" t="s">
        <v>1401</v>
      </c>
      <c r="C287">
        <v>0.13</v>
      </c>
    </row>
    <row r="288" spans="1:3" x14ac:dyDescent="0.25">
      <c r="A288">
        <v>287</v>
      </c>
      <c r="B288" t="s">
        <v>1402</v>
      </c>
      <c r="C288">
        <v>0.129</v>
      </c>
    </row>
    <row r="289" spans="1:3" x14ac:dyDescent="0.25">
      <c r="A289">
        <v>288</v>
      </c>
      <c r="B289" t="s">
        <v>1403</v>
      </c>
      <c r="C289">
        <v>0.129</v>
      </c>
    </row>
    <row r="290" spans="1:3" x14ac:dyDescent="0.25">
      <c r="A290">
        <v>289</v>
      </c>
      <c r="B290" t="s">
        <v>1404</v>
      </c>
      <c r="C290">
        <v>0.128</v>
      </c>
    </row>
    <row r="291" spans="1:3" x14ac:dyDescent="0.25">
      <c r="A291">
        <v>290</v>
      </c>
      <c r="B291" t="s">
        <v>1405</v>
      </c>
      <c r="C291">
        <v>0.127</v>
      </c>
    </row>
    <row r="292" spans="1:3" x14ac:dyDescent="0.25">
      <c r="A292">
        <v>291</v>
      </c>
      <c r="B292" t="s">
        <v>1406</v>
      </c>
      <c r="C292">
        <v>0.127</v>
      </c>
    </row>
    <row r="293" spans="1:3" x14ac:dyDescent="0.25">
      <c r="A293">
        <v>292</v>
      </c>
      <c r="B293" t="s">
        <v>1407</v>
      </c>
      <c r="C293">
        <v>0.125</v>
      </c>
    </row>
    <row r="294" spans="1:3" x14ac:dyDescent="0.25">
      <c r="A294">
        <v>293</v>
      </c>
      <c r="B294" t="s">
        <v>1408</v>
      </c>
      <c r="C294">
        <v>0.125</v>
      </c>
    </row>
    <row r="295" spans="1:3" x14ac:dyDescent="0.25">
      <c r="A295">
        <v>294</v>
      </c>
      <c r="B295" t="s">
        <v>1409</v>
      </c>
      <c r="C295">
        <v>0.123</v>
      </c>
    </row>
    <row r="296" spans="1:3" x14ac:dyDescent="0.25">
      <c r="A296">
        <v>295</v>
      </c>
      <c r="B296" t="s">
        <v>1410</v>
      </c>
      <c r="C296">
        <v>0.122</v>
      </c>
    </row>
    <row r="297" spans="1:3" x14ac:dyDescent="0.25">
      <c r="A297">
        <v>296</v>
      </c>
      <c r="B297" t="s">
        <v>1411</v>
      </c>
      <c r="C297">
        <v>0.121</v>
      </c>
    </row>
    <row r="298" spans="1:3" x14ac:dyDescent="0.25">
      <c r="A298">
        <v>297</v>
      </c>
      <c r="B298" t="s">
        <v>1412</v>
      </c>
      <c r="C298">
        <v>0.11899999999999999</v>
      </c>
    </row>
    <row r="299" spans="1:3" x14ac:dyDescent="0.25">
      <c r="A299">
        <v>298</v>
      </c>
      <c r="B299" t="s">
        <v>1413</v>
      </c>
      <c r="C299">
        <v>0.11899999999999999</v>
      </c>
    </row>
    <row r="300" spans="1:3" x14ac:dyDescent="0.25">
      <c r="A300">
        <v>299</v>
      </c>
      <c r="B300" t="s">
        <v>1414</v>
      </c>
      <c r="C300">
        <v>0.11799999999999999</v>
      </c>
    </row>
    <row r="301" spans="1:3" x14ac:dyDescent="0.25">
      <c r="A301">
        <v>300</v>
      </c>
      <c r="B301" t="s">
        <v>1415</v>
      </c>
      <c r="C301">
        <v>0.11799999999999999</v>
      </c>
    </row>
    <row r="302" spans="1:3" x14ac:dyDescent="0.25">
      <c r="A302">
        <v>301</v>
      </c>
      <c r="B302" t="s">
        <v>1416</v>
      </c>
      <c r="C302">
        <v>0.11700000000000001</v>
      </c>
    </row>
    <row r="303" spans="1:3" x14ac:dyDescent="0.25">
      <c r="A303">
        <v>302</v>
      </c>
      <c r="B303" t="s">
        <v>1417</v>
      </c>
      <c r="C303">
        <v>0.11700000000000001</v>
      </c>
    </row>
    <row r="304" spans="1:3" x14ac:dyDescent="0.25">
      <c r="A304">
        <v>303</v>
      </c>
      <c r="B304" t="s">
        <v>1418</v>
      </c>
      <c r="C304">
        <v>0.11700000000000001</v>
      </c>
    </row>
    <row r="305" spans="1:3" x14ac:dyDescent="0.25">
      <c r="A305">
        <v>304</v>
      </c>
      <c r="B305" t="s">
        <v>1419</v>
      </c>
      <c r="C305">
        <v>0.11600000000000001</v>
      </c>
    </row>
    <row r="306" spans="1:3" x14ac:dyDescent="0.25">
      <c r="A306">
        <v>305</v>
      </c>
      <c r="B306" t="s">
        <v>1420</v>
      </c>
      <c r="C306">
        <v>0.11600000000000001</v>
      </c>
    </row>
    <row r="307" spans="1:3" x14ac:dyDescent="0.25">
      <c r="A307">
        <v>306</v>
      </c>
      <c r="B307" t="s">
        <v>1421</v>
      </c>
      <c r="C307">
        <v>0.11600000000000001</v>
      </c>
    </row>
    <row r="308" spans="1:3" x14ac:dyDescent="0.25">
      <c r="A308">
        <v>307</v>
      </c>
      <c r="B308" t="s">
        <v>1422</v>
      </c>
      <c r="C308">
        <v>0.11600000000000001</v>
      </c>
    </row>
    <row r="309" spans="1:3" x14ac:dyDescent="0.25">
      <c r="A309">
        <v>308</v>
      </c>
      <c r="B309" t="s">
        <v>1423</v>
      </c>
      <c r="C309">
        <v>0.11600000000000001</v>
      </c>
    </row>
    <row r="310" spans="1:3" x14ac:dyDescent="0.25">
      <c r="A310">
        <v>309</v>
      </c>
      <c r="B310" t="s">
        <v>1424</v>
      </c>
      <c r="C310">
        <v>0.11600000000000001</v>
      </c>
    </row>
    <row r="311" spans="1:3" x14ac:dyDescent="0.25">
      <c r="A311">
        <v>310</v>
      </c>
      <c r="B311" t="s">
        <v>1425</v>
      </c>
      <c r="C311">
        <v>0.115</v>
      </c>
    </row>
    <row r="312" spans="1:3" x14ac:dyDescent="0.25">
      <c r="A312">
        <v>311</v>
      </c>
      <c r="B312" t="s">
        <v>1426</v>
      </c>
      <c r="C312">
        <v>0.114</v>
      </c>
    </row>
    <row r="313" spans="1:3" x14ac:dyDescent="0.25">
      <c r="A313">
        <v>312</v>
      </c>
      <c r="B313" t="s">
        <v>1427</v>
      </c>
      <c r="C313">
        <v>0.113</v>
      </c>
    </row>
    <row r="314" spans="1:3" x14ac:dyDescent="0.25">
      <c r="A314">
        <v>313</v>
      </c>
      <c r="B314" t="s">
        <v>1428</v>
      </c>
      <c r="C314">
        <v>0.113</v>
      </c>
    </row>
    <row r="315" spans="1:3" x14ac:dyDescent="0.25">
      <c r="A315">
        <v>314</v>
      </c>
      <c r="B315" t="s">
        <v>1429</v>
      </c>
      <c r="C315">
        <v>0.113</v>
      </c>
    </row>
    <row r="316" spans="1:3" x14ac:dyDescent="0.25">
      <c r="A316">
        <v>315</v>
      </c>
      <c r="B316" t="s">
        <v>1430</v>
      </c>
      <c r="C316">
        <v>0.112</v>
      </c>
    </row>
    <row r="317" spans="1:3" x14ac:dyDescent="0.25">
      <c r="A317">
        <v>316</v>
      </c>
      <c r="B317" t="s">
        <v>1431</v>
      </c>
      <c r="C317">
        <v>0.111</v>
      </c>
    </row>
    <row r="318" spans="1:3" x14ac:dyDescent="0.25">
      <c r="A318">
        <v>317</v>
      </c>
      <c r="B318" t="s">
        <v>1432</v>
      </c>
      <c r="C318">
        <v>0.111</v>
      </c>
    </row>
    <row r="319" spans="1:3" x14ac:dyDescent="0.25">
      <c r="A319">
        <v>318</v>
      </c>
      <c r="B319" t="s">
        <v>1433</v>
      </c>
      <c r="C319">
        <v>0.111</v>
      </c>
    </row>
    <row r="320" spans="1:3" x14ac:dyDescent="0.25">
      <c r="A320">
        <v>319</v>
      </c>
      <c r="B320" t="s">
        <v>1434</v>
      </c>
      <c r="C320">
        <v>0.11</v>
      </c>
    </row>
    <row r="321" spans="1:3" x14ac:dyDescent="0.25">
      <c r="A321">
        <v>320</v>
      </c>
      <c r="B321" t="s">
        <v>1435</v>
      </c>
      <c r="C321">
        <v>0.11</v>
      </c>
    </row>
    <row r="322" spans="1:3" x14ac:dyDescent="0.25">
      <c r="A322">
        <v>321</v>
      </c>
      <c r="B322" t="s">
        <v>1436</v>
      </c>
      <c r="C322">
        <v>0.109</v>
      </c>
    </row>
    <row r="323" spans="1:3" x14ac:dyDescent="0.25">
      <c r="A323">
        <v>322</v>
      </c>
      <c r="B323" t="s">
        <v>1437</v>
      </c>
      <c r="C323">
        <v>0.108</v>
      </c>
    </row>
    <row r="324" spans="1:3" x14ac:dyDescent="0.25">
      <c r="A324">
        <v>323</v>
      </c>
      <c r="B324" t="s">
        <v>1438</v>
      </c>
      <c r="C324">
        <v>0.108</v>
      </c>
    </row>
    <row r="325" spans="1:3" x14ac:dyDescent="0.25">
      <c r="A325">
        <v>324</v>
      </c>
      <c r="B325" t="s">
        <v>1439</v>
      </c>
      <c r="C325">
        <v>0.108</v>
      </c>
    </row>
    <row r="326" spans="1:3" x14ac:dyDescent="0.25">
      <c r="A326">
        <v>325</v>
      </c>
      <c r="B326" t="s">
        <v>1440</v>
      </c>
      <c r="C326">
        <v>0.106</v>
      </c>
    </row>
    <row r="327" spans="1:3" x14ac:dyDescent="0.25">
      <c r="A327">
        <v>326</v>
      </c>
      <c r="B327" t="s">
        <v>1441</v>
      </c>
      <c r="C327">
        <v>0.105</v>
      </c>
    </row>
    <row r="328" spans="1:3" x14ac:dyDescent="0.25">
      <c r="A328">
        <v>327</v>
      </c>
      <c r="B328" t="s">
        <v>1442</v>
      </c>
      <c r="C328">
        <v>0.104</v>
      </c>
    </row>
    <row r="329" spans="1:3" x14ac:dyDescent="0.25">
      <c r="A329">
        <v>328</v>
      </c>
      <c r="B329" t="s">
        <v>1443</v>
      </c>
      <c r="C329">
        <v>0.104</v>
      </c>
    </row>
    <row r="330" spans="1:3" x14ac:dyDescent="0.25">
      <c r="A330">
        <v>329</v>
      </c>
      <c r="B330" t="s">
        <v>1444</v>
      </c>
      <c r="C330">
        <v>0.10100000000000001</v>
      </c>
    </row>
    <row r="331" spans="1:3" x14ac:dyDescent="0.25">
      <c r="A331">
        <v>330</v>
      </c>
      <c r="B331" t="s">
        <v>1445</v>
      </c>
      <c r="C331">
        <v>0.10100000000000001</v>
      </c>
    </row>
    <row r="332" spans="1:3" x14ac:dyDescent="0.25">
      <c r="A332">
        <v>331</v>
      </c>
      <c r="B332" t="s">
        <v>1446</v>
      </c>
      <c r="C332">
        <v>0.10100000000000001</v>
      </c>
    </row>
    <row r="333" spans="1:3" x14ac:dyDescent="0.25">
      <c r="A333">
        <v>332</v>
      </c>
      <c r="B333" t="s">
        <v>1447</v>
      </c>
      <c r="C333">
        <v>0.1</v>
      </c>
    </row>
    <row r="334" spans="1:3" x14ac:dyDescent="0.25">
      <c r="A334">
        <v>333</v>
      </c>
      <c r="B334" t="s">
        <v>1448</v>
      </c>
      <c r="C334">
        <v>0.1</v>
      </c>
    </row>
    <row r="335" spans="1:3" x14ac:dyDescent="0.25">
      <c r="A335">
        <v>334</v>
      </c>
      <c r="B335" t="s">
        <v>1449</v>
      </c>
      <c r="C335">
        <v>0.1</v>
      </c>
    </row>
    <row r="336" spans="1:3" x14ac:dyDescent="0.25">
      <c r="A336">
        <v>335</v>
      </c>
      <c r="B336" t="s">
        <v>1450</v>
      </c>
      <c r="C336">
        <v>9.9000000000000005E-2</v>
      </c>
    </row>
    <row r="337" spans="1:3" x14ac:dyDescent="0.25">
      <c r="A337">
        <v>336</v>
      </c>
      <c r="B337" t="s">
        <v>1451</v>
      </c>
      <c r="C337">
        <v>9.8000000000000004E-2</v>
      </c>
    </row>
    <row r="338" spans="1:3" x14ac:dyDescent="0.25">
      <c r="A338">
        <v>337</v>
      </c>
      <c r="B338" t="s">
        <v>1452</v>
      </c>
      <c r="C338">
        <v>9.8000000000000004E-2</v>
      </c>
    </row>
    <row r="339" spans="1:3" x14ac:dyDescent="0.25">
      <c r="A339">
        <v>338</v>
      </c>
      <c r="B339" t="s">
        <v>1453</v>
      </c>
      <c r="C339">
        <v>9.8000000000000004E-2</v>
      </c>
    </row>
    <row r="340" spans="1:3" x14ac:dyDescent="0.25">
      <c r="A340">
        <v>339</v>
      </c>
      <c r="B340" t="s">
        <v>1454</v>
      </c>
      <c r="C340">
        <v>9.7000000000000003E-2</v>
      </c>
    </row>
    <row r="341" spans="1:3" x14ac:dyDescent="0.25">
      <c r="A341">
        <v>340</v>
      </c>
      <c r="B341" t="s">
        <v>1455</v>
      </c>
      <c r="C341">
        <v>9.7000000000000003E-2</v>
      </c>
    </row>
    <row r="342" spans="1:3" x14ac:dyDescent="0.25">
      <c r="A342">
        <v>341</v>
      </c>
      <c r="B342" t="s">
        <v>1456</v>
      </c>
      <c r="C342">
        <v>9.7000000000000003E-2</v>
      </c>
    </row>
    <row r="343" spans="1:3" x14ac:dyDescent="0.25">
      <c r="A343">
        <v>342</v>
      </c>
      <c r="B343" t="s">
        <v>1457</v>
      </c>
      <c r="C343">
        <v>9.7000000000000003E-2</v>
      </c>
    </row>
    <row r="344" spans="1:3" x14ac:dyDescent="0.25">
      <c r="A344">
        <v>343</v>
      </c>
      <c r="B344" t="s">
        <v>1458</v>
      </c>
      <c r="C344">
        <v>9.6000000000000002E-2</v>
      </c>
    </row>
    <row r="345" spans="1:3" x14ac:dyDescent="0.25">
      <c r="A345">
        <v>344</v>
      </c>
      <c r="B345" t="s">
        <v>1459</v>
      </c>
      <c r="C345">
        <v>9.6000000000000002E-2</v>
      </c>
    </row>
    <row r="346" spans="1:3" x14ac:dyDescent="0.25">
      <c r="A346">
        <v>345</v>
      </c>
      <c r="B346" t="s">
        <v>1460</v>
      </c>
      <c r="C346">
        <v>9.6000000000000002E-2</v>
      </c>
    </row>
    <row r="347" spans="1:3" x14ac:dyDescent="0.25">
      <c r="A347">
        <v>346</v>
      </c>
      <c r="B347" t="s">
        <v>1461</v>
      </c>
      <c r="C347">
        <v>9.5000000000000001E-2</v>
      </c>
    </row>
    <row r="348" spans="1:3" x14ac:dyDescent="0.25">
      <c r="A348">
        <v>347</v>
      </c>
      <c r="B348" t="s">
        <v>1462</v>
      </c>
      <c r="C348">
        <v>9.5000000000000001E-2</v>
      </c>
    </row>
    <row r="349" spans="1:3" x14ac:dyDescent="0.25">
      <c r="A349">
        <v>348</v>
      </c>
      <c r="B349" t="s">
        <v>1463</v>
      </c>
      <c r="C349">
        <v>9.5000000000000001E-2</v>
      </c>
    </row>
    <row r="350" spans="1:3" x14ac:dyDescent="0.25">
      <c r="A350">
        <v>349</v>
      </c>
      <c r="B350" t="s">
        <v>1464</v>
      </c>
      <c r="C350">
        <v>9.5000000000000001E-2</v>
      </c>
    </row>
    <row r="351" spans="1:3" x14ac:dyDescent="0.25">
      <c r="A351">
        <v>350</v>
      </c>
      <c r="B351" t="s">
        <v>1465</v>
      </c>
      <c r="C351">
        <v>9.4E-2</v>
      </c>
    </row>
    <row r="352" spans="1:3" x14ac:dyDescent="0.25">
      <c r="A352">
        <v>351</v>
      </c>
      <c r="B352" t="s">
        <v>1466</v>
      </c>
      <c r="C352">
        <v>9.4E-2</v>
      </c>
    </row>
    <row r="353" spans="1:3" x14ac:dyDescent="0.25">
      <c r="A353">
        <v>352</v>
      </c>
      <c r="B353" t="s">
        <v>1467</v>
      </c>
      <c r="C353">
        <v>9.4E-2</v>
      </c>
    </row>
    <row r="354" spans="1:3" x14ac:dyDescent="0.25">
      <c r="A354">
        <v>353</v>
      </c>
      <c r="B354" t="s">
        <v>1468</v>
      </c>
      <c r="C354">
        <v>9.4E-2</v>
      </c>
    </row>
    <row r="355" spans="1:3" x14ac:dyDescent="0.25">
      <c r="A355">
        <v>354</v>
      </c>
      <c r="B355" t="s">
        <v>1469</v>
      </c>
      <c r="C355">
        <v>9.4E-2</v>
      </c>
    </row>
    <row r="356" spans="1:3" x14ac:dyDescent="0.25">
      <c r="A356">
        <v>355</v>
      </c>
      <c r="B356" t="s">
        <v>1470</v>
      </c>
      <c r="C356">
        <v>9.4E-2</v>
      </c>
    </row>
    <row r="357" spans="1:3" x14ac:dyDescent="0.25">
      <c r="A357">
        <v>356</v>
      </c>
      <c r="B357" t="s">
        <v>1471</v>
      </c>
      <c r="C357">
        <v>9.2999999999999999E-2</v>
      </c>
    </row>
    <row r="358" spans="1:3" x14ac:dyDescent="0.25">
      <c r="A358">
        <v>357</v>
      </c>
      <c r="B358" t="s">
        <v>1472</v>
      </c>
      <c r="C358">
        <v>9.1999999999999998E-2</v>
      </c>
    </row>
    <row r="359" spans="1:3" x14ac:dyDescent="0.25">
      <c r="A359">
        <v>358</v>
      </c>
      <c r="B359" t="s">
        <v>1473</v>
      </c>
      <c r="C359">
        <v>9.1999999999999998E-2</v>
      </c>
    </row>
    <row r="360" spans="1:3" x14ac:dyDescent="0.25">
      <c r="A360">
        <v>359</v>
      </c>
      <c r="B360" t="s">
        <v>1474</v>
      </c>
      <c r="C360">
        <v>9.1999999999999998E-2</v>
      </c>
    </row>
    <row r="361" spans="1:3" x14ac:dyDescent="0.25">
      <c r="A361">
        <v>360</v>
      </c>
      <c r="B361" t="s">
        <v>1475</v>
      </c>
      <c r="C361">
        <v>9.1999999999999998E-2</v>
      </c>
    </row>
    <row r="362" spans="1:3" x14ac:dyDescent="0.25">
      <c r="A362">
        <v>361</v>
      </c>
      <c r="B362" t="s">
        <v>1476</v>
      </c>
      <c r="C362">
        <v>9.0999999999999998E-2</v>
      </c>
    </row>
    <row r="363" spans="1:3" x14ac:dyDescent="0.25">
      <c r="A363">
        <v>362</v>
      </c>
      <c r="B363" t="s">
        <v>1477</v>
      </c>
      <c r="C363">
        <v>9.0999999999999998E-2</v>
      </c>
    </row>
    <row r="364" spans="1:3" x14ac:dyDescent="0.25">
      <c r="A364">
        <v>363</v>
      </c>
      <c r="B364" t="s">
        <v>1478</v>
      </c>
      <c r="C364">
        <v>9.0999999999999998E-2</v>
      </c>
    </row>
    <row r="365" spans="1:3" x14ac:dyDescent="0.25">
      <c r="A365">
        <v>364</v>
      </c>
      <c r="B365" t="s">
        <v>1479</v>
      </c>
      <c r="C365">
        <v>0.09</v>
      </c>
    </row>
    <row r="366" spans="1:3" x14ac:dyDescent="0.25">
      <c r="A366">
        <v>365</v>
      </c>
      <c r="B366" t="s">
        <v>1480</v>
      </c>
      <c r="C366">
        <v>0.09</v>
      </c>
    </row>
    <row r="367" spans="1:3" x14ac:dyDescent="0.25">
      <c r="A367">
        <v>366</v>
      </c>
      <c r="B367" t="s">
        <v>1481</v>
      </c>
      <c r="C367">
        <v>0.09</v>
      </c>
    </row>
    <row r="368" spans="1:3" x14ac:dyDescent="0.25">
      <c r="A368">
        <v>367</v>
      </c>
      <c r="B368" t="s">
        <v>1482</v>
      </c>
      <c r="C368">
        <v>8.7999999999999995E-2</v>
      </c>
    </row>
    <row r="369" spans="1:3" x14ac:dyDescent="0.25">
      <c r="A369">
        <v>368</v>
      </c>
      <c r="B369" t="s">
        <v>1483</v>
      </c>
      <c r="C369">
        <v>8.7999999999999995E-2</v>
      </c>
    </row>
    <row r="370" spans="1:3" x14ac:dyDescent="0.25">
      <c r="A370">
        <v>369</v>
      </c>
      <c r="B370" t="s">
        <v>1484</v>
      </c>
      <c r="C370">
        <v>8.7999999999999995E-2</v>
      </c>
    </row>
    <row r="371" spans="1:3" x14ac:dyDescent="0.25">
      <c r="A371">
        <v>370</v>
      </c>
      <c r="B371" t="s">
        <v>1485</v>
      </c>
      <c r="C371">
        <v>8.7999999999999995E-2</v>
      </c>
    </row>
    <row r="372" spans="1:3" x14ac:dyDescent="0.25">
      <c r="A372">
        <v>371</v>
      </c>
      <c r="B372" t="s">
        <v>1486</v>
      </c>
      <c r="C372">
        <v>8.7999999999999995E-2</v>
      </c>
    </row>
    <row r="373" spans="1:3" x14ac:dyDescent="0.25">
      <c r="A373">
        <v>372</v>
      </c>
      <c r="B373" t="s">
        <v>1487</v>
      </c>
      <c r="C373">
        <v>8.7999999999999995E-2</v>
      </c>
    </row>
    <row r="374" spans="1:3" x14ac:dyDescent="0.25">
      <c r="A374">
        <v>373</v>
      </c>
      <c r="B374" t="s">
        <v>1488</v>
      </c>
      <c r="C374">
        <v>8.7999999999999995E-2</v>
      </c>
    </row>
    <row r="375" spans="1:3" x14ac:dyDescent="0.25">
      <c r="A375">
        <v>374</v>
      </c>
      <c r="B375" t="s">
        <v>1489</v>
      </c>
      <c r="C375">
        <v>8.6999999999999994E-2</v>
      </c>
    </row>
    <row r="376" spans="1:3" x14ac:dyDescent="0.25">
      <c r="A376">
        <v>375</v>
      </c>
      <c r="B376" t="s">
        <v>1490</v>
      </c>
      <c r="C376">
        <v>8.5999999999999993E-2</v>
      </c>
    </row>
    <row r="377" spans="1:3" x14ac:dyDescent="0.25">
      <c r="A377">
        <v>376</v>
      </c>
      <c r="B377" t="s">
        <v>1491</v>
      </c>
      <c r="C377">
        <v>8.5999999999999993E-2</v>
      </c>
    </row>
    <row r="378" spans="1:3" x14ac:dyDescent="0.25">
      <c r="A378">
        <v>377</v>
      </c>
      <c r="B378" t="s">
        <v>1492</v>
      </c>
      <c r="C378">
        <v>8.5999999999999993E-2</v>
      </c>
    </row>
    <row r="379" spans="1:3" x14ac:dyDescent="0.25">
      <c r="A379">
        <v>378</v>
      </c>
      <c r="B379" t="s">
        <v>1493</v>
      </c>
      <c r="C379">
        <v>8.5999999999999993E-2</v>
      </c>
    </row>
    <row r="380" spans="1:3" x14ac:dyDescent="0.25">
      <c r="A380">
        <v>379</v>
      </c>
      <c r="B380" t="s">
        <v>1494</v>
      </c>
      <c r="C380">
        <v>8.5999999999999993E-2</v>
      </c>
    </row>
    <row r="381" spans="1:3" x14ac:dyDescent="0.25">
      <c r="A381">
        <v>380</v>
      </c>
      <c r="B381" t="s">
        <v>1495</v>
      </c>
      <c r="C381">
        <v>8.5000000000000006E-2</v>
      </c>
    </row>
    <row r="382" spans="1:3" x14ac:dyDescent="0.25">
      <c r="A382">
        <v>381</v>
      </c>
      <c r="B382" t="s">
        <v>1496</v>
      </c>
      <c r="C382">
        <v>8.5000000000000006E-2</v>
      </c>
    </row>
    <row r="383" spans="1:3" x14ac:dyDescent="0.25">
      <c r="A383">
        <v>382</v>
      </c>
      <c r="B383" t="s">
        <v>1497</v>
      </c>
      <c r="C383">
        <v>8.5000000000000006E-2</v>
      </c>
    </row>
    <row r="384" spans="1:3" x14ac:dyDescent="0.25">
      <c r="A384">
        <v>383</v>
      </c>
      <c r="B384" t="s">
        <v>1498</v>
      </c>
      <c r="C384">
        <v>8.5000000000000006E-2</v>
      </c>
    </row>
    <row r="385" spans="1:3" x14ac:dyDescent="0.25">
      <c r="A385">
        <v>384</v>
      </c>
      <c r="B385" t="s">
        <v>1499</v>
      </c>
      <c r="C385">
        <v>8.4000000000000005E-2</v>
      </c>
    </row>
    <row r="386" spans="1:3" x14ac:dyDescent="0.25">
      <c r="A386">
        <v>385</v>
      </c>
      <c r="B386" t="s">
        <v>1500</v>
      </c>
      <c r="C386">
        <v>8.4000000000000005E-2</v>
      </c>
    </row>
    <row r="387" spans="1:3" x14ac:dyDescent="0.25">
      <c r="A387">
        <v>386</v>
      </c>
      <c r="B387" t="s">
        <v>1501</v>
      </c>
      <c r="C387">
        <v>8.4000000000000005E-2</v>
      </c>
    </row>
    <row r="388" spans="1:3" x14ac:dyDescent="0.25">
      <c r="A388">
        <v>387</v>
      </c>
      <c r="B388" t="s">
        <v>1502</v>
      </c>
      <c r="C388">
        <v>8.4000000000000005E-2</v>
      </c>
    </row>
    <row r="389" spans="1:3" x14ac:dyDescent="0.25">
      <c r="A389">
        <v>388</v>
      </c>
      <c r="B389" t="s">
        <v>1503</v>
      </c>
      <c r="C389">
        <v>8.4000000000000005E-2</v>
      </c>
    </row>
    <row r="390" spans="1:3" x14ac:dyDescent="0.25">
      <c r="A390">
        <v>389</v>
      </c>
      <c r="B390" t="s">
        <v>1504</v>
      </c>
      <c r="C390">
        <v>8.3000000000000004E-2</v>
      </c>
    </row>
    <row r="391" spans="1:3" x14ac:dyDescent="0.25">
      <c r="A391">
        <v>390</v>
      </c>
      <c r="B391" t="s">
        <v>1505</v>
      </c>
      <c r="C391">
        <v>8.3000000000000004E-2</v>
      </c>
    </row>
    <row r="392" spans="1:3" x14ac:dyDescent="0.25">
      <c r="A392">
        <v>391</v>
      </c>
      <c r="B392" t="s">
        <v>1506</v>
      </c>
      <c r="C392">
        <v>8.3000000000000004E-2</v>
      </c>
    </row>
    <row r="393" spans="1:3" x14ac:dyDescent="0.25">
      <c r="A393">
        <v>392</v>
      </c>
      <c r="B393" t="s">
        <v>1507</v>
      </c>
      <c r="C393">
        <v>8.3000000000000004E-2</v>
      </c>
    </row>
    <row r="394" spans="1:3" x14ac:dyDescent="0.25">
      <c r="A394">
        <v>393</v>
      </c>
      <c r="B394" t="s">
        <v>1508</v>
      </c>
      <c r="C394">
        <v>8.3000000000000004E-2</v>
      </c>
    </row>
    <row r="395" spans="1:3" x14ac:dyDescent="0.25">
      <c r="A395">
        <v>394</v>
      </c>
      <c r="B395" t="s">
        <v>1509</v>
      </c>
      <c r="C395">
        <v>8.3000000000000004E-2</v>
      </c>
    </row>
    <row r="396" spans="1:3" x14ac:dyDescent="0.25">
      <c r="A396">
        <v>395</v>
      </c>
      <c r="B396" t="s">
        <v>1510</v>
      </c>
      <c r="C396">
        <v>8.2000000000000003E-2</v>
      </c>
    </row>
    <row r="397" spans="1:3" x14ac:dyDescent="0.25">
      <c r="A397">
        <v>396</v>
      </c>
      <c r="B397" t="s">
        <v>1511</v>
      </c>
      <c r="C397">
        <v>8.1000000000000003E-2</v>
      </c>
    </row>
    <row r="398" spans="1:3" x14ac:dyDescent="0.25">
      <c r="A398">
        <v>397</v>
      </c>
      <c r="B398" t="s">
        <v>1512</v>
      </c>
      <c r="C398">
        <v>0.08</v>
      </c>
    </row>
    <row r="399" spans="1:3" x14ac:dyDescent="0.25">
      <c r="A399">
        <v>398</v>
      </c>
      <c r="B399" t="s">
        <v>1513</v>
      </c>
      <c r="C399">
        <v>0.08</v>
      </c>
    </row>
    <row r="400" spans="1:3" x14ac:dyDescent="0.25">
      <c r="A400">
        <v>399</v>
      </c>
      <c r="B400" t="s">
        <v>1514</v>
      </c>
      <c r="C400">
        <v>7.9000000000000001E-2</v>
      </c>
    </row>
    <row r="401" spans="1:3" x14ac:dyDescent="0.25">
      <c r="A401">
        <v>400</v>
      </c>
      <c r="B401" t="s">
        <v>1515</v>
      </c>
      <c r="C401">
        <v>7.9000000000000001E-2</v>
      </c>
    </row>
    <row r="402" spans="1:3" x14ac:dyDescent="0.25">
      <c r="A402">
        <v>401</v>
      </c>
      <c r="B402" t="s">
        <v>1516</v>
      </c>
      <c r="C402">
        <v>7.9000000000000001E-2</v>
      </c>
    </row>
    <row r="403" spans="1:3" x14ac:dyDescent="0.25">
      <c r="A403">
        <v>402</v>
      </c>
      <c r="B403" t="s">
        <v>1517</v>
      </c>
      <c r="C403">
        <v>7.9000000000000001E-2</v>
      </c>
    </row>
    <row r="404" spans="1:3" x14ac:dyDescent="0.25">
      <c r="A404">
        <v>403</v>
      </c>
      <c r="B404" t="s">
        <v>1518</v>
      </c>
      <c r="C404">
        <v>7.9000000000000001E-2</v>
      </c>
    </row>
    <row r="405" spans="1:3" x14ac:dyDescent="0.25">
      <c r="A405">
        <v>404</v>
      </c>
      <c r="B405" t="s">
        <v>1519</v>
      </c>
      <c r="C405">
        <v>7.8E-2</v>
      </c>
    </row>
    <row r="406" spans="1:3" x14ac:dyDescent="0.25">
      <c r="A406">
        <v>405</v>
      </c>
      <c r="B406" t="s">
        <v>1520</v>
      </c>
      <c r="C406">
        <v>7.8E-2</v>
      </c>
    </row>
    <row r="407" spans="1:3" x14ac:dyDescent="0.25">
      <c r="A407">
        <v>406</v>
      </c>
      <c r="B407" t="s">
        <v>1521</v>
      </c>
      <c r="C407">
        <v>7.8E-2</v>
      </c>
    </row>
    <row r="408" spans="1:3" x14ac:dyDescent="0.25">
      <c r="A408">
        <v>407</v>
      </c>
      <c r="B408" t="s">
        <v>1522</v>
      </c>
      <c r="C408">
        <v>7.8E-2</v>
      </c>
    </row>
    <row r="409" spans="1:3" x14ac:dyDescent="0.25">
      <c r="A409">
        <v>408</v>
      </c>
      <c r="B409" t="s">
        <v>1523</v>
      </c>
      <c r="C409">
        <v>7.8E-2</v>
      </c>
    </row>
    <row r="410" spans="1:3" x14ac:dyDescent="0.25">
      <c r="A410">
        <v>409</v>
      </c>
      <c r="B410" t="s">
        <v>1524</v>
      </c>
      <c r="C410">
        <v>7.8E-2</v>
      </c>
    </row>
    <row r="411" spans="1:3" x14ac:dyDescent="0.25">
      <c r="A411">
        <v>410</v>
      </c>
      <c r="B411" t="s">
        <v>1525</v>
      </c>
      <c r="C411">
        <v>7.6999999999999999E-2</v>
      </c>
    </row>
    <row r="412" spans="1:3" x14ac:dyDescent="0.25">
      <c r="A412">
        <v>411</v>
      </c>
      <c r="B412" t="s">
        <v>1526</v>
      </c>
      <c r="C412">
        <v>7.6999999999999999E-2</v>
      </c>
    </row>
    <row r="413" spans="1:3" x14ac:dyDescent="0.25">
      <c r="A413">
        <v>412</v>
      </c>
      <c r="B413" t="s">
        <v>1527</v>
      </c>
      <c r="C413">
        <v>7.5999999999999998E-2</v>
      </c>
    </row>
    <row r="414" spans="1:3" x14ac:dyDescent="0.25">
      <c r="A414">
        <v>413</v>
      </c>
      <c r="B414" t="s">
        <v>1528</v>
      </c>
      <c r="C414">
        <v>7.5999999999999998E-2</v>
      </c>
    </row>
    <row r="415" spans="1:3" x14ac:dyDescent="0.25">
      <c r="A415">
        <v>414</v>
      </c>
      <c r="B415" t="s">
        <v>1529</v>
      </c>
      <c r="C415">
        <v>7.5999999999999998E-2</v>
      </c>
    </row>
    <row r="416" spans="1:3" x14ac:dyDescent="0.25">
      <c r="A416">
        <v>415</v>
      </c>
      <c r="B416" t="s">
        <v>1530</v>
      </c>
      <c r="C416">
        <v>7.5999999999999998E-2</v>
      </c>
    </row>
    <row r="417" spans="1:3" x14ac:dyDescent="0.25">
      <c r="A417">
        <v>416</v>
      </c>
      <c r="B417" t="s">
        <v>1531</v>
      </c>
      <c r="C417">
        <v>7.4999999999999997E-2</v>
      </c>
    </row>
    <row r="418" spans="1:3" x14ac:dyDescent="0.25">
      <c r="A418">
        <v>417</v>
      </c>
      <c r="B418" t="s">
        <v>1532</v>
      </c>
      <c r="C418">
        <v>7.4999999999999997E-2</v>
      </c>
    </row>
    <row r="419" spans="1:3" x14ac:dyDescent="0.25">
      <c r="A419">
        <v>418</v>
      </c>
      <c r="B419" t="s">
        <v>1533</v>
      </c>
      <c r="C419">
        <v>7.4999999999999997E-2</v>
      </c>
    </row>
    <row r="420" spans="1:3" x14ac:dyDescent="0.25">
      <c r="A420">
        <v>419</v>
      </c>
      <c r="B420" t="s">
        <v>1534</v>
      </c>
      <c r="C420">
        <v>7.3999999999999996E-2</v>
      </c>
    </row>
    <row r="421" spans="1:3" x14ac:dyDescent="0.25">
      <c r="A421">
        <v>420</v>
      </c>
      <c r="B421" t="s">
        <v>1535</v>
      </c>
      <c r="C421">
        <v>7.2999999999999995E-2</v>
      </c>
    </row>
    <row r="422" spans="1:3" x14ac:dyDescent="0.25">
      <c r="A422">
        <v>421</v>
      </c>
      <c r="B422" t="s">
        <v>1536</v>
      </c>
      <c r="C422">
        <v>7.2999999999999995E-2</v>
      </c>
    </row>
    <row r="423" spans="1:3" x14ac:dyDescent="0.25">
      <c r="A423">
        <v>422</v>
      </c>
      <c r="B423" t="s">
        <v>1537</v>
      </c>
      <c r="C423">
        <v>7.2999999999999995E-2</v>
      </c>
    </row>
    <row r="424" spans="1:3" x14ac:dyDescent="0.25">
      <c r="A424">
        <v>423</v>
      </c>
      <c r="B424" t="s">
        <v>1538</v>
      </c>
      <c r="C424">
        <v>7.2999999999999995E-2</v>
      </c>
    </row>
    <row r="425" spans="1:3" x14ac:dyDescent="0.25">
      <c r="A425">
        <v>424</v>
      </c>
      <c r="B425" t="s">
        <v>1539</v>
      </c>
      <c r="C425">
        <v>7.1999999999999995E-2</v>
      </c>
    </row>
    <row r="426" spans="1:3" x14ac:dyDescent="0.25">
      <c r="A426">
        <v>425</v>
      </c>
      <c r="B426" t="s">
        <v>1540</v>
      </c>
      <c r="C426">
        <v>7.1999999999999995E-2</v>
      </c>
    </row>
    <row r="427" spans="1:3" x14ac:dyDescent="0.25">
      <c r="A427">
        <v>426</v>
      </c>
      <c r="B427" t="s">
        <v>1541</v>
      </c>
      <c r="C427">
        <v>7.1999999999999995E-2</v>
      </c>
    </row>
    <row r="428" spans="1:3" x14ac:dyDescent="0.25">
      <c r="A428">
        <v>427</v>
      </c>
      <c r="B428" t="s">
        <v>1542</v>
      </c>
      <c r="C428">
        <v>7.1999999999999995E-2</v>
      </c>
    </row>
    <row r="429" spans="1:3" x14ac:dyDescent="0.25">
      <c r="A429">
        <v>428</v>
      </c>
      <c r="B429" t="s">
        <v>1543</v>
      </c>
      <c r="C429">
        <v>7.0999999999999994E-2</v>
      </c>
    </row>
    <row r="430" spans="1:3" x14ac:dyDescent="0.25">
      <c r="A430">
        <v>429</v>
      </c>
      <c r="B430" t="s">
        <v>1544</v>
      </c>
      <c r="C430">
        <v>7.0999999999999994E-2</v>
      </c>
    </row>
    <row r="431" spans="1:3" x14ac:dyDescent="0.25">
      <c r="A431">
        <v>430</v>
      </c>
      <c r="B431" t="s">
        <v>1545</v>
      </c>
      <c r="C431">
        <v>7.0999999999999994E-2</v>
      </c>
    </row>
    <row r="432" spans="1:3" x14ac:dyDescent="0.25">
      <c r="A432">
        <v>431</v>
      </c>
      <c r="B432" t="s">
        <v>1546</v>
      </c>
      <c r="C432">
        <v>7.0999999999999994E-2</v>
      </c>
    </row>
    <row r="433" spans="1:3" x14ac:dyDescent="0.25">
      <c r="A433">
        <v>432</v>
      </c>
      <c r="B433" t="s">
        <v>1547</v>
      </c>
      <c r="C433">
        <v>7.0000000000000007E-2</v>
      </c>
    </row>
    <row r="434" spans="1:3" x14ac:dyDescent="0.25">
      <c r="A434">
        <v>433</v>
      </c>
      <c r="B434" t="s">
        <v>1548</v>
      </c>
      <c r="C434">
        <v>7.0000000000000007E-2</v>
      </c>
    </row>
    <row r="435" spans="1:3" x14ac:dyDescent="0.25">
      <c r="A435">
        <v>434</v>
      </c>
      <c r="B435" t="s">
        <v>1549</v>
      </c>
      <c r="C435">
        <v>7.0000000000000007E-2</v>
      </c>
    </row>
    <row r="436" spans="1:3" x14ac:dyDescent="0.25">
      <c r="A436">
        <v>435</v>
      </c>
      <c r="B436" t="s">
        <v>1550</v>
      </c>
      <c r="C436">
        <v>7.0000000000000007E-2</v>
      </c>
    </row>
    <row r="437" spans="1:3" x14ac:dyDescent="0.25">
      <c r="A437">
        <v>436</v>
      </c>
      <c r="B437" t="s">
        <v>1551</v>
      </c>
      <c r="C437">
        <v>7.0000000000000007E-2</v>
      </c>
    </row>
    <row r="438" spans="1:3" x14ac:dyDescent="0.25">
      <c r="A438">
        <v>437</v>
      </c>
      <c r="B438" t="s">
        <v>1552</v>
      </c>
      <c r="C438">
        <v>7.0000000000000007E-2</v>
      </c>
    </row>
    <row r="439" spans="1:3" x14ac:dyDescent="0.25">
      <c r="A439">
        <v>438</v>
      </c>
      <c r="B439" t="s">
        <v>1553</v>
      </c>
      <c r="C439">
        <v>7.0000000000000007E-2</v>
      </c>
    </row>
    <row r="440" spans="1:3" x14ac:dyDescent="0.25">
      <c r="A440">
        <v>439</v>
      </c>
      <c r="B440" t="s">
        <v>1554</v>
      </c>
      <c r="C440">
        <v>6.9000000000000006E-2</v>
      </c>
    </row>
    <row r="441" spans="1:3" x14ac:dyDescent="0.25">
      <c r="A441">
        <v>440</v>
      </c>
      <c r="B441" t="s">
        <v>1555</v>
      </c>
      <c r="C441">
        <v>6.9000000000000006E-2</v>
      </c>
    </row>
    <row r="442" spans="1:3" x14ac:dyDescent="0.25">
      <c r="A442">
        <v>441</v>
      </c>
      <c r="B442" t="s">
        <v>1556</v>
      </c>
      <c r="C442">
        <v>6.9000000000000006E-2</v>
      </c>
    </row>
    <row r="443" spans="1:3" x14ac:dyDescent="0.25">
      <c r="A443">
        <v>442</v>
      </c>
      <c r="B443" t="s">
        <v>1557</v>
      </c>
      <c r="C443">
        <v>6.9000000000000006E-2</v>
      </c>
    </row>
    <row r="444" spans="1:3" x14ac:dyDescent="0.25">
      <c r="A444">
        <v>443</v>
      </c>
      <c r="B444" t="s">
        <v>1558</v>
      </c>
      <c r="C444">
        <v>6.9000000000000006E-2</v>
      </c>
    </row>
    <row r="445" spans="1:3" x14ac:dyDescent="0.25">
      <c r="A445">
        <v>444</v>
      </c>
      <c r="B445" t="s">
        <v>1559</v>
      </c>
      <c r="C445">
        <v>6.9000000000000006E-2</v>
      </c>
    </row>
    <row r="446" spans="1:3" x14ac:dyDescent="0.25">
      <c r="A446">
        <v>445</v>
      </c>
      <c r="B446" t="s">
        <v>1560</v>
      </c>
      <c r="C446">
        <v>6.8000000000000005E-2</v>
      </c>
    </row>
    <row r="447" spans="1:3" x14ac:dyDescent="0.25">
      <c r="A447">
        <v>446</v>
      </c>
      <c r="B447" t="s">
        <v>1561</v>
      </c>
      <c r="C447">
        <v>6.8000000000000005E-2</v>
      </c>
    </row>
    <row r="448" spans="1:3" x14ac:dyDescent="0.25">
      <c r="A448">
        <v>447</v>
      </c>
      <c r="B448" t="s">
        <v>1562</v>
      </c>
      <c r="C448">
        <v>6.7000000000000004E-2</v>
      </c>
    </row>
    <row r="449" spans="1:3" x14ac:dyDescent="0.25">
      <c r="A449">
        <v>448</v>
      </c>
      <c r="B449" t="s">
        <v>1563</v>
      </c>
      <c r="C449">
        <v>6.7000000000000004E-2</v>
      </c>
    </row>
    <row r="450" spans="1:3" x14ac:dyDescent="0.25">
      <c r="A450">
        <v>449</v>
      </c>
      <c r="B450" t="s">
        <v>1564</v>
      </c>
      <c r="C450">
        <v>6.7000000000000004E-2</v>
      </c>
    </row>
    <row r="451" spans="1:3" x14ac:dyDescent="0.25">
      <c r="A451">
        <v>450</v>
      </c>
      <c r="B451" t="s">
        <v>1565</v>
      </c>
      <c r="C451">
        <v>6.7000000000000004E-2</v>
      </c>
    </row>
    <row r="452" spans="1:3" x14ac:dyDescent="0.25">
      <c r="A452">
        <v>451</v>
      </c>
      <c r="B452" t="s">
        <v>1566</v>
      </c>
      <c r="C452">
        <v>6.6000000000000003E-2</v>
      </c>
    </row>
    <row r="453" spans="1:3" x14ac:dyDescent="0.25">
      <c r="A453">
        <v>452</v>
      </c>
      <c r="B453" t="s">
        <v>1567</v>
      </c>
      <c r="C453">
        <v>6.6000000000000003E-2</v>
      </c>
    </row>
    <row r="454" spans="1:3" x14ac:dyDescent="0.25">
      <c r="A454">
        <v>453</v>
      </c>
      <c r="B454" t="s">
        <v>1568</v>
      </c>
      <c r="C454">
        <v>6.6000000000000003E-2</v>
      </c>
    </row>
    <row r="455" spans="1:3" x14ac:dyDescent="0.25">
      <c r="A455">
        <v>454</v>
      </c>
      <c r="B455" t="s">
        <v>1569</v>
      </c>
      <c r="C455">
        <v>6.6000000000000003E-2</v>
      </c>
    </row>
    <row r="456" spans="1:3" x14ac:dyDescent="0.25">
      <c r="A456">
        <v>455</v>
      </c>
      <c r="B456" t="s">
        <v>1570</v>
      </c>
      <c r="C456">
        <v>6.5000000000000002E-2</v>
      </c>
    </row>
    <row r="457" spans="1:3" x14ac:dyDescent="0.25">
      <c r="A457">
        <v>456</v>
      </c>
      <c r="B457" t="s">
        <v>1571</v>
      </c>
      <c r="C457">
        <v>6.5000000000000002E-2</v>
      </c>
    </row>
    <row r="458" spans="1:3" x14ac:dyDescent="0.25">
      <c r="A458">
        <v>457</v>
      </c>
      <c r="B458" t="s">
        <v>1572</v>
      </c>
      <c r="C458">
        <v>6.5000000000000002E-2</v>
      </c>
    </row>
    <row r="459" spans="1:3" x14ac:dyDescent="0.25">
      <c r="A459">
        <v>458</v>
      </c>
      <c r="B459" t="s">
        <v>1573</v>
      </c>
      <c r="C459">
        <v>6.4000000000000001E-2</v>
      </c>
    </row>
    <row r="460" spans="1:3" x14ac:dyDescent="0.25">
      <c r="A460">
        <v>459</v>
      </c>
      <c r="B460" t="s">
        <v>1574</v>
      </c>
      <c r="C460">
        <v>6.4000000000000001E-2</v>
      </c>
    </row>
    <row r="461" spans="1:3" x14ac:dyDescent="0.25">
      <c r="A461">
        <v>460</v>
      </c>
      <c r="B461" t="s">
        <v>1575</v>
      </c>
      <c r="C461">
        <v>6.4000000000000001E-2</v>
      </c>
    </row>
    <row r="462" spans="1:3" x14ac:dyDescent="0.25">
      <c r="A462">
        <v>461</v>
      </c>
      <c r="B462" t="s">
        <v>1576</v>
      </c>
      <c r="C462">
        <v>6.4000000000000001E-2</v>
      </c>
    </row>
    <row r="463" spans="1:3" x14ac:dyDescent="0.25">
      <c r="A463">
        <v>462</v>
      </c>
      <c r="B463" t="s">
        <v>1577</v>
      </c>
      <c r="C463">
        <v>6.3E-2</v>
      </c>
    </row>
    <row r="464" spans="1:3" x14ac:dyDescent="0.25">
      <c r="A464">
        <v>463</v>
      </c>
      <c r="B464" t="s">
        <v>1578</v>
      </c>
      <c r="C464">
        <v>6.3E-2</v>
      </c>
    </row>
    <row r="465" spans="1:3" x14ac:dyDescent="0.25">
      <c r="A465">
        <v>464</v>
      </c>
      <c r="B465" t="s">
        <v>1579</v>
      </c>
      <c r="C465">
        <v>6.2E-2</v>
      </c>
    </row>
    <row r="466" spans="1:3" x14ac:dyDescent="0.25">
      <c r="A466">
        <v>465</v>
      </c>
      <c r="B466" t="s">
        <v>1580</v>
      </c>
      <c r="C466">
        <v>6.2E-2</v>
      </c>
    </row>
    <row r="467" spans="1:3" x14ac:dyDescent="0.25">
      <c r="A467">
        <v>466</v>
      </c>
      <c r="B467" t="s">
        <v>1581</v>
      </c>
      <c r="C467">
        <v>6.2E-2</v>
      </c>
    </row>
    <row r="468" spans="1:3" x14ac:dyDescent="0.25">
      <c r="A468">
        <v>467</v>
      </c>
      <c r="B468" t="s">
        <v>1582</v>
      </c>
      <c r="C468">
        <v>6.0999999999999999E-2</v>
      </c>
    </row>
    <row r="469" spans="1:3" x14ac:dyDescent="0.25">
      <c r="A469">
        <v>468</v>
      </c>
      <c r="B469" t="s">
        <v>1583</v>
      </c>
      <c r="C469">
        <v>6.0999999999999999E-2</v>
      </c>
    </row>
    <row r="470" spans="1:3" x14ac:dyDescent="0.25">
      <c r="A470">
        <v>469</v>
      </c>
      <c r="B470" t="s">
        <v>1584</v>
      </c>
      <c r="C470">
        <v>6.0999999999999999E-2</v>
      </c>
    </row>
    <row r="471" spans="1:3" x14ac:dyDescent="0.25">
      <c r="A471">
        <v>470</v>
      </c>
      <c r="B471" t="s">
        <v>1585</v>
      </c>
      <c r="C471">
        <v>6.0999999999999999E-2</v>
      </c>
    </row>
    <row r="472" spans="1:3" x14ac:dyDescent="0.25">
      <c r="A472">
        <v>471</v>
      </c>
      <c r="B472" t="s">
        <v>1586</v>
      </c>
      <c r="C472">
        <v>6.0999999999999999E-2</v>
      </c>
    </row>
    <row r="473" spans="1:3" x14ac:dyDescent="0.25">
      <c r="A473">
        <v>472</v>
      </c>
      <c r="B473" t="s">
        <v>1587</v>
      </c>
      <c r="C473">
        <v>6.0999999999999999E-2</v>
      </c>
    </row>
    <row r="474" spans="1:3" x14ac:dyDescent="0.25">
      <c r="A474">
        <v>473</v>
      </c>
      <c r="B474" t="s">
        <v>1588</v>
      </c>
      <c r="C474">
        <v>6.0999999999999999E-2</v>
      </c>
    </row>
    <row r="475" spans="1:3" x14ac:dyDescent="0.25">
      <c r="A475">
        <v>474</v>
      </c>
      <c r="B475" t="s">
        <v>1589</v>
      </c>
      <c r="C475">
        <v>6.0999999999999999E-2</v>
      </c>
    </row>
    <row r="476" spans="1:3" x14ac:dyDescent="0.25">
      <c r="A476">
        <v>475</v>
      </c>
      <c r="B476" t="s">
        <v>1590</v>
      </c>
      <c r="C476">
        <v>6.0999999999999999E-2</v>
      </c>
    </row>
    <row r="477" spans="1:3" x14ac:dyDescent="0.25">
      <c r="A477">
        <v>476</v>
      </c>
      <c r="B477" t="s">
        <v>1591</v>
      </c>
      <c r="C477">
        <v>0.06</v>
      </c>
    </row>
    <row r="478" spans="1:3" x14ac:dyDescent="0.25">
      <c r="A478">
        <v>477</v>
      </c>
      <c r="B478" t="s">
        <v>1592</v>
      </c>
      <c r="C478">
        <v>0.06</v>
      </c>
    </row>
    <row r="479" spans="1:3" x14ac:dyDescent="0.25">
      <c r="A479">
        <v>478</v>
      </c>
      <c r="B479" t="s">
        <v>1593</v>
      </c>
      <c r="C479">
        <v>0.06</v>
      </c>
    </row>
    <row r="480" spans="1:3" x14ac:dyDescent="0.25">
      <c r="A480">
        <v>479</v>
      </c>
      <c r="B480" t="s">
        <v>1594</v>
      </c>
      <c r="C480">
        <v>0.06</v>
      </c>
    </row>
    <row r="481" spans="1:3" x14ac:dyDescent="0.25">
      <c r="A481">
        <v>480</v>
      </c>
      <c r="B481" t="s">
        <v>1595</v>
      </c>
      <c r="C481">
        <v>5.8999999999999997E-2</v>
      </c>
    </row>
    <row r="482" spans="1:3" x14ac:dyDescent="0.25">
      <c r="A482">
        <v>481</v>
      </c>
      <c r="B482" t="s">
        <v>1596</v>
      </c>
      <c r="C482">
        <v>5.8999999999999997E-2</v>
      </c>
    </row>
    <row r="483" spans="1:3" x14ac:dyDescent="0.25">
      <c r="A483">
        <v>482</v>
      </c>
      <c r="B483" t="s">
        <v>1597</v>
      </c>
      <c r="C483">
        <v>5.8999999999999997E-2</v>
      </c>
    </row>
    <row r="484" spans="1:3" x14ac:dyDescent="0.25">
      <c r="A484">
        <v>483</v>
      </c>
      <c r="B484" t="s">
        <v>1598</v>
      </c>
      <c r="C484">
        <v>5.8999999999999997E-2</v>
      </c>
    </row>
    <row r="485" spans="1:3" x14ac:dyDescent="0.25">
      <c r="A485">
        <v>484</v>
      </c>
      <c r="B485" t="s">
        <v>1599</v>
      </c>
      <c r="C485">
        <v>5.8999999999999997E-2</v>
      </c>
    </row>
    <row r="486" spans="1:3" x14ac:dyDescent="0.25">
      <c r="A486">
        <v>485</v>
      </c>
      <c r="B486" t="s">
        <v>1600</v>
      </c>
      <c r="C486">
        <v>5.8000000000000003E-2</v>
      </c>
    </row>
    <row r="487" spans="1:3" x14ac:dyDescent="0.25">
      <c r="A487">
        <v>486</v>
      </c>
      <c r="B487" t="s">
        <v>1601</v>
      </c>
      <c r="C487">
        <v>5.8000000000000003E-2</v>
      </c>
    </row>
    <row r="488" spans="1:3" x14ac:dyDescent="0.25">
      <c r="A488">
        <v>487</v>
      </c>
      <c r="B488" t="s">
        <v>1602</v>
      </c>
      <c r="C488">
        <v>5.7000000000000002E-2</v>
      </c>
    </row>
    <row r="489" spans="1:3" x14ac:dyDescent="0.25">
      <c r="A489">
        <v>488</v>
      </c>
      <c r="B489" t="s">
        <v>1603</v>
      </c>
      <c r="C489">
        <v>5.7000000000000002E-2</v>
      </c>
    </row>
    <row r="490" spans="1:3" x14ac:dyDescent="0.25">
      <c r="A490">
        <v>489</v>
      </c>
      <c r="B490" t="s">
        <v>1604</v>
      </c>
      <c r="C490">
        <v>5.7000000000000002E-2</v>
      </c>
    </row>
    <row r="491" spans="1:3" x14ac:dyDescent="0.25">
      <c r="A491">
        <v>490</v>
      </c>
      <c r="B491" t="s">
        <v>1605</v>
      </c>
      <c r="C491">
        <v>5.7000000000000002E-2</v>
      </c>
    </row>
    <row r="492" spans="1:3" x14ac:dyDescent="0.25">
      <c r="A492">
        <v>491</v>
      </c>
      <c r="B492" t="s">
        <v>1606</v>
      </c>
      <c r="C492">
        <v>5.7000000000000002E-2</v>
      </c>
    </row>
    <row r="493" spans="1:3" x14ac:dyDescent="0.25">
      <c r="A493">
        <v>492</v>
      </c>
      <c r="B493" t="s">
        <v>1607</v>
      </c>
      <c r="C493">
        <v>5.7000000000000002E-2</v>
      </c>
    </row>
    <row r="494" spans="1:3" x14ac:dyDescent="0.25">
      <c r="A494">
        <v>493</v>
      </c>
      <c r="B494" t="s">
        <v>1608</v>
      </c>
      <c r="C494">
        <v>5.7000000000000002E-2</v>
      </c>
    </row>
    <row r="495" spans="1:3" x14ac:dyDescent="0.25">
      <c r="A495">
        <v>494</v>
      </c>
      <c r="B495" t="s">
        <v>1609</v>
      </c>
      <c r="C495">
        <v>5.6000000000000001E-2</v>
      </c>
    </row>
    <row r="496" spans="1:3" x14ac:dyDescent="0.25">
      <c r="A496">
        <v>495</v>
      </c>
      <c r="B496" t="s">
        <v>1610</v>
      </c>
      <c r="C496">
        <v>5.6000000000000001E-2</v>
      </c>
    </row>
    <row r="497" spans="1:3" x14ac:dyDescent="0.25">
      <c r="A497">
        <v>496</v>
      </c>
      <c r="B497" t="s">
        <v>1611</v>
      </c>
      <c r="C497">
        <v>5.5E-2</v>
      </c>
    </row>
    <row r="498" spans="1:3" x14ac:dyDescent="0.25">
      <c r="A498">
        <v>497</v>
      </c>
      <c r="B498" t="s">
        <v>1612</v>
      </c>
      <c r="C498">
        <v>5.5E-2</v>
      </c>
    </row>
    <row r="499" spans="1:3" x14ac:dyDescent="0.25">
      <c r="A499">
        <v>498</v>
      </c>
      <c r="B499" t="s">
        <v>1613</v>
      </c>
      <c r="C499">
        <v>5.5E-2</v>
      </c>
    </row>
    <row r="500" spans="1:3" x14ac:dyDescent="0.25">
      <c r="A500">
        <v>499</v>
      </c>
      <c r="B500" t="s">
        <v>1614</v>
      </c>
      <c r="C500">
        <v>5.5E-2</v>
      </c>
    </row>
    <row r="501" spans="1:3" x14ac:dyDescent="0.25">
      <c r="A501">
        <v>500</v>
      </c>
      <c r="B501" t="s">
        <v>1615</v>
      </c>
      <c r="C501">
        <v>5.5E-2</v>
      </c>
    </row>
    <row r="502" spans="1:3" x14ac:dyDescent="0.25">
      <c r="A502">
        <v>501</v>
      </c>
      <c r="B502" t="s">
        <v>1616</v>
      </c>
      <c r="C502">
        <v>5.3999999999999999E-2</v>
      </c>
    </row>
    <row r="503" spans="1:3" x14ac:dyDescent="0.25">
      <c r="A503">
        <v>502</v>
      </c>
      <c r="B503" t="s">
        <v>1617</v>
      </c>
      <c r="C503">
        <v>5.3999999999999999E-2</v>
      </c>
    </row>
    <row r="504" spans="1:3" x14ac:dyDescent="0.25">
      <c r="A504">
        <v>503</v>
      </c>
      <c r="B504" t="s">
        <v>1618</v>
      </c>
      <c r="C504">
        <v>5.3999999999999999E-2</v>
      </c>
    </row>
    <row r="505" spans="1:3" x14ac:dyDescent="0.25">
      <c r="A505">
        <v>504</v>
      </c>
      <c r="B505" t="s">
        <v>1619</v>
      </c>
      <c r="C505">
        <v>5.2999999999999999E-2</v>
      </c>
    </row>
    <row r="506" spans="1:3" x14ac:dyDescent="0.25">
      <c r="A506">
        <v>505</v>
      </c>
      <c r="B506" t="s">
        <v>1620</v>
      </c>
      <c r="C506">
        <v>5.2999999999999999E-2</v>
      </c>
    </row>
    <row r="507" spans="1:3" x14ac:dyDescent="0.25">
      <c r="A507">
        <v>506</v>
      </c>
      <c r="B507" t="s">
        <v>1621</v>
      </c>
      <c r="C507">
        <v>5.2999999999999999E-2</v>
      </c>
    </row>
    <row r="508" spans="1:3" x14ac:dyDescent="0.25">
      <c r="A508">
        <v>507</v>
      </c>
      <c r="B508" t="s">
        <v>1622</v>
      </c>
      <c r="C508">
        <v>5.2999999999999999E-2</v>
      </c>
    </row>
    <row r="509" spans="1:3" x14ac:dyDescent="0.25">
      <c r="A509">
        <v>508</v>
      </c>
      <c r="B509" t="s">
        <v>1623</v>
      </c>
      <c r="C509">
        <v>5.2999999999999999E-2</v>
      </c>
    </row>
    <row r="510" spans="1:3" x14ac:dyDescent="0.25">
      <c r="A510">
        <v>509</v>
      </c>
      <c r="B510" t="s">
        <v>1624</v>
      </c>
      <c r="C510">
        <v>5.1999999999999998E-2</v>
      </c>
    </row>
    <row r="511" spans="1:3" x14ac:dyDescent="0.25">
      <c r="A511">
        <v>510</v>
      </c>
      <c r="B511" t="s">
        <v>1625</v>
      </c>
      <c r="C511">
        <v>5.1999999999999998E-2</v>
      </c>
    </row>
    <row r="512" spans="1:3" x14ac:dyDescent="0.25">
      <c r="A512">
        <v>511</v>
      </c>
      <c r="B512" t="s">
        <v>1626</v>
      </c>
      <c r="C512">
        <v>5.1999999999999998E-2</v>
      </c>
    </row>
    <row r="513" spans="1:3" x14ac:dyDescent="0.25">
      <c r="A513">
        <v>512</v>
      </c>
      <c r="B513" t="s">
        <v>1627</v>
      </c>
      <c r="C513">
        <v>5.1999999999999998E-2</v>
      </c>
    </row>
    <row r="514" spans="1:3" x14ac:dyDescent="0.25">
      <c r="A514">
        <v>513</v>
      </c>
      <c r="B514" t="s">
        <v>1628</v>
      </c>
      <c r="C514">
        <v>5.1999999999999998E-2</v>
      </c>
    </row>
    <row r="515" spans="1:3" x14ac:dyDescent="0.25">
      <c r="A515">
        <v>514</v>
      </c>
      <c r="B515" t="s">
        <v>1629</v>
      </c>
      <c r="C515">
        <v>5.1999999999999998E-2</v>
      </c>
    </row>
    <row r="516" spans="1:3" x14ac:dyDescent="0.25">
      <c r="A516">
        <v>515</v>
      </c>
      <c r="B516" t="s">
        <v>1630</v>
      </c>
      <c r="C516">
        <v>5.1999999999999998E-2</v>
      </c>
    </row>
    <row r="517" spans="1:3" x14ac:dyDescent="0.25">
      <c r="A517">
        <v>516</v>
      </c>
      <c r="B517" t="s">
        <v>1631</v>
      </c>
      <c r="C517">
        <v>5.1999999999999998E-2</v>
      </c>
    </row>
    <row r="518" spans="1:3" x14ac:dyDescent="0.25">
      <c r="A518">
        <v>517</v>
      </c>
      <c r="B518" t="s">
        <v>1632</v>
      </c>
      <c r="C518">
        <v>5.1999999999999998E-2</v>
      </c>
    </row>
    <row r="519" spans="1:3" x14ac:dyDescent="0.25">
      <c r="A519">
        <v>518</v>
      </c>
      <c r="B519" t="s">
        <v>1633</v>
      </c>
      <c r="C519">
        <v>5.0999999999999997E-2</v>
      </c>
    </row>
    <row r="520" spans="1:3" x14ac:dyDescent="0.25">
      <c r="A520">
        <v>519</v>
      </c>
      <c r="B520" t="s">
        <v>1634</v>
      </c>
      <c r="C520">
        <v>5.0999999999999997E-2</v>
      </c>
    </row>
    <row r="521" spans="1:3" x14ac:dyDescent="0.25">
      <c r="A521">
        <v>520</v>
      </c>
      <c r="B521" t="s">
        <v>1635</v>
      </c>
      <c r="C521">
        <v>5.0999999999999997E-2</v>
      </c>
    </row>
    <row r="522" spans="1:3" x14ac:dyDescent="0.25">
      <c r="A522">
        <v>521</v>
      </c>
      <c r="B522" t="s">
        <v>1636</v>
      </c>
      <c r="C522">
        <v>0.05</v>
      </c>
    </row>
    <row r="523" spans="1:3" x14ac:dyDescent="0.25">
      <c r="A523">
        <v>522</v>
      </c>
      <c r="B523" t="s">
        <v>1637</v>
      </c>
      <c r="C523">
        <v>0.05</v>
      </c>
    </row>
    <row r="524" spans="1:3" x14ac:dyDescent="0.25">
      <c r="A524">
        <v>523</v>
      </c>
      <c r="B524" t="s">
        <v>1638</v>
      </c>
      <c r="C524">
        <v>0.05</v>
      </c>
    </row>
    <row r="525" spans="1:3" x14ac:dyDescent="0.25">
      <c r="A525">
        <v>524</v>
      </c>
      <c r="B525" t="s">
        <v>1639</v>
      </c>
      <c r="C525">
        <v>0.05</v>
      </c>
    </row>
    <row r="526" spans="1:3" x14ac:dyDescent="0.25">
      <c r="A526">
        <v>525</v>
      </c>
      <c r="B526" t="s">
        <v>1640</v>
      </c>
      <c r="C526">
        <v>0.05</v>
      </c>
    </row>
    <row r="527" spans="1:3" x14ac:dyDescent="0.25">
      <c r="A527">
        <v>526</v>
      </c>
      <c r="B527" t="s">
        <v>1641</v>
      </c>
      <c r="C527">
        <v>0.05</v>
      </c>
    </row>
    <row r="528" spans="1:3" x14ac:dyDescent="0.25">
      <c r="A528">
        <v>527</v>
      </c>
      <c r="B528" t="s">
        <v>1642</v>
      </c>
      <c r="C528">
        <v>4.9000000000000002E-2</v>
      </c>
    </row>
    <row r="529" spans="1:3" x14ac:dyDescent="0.25">
      <c r="A529">
        <v>528</v>
      </c>
      <c r="B529" t="s">
        <v>1643</v>
      </c>
      <c r="C529">
        <v>4.9000000000000002E-2</v>
      </c>
    </row>
    <row r="530" spans="1:3" x14ac:dyDescent="0.25">
      <c r="A530">
        <v>529</v>
      </c>
      <c r="B530" t="s">
        <v>1644</v>
      </c>
      <c r="C530">
        <v>4.9000000000000002E-2</v>
      </c>
    </row>
    <row r="531" spans="1:3" x14ac:dyDescent="0.25">
      <c r="A531">
        <v>530</v>
      </c>
      <c r="B531" t="s">
        <v>1645</v>
      </c>
      <c r="C531">
        <v>4.9000000000000002E-2</v>
      </c>
    </row>
    <row r="532" spans="1:3" x14ac:dyDescent="0.25">
      <c r="A532">
        <v>531</v>
      </c>
      <c r="B532" t="s">
        <v>1646</v>
      </c>
      <c r="C532">
        <v>4.9000000000000002E-2</v>
      </c>
    </row>
    <row r="533" spans="1:3" x14ac:dyDescent="0.25">
      <c r="A533">
        <v>532</v>
      </c>
      <c r="B533" t="s">
        <v>1647</v>
      </c>
      <c r="C533">
        <v>4.9000000000000002E-2</v>
      </c>
    </row>
    <row r="534" spans="1:3" x14ac:dyDescent="0.25">
      <c r="A534">
        <v>533</v>
      </c>
      <c r="B534" t="s">
        <v>1648</v>
      </c>
      <c r="C534">
        <v>4.9000000000000002E-2</v>
      </c>
    </row>
    <row r="535" spans="1:3" x14ac:dyDescent="0.25">
      <c r="A535">
        <v>534</v>
      </c>
      <c r="B535" t="s">
        <v>1649</v>
      </c>
      <c r="C535">
        <v>4.9000000000000002E-2</v>
      </c>
    </row>
    <row r="536" spans="1:3" x14ac:dyDescent="0.25">
      <c r="A536">
        <v>535</v>
      </c>
      <c r="B536" t="s">
        <v>1650</v>
      </c>
      <c r="C536">
        <v>4.9000000000000002E-2</v>
      </c>
    </row>
    <row r="537" spans="1:3" x14ac:dyDescent="0.25">
      <c r="A537">
        <v>536</v>
      </c>
      <c r="B537" t="s">
        <v>1651</v>
      </c>
      <c r="C537">
        <v>4.8000000000000001E-2</v>
      </c>
    </row>
    <row r="538" spans="1:3" x14ac:dyDescent="0.25">
      <c r="A538">
        <v>537</v>
      </c>
      <c r="B538" t="s">
        <v>1652</v>
      </c>
      <c r="C538">
        <v>4.8000000000000001E-2</v>
      </c>
    </row>
    <row r="539" spans="1:3" x14ac:dyDescent="0.25">
      <c r="A539">
        <v>538</v>
      </c>
      <c r="B539" t="s">
        <v>1653</v>
      </c>
      <c r="C539">
        <v>4.8000000000000001E-2</v>
      </c>
    </row>
    <row r="540" spans="1:3" x14ac:dyDescent="0.25">
      <c r="A540">
        <v>539</v>
      </c>
      <c r="B540" t="s">
        <v>1654</v>
      </c>
      <c r="C540">
        <v>4.8000000000000001E-2</v>
      </c>
    </row>
    <row r="541" spans="1:3" x14ac:dyDescent="0.25">
      <c r="A541">
        <v>540</v>
      </c>
      <c r="B541" t="s">
        <v>1655</v>
      </c>
      <c r="C541">
        <v>4.8000000000000001E-2</v>
      </c>
    </row>
    <row r="542" spans="1:3" x14ac:dyDescent="0.25">
      <c r="A542">
        <v>541</v>
      </c>
      <c r="B542" t="s">
        <v>1656</v>
      </c>
      <c r="C542">
        <v>4.8000000000000001E-2</v>
      </c>
    </row>
    <row r="543" spans="1:3" x14ac:dyDescent="0.25">
      <c r="A543">
        <v>542</v>
      </c>
      <c r="B543" t="s">
        <v>1657</v>
      </c>
      <c r="C543">
        <v>4.7E-2</v>
      </c>
    </row>
    <row r="544" spans="1:3" x14ac:dyDescent="0.25">
      <c r="A544">
        <v>543</v>
      </c>
      <c r="B544" t="s">
        <v>1658</v>
      </c>
      <c r="C544">
        <v>4.7E-2</v>
      </c>
    </row>
    <row r="545" spans="1:3" x14ac:dyDescent="0.25">
      <c r="A545">
        <v>544</v>
      </c>
      <c r="B545" t="s">
        <v>1659</v>
      </c>
      <c r="C545">
        <v>4.7E-2</v>
      </c>
    </row>
    <row r="546" spans="1:3" x14ac:dyDescent="0.25">
      <c r="A546">
        <v>545</v>
      </c>
      <c r="B546" t="s">
        <v>1660</v>
      </c>
      <c r="C546">
        <v>4.7E-2</v>
      </c>
    </row>
    <row r="547" spans="1:3" x14ac:dyDescent="0.25">
      <c r="A547">
        <v>546</v>
      </c>
      <c r="B547" t="s">
        <v>1661</v>
      </c>
      <c r="C547">
        <v>4.7E-2</v>
      </c>
    </row>
    <row r="548" spans="1:3" x14ac:dyDescent="0.25">
      <c r="A548">
        <v>547</v>
      </c>
      <c r="B548" t="s">
        <v>1662</v>
      </c>
      <c r="C548">
        <v>4.7E-2</v>
      </c>
    </row>
    <row r="549" spans="1:3" x14ac:dyDescent="0.25">
      <c r="A549">
        <v>548</v>
      </c>
      <c r="B549" t="s">
        <v>1663</v>
      </c>
      <c r="C549">
        <v>4.7E-2</v>
      </c>
    </row>
    <row r="550" spans="1:3" x14ac:dyDescent="0.25">
      <c r="A550">
        <v>549</v>
      </c>
      <c r="B550" t="s">
        <v>1664</v>
      </c>
      <c r="C550">
        <v>4.7E-2</v>
      </c>
    </row>
    <row r="551" spans="1:3" x14ac:dyDescent="0.25">
      <c r="A551">
        <v>550</v>
      </c>
      <c r="B551" t="s">
        <v>1665</v>
      </c>
      <c r="C551">
        <v>4.7E-2</v>
      </c>
    </row>
    <row r="552" spans="1:3" x14ac:dyDescent="0.25">
      <c r="A552">
        <v>551</v>
      </c>
      <c r="B552" t="s">
        <v>1666</v>
      </c>
      <c r="C552">
        <v>4.7E-2</v>
      </c>
    </row>
    <row r="553" spans="1:3" x14ac:dyDescent="0.25">
      <c r="A553">
        <v>552</v>
      </c>
      <c r="B553" t="s">
        <v>1667</v>
      </c>
      <c r="C553">
        <v>4.7E-2</v>
      </c>
    </row>
    <row r="554" spans="1:3" x14ac:dyDescent="0.25">
      <c r="A554">
        <v>553</v>
      </c>
      <c r="B554" t="s">
        <v>1668</v>
      </c>
      <c r="C554">
        <v>4.7E-2</v>
      </c>
    </row>
    <row r="555" spans="1:3" x14ac:dyDescent="0.25">
      <c r="A555">
        <v>554</v>
      </c>
      <c r="B555" t="s">
        <v>1669</v>
      </c>
      <c r="C555">
        <v>4.7E-2</v>
      </c>
    </row>
    <row r="556" spans="1:3" x14ac:dyDescent="0.25">
      <c r="A556">
        <v>555</v>
      </c>
      <c r="B556" t="s">
        <v>1670</v>
      </c>
      <c r="C556">
        <v>4.7E-2</v>
      </c>
    </row>
    <row r="557" spans="1:3" x14ac:dyDescent="0.25">
      <c r="A557">
        <v>556</v>
      </c>
      <c r="B557" t="s">
        <v>1671</v>
      </c>
      <c r="C557">
        <v>4.5999999999999999E-2</v>
      </c>
    </row>
    <row r="558" spans="1:3" x14ac:dyDescent="0.25">
      <c r="A558">
        <v>557</v>
      </c>
      <c r="B558" t="s">
        <v>1672</v>
      </c>
      <c r="C558">
        <v>4.5999999999999999E-2</v>
      </c>
    </row>
    <row r="559" spans="1:3" x14ac:dyDescent="0.25">
      <c r="A559">
        <v>558</v>
      </c>
      <c r="B559" t="s">
        <v>1673</v>
      </c>
      <c r="C559">
        <v>4.5999999999999999E-2</v>
      </c>
    </row>
    <row r="560" spans="1:3" x14ac:dyDescent="0.25">
      <c r="A560">
        <v>559</v>
      </c>
      <c r="B560" t="s">
        <v>1674</v>
      </c>
      <c r="C560">
        <v>4.5999999999999999E-2</v>
      </c>
    </row>
    <row r="561" spans="1:3" x14ac:dyDescent="0.25">
      <c r="A561">
        <v>560</v>
      </c>
      <c r="B561" t="s">
        <v>1675</v>
      </c>
      <c r="C561">
        <v>4.5999999999999999E-2</v>
      </c>
    </row>
    <row r="562" spans="1:3" x14ac:dyDescent="0.25">
      <c r="A562">
        <v>561</v>
      </c>
      <c r="B562" t="s">
        <v>1676</v>
      </c>
      <c r="C562">
        <v>4.5999999999999999E-2</v>
      </c>
    </row>
    <row r="563" spans="1:3" x14ac:dyDescent="0.25">
      <c r="A563">
        <v>562</v>
      </c>
      <c r="B563" t="s">
        <v>1677</v>
      </c>
      <c r="C563">
        <v>4.5999999999999999E-2</v>
      </c>
    </row>
    <row r="564" spans="1:3" x14ac:dyDescent="0.25">
      <c r="A564">
        <v>563</v>
      </c>
      <c r="B564" t="s">
        <v>1678</v>
      </c>
      <c r="C564">
        <v>4.5999999999999999E-2</v>
      </c>
    </row>
    <row r="565" spans="1:3" x14ac:dyDescent="0.25">
      <c r="A565">
        <v>564</v>
      </c>
      <c r="B565" t="s">
        <v>1679</v>
      </c>
      <c r="C565">
        <v>4.5999999999999999E-2</v>
      </c>
    </row>
    <row r="566" spans="1:3" x14ac:dyDescent="0.25">
      <c r="A566">
        <v>565</v>
      </c>
      <c r="B566" t="s">
        <v>1680</v>
      </c>
      <c r="C566">
        <v>4.4999999999999998E-2</v>
      </c>
    </row>
    <row r="567" spans="1:3" x14ac:dyDescent="0.25">
      <c r="A567">
        <v>566</v>
      </c>
      <c r="B567" t="s">
        <v>1681</v>
      </c>
      <c r="C567">
        <v>4.4999999999999998E-2</v>
      </c>
    </row>
    <row r="568" spans="1:3" x14ac:dyDescent="0.25">
      <c r="A568">
        <v>567</v>
      </c>
      <c r="B568" t="s">
        <v>1682</v>
      </c>
      <c r="C568">
        <v>4.4999999999999998E-2</v>
      </c>
    </row>
    <row r="569" spans="1:3" x14ac:dyDescent="0.25">
      <c r="A569">
        <v>568</v>
      </c>
      <c r="B569" t="s">
        <v>1683</v>
      </c>
      <c r="C569">
        <v>4.4999999999999998E-2</v>
      </c>
    </row>
    <row r="570" spans="1:3" x14ac:dyDescent="0.25">
      <c r="A570">
        <v>569</v>
      </c>
      <c r="B570" t="s">
        <v>1684</v>
      </c>
      <c r="C570">
        <v>4.4999999999999998E-2</v>
      </c>
    </row>
    <row r="571" spans="1:3" x14ac:dyDescent="0.25">
      <c r="A571">
        <v>570</v>
      </c>
      <c r="B571" t="s">
        <v>1685</v>
      </c>
      <c r="C571">
        <v>4.3999999999999997E-2</v>
      </c>
    </row>
    <row r="572" spans="1:3" x14ac:dyDescent="0.25">
      <c r="A572">
        <v>571</v>
      </c>
      <c r="B572" t="s">
        <v>1686</v>
      </c>
      <c r="C572">
        <v>4.3999999999999997E-2</v>
      </c>
    </row>
    <row r="573" spans="1:3" x14ac:dyDescent="0.25">
      <c r="A573">
        <v>572</v>
      </c>
      <c r="B573" t="s">
        <v>1687</v>
      </c>
      <c r="C573">
        <v>4.2999999999999997E-2</v>
      </c>
    </row>
    <row r="574" spans="1:3" x14ac:dyDescent="0.25">
      <c r="A574">
        <v>573</v>
      </c>
      <c r="B574" t="s">
        <v>1688</v>
      </c>
      <c r="C574">
        <v>4.2999999999999997E-2</v>
      </c>
    </row>
    <row r="575" spans="1:3" x14ac:dyDescent="0.25">
      <c r="A575">
        <v>574</v>
      </c>
      <c r="B575" t="s">
        <v>1689</v>
      </c>
      <c r="C575">
        <v>4.2999999999999997E-2</v>
      </c>
    </row>
    <row r="576" spans="1:3" x14ac:dyDescent="0.25">
      <c r="A576">
        <v>575</v>
      </c>
      <c r="B576" t="s">
        <v>1690</v>
      </c>
      <c r="C576">
        <v>4.2999999999999997E-2</v>
      </c>
    </row>
    <row r="577" spans="1:3" x14ac:dyDescent="0.25">
      <c r="A577">
        <v>576</v>
      </c>
      <c r="B577" t="s">
        <v>1691</v>
      </c>
      <c r="C577">
        <v>4.2999999999999997E-2</v>
      </c>
    </row>
    <row r="578" spans="1:3" x14ac:dyDescent="0.25">
      <c r="A578">
        <v>577</v>
      </c>
      <c r="B578" t="s">
        <v>1692</v>
      </c>
      <c r="C578">
        <v>4.2999999999999997E-2</v>
      </c>
    </row>
    <row r="579" spans="1:3" x14ac:dyDescent="0.25">
      <c r="A579">
        <v>578</v>
      </c>
      <c r="B579" t="s">
        <v>1693</v>
      </c>
      <c r="C579">
        <v>4.2999999999999997E-2</v>
      </c>
    </row>
    <row r="580" spans="1:3" x14ac:dyDescent="0.25">
      <c r="A580">
        <v>579</v>
      </c>
      <c r="B580" t="s">
        <v>1694</v>
      </c>
      <c r="C580">
        <v>4.2999999999999997E-2</v>
      </c>
    </row>
    <row r="581" spans="1:3" x14ac:dyDescent="0.25">
      <c r="A581">
        <v>580</v>
      </c>
      <c r="B581" t="s">
        <v>1695</v>
      </c>
      <c r="C581">
        <v>4.2999999999999997E-2</v>
      </c>
    </row>
    <row r="582" spans="1:3" x14ac:dyDescent="0.25">
      <c r="A582">
        <v>581</v>
      </c>
      <c r="B582" t="s">
        <v>1696</v>
      </c>
      <c r="C582">
        <v>4.2000000000000003E-2</v>
      </c>
    </row>
    <row r="583" spans="1:3" x14ac:dyDescent="0.25">
      <c r="A583">
        <v>582</v>
      </c>
      <c r="B583" t="s">
        <v>1697</v>
      </c>
      <c r="C583">
        <v>4.2000000000000003E-2</v>
      </c>
    </row>
    <row r="584" spans="1:3" x14ac:dyDescent="0.25">
      <c r="A584">
        <v>583</v>
      </c>
      <c r="B584" t="s">
        <v>1698</v>
      </c>
      <c r="C584">
        <v>4.2000000000000003E-2</v>
      </c>
    </row>
    <row r="585" spans="1:3" x14ac:dyDescent="0.25">
      <c r="A585">
        <v>584</v>
      </c>
      <c r="B585" t="s">
        <v>1699</v>
      </c>
      <c r="C585">
        <v>4.2000000000000003E-2</v>
      </c>
    </row>
    <row r="586" spans="1:3" x14ac:dyDescent="0.25">
      <c r="A586">
        <v>585</v>
      </c>
      <c r="B586" t="s">
        <v>1700</v>
      </c>
      <c r="C586">
        <v>4.2000000000000003E-2</v>
      </c>
    </row>
    <row r="587" spans="1:3" x14ac:dyDescent="0.25">
      <c r="A587">
        <v>586</v>
      </c>
      <c r="B587" t="s">
        <v>1701</v>
      </c>
      <c r="C587">
        <v>4.2000000000000003E-2</v>
      </c>
    </row>
    <row r="588" spans="1:3" x14ac:dyDescent="0.25">
      <c r="A588">
        <v>587</v>
      </c>
      <c r="B588" t="s">
        <v>1702</v>
      </c>
      <c r="C588">
        <v>4.2000000000000003E-2</v>
      </c>
    </row>
    <row r="589" spans="1:3" x14ac:dyDescent="0.25">
      <c r="A589">
        <v>588</v>
      </c>
      <c r="B589" t="s">
        <v>1703</v>
      </c>
      <c r="C589">
        <v>4.2000000000000003E-2</v>
      </c>
    </row>
    <row r="590" spans="1:3" x14ac:dyDescent="0.25">
      <c r="A590">
        <v>589</v>
      </c>
      <c r="B590" t="s">
        <v>1704</v>
      </c>
      <c r="C590">
        <v>4.2000000000000003E-2</v>
      </c>
    </row>
    <row r="591" spans="1:3" x14ac:dyDescent="0.25">
      <c r="A591">
        <v>590</v>
      </c>
      <c r="B591" t="s">
        <v>1705</v>
      </c>
      <c r="C591">
        <v>4.1000000000000002E-2</v>
      </c>
    </row>
    <row r="592" spans="1:3" x14ac:dyDescent="0.25">
      <c r="A592">
        <v>591</v>
      </c>
      <c r="B592" t="s">
        <v>1706</v>
      </c>
      <c r="C592">
        <v>4.1000000000000002E-2</v>
      </c>
    </row>
    <row r="593" spans="1:3" x14ac:dyDescent="0.25">
      <c r="A593">
        <v>592</v>
      </c>
      <c r="B593" t="s">
        <v>1707</v>
      </c>
      <c r="C593">
        <v>4.1000000000000002E-2</v>
      </c>
    </row>
    <row r="594" spans="1:3" x14ac:dyDescent="0.25">
      <c r="A594">
        <v>593</v>
      </c>
      <c r="B594" t="s">
        <v>1708</v>
      </c>
      <c r="C594">
        <v>4.1000000000000002E-2</v>
      </c>
    </row>
    <row r="595" spans="1:3" x14ac:dyDescent="0.25">
      <c r="A595">
        <v>594</v>
      </c>
      <c r="B595" t="s">
        <v>1709</v>
      </c>
      <c r="C595">
        <v>4.1000000000000002E-2</v>
      </c>
    </row>
    <row r="596" spans="1:3" x14ac:dyDescent="0.25">
      <c r="A596">
        <v>595</v>
      </c>
      <c r="B596" t="s">
        <v>1710</v>
      </c>
      <c r="C596">
        <v>0.04</v>
      </c>
    </row>
    <row r="597" spans="1:3" x14ac:dyDescent="0.25">
      <c r="A597">
        <v>596</v>
      </c>
      <c r="B597" t="s">
        <v>1711</v>
      </c>
      <c r="C597">
        <v>0.04</v>
      </c>
    </row>
    <row r="598" spans="1:3" x14ac:dyDescent="0.25">
      <c r="A598">
        <v>597</v>
      </c>
      <c r="B598" t="s">
        <v>1712</v>
      </c>
      <c r="C598">
        <v>0.04</v>
      </c>
    </row>
    <row r="599" spans="1:3" x14ac:dyDescent="0.25">
      <c r="A599">
        <v>598</v>
      </c>
      <c r="B599" t="s">
        <v>1713</v>
      </c>
      <c r="C599">
        <v>0.04</v>
      </c>
    </row>
    <row r="600" spans="1:3" x14ac:dyDescent="0.25">
      <c r="A600">
        <v>599</v>
      </c>
      <c r="B600" t="s">
        <v>1714</v>
      </c>
      <c r="C600">
        <v>0.04</v>
      </c>
    </row>
    <row r="601" spans="1:3" x14ac:dyDescent="0.25">
      <c r="A601">
        <v>600</v>
      </c>
      <c r="B601" t="s">
        <v>1715</v>
      </c>
      <c r="C601">
        <v>0.04</v>
      </c>
    </row>
    <row r="602" spans="1:3" x14ac:dyDescent="0.25">
      <c r="A602">
        <v>601</v>
      </c>
      <c r="B602" t="s">
        <v>1716</v>
      </c>
      <c r="C602">
        <v>0.04</v>
      </c>
    </row>
    <row r="603" spans="1:3" x14ac:dyDescent="0.25">
      <c r="A603">
        <v>602</v>
      </c>
      <c r="B603" t="s">
        <v>1717</v>
      </c>
      <c r="C603">
        <v>0.04</v>
      </c>
    </row>
    <row r="604" spans="1:3" x14ac:dyDescent="0.25">
      <c r="A604">
        <v>603</v>
      </c>
      <c r="B604" t="s">
        <v>1718</v>
      </c>
      <c r="C604">
        <v>0.04</v>
      </c>
    </row>
    <row r="605" spans="1:3" x14ac:dyDescent="0.25">
      <c r="A605">
        <v>604</v>
      </c>
      <c r="B605" t="s">
        <v>1719</v>
      </c>
      <c r="C605">
        <v>0.04</v>
      </c>
    </row>
    <row r="606" spans="1:3" x14ac:dyDescent="0.25">
      <c r="A606">
        <v>605</v>
      </c>
      <c r="B606" t="s">
        <v>1720</v>
      </c>
      <c r="C606">
        <v>3.9E-2</v>
      </c>
    </row>
    <row r="607" spans="1:3" x14ac:dyDescent="0.25">
      <c r="A607">
        <v>606</v>
      </c>
      <c r="B607" t="s">
        <v>1721</v>
      </c>
      <c r="C607">
        <v>3.9E-2</v>
      </c>
    </row>
    <row r="608" spans="1:3" x14ac:dyDescent="0.25">
      <c r="A608">
        <v>607</v>
      </c>
      <c r="B608" t="s">
        <v>1722</v>
      </c>
      <c r="C608">
        <v>3.9E-2</v>
      </c>
    </row>
    <row r="609" spans="1:3" x14ac:dyDescent="0.25">
      <c r="A609">
        <v>608</v>
      </c>
      <c r="B609" t="s">
        <v>1723</v>
      </c>
      <c r="C609">
        <v>3.9E-2</v>
      </c>
    </row>
    <row r="610" spans="1:3" x14ac:dyDescent="0.25">
      <c r="A610">
        <v>609</v>
      </c>
      <c r="B610" t="s">
        <v>1724</v>
      </c>
      <c r="C610">
        <v>3.9E-2</v>
      </c>
    </row>
    <row r="611" spans="1:3" x14ac:dyDescent="0.25">
      <c r="A611">
        <v>610</v>
      </c>
      <c r="B611" t="s">
        <v>1725</v>
      </c>
      <c r="C611">
        <v>3.9E-2</v>
      </c>
    </row>
    <row r="612" spans="1:3" x14ac:dyDescent="0.25">
      <c r="A612">
        <v>611</v>
      </c>
      <c r="B612" t="s">
        <v>1726</v>
      </c>
      <c r="C612">
        <v>3.9E-2</v>
      </c>
    </row>
    <row r="613" spans="1:3" x14ac:dyDescent="0.25">
      <c r="A613">
        <v>612</v>
      </c>
      <c r="B613" t="s">
        <v>1727</v>
      </c>
      <c r="C613">
        <v>3.9E-2</v>
      </c>
    </row>
    <row r="614" spans="1:3" x14ac:dyDescent="0.25">
      <c r="A614">
        <v>613</v>
      </c>
      <c r="B614" t="s">
        <v>1728</v>
      </c>
      <c r="C614">
        <v>3.9E-2</v>
      </c>
    </row>
    <row r="615" spans="1:3" x14ac:dyDescent="0.25">
      <c r="A615">
        <v>614</v>
      </c>
      <c r="B615" t="s">
        <v>1729</v>
      </c>
      <c r="C615">
        <v>3.9E-2</v>
      </c>
    </row>
    <row r="616" spans="1:3" x14ac:dyDescent="0.25">
      <c r="A616">
        <v>615</v>
      </c>
      <c r="B616" t="s">
        <v>1730</v>
      </c>
      <c r="C616">
        <v>3.9E-2</v>
      </c>
    </row>
    <row r="617" spans="1:3" x14ac:dyDescent="0.25">
      <c r="A617">
        <v>616</v>
      </c>
      <c r="B617" t="s">
        <v>1731</v>
      </c>
      <c r="C617">
        <v>3.9E-2</v>
      </c>
    </row>
    <row r="618" spans="1:3" x14ac:dyDescent="0.25">
      <c r="A618">
        <v>617</v>
      </c>
      <c r="B618" t="s">
        <v>1732</v>
      </c>
      <c r="C618">
        <v>3.7999999999999999E-2</v>
      </c>
    </row>
    <row r="619" spans="1:3" x14ac:dyDescent="0.25">
      <c r="A619">
        <v>618</v>
      </c>
      <c r="B619" t="s">
        <v>1733</v>
      </c>
      <c r="C619">
        <v>3.7999999999999999E-2</v>
      </c>
    </row>
    <row r="620" spans="1:3" x14ac:dyDescent="0.25">
      <c r="A620">
        <v>619</v>
      </c>
      <c r="B620" t="s">
        <v>1734</v>
      </c>
      <c r="C620">
        <v>3.7999999999999999E-2</v>
      </c>
    </row>
    <row r="621" spans="1:3" x14ac:dyDescent="0.25">
      <c r="A621">
        <v>620</v>
      </c>
      <c r="B621" t="s">
        <v>1735</v>
      </c>
      <c r="C621">
        <v>3.7999999999999999E-2</v>
      </c>
    </row>
    <row r="622" spans="1:3" x14ac:dyDescent="0.25">
      <c r="A622">
        <v>621</v>
      </c>
      <c r="B622" t="s">
        <v>1736</v>
      </c>
      <c r="C622">
        <v>3.7999999999999999E-2</v>
      </c>
    </row>
    <row r="623" spans="1:3" x14ac:dyDescent="0.25">
      <c r="A623">
        <v>622</v>
      </c>
      <c r="B623" t="s">
        <v>1737</v>
      </c>
      <c r="C623">
        <v>3.7999999999999999E-2</v>
      </c>
    </row>
    <row r="624" spans="1:3" x14ac:dyDescent="0.25">
      <c r="A624">
        <v>623</v>
      </c>
      <c r="B624" t="s">
        <v>1738</v>
      </c>
      <c r="C624">
        <v>3.7999999999999999E-2</v>
      </c>
    </row>
    <row r="625" spans="1:3" x14ac:dyDescent="0.25">
      <c r="A625">
        <v>624</v>
      </c>
      <c r="B625" t="s">
        <v>1739</v>
      </c>
      <c r="C625">
        <v>3.7999999999999999E-2</v>
      </c>
    </row>
    <row r="626" spans="1:3" x14ac:dyDescent="0.25">
      <c r="A626">
        <v>625</v>
      </c>
      <c r="B626" t="s">
        <v>1740</v>
      </c>
      <c r="C626">
        <v>3.7999999999999999E-2</v>
      </c>
    </row>
    <row r="627" spans="1:3" x14ac:dyDescent="0.25">
      <c r="A627">
        <v>626</v>
      </c>
      <c r="B627" t="s">
        <v>1741</v>
      </c>
      <c r="C627">
        <v>3.6999999999999998E-2</v>
      </c>
    </row>
    <row r="628" spans="1:3" x14ac:dyDescent="0.25">
      <c r="A628">
        <v>627</v>
      </c>
      <c r="B628" t="s">
        <v>1742</v>
      </c>
      <c r="C628">
        <v>3.6999999999999998E-2</v>
      </c>
    </row>
    <row r="629" spans="1:3" x14ac:dyDescent="0.25">
      <c r="A629">
        <v>628</v>
      </c>
      <c r="B629" t="s">
        <v>1743</v>
      </c>
      <c r="C629">
        <v>3.6999999999999998E-2</v>
      </c>
    </row>
    <row r="630" spans="1:3" x14ac:dyDescent="0.25">
      <c r="A630">
        <v>629</v>
      </c>
      <c r="B630" t="s">
        <v>1744</v>
      </c>
      <c r="C630">
        <v>3.6999999999999998E-2</v>
      </c>
    </row>
    <row r="631" spans="1:3" x14ac:dyDescent="0.25">
      <c r="A631">
        <v>630</v>
      </c>
      <c r="B631" t="s">
        <v>1745</v>
      </c>
      <c r="C631">
        <v>3.6999999999999998E-2</v>
      </c>
    </row>
    <row r="632" spans="1:3" x14ac:dyDescent="0.25">
      <c r="A632">
        <v>631</v>
      </c>
      <c r="B632" t="s">
        <v>1746</v>
      </c>
      <c r="C632">
        <v>3.6999999999999998E-2</v>
      </c>
    </row>
    <row r="633" spans="1:3" x14ac:dyDescent="0.25">
      <c r="A633">
        <v>632</v>
      </c>
      <c r="B633" t="s">
        <v>1747</v>
      </c>
      <c r="C633">
        <v>3.6999999999999998E-2</v>
      </c>
    </row>
    <row r="634" spans="1:3" x14ac:dyDescent="0.25">
      <c r="A634">
        <v>633</v>
      </c>
      <c r="B634" t="s">
        <v>1748</v>
      </c>
      <c r="C634">
        <v>3.6999999999999998E-2</v>
      </c>
    </row>
    <row r="635" spans="1:3" x14ac:dyDescent="0.25">
      <c r="A635">
        <v>634</v>
      </c>
      <c r="B635" t="s">
        <v>1749</v>
      </c>
      <c r="C635">
        <v>3.6999999999999998E-2</v>
      </c>
    </row>
    <row r="636" spans="1:3" x14ac:dyDescent="0.25">
      <c r="A636">
        <v>635</v>
      </c>
      <c r="B636" t="s">
        <v>1750</v>
      </c>
      <c r="C636">
        <v>3.6999999999999998E-2</v>
      </c>
    </row>
    <row r="637" spans="1:3" x14ac:dyDescent="0.25">
      <c r="A637">
        <v>636</v>
      </c>
      <c r="B637" t="s">
        <v>1751</v>
      </c>
      <c r="C637">
        <v>3.6999999999999998E-2</v>
      </c>
    </row>
    <row r="638" spans="1:3" x14ac:dyDescent="0.25">
      <c r="A638">
        <v>637</v>
      </c>
      <c r="B638" t="s">
        <v>1752</v>
      </c>
      <c r="C638">
        <v>3.5999999999999997E-2</v>
      </c>
    </row>
    <row r="639" spans="1:3" x14ac:dyDescent="0.25">
      <c r="A639">
        <v>638</v>
      </c>
      <c r="B639" t="s">
        <v>1753</v>
      </c>
      <c r="C639">
        <v>3.5999999999999997E-2</v>
      </c>
    </row>
    <row r="640" spans="1:3" x14ac:dyDescent="0.25">
      <c r="A640">
        <v>639</v>
      </c>
      <c r="B640" t="s">
        <v>1754</v>
      </c>
      <c r="C640">
        <v>3.5999999999999997E-2</v>
      </c>
    </row>
    <row r="641" spans="1:3" x14ac:dyDescent="0.25">
      <c r="A641">
        <v>640</v>
      </c>
      <c r="B641" t="s">
        <v>1755</v>
      </c>
      <c r="C641">
        <v>3.5999999999999997E-2</v>
      </c>
    </row>
    <row r="642" spans="1:3" x14ac:dyDescent="0.25">
      <c r="A642">
        <v>641</v>
      </c>
      <c r="B642" t="s">
        <v>1756</v>
      </c>
      <c r="C642">
        <v>3.5999999999999997E-2</v>
      </c>
    </row>
    <row r="643" spans="1:3" x14ac:dyDescent="0.25">
      <c r="A643">
        <v>642</v>
      </c>
      <c r="B643" t="s">
        <v>1757</v>
      </c>
      <c r="C643">
        <v>3.5999999999999997E-2</v>
      </c>
    </row>
    <row r="644" spans="1:3" x14ac:dyDescent="0.25">
      <c r="A644">
        <v>643</v>
      </c>
      <c r="B644" t="s">
        <v>1758</v>
      </c>
      <c r="C644">
        <v>3.5999999999999997E-2</v>
      </c>
    </row>
    <row r="645" spans="1:3" x14ac:dyDescent="0.25">
      <c r="A645">
        <v>644</v>
      </c>
      <c r="B645" t="s">
        <v>1759</v>
      </c>
      <c r="C645">
        <v>3.5999999999999997E-2</v>
      </c>
    </row>
    <row r="646" spans="1:3" x14ac:dyDescent="0.25">
      <c r="A646">
        <v>645</v>
      </c>
      <c r="B646" t="s">
        <v>1760</v>
      </c>
      <c r="C646">
        <v>3.5999999999999997E-2</v>
      </c>
    </row>
    <row r="647" spans="1:3" x14ac:dyDescent="0.25">
      <c r="A647">
        <v>646</v>
      </c>
      <c r="B647" t="s">
        <v>1761</v>
      </c>
      <c r="C647">
        <v>3.5000000000000003E-2</v>
      </c>
    </row>
    <row r="648" spans="1:3" x14ac:dyDescent="0.25">
      <c r="A648">
        <v>647</v>
      </c>
      <c r="B648" t="s">
        <v>1762</v>
      </c>
      <c r="C648">
        <v>3.5000000000000003E-2</v>
      </c>
    </row>
    <row r="649" spans="1:3" x14ac:dyDescent="0.25">
      <c r="A649">
        <v>648</v>
      </c>
      <c r="B649" t="s">
        <v>1763</v>
      </c>
      <c r="C649">
        <v>3.5000000000000003E-2</v>
      </c>
    </row>
    <row r="650" spans="1:3" x14ac:dyDescent="0.25">
      <c r="A650">
        <v>649</v>
      </c>
      <c r="B650" t="s">
        <v>1764</v>
      </c>
      <c r="C650">
        <v>3.5000000000000003E-2</v>
      </c>
    </row>
    <row r="651" spans="1:3" x14ac:dyDescent="0.25">
      <c r="A651">
        <v>650</v>
      </c>
      <c r="B651" t="s">
        <v>1765</v>
      </c>
      <c r="C651">
        <v>3.5000000000000003E-2</v>
      </c>
    </row>
    <row r="652" spans="1:3" x14ac:dyDescent="0.25">
      <c r="A652">
        <v>651</v>
      </c>
      <c r="B652" t="s">
        <v>1766</v>
      </c>
      <c r="C652">
        <v>3.5000000000000003E-2</v>
      </c>
    </row>
    <row r="653" spans="1:3" x14ac:dyDescent="0.25">
      <c r="A653">
        <v>652</v>
      </c>
      <c r="B653" t="s">
        <v>1767</v>
      </c>
      <c r="C653">
        <v>3.5000000000000003E-2</v>
      </c>
    </row>
    <row r="654" spans="1:3" x14ac:dyDescent="0.25">
      <c r="A654">
        <v>653</v>
      </c>
      <c r="B654" t="s">
        <v>1768</v>
      </c>
      <c r="C654">
        <v>3.5000000000000003E-2</v>
      </c>
    </row>
    <row r="655" spans="1:3" x14ac:dyDescent="0.25">
      <c r="A655">
        <v>654</v>
      </c>
      <c r="B655" t="s">
        <v>1769</v>
      </c>
      <c r="C655">
        <v>3.5000000000000003E-2</v>
      </c>
    </row>
    <row r="656" spans="1:3" x14ac:dyDescent="0.25">
      <c r="A656">
        <v>655</v>
      </c>
      <c r="B656" t="s">
        <v>1770</v>
      </c>
      <c r="C656">
        <v>3.5000000000000003E-2</v>
      </c>
    </row>
    <row r="657" spans="1:3" x14ac:dyDescent="0.25">
      <c r="A657">
        <v>656</v>
      </c>
      <c r="B657" t="s">
        <v>1771</v>
      </c>
      <c r="C657">
        <v>3.5000000000000003E-2</v>
      </c>
    </row>
    <row r="658" spans="1:3" x14ac:dyDescent="0.25">
      <c r="A658">
        <v>657</v>
      </c>
      <c r="B658" t="s">
        <v>1772</v>
      </c>
      <c r="C658">
        <v>3.5000000000000003E-2</v>
      </c>
    </row>
    <row r="659" spans="1:3" x14ac:dyDescent="0.25">
      <c r="A659">
        <v>658</v>
      </c>
      <c r="B659" t="s">
        <v>1773</v>
      </c>
      <c r="C659">
        <v>3.5000000000000003E-2</v>
      </c>
    </row>
    <row r="660" spans="1:3" x14ac:dyDescent="0.25">
      <c r="A660">
        <v>659</v>
      </c>
      <c r="B660" t="s">
        <v>1774</v>
      </c>
      <c r="C660">
        <v>3.5000000000000003E-2</v>
      </c>
    </row>
    <row r="661" spans="1:3" x14ac:dyDescent="0.25">
      <c r="A661">
        <v>660</v>
      </c>
      <c r="B661" t="s">
        <v>1775</v>
      </c>
      <c r="C661">
        <v>3.5000000000000003E-2</v>
      </c>
    </row>
    <row r="662" spans="1:3" x14ac:dyDescent="0.25">
      <c r="A662">
        <v>661</v>
      </c>
      <c r="B662" t="s">
        <v>1776</v>
      </c>
      <c r="C662">
        <v>3.5000000000000003E-2</v>
      </c>
    </row>
    <row r="663" spans="1:3" x14ac:dyDescent="0.25">
      <c r="A663">
        <v>662</v>
      </c>
      <c r="B663" t="s">
        <v>1777</v>
      </c>
      <c r="C663">
        <v>3.4000000000000002E-2</v>
      </c>
    </row>
    <row r="664" spans="1:3" x14ac:dyDescent="0.25">
      <c r="A664">
        <v>663</v>
      </c>
      <c r="B664" t="s">
        <v>1778</v>
      </c>
      <c r="C664">
        <v>3.4000000000000002E-2</v>
      </c>
    </row>
    <row r="665" spans="1:3" x14ac:dyDescent="0.25">
      <c r="A665">
        <v>664</v>
      </c>
      <c r="B665" t="s">
        <v>1779</v>
      </c>
      <c r="C665">
        <v>3.4000000000000002E-2</v>
      </c>
    </row>
    <row r="666" spans="1:3" x14ac:dyDescent="0.25">
      <c r="A666">
        <v>665</v>
      </c>
      <c r="B666" t="s">
        <v>1780</v>
      </c>
      <c r="C666">
        <v>3.4000000000000002E-2</v>
      </c>
    </row>
    <row r="667" spans="1:3" x14ac:dyDescent="0.25">
      <c r="A667">
        <v>666</v>
      </c>
      <c r="B667" t="s">
        <v>1781</v>
      </c>
      <c r="C667">
        <v>3.4000000000000002E-2</v>
      </c>
    </row>
    <row r="668" spans="1:3" x14ac:dyDescent="0.25">
      <c r="A668">
        <v>667</v>
      </c>
      <c r="B668" t="s">
        <v>1782</v>
      </c>
      <c r="C668">
        <v>3.4000000000000002E-2</v>
      </c>
    </row>
    <row r="669" spans="1:3" x14ac:dyDescent="0.25">
      <c r="A669">
        <v>668</v>
      </c>
      <c r="B669" t="s">
        <v>1783</v>
      </c>
      <c r="C669">
        <v>3.4000000000000002E-2</v>
      </c>
    </row>
    <row r="670" spans="1:3" x14ac:dyDescent="0.25">
      <c r="A670">
        <v>669</v>
      </c>
      <c r="B670" t="s">
        <v>1784</v>
      </c>
      <c r="C670">
        <v>3.4000000000000002E-2</v>
      </c>
    </row>
    <row r="671" spans="1:3" x14ac:dyDescent="0.25">
      <c r="A671">
        <v>670</v>
      </c>
      <c r="B671" t="s">
        <v>1785</v>
      </c>
      <c r="C671">
        <v>3.4000000000000002E-2</v>
      </c>
    </row>
    <row r="672" spans="1:3" x14ac:dyDescent="0.25">
      <c r="A672">
        <v>671</v>
      </c>
      <c r="B672" t="s">
        <v>1786</v>
      </c>
      <c r="C672">
        <v>3.4000000000000002E-2</v>
      </c>
    </row>
    <row r="673" spans="1:3" x14ac:dyDescent="0.25">
      <c r="A673">
        <v>672</v>
      </c>
      <c r="B673" t="s">
        <v>1787</v>
      </c>
      <c r="C673">
        <v>3.4000000000000002E-2</v>
      </c>
    </row>
    <row r="674" spans="1:3" x14ac:dyDescent="0.25">
      <c r="A674">
        <v>673</v>
      </c>
      <c r="B674" t="s">
        <v>1788</v>
      </c>
      <c r="C674">
        <v>3.4000000000000002E-2</v>
      </c>
    </row>
    <row r="675" spans="1:3" x14ac:dyDescent="0.25">
      <c r="A675">
        <v>674</v>
      </c>
      <c r="B675" t="s">
        <v>1789</v>
      </c>
      <c r="C675">
        <v>3.4000000000000002E-2</v>
      </c>
    </row>
    <row r="676" spans="1:3" x14ac:dyDescent="0.25">
      <c r="A676">
        <v>675</v>
      </c>
      <c r="B676" t="s">
        <v>1790</v>
      </c>
      <c r="C676">
        <v>3.4000000000000002E-2</v>
      </c>
    </row>
    <row r="677" spans="1:3" x14ac:dyDescent="0.25">
      <c r="A677">
        <v>676</v>
      </c>
      <c r="B677" t="s">
        <v>1791</v>
      </c>
      <c r="C677">
        <v>3.3000000000000002E-2</v>
      </c>
    </row>
    <row r="678" spans="1:3" x14ac:dyDescent="0.25">
      <c r="A678">
        <v>677</v>
      </c>
      <c r="B678" t="s">
        <v>1792</v>
      </c>
      <c r="C678">
        <v>3.3000000000000002E-2</v>
      </c>
    </row>
    <row r="679" spans="1:3" x14ac:dyDescent="0.25">
      <c r="A679">
        <v>678</v>
      </c>
      <c r="B679" t="s">
        <v>1793</v>
      </c>
      <c r="C679">
        <v>3.3000000000000002E-2</v>
      </c>
    </row>
    <row r="680" spans="1:3" x14ac:dyDescent="0.25">
      <c r="A680">
        <v>679</v>
      </c>
      <c r="B680" t="s">
        <v>1794</v>
      </c>
      <c r="C680">
        <v>3.3000000000000002E-2</v>
      </c>
    </row>
    <row r="681" spans="1:3" x14ac:dyDescent="0.25">
      <c r="A681">
        <v>680</v>
      </c>
      <c r="B681" t="s">
        <v>1795</v>
      </c>
      <c r="C681">
        <v>3.3000000000000002E-2</v>
      </c>
    </row>
    <row r="682" spans="1:3" x14ac:dyDescent="0.25">
      <c r="A682">
        <v>681</v>
      </c>
      <c r="B682" t="s">
        <v>1796</v>
      </c>
      <c r="C682">
        <v>3.3000000000000002E-2</v>
      </c>
    </row>
    <row r="683" spans="1:3" x14ac:dyDescent="0.25">
      <c r="A683">
        <v>682</v>
      </c>
      <c r="B683" t="s">
        <v>1797</v>
      </c>
      <c r="C683">
        <v>3.3000000000000002E-2</v>
      </c>
    </row>
    <row r="684" spans="1:3" x14ac:dyDescent="0.25">
      <c r="A684">
        <v>683</v>
      </c>
      <c r="B684" t="s">
        <v>1798</v>
      </c>
      <c r="C684">
        <v>3.3000000000000002E-2</v>
      </c>
    </row>
    <row r="685" spans="1:3" x14ac:dyDescent="0.25">
      <c r="A685">
        <v>684</v>
      </c>
      <c r="B685" t="s">
        <v>1799</v>
      </c>
      <c r="C685">
        <v>3.3000000000000002E-2</v>
      </c>
    </row>
    <row r="686" spans="1:3" x14ac:dyDescent="0.25">
      <c r="A686">
        <v>685</v>
      </c>
      <c r="B686" t="s">
        <v>1800</v>
      </c>
      <c r="C686">
        <v>3.3000000000000002E-2</v>
      </c>
    </row>
    <row r="687" spans="1:3" x14ac:dyDescent="0.25">
      <c r="A687">
        <v>686</v>
      </c>
      <c r="B687" t="s">
        <v>1801</v>
      </c>
      <c r="C687">
        <v>3.3000000000000002E-2</v>
      </c>
    </row>
    <row r="688" spans="1:3" x14ac:dyDescent="0.25">
      <c r="A688">
        <v>687</v>
      </c>
      <c r="B688" t="s">
        <v>1802</v>
      </c>
      <c r="C688">
        <v>3.3000000000000002E-2</v>
      </c>
    </row>
    <row r="689" spans="1:3" x14ac:dyDescent="0.25">
      <c r="A689">
        <v>688</v>
      </c>
      <c r="B689" t="s">
        <v>1803</v>
      </c>
      <c r="C689">
        <v>3.2000000000000001E-2</v>
      </c>
    </row>
    <row r="690" spans="1:3" x14ac:dyDescent="0.25">
      <c r="A690">
        <v>689</v>
      </c>
      <c r="B690" t="s">
        <v>1804</v>
      </c>
      <c r="C690">
        <v>3.2000000000000001E-2</v>
      </c>
    </row>
    <row r="691" spans="1:3" x14ac:dyDescent="0.25">
      <c r="A691">
        <v>690</v>
      </c>
      <c r="B691" t="s">
        <v>1805</v>
      </c>
      <c r="C691">
        <v>3.2000000000000001E-2</v>
      </c>
    </row>
    <row r="692" spans="1:3" x14ac:dyDescent="0.25">
      <c r="A692">
        <v>691</v>
      </c>
      <c r="B692" t="s">
        <v>1806</v>
      </c>
      <c r="C692">
        <v>3.2000000000000001E-2</v>
      </c>
    </row>
    <row r="693" spans="1:3" x14ac:dyDescent="0.25">
      <c r="A693">
        <v>692</v>
      </c>
      <c r="B693" t="s">
        <v>1807</v>
      </c>
      <c r="C693">
        <v>3.2000000000000001E-2</v>
      </c>
    </row>
    <row r="694" spans="1:3" x14ac:dyDescent="0.25">
      <c r="A694">
        <v>693</v>
      </c>
      <c r="B694" t="s">
        <v>1808</v>
      </c>
      <c r="C694">
        <v>3.2000000000000001E-2</v>
      </c>
    </row>
    <row r="695" spans="1:3" x14ac:dyDescent="0.25">
      <c r="A695">
        <v>694</v>
      </c>
      <c r="B695" t="s">
        <v>1809</v>
      </c>
      <c r="C695">
        <v>3.2000000000000001E-2</v>
      </c>
    </row>
    <row r="696" spans="1:3" x14ac:dyDescent="0.25">
      <c r="A696">
        <v>695</v>
      </c>
      <c r="B696" t="s">
        <v>1810</v>
      </c>
      <c r="C696">
        <v>3.2000000000000001E-2</v>
      </c>
    </row>
    <row r="697" spans="1:3" x14ac:dyDescent="0.25">
      <c r="A697">
        <v>696</v>
      </c>
      <c r="B697" t="s">
        <v>1811</v>
      </c>
      <c r="C697">
        <v>3.2000000000000001E-2</v>
      </c>
    </row>
    <row r="698" spans="1:3" x14ac:dyDescent="0.25">
      <c r="A698">
        <v>697</v>
      </c>
      <c r="B698" t="s">
        <v>1812</v>
      </c>
      <c r="C698">
        <v>3.2000000000000001E-2</v>
      </c>
    </row>
    <row r="699" spans="1:3" x14ac:dyDescent="0.25">
      <c r="A699">
        <v>698</v>
      </c>
      <c r="B699" t="s">
        <v>1813</v>
      </c>
      <c r="C699">
        <v>3.1E-2</v>
      </c>
    </row>
    <row r="700" spans="1:3" x14ac:dyDescent="0.25">
      <c r="A700">
        <v>699</v>
      </c>
      <c r="B700" t="s">
        <v>1814</v>
      </c>
      <c r="C700">
        <v>3.1E-2</v>
      </c>
    </row>
    <row r="701" spans="1:3" x14ac:dyDescent="0.25">
      <c r="A701">
        <v>700</v>
      </c>
      <c r="B701" t="s">
        <v>1815</v>
      </c>
      <c r="C701">
        <v>3.1E-2</v>
      </c>
    </row>
    <row r="702" spans="1:3" x14ac:dyDescent="0.25">
      <c r="A702">
        <v>701</v>
      </c>
      <c r="B702" t="s">
        <v>1816</v>
      </c>
      <c r="C702">
        <v>3.1E-2</v>
      </c>
    </row>
    <row r="703" spans="1:3" x14ac:dyDescent="0.25">
      <c r="A703">
        <v>702</v>
      </c>
      <c r="B703" t="s">
        <v>1817</v>
      </c>
      <c r="C703">
        <v>3.1E-2</v>
      </c>
    </row>
    <row r="704" spans="1:3" x14ac:dyDescent="0.25">
      <c r="A704">
        <v>703</v>
      </c>
      <c r="B704" t="s">
        <v>1818</v>
      </c>
      <c r="C704">
        <v>3.1E-2</v>
      </c>
    </row>
    <row r="705" spans="1:3" x14ac:dyDescent="0.25">
      <c r="A705">
        <v>704</v>
      </c>
      <c r="B705" t="s">
        <v>1819</v>
      </c>
      <c r="C705">
        <v>3.1E-2</v>
      </c>
    </row>
    <row r="706" spans="1:3" x14ac:dyDescent="0.25">
      <c r="A706">
        <v>705</v>
      </c>
      <c r="B706" t="s">
        <v>1820</v>
      </c>
      <c r="C706">
        <v>3.1E-2</v>
      </c>
    </row>
    <row r="707" spans="1:3" x14ac:dyDescent="0.25">
      <c r="A707">
        <v>706</v>
      </c>
      <c r="B707" t="s">
        <v>1821</v>
      </c>
      <c r="C707">
        <v>3.1E-2</v>
      </c>
    </row>
    <row r="708" spans="1:3" x14ac:dyDescent="0.25">
      <c r="A708">
        <v>707</v>
      </c>
      <c r="B708" t="s">
        <v>1822</v>
      </c>
      <c r="C708">
        <v>3.1E-2</v>
      </c>
    </row>
    <row r="709" spans="1:3" x14ac:dyDescent="0.25">
      <c r="A709">
        <v>708</v>
      </c>
      <c r="B709" t="s">
        <v>1823</v>
      </c>
      <c r="C709">
        <v>3.1E-2</v>
      </c>
    </row>
    <row r="710" spans="1:3" x14ac:dyDescent="0.25">
      <c r="A710">
        <v>709</v>
      </c>
      <c r="B710" t="s">
        <v>1824</v>
      </c>
      <c r="C710">
        <v>3.1E-2</v>
      </c>
    </row>
    <row r="711" spans="1:3" x14ac:dyDescent="0.25">
      <c r="A711">
        <v>710</v>
      </c>
      <c r="B711" t="s">
        <v>1825</v>
      </c>
      <c r="C711">
        <v>0.03</v>
      </c>
    </row>
    <row r="712" spans="1:3" x14ac:dyDescent="0.25">
      <c r="A712">
        <v>711</v>
      </c>
      <c r="B712" t="s">
        <v>1826</v>
      </c>
      <c r="C712">
        <v>0.03</v>
      </c>
    </row>
    <row r="713" spans="1:3" x14ac:dyDescent="0.25">
      <c r="A713">
        <v>712</v>
      </c>
      <c r="B713" t="s">
        <v>1827</v>
      </c>
      <c r="C713">
        <v>0.03</v>
      </c>
    </row>
    <row r="714" spans="1:3" x14ac:dyDescent="0.25">
      <c r="A714">
        <v>713</v>
      </c>
      <c r="B714" t="s">
        <v>1828</v>
      </c>
      <c r="C714">
        <v>0.03</v>
      </c>
    </row>
    <row r="715" spans="1:3" x14ac:dyDescent="0.25">
      <c r="A715">
        <v>714</v>
      </c>
      <c r="B715" t="s">
        <v>1829</v>
      </c>
      <c r="C715">
        <v>0.03</v>
      </c>
    </row>
    <row r="716" spans="1:3" x14ac:dyDescent="0.25">
      <c r="A716">
        <v>715</v>
      </c>
      <c r="B716" t="s">
        <v>1830</v>
      </c>
      <c r="C716">
        <v>0.03</v>
      </c>
    </row>
    <row r="717" spans="1:3" x14ac:dyDescent="0.25">
      <c r="A717">
        <v>716</v>
      </c>
      <c r="B717" t="s">
        <v>1831</v>
      </c>
      <c r="C717">
        <v>0.03</v>
      </c>
    </row>
    <row r="718" spans="1:3" x14ac:dyDescent="0.25">
      <c r="A718">
        <v>717</v>
      </c>
      <c r="B718" t="s">
        <v>1832</v>
      </c>
      <c r="C718">
        <v>0.03</v>
      </c>
    </row>
    <row r="719" spans="1:3" x14ac:dyDescent="0.25">
      <c r="A719">
        <v>718</v>
      </c>
      <c r="B719" t="s">
        <v>1833</v>
      </c>
      <c r="C719">
        <v>0.03</v>
      </c>
    </row>
    <row r="720" spans="1:3" x14ac:dyDescent="0.25">
      <c r="A720">
        <v>719</v>
      </c>
      <c r="B720" t="s">
        <v>1834</v>
      </c>
      <c r="C720">
        <v>0.03</v>
      </c>
    </row>
    <row r="721" spans="1:3" x14ac:dyDescent="0.25">
      <c r="A721">
        <v>720</v>
      </c>
      <c r="B721" t="s">
        <v>1835</v>
      </c>
      <c r="C721">
        <v>0.03</v>
      </c>
    </row>
    <row r="722" spans="1:3" x14ac:dyDescent="0.25">
      <c r="A722">
        <v>721</v>
      </c>
      <c r="B722" t="s">
        <v>1836</v>
      </c>
      <c r="C722">
        <v>0.03</v>
      </c>
    </row>
    <row r="723" spans="1:3" x14ac:dyDescent="0.25">
      <c r="A723">
        <v>722</v>
      </c>
      <c r="B723" t="s">
        <v>1837</v>
      </c>
      <c r="C723">
        <v>0.03</v>
      </c>
    </row>
    <row r="724" spans="1:3" x14ac:dyDescent="0.25">
      <c r="A724">
        <v>723</v>
      </c>
      <c r="B724" t="s">
        <v>1838</v>
      </c>
      <c r="C724">
        <v>0.03</v>
      </c>
    </row>
    <row r="725" spans="1:3" x14ac:dyDescent="0.25">
      <c r="A725">
        <v>724</v>
      </c>
      <c r="B725" t="s">
        <v>1839</v>
      </c>
      <c r="C725">
        <v>2.9000000000000001E-2</v>
      </c>
    </row>
    <row r="726" spans="1:3" x14ac:dyDescent="0.25">
      <c r="A726">
        <v>725</v>
      </c>
      <c r="B726" t="s">
        <v>1840</v>
      </c>
      <c r="C726">
        <v>2.9000000000000001E-2</v>
      </c>
    </row>
    <row r="727" spans="1:3" x14ac:dyDescent="0.25">
      <c r="A727">
        <v>726</v>
      </c>
      <c r="B727" t="s">
        <v>1841</v>
      </c>
      <c r="C727">
        <v>2.9000000000000001E-2</v>
      </c>
    </row>
    <row r="728" spans="1:3" x14ac:dyDescent="0.25">
      <c r="A728">
        <v>727</v>
      </c>
      <c r="B728" t="s">
        <v>1842</v>
      </c>
      <c r="C728">
        <v>2.9000000000000001E-2</v>
      </c>
    </row>
    <row r="729" spans="1:3" x14ac:dyDescent="0.25">
      <c r="A729">
        <v>728</v>
      </c>
      <c r="B729" t="s">
        <v>1843</v>
      </c>
      <c r="C729">
        <v>2.9000000000000001E-2</v>
      </c>
    </row>
    <row r="730" spans="1:3" x14ac:dyDescent="0.25">
      <c r="A730">
        <v>729</v>
      </c>
      <c r="B730" t="s">
        <v>1844</v>
      </c>
      <c r="C730">
        <v>2.9000000000000001E-2</v>
      </c>
    </row>
    <row r="731" spans="1:3" x14ac:dyDescent="0.25">
      <c r="A731">
        <v>730</v>
      </c>
      <c r="B731" t="s">
        <v>1845</v>
      </c>
      <c r="C731">
        <v>2.9000000000000001E-2</v>
      </c>
    </row>
    <row r="732" spans="1:3" x14ac:dyDescent="0.25">
      <c r="A732">
        <v>731</v>
      </c>
      <c r="B732" t="s">
        <v>1846</v>
      </c>
      <c r="C732">
        <v>2.9000000000000001E-2</v>
      </c>
    </row>
    <row r="733" spans="1:3" x14ac:dyDescent="0.25">
      <c r="A733">
        <v>732</v>
      </c>
      <c r="B733" t="s">
        <v>1847</v>
      </c>
      <c r="C733">
        <v>2.9000000000000001E-2</v>
      </c>
    </row>
    <row r="734" spans="1:3" x14ac:dyDescent="0.25">
      <c r="A734">
        <v>733</v>
      </c>
      <c r="B734" t="s">
        <v>1848</v>
      </c>
      <c r="C734">
        <v>2.9000000000000001E-2</v>
      </c>
    </row>
    <row r="735" spans="1:3" x14ac:dyDescent="0.25">
      <c r="A735">
        <v>734</v>
      </c>
      <c r="B735" t="s">
        <v>1849</v>
      </c>
      <c r="C735">
        <v>2.9000000000000001E-2</v>
      </c>
    </row>
    <row r="736" spans="1:3" x14ac:dyDescent="0.25">
      <c r="A736">
        <v>735</v>
      </c>
      <c r="B736" t="s">
        <v>1850</v>
      </c>
      <c r="C736">
        <v>2.9000000000000001E-2</v>
      </c>
    </row>
    <row r="737" spans="1:3" x14ac:dyDescent="0.25">
      <c r="A737">
        <v>736</v>
      </c>
      <c r="B737" t="s">
        <v>1851</v>
      </c>
      <c r="C737">
        <v>2.9000000000000001E-2</v>
      </c>
    </row>
    <row r="738" spans="1:3" x14ac:dyDescent="0.25">
      <c r="A738">
        <v>737</v>
      </c>
      <c r="B738" t="s">
        <v>1852</v>
      </c>
      <c r="C738">
        <v>2.9000000000000001E-2</v>
      </c>
    </row>
    <row r="739" spans="1:3" x14ac:dyDescent="0.25">
      <c r="A739">
        <v>738</v>
      </c>
      <c r="B739" t="s">
        <v>1853</v>
      </c>
      <c r="C739">
        <v>2.8000000000000001E-2</v>
      </c>
    </row>
    <row r="740" spans="1:3" x14ac:dyDescent="0.25">
      <c r="A740">
        <v>739</v>
      </c>
      <c r="B740" t="s">
        <v>1854</v>
      </c>
      <c r="C740">
        <v>2.8000000000000001E-2</v>
      </c>
    </row>
    <row r="741" spans="1:3" x14ac:dyDescent="0.25">
      <c r="A741">
        <v>740</v>
      </c>
      <c r="B741" t="s">
        <v>1855</v>
      </c>
      <c r="C741">
        <v>2.8000000000000001E-2</v>
      </c>
    </row>
    <row r="742" spans="1:3" x14ac:dyDescent="0.25">
      <c r="A742">
        <v>741</v>
      </c>
      <c r="B742" t="s">
        <v>1856</v>
      </c>
      <c r="C742">
        <v>2.8000000000000001E-2</v>
      </c>
    </row>
    <row r="743" spans="1:3" x14ac:dyDescent="0.25">
      <c r="A743">
        <v>742</v>
      </c>
      <c r="B743" t="s">
        <v>1857</v>
      </c>
      <c r="C743">
        <v>2.8000000000000001E-2</v>
      </c>
    </row>
    <row r="744" spans="1:3" x14ac:dyDescent="0.25">
      <c r="A744">
        <v>743</v>
      </c>
      <c r="B744" t="s">
        <v>1858</v>
      </c>
      <c r="C744">
        <v>2.8000000000000001E-2</v>
      </c>
    </row>
    <row r="745" spans="1:3" x14ac:dyDescent="0.25">
      <c r="A745">
        <v>744</v>
      </c>
      <c r="B745" t="s">
        <v>1859</v>
      </c>
      <c r="C745">
        <v>2.8000000000000001E-2</v>
      </c>
    </row>
    <row r="746" spans="1:3" x14ac:dyDescent="0.25">
      <c r="A746">
        <v>745</v>
      </c>
      <c r="B746" t="s">
        <v>1860</v>
      </c>
      <c r="C746">
        <v>2.8000000000000001E-2</v>
      </c>
    </row>
    <row r="747" spans="1:3" x14ac:dyDescent="0.25">
      <c r="A747">
        <v>746</v>
      </c>
      <c r="B747" t="s">
        <v>1861</v>
      </c>
      <c r="C747">
        <v>2.8000000000000001E-2</v>
      </c>
    </row>
    <row r="748" spans="1:3" x14ac:dyDescent="0.25">
      <c r="A748">
        <v>747</v>
      </c>
      <c r="B748" t="s">
        <v>1862</v>
      </c>
      <c r="C748">
        <v>2.8000000000000001E-2</v>
      </c>
    </row>
    <row r="749" spans="1:3" x14ac:dyDescent="0.25">
      <c r="A749">
        <v>748</v>
      </c>
      <c r="B749" t="s">
        <v>1863</v>
      </c>
      <c r="C749">
        <v>2.8000000000000001E-2</v>
      </c>
    </row>
    <row r="750" spans="1:3" x14ac:dyDescent="0.25">
      <c r="A750">
        <v>749</v>
      </c>
      <c r="B750" t="s">
        <v>1864</v>
      </c>
      <c r="C750">
        <v>2.8000000000000001E-2</v>
      </c>
    </row>
    <row r="751" spans="1:3" x14ac:dyDescent="0.25">
      <c r="A751">
        <v>750</v>
      </c>
      <c r="B751" t="s">
        <v>1865</v>
      </c>
      <c r="C751">
        <v>2.8000000000000001E-2</v>
      </c>
    </row>
    <row r="752" spans="1:3" x14ac:dyDescent="0.25">
      <c r="A752">
        <v>751</v>
      </c>
      <c r="B752" t="s">
        <v>1866</v>
      </c>
      <c r="C752">
        <v>2.7E-2</v>
      </c>
    </row>
    <row r="753" spans="1:3" x14ac:dyDescent="0.25">
      <c r="A753">
        <v>752</v>
      </c>
      <c r="B753" t="s">
        <v>1867</v>
      </c>
      <c r="C753">
        <v>2.7E-2</v>
      </c>
    </row>
    <row r="754" spans="1:3" x14ac:dyDescent="0.25">
      <c r="A754">
        <v>753</v>
      </c>
      <c r="B754" t="s">
        <v>1868</v>
      </c>
      <c r="C754">
        <v>2.7E-2</v>
      </c>
    </row>
    <row r="755" spans="1:3" x14ac:dyDescent="0.25">
      <c r="A755">
        <v>754</v>
      </c>
      <c r="B755" t="s">
        <v>1869</v>
      </c>
      <c r="C755">
        <v>2.7E-2</v>
      </c>
    </row>
    <row r="756" spans="1:3" x14ac:dyDescent="0.25">
      <c r="A756">
        <v>755</v>
      </c>
      <c r="B756" t="s">
        <v>1870</v>
      </c>
      <c r="C756">
        <v>2.7E-2</v>
      </c>
    </row>
    <row r="757" spans="1:3" x14ac:dyDescent="0.25">
      <c r="A757">
        <v>756</v>
      </c>
      <c r="B757" t="s">
        <v>1871</v>
      </c>
      <c r="C757">
        <v>2.7E-2</v>
      </c>
    </row>
    <row r="758" spans="1:3" x14ac:dyDescent="0.25">
      <c r="A758">
        <v>757</v>
      </c>
      <c r="B758" t="s">
        <v>1872</v>
      </c>
      <c r="C758">
        <v>2.7E-2</v>
      </c>
    </row>
    <row r="759" spans="1:3" x14ac:dyDescent="0.25">
      <c r="A759">
        <v>758</v>
      </c>
      <c r="B759" t="s">
        <v>1873</v>
      </c>
      <c r="C759">
        <v>2.7E-2</v>
      </c>
    </row>
    <row r="760" spans="1:3" x14ac:dyDescent="0.25">
      <c r="A760">
        <v>759</v>
      </c>
      <c r="B760" t="s">
        <v>1874</v>
      </c>
      <c r="C760">
        <v>2.7E-2</v>
      </c>
    </row>
    <row r="761" spans="1:3" x14ac:dyDescent="0.25">
      <c r="A761">
        <v>760</v>
      </c>
      <c r="B761" t="s">
        <v>1875</v>
      </c>
      <c r="C761">
        <v>2.7E-2</v>
      </c>
    </row>
    <row r="762" spans="1:3" x14ac:dyDescent="0.25">
      <c r="A762">
        <v>761</v>
      </c>
      <c r="B762" t="s">
        <v>1876</v>
      </c>
      <c r="C762">
        <v>2.7E-2</v>
      </c>
    </row>
    <row r="763" spans="1:3" x14ac:dyDescent="0.25">
      <c r="A763">
        <v>762</v>
      </c>
      <c r="B763" t="s">
        <v>1877</v>
      </c>
      <c r="C763">
        <v>2.7E-2</v>
      </c>
    </row>
    <row r="764" spans="1:3" x14ac:dyDescent="0.25">
      <c r="A764">
        <v>763</v>
      </c>
      <c r="B764" t="s">
        <v>1878</v>
      </c>
      <c r="C764">
        <v>2.7E-2</v>
      </c>
    </row>
    <row r="765" spans="1:3" x14ac:dyDescent="0.25">
      <c r="A765">
        <v>764</v>
      </c>
      <c r="B765" t="s">
        <v>1879</v>
      </c>
      <c r="C765">
        <v>2.7E-2</v>
      </c>
    </row>
    <row r="766" spans="1:3" x14ac:dyDescent="0.25">
      <c r="A766">
        <v>765</v>
      </c>
      <c r="B766" t="s">
        <v>1880</v>
      </c>
      <c r="C766">
        <v>2.5999999999999999E-2</v>
      </c>
    </row>
    <row r="767" spans="1:3" x14ac:dyDescent="0.25">
      <c r="A767">
        <v>766</v>
      </c>
      <c r="B767" t="s">
        <v>1881</v>
      </c>
      <c r="C767">
        <v>2.5999999999999999E-2</v>
      </c>
    </row>
    <row r="768" spans="1:3" x14ac:dyDescent="0.25">
      <c r="A768">
        <v>767</v>
      </c>
      <c r="B768" t="s">
        <v>1882</v>
      </c>
      <c r="C768">
        <v>2.5999999999999999E-2</v>
      </c>
    </row>
    <row r="769" spans="1:3" x14ac:dyDescent="0.25">
      <c r="A769">
        <v>768</v>
      </c>
      <c r="B769" t="s">
        <v>1883</v>
      </c>
      <c r="C769">
        <v>2.5999999999999999E-2</v>
      </c>
    </row>
    <row r="770" spans="1:3" x14ac:dyDescent="0.25">
      <c r="A770">
        <v>769</v>
      </c>
      <c r="B770" t="s">
        <v>1884</v>
      </c>
      <c r="C770">
        <v>2.5999999999999999E-2</v>
      </c>
    </row>
    <row r="771" spans="1:3" x14ac:dyDescent="0.25">
      <c r="A771">
        <v>770</v>
      </c>
      <c r="B771" t="s">
        <v>1885</v>
      </c>
      <c r="C771">
        <v>2.5999999999999999E-2</v>
      </c>
    </row>
    <row r="772" spans="1:3" x14ac:dyDescent="0.25">
      <c r="A772">
        <v>771</v>
      </c>
      <c r="B772" t="s">
        <v>1886</v>
      </c>
      <c r="C772">
        <v>2.5999999999999999E-2</v>
      </c>
    </row>
    <row r="773" spans="1:3" x14ac:dyDescent="0.25">
      <c r="A773">
        <v>772</v>
      </c>
      <c r="B773" t="s">
        <v>1887</v>
      </c>
      <c r="C773">
        <v>2.5999999999999999E-2</v>
      </c>
    </row>
    <row r="774" spans="1:3" x14ac:dyDescent="0.25">
      <c r="A774">
        <v>773</v>
      </c>
      <c r="B774" t="s">
        <v>1888</v>
      </c>
      <c r="C774">
        <v>2.5999999999999999E-2</v>
      </c>
    </row>
    <row r="775" spans="1:3" x14ac:dyDescent="0.25">
      <c r="A775">
        <v>774</v>
      </c>
      <c r="B775" t="s">
        <v>1889</v>
      </c>
      <c r="C775">
        <v>2.5999999999999999E-2</v>
      </c>
    </row>
    <row r="776" spans="1:3" x14ac:dyDescent="0.25">
      <c r="A776">
        <v>775</v>
      </c>
      <c r="B776" t="s">
        <v>1890</v>
      </c>
      <c r="C776">
        <v>2.5999999999999999E-2</v>
      </c>
    </row>
    <row r="777" spans="1:3" x14ac:dyDescent="0.25">
      <c r="A777">
        <v>776</v>
      </c>
      <c r="B777" t="s">
        <v>1891</v>
      </c>
      <c r="C777">
        <v>2.5999999999999999E-2</v>
      </c>
    </row>
    <row r="778" spans="1:3" x14ac:dyDescent="0.25">
      <c r="A778">
        <v>777</v>
      </c>
      <c r="B778" t="s">
        <v>1892</v>
      </c>
      <c r="C778">
        <v>2.5999999999999999E-2</v>
      </c>
    </row>
    <row r="779" spans="1:3" x14ac:dyDescent="0.25">
      <c r="A779">
        <v>778</v>
      </c>
      <c r="B779" t="s">
        <v>1893</v>
      </c>
      <c r="C779">
        <v>2.5999999999999999E-2</v>
      </c>
    </row>
    <row r="780" spans="1:3" x14ac:dyDescent="0.25">
      <c r="A780">
        <v>779</v>
      </c>
      <c r="B780" t="s">
        <v>1894</v>
      </c>
      <c r="C780">
        <v>2.5999999999999999E-2</v>
      </c>
    </row>
    <row r="781" spans="1:3" x14ac:dyDescent="0.25">
      <c r="A781">
        <v>780</v>
      </c>
      <c r="B781" t="s">
        <v>1895</v>
      </c>
      <c r="C781">
        <v>2.5999999999999999E-2</v>
      </c>
    </row>
    <row r="782" spans="1:3" x14ac:dyDescent="0.25">
      <c r="A782">
        <v>781</v>
      </c>
      <c r="B782" t="s">
        <v>1896</v>
      </c>
      <c r="C782">
        <v>2.5999999999999999E-2</v>
      </c>
    </row>
    <row r="783" spans="1:3" x14ac:dyDescent="0.25">
      <c r="A783">
        <v>782</v>
      </c>
      <c r="B783" t="s">
        <v>1897</v>
      </c>
      <c r="C783">
        <v>2.5999999999999999E-2</v>
      </c>
    </row>
    <row r="784" spans="1:3" x14ac:dyDescent="0.25">
      <c r="A784">
        <v>783</v>
      </c>
      <c r="B784" t="s">
        <v>1898</v>
      </c>
      <c r="C784">
        <v>2.5999999999999999E-2</v>
      </c>
    </row>
    <row r="785" spans="1:3" x14ac:dyDescent="0.25">
      <c r="A785">
        <v>784</v>
      </c>
      <c r="B785" t="s">
        <v>1899</v>
      </c>
      <c r="C785">
        <v>2.5999999999999999E-2</v>
      </c>
    </row>
    <row r="786" spans="1:3" x14ac:dyDescent="0.25">
      <c r="A786">
        <v>785</v>
      </c>
      <c r="B786" t="s">
        <v>1900</v>
      </c>
      <c r="C786">
        <v>2.5999999999999999E-2</v>
      </c>
    </row>
    <row r="787" spans="1:3" x14ac:dyDescent="0.25">
      <c r="A787">
        <v>786</v>
      </c>
      <c r="B787" t="s">
        <v>1901</v>
      </c>
      <c r="C787">
        <v>2.5999999999999999E-2</v>
      </c>
    </row>
    <row r="788" spans="1:3" x14ac:dyDescent="0.25">
      <c r="A788">
        <v>787</v>
      </c>
      <c r="B788" t="s">
        <v>1902</v>
      </c>
      <c r="C788">
        <v>2.5000000000000001E-2</v>
      </c>
    </row>
    <row r="789" spans="1:3" x14ac:dyDescent="0.25">
      <c r="A789">
        <v>788</v>
      </c>
      <c r="B789" t="s">
        <v>1903</v>
      </c>
      <c r="C789">
        <v>2.5000000000000001E-2</v>
      </c>
    </row>
    <row r="790" spans="1:3" x14ac:dyDescent="0.25">
      <c r="A790">
        <v>789</v>
      </c>
      <c r="B790" t="s">
        <v>1904</v>
      </c>
      <c r="C790">
        <v>2.5000000000000001E-2</v>
      </c>
    </row>
    <row r="791" spans="1:3" x14ac:dyDescent="0.25">
      <c r="A791">
        <v>790</v>
      </c>
      <c r="B791" t="s">
        <v>1905</v>
      </c>
      <c r="C791">
        <v>2.5000000000000001E-2</v>
      </c>
    </row>
    <row r="792" spans="1:3" x14ac:dyDescent="0.25">
      <c r="A792">
        <v>791</v>
      </c>
      <c r="B792" t="s">
        <v>1906</v>
      </c>
      <c r="C792">
        <v>2.5000000000000001E-2</v>
      </c>
    </row>
    <row r="793" spans="1:3" x14ac:dyDescent="0.25">
      <c r="A793">
        <v>792</v>
      </c>
      <c r="B793" t="s">
        <v>1907</v>
      </c>
      <c r="C793">
        <v>2.5000000000000001E-2</v>
      </c>
    </row>
    <row r="794" spans="1:3" x14ac:dyDescent="0.25">
      <c r="A794">
        <v>793</v>
      </c>
      <c r="B794" t="s">
        <v>1908</v>
      </c>
      <c r="C794">
        <v>2.5000000000000001E-2</v>
      </c>
    </row>
    <row r="795" spans="1:3" x14ac:dyDescent="0.25">
      <c r="A795">
        <v>794</v>
      </c>
      <c r="B795" t="s">
        <v>1909</v>
      </c>
      <c r="C795">
        <v>2.5000000000000001E-2</v>
      </c>
    </row>
    <row r="796" spans="1:3" x14ac:dyDescent="0.25">
      <c r="A796">
        <v>795</v>
      </c>
      <c r="B796" t="s">
        <v>1910</v>
      </c>
      <c r="C796">
        <v>2.5000000000000001E-2</v>
      </c>
    </row>
    <row r="797" spans="1:3" x14ac:dyDescent="0.25">
      <c r="A797">
        <v>796</v>
      </c>
      <c r="B797" t="s">
        <v>1911</v>
      </c>
      <c r="C797">
        <v>2.5000000000000001E-2</v>
      </c>
    </row>
    <row r="798" spans="1:3" x14ac:dyDescent="0.25">
      <c r="A798">
        <v>797</v>
      </c>
      <c r="B798" t="s">
        <v>1912</v>
      </c>
      <c r="C798">
        <v>2.5000000000000001E-2</v>
      </c>
    </row>
    <row r="799" spans="1:3" x14ac:dyDescent="0.25">
      <c r="A799">
        <v>798</v>
      </c>
      <c r="B799" t="s">
        <v>1913</v>
      </c>
      <c r="C799">
        <v>2.5000000000000001E-2</v>
      </c>
    </row>
    <row r="800" spans="1:3" x14ac:dyDescent="0.25">
      <c r="A800">
        <v>799</v>
      </c>
      <c r="B800" t="s">
        <v>1914</v>
      </c>
      <c r="C800">
        <v>2.5000000000000001E-2</v>
      </c>
    </row>
    <row r="801" spans="1:3" x14ac:dyDescent="0.25">
      <c r="A801">
        <v>800</v>
      </c>
      <c r="B801" t="s">
        <v>1915</v>
      </c>
      <c r="C801">
        <v>2.5000000000000001E-2</v>
      </c>
    </row>
    <row r="802" spans="1:3" x14ac:dyDescent="0.25">
      <c r="A802">
        <v>801</v>
      </c>
      <c r="B802" t="s">
        <v>1916</v>
      </c>
      <c r="C802">
        <v>2.4E-2</v>
      </c>
    </row>
    <row r="803" spans="1:3" x14ac:dyDescent="0.25">
      <c r="A803">
        <v>802</v>
      </c>
      <c r="B803" t="s">
        <v>1917</v>
      </c>
      <c r="C803">
        <v>2.4E-2</v>
      </c>
    </row>
    <row r="804" spans="1:3" x14ac:dyDescent="0.25">
      <c r="A804">
        <v>803</v>
      </c>
      <c r="B804" t="s">
        <v>1918</v>
      </c>
      <c r="C804">
        <v>2.4E-2</v>
      </c>
    </row>
    <row r="805" spans="1:3" x14ac:dyDescent="0.25">
      <c r="A805">
        <v>804</v>
      </c>
      <c r="B805" t="s">
        <v>1919</v>
      </c>
      <c r="C805">
        <v>2.4E-2</v>
      </c>
    </row>
    <row r="806" spans="1:3" x14ac:dyDescent="0.25">
      <c r="A806">
        <v>805</v>
      </c>
      <c r="B806" t="s">
        <v>1920</v>
      </c>
      <c r="C806">
        <v>2.4E-2</v>
      </c>
    </row>
    <row r="807" spans="1:3" x14ac:dyDescent="0.25">
      <c r="A807">
        <v>806</v>
      </c>
      <c r="B807" t="s">
        <v>1921</v>
      </c>
      <c r="C807">
        <v>2.4E-2</v>
      </c>
    </row>
    <row r="808" spans="1:3" x14ac:dyDescent="0.25">
      <c r="A808">
        <v>807</v>
      </c>
      <c r="B808" t="s">
        <v>1922</v>
      </c>
      <c r="C808">
        <v>2.4E-2</v>
      </c>
    </row>
    <row r="809" spans="1:3" x14ac:dyDescent="0.25">
      <c r="A809">
        <v>808</v>
      </c>
      <c r="B809" t="s">
        <v>1923</v>
      </c>
      <c r="C809">
        <v>2.4E-2</v>
      </c>
    </row>
    <row r="810" spans="1:3" x14ac:dyDescent="0.25">
      <c r="A810">
        <v>809</v>
      </c>
      <c r="B810" t="s">
        <v>1924</v>
      </c>
      <c r="C810">
        <v>2.4E-2</v>
      </c>
    </row>
    <row r="811" spans="1:3" x14ac:dyDescent="0.25">
      <c r="A811">
        <v>810</v>
      </c>
      <c r="B811" t="s">
        <v>1925</v>
      </c>
      <c r="C811">
        <v>2.4E-2</v>
      </c>
    </row>
    <row r="812" spans="1:3" x14ac:dyDescent="0.25">
      <c r="A812">
        <v>811</v>
      </c>
      <c r="B812" t="s">
        <v>1926</v>
      </c>
      <c r="C812">
        <v>2.4E-2</v>
      </c>
    </row>
    <row r="813" spans="1:3" x14ac:dyDescent="0.25">
      <c r="A813">
        <v>812</v>
      </c>
      <c r="B813" t="s">
        <v>1927</v>
      </c>
      <c r="C813">
        <v>2.4E-2</v>
      </c>
    </row>
    <row r="814" spans="1:3" x14ac:dyDescent="0.25">
      <c r="A814">
        <v>813</v>
      </c>
      <c r="B814" t="s">
        <v>1928</v>
      </c>
      <c r="C814">
        <v>2.4E-2</v>
      </c>
    </row>
    <row r="815" spans="1:3" x14ac:dyDescent="0.25">
      <c r="A815">
        <v>814</v>
      </c>
      <c r="B815" t="s">
        <v>1929</v>
      </c>
      <c r="C815">
        <v>2.4E-2</v>
      </c>
    </row>
    <row r="816" spans="1:3" x14ac:dyDescent="0.25">
      <c r="A816">
        <v>815</v>
      </c>
      <c r="B816" t="s">
        <v>1930</v>
      </c>
      <c r="C816">
        <v>2.4E-2</v>
      </c>
    </row>
    <row r="817" spans="1:3" x14ac:dyDescent="0.25">
      <c r="A817">
        <v>816</v>
      </c>
      <c r="B817" t="s">
        <v>1931</v>
      </c>
      <c r="C817">
        <v>2.3E-2</v>
      </c>
    </row>
    <row r="818" spans="1:3" x14ac:dyDescent="0.25">
      <c r="A818">
        <v>817</v>
      </c>
      <c r="B818" t="s">
        <v>1932</v>
      </c>
      <c r="C818">
        <v>2.3E-2</v>
      </c>
    </row>
    <row r="819" spans="1:3" x14ac:dyDescent="0.25">
      <c r="A819">
        <v>818</v>
      </c>
      <c r="B819" t="s">
        <v>1933</v>
      </c>
      <c r="C819">
        <v>2.3E-2</v>
      </c>
    </row>
    <row r="820" spans="1:3" x14ac:dyDescent="0.25">
      <c r="A820">
        <v>819</v>
      </c>
      <c r="B820" t="s">
        <v>1934</v>
      </c>
      <c r="C820">
        <v>2.3E-2</v>
      </c>
    </row>
    <row r="821" spans="1:3" x14ac:dyDescent="0.25">
      <c r="A821">
        <v>820</v>
      </c>
      <c r="B821" t="s">
        <v>1935</v>
      </c>
      <c r="C821">
        <v>2.3E-2</v>
      </c>
    </row>
    <row r="822" spans="1:3" x14ac:dyDescent="0.25">
      <c r="A822">
        <v>821</v>
      </c>
      <c r="B822" t="s">
        <v>1936</v>
      </c>
      <c r="C822">
        <v>2.3E-2</v>
      </c>
    </row>
    <row r="823" spans="1:3" x14ac:dyDescent="0.25">
      <c r="A823">
        <v>822</v>
      </c>
      <c r="B823" t="s">
        <v>1937</v>
      </c>
      <c r="C823">
        <v>2.3E-2</v>
      </c>
    </row>
    <row r="824" spans="1:3" x14ac:dyDescent="0.25">
      <c r="A824">
        <v>823</v>
      </c>
      <c r="B824" t="s">
        <v>1938</v>
      </c>
      <c r="C824">
        <v>2.3E-2</v>
      </c>
    </row>
    <row r="825" spans="1:3" x14ac:dyDescent="0.25">
      <c r="A825">
        <v>824</v>
      </c>
      <c r="B825" t="s">
        <v>1939</v>
      </c>
      <c r="C825">
        <v>2.3E-2</v>
      </c>
    </row>
    <row r="826" spans="1:3" x14ac:dyDescent="0.25">
      <c r="A826">
        <v>825</v>
      </c>
      <c r="B826" t="s">
        <v>1940</v>
      </c>
      <c r="C826">
        <v>2.3E-2</v>
      </c>
    </row>
    <row r="827" spans="1:3" x14ac:dyDescent="0.25">
      <c r="A827">
        <v>826</v>
      </c>
      <c r="B827" t="s">
        <v>1941</v>
      </c>
      <c r="C827">
        <v>2.3E-2</v>
      </c>
    </row>
    <row r="828" spans="1:3" x14ac:dyDescent="0.25">
      <c r="A828">
        <v>827</v>
      </c>
      <c r="B828" t="s">
        <v>1942</v>
      </c>
      <c r="C828">
        <v>2.3E-2</v>
      </c>
    </row>
    <row r="829" spans="1:3" x14ac:dyDescent="0.25">
      <c r="A829">
        <v>828</v>
      </c>
      <c r="B829" t="s">
        <v>1943</v>
      </c>
      <c r="C829">
        <v>2.3E-2</v>
      </c>
    </row>
    <row r="830" spans="1:3" x14ac:dyDescent="0.25">
      <c r="A830">
        <v>829</v>
      </c>
      <c r="B830" t="s">
        <v>1944</v>
      </c>
      <c r="C830">
        <v>2.3E-2</v>
      </c>
    </row>
    <row r="831" spans="1:3" x14ac:dyDescent="0.25">
      <c r="A831">
        <v>830</v>
      </c>
      <c r="B831" t="s">
        <v>1945</v>
      </c>
      <c r="C831">
        <v>2.3E-2</v>
      </c>
    </row>
    <row r="832" spans="1:3" x14ac:dyDescent="0.25">
      <c r="A832">
        <v>831</v>
      </c>
      <c r="B832" t="s">
        <v>1946</v>
      </c>
      <c r="C832">
        <v>2.3E-2</v>
      </c>
    </row>
    <row r="833" spans="1:3" x14ac:dyDescent="0.25">
      <c r="A833">
        <v>832</v>
      </c>
      <c r="B833" t="s">
        <v>1947</v>
      </c>
      <c r="C833">
        <v>2.3E-2</v>
      </c>
    </row>
    <row r="834" spans="1:3" x14ac:dyDescent="0.25">
      <c r="A834">
        <v>833</v>
      </c>
      <c r="B834" t="s">
        <v>1948</v>
      </c>
      <c r="C834">
        <v>2.3E-2</v>
      </c>
    </row>
    <row r="835" spans="1:3" x14ac:dyDescent="0.25">
      <c r="A835">
        <v>834</v>
      </c>
      <c r="B835" t="s">
        <v>1949</v>
      </c>
      <c r="C835">
        <v>2.3E-2</v>
      </c>
    </row>
    <row r="836" spans="1:3" x14ac:dyDescent="0.25">
      <c r="A836">
        <v>835</v>
      </c>
      <c r="B836" t="s">
        <v>1950</v>
      </c>
      <c r="C836">
        <v>2.1999999999999999E-2</v>
      </c>
    </row>
    <row r="837" spans="1:3" x14ac:dyDescent="0.25">
      <c r="A837">
        <v>836</v>
      </c>
      <c r="B837" t="s">
        <v>1951</v>
      </c>
      <c r="C837">
        <v>2.1999999999999999E-2</v>
      </c>
    </row>
    <row r="838" spans="1:3" x14ac:dyDescent="0.25">
      <c r="A838">
        <v>837</v>
      </c>
      <c r="B838" t="s">
        <v>1952</v>
      </c>
      <c r="C838">
        <v>2.1999999999999999E-2</v>
      </c>
    </row>
    <row r="839" spans="1:3" x14ac:dyDescent="0.25">
      <c r="A839">
        <v>838</v>
      </c>
      <c r="B839" t="s">
        <v>1953</v>
      </c>
      <c r="C839">
        <v>2.1999999999999999E-2</v>
      </c>
    </row>
    <row r="840" spans="1:3" x14ac:dyDescent="0.25">
      <c r="A840">
        <v>839</v>
      </c>
      <c r="B840" t="s">
        <v>1954</v>
      </c>
      <c r="C840">
        <v>2.1999999999999999E-2</v>
      </c>
    </row>
    <row r="841" spans="1:3" x14ac:dyDescent="0.25">
      <c r="A841">
        <v>840</v>
      </c>
      <c r="B841" t="s">
        <v>1955</v>
      </c>
      <c r="C841">
        <v>2.1999999999999999E-2</v>
      </c>
    </row>
    <row r="842" spans="1:3" x14ac:dyDescent="0.25">
      <c r="A842">
        <v>841</v>
      </c>
      <c r="B842" t="s">
        <v>1956</v>
      </c>
      <c r="C842">
        <v>2.1999999999999999E-2</v>
      </c>
    </row>
    <row r="843" spans="1:3" x14ac:dyDescent="0.25">
      <c r="A843">
        <v>842</v>
      </c>
      <c r="B843" t="s">
        <v>1957</v>
      </c>
      <c r="C843">
        <v>2.1999999999999999E-2</v>
      </c>
    </row>
    <row r="844" spans="1:3" x14ac:dyDescent="0.25">
      <c r="A844">
        <v>843</v>
      </c>
      <c r="B844" t="s">
        <v>1958</v>
      </c>
      <c r="C844">
        <v>2.1999999999999999E-2</v>
      </c>
    </row>
    <row r="845" spans="1:3" x14ac:dyDescent="0.25">
      <c r="A845">
        <v>844</v>
      </c>
      <c r="B845" t="s">
        <v>1959</v>
      </c>
      <c r="C845">
        <v>2.1999999999999999E-2</v>
      </c>
    </row>
    <row r="846" spans="1:3" x14ac:dyDescent="0.25">
      <c r="A846">
        <v>845</v>
      </c>
      <c r="B846" t="s">
        <v>1960</v>
      </c>
      <c r="C846">
        <v>2.1999999999999999E-2</v>
      </c>
    </row>
    <row r="847" spans="1:3" x14ac:dyDescent="0.25">
      <c r="A847">
        <v>846</v>
      </c>
      <c r="B847" t="s">
        <v>1961</v>
      </c>
      <c r="C847">
        <v>2.1999999999999999E-2</v>
      </c>
    </row>
    <row r="848" spans="1:3" x14ac:dyDescent="0.25">
      <c r="A848">
        <v>847</v>
      </c>
      <c r="B848" t="s">
        <v>1962</v>
      </c>
      <c r="C848">
        <v>2.1999999999999999E-2</v>
      </c>
    </row>
    <row r="849" spans="1:3" x14ac:dyDescent="0.25">
      <c r="A849">
        <v>848</v>
      </c>
      <c r="B849" t="s">
        <v>1963</v>
      </c>
      <c r="C849">
        <v>2.1999999999999999E-2</v>
      </c>
    </row>
    <row r="850" spans="1:3" x14ac:dyDescent="0.25">
      <c r="A850">
        <v>849</v>
      </c>
      <c r="B850" t="s">
        <v>1964</v>
      </c>
      <c r="C850">
        <v>2.1999999999999999E-2</v>
      </c>
    </row>
    <row r="851" spans="1:3" x14ac:dyDescent="0.25">
      <c r="A851">
        <v>850</v>
      </c>
      <c r="B851" t="s">
        <v>1965</v>
      </c>
      <c r="C851">
        <v>2.1999999999999999E-2</v>
      </c>
    </row>
    <row r="852" spans="1:3" x14ac:dyDescent="0.25">
      <c r="A852">
        <v>851</v>
      </c>
      <c r="B852" t="s">
        <v>1966</v>
      </c>
      <c r="C852">
        <v>2.1999999999999999E-2</v>
      </c>
    </row>
    <row r="853" spans="1:3" x14ac:dyDescent="0.25">
      <c r="A853">
        <v>852</v>
      </c>
      <c r="B853" t="s">
        <v>1967</v>
      </c>
      <c r="C853">
        <v>2.1999999999999999E-2</v>
      </c>
    </row>
    <row r="854" spans="1:3" x14ac:dyDescent="0.25">
      <c r="A854">
        <v>853</v>
      </c>
      <c r="B854" t="s">
        <v>1968</v>
      </c>
      <c r="C854">
        <v>2.1999999999999999E-2</v>
      </c>
    </row>
    <row r="855" spans="1:3" x14ac:dyDescent="0.25">
      <c r="A855">
        <v>854</v>
      </c>
      <c r="B855" t="s">
        <v>1969</v>
      </c>
      <c r="C855">
        <v>2.1000000000000001E-2</v>
      </c>
    </row>
    <row r="856" spans="1:3" x14ac:dyDescent="0.25">
      <c r="A856">
        <v>855</v>
      </c>
      <c r="B856" t="s">
        <v>1970</v>
      </c>
      <c r="C856">
        <v>2.1000000000000001E-2</v>
      </c>
    </row>
    <row r="857" spans="1:3" x14ac:dyDescent="0.25">
      <c r="A857">
        <v>856</v>
      </c>
      <c r="B857" t="s">
        <v>1971</v>
      </c>
      <c r="C857">
        <v>2.1000000000000001E-2</v>
      </c>
    </row>
    <row r="858" spans="1:3" x14ac:dyDescent="0.25">
      <c r="A858">
        <v>857</v>
      </c>
      <c r="B858" t="s">
        <v>1972</v>
      </c>
      <c r="C858">
        <v>2.1000000000000001E-2</v>
      </c>
    </row>
    <row r="859" spans="1:3" x14ac:dyDescent="0.25">
      <c r="A859">
        <v>858</v>
      </c>
      <c r="B859" t="s">
        <v>1973</v>
      </c>
      <c r="C859">
        <v>2.1000000000000001E-2</v>
      </c>
    </row>
    <row r="860" spans="1:3" x14ac:dyDescent="0.25">
      <c r="A860">
        <v>859</v>
      </c>
      <c r="B860" t="s">
        <v>1974</v>
      </c>
      <c r="C860">
        <v>2.1000000000000001E-2</v>
      </c>
    </row>
    <row r="861" spans="1:3" x14ac:dyDescent="0.25">
      <c r="A861">
        <v>860</v>
      </c>
      <c r="B861" t="s">
        <v>1975</v>
      </c>
      <c r="C861">
        <v>2.1000000000000001E-2</v>
      </c>
    </row>
    <row r="862" spans="1:3" x14ac:dyDescent="0.25">
      <c r="A862">
        <v>861</v>
      </c>
      <c r="B862" t="s">
        <v>1976</v>
      </c>
      <c r="C862">
        <v>2.1000000000000001E-2</v>
      </c>
    </row>
    <row r="863" spans="1:3" x14ac:dyDescent="0.25">
      <c r="A863">
        <v>862</v>
      </c>
      <c r="B863" t="s">
        <v>1977</v>
      </c>
      <c r="C863">
        <v>2.1000000000000001E-2</v>
      </c>
    </row>
    <row r="864" spans="1:3" x14ac:dyDescent="0.25">
      <c r="A864">
        <v>863</v>
      </c>
      <c r="B864" t="s">
        <v>1978</v>
      </c>
      <c r="C864">
        <v>2.1000000000000001E-2</v>
      </c>
    </row>
    <row r="865" spans="1:3" x14ac:dyDescent="0.25">
      <c r="A865">
        <v>864</v>
      </c>
      <c r="B865" t="s">
        <v>1979</v>
      </c>
      <c r="C865">
        <v>2.1000000000000001E-2</v>
      </c>
    </row>
    <row r="866" spans="1:3" x14ac:dyDescent="0.25">
      <c r="A866">
        <v>865</v>
      </c>
      <c r="B866" t="s">
        <v>1980</v>
      </c>
      <c r="C866">
        <v>2.1000000000000001E-2</v>
      </c>
    </row>
    <row r="867" spans="1:3" x14ac:dyDescent="0.25">
      <c r="A867">
        <v>866</v>
      </c>
      <c r="B867" t="s">
        <v>1981</v>
      </c>
      <c r="C867">
        <v>2.1000000000000001E-2</v>
      </c>
    </row>
    <row r="868" spans="1:3" x14ac:dyDescent="0.25">
      <c r="A868">
        <v>867</v>
      </c>
      <c r="B868" t="s">
        <v>1982</v>
      </c>
      <c r="C868">
        <v>2.1000000000000001E-2</v>
      </c>
    </row>
    <row r="869" spans="1:3" x14ac:dyDescent="0.25">
      <c r="A869">
        <v>868</v>
      </c>
      <c r="B869" t="s">
        <v>1983</v>
      </c>
      <c r="C869">
        <v>2.1000000000000001E-2</v>
      </c>
    </row>
    <row r="870" spans="1:3" x14ac:dyDescent="0.25">
      <c r="A870">
        <v>869</v>
      </c>
      <c r="B870" t="s">
        <v>1984</v>
      </c>
      <c r="C870">
        <v>2.1000000000000001E-2</v>
      </c>
    </row>
    <row r="871" spans="1:3" x14ac:dyDescent="0.25">
      <c r="A871">
        <v>870</v>
      </c>
      <c r="B871" t="s">
        <v>1985</v>
      </c>
      <c r="C871">
        <v>2.1000000000000001E-2</v>
      </c>
    </row>
    <row r="872" spans="1:3" x14ac:dyDescent="0.25">
      <c r="A872">
        <v>871</v>
      </c>
      <c r="B872" t="s">
        <v>1986</v>
      </c>
      <c r="C872">
        <v>2.1000000000000001E-2</v>
      </c>
    </row>
    <row r="873" spans="1:3" x14ac:dyDescent="0.25">
      <c r="A873">
        <v>872</v>
      </c>
      <c r="B873" t="s">
        <v>1987</v>
      </c>
      <c r="C873">
        <v>2.1000000000000001E-2</v>
      </c>
    </row>
    <row r="874" spans="1:3" x14ac:dyDescent="0.25">
      <c r="A874">
        <v>873</v>
      </c>
      <c r="B874" t="s">
        <v>1988</v>
      </c>
      <c r="C874">
        <v>0.02</v>
      </c>
    </row>
    <row r="875" spans="1:3" x14ac:dyDescent="0.25">
      <c r="A875">
        <v>874</v>
      </c>
      <c r="B875" t="s">
        <v>1989</v>
      </c>
      <c r="C875">
        <v>0.02</v>
      </c>
    </row>
    <row r="876" spans="1:3" x14ac:dyDescent="0.25">
      <c r="A876">
        <v>875</v>
      </c>
      <c r="B876" t="s">
        <v>1990</v>
      </c>
      <c r="C876">
        <v>0.02</v>
      </c>
    </row>
    <row r="877" spans="1:3" x14ac:dyDescent="0.25">
      <c r="A877">
        <v>876</v>
      </c>
      <c r="B877" t="s">
        <v>1991</v>
      </c>
      <c r="C877">
        <v>0.02</v>
      </c>
    </row>
    <row r="878" spans="1:3" x14ac:dyDescent="0.25">
      <c r="A878">
        <v>877</v>
      </c>
      <c r="B878" t="s">
        <v>1992</v>
      </c>
      <c r="C878">
        <v>0.02</v>
      </c>
    </row>
    <row r="879" spans="1:3" x14ac:dyDescent="0.25">
      <c r="A879">
        <v>878</v>
      </c>
      <c r="B879" t="s">
        <v>1993</v>
      </c>
      <c r="C879">
        <v>0.02</v>
      </c>
    </row>
    <row r="880" spans="1:3" x14ac:dyDescent="0.25">
      <c r="A880">
        <v>879</v>
      </c>
      <c r="B880" t="s">
        <v>1994</v>
      </c>
      <c r="C880">
        <v>0.02</v>
      </c>
    </row>
    <row r="881" spans="1:3" x14ac:dyDescent="0.25">
      <c r="A881">
        <v>880</v>
      </c>
      <c r="B881" t="s">
        <v>1995</v>
      </c>
      <c r="C881">
        <v>0.02</v>
      </c>
    </row>
    <row r="882" spans="1:3" x14ac:dyDescent="0.25">
      <c r="A882">
        <v>881</v>
      </c>
      <c r="B882" t="s">
        <v>1996</v>
      </c>
      <c r="C882">
        <v>0.02</v>
      </c>
    </row>
    <row r="883" spans="1:3" x14ac:dyDescent="0.25">
      <c r="A883">
        <v>882</v>
      </c>
      <c r="B883" t="s">
        <v>1997</v>
      </c>
      <c r="C883">
        <v>0.02</v>
      </c>
    </row>
    <row r="884" spans="1:3" x14ac:dyDescent="0.25">
      <c r="A884">
        <v>883</v>
      </c>
      <c r="B884" t="s">
        <v>1998</v>
      </c>
      <c r="C884">
        <v>0.02</v>
      </c>
    </row>
    <row r="885" spans="1:3" x14ac:dyDescent="0.25">
      <c r="A885">
        <v>884</v>
      </c>
      <c r="B885" t="s">
        <v>1999</v>
      </c>
      <c r="C885">
        <v>0.02</v>
      </c>
    </row>
    <row r="886" spans="1:3" x14ac:dyDescent="0.25">
      <c r="A886">
        <v>885</v>
      </c>
      <c r="B886" t="s">
        <v>2000</v>
      </c>
      <c r="C886">
        <v>0.02</v>
      </c>
    </row>
    <row r="887" spans="1:3" x14ac:dyDescent="0.25">
      <c r="A887">
        <v>886</v>
      </c>
      <c r="B887" t="s">
        <v>2001</v>
      </c>
      <c r="C887">
        <v>0.02</v>
      </c>
    </row>
    <row r="888" spans="1:3" x14ac:dyDescent="0.25">
      <c r="A888">
        <v>887</v>
      </c>
      <c r="B888" t="s">
        <v>2002</v>
      </c>
      <c r="C888">
        <v>0.02</v>
      </c>
    </row>
    <row r="889" spans="1:3" x14ac:dyDescent="0.25">
      <c r="A889">
        <v>888</v>
      </c>
      <c r="B889" t="s">
        <v>2003</v>
      </c>
      <c r="C889">
        <v>0.02</v>
      </c>
    </row>
    <row r="890" spans="1:3" x14ac:dyDescent="0.25">
      <c r="A890">
        <v>889</v>
      </c>
      <c r="B890" t="s">
        <v>2004</v>
      </c>
      <c r="C890">
        <v>0.02</v>
      </c>
    </row>
    <row r="891" spans="1:3" x14ac:dyDescent="0.25">
      <c r="A891">
        <v>890</v>
      </c>
      <c r="B891" t="s">
        <v>2005</v>
      </c>
      <c r="C891">
        <v>0.02</v>
      </c>
    </row>
    <row r="892" spans="1:3" x14ac:dyDescent="0.25">
      <c r="A892">
        <v>891</v>
      </c>
      <c r="B892" t="s">
        <v>2006</v>
      </c>
      <c r="C892">
        <v>0.02</v>
      </c>
    </row>
    <row r="893" spans="1:3" x14ac:dyDescent="0.25">
      <c r="A893">
        <v>892</v>
      </c>
      <c r="B893" t="s">
        <v>2007</v>
      </c>
      <c r="C893">
        <v>0.02</v>
      </c>
    </row>
    <row r="894" spans="1:3" x14ac:dyDescent="0.25">
      <c r="A894">
        <v>893</v>
      </c>
      <c r="B894" t="s">
        <v>2008</v>
      </c>
      <c r="C894">
        <v>0.02</v>
      </c>
    </row>
    <row r="895" spans="1:3" x14ac:dyDescent="0.25">
      <c r="A895">
        <v>894</v>
      </c>
      <c r="B895" t="s">
        <v>2009</v>
      </c>
      <c r="C895">
        <v>0.02</v>
      </c>
    </row>
    <row r="896" spans="1:3" x14ac:dyDescent="0.25">
      <c r="A896">
        <v>895</v>
      </c>
      <c r="B896" t="s">
        <v>2010</v>
      </c>
      <c r="C896">
        <v>0.02</v>
      </c>
    </row>
    <row r="897" spans="1:3" x14ac:dyDescent="0.25">
      <c r="A897">
        <v>896</v>
      </c>
      <c r="B897" t="s">
        <v>2011</v>
      </c>
      <c r="C897">
        <v>0.02</v>
      </c>
    </row>
    <row r="898" spans="1:3" x14ac:dyDescent="0.25">
      <c r="A898">
        <v>897</v>
      </c>
      <c r="B898" t="s">
        <v>2012</v>
      </c>
      <c r="C898">
        <v>0.02</v>
      </c>
    </row>
    <row r="899" spans="1:3" x14ac:dyDescent="0.25">
      <c r="A899">
        <v>898</v>
      </c>
      <c r="B899" t="s">
        <v>2013</v>
      </c>
      <c r="C899">
        <v>0.02</v>
      </c>
    </row>
    <row r="900" spans="1:3" x14ac:dyDescent="0.25">
      <c r="A900">
        <v>899</v>
      </c>
      <c r="B900" t="s">
        <v>2014</v>
      </c>
      <c r="C900">
        <v>0.02</v>
      </c>
    </row>
    <row r="901" spans="1:3" x14ac:dyDescent="0.25">
      <c r="A901">
        <v>900</v>
      </c>
      <c r="B901" t="s">
        <v>2015</v>
      </c>
      <c r="C901">
        <v>1.9E-2</v>
      </c>
    </row>
    <row r="902" spans="1:3" x14ac:dyDescent="0.25">
      <c r="A902">
        <v>901</v>
      </c>
      <c r="B902" t="s">
        <v>2016</v>
      </c>
      <c r="C902">
        <v>1.9E-2</v>
      </c>
    </row>
    <row r="903" spans="1:3" x14ac:dyDescent="0.25">
      <c r="A903">
        <v>902</v>
      </c>
      <c r="B903" t="s">
        <v>2017</v>
      </c>
      <c r="C903">
        <v>1.9E-2</v>
      </c>
    </row>
    <row r="904" spans="1:3" x14ac:dyDescent="0.25">
      <c r="A904">
        <v>903</v>
      </c>
      <c r="B904" t="s">
        <v>2018</v>
      </c>
      <c r="C904">
        <v>1.9E-2</v>
      </c>
    </row>
    <row r="905" spans="1:3" x14ac:dyDescent="0.25">
      <c r="A905">
        <v>904</v>
      </c>
      <c r="B905" t="s">
        <v>2019</v>
      </c>
      <c r="C905">
        <v>1.9E-2</v>
      </c>
    </row>
    <row r="906" spans="1:3" x14ac:dyDescent="0.25">
      <c r="A906">
        <v>905</v>
      </c>
      <c r="B906" t="s">
        <v>2020</v>
      </c>
      <c r="C906">
        <v>1.9E-2</v>
      </c>
    </row>
    <row r="907" spans="1:3" x14ac:dyDescent="0.25">
      <c r="A907">
        <v>906</v>
      </c>
      <c r="B907" t="s">
        <v>2021</v>
      </c>
      <c r="C907">
        <v>1.9E-2</v>
      </c>
    </row>
    <row r="908" spans="1:3" x14ac:dyDescent="0.25">
      <c r="A908">
        <v>907</v>
      </c>
      <c r="B908" t="s">
        <v>2022</v>
      </c>
      <c r="C908">
        <v>1.9E-2</v>
      </c>
    </row>
    <row r="909" spans="1:3" x14ac:dyDescent="0.25">
      <c r="A909">
        <v>908</v>
      </c>
      <c r="B909" t="s">
        <v>2023</v>
      </c>
      <c r="C909">
        <v>1.9E-2</v>
      </c>
    </row>
    <row r="910" spans="1:3" x14ac:dyDescent="0.25">
      <c r="A910">
        <v>909</v>
      </c>
      <c r="B910" t="s">
        <v>2024</v>
      </c>
      <c r="C910">
        <v>1.9E-2</v>
      </c>
    </row>
    <row r="911" spans="1:3" x14ac:dyDescent="0.25">
      <c r="A911">
        <v>910</v>
      </c>
      <c r="B911" t="s">
        <v>2025</v>
      </c>
      <c r="C911">
        <v>1.9E-2</v>
      </c>
    </row>
    <row r="912" spans="1:3" x14ac:dyDescent="0.25">
      <c r="A912">
        <v>911</v>
      </c>
      <c r="B912" t="s">
        <v>2026</v>
      </c>
      <c r="C912">
        <v>1.9E-2</v>
      </c>
    </row>
    <row r="913" spans="1:3" x14ac:dyDescent="0.25">
      <c r="A913">
        <v>912</v>
      </c>
      <c r="B913" t="s">
        <v>2027</v>
      </c>
      <c r="C913">
        <v>1.9E-2</v>
      </c>
    </row>
    <row r="914" spans="1:3" x14ac:dyDescent="0.25">
      <c r="A914">
        <v>913</v>
      </c>
      <c r="B914" t="s">
        <v>2028</v>
      </c>
      <c r="C914">
        <v>1.9E-2</v>
      </c>
    </row>
    <row r="915" spans="1:3" x14ac:dyDescent="0.25">
      <c r="A915">
        <v>914</v>
      </c>
      <c r="B915" t="s">
        <v>2029</v>
      </c>
      <c r="C915">
        <v>1.9E-2</v>
      </c>
    </row>
    <row r="916" spans="1:3" x14ac:dyDescent="0.25">
      <c r="A916">
        <v>915</v>
      </c>
      <c r="B916" t="s">
        <v>2030</v>
      </c>
      <c r="C916">
        <v>1.9E-2</v>
      </c>
    </row>
    <row r="917" spans="1:3" x14ac:dyDescent="0.25">
      <c r="A917">
        <v>916</v>
      </c>
      <c r="B917" t="s">
        <v>2031</v>
      </c>
      <c r="C917">
        <v>1.9E-2</v>
      </c>
    </row>
    <row r="918" spans="1:3" x14ac:dyDescent="0.25">
      <c r="A918">
        <v>917</v>
      </c>
      <c r="B918" t="s">
        <v>2032</v>
      </c>
      <c r="C918">
        <v>1.9E-2</v>
      </c>
    </row>
    <row r="919" spans="1:3" x14ac:dyDescent="0.25">
      <c r="A919">
        <v>918</v>
      </c>
      <c r="B919" t="s">
        <v>2033</v>
      </c>
      <c r="C919">
        <v>1.9E-2</v>
      </c>
    </row>
    <row r="920" spans="1:3" x14ac:dyDescent="0.25">
      <c r="A920">
        <v>919</v>
      </c>
      <c r="B920" t="s">
        <v>2034</v>
      </c>
      <c r="C920">
        <v>1.9E-2</v>
      </c>
    </row>
    <row r="921" spans="1:3" x14ac:dyDescent="0.25">
      <c r="A921">
        <v>920</v>
      </c>
      <c r="B921" t="s">
        <v>2035</v>
      </c>
      <c r="C921">
        <v>1.9E-2</v>
      </c>
    </row>
    <row r="922" spans="1:3" x14ac:dyDescent="0.25">
      <c r="A922">
        <v>921</v>
      </c>
      <c r="B922" t="s">
        <v>2036</v>
      </c>
      <c r="C922">
        <v>1.9E-2</v>
      </c>
    </row>
    <row r="923" spans="1:3" x14ac:dyDescent="0.25">
      <c r="A923">
        <v>922</v>
      </c>
      <c r="B923" t="s">
        <v>2037</v>
      </c>
      <c r="C923">
        <v>1.9E-2</v>
      </c>
    </row>
    <row r="924" spans="1:3" x14ac:dyDescent="0.25">
      <c r="A924">
        <v>923</v>
      </c>
      <c r="B924" t="s">
        <v>2038</v>
      </c>
      <c r="C924">
        <v>1.9E-2</v>
      </c>
    </row>
    <row r="925" spans="1:3" x14ac:dyDescent="0.25">
      <c r="A925">
        <v>924</v>
      </c>
      <c r="B925" t="s">
        <v>2039</v>
      </c>
      <c r="C925">
        <v>1.9E-2</v>
      </c>
    </row>
    <row r="926" spans="1:3" x14ac:dyDescent="0.25">
      <c r="A926">
        <v>925</v>
      </c>
      <c r="B926" t="s">
        <v>2040</v>
      </c>
      <c r="C926">
        <v>1.9E-2</v>
      </c>
    </row>
    <row r="927" spans="1:3" x14ac:dyDescent="0.25">
      <c r="A927">
        <v>926</v>
      </c>
      <c r="B927" t="s">
        <v>2041</v>
      </c>
      <c r="C927">
        <v>1.9E-2</v>
      </c>
    </row>
    <row r="928" spans="1:3" x14ac:dyDescent="0.25">
      <c r="A928">
        <v>927</v>
      </c>
      <c r="B928" t="s">
        <v>2042</v>
      </c>
      <c r="C928">
        <v>1.7999999999999999E-2</v>
      </c>
    </row>
    <row r="929" spans="1:3" x14ac:dyDescent="0.25">
      <c r="A929">
        <v>928</v>
      </c>
      <c r="B929" t="s">
        <v>2043</v>
      </c>
      <c r="C929">
        <v>1.7999999999999999E-2</v>
      </c>
    </row>
    <row r="930" spans="1:3" x14ac:dyDescent="0.25">
      <c r="A930">
        <v>929</v>
      </c>
      <c r="B930" t="s">
        <v>2044</v>
      </c>
      <c r="C930">
        <v>1.7999999999999999E-2</v>
      </c>
    </row>
    <row r="931" spans="1:3" x14ac:dyDescent="0.25">
      <c r="A931">
        <v>930</v>
      </c>
      <c r="B931" t="s">
        <v>2045</v>
      </c>
      <c r="C931">
        <v>1.7999999999999999E-2</v>
      </c>
    </row>
    <row r="932" spans="1:3" x14ac:dyDescent="0.25">
      <c r="A932">
        <v>931</v>
      </c>
      <c r="B932" t="s">
        <v>2046</v>
      </c>
      <c r="C932">
        <v>1.7999999999999999E-2</v>
      </c>
    </row>
    <row r="933" spans="1:3" x14ac:dyDescent="0.25">
      <c r="A933">
        <v>932</v>
      </c>
      <c r="B933" t="s">
        <v>2047</v>
      </c>
      <c r="C933">
        <v>1.7999999999999999E-2</v>
      </c>
    </row>
    <row r="934" spans="1:3" x14ac:dyDescent="0.25">
      <c r="A934">
        <v>933</v>
      </c>
      <c r="B934" t="s">
        <v>2048</v>
      </c>
      <c r="C934">
        <v>1.7999999999999999E-2</v>
      </c>
    </row>
    <row r="935" spans="1:3" x14ac:dyDescent="0.25">
      <c r="A935">
        <v>934</v>
      </c>
      <c r="B935" t="s">
        <v>2049</v>
      </c>
      <c r="C935">
        <v>1.7999999999999999E-2</v>
      </c>
    </row>
    <row r="936" spans="1:3" x14ac:dyDescent="0.25">
      <c r="A936">
        <v>935</v>
      </c>
      <c r="B936" t="s">
        <v>2050</v>
      </c>
      <c r="C936">
        <v>1.7999999999999999E-2</v>
      </c>
    </row>
    <row r="937" spans="1:3" x14ac:dyDescent="0.25">
      <c r="A937">
        <v>936</v>
      </c>
      <c r="B937" t="s">
        <v>2051</v>
      </c>
      <c r="C937">
        <v>1.7999999999999999E-2</v>
      </c>
    </row>
    <row r="938" spans="1:3" x14ac:dyDescent="0.25">
      <c r="A938">
        <v>937</v>
      </c>
      <c r="B938" t="s">
        <v>2052</v>
      </c>
      <c r="C938">
        <v>1.7999999999999999E-2</v>
      </c>
    </row>
    <row r="939" spans="1:3" x14ac:dyDescent="0.25">
      <c r="A939">
        <v>938</v>
      </c>
      <c r="B939" t="s">
        <v>2053</v>
      </c>
      <c r="C939">
        <v>1.7999999999999999E-2</v>
      </c>
    </row>
    <row r="940" spans="1:3" x14ac:dyDescent="0.25">
      <c r="A940">
        <v>939</v>
      </c>
      <c r="B940" t="s">
        <v>2054</v>
      </c>
      <c r="C940">
        <v>1.7999999999999999E-2</v>
      </c>
    </row>
    <row r="941" spans="1:3" x14ac:dyDescent="0.25">
      <c r="A941">
        <v>940</v>
      </c>
      <c r="B941" t="s">
        <v>2055</v>
      </c>
      <c r="C941">
        <v>1.7999999999999999E-2</v>
      </c>
    </row>
    <row r="942" spans="1:3" x14ac:dyDescent="0.25">
      <c r="A942">
        <v>941</v>
      </c>
      <c r="B942" t="s">
        <v>2056</v>
      </c>
      <c r="C942">
        <v>1.7999999999999999E-2</v>
      </c>
    </row>
    <row r="943" spans="1:3" x14ac:dyDescent="0.25">
      <c r="A943">
        <v>942</v>
      </c>
      <c r="B943" t="s">
        <v>2057</v>
      </c>
      <c r="C943">
        <v>1.7999999999999999E-2</v>
      </c>
    </row>
    <row r="944" spans="1:3" x14ac:dyDescent="0.25">
      <c r="A944">
        <v>943</v>
      </c>
      <c r="B944" t="s">
        <v>2058</v>
      </c>
      <c r="C944">
        <v>1.7999999999999999E-2</v>
      </c>
    </row>
    <row r="945" spans="1:3" x14ac:dyDescent="0.25">
      <c r="A945">
        <v>944</v>
      </c>
      <c r="B945" t="s">
        <v>2059</v>
      </c>
      <c r="C945">
        <v>1.7999999999999999E-2</v>
      </c>
    </row>
    <row r="946" spans="1:3" x14ac:dyDescent="0.25">
      <c r="A946">
        <v>945</v>
      </c>
      <c r="B946" t="s">
        <v>2060</v>
      </c>
      <c r="C946">
        <v>1.7999999999999999E-2</v>
      </c>
    </row>
    <row r="947" spans="1:3" x14ac:dyDescent="0.25">
      <c r="A947">
        <v>946</v>
      </c>
      <c r="B947" t="s">
        <v>2061</v>
      </c>
      <c r="C947">
        <v>1.7999999999999999E-2</v>
      </c>
    </row>
    <row r="948" spans="1:3" x14ac:dyDescent="0.25">
      <c r="A948">
        <v>947</v>
      </c>
      <c r="B948" t="s">
        <v>2062</v>
      </c>
      <c r="C948">
        <v>1.7999999999999999E-2</v>
      </c>
    </row>
    <row r="949" spans="1:3" x14ac:dyDescent="0.25">
      <c r="A949">
        <v>948</v>
      </c>
      <c r="B949" t="s">
        <v>2063</v>
      </c>
      <c r="C949">
        <v>1.7999999999999999E-2</v>
      </c>
    </row>
    <row r="950" spans="1:3" x14ac:dyDescent="0.25">
      <c r="A950">
        <v>949</v>
      </c>
      <c r="B950" t="s">
        <v>2064</v>
      </c>
      <c r="C950">
        <v>1.7999999999999999E-2</v>
      </c>
    </row>
    <row r="951" spans="1:3" x14ac:dyDescent="0.25">
      <c r="A951">
        <v>950</v>
      </c>
      <c r="B951" t="s">
        <v>2065</v>
      </c>
      <c r="C951">
        <v>1.7999999999999999E-2</v>
      </c>
    </row>
    <row r="952" spans="1:3" x14ac:dyDescent="0.25">
      <c r="A952">
        <v>951</v>
      </c>
      <c r="B952" t="s">
        <v>2066</v>
      </c>
      <c r="C952">
        <v>1.7999999999999999E-2</v>
      </c>
    </row>
    <row r="953" spans="1:3" x14ac:dyDescent="0.25">
      <c r="A953">
        <v>952</v>
      </c>
      <c r="B953" t="s">
        <v>2067</v>
      </c>
      <c r="C953">
        <v>1.7000000000000001E-2</v>
      </c>
    </row>
    <row r="954" spans="1:3" x14ac:dyDescent="0.25">
      <c r="A954">
        <v>953</v>
      </c>
      <c r="B954" t="s">
        <v>2068</v>
      </c>
      <c r="C954">
        <v>1.7000000000000001E-2</v>
      </c>
    </row>
    <row r="955" spans="1:3" x14ac:dyDescent="0.25">
      <c r="A955">
        <v>954</v>
      </c>
      <c r="B955" t="s">
        <v>2069</v>
      </c>
      <c r="C955">
        <v>1.7000000000000001E-2</v>
      </c>
    </row>
    <row r="956" spans="1:3" x14ac:dyDescent="0.25">
      <c r="A956">
        <v>955</v>
      </c>
      <c r="B956" t="s">
        <v>2070</v>
      </c>
      <c r="C956">
        <v>1.7000000000000001E-2</v>
      </c>
    </row>
    <row r="957" spans="1:3" x14ac:dyDescent="0.25">
      <c r="A957">
        <v>956</v>
      </c>
      <c r="B957" t="s">
        <v>2071</v>
      </c>
      <c r="C957">
        <v>1.7000000000000001E-2</v>
      </c>
    </row>
    <row r="958" spans="1:3" x14ac:dyDescent="0.25">
      <c r="A958">
        <v>957</v>
      </c>
      <c r="B958" t="s">
        <v>2072</v>
      </c>
      <c r="C958">
        <v>1.7000000000000001E-2</v>
      </c>
    </row>
    <row r="959" spans="1:3" x14ac:dyDescent="0.25">
      <c r="A959">
        <v>958</v>
      </c>
      <c r="B959" t="s">
        <v>2073</v>
      </c>
      <c r="C959">
        <v>1.7000000000000001E-2</v>
      </c>
    </row>
    <row r="960" spans="1:3" x14ac:dyDescent="0.25">
      <c r="A960">
        <v>959</v>
      </c>
      <c r="B960" t="s">
        <v>2074</v>
      </c>
      <c r="C960">
        <v>1.7000000000000001E-2</v>
      </c>
    </row>
    <row r="961" spans="1:3" x14ac:dyDescent="0.25">
      <c r="A961">
        <v>960</v>
      </c>
      <c r="B961" t="s">
        <v>2075</v>
      </c>
      <c r="C961">
        <v>1.7000000000000001E-2</v>
      </c>
    </row>
    <row r="962" spans="1:3" x14ac:dyDescent="0.25">
      <c r="A962">
        <v>961</v>
      </c>
      <c r="B962" t="s">
        <v>2076</v>
      </c>
      <c r="C962">
        <v>1.7000000000000001E-2</v>
      </c>
    </row>
    <row r="963" spans="1:3" x14ac:dyDescent="0.25">
      <c r="A963">
        <v>962</v>
      </c>
      <c r="B963" t="s">
        <v>2077</v>
      </c>
      <c r="C963">
        <v>1.7000000000000001E-2</v>
      </c>
    </row>
    <row r="964" spans="1:3" x14ac:dyDescent="0.25">
      <c r="A964">
        <v>963</v>
      </c>
      <c r="B964" t="s">
        <v>2078</v>
      </c>
      <c r="C964">
        <v>1.7000000000000001E-2</v>
      </c>
    </row>
    <row r="965" spans="1:3" x14ac:dyDescent="0.25">
      <c r="A965">
        <v>964</v>
      </c>
      <c r="B965" t="s">
        <v>2079</v>
      </c>
      <c r="C965">
        <v>1.7000000000000001E-2</v>
      </c>
    </row>
    <row r="966" spans="1:3" x14ac:dyDescent="0.25">
      <c r="A966">
        <v>965</v>
      </c>
      <c r="B966" t="s">
        <v>2080</v>
      </c>
      <c r="C966">
        <v>1.7000000000000001E-2</v>
      </c>
    </row>
    <row r="967" spans="1:3" x14ac:dyDescent="0.25">
      <c r="A967">
        <v>966</v>
      </c>
      <c r="B967" t="s">
        <v>2081</v>
      </c>
      <c r="C967">
        <v>1.7000000000000001E-2</v>
      </c>
    </row>
    <row r="968" spans="1:3" x14ac:dyDescent="0.25">
      <c r="A968">
        <v>967</v>
      </c>
      <c r="B968" t="s">
        <v>2082</v>
      </c>
      <c r="C968">
        <v>1.7000000000000001E-2</v>
      </c>
    </row>
    <row r="969" spans="1:3" x14ac:dyDescent="0.25">
      <c r="A969">
        <v>968</v>
      </c>
      <c r="B969" t="s">
        <v>2083</v>
      </c>
      <c r="C969">
        <v>1.7000000000000001E-2</v>
      </c>
    </row>
    <row r="970" spans="1:3" x14ac:dyDescent="0.25">
      <c r="A970">
        <v>969</v>
      </c>
      <c r="B970" t="s">
        <v>2084</v>
      </c>
      <c r="C970">
        <v>1.7000000000000001E-2</v>
      </c>
    </row>
    <row r="971" spans="1:3" x14ac:dyDescent="0.25">
      <c r="A971">
        <v>970</v>
      </c>
      <c r="B971" t="s">
        <v>2085</v>
      </c>
      <c r="C971">
        <v>1.7000000000000001E-2</v>
      </c>
    </row>
    <row r="972" spans="1:3" x14ac:dyDescent="0.25">
      <c r="A972">
        <v>971</v>
      </c>
      <c r="B972" t="s">
        <v>2086</v>
      </c>
      <c r="C972">
        <v>1.7000000000000001E-2</v>
      </c>
    </row>
    <row r="973" spans="1:3" x14ac:dyDescent="0.25">
      <c r="A973">
        <v>972</v>
      </c>
      <c r="B973" t="s">
        <v>2087</v>
      </c>
      <c r="C973">
        <v>1.7000000000000001E-2</v>
      </c>
    </row>
    <row r="974" spans="1:3" x14ac:dyDescent="0.25">
      <c r="A974">
        <v>973</v>
      </c>
      <c r="B974" t="s">
        <v>2088</v>
      </c>
      <c r="C974">
        <v>1.7000000000000001E-2</v>
      </c>
    </row>
    <row r="975" spans="1:3" x14ac:dyDescent="0.25">
      <c r="A975">
        <v>974</v>
      </c>
      <c r="B975" t="s">
        <v>2089</v>
      </c>
      <c r="C975">
        <v>1.7000000000000001E-2</v>
      </c>
    </row>
    <row r="976" spans="1:3" x14ac:dyDescent="0.25">
      <c r="A976">
        <v>975</v>
      </c>
      <c r="B976" t="s">
        <v>2090</v>
      </c>
      <c r="C976">
        <v>1.7000000000000001E-2</v>
      </c>
    </row>
    <row r="977" spans="1:3" x14ac:dyDescent="0.25">
      <c r="A977">
        <v>976</v>
      </c>
      <c r="B977" t="s">
        <v>2091</v>
      </c>
      <c r="C977">
        <v>1.7000000000000001E-2</v>
      </c>
    </row>
    <row r="978" spans="1:3" x14ac:dyDescent="0.25">
      <c r="A978">
        <v>977</v>
      </c>
      <c r="B978" t="s">
        <v>2092</v>
      </c>
      <c r="C978">
        <v>1.7000000000000001E-2</v>
      </c>
    </row>
    <row r="979" spans="1:3" x14ac:dyDescent="0.25">
      <c r="A979">
        <v>978</v>
      </c>
      <c r="B979" t="s">
        <v>2093</v>
      </c>
      <c r="C979">
        <v>1.7000000000000001E-2</v>
      </c>
    </row>
    <row r="980" spans="1:3" x14ac:dyDescent="0.25">
      <c r="A980">
        <v>979</v>
      </c>
      <c r="B980" t="s">
        <v>2094</v>
      </c>
      <c r="C980">
        <v>1.7000000000000001E-2</v>
      </c>
    </row>
    <row r="981" spans="1:3" x14ac:dyDescent="0.25">
      <c r="A981">
        <v>980</v>
      </c>
      <c r="B981" t="s">
        <v>2095</v>
      </c>
      <c r="C981">
        <v>1.7000000000000001E-2</v>
      </c>
    </row>
    <row r="982" spans="1:3" x14ac:dyDescent="0.25">
      <c r="A982">
        <v>981</v>
      </c>
      <c r="B982" t="s">
        <v>2096</v>
      </c>
      <c r="C982">
        <v>1.7000000000000001E-2</v>
      </c>
    </row>
    <row r="983" spans="1:3" x14ac:dyDescent="0.25">
      <c r="A983">
        <v>982</v>
      </c>
      <c r="B983" t="s">
        <v>2097</v>
      </c>
      <c r="C983">
        <v>1.7000000000000001E-2</v>
      </c>
    </row>
    <row r="984" spans="1:3" x14ac:dyDescent="0.25">
      <c r="A984">
        <v>983</v>
      </c>
      <c r="B984" t="s">
        <v>2098</v>
      </c>
      <c r="C984">
        <v>1.6E-2</v>
      </c>
    </row>
    <row r="985" spans="1:3" x14ac:dyDescent="0.25">
      <c r="A985">
        <v>984</v>
      </c>
      <c r="B985" t="s">
        <v>2099</v>
      </c>
      <c r="C985">
        <v>1.6E-2</v>
      </c>
    </row>
    <row r="986" spans="1:3" x14ac:dyDescent="0.25">
      <c r="A986">
        <v>985</v>
      </c>
      <c r="B986" t="s">
        <v>2100</v>
      </c>
      <c r="C986">
        <v>1.6E-2</v>
      </c>
    </row>
    <row r="987" spans="1:3" x14ac:dyDescent="0.25">
      <c r="A987">
        <v>986</v>
      </c>
      <c r="B987" t="s">
        <v>2101</v>
      </c>
      <c r="C987">
        <v>1.6E-2</v>
      </c>
    </row>
    <row r="988" spans="1:3" x14ac:dyDescent="0.25">
      <c r="A988">
        <v>987</v>
      </c>
      <c r="B988" t="s">
        <v>2102</v>
      </c>
      <c r="C988">
        <v>1.6E-2</v>
      </c>
    </row>
    <row r="989" spans="1:3" x14ac:dyDescent="0.25">
      <c r="A989">
        <v>988</v>
      </c>
      <c r="B989" t="s">
        <v>2103</v>
      </c>
      <c r="C989">
        <v>1.6E-2</v>
      </c>
    </row>
    <row r="990" spans="1:3" x14ac:dyDescent="0.25">
      <c r="A990">
        <v>989</v>
      </c>
      <c r="B990" t="s">
        <v>2104</v>
      </c>
      <c r="C990">
        <v>1.6E-2</v>
      </c>
    </row>
    <row r="991" spans="1:3" x14ac:dyDescent="0.25">
      <c r="A991">
        <v>990</v>
      </c>
      <c r="B991" t="s">
        <v>2105</v>
      </c>
      <c r="C991">
        <v>1.6E-2</v>
      </c>
    </row>
    <row r="992" spans="1:3" x14ac:dyDescent="0.25">
      <c r="A992">
        <v>991</v>
      </c>
      <c r="B992" t="s">
        <v>2106</v>
      </c>
      <c r="C992">
        <v>1.6E-2</v>
      </c>
    </row>
    <row r="993" spans="1:3" x14ac:dyDescent="0.25">
      <c r="A993">
        <v>992</v>
      </c>
      <c r="B993" t="s">
        <v>2107</v>
      </c>
      <c r="C993">
        <v>1.6E-2</v>
      </c>
    </row>
    <row r="994" spans="1:3" x14ac:dyDescent="0.25">
      <c r="A994">
        <v>993</v>
      </c>
      <c r="B994" t="s">
        <v>2108</v>
      </c>
      <c r="C994">
        <v>1.6E-2</v>
      </c>
    </row>
    <row r="995" spans="1:3" x14ac:dyDescent="0.25">
      <c r="A995">
        <v>994</v>
      </c>
      <c r="B995" t="s">
        <v>2109</v>
      </c>
      <c r="C995">
        <v>1.6E-2</v>
      </c>
    </row>
    <row r="996" spans="1:3" x14ac:dyDescent="0.25">
      <c r="A996">
        <v>995</v>
      </c>
      <c r="B996" t="s">
        <v>2110</v>
      </c>
      <c r="C996">
        <v>1.6E-2</v>
      </c>
    </row>
    <row r="997" spans="1:3" x14ac:dyDescent="0.25">
      <c r="A997">
        <v>996</v>
      </c>
      <c r="B997" t="s">
        <v>2111</v>
      </c>
      <c r="C997">
        <v>1.6E-2</v>
      </c>
    </row>
    <row r="998" spans="1:3" x14ac:dyDescent="0.25">
      <c r="A998">
        <v>997</v>
      </c>
      <c r="B998" t="s">
        <v>2112</v>
      </c>
      <c r="C998">
        <v>1.6E-2</v>
      </c>
    </row>
    <row r="999" spans="1:3" x14ac:dyDescent="0.25">
      <c r="A999">
        <v>998</v>
      </c>
      <c r="B999" t="s">
        <v>2113</v>
      </c>
      <c r="C999">
        <v>1.4999999999999999E-2</v>
      </c>
    </row>
    <row r="1000" spans="1:3" x14ac:dyDescent="0.25">
      <c r="A1000">
        <v>999</v>
      </c>
      <c r="B1000" t="s">
        <v>2114</v>
      </c>
      <c r="C1000">
        <v>1.4999999999999999E-2</v>
      </c>
    </row>
    <row r="1001" spans="1:3" x14ac:dyDescent="0.25">
      <c r="A1001">
        <v>1000</v>
      </c>
      <c r="B1001" t="s">
        <v>2115</v>
      </c>
      <c r="C1001">
        <v>1.4999999999999999E-2</v>
      </c>
    </row>
    <row r="1002" spans="1:3" x14ac:dyDescent="0.25">
      <c r="A1002">
        <v>1001</v>
      </c>
      <c r="B1002" t="s">
        <v>2116</v>
      </c>
      <c r="C1002">
        <v>1.4999999999999999E-2</v>
      </c>
    </row>
    <row r="1003" spans="1:3" x14ac:dyDescent="0.25">
      <c r="A1003">
        <v>1002</v>
      </c>
      <c r="B1003" t="s">
        <v>2117</v>
      </c>
      <c r="C1003">
        <v>1.4999999999999999E-2</v>
      </c>
    </row>
    <row r="1004" spans="1:3" x14ac:dyDescent="0.25">
      <c r="A1004">
        <v>1003</v>
      </c>
      <c r="B1004" t="s">
        <v>2118</v>
      </c>
      <c r="C1004">
        <v>1.4999999999999999E-2</v>
      </c>
    </row>
    <row r="1005" spans="1:3" x14ac:dyDescent="0.25">
      <c r="A1005">
        <v>1004</v>
      </c>
      <c r="B1005" t="s">
        <v>2119</v>
      </c>
      <c r="C1005">
        <v>1.4999999999999999E-2</v>
      </c>
    </row>
    <row r="1006" spans="1:3" x14ac:dyDescent="0.25">
      <c r="A1006">
        <v>1005</v>
      </c>
      <c r="B1006" t="s">
        <v>2120</v>
      </c>
      <c r="C1006">
        <v>1.4999999999999999E-2</v>
      </c>
    </row>
    <row r="1007" spans="1:3" x14ac:dyDescent="0.25">
      <c r="A1007">
        <v>1006</v>
      </c>
      <c r="B1007" t="s">
        <v>2121</v>
      </c>
      <c r="C1007">
        <v>1.4999999999999999E-2</v>
      </c>
    </row>
    <row r="1008" spans="1:3" x14ac:dyDescent="0.25">
      <c r="A1008">
        <v>1007</v>
      </c>
      <c r="B1008" t="s">
        <v>2122</v>
      </c>
      <c r="C1008">
        <v>1.4999999999999999E-2</v>
      </c>
    </row>
    <row r="1009" spans="1:3" x14ac:dyDescent="0.25">
      <c r="A1009">
        <v>1008</v>
      </c>
      <c r="B1009" t="s">
        <v>2123</v>
      </c>
      <c r="C1009">
        <v>1.4999999999999999E-2</v>
      </c>
    </row>
    <row r="1010" spans="1:3" x14ac:dyDescent="0.25">
      <c r="A1010">
        <v>1009</v>
      </c>
      <c r="B1010" t="s">
        <v>2124</v>
      </c>
      <c r="C1010">
        <v>1.4999999999999999E-2</v>
      </c>
    </row>
    <row r="1011" spans="1:3" x14ac:dyDescent="0.25">
      <c r="A1011">
        <v>1010</v>
      </c>
      <c r="B1011" t="s">
        <v>2125</v>
      </c>
      <c r="C1011">
        <v>1.4999999999999999E-2</v>
      </c>
    </row>
    <row r="1012" spans="1:3" x14ac:dyDescent="0.25">
      <c r="A1012">
        <v>1011</v>
      </c>
      <c r="B1012" t="s">
        <v>2126</v>
      </c>
      <c r="C1012">
        <v>1.4999999999999999E-2</v>
      </c>
    </row>
    <row r="1013" spans="1:3" x14ac:dyDescent="0.25">
      <c r="A1013">
        <v>1012</v>
      </c>
      <c r="B1013" t="s">
        <v>2127</v>
      </c>
      <c r="C1013">
        <v>1.4999999999999999E-2</v>
      </c>
    </row>
    <row r="1014" spans="1:3" x14ac:dyDescent="0.25">
      <c r="A1014">
        <v>1013</v>
      </c>
      <c r="B1014" t="s">
        <v>2128</v>
      </c>
      <c r="C1014">
        <v>1.4999999999999999E-2</v>
      </c>
    </row>
    <row r="1015" spans="1:3" x14ac:dyDescent="0.25">
      <c r="A1015">
        <v>1014</v>
      </c>
      <c r="B1015" t="s">
        <v>2129</v>
      </c>
      <c r="C1015">
        <v>1.4999999999999999E-2</v>
      </c>
    </row>
    <row r="1016" spans="1:3" x14ac:dyDescent="0.25">
      <c r="A1016">
        <v>1015</v>
      </c>
      <c r="B1016" t="s">
        <v>2130</v>
      </c>
      <c r="C1016">
        <v>1.4999999999999999E-2</v>
      </c>
    </row>
    <row r="1017" spans="1:3" x14ac:dyDescent="0.25">
      <c r="A1017">
        <v>1016</v>
      </c>
      <c r="B1017" t="s">
        <v>2131</v>
      </c>
      <c r="C1017">
        <v>1.4999999999999999E-2</v>
      </c>
    </row>
    <row r="1018" spans="1:3" x14ac:dyDescent="0.25">
      <c r="A1018">
        <v>1017</v>
      </c>
      <c r="B1018" t="s">
        <v>2132</v>
      </c>
      <c r="C1018">
        <v>1.4999999999999999E-2</v>
      </c>
    </row>
    <row r="1019" spans="1:3" x14ac:dyDescent="0.25">
      <c r="A1019">
        <v>1018</v>
      </c>
      <c r="B1019" t="s">
        <v>2133</v>
      </c>
      <c r="C1019">
        <v>1.4999999999999999E-2</v>
      </c>
    </row>
    <row r="1020" spans="1:3" x14ac:dyDescent="0.25">
      <c r="A1020">
        <v>1019</v>
      </c>
      <c r="B1020" t="s">
        <v>2134</v>
      </c>
      <c r="C1020">
        <v>1.4E-2</v>
      </c>
    </row>
    <row r="1021" spans="1:3" x14ac:dyDescent="0.25">
      <c r="A1021">
        <v>1020</v>
      </c>
      <c r="B1021" t="s">
        <v>2135</v>
      </c>
      <c r="C1021">
        <v>1.4E-2</v>
      </c>
    </row>
    <row r="1022" spans="1:3" x14ac:dyDescent="0.25">
      <c r="A1022">
        <v>1021</v>
      </c>
      <c r="B1022" t="s">
        <v>2136</v>
      </c>
      <c r="C1022">
        <v>1.4E-2</v>
      </c>
    </row>
    <row r="1023" spans="1:3" x14ac:dyDescent="0.25">
      <c r="A1023">
        <v>1022</v>
      </c>
      <c r="B1023" t="s">
        <v>2137</v>
      </c>
      <c r="C1023">
        <v>1.4E-2</v>
      </c>
    </row>
    <row r="1024" spans="1:3" x14ac:dyDescent="0.25">
      <c r="A1024">
        <v>1023</v>
      </c>
      <c r="B1024" t="s">
        <v>2138</v>
      </c>
      <c r="C1024">
        <v>1.4E-2</v>
      </c>
    </row>
    <row r="1025" spans="1:3" x14ac:dyDescent="0.25">
      <c r="A1025">
        <v>1024</v>
      </c>
      <c r="B1025" t="s">
        <v>2139</v>
      </c>
      <c r="C1025">
        <v>1.4E-2</v>
      </c>
    </row>
    <row r="1026" spans="1:3" x14ac:dyDescent="0.25">
      <c r="A1026">
        <v>1025</v>
      </c>
      <c r="B1026" t="s">
        <v>2140</v>
      </c>
      <c r="C1026">
        <v>1.4E-2</v>
      </c>
    </row>
    <row r="1027" spans="1:3" x14ac:dyDescent="0.25">
      <c r="A1027">
        <v>1026</v>
      </c>
      <c r="B1027" t="s">
        <v>2141</v>
      </c>
      <c r="C1027">
        <v>1.4E-2</v>
      </c>
    </row>
    <row r="1028" spans="1:3" x14ac:dyDescent="0.25">
      <c r="A1028">
        <v>1027</v>
      </c>
      <c r="B1028" t="s">
        <v>2142</v>
      </c>
      <c r="C1028">
        <v>1.4E-2</v>
      </c>
    </row>
    <row r="1029" spans="1:3" x14ac:dyDescent="0.25">
      <c r="A1029">
        <v>1028</v>
      </c>
      <c r="B1029" t="s">
        <v>2143</v>
      </c>
      <c r="C1029">
        <v>1.4E-2</v>
      </c>
    </row>
    <row r="1030" spans="1:3" x14ac:dyDescent="0.25">
      <c r="A1030">
        <v>1029</v>
      </c>
      <c r="B1030" t="s">
        <v>2144</v>
      </c>
      <c r="C1030">
        <v>1.4E-2</v>
      </c>
    </row>
    <row r="1031" spans="1:3" x14ac:dyDescent="0.25">
      <c r="A1031">
        <v>1030</v>
      </c>
      <c r="B1031" t="s">
        <v>2145</v>
      </c>
      <c r="C1031">
        <v>1.4E-2</v>
      </c>
    </row>
    <row r="1032" spans="1:3" x14ac:dyDescent="0.25">
      <c r="A1032">
        <v>1031</v>
      </c>
      <c r="B1032" t="s">
        <v>2146</v>
      </c>
      <c r="C1032">
        <v>1.4E-2</v>
      </c>
    </row>
    <row r="1033" spans="1:3" x14ac:dyDescent="0.25">
      <c r="A1033">
        <v>1032</v>
      </c>
      <c r="B1033" t="s">
        <v>2147</v>
      </c>
      <c r="C1033">
        <v>1.4E-2</v>
      </c>
    </row>
    <row r="1034" spans="1:3" x14ac:dyDescent="0.25">
      <c r="A1034">
        <v>1033</v>
      </c>
      <c r="B1034" t="s">
        <v>2148</v>
      </c>
      <c r="C1034">
        <v>1.4E-2</v>
      </c>
    </row>
    <row r="1035" spans="1:3" x14ac:dyDescent="0.25">
      <c r="A1035">
        <v>1034</v>
      </c>
      <c r="B1035" t="s">
        <v>2149</v>
      </c>
      <c r="C1035">
        <v>1.4E-2</v>
      </c>
    </row>
    <row r="1036" spans="1:3" x14ac:dyDescent="0.25">
      <c r="A1036">
        <v>1035</v>
      </c>
      <c r="B1036" t="s">
        <v>2150</v>
      </c>
      <c r="C1036">
        <v>1.4E-2</v>
      </c>
    </row>
    <row r="1037" spans="1:3" x14ac:dyDescent="0.25">
      <c r="A1037">
        <v>1036</v>
      </c>
      <c r="B1037" t="s">
        <v>2151</v>
      </c>
      <c r="C1037">
        <v>1.4E-2</v>
      </c>
    </row>
    <row r="1038" spans="1:3" x14ac:dyDescent="0.25">
      <c r="A1038">
        <v>1037</v>
      </c>
      <c r="B1038" t="s">
        <v>2152</v>
      </c>
      <c r="C1038">
        <v>1.4E-2</v>
      </c>
    </row>
    <row r="1039" spans="1:3" x14ac:dyDescent="0.25">
      <c r="A1039">
        <v>1038</v>
      </c>
      <c r="B1039" t="s">
        <v>2153</v>
      </c>
      <c r="C1039">
        <v>1.4E-2</v>
      </c>
    </row>
    <row r="1040" spans="1:3" x14ac:dyDescent="0.25">
      <c r="A1040">
        <v>1039</v>
      </c>
      <c r="B1040" t="s">
        <v>2154</v>
      </c>
      <c r="C1040">
        <v>1.4E-2</v>
      </c>
    </row>
    <row r="1041" spans="1:3" x14ac:dyDescent="0.25">
      <c r="A1041">
        <v>1040</v>
      </c>
      <c r="B1041" t="s">
        <v>2155</v>
      </c>
      <c r="C1041">
        <v>1.4E-2</v>
      </c>
    </row>
    <row r="1042" spans="1:3" x14ac:dyDescent="0.25">
      <c r="A1042">
        <v>1041</v>
      </c>
      <c r="B1042" t="s">
        <v>2156</v>
      </c>
      <c r="C1042">
        <v>1.4E-2</v>
      </c>
    </row>
    <row r="1043" spans="1:3" x14ac:dyDescent="0.25">
      <c r="A1043">
        <v>1042</v>
      </c>
      <c r="B1043" t="s">
        <v>2157</v>
      </c>
      <c r="C1043">
        <v>1.4E-2</v>
      </c>
    </row>
    <row r="1044" spans="1:3" x14ac:dyDescent="0.25">
      <c r="A1044">
        <v>1043</v>
      </c>
      <c r="B1044" t="s">
        <v>2158</v>
      </c>
      <c r="C1044">
        <v>1.4E-2</v>
      </c>
    </row>
    <row r="1045" spans="1:3" x14ac:dyDescent="0.25">
      <c r="A1045">
        <v>1044</v>
      </c>
      <c r="B1045" t="s">
        <v>2159</v>
      </c>
      <c r="C1045">
        <v>1.4E-2</v>
      </c>
    </row>
    <row r="1046" spans="1:3" x14ac:dyDescent="0.25">
      <c r="A1046">
        <v>1045</v>
      </c>
      <c r="B1046" t="s">
        <v>2160</v>
      </c>
      <c r="C1046">
        <v>1.4E-2</v>
      </c>
    </row>
    <row r="1047" spans="1:3" x14ac:dyDescent="0.25">
      <c r="A1047">
        <v>1046</v>
      </c>
      <c r="B1047" t="s">
        <v>2161</v>
      </c>
      <c r="C1047">
        <v>1.4E-2</v>
      </c>
    </row>
    <row r="1048" spans="1:3" x14ac:dyDescent="0.25">
      <c r="A1048">
        <v>1047</v>
      </c>
      <c r="B1048" t="s">
        <v>2162</v>
      </c>
      <c r="C1048">
        <v>1.4E-2</v>
      </c>
    </row>
    <row r="1049" spans="1:3" x14ac:dyDescent="0.25">
      <c r="A1049">
        <v>1048</v>
      </c>
      <c r="B1049" t="s">
        <v>2163</v>
      </c>
      <c r="C1049">
        <v>1.4E-2</v>
      </c>
    </row>
    <row r="1050" spans="1:3" x14ac:dyDescent="0.25">
      <c r="A1050">
        <v>1049</v>
      </c>
      <c r="B1050" t="s">
        <v>2164</v>
      </c>
      <c r="C1050">
        <v>1.4E-2</v>
      </c>
    </row>
    <row r="1051" spans="1:3" x14ac:dyDescent="0.25">
      <c r="A1051">
        <v>1050</v>
      </c>
      <c r="B1051" t="s">
        <v>2165</v>
      </c>
      <c r="C1051">
        <v>1.4E-2</v>
      </c>
    </row>
    <row r="1052" spans="1:3" x14ac:dyDescent="0.25">
      <c r="A1052">
        <v>1051</v>
      </c>
      <c r="B1052" t="s">
        <v>2166</v>
      </c>
      <c r="C1052">
        <v>1.4E-2</v>
      </c>
    </row>
    <row r="1053" spans="1:3" x14ac:dyDescent="0.25">
      <c r="A1053">
        <v>1052</v>
      </c>
      <c r="B1053" t="s">
        <v>2167</v>
      </c>
      <c r="C1053">
        <v>1.4E-2</v>
      </c>
    </row>
    <row r="1054" spans="1:3" x14ac:dyDescent="0.25">
      <c r="A1054">
        <v>1053</v>
      </c>
      <c r="B1054" t="s">
        <v>2168</v>
      </c>
      <c r="C1054">
        <v>1.2999999999999999E-2</v>
      </c>
    </row>
    <row r="1055" spans="1:3" x14ac:dyDescent="0.25">
      <c r="A1055">
        <v>1054</v>
      </c>
      <c r="B1055" t="s">
        <v>2169</v>
      </c>
      <c r="C1055">
        <v>1.2999999999999999E-2</v>
      </c>
    </row>
    <row r="1056" spans="1:3" x14ac:dyDescent="0.25">
      <c r="A1056">
        <v>1055</v>
      </c>
      <c r="B1056" t="s">
        <v>2170</v>
      </c>
      <c r="C1056">
        <v>1.2999999999999999E-2</v>
      </c>
    </row>
    <row r="1057" spans="1:3" x14ac:dyDescent="0.25">
      <c r="A1057">
        <v>1056</v>
      </c>
      <c r="B1057" t="s">
        <v>2171</v>
      </c>
      <c r="C1057">
        <v>1.2999999999999999E-2</v>
      </c>
    </row>
    <row r="1058" spans="1:3" x14ac:dyDescent="0.25">
      <c r="A1058">
        <v>1057</v>
      </c>
      <c r="B1058" t="s">
        <v>2172</v>
      </c>
      <c r="C1058">
        <v>1.2999999999999999E-2</v>
      </c>
    </row>
    <row r="1059" spans="1:3" x14ac:dyDescent="0.25">
      <c r="A1059">
        <v>1058</v>
      </c>
      <c r="B1059" t="s">
        <v>2173</v>
      </c>
      <c r="C1059">
        <v>1.2999999999999999E-2</v>
      </c>
    </row>
    <row r="1060" spans="1:3" x14ac:dyDescent="0.25">
      <c r="A1060">
        <v>1059</v>
      </c>
      <c r="B1060" t="s">
        <v>2174</v>
      </c>
      <c r="C1060">
        <v>1.2999999999999999E-2</v>
      </c>
    </row>
    <row r="1061" spans="1:3" x14ac:dyDescent="0.25">
      <c r="A1061">
        <v>1060</v>
      </c>
      <c r="B1061" t="s">
        <v>2175</v>
      </c>
      <c r="C1061">
        <v>1.2999999999999999E-2</v>
      </c>
    </row>
    <row r="1062" spans="1:3" x14ac:dyDescent="0.25">
      <c r="A1062">
        <v>1061</v>
      </c>
      <c r="B1062" t="s">
        <v>2176</v>
      </c>
      <c r="C1062">
        <v>1.2999999999999999E-2</v>
      </c>
    </row>
    <row r="1063" spans="1:3" x14ac:dyDescent="0.25">
      <c r="A1063">
        <v>1062</v>
      </c>
      <c r="B1063" t="s">
        <v>2177</v>
      </c>
      <c r="C1063">
        <v>1.2999999999999999E-2</v>
      </c>
    </row>
    <row r="1064" spans="1:3" x14ac:dyDescent="0.25">
      <c r="A1064">
        <v>1063</v>
      </c>
      <c r="B1064" t="s">
        <v>2178</v>
      </c>
      <c r="C1064">
        <v>1.2999999999999999E-2</v>
      </c>
    </row>
    <row r="1065" spans="1:3" x14ac:dyDescent="0.25">
      <c r="A1065">
        <v>1064</v>
      </c>
      <c r="B1065" t="s">
        <v>2179</v>
      </c>
      <c r="C1065">
        <v>1.2999999999999999E-2</v>
      </c>
    </row>
    <row r="1066" spans="1:3" x14ac:dyDescent="0.25">
      <c r="A1066">
        <v>1065</v>
      </c>
      <c r="B1066" t="s">
        <v>2180</v>
      </c>
      <c r="C1066">
        <v>1.2999999999999999E-2</v>
      </c>
    </row>
    <row r="1067" spans="1:3" x14ac:dyDescent="0.25">
      <c r="A1067">
        <v>1066</v>
      </c>
      <c r="B1067" t="s">
        <v>2181</v>
      </c>
      <c r="C1067">
        <v>1.2999999999999999E-2</v>
      </c>
    </row>
    <row r="1068" spans="1:3" x14ac:dyDescent="0.25">
      <c r="A1068">
        <v>1067</v>
      </c>
      <c r="B1068" t="s">
        <v>2182</v>
      </c>
      <c r="C1068">
        <v>1.2999999999999999E-2</v>
      </c>
    </row>
    <row r="1069" spans="1:3" x14ac:dyDescent="0.25">
      <c r="A1069">
        <v>1068</v>
      </c>
      <c r="B1069" t="s">
        <v>2183</v>
      </c>
      <c r="C1069">
        <v>1.2999999999999999E-2</v>
      </c>
    </row>
    <row r="1070" spans="1:3" x14ac:dyDescent="0.25">
      <c r="A1070">
        <v>1069</v>
      </c>
      <c r="B1070" t="s">
        <v>2184</v>
      </c>
      <c r="C1070">
        <v>1.2999999999999999E-2</v>
      </c>
    </row>
    <row r="1071" spans="1:3" x14ac:dyDescent="0.25">
      <c r="A1071">
        <v>1070</v>
      </c>
      <c r="B1071" t="s">
        <v>2185</v>
      </c>
      <c r="C1071">
        <v>1.2999999999999999E-2</v>
      </c>
    </row>
    <row r="1072" spans="1:3" x14ac:dyDescent="0.25">
      <c r="A1072">
        <v>1071</v>
      </c>
      <c r="B1072" t="s">
        <v>2186</v>
      </c>
      <c r="C1072">
        <v>1.2999999999999999E-2</v>
      </c>
    </row>
    <row r="1073" spans="1:3" x14ac:dyDescent="0.25">
      <c r="A1073">
        <v>1072</v>
      </c>
      <c r="B1073" t="s">
        <v>2187</v>
      </c>
      <c r="C1073">
        <v>1.2999999999999999E-2</v>
      </c>
    </row>
    <row r="1074" spans="1:3" x14ac:dyDescent="0.25">
      <c r="A1074">
        <v>1073</v>
      </c>
      <c r="B1074" t="s">
        <v>2188</v>
      </c>
      <c r="C1074">
        <v>1.2999999999999999E-2</v>
      </c>
    </row>
    <row r="1075" spans="1:3" x14ac:dyDescent="0.25">
      <c r="A1075">
        <v>1074</v>
      </c>
      <c r="B1075" t="s">
        <v>2189</v>
      </c>
      <c r="C1075">
        <v>1.2999999999999999E-2</v>
      </c>
    </row>
    <row r="1076" spans="1:3" x14ac:dyDescent="0.25">
      <c r="A1076">
        <v>1075</v>
      </c>
      <c r="B1076" t="s">
        <v>2190</v>
      </c>
      <c r="C1076">
        <v>1.2999999999999999E-2</v>
      </c>
    </row>
    <row r="1077" spans="1:3" x14ac:dyDescent="0.25">
      <c r="A1077">
        <v>1076</v>
      </c>
      <c r="B1077" t="s">
        <v>2191</v>
      </c>
      <c r="C1077">
        <v>1.2999999999999999E-2</v>
      </c>
    </row>
    <row r="1078" spans="1:3" x14ac:dyDescent="0.25">
      <c r="A1078">
        <v>1077</v>
      </c>
      <c r="B1078" t="s">
        <v>2192</v>
      </c>
      <c r="C1078">
        <v>1.2999999999999999E-2</v>
      </c>
    </row>
    <row r="1079" spans="1:3" x14ac:dyDescent="0.25">
      <c r="A1079">
        <v>1078</v>
      </c>
      <c r="B1079" t="s">
        <v>2193</v>
      </c>
      <c r="C1079">
        <v>1.2999999999999999E-2</v>
      </c>
    </row>
    <row r="1080" spans="1:3" x14ac:dyDescent="0.25">
      <c r="A1080">
        <v>1079</v>
      </c>
      <c r="B1080" t="s">
        <v>2194</v>
      </c>
      <c r="C1080">
        <v>1.2999999999999999E-2</v>
      </c>
    </row>
    <row r="1081" spans="1:3" x14ac:dyDescent="0.25">
      <c r="A1081">
        <v>1080</v>
      </c>
      <c r="B1081" t="s">
        <v>2195</v>
      </c>
      <c r="C1081">
        <v>1.2999999999999999E-2</v>
      </c>
    </row>
    <row r="1082" spans="1:3" x14ac:dyDescent="0.25">
      <c r="A1082">
        <v>1081</v>
      </c>
      <c r="B1082" t="s">
        <v>2196</v>
      </c>
      <c r="C1082">
        <v>1.2999999999999999E-2</v>
      </c>
    </row>
    <row r="1083" spans="1:3" x14ac:dyDescent="0.25">
      <c r="A1083">
        <v>1082</v>
      </c>
      <c r="B1083" t="s">
        <v>2197</v>
      </c>
      <c r="C1083">
        <v>1.2999999999999999E-2</v>
      </c>
    </row>
    <row r="1084" spans="1:3" x14ac:dyDescent="0.25">
      <c r="A1084">
        <v>1083</v>
      </c>
      <c r="B1084" t="s">
        <v>2198</v>
      </c>
      <c r="C1084">
        <v>1.2999999999999999E-2</v>
      </c>
    </row>
    <row r="1085" spans="1:3" x14ac:dyDescent="0.25">
      <c r="A1085">
        <v>1084</v>
      </c>
      <c r="B1085" t="s">
        <v>2199</v>
      </c>
      <c r="C1085">
        <v>1.2999999999999999E-2</v>
      </c>
    </row>
    <row r="1086" spans="1:3" x14ac:dyDescent="0.25">
      <c r="A1086">
        <v>1085</v>
      </c>
      <c r="B1086" t="s">
        <v>2200</v>
      </c>
      <c r="C1086">
        <v>1.2999999999999999E-2</v>
      </c>
    </row>
    <row r="1087" spans="1:3" x14ac:dyDescent="0.25">
      <c r="A1087">
        <v>1086</v>
      </c>
      <c r="B1087" t="s">
        <v>2201</v>
      </c>
      <c r="C1087">
        <v>1.2999999999999999E-2</v>
      </c>
    </row>
    <row r="1088" spans="1:3" x14ac:dyDescent="0.25">
      <c r="A1088">
        <v>1087</v>
      </c>
      <c r="B1088" t="s">
        <v>2202</v>
      </c>
      <c r="C1088">
        <v>1.2999999999999999E-2</v>
      </c>
    </row>
    <row r="1089" spans="1:3" x14ac:dyDescent="0.25">
      <c r="A1089">
        <v>1088</v>
      </c>
      <c r="B1089" t="s">
        <v>2203</v>
      </c>
      <c r="C1089">
        <v>1.2999999999999999E-2</v>
      </c>
    </row>
    <row r="1090" spans="1:3" x14ac:dyDescent="0.25">
      <c r="A1090">
        <v>1089</v>
      </c>
      <c r="B1090" t="s">
        <v>2204</v>
      </c>
      <c r="C1090">
        <v>1.2999999999999999E-2</v>
      </c>
    </row>
    <row r="1091" spans="1:3" x14ac:dyDescent="0.25">
      <c r="A1091">
        <v>1090</v>
      </c>
      <c r="B1091" t="s">
        <v>2205</v>
      </c>
      <c r="C1091">
        <v>1.2999999999999999E-2</v>
      </c>
    </row>
    <row r="1092" spans="1:3" x14ac:dyDescent="0.25">
      <c r="A1092">
        <v>1091</v>
      </c>
      <c r="B1092" t="s">
        <v>2206</v>
      </c>
      <c r="C1092">
        <v>1.2999999999999999E-2</v>
      </c>
    </row>
    <row r="1093" spans="1:3" x14ac:dyDescent="0.25">
      <c r="A1093">
        <v>1092</v>
      </c>
      <c r="B1093" t="s">
        <v>2207</v>
      </c>
      <c r="C1093">
        <v>1.2999999999999999E-2</v>
      </c>
    </row>
    <row r="1094" spans="1:3" x14ac:dyDescent="0.25">
      <c r="A1094">
        <v>1093</v>
      </c>
      <c r="B1094" t="s">
        <v>2208</v>
      </c>
      <c r="C1094">
        <v>1.2999999999999999E-2</v>
      </c>
    </row>
    <row r="1095" spans="1:3" x14ac:dyDescent="0.25">
      <c r="A1095">
        <v>1094</v>
      </c>
      <c r="B1095" t="s">
        <v>2209</v>
      </c>
      <c r="C1095">
        <v>1.2999999999999999E-2</v>
      </c>
    </row>
    <row r="1096" spans="1:3" x14ac:dyDescent="0.25">
      <c r="A1096">
        <v>1095</v>
      </c>
      <c r="B1096" t="s">
        <v>2210</v>
      </c>
      <c r="C1096">
        <v>1.2999999999999999E-2</v>
      </c>
    </row>
    <row r="1097" spans="1:3" x14ac:dyDescent="0.25">
      <c r="A1097">
        <v>1096</v>
      </c>
      <c r="B1097" t="s">
        <v>2211</v>
      </c>
      <c r="C1097">
        <v>1.2999999999999999E-2</v>
      </c>
    </row>
    <row r="1098" spans="1:3" x14ac:dyDescent="0.25">
      <c r="A1098">
        <v>1097</v>
      </c>
      <c r="B1098" t="s">
        <v>2212</v>
      </c>
      <c r="C1098">
        <v>1.2E-2</v>
      </c>
    </row>
    <row r="1099" spans="1:3" x14ac:dyDescent="0.25">
      <c r="A1099">
        <v>1098</v>
      </c>
      <c r="B1099" t="s">
        <v>2213</v>
      </c>
      <c r="C1099">
        <v>1.2E-2</v>
      </c>
    </row>
    <row r="1100" spans="1:3" x14ac:dyDescent="0.25">
      <c r="A1100">
        <v>1099</v>
      </c>
      <c r="B1100" t="s">
        <v>2214</v>
      </c>
      <c r="C1100">
        <v>1.2E-2</v>
      </c>
    </row>
    <row r="1101" spans="1:3" x14ac:dyDescent="0.25">
      <c r="A1101">
        <v>1100</v>
      </c>
      <c r="B1101" t="s">
        <v>2215</v>
      </c>
      <c r="C1101">
        <v>1.2E-2</v>
      </c>
    </row>
    <row r="1102" spans="1:3" x14ac:dyDescent="0.25">
      <c r="A1102">
        <v>1101</v>
      </c>
      <c r="B1102" t="s">
        <v>2216</v>
      </c>
      <c r="C1102">
        <v>1.2E-2</v>
      </c>
    </row>
    <row r="1103" spans="1:3" x14ac:dyDescent="0.25">
      <c r="A1103">
        <v>1102</v>
      </c>
      <c r="B1103" t="s">
        <v>2217</v>
      </c>
      <c r="C1103">
        <v>1.2E-2</v>
      </c>
    </row>
    <row r="1104" spans="1:3" x14ac:dyDescent="0.25">
      <c r="A1104">
        <v>1103</v>
      </c>
      <c r="B1104" t="s">
        <v>2218</v>
      </c>
      <c r="C1104">
        <v>1.2E-2</v>
      </c>
    </row>
    <row r="1105" spans="1:3" x14ac:dyDescent="0.25">
      <c r="A1105">
        <v>1104</v>
      </c>
      <c r="B1105" t="s">
        <v>2219</v>
      </c>
      <c r="C1105">
        <v>1.2E-2</v>
      </c>
    </row>
    <row r="1106" spans="1:3" x14ac:dyDescent="0.25">
      <c r="A1106">
        <v>1105</v>
      </c>
      <c r="B1106" t="s">
        <v>2220</v>
      </c>
      <c r="C1106">
        <v>1.2E-2</v>
      </c>
    </row>
    <row r="1107" spans="1:3" x14ac:dyDescent="0.25">
      <c r="A1107">
        <v>1106</v>
      </c>
      <c r="B1107" t="s">
        <v>2221</v>
      </c>
      <c r="C1107">
        <v>1.2E-2</v>
      </c>
    </row>
    <row r="1108" spans="1:3" x14ac:dyDescent="0.25">
      <c r="A1108">
        <v>1107</v>
      </c>
      <c r="B1108" t="s">
        <v>2222</v>
      </c>
      <c r="C1108">
        <v>1.2E-2</v>
      </c>
    </row>
    <row r="1109" spans="1:3" x14ac:dyDescent="0.25">
      <c r="A1109">
        <v>1108</v>
      </c>
      <c r="B1109" t="s">
        <v>2223</v>
      </c>
      <c r="C1109">
        <v>1.2E-2</v>
      </c>
    </row>
    <row r="1110" spans="1:3" x14ac:dyDescent="0.25">
      <c r="A1110">
        <v>1109</v>
      </c>
      <c r="B1110" t="s">
        <v>2224</v>
      </c>
      <c r="C1110">
        <v>1.2E-2</v>
      </c>
    </row>
    <row r="1111" spans="1:3" x14ac:dyDescent="0.25">
      <c r="A1111">
        <v>1110</v>
      </c>
      <c r="B1111" t="s">
        <v>2225</v>
      </c>
      <c r="C1111">
        <v>1.2E-2</v>
      </c>
    </row>
    <row r="1112" spans="1:3" x14ac:dyDescent="0.25">
      <c r="A1112">
        <v>1111</v>
      </c>
      <c r="B1112" t="s">
        <v>2226</v>
      </c>
      <c r="C1112">
        <v>1.2E-2</v>
      </c>
    </row>
    <row r="1113" spans="1:3" x14ac:dyDescent="0.25">
      <c r="A1113">
        <v>1112</v>
      </c>
      <c r="B1113" t="s">
        <v>2227</v>
      </c>
      <c r="C1113">
        <v>1.2E-2</v>
      </c>
    </row>
    <row r="1114" spans="1:3" x14ac:dyDescent="0.25">
      <c r="A1114">
        <v>1113</v>
      </c>
      <c r="B1114" t="s">
        <v>2228</v>
      </c>
      <c r="C1114">
        <v>1.2E-2</v>
      </c>
    </row>
    <row r="1115" spans="1:3" x14ac:dyDescent="0.25">
      <c r="A1115">
        <v>1114</v>
      </c>
      <c r="B1115" t="s">
        <v>2229</v>
      </c>
      <c r="C1115">
        <v>1.2E-2</v>
      </c>
    </row>
    <row r="1116" spans="1:3" x14ac:dyDescent="0.25">
      <c r="A1116">
        <v>1115</v>
      </c>
      <c r="B1116" t="s">
        <v>2230</v>
      </c>
      <c r="C1116">
        <v>1.2E-2</v>
      </c>
    </row>
    <row r="1117" spans="1:3" x14ac:dyDescent="0.25">
      <c r="A1117">
        <v>1116</v>
      </c>
      <c r="B1117" t="s">
        <v>2231</v>
      </c>
      <c r="C1117">
        <v>1.2E-2</v>
      </c>
    </row>
    <row r="1118" spans="1:3" x14ac:dyDescent="0.25">
      <c r="A1118">
        <v>1117</v>
      </c>
      <c r="B1118" t="s">
        <v>2232</v>
      </c>
      <c r="C1118">
        <v>1.2E-2</v>
      </c>
    </row>
    <row r="1119" spans="1:3" x14ac:dyDescent="0.25">
      <c r="A1119">
        <v>1118</v>
      </c>
      <c r="B1119" t="s">
        <v>2233</v>
      </c>
      <c r="C1119">
        <v>1.2E-2</v>
      </c>
    </row>
    <row r="1120" spans="1:3" x14ac:dyDescent="0.25">
      <c r="A1120">
        <v>1119</v>
      </c>
      <c r="B1120" t="s">
        <v>2234</v>
      </c>
      <c r="C1120">
        <v>1.2E-2</v>
      </c>
    </row>
    <row r="1121" spans="1:3" x14ac:dyDescent="0.25">
      <c r="A1121">
        <v>1120</v>
      </c>
      <c r="B1121" t="s">
        <v>2235</v>
      </c>
      <c r="C1121">
        <v>1.2E-2</v>
      </c>
    </row>
    <row r="1122" spans="1:3" x14ac:dyDescent="0.25">
      <c r="A1122">
        <v>1121</v>
      </c>
      <c r="B1122" t="s">
        <v>2236</v>
      </c>
      <c r="C1122">
        <v>1.2E-2</v>
      </c>
    </row>
    <row r="1123" spans="1:3" x14ac:dyDescent="0.25">
      <c r="A1123">
        <v>1122</v>
      </c>
      <c r="B1123" t="s">
        <v>2237</v>
      </c>
      <c r="C1123">
        <v>1.2E-2</v>
      </c>
    </row>
    <row r="1124" spans="1:3" x14ac:dyDescent="0.25">
      <c r="A1124">
        <v>1123</v>
      </c>
      <c r="B1124" t="s">
        <v>2238</v>
      </c>
      <c r="C1124">
        <v>1.2E-2</v>
      </c>
    </row>
    <row r="1125" spans="1:3" x14ac:dyDescent="0.25">
      <c r="A1125">
        <v>1124</v>
      </c>
      <c r="B1125" t="s">
        <v>2239</v>
      </c>
      <c r="C1125">
        <v>1.2E-2</v>
      </c>
    </row>
    <row r="1126" spans="1:3" x14ac:dyDescent="0.25">
      <c r="A1126">
        <v>1125</v>
      </c>
      <c r="B1126" t="s">
        <v>2240</v>
      </c>
      <c r="C1126">
        <v>1.2E-2</v>
      </c>
    </row>
    <row r="1127" spans="1:3" x14ac:dyDescent="0.25">
      <c r="A1127">
        <v>1126</v>
      </c>
      <c r="B1127" t="s">
        <v>2241</v>
      </c>
      <c r="C1127">
        <v>1.2E-2</v>
      </c>
    </row>
    <row r="1128" spans="1:3" x14ac:dyDescent="0.25">
      <c r="A1128">
        <v>1127</v>
      </c>
      <c r="B1128" t="s">
        <v>2242</v>
      </c>
      <c r="C1128">
        <v>1.2E-2</v>
      </c>
    </row>
    <row r="1129" spans="1:3" x14ac:dyDescent="0.25">
      <c r="A1129">
        <v>1128</v>
      </c>
      <c r="B1129" t="s">
        <v>2243</v>
      </c>
      <c r="C1129">
        <v>1.2E-2</v>
      </c>
    </row>
    <row r="1130" spans="1:3" x14ac:dyDescent="0.25">
      <c r="A1130">
        <v>1129</v>
      </c>
      <c r="B1130" t="s">
        <v>2244</v>
      </c>
      <c r="C1130">
        <v>1.2E-2</v>
      </c>
    </row>
    <row r="1131" spans="1:3" x14ac:dyDescent="0.25">
      <c r="A1131">
        <v>1130</v>
      </c>
      <c r="B1131" t="s">
        <v>2245</v>
      </c>
      <c r="C1131">
        <v>1.2E-2</v>
      </c>
    </row>
    <row r="1132" spans="1:3" x14ac:dyDescent="0.25">
      <c r="A1132">
        <v>1131</v>
      </c>
      <c r="B1132" t="s">
        <v>2246</v>
      </c>
      <c r="C1132">
        <v>1.2E-2</v>
      </c>
    </row>
    <row r="1133" spans="1:3" x14ac:dyDescent="0.25">
      <c r="A1133">
        <v>1132</v>
      </c>
      <c r="B1133" t="s">
        <v>2247</v>
      </c>
      <c r="C1133">
        <v>1.2E-2</v>
      </c>
    </row>
    <row r="1134" spans="1:3" x14ac:dyDescent="0.25">
      <c r="A1134">
        <v>1133</v>
      </c>
      <c r="B1134" t="s">
        <v>2248</v>
      </c>
      <c r="C1134">
        <v>1.2E-2</v>
      </c>
    </row>
    <row r="1135" spans="1:3" x14ac:dyDescent="0.25">
      <c r="A1135">
        <v>1134</v>
      </c>
      <c r="B1135" t="s">
        <v>2249</v>
      </c>
      <c r="C1135">
        <v>1.2E-2</v>
      </c>
    </row>
    <row r="1136" spans="1:3" x14ac:dyDescent="0.25">
      <c r="A1136">
        <v>1135</v>
      </c>
      <c r="B1136" t="s">
        <v>2250</v>
      </c>
      <c r="C1136">
        <v>1.0999999999999999E-2</v>
      </c>
    </row>
    <row r="1137" spans="1:3" x14ac:dyDescent="0.25">
      <c r="A1137">
        <v>1136</v>
      </c>
      <c r="B1137" t="s">
        <v>2251</v>
      </c>
      <c r="C1137">
        <v>1.0999999999999999E-2</v>
      </c>
    </row>
    <row r="1138" spans="1:3" x14ac:dyDescent="0.25">
      <c r="A1138">
        <v>1137</v>
      </c>
      <c r="B1138" t="s">
        <v>2252</v>
      </c>
      <c r="C1138">
        <v>1.0999999999999999E-2</v>
      </c>
    </row>
    <row r="1139" spans="1:3" x14ac:dyDescent="0.25">
      <c r="A1139">
        <v>1138</v>
      </c>
      <c r="B1139" t="s">
        <v>2253</v>
      </c>
      <c r="C1139">
        <v>1.0999999999999999E-2</v>
      </c>
    </row>
    <row r="1140" spans="1:3" x14ac:dyDescent="0.25">
      <c r="A1140">
        <v>1139</v>
      </c>
      <c r="B1140" t="s">
        <v>2254</v>
      </c>
      <c r="C1140">
        <v>1.0999999999999999E-2</v>
      </c>
    </row>
    <row r="1141" spans="1:3" x14ac:dyDescent="0.25">
      <c r="A1141">
        <v>1140</v>
      </c>
      <c r="B1141" t="s">
        <v>2255</v>
      </c>
      <c r="C1141">
        <v>1.0999999999999999E-2</v>
      </c>
    </row>
    <row r="1142" spans="1:3" x14ac:dyDescent="0.25">
      <c r="A1142">
        <v>1141</v>
      </c>
      <c r="B1142" t="s">
        <v>2256</v>
      </c>
      <c r="C1142">
        <v>1.0999999999999999E-2</v>
      </c>
    </row>
    <row r="1143" spans="1:3" x14ac:dyDescent="0.25">
      <c r="A1143">
        <v>1142</v>
      </c>
      <c r="B1143" t="s">
        <v>2257</v>
      </c>
      <c r="C1143">
        <v>1.0999999999999999E-2</v>
      </c>
    </row>
    <row r="1144" spans="1:3" x14ac:dyDescent="0.25">
      <c r="A1144">
        <v>1143</v>
      </c>
      <c r="B1144" t="s">
        <v>2258</v>
      </c>
      <c r="C1144">
        <v>1.0999999999999999E-2</v>
      </c>
    </row>
    <row r="1145" spans="1:3" x14ac:dyDescent="0.25">
      <c r="A1145">
        <v>1144</v>
      </c>
      <c r="B1145" t="s">
        <v>2259</v>
      </c>
      <c r="C1145">
        <v>1.0999999999999999E-2</v>
      </c>
    </row>
    <row r="1146" spans="1:3" x14ac:dyDescent="0.25">
      <c r="A1146">
        <v>1145</v>
      </c>
      <c r="B1146" t="s">
        <v>2260</v>
      </c>
      <c r="C1146">
        <v>1.0999999999999999E-2</v>
      </c>
    </row>
    <row r="1147" spans="1:3" x14ac:dyDescent="0.25">
      <c r="A1147">
        <v>1146</v>
      </c>
      <c r="B1147" t="s">
        <v>2261</v>
      </c>
      <c r="C1147">
        <v>1.0999999999999999E-2</v>
      </c>
    </row>
    <row r="1148" spans="1:3" x14ac:dyDescent="0.25">
      <c r="A1148">
        <v>1147</v>
      </c>
      <c r="B1148" t="s">
        <v>2262</v>
      </c>
      <c r="C1148">
        <v>1.0999999999999999E-2</v>
      </c>
    </row>
    <row r="1149" spans="1:3" x14ac:dyDescent="0.25">
      <c r="A1149">
        <v>1148</v>
      </c>
      <c r="B1149" t="s">
        <v>2263</v>
      </c>
      <c r="C1149">
        <v>1.0999999999999999E-2</v>
      </c>
    </row>
    <row r="1150" spans="1:3" x14ac:dyDescent="0.25">
      <c r="A1150">
        <v>1149</v>
      </c>
      <c r="B1150" t="s">
        <v>2264</v>
      </c>
      <c r="C1150">
        <v>1.0999999999999999E-2</v>
      </c>
    </row>
    <row r="1151" spans="1:3" x14ac:dyDescent="0.25">
      <c r="A1151">
        <v>1150</v>
      </c>
      <c r="B1151" t="s">
        <v>2265</v>
      </c>
      <c r="C1151">
        <v>1.0999999999999999E-2</v>
      </c>
    </row>
    <row r="1152" spans="1:3" x14ac:dyDescent="0.25">
      <c r="A1152">
        <v>1151</v>
      </c>
      <c r="B1152" t="s">
        <v>2266</v>
      </c>
      <c r="C1152">
        <v>1.0999999999999999E-2</v>
      </c>
    </row>
    <row r="1153" spans="1:3" x14ac:dyDescent="0.25">
      <c r="A1153">
        <v>1152</v>
      </c>
      <c r="B1153" t="s">
        <v>2267</v>
      </c>
      <c r="C1153">
        <v>1.0999999999999999E-2</v>
      </c>
    </row>
    <row r="1154" spans="1:3" x14ac:dyDescent="0.25">
      <c r="A1154">
        <v>1153</v>
      </c>
      <c r="B1154" t="s">
        <v>2268</v>
      </c>
      <c r="C1154">
        <v>1.0999999999999999E-2</v>
      </c>
    </row>
    <row r="1155" spans="1:3" x14ac:dyDescent="0.25">
      <c r="A1155">
        <v>1154</v>
      </c>
      <c r="B1155" t="s">
        <v>2269</v>
      </c>
      <c r="C1155">
        <v>1.0999999999999999E-2</v>
      </c>
    </row>
    <row r="1156" spans="1:3" x14ac:dyDescent="0.25">
      <c r="A1156">
        <v>1155</v>
      </c>
      <c r="B1156" t="s">
        <v>2270</v>
      </c>
      <c r="C1156">
        <v>1.0999999999999999E-2</v>
      </c>
    </row>
    <row r="1157" spans="1:3" x14ac:dyDescent="0.25">
      <c r="A1157">
        <v>1156</v>
      </c>
      <c r="B1157" t="s">
        <v>2271</v>
      </c>
      <c r="C1157">
        <v>1.0999999999999999E-2</v>
      </c>
    </row>
    <row r="1158" spans="1:3" x14ac:dyDescent="0.25">
      <c r="A1158">
        <v>1157</v>
      </c>
      <c r="B1158" t="s">
        <v>2272</v>
      </c>
      <c r="C1158">
        <v>1.0999999999999999E-2</v>
      </c>
    </row>
    <row r="1159" spans="1:3" x14ac:dyDescent="0.25">
      <c r="A1159">
        <v>1158</v>
      </c>
      <c r="B1159" t="s">
        <v>2273</v>
      </c>
      <c r="C1159">
        <v>1.0999999999999999E-2</v>
      </c>
    </row>
    <row r="1160" spans="1:3" x14ac:dyDescent="0.25">
      <c r="A1160">
        <v>1159</v>
      </c>
      <c r="B1160" t="s">
        <v>2274</v>
      </c>
      <c r="C1160">
        <v>1.0999999999999999E-2</v>
      </c>
    </row>
    <row r="1161" spans="1:3" x14ac:dyDescent="0.25">
      <c r="A1161">
        <v>1160</v>
      </c>
      <c r="B1161" t="s">
        <v>2275</v>
      </c>
      <c r="C1161">
        <v>1.0999999999999999E-2</v>
      </c>
    </row>
    <row r="1162" spans="1:3" x14ac:dyDescent="0.25">
      <c r="A1162">
        <v>1161</v>
      </c>
      <c r="B1162" t="s">
        <v>2276</v>
      </c>
      <c r="C1162">
        <v>1.0999999999999999E-2</v>
      </c>
    </row>
    <row r="1163" spans="1:3" x14ac:dyDescent="0.25">
      <c r="A1163">
        <v>1162</v>
      </c>
      <c r="B1163" t="s">
        <v>2277</v>
      </c>
      <c r="C1163">
        <v>1.0999999999999999E-2</v>
      </c>
    </row>
    <row r="1164" spans="1:3" x14ac:dyDescent="0.25">
      <c r="A1164">
        <v>1163</v>
      </c>
      <c r="B1164" t="s">
        <v>2278</v>
      </c>
      <c r="C1164">
        <v>1.0999999999999999E-2</v>
      </c>
    </row>
    <row r="1165" spans="1:3" x14ac:dyDescent="0.25">
      <c r="A1165">
        <v>1164</v>
      </c>
      <c r="B1165" t="s">
        <v>2279</v>
      </c>
      <c r="C1165">
        <v>1.0999999999999999E-2</v>
      </c>
    </row>
    <row r="1166" spans="1:3" x14ac:dyDescent="0.25">
      <c r="A1166">
        <v>1165</v>
      </c>
      <c r="B1166" t="s">
        <v>2280</v>
      </c>
      <c r="C1166">
        <v>1.0999999999999999E-2</v>
      </c>
    </row>
    <row r="1167" spans="1:3" x14ac:dyDescent="0.25">
      <c r="A1167">
        <v>1166</v>
      </c>
      <c r="B1167" t="s">
        <v>2281</v>
      </c>
      <c r="C1167">
        <v>1.0999999999999999E-2</v>
      </c>
    </row>
    <row r="1168" spans="1:3" x14ac:dyDescent="0.25">
      <c r="A1168">
        <v>1167</v>
      </c>
      <c r="B1168" t="s">
        <v>2282</v>
      </c>
      <c r="C1168">
        <v>1.0999999999999999E-2</v>
      </c>
    </row>
    <row r="1169" spans="1:3" x14ac:dyDescent="0.25">
      <c r="A1169">
        <v>1168</v>
      </c>
      <c r="B1169" t="s">
        <v>2283</v>
      </c>
      <c r="C1169">
        <v>1.0999999999999999E-2</v>
      </c>
    </row>
    <row r="1170" spans="1:3" x14ac:dyDescent="0.25">
      <c r="A1170">
        <v>1169</v>
      </c>
      <c r="B1170" t="s">
        <v>2284</v>
      </c>
      <c r="C1170">
        <v>1.0999999999999999E-2</v>
      </c>
    </row>
    <row r="1171" spans="1:3" x14ac:dyDescent="0.25">
      <c r="A1171">
        <v>1170</v>
      </c>
      <c r="B1171" t="s">
        <v>2285</v>
      </c>
      <c r="C1171">
        <v>1.0999999999999999E-2</v>
      </c>
    </row>
    <row r="1172" spans="1:3" x14ac:dyDescent="0.25">
      <c r="A1172">
        <v>1171</v>
      </c>
      <c r="B1172" t="s">
        <v>2286</v>
      </c>
      <c r="C1172">
        <v>1.0999999999999999E-2</v>
      </c>
    </row>
    <row r="1173" spans="1:3" x14ac:dyDescent="0.25">
      <c r="A1173">
        <v>1172</v>
      </c>
      <c r="B1173" t="s">
        <v>2287</v>
      </c>
      <c r="C1173">
        <v>1.0999999999999999E-2</v>
      </c>
    </row>
    <row r="1174" spans="1:3" x14ac:dyDescent="0.25">
      <c r="A1174">
        <v>1173</v>
      </c>
      <c r="B1174" t="s">
        <v>2288</v>
      </c>
      <c r="C1174">
        <v>1.0999999999999999E-2</v>
      </c>
    </row>
    <row r="1175" spans="1:3" x14ac:dyDescent="0.25">
      <c r="A1175">
        <v>1174</v>
      </c>
      <c r="B1175" t="s">
        <v>2289</v>
      </c>
      <c r="C1175">
        <v>1.0999999999999999E-2</v>
      </c>
    </row>
    <row r="1176" spans="1:3" x14ac:dyDescent="0.25">
      <c r="A1176">
        <v>1175</v>
      </c>
      <c r="B1176" t="s">
        <v>2290</v>
      </c>
      <c r="C1176">
        <v>1.0999999999999999E-2</v>
      </c>
    </row>
    <row r="1177" spans="1:3" x14ac:dyDescent="0.25">
      <c r="A1177">
        <v>1176</v>
      </c>
      <c r="B1177" t="s">
        <v>2291</v>
      </c>
      <c r="C1177">
        <v>1.0999999999999999E-2</v>
      </c>
    </row>
    <row r="1178" spans="1:3" x14ac:dyDescent="0.25">
      <c r="A1178">
        <v>1177</v>
      </c>
      <c r="B1178" t="s">
        <v>2292</v>
      </c>
      <c r="C1178">
        <v>0.01</v>
      </c>
    </row>
    <row r="1179" spans="1:3" x14ac:dyDescent="0.25">
      <c r="A1179">
        <v>1178</v>
      </c>
      <c r="B1179" t="s">
        <v>2293</v>
      </c>
      <c r="C1179">
        <v>0.01</v>
      </c>
    </row>
    <row r="1180" spans="1:3" x14ac:dyDescent="0.25">
      <c r="A1180">
        <v>1179</v>
      </c>
      <c r="B1180" t="s">
        <v>2294</v>
      </c>
      <c r="C1180">
        <v>0.01</v>
      </c>
    </row>
    <row r="1181" spans="1:3" x14ac:dyDescent="0.25">
      <c r="A1181">
        <v>1180</v>
      </c>
      <c r="B1181" t="s">
        <v>2295</v>
      </c>
      <c r="C1181">
        <v>0.01</v>
      </c>
    </row>
    <row r="1182" spans="1:3" x14ac:dyDescent="0.25">
      <c r="A1182">
        <v>1181</v>
      </c>
      <c r="B1182" t="s">
        <v>2296</v>
      </c>
      <c r="C1182">
        <v>0.01</v>
      </c>
    </row>
    <row r="1183" spans="1:3" x14ac:dyDescent="0.25">
      <c r="A1183">
        <v>1182</v>
      </c>
      <c r="B1183" t="s">
        <v>2297</v>
      </c>
      <c r="C1183">
        <v>0.01</v>
      </c>
    </row>
    <row r="1184" spans="1:3" x14ac:dyDescent="0.25">
      <c r="A1184">
        <v>1183</v>
      </c>
      <c r="B1184" t="s">
        <v>2298</v>
      </c>
      <c r="C1184">
        <v>0.01</v>
      </c>
    </row>
    <row r="1185" spans="1:3" x14ac:dyDescent="0.25">
      <c r="A1185">
        <v>1184</v>
      </c>
      <c r="B1185" t="s">
        <v>2299</v>
      </c>
      <c r="C1185">
        <v>0.01</v>
      </c>
    </row>
    <row r="1186" spans="1:3" x14ac:dyDescent="0.25">
      <c r="A1186">
        <v>1185</v>
      </c>
      <c r="B1186" t="s">
        <v>2300</v>
      </c>
      <c r="C1186">
        <v>0.01</v>
      </c>
    </row>
    <row r="1187" spans="1:3" x14ac:dyDescent="0.25">
      <c r="A1187">
        <v>1186</v>
      </c>
      <c r="B1187" t="s">
        <v>2301</v>
      </c>
      <c r="C1187">
        <v>0.01</v>
      </c>
    </row>
    <row r="1188" spans="1:3" x14ac:dyDescent="0.25">
      <c r="A1188">
        <v>1187</v>
      </c>
      <c r="B1188" t="s">
        <v>2302</v>
      </c>
      <c r="C1188">
        <v>0.01</v>
      </c>
    </row>
    <row r="1189" spans="1:3" x14ac:dyDescent="0.25">
      <c r="A1189">
        <v>1188</v>
      </c>
      <c r="B1189" t="s">
        <v>2303</v>
      </c>
      <c r="C1189">
        <v>0.01</v>
      </c>
    </row>
    <row r="1190" spans="1:3" x14ac:dyDescent="0.25">
      <c r="A1190">
        <v>1189</v>
      </c>
      <c r="B1190" t="s">
        <v>2304</v>
      </c>
      <c r="C1190">
        <v>0.01</v>
      </c>
    </row>
    <row r="1191" spans="1:3" x14ac:dyDescent="0.25">
      <c r="A1191">
        <v>1190</v>
      </c>
      <c r="B1191" t="s">
        <v>2305</v>
      </c>
      <c r="C1191">
        <v>0.01</v>
      </c>
    </row>
    <row r="1192" spans="1:3" x14ac:dyDescent="0.25">
      <c r="A1192">
        <v>1191</v>
      </c>
      <c r="B1192" t="s">
        <v>2306</v>
      </c>
      <c r="C1192">
        <v>0.01</v>
      </c>
    </row>
    <row r="1193" spans="1:3" x14ac:dyDescent="0.25">
      <c r="A1193">
        <v>1192</v>
      </c>
      <c r="B1193" t="s">
        <v>2307</v>
      </c>
      <c r="C1193">
        <v>0.01</v>
      </c>
    </row>
    <row r="1194" spans="1:3" x14ac:dyDescent="0.25">
      <c r="A1194">
        <v>1193</v>
      </c>
      <c r="B1194" t="s">
        <v>2308</v>
      </c>
      <c r="C1194">
        <v>0.01</v>
      </c>
    </row>
    <row r="1195" spans="1:3" x14ac:dyDescent="0.25">
      <c r="A1195">
        <v>1194</v>
      </c>
      <c r="B1195" t="s">
        <v>2309</v>
      </c>
      <c r="C1195">
        <v>0.01</v>
      </c>
    </row>
    <row r="1196" spans="1:3" x14ac:dyDescent="0.25">
      <c r="A1196">
        <v>1195</v>
      </c>
      <c r="B1196" t="s">
        <v>2310</v>
      </c>
      <c r="C1196">
        <v>0.01</v>
      </c>
    </row>
    <row r="1197" spans="1:3" x14ac:dyDescent="0.25">
      <c r="A1197">
        <v>1196</v>
      </c>
      <c r="B1197" t="s">
        <v>2311</v>
      </c>
      <c r="C1197">
        <v>0.01</v>
      </c>
    </row>
    <row r="1198" spans="1:3" x14ac:dyDescent="0.25">
      <c r="A1198">
        <v>1197</v>
      </c>
      <c r="B1198" t="s">
        <v>2312</v>
      </c>
      <c r="C1198">
        <v>0.01</v>
      </c>
    </row>
    <row r="1199" spans="1:3" x14ac:dyDescent="0.25">
      <c r="A1199">
        <v>1198</v>
      </c>
      <c r="B1199" t="s">
        <v>2313</v>
      </c>
      <c r="C1199">
        <v>0.01</v>
      </c>
    </row>
    <row r="1200" spans="1:3" x14ac:dyDescent="0.25">
      <c r="A1200">
        <v>1199</v>
      </c>
      <c r="B1200" t="s">
        <v>2314</v>
      </c>
      <c r="C1200">
        <v>0.01</v>
      </c>
    </row>
    <row r="1201" spans="1:3" x14ac:dyDescent="0.25">
      <c r="A1201">
        <v>1200</v>
      </c>
      <c r="B1201" t="s">
        <v>2315</v>
      </c>
      <c r="C1201">
        <v>0.01</v>
      </c>
    </row>
    <row r="1202" spans="1:3" x14ac:dyDescent="0.25">
      <c r="A1202">
        <v>1201</v>
      </c>
      <c r="B1202" t="s">
        <v>2316</v>
      </c>
      <c r="C1202">
        <v>0.01</v>
      </c>
    </row>
    <row r="1203" spans="1:3" x14ac:dyDescent="0.25">
      <c r="A1203">
        <v>1202</v>
      </c>
      <c r="B1203" t="s">
        <v>2317</v>
      </c>
      <c r="C1203">
        <v>0.01</v>
      </c>
    </row>
    <row r="1204" spans="1:3" x14ac:dyDescent="0.25">
      <c r="A1204">
        <v>1203</v>
      </c>
      <c r="B1204" t="s">
        <v>2318</v>
      </c>
      <c r="C1204">
        <v>0.01</v>
      </c>
    </row>
    <row r="1205" spans="1:3" x14ac:dyDescent="0.25">
      <c r="A1205">
        <v>1204</v>
      </c>
      <c r="B1205" t="s">
        <v>2319</v>
      </c>
      <c r="C1205">
        <v>0.01</v>
      </c>
    </row>
    <row r="1206" spans="1:3" x14ac:dyDescent="0.25">
      <c r="A1206">
        <v>1205</v>
      </c>
      <c r="B1206" t="s">
        <v>2320</v>
      </c>
      <c r="C1206">
        <v>0.01</v>
      </c>
    </row>
    <row r="1207" spans="1:3" x14ac:dyDescent="0.25">
      <c r="A1207">
        <v>1206</v>
      </c>
      <c r="B1207" t="s">
        <v>2321</v>
      </c>
      <c r="C1207">
        <v>0.01</v>
      </c>
    </row>
    <row r="1208" spans="1:3" x14ac:dyDescent="0.25">
      <c r="A1208">
        <v>1207</v>
      </c>
      <c r="B1208" t="s">
        <v>2322</v>
      </c>
      <c r="C1208">
        <v>0.01</v>
      </c>
    </row>
    <row r="1209" spans="1:3" x14ac:dyDescent="0.25">
      <c r="A1209">
        <v>1208</v>
      </c>
      <c r="B1209" t="s">
        <v>2323</v>
      </c>
      <c r="C1209">
        <v>0.01</v>
      </c>
    </row>
    <row r="1210" spans="1:3" x14ac:dyDescent="0.25">
      <c r="A1210">
        <v>1209</v>
      </c>
      <c r="B1210" t="s">
        <v>2324</v>
      </c>
      <c r="C1210">
        <v>0.01</v>
      </c>
    </row>
    <row r="1211" spans="1:3" x14ac:dyDescent="0.25">
      <c r="A1211">
        <v>1210</v>
      </c>
      <c r="B1211" t="s">
        <v>2325</v>
      </c>
      <c r="C1211">
        <v>0.01</v>
      </c>
    </row>
    <row r="1212" spans="1:3" x14ac:dyDescent="0.25">
      <c r="A1212">
        <v>1211</v>
      </c>
      <c r="B1212" t="s">
        <v>2326</v>
      </c>
      <c r="C1212">
        <v>0.01</v>
      </c>
    </row>
    <row r="1213" spans="1:3" x14ac:dyDescent="0.25">
      <c r="A1213">
        <v>1212</v>
      </c>
      <c r="B1213" t="s">
        <v>2327</v>
      </c>
      <c r="C1213">
        <v>0.01</v>
      </c>
    </row>
    <row r="1214" spans="1:3" x14ac:dyDescent="0.25">
      <c r="A1214">
        <v>1213</v>
      </c>
      <c r="B1214" t="s">
        <v>2328</v>
      </c>
      <c r="C1214">
        <v>0.01</v>
      </c>
    </row>
    <row r="1215" spans="1:3" x14ac:dyDescent="0.25">
      <c r="A1215">
        <v>1214</v>
      </c>
      <c r="B1215" t="s">
        <v>2329</v>
      </c>
      <c r="C1215">
        <v>0.01</v>
      </c>
    </row>
    <row r="1216" spans="1:3" x14ac:dyDescent="0.25">
      <c r="A1216">
        <v>1215</v>
      </c>
      <c r="B1216" t="s">
        <v>2330</v>
      </c>
      <c r="C1216">
        <v>0.01</v>
      </c>
    </row>
    <row r="1217" spans="1:3" x14ac:dyDescent="0.25">
      <c r="A1217">
        <v>1216</v>
      </c>
      <c r="B1217" t="s">
        <v>2331</v>
      </c>
      <c r="C1217">
        <v>0.01</v>
      </c>
    </row>
    <row r="1218" spans="1:3" x14ac:dyDescent="0.25">
      <c r="A1218">
        <v>1217</v>
      </c>
      <c r="B1218" t="s">
        <v>2332</v>
      </c>
      <c r="C1218">
        <v>0.01</v>
      </c>
    </row>
    <row r="1219" spans="1:3" x14ac:dyDescent="0.25">
      <c r="A1219">
        <v>1218</v>
      </c>
      <c r="B1219" t="s">
        <v>2333</v>
      </c>
      <c r="C1219">
        <v>0.01</v>
      </c>
    </row>
    <row r="1220" spans="1:3" x14ac:dyDescent="0.25">
      <c r="A1220">
        <v>1219</v>
      </c>
      <c r="B1220" t="s">
        <v>2334</v>
      </c>
      <c r="C1220">
        <v>0.01</v>
      </c>
    </row>
    <row r="1221" spans="1:3" x14ac:dyDescent="0.25">
      <c r="A1221">
        <v>1220</v>
      </c>
      <c r="B1221" t="s">
        <v>2335</v>
      </c>
      <c r="C1221">
        <v>0.01</v>
      </c>
    </row>
    <row r="1222" spans="1:3" x14ac:dyDescent="0.25">
      <c r="A1222">
        <v>1221</v>
      </c>
      <c r="B1222" t="s">
        <v>2336</v>
      </c>
      <c r="C1222">
        <v>0.01</v>
      </c>
    </row>
    <row r="1223" spans="1:3" x14ac:dyDescent="0.25">
      <c r="A1223">
        <v>1222</v>
      </c>
      <c r="B1223" t="s">
        <v>2337</v>
      </c>
      <c r="C1223">
        <v>0.01</v>
      </c>
    </row>
    <row r="1224" spans="1:3" x14ac:dyDescent="0.25">
      <c r="A1224">
        <v>1223</v>
      </c>
      <c r="B1224" t="s">
        <v>2338</v>
      </c>
      <c r="C1224">
        <v>0.01</v>
      </c>
    </row>
    <row r="1225" spans="1:3" x14ac:dyDescent="0.25">
      <c r="A1225">
        <v>1224</v>
      </c>
      <c r="B1225" t="s">
        <v>2339</v>
      </c>
      <c r="C1225">
        <v>0.01</v>
      </c>
    </row>
    <row r="1226" spans="1:3" x14ac:dyDescent="0.25">
      <c r="A1226">
        <v>1225</v>
      </c>
      <c r="B1226" t="s">
        <v>2340</v>
      </c>
      <c r="C1226">
        <v>0.01</v>
      </c>
    </row>
    <row r="1227" spans="1:3" x14ac:dyDescent="0.25">
      <c r="A1227">
        <v>1226</v>
      </c>
      <c r="B1227" t="s">
        <v>2341</v>
      </c>
      <c r="C1227">
        <v>0.01</v>
      </c>
    </row>
    <row r="1228" spans="1:3" x14ac:dyDescent="0.25">
      <c r="A1228">
        <v>1227</v>
      </c>
      <c r="B1228" t="s">
        <v>2342</v>
      </c>
      <c r="C1228">
        <v>0.01</v>
      </c>
    </row>
    <row r="1229" spans="1:3" x14ac:dyDescent="0.25">
      <c r="A1229">
        <v>1228</v>
      </c>
      <c r="B1229" t="s">
        <v>2343</v>
      </c>
      <c r="C1229">
        <v>0.01</v>
      </c>
    </row>
    <row r="1230" spans="1:3" x14ac:dyDescent="0.25">
      <c r="A1230">
        <v>1229</v>
      </c>
      <c r="B1230" t="s">
        <v>2344</v>
      </c>
      <c r="C1230">
        <v>0.01</v>
      </c>
    </row>
    <row r="1231" spans="1:3" x14ac:dyDescent="0.25">
      <c r="A1231">
        <v>1230</v>
      </c>
      <c r="B1231" t="s">
        <v>2345</v>
      </c>
      <c r="C1231">
        <v>0.01</v>
      </c>
    </row>
    <row r="1232" spans="1:3" x14ac:dyDescent="0.25">
      <c r="A1232">
        <v>1231</v>
      </c>
      <c r="B1232" t="s">
        <v>2346</v>
      </c>
      <c r="C1232">
        <v>0.01</v>
      </c>
    </row>
    <row r="1233" spans="1:3" x14ac:dyDescent="0.25">
      <c r="A1233">
        <v>1232</v>
      </c>
      <c r="B1233" t="s">
        <v>2347</v>
      </c>
      <c r="C1233">
        <v>8.9999999999999993E-3</v>
      </c>
    </row>
    <row r="1234" spans="1:3" x14ac:dyDescent="0.25">
      <c r="A1234">
        <v>1233</v>
      </c>
      <c r="B1234" t="s">
        <v>2348</v>
      </c>
      <c r="C1234">
        <v>8.9999999999999993E-3</v>
      </c>
    </row>
    <row r="1235" spans="1:3" x14ac:dyDescent="0.25">
      <c r="A1235">
        <v>1234</v>
      </c>
      <c r="B1235" t="s">
        <v>2349</v>
      </c>
      <c r="C1235">
        <v>8.9999999999999993E-3</v>
      </c>
    </row>
    <row r="1236" spans="1:3" x14ac:dyDescent="0.25">
      <c r="A1236">
        <v>1235</v>
      </c>
      <c r="B1236" t="s">
        <v>2350</v>
      </c>
      <c r="C1236">
        <v>8.9999999999999993E-3</v>
      </c>
    </row>
    <row r="1237" spans="1:3" x14ac:dyDescent="0.25">
      <c r="A1237">
        <v>1236</v>
      </c>
      <c r="B1237" t="s">
        <v>2351</v>
      </c>
      <c r="C1237">
        <v>8.9999999999999993E-3</v>
      </c>
    </row>
    <row r="1238" spans="1:3" x14ac:dyDescent="0.25">
      <c r="A1238">
        <v>1237</v>
      </c>
      <c r="B1238" t="s">
        <v>2352</v>
      </c>
      <c r="C1238">
        <v>8.9999999999999993E-3</v>
      </c>
    </row>
    <row r="1239" spans="1:3" x14ac:dyDescent="0.25">
      <c r="A1239">
        <v>1238</v>
      </c>
      <c r="B1239" t="s">
        <v>2353</v>
      </c>
      <c r="C1239">
        <v>8.9999999999999993E-3</v>
      </c>
    </row>
    <row r="1240" spans="1:3" x14ac:dyDescent="0.25">
      <c r="A1240">
        <v>1239</v>
      </c>
      <c r="B1240" t="s">
        <v>2354</v>
      </c>
      <c r="C1240">
        <v>8.9999999999999993E-3</v>
      </c>
    </row>
    <row r="1241" spans="1:3" x14ac:dyDescent="0.25">
      <c r="A1241">
        <v>1240</v>
      </c>
      <c r="B1241" t="s">
        <v>2355</v>
      </c>
      <c r="C1241">
        <v>8.9999999999999993E-3</v>
      </c>
    </row>
    <row r="1242" spans="1:3" x14ac:dyDescent="0.25">
      <c r="A1242">
        <v>1241</v>
      </c>
      <c r="B1242" t="s">
        <v>2356</v>
      </c>
      <c r="C1242">
        <v>8.9999999999999993E-3</v>
      </c>
    </row>
    <row r="1243" spans="1:3" x14ac:dyDescent="0.25">
      <c r="A1243">
        <v>1242</v>
      </c>
      <c r="B1243" t="s">
        <v>2357</v>
      </c>
      <c r="C1243">
        <v>8.9999999999999993E-3</v>
      </c>
    </row>
    <row r="1244" spans="1:3" x14ac:dyDescent="0.25">
      <c r="A1244">
        <v>1243</v>
      </c>
      <c r="B1244" t="s">
        <v>2358</v>
      </c>
      <c r="C1244">
        <v>8.9999999999999993E-3</v>
      </c>
    </row>
    <row r="1245" spans="1:3" x14ac:dyDescent="0.25">
      <c r="A1245">
        <v>1244</v>
      </c>
      <c r="B1245" t="s">
        <v>2359</v>
      </c>
      <c r="C1245">
        <v>8.9999999999999993E-3</v>
      </c>
    </row>
    <row r="1246" spans="1:3" x14ac:dyDescent="0.25">
      <c r="A1246">
        <v>1245</v>
      </c>
      <c r="B1246" t="s">
        <v>2360</v>
      </c>
      <c r="C1246">
        <v>8.9999999999999993E-3</v>
      </c>
    </row>
    <row r="1247" spans="1:3" x14ac:dyDescent="0.25">
      <c r="A1247">
        <v>1246</v>
      </c>
      <c r="B1247" t="s">
        <v>2361</v>
      </c>
      <c r="C1247">
        <v>8.9999999999999993E-3</v>
      </c>
    </row>
    <row r="1248" spans="1:3" x14ac:dyDescent="0.25">
      <c r="A1248">
        <v>1247</v>
      </c>
      <c r="B1248" t="s">
        <v>2362</v>
      </c>
      <c r="C1248">
        <v>8.9999999999999993E-3</v>
      </c>
    </row>
    <row r="1249" spans="1:3" x14ac:dyDescent="0.25">
      <c r="A1249">
        <v>1248</v>
      </c>
      <c r="B1249" t="s">
        <v>2363</v>
      </c>
      <c r="C1249">
        <v>8.9999999999999993E-3</v>
      </c>
    </row>
    <row r="1250" spans="1:3" x14ac:dyDescent="0.25">
      <c r="A1250">
        <v>1249</v>
      </c>
      <c r="B1250" t="s">
        <v>2364</v>
      </c>
      <c r="C1250">
        <v>8.9999999999999993E-3</v>
      </c>
    </row>
    <row r="1251" spans="1:3" x14ac:dyDescent="0.25">
      <c r="A1251">
        <v>1250</v>
      </c>
      <c r="B1251" t="s">
        <v>2365</v>
      </c>
      <c r="C1251">
        <v>8.9999999999999993E-3</v>
      </c>
    </row>
    <row r="1252" spans="1:3" x14ac:dyDescent="0.25">
      <c r="A1252">
        <v>1251</v>
      </c>
      <c r="B1252" t="s">
        <v>2366</v>
      </c>
      <c r="C1252">
        <v>8.9999999999999993E-3</v>
      </c>
    </row>
    <row r="1253" spans="1:3" x14ac:dyDescent="0.25">
      <c r="A1253">
        <v>1252</v>
      </c>
      <c r="B1253" t="s">
        <v>2367</v>
      </c>
      <c r="C1253">
        <v>8.9999999999999993E-3</v>
      </c>
    </row>
    <row r="1254" spans="1:3" x14ac:dyDescent="0.25">
      <c r="A1254">
        <v>1253</v>
      </c>
      <c r="B1254" t="s">
        <v>2368</v>
      </c>
      <c r="C1254">
        <v>8.9999999999999993E-3</v>
      </c>
    </row>
    <row r="1255" spans="1:3" x14ac:dyDescent="0.25">
      <c r="A1255">
        <v>1254</v>
      </c>
      <c r="B1255" t="s">
        <v>2369</v>
      </c>
      <c r="C1255">
        <v>8.9999999999999993E-3</v>
      </c>
    </row>
    <row r="1256" spans="1:3" x14ac:dyDescent="0.25">
      <c r="A1256">
        <v>1255</v>
      </c>
      <c r="B1256" t="s">
        <v>2370</v>
      </c>
      <c r="C1256">
        <v>8.9999999999999993E-3</v>
      </c>
    </row>
    <row r="1257" spans="1:3" x14ac:dyDescent="0.25">
      <c r="A1257">
        <v>1256</v>
      </c>
      <c r="B1257" t="s">
        <v>2371</v>
      </c>
      <c r="C1257">
        <v>8.9999999999999993E-3</v>
      </c>
    </row>
    <row r="1258" spans="1:3" x14ac:dyDescent="0.25">
      <c r="A1258">
        <v>1257</v>
      </c>
      <c r="B1258" t="s">
        <v>2372</v>
      </c>
      <c r="C1258">
        <v>8.9999999999999993E-3</v>
      </c>
    </row>
    <row r="1259" spans="1:3" x14ac:dyDescent="0.25">
      <c r="A1259">
        <v>1258</v>
      </c>
      <c r="B1259" t="s">
        <v>2373</v>
      </c>
      <c r="C1259">
        <v>8.9999999999999993E-3</v>
      </c>
    </row>
    <row r="1260" spans="1:3" x14ac:dyDescent="0.25">
      <c r="A1260">
        <v>1259</v>
      </c>
      <c r="B1260" t="s">
        <v>2374</v>
      </c>
      <c r="C1260">
        <v>8.9999999999999993E-3</v>
      </c>
    </row>
    <row r="1261" spans="1:3" x14ac:dyDescent="0.25">
      <c r="A1261">
        <v>1260</v>
      </c>
      <c r="B1261" t="s">
        <v>2375</v>
      </c>
      <c r="C1261">
        <v>8.9999999999999993E-3</v>
      </c>
    </row>
    <row r="1262" spans="1:3" x14ac:dyDescent="0.25">
      <c r="A1262">
        <v>1261</v>
      </c>
      <c r="B1262" t="s">
        <v>2376</v>
      </c>
      <c r="C1262">
        <v>8.9999999999999993E-3</v>
      </c>
    </row>
    <row r="1263" spans="1:3" x14ac:dyDescent="0.25">
      <c r="A1263">
        <v>1262</v>
      </c>
      <c r="B1263" t="s">
        <v>2377</v>
      </c>
      <c r="C1263">
        <v>8.9999999999999993E-3</v>
      </c>
    </row>
    <row r="1264" spans="1:3" x14ac:dyDescent="0.25">
      <c r="A1264">
        <v>1263</v>
      </c>
      <c r="B1264" t="s">
        <v>2378</v>
      </c>
      <c r="C1264">
        <v>8.9999999999999993E-3</v>
      </c>
    </row>
    <row r="1265" spans="1:3" x14ac:dyDescent="0.25">
      <c r="A1265">
        <v>1264</v>
      </c>
      <c r="B1265" t="s">
        <v>2379</v>
      </c>
      <c r="C1265">
        <v>8.9999999999999993E-3</v>
      </c>
    </row>
    <row r="1266" spans="1:3" x14ac:dyDescent="0.25">
      <c r="A1266">
        <v>1265</v>
      </c>
      <c r="B1266" t="s">
        <v>2380</v>
      </c>
      <c r="C1266">
        <v>8.9999999999999993E-3</v>
      </c>
    </row>
    <row r="1267" spans="1:3" x14ac:dyDescent="0.25">
      <c r="A1267">
        <v>1266</v>
      </c>
      <c r="B1267" t="s">
        <v>2381</v>
      </c>
      <c r="C1267">
        <v>8.9999999999999993E-3</v>
      </c>
    </row>
    <row r="1268" spans="1:3" x14ac:dyDescent="0.25">
      <c r="A1268">
        <v>1267</v>
      </c>
      <c r="B1268" t="s">
        <v>2382</v>
      </c>
      <c r="C1268">
        <v>8.9999999999999993E-3</v>
      </c>
    </row>
    <row r="1269" spans="1:3" x14ac:dyDescent="0.25">
      <c r="A1269">
        <v>1268</v>
      </c>
      <c r="B1269" t="s">
        <v>2383</v>
      </c>
      <c r="C1269">
        <v>8.9999999999999993E-3</v>
      </c>
    </row>
    <row r="1270" spans="1:3" x14ac:dyDescent="0.25">
      <c r="A1270">
        <v>1269</v>
      </c>
      <c r="B1270" t="s">
        <v>2384</v>
      </c>
      <c r="C1270">
        <v>8.9999999999999993E-3</v>
      </c>
    </row>
    <row r="1271" spans="1:3" x14ac:dyDescent="0.25">
      <c r="A1271">
        <v>1270</v>
      </c>
      <c r="B1271" t="s">
        <v>2385</v>
      </c>
      <c r="C1271">
        <v>8.9999999999999993E-3</v>
      </c>
    </row>
    <row r="1272" spans="1:3" x14ac:dyDescent="0.25">
      <c r="A1272">
        <v>1271</v>
      </c>
      <c r="B1272" t="s">
        <v>2386</v>
      </c>
      <c r="C1272">
        <v>8.9999999999999993E-3</v>
      </c>
    </row>
    <row r="1273" spans="1:3" x14ac:dyDescent="0.25">
      <c r="A1273">
        <v>1272</v>
      </c>
      <c r="B1273" t="s">
        <v>2387</v>
      </c>
      <c r="C1273">
        <v>8.9999999999999993E-3</v>
      </c>
    </row>
    <row r="1274" spans="1:3" x14ac:dyDescent="0.25">
      <c r="A1274">
        <v>1273</v>
      </c>
      <c r="B1274" t="s">
        <v>2388</v>
      </c>
      <c r="C1274">
        <v>8.9999999999999993E-3</v>
      </c>
    </row>
    <row r="1275" spans="1:3" x14ac:dyDescent="0.25">
      <c r="A1275">
        <v>1274</v>
      </c>
      <c r="B1275" t="s">
        <v>2389</v>
      </c>
      <c r="C1275">
        <v>8.9999999999999993E-3</v>
      </c>
    </row>
    <row r="1276" spans="1:3" x14ac:dyDescent="0.25">
      <c r="A1276">
        <v>1275</v>
      </c>
      <c r="B1276" t="s">
        <v>2390</v>
      </c>
      <c r="C1276">
        <v>8.9999999999999993E-3</v>
      </c>
    </row>
    <row r="1277" spans="1:3" x14ac:dyDescent="0.25">
      <c r="A1277">
        <v>1276</v>
      </c>
      <c r="B1277" t="s">
        <v>2391</v>
      </c>
      <c r="C1277">
        <v>8.9999999999999993E-3</v>
      </c>
    </row>
    <row r="1278" spans="1:3" x14ac:dyDescent="0.25">
      <c r="A1278">
        <v>1277</v>
      </c>
      <c r="B1278" t="s">
        <v>2392</v>
      </c>
      <c r="C1278">
        <v>8.9999999999999993E-3</v>
      </c>
    </row>
    <row r="1279" spans="1:3" x14ac:dyDescent="0.25">
      <c r="A1279">
        <v>1278</v>
      </c>
      <c r="B1279" t="s">
        <v>2393</v>
      </c>
      <c r="C1279">
        <v>8.9999999999999993E-3</v>
      </c>
    </row>
    <row r="1280" spans="1:3" x14ac:dyDescent="0.25">
      <c r="A1280">
        <v>1279</v>
      </c>
      <c r="B1280" t="s">
        <v>2394</v>
      </c>
      <c r="C1280">
        <v>8.9999999999999993E-3</v>
      </c>
    </row>
    <row r="1281" spans="1:3" x14ac:dyDescent="0.25">
      <c r="A1281">
        <v>1280</v>
      </c>
      <c r="B1281" t="s">
        <v>2395</v>
      </c>
      <c r="C1281">
        <v>8.9999999999999993E-3</v>
      </c>
    </row>
    <row r="1282" spans="1:3" x14ac:dyDescent="0.25">
      <c r="A1282">
        <v>1281</v>
      </c>
      <c r="B1282" t="s">
        <v>2396</v>
      </c>
      <c r="C1282">
        <v>8.9999999999999993E-3</v>
      </c>
    </row>
    <row r="1283" spans="1:3" x14ac:dyDescent="0.25">
      <c r="A1283">
        <v>1282</v>
      </c>
      <c r="B1283" t="s">
        <v>2397</v>
      </c>
      <c r="C1283">
        <v>8.9999999999999993E-3</v>
      </c>
    </row>
    <row r="1284" spans="1:3" x14ac:dyDescent="0.25">
      <c r="A1284">
        <v>1283</v>
      </c>
      <c r="B1284" t="s">
        <v>2398</v>
      </c>
      <c r="C1284">
        <v>8.0000000000000002E-3</v>
      </c>
    </row>
    <row r="1285" spans="1:3" x14ac:dyDescent="0.25">
      <c r="A1285">
        <v>1284</v>
      </c>
      <c r="B1285" t="s">
        <v>2399</v>
      </c>
      <c r="C1285">
        <v>8.0000000000000002E-3</v>
      </c>
    </row>
    <row r="1286" spans="1:3" x14ac:dyDescent="0.25">
      <c r="A1286">
        <v>1285</v>
      </c>
      <c r="B1286" t="s">
        <v>2400</v>
      </c>
      <c r="C1286">
        <v>8.0000000000000002E-3</v>
      </c>
    </row>
    <row r="1287" spans="1:3" x14ac:dyDescent="0.25">
      <c r="A1287">
        <v>1286</v>
      </c>
      <c r="B1287" t="s">
        <v>2401</v>
      </c>
      <c r="C1287">
        <v>8.0000000000000002E-3</v>
      </c>
    </row>
    <row r="1288" spans="1:3" x14ac:dyDescent="0.25">
      <c r="A1288">
        <v>1287</v>
      </c>
      <c r="B1288" t="s">
        <v>2402</v>
      </c>
      <c r="C1288">
        <v>8.0000000000000002E-3</v>
      </c>
    </row>
    <row r="1289" spans="1:3" x14ac:dyDescent="0.25">
      <c r="A1289">
        <v>1288</v>
      </c>
      <c r="B1289" t="s">
        <v>2403</v>
      </c>
      <c r="C1289">
        <v>8.0000000000000002E-3</v>
      </c>
    </row>
    <row r="1290" spans="1:3" x14ac:dyDescent="0.25">
      <c r="A1290">
        <v>1289</v>
      </c>
      <c r="B1290" t="s">
        <v>2404</v>
      </c>
      <c r="C1290">
        <v>8.0000000000000002E-3</v>
      </c>
    </row>
    <row r="1291" spans="1:3" x14ac:dyDescent="0.25">
      <c r="A1291">
        <v>1290</v>
      </c>
      <c r="B1291" t="s">
        <v>2405</v>
      </c>
      <c r="C1291">
        <v>8.0000000000000002E-3</v>
      </c>
    </row>
    <row r="1292" spans="1:3" x14ac:dyDescent="0.25">
      <c r="A1292">
        <v>1291</v>
      </c>
      <c r="B1292" t="s">
        <v>2406</v>
      </c>
      <c r="C1292">
        <v>8.0000000000000002E-3</v>
      </c>
    </row>
    <row r="1293" spans="1:3" x14ac:dyDescent="0.25">
      <c r="A1293">
        <v>1292</v>
      </c>
      <c r="B1293" t="s">
        <v>2407</v>
      </c>
      <c r="C1293">
        <v>8.0000000000000002E-3</v>
      </c>
    </row>
    <row r="1294" spans="1:3" x14ac:dyDescent="0.25">
      <c r="A1294">
        <v>1293</v>
      </c>
      <c r="B1294" t="s">
        <v>2408</v>
      </c>
      <c r="C1294">
        <v>8.0000000000000002E-3</v>
      </c>
    </row>
    <row r="1295" spans="1:3" x14ac:dyDescent="0.25">
      <c r="A1295">
        <v>1294</v>
      </c>
      <c r="B1295" t="s">
        <v>2409</v>
      </c>
      <c r="C1295">
        <v>8.0000000000000002E-3</v>
      </c>
    </row>
    <row r="1296" spans="1:3" x14ac:dyDescent="0.25">
      <c r="A1296">
        <v>1295</v>
      </c>
      <c r="B1296" t="s">
        <v>2410</v>
      </c>
      <c r="C1296">
        <v>8.0000000000000002E-3</v>
      </c>
    </row>
    <row r="1297" spans="1:3" x14ac:dyDescent="0.25">
      <c r="A1297">
        <v>1296</v>
      </c>
      <c r="B1297" t="s">
        <v>2411</v>
      </c>
      <c r="C1297">
        <v>8.0000000000000002E-3</v>
      </c>
    </row>
    <row r="1298" spans="1:3" x14ac:dyDescent="0.25">
      <c r="A1298">
        <v>1297</v>
      </c>
      <c r="B1298" t="s">
        <v>2412</v>
      </c>
      <c r="C1298">
        <v>8.0000000000000002E-3</v>
      </c>
    </row>
    <row r="1299" spans="1:3" x14ac:dyDescent="0.25">
      <c r="A1299">
        <v>1298</v>
      </c>
      <c r="B1299" t="s">
        <v>2413</v>
      </c>
      <c r="C1299">
        <v>8.0000000000000002E-3</v>
      </c>
    </row>
    <row r="1300" spans="1:3" x14ac:dyDescent="0.25">
      <c r="A1300">
        <v>1299</v>
      </c>
      <c r="B1300" t="s">
        <v>2414</v>
      </c>
      <c r="C1300">
        <v>8.0000000000000002E-3</v>
      </c>
    </row>
    <row r="1301" spans="1:3" x14ac:dyDescent="0.25">
      <c r="A1301">
        <v>1300</v>
      </c>
      <c r="B1301" t="s">
        <v>2415</v>
      </c>
      <c r="C1301">
        <v>8.0000000000000002E-3</v>
      </c>
    </row>
    <row r="1302" spans="1:3" x14ac:dyDescent="0.25">
      <c r="A1302">
        <v>1301</v>
      </c>
      <c r="B1302" t="s">
        <v>2416</v>
      </c>
      <c r="C1302">
        <v>8.0000000000000002E-3</v>
      </c>
    </row>
    <row r="1303" spans="1:3" x14ac:dyDescent="0.25">
      <c r="A1303">
        <v>1302</v>
      </c>
      <c r="B1303" t="s">
        <v>2417</v>
      </c>
      <c r="C1303">
        <v>8.0000000000000002E-3</v>
      </c>
    </row>
    <row r="1304" spans="1:3" x14ac:dyDescent="0.25">
      <c r="A1304">
        <v>1303</v>
      </c>
      <c r="B1304" t="s">
        <v>2418</v>
      </c>
      <c r="C1304">
        <v>8.0000000000000002E-3</v>
      </c>
    </row>
    <row r="1305" spans="1:3" x14ac:dyDescent="0.25">
      <c r="A1305">
        <v>1304</v>
      </c>
      <c r="B1305" t="s">
        <v>2419</v>
      </c>
      <c r="C1305">
        <v>8.0000000000000002E-3</v>
      </c>
    </row>
    <row r="1306" spans="1:3" x14ac:dyDescent="0.25">
      <c r="A1306">
        <v>1305</v>
      </c>
      <c r="B1306" t="s">
        <v>2420</v>
      </c>
      <c r="C1306">
        <v>8.0000000000000002E-3</v>
      </c>
    </row>
    <row r="1307" spans="1:3" x14ac:dyDescent="0.25">
      <c r="A1307">
        <v>1306</v>
      </c>
      <c r="B1307" t="s">
        <v>2421</v>
      </c>
      <c r="C1307">
        <v>8.0000000000000002E-3</v>
      </c>
    </row>
    <row r="1308" spans="1:3" x14ac:dyDescent="0.25">
      <c r="A1308">
        <v>1307</v>
      </c>
      <c r="B1308" t="s">
        <v>2422</v>
      </c>
      <c r="C1308">
        <v>8.0000000000000002E-3</v>
      </c>
    </row>
    <row r="1309" spans="1:3" x14ac:dyDescent="0.25">
      <c r="A1309">
        <v>1308</v>
      </c>
      <c r="B1309" t="s">
        <v>2423</v>
      </c>
      <c r="C1309">
        <v>8.0000000000000002E-3</v>
      </c>
    </row>
    <row r="1310" spans="1:3" x14ac:dyDescent="0.25">
      <c r="A1310">
        <v>1309</v>
      </c>
      <c r="B1310" t="s">
        <v>2424</v>
      </c>
      <c r="C1310">
        <v>8.0000000000000002E-3</v>
      </c>
    </row>
    <row r="1311" spans="1:3" x14ac:dyDescent="0.25">
      <c r="A1311">
        <v>1310</v>
      </c>
      <c r="B1311" t="s">
        <v>2425</v>
      </c>
      <c r="C1311">
        <v>8.0000000000000002E-3</v>
      </c>
    </row>
    <row r="1312" spans="1:3" x14ac:dyDescent="0.25">
      <c r="A1312">
        <v>1311</v>
      </c>
      <c r="B1312" t="s">
        <v>2426</v>
      </c>
      <c r="C1312">
        <v>8.0000000000000002E-3</v>
      </c>
    </row>
    <row r="1313" spans="1:3" x14ac:dyDescent="0.25">
      <c r="A1313">
        <v>1312</v>
      </c>
      <c r="B1313" t="s">
        <v>2427</v>
      </c>
      <c r="C1313">
        <v>8.0000000000000002E-3</v>
      </c>
    </row>
    <row r="1314" spans="1:3" x14ac:dyDescent="0.25">
      <c r="A1314">
        <v>1313</v>
      </c>
      <c r="B1314" t="s">
        <v>2428</v>
      </c>
      <c r="C1314">
        <v>8.0000000000000002E-3</v>
      </c>
    </row>
    <row r="1315" spans="1:3" x14ac:dyDescent="0.25">
      <c r="A1315">
        <v>1314</v>
      </c>
      <c r="B1315" t="s">
        <v>2429</v>
      </c>
      <c r="C1315">
        <v>8.0000000000000002E-3</v>
      </c>
    </row>
    <row r="1316" spans="1:3" x14ac:dyDescent="0.25">
      <c r="A1316">
        <v>1315</v>
      </c>
      <c r="B1316" t="s">
        <v>2430</v>
      </c>
      <c r="C1316">
        <v>8.0000000000000002E-3</v>
      </c>
    </row>
    <row r="1317" spans="1:3" x14ac:dyDescent="0.25">
      <c r="A1317">
        <v>1316</v>
      </c>
      <c r="B1317" t="s">
        <v>2431</v>
      </c>
      <c r="C1317">
        <v>8.0000000000000002E-3</v>
      </c>
    </row>
    <row r="1318" spans="1:3" x14ac:dyDescent="0.25">
      <c r="A1318">
        <v>1317</v>
      </c>
      <c r="B1318" t="s">
        <v>2432</v>
      </c>
      <c r="C1318">
        <v>8.0000000000000002E-3</v>
      </c>
    </row>
    <row r="1319" spans="1:3" x14ac:dyDescent="0.25">
      <c r="A1319">
        <v>1318</v>
      </c>
      <c r="B1319" t="s">
        <v>2433</v>
      </c>
      <c r="C1319">
        <v>8.0000000000000002E-3</v>
      </c>
    </row>
    <row r="1320" spans="1:3" x14ac:dyDescent="0.25">
      <c r="A1320">
        <v>1319</v>
      </c>
      <c r="B1320" t="s">
        <v>2434</v>
      </c>
      <c r="C1320">
        <v>8.0000000000000002E-3</v>
      </c>
    </row>
    <row r="1321" spans="1:3" x14ac:dyDescent="0.25">
      <c r="A1321">
        <v>1320</v>
      </c>
      <c r="B1321" t="s">
        <v>2435</v>
      </c>
      <c r="C1321">
        <v>8.0000000000000002E-3</v>
      </c>
    </row>
    <row r="1322" spans="1:3" x14ac:dyDescent="0.25">
      <c r="A1322">
        <v>1321</v>
      </c>
      <c r="B1322" t="s">
        <v>2436</v>
      </c>
      <c r="C1322">
        <v>8.0000000000000002E-3</v>
      </c>
    </row>
    <row r="1323" spans="1:3" x14ac:dyDescent="0.25">
      <c r="A1323">
        <v>1322</v>
      </c>
      <c r="B1323" t="s">
        <v>2437</v>
      </c>
      <c r="C1323">
        <v>8.0000000000000002E-3</v>
      </c>
    </row>
    <row r="1324" spans="1:3" x14ac:dyDescent="0.25">
      <c r="A1324">
        <v>1323</v>
      </c>
      <c r="B1324" t="s">
        <v>2438</v>
      </c>
      <c r="C1324">
        <v>8.0000000000000002E-3</v>
      </c>
    </row>
    <row r="1325" spans="1:3" x14ac:dyDescent="0.25">
      <c r="A1325">
        <v>1324</v>
      </c>
      <c r="B1325" t="s">
        <v>2439</v>
      </c>
      <c r="C1325">
        <v>8.0000000000000002E-3</v>
      </c>
    </row>
    <row r="1326" spans="1:3" x14ac:dyDescent="0.25">
      <c r="A1326">
        <v>1325</v>
      </c>
      <c r="B1326" t="s">
        <v>2440</v>
      </c>
      <c r="C1326">
        <v>8.0000000000000002E-3</v>
      </c>
    </row>
    <row r="1327" spans="1:3" x14ac:dyDescent="0.25">
      <c r="A1327">
        <v>1326</v>
      </c>
      <c r="B1327" t="s">
        <v>2441</v>
      </c>
      <c r="C1327">
        <v>8.0000000000000002E-3</v>
      </c>
    </row>
    <row r="1328" spans="1:3" x14ac:dyDescent="0.25">
      <c r="A1328">
        <v>1327</v>
      </c>
      <c r="B1328" t="s">
        <v>2442</v>
      </c>
      <c r="C1328">
        <v>8.0000000000000002E-3</v>
      </c>
    </row>
    <row r="1329" spans="1:3" x14ac:dyDescent="0.25">
      <c r="A1329">
        <v>1328</v>
      </c>
      <c r="B1329" t="s">
        <v>2443</v>
      </c>
      <c r="C1329">
        <v>8.0000000000000002E-3</v>
      </c>
    </row>
    <row r="1330" spans="1:3" x14ac:dyDescent="0.25">
      <c r="A1330">
        <v>1329</v>
      </c>
      <c r="B1330" t="s">
        <v>2444</v>
      </c>
      <c r="C1330">
        <v>8.0000000000000002E-3</v>
      </c>
    </row>
    <row r="1331" spans="1:3" x14ac:dyDescent="0.25">
      <c r="A1331">
        <v>1330</v>
      </c>
      <c r="B1331" t="s">
        <v>2445</v>
      </c>
      <c r="C1331">
        <v>8.0000000000000002E-3</v>
      </c>
    </row>
    <row r="1332" spans="1:3" x14ac:dyDescent="0.25">
      <c r="A1332">
        <v>1331</v>
      </c>
      <c r="B1332" t="s">
        <v>2446</v>
      </c>
      <c r="C1332">
        <v>8.0000000000000002E-3</v>
      </c>
    </row>
    <row r="1333" spans="1:3" x14ac:dyDescent="0.25">
      <c r="A1333">
        <v>1332</v>
      </c>
      <c r="B1333" t="s">
        <v>2447</v>
      </c>
      <c r="C1333">
        <v>8.0000000000000002E-3</v>
      </c>
    </row>
    <row r="1334" spans="1:3" x14ac:dyDescent="0.25">
      <c r="A1334">
        <v>1333</v>
      </c>
      <c r="B1334" t="s">
        <v>2448</v>
      </c>
      <c r="C1334">
        <v>8.0000000000000002E-3</v>
      </c>
    </row>
    <row r="1335" spans="1:3" x14ac:dyDescent="0.25">
      <c r="A1335">
        <v>1334</v>
      </c>
      <c r="B1335" t="s">
        <v>2449</v>
      </c>
      <c r="C1335">
        <v>8.0000000000000002E-3</v>
      </c>
    </row>
    <row r="1336" spans="1:3" x14ac:dyDescent="0.25">
      <c r="A1336">
        <v>1335</v>
      </c>
      <c r="B1336" t="s">
        <v>2450</v>
      </c>
      <c r="C1336">
        <v>8.0000000000000002E-3</v>
      </c>
    </row>
    <row r="1337" spans="1:3" x14ac:dyDescent="0.25">
      <c r="A1337">
        <v>1336</v>
      </c>
      <c r="B1337" t="s">
        <v>2451</v>
      </c>
      <c r="C1337">
        <v>8.0000000000000002E-3</v>
      </c>
    </row>
    <row r="1338" spans="1:3" x14ac:dyDescent="0.25">
      <c r="A1338">
        <v>1337</v>
      </c>
      <c r="B1338" t="s">
        <v>2452</v>
      </c>
      <c r="C1338">
        <v>8.0000000000000002E-3</v>
      </c>
    </row>
    <row r="1339" spans="1:3" x14ac:dyDescent="0.25">
      <c r="A1339">
        <v>1338</v>
      </c>
      <c r="B1339" t="s">
        <v>2453</v>
      </c>
      <c r="C1339">
        <v>8.0000000000000002E-3</v>
      </c>
    </row>
    <row r="1340" spans="1:3" x14ac:dyDescent="0.25">
      <c r="A1340">
        <v>1339</v>
      </c>
      <c r="B1340" t="s">
        <v>2454</v>
      </c>
      <c r="C1340">
        <v>8.0000000000000002E-3</v>
      </c>
    </row>
    <row r="1341" spans="1:3" x14ac:dyDescent="0.25">
      <c r="A1341">
        <v>1340</v>
      </c>
      <c r="B1341" t="s">
        <v>2455</v>
      </c>
      <c r="C1341">
        <v>8.0000000000000002E-3</v>
      </c>
    </row>
    <row r="1342" spans="1:3" x14ac:dyDescent="0.25">
      <c r="A1342">
        <v>1341</v>
      </c>
      <c r="B1342" t="s">
        <v>2456</v>
      </c>
      <c r="C1342">
        <v>8.0000000000000002E-3</v>
      </c>
    </row>
    <row r="1343" spans="1:3" x14ac:dyDescent="0.25">
      <c r="A1343">
        <v>1342</v>
      </c>
      <c r="B1343" t="s">
        <v>2457</v>
      </c>
      <c r="C1343">
        <v>8.0000000000000002E-3</v>
      </c>
    </row>
    <row r="1344" spans="1:3" x14ac:dyDescent="0.25">
      <c r="A1344">
        <v>1343</v>
      </c>
      <c r="B1344" t="s">
        <v>2458</v>
      </c>
      <c r="C1344">
        <v>8.0000000000000002E-3</v>
      </c>
    </row>
    <row r="1345" spans="1:3" x14ac:dyDescent="0.25">
      <c r="A1345">
        <v>1344</v>
      </c>
      <c r="B1345" t="s">
        <v>2459</v>
      </c>
      <c r="C1345">
        <v>8.0000000000000002E-3</v>
      </c>
    </row>
    <row r="1346" spans="1:3" x14ac:dyDescent="0.25">
      <c r="A1346">
        <v>1345</v>
      </c>
      <c r="B1346" t="s">
        <v>2460</v>
      </c>
      <c r="C1346">
        <v>8.0000000000000002E-3</v>
      </c>
    </row>
    <row r="1347" spans="1:3" x14ac:dyDescent="0.25">
      <c r="A1347">
        <v>1346</v>
      </c>
      <c r="B1347" t="s">
        <v>2461</v>
      </c>
      <c r="C1347">
        <v>8.0000000000000002E-3</v>
      </c>
    </row>
    <row r="1348" spans="1:3" x14ac:dyDescent="0.25">
      <c r="A1348">
        <v>1347</v>
      </c>
      <c r="B1348" t="s">
        <v>2462</v>
      </c>
      <c r="C1348">
        <v>8.0000000000000002E-3</v>
      </c>
    </row>
    <row r="1349" spans="1:3" x14ac:dyDescent="0.25">
      <c r="A1349">
        <v>1348</v>
      </c>
      <c r="B1349" t="s">
        <v>2463</v>
      </c>
      <c r="C1349">
        <v>8.0000000000000002E-3</v>
      </c>
    </row>
    <row r="1350" spans="1:3" x14ac:dyDescent="0.25">
      <c r="A1350">
        <v>1349</v>
      </c>
      <c r="B1350" t="s">
        <v>2464</v>
      </c>
      <c r="C1350">
        <v>8.0000000000000002E-3</v>
      </c>
    </row>
    <row r="1351" spans="1:3" x14ac:dyDescent="0.25">
      <c r="A1351">
        <v>1350</v>
      </c>
      <c r="B1351" t="s">
        <v>2465</v>
      </c>
      <c r="C1351">
        <v>8.0000000000000002E-3</v>
      </c>
    </row>
    <row r="1352" spans="1:3" x14ac:dyDescent="0.25">
      <c r="A1352">
        <v>1351</v>
      </c>
      <c r="B1352" t="s">
        <v>2466</v>
      </c>
      <c r="C1352">
        <v>8.0000000000000002E-3</v>
      </c>
    </row>
    <row r="1353" spans="1:3" x14ac:dyDescent="0.25">
      <c r="A1353">
        <v>1352</v>
      </c>
      <c r="B1353" t="s">
        <v>2467</v>
      </c>
      <c r="C1353">
        <v>8.0000000000000002E-3</v>
      </c>
    </row>
    <row r="1354" spans="1:3" x14ac:dyDescent="0.25">
      <c r="A1354">
        <v>1353</v>
      </c>
      <c r="B1354" t="s">
        <v>2468</v>
      </c>
      <c r="C1354">
        <v>8.0000000000000002E-3</v>
      </c>
    </row>
    <row r="1355" spans="1:3" x14ac:dyDescent="0.25">
      <c r="A1355">
        <v>1354</v>
      </c>
      <c r="B1355" t="s">
        <v>2469</v>
      </c>
      <c r="C1355">
        <v>8.0000000000000002E-3</v>
      </c>
    </row>
    <row r="1356" spans="1:3" x14ac:dyDescent="0.25">
      <c r="A1356">
        <v>1355</v>
      </c>
      <c r="B1356" t="s">
        <v>2470</v>
      </c>
      <c r="C1356">
        <v>8.0000000000000002E-3</v>
      </c>
    </row>
    <row r="1357" spans="1:3" x14ac:dyDescent="0.25">
      <c r="A1357">
        <v>1356</v>
      </c>
      <c r="B1357" t="s">
        <v>2471</v>
      </c>
      <c r="C1357">
        <v>8.0000000000000002E-3</v>
      </c>
    </row>
    <row r="1358" spans="1:3" x14ac:dyDescent="0.25">
      <c r="A1358">
        <v>1357</v>
      </c>
      <c r="B1358" t="s">
        <v>2472</v>
      </c>
      <c r="C1358">
        <v>8.0000000000000002E-3</v>
      </c>
    </row>
    <row r="1359" spans="1:3" x14ac:dyDescent="0.25">
      <c r="A1359">
        <v>1358</v>
      </c>
      <c r="B1359" t="s">
        <v>2473</v>
      </c>
      <c r="C1359">
        <v>7.0000000000000001E-3</v>
      </c>
    </row>
    <row r="1360" spans="1:3" x14ac:dyDescent="0.25">
      <c r="A1360">
        <v>1359</v>
      </c>
      <c r="B1360" t="s">
        <v>2474</v>
      </c>
      <c r="C1360">
        <v>7.0000000000000001E-3</v>
      </c>
    </row>
    <row r="1361" spans="1:3" x14ac:dyDescent="0.25">
      <c r="A1361">
        <v>1360</v>
      </c>
      <c r="B1361" t="s">
        <v>2475</v>
      </c>
      <c r="C1361">
        <v>7.0000000000000001E-3</v>
      </c>
    </row>
    <row r="1362" spans="1:3" x14ac:dyDescent="0.25">
      <c r="A1362">
        <v>1361</v>
      </c>
      <c r="B1362" t="s">
        <v>2476</v>
      </c>
      <c r="C1362">
        <v>7.0000000000000001E-3</v>
      </c>
    </row>
    <row r="1363" spans="1:3" x14ac:dyDescent="0.25">
      <c r="A1363">
        <v>1362</v>
      </c>
      <c r="B1363" t="s">
        <v>2477</v>
      </c>
      <c r="C1363">
        <v>7.0000000000000001E-3</v>
      </c>
    </row>
    <row r="1364" spans="1:3" x14ac:dyDescent="0.25">
      <c r="A1364">
        <v>1363</v>
      </c>
      <c r="B1364" t="s">
        <v>2478</v>
      </c>
      <c r="C1364">
        <v>7.0000000000000001E-3</v>
      </c>
    </row>
    <row r="1365" spans="1:3" x14ac:dyDescent="0.25">
      <c r="A1365">
        <v>1364</v>
      </c>
      <c r="B1365" t="s">
        <v>2479</v>
      </c>
      <c r="C1365">
        <v>7.0000000000000001E-3</v>
      </c>
    </row>
    <row r="1366" spans="1:3" x14ac:dyDescent="0.25">
      <c r="A1366">
        <v>1365</v>
      </c>
      <c r="B1366" t="s">
        <v>2480</v>
      </c>
      <c r="C1366">
        <v>7.0000000000000001E-3</v>
      </c>
    </row>
    <row r="1367" spans="1:3" x14ac:dyDescent="0.25">
      <c r="A1367">
        <v>1366</v>
      </c>
      <c r="B1367" t="s">
        <v>2481</v>
      </c>
      <c r="C1367">
        <v>7.0000000000000001E-3</v>
      </c>
    </row>
    <row r="1368" spans="1:3" x14ac:dyDescent="0.25">
      <c r="A1368">
        <v>1367</v>
      </c>
      <c r="B1368" t="s">
        <v>2482</v>
      </c>
      <c r="C1368">
        <v>7.0000000000000001E-3</v>
      </c>
    </row>
    <row r="1369" spans="1:3" x14ac:dyDescent="0.25">
      <c r="A1369">
        <v>1368</v>
      </c>
      <c r="B1369" t="s">
        <v>2483</v>
      </c>
      <c r="C1369">
        <v>7.0000000000000001E-3</v>
      </c>
    </row>
    <row r="1370" spans="1:3" x14ac:dyDescent="0.25">
      <c r="A1370">
        <v>1369</v>
      </c>
      <c r="B1370" t="s">
        <v>2484</v>
      </c>
      <c r="C1370">
        <v>7.0000000000000001E-3</v>
      </c>
    </row>
    <row r="1371" spans="1:3" x14ac:dyDescent="0.25">
      <c r="A1371">
        <v>1370</v>
      </c>
      <c r="B1371" t="s">
        <v>2485</v>
      </c>
      <c r="C1371">
        <v>7.0000000000000001E-3</v>
      </c>
    </row>
    <row r="1372" spans="1:3" x14ac:dyDescent="0.25">
      <c r="A1372">
        <v>1371</v>
      </c>
      <c r="B1372" t="s">
        <v>2486</v>
      </c>
      <c r="C1372">
        <v>7.0000000000000001E-3</v>
      </c>
    </row>
    <row r="1373" spans="1:3" x14ac:dyDescent="0.25">
      <c r="A1373">
        <v>1372</v>
      </c>
      <c r="B1373" t="s">
        <v>2487</v>
      </c>
      <c r="C1373">
        <v>7.0000000000000001E-3</v>
      </c>
    </row>
    <row r="1374" spans="1:3" x14ac:dyDescent="0.25">
      <c r="A1374">
        <v>1373</v>
      </c>
      <c r="B1374" t="s">
        <v>2488</v>
      </c>
      <c r="C1374">
        <v>7.0000000000000001E-3</v>
      </c>
    </row>
    <row r="1375" spans="1:3" x14ac:dyDescent="0.25">
      <c r="A1375">
        <v>1374</v>
      </c>
      <c r="B1375" t="s">
        <v>2489</v>
      </c>
      <c r="C1375">
        <v>7.0000000000000001E-3</v>
      </c>
    </row>
    <row r="1376" spans="1:3" x14ac:dyDescent="0.25">
      <c r="A1376">
        <v>1375</v>
      </c>
      <c r="B1376" t="s">
        <v>2490</v>
      </c>
      <c r="C1376">
        <v>7.0000000000000001E-3</v>
      </c>
    </row>
    <row r="1377" spans="1:3" x14ac:dyDescent="0.25">
      <c r="A1377">
        <v>1376</v>
      </c>
      <c r="B1377" t="s">
        <v>2491</v>
      </c>
      <c r="C1377">
        <v>7.0000000000000001E-3</v>
      </c>
    </row>
    <row r="1378" spans="1:3" x14ac:dyDescent="0.25">
      <c r="A1378">
        <v>1377</v>
      </c>
      <c r="B1378" t="s">
        <v>2492</v>
      </c>
      <c r="C1378">
        <v>7.0000000000000001E-3</v>
      </c>
    </row>
    <row r="1379" spans="1:3" x14ac:dyDescent="0.25">
      <c r="A1379">
        <v>1378</v>
      </c>
      <c r="B1379" t="s">
        <v>2493</v>
      </c>
      <c r="C1379">
        <v>7.0000000000000001E-3</v>
      </c>
    </row>
    <row r="1380" spans="1:3" x14ac:dyDescent="0.25">
      <c r="A1380">
        <v>1379</v>
      </c>
      <c r="B1380" t="s">
        <v>2494</v>
      </c>
      <c r="C1380">
        <v>7.0000000000000001E-3</v>
      </c>
    </row>
    <row r="1381" spans="1:3" x14ac:dyDescent="0.25">
      <c r="A1381">
        <v>1380</v>
      </c>
      <c r="B1381" t="s">
        <v>2495</v>
      </c>
      <c r="C1381">
        <v>7.0000000000000001E-3</v>
      </c>
    </row>
    <row r="1382" spans="1:3" x14ac:dyDescent="0.25">
      <c r="A1382">
        <v>1381</v>
      </c>
      <c r="B1382" t="s">
        <v>2496</v>
      </c>
      <c r="C1382">
        <v>7.0000000000000001E-3</v>
      </c>
    </row>
    <row r="1383" spans="1:3" x14ac:dyDescent="0.25">
      <c r="A1383">
        <v>1382</v>
      </c>
      <c r="B1383" t="s">
        <v>2497</v>
      </c>
      <c r="C1383">
        <v>7.0000000000000001E-3</v>
      </c>
    </row>
    <row r="1384" spans="1:3" x14ac:dyDescent="0.25">
      <c r="A1384">
        <v>1383</v>
      </c>
      <c r="B1384" t="s">
        <v>2498</v>
      </c>
      <c r="C1384">
        <v>7.0000000000000001E-3</v>
      </c>
    </row>
    <row r="1385" spans="1:3" x14ac:dyDescent="0.25">
      <c r="A1385">
        <v>1384</v>
      </c>
      <c r="B1385" t="s">
        <v>2499</v>
      </c>
      <c r="C1385">
        <v>7.0000000000000001E-3</v>
      </c>
    </row>
    <row r="1386" spans="1:3" x14ac:dyDescent="0.25">
      <c r="A1386">
        <v>1385</v>
      </c>
      <c r="B1386" t="s">
        <v>2500</v>
      </c>
      <c r="C1386">
        <v>7.0000000000000001E-3</v>
      </c>
    </row>
    <row r="1387" spans="1:3" x14ac:dyDescent="0.25">
      <c r="A1387">
        <v>1386</v>
      </c>
      <c r="B1387" t="s">
        <v>2501</v>
      </c>
      <c r="C1387">
        <v>7.0000000000000001E-3</v>
      </c>
    </row>
    <row r="1388" spans="1:3" x14ac:dyDescent="0.25">
      <c r="A1388">
        <v>1387</v>
      </c>
      <c r="B1388" t="s">
        <v>2502</v>
      </c>
      <c r="C1388">
        <v>7.0000000000000001E-3</v>
      </c>
    </row>
    <row r="1389" spans="1:3" x14ac:dyDescent="0.25">
      <c r="A1389">
        <v>1388</v>
      </c>
      <c r="B1389" t="s">
        <v>2503</v>
      </c>
      <c r="C1389">
        <v>7.0000000000000001E-3</v>
      </c>
    </row>
    <row r="1390" spans="1:3" x14ac:dyDescent="0.25">
      <c r="A1390">
        <v>1389</v>
      </c>
      <c r="B1390" t="s">
        <v>2504</v>
      </c>
      <c r="C1390">
        <v>7.0000000000000001E-3</v>
      </c>
    </row>
    <row r="1391" spans="1:3" x14ac:dyDescent="0.25">
      <c r="A1391">
        <v>1390</v>
      </c>
      <c r="B1391" t="s">
        <v>2505</v>
      </c>
      <c r="C1391">
        <v>7.0000000000000001E-3</v>
      </c>
    </row>
    <row r="1392" spans="1:3" x14ac:dyDescent="0.25">
      <c r="A1392">
        <v>1391</v>
      </c>
      <c r="B1392" t="s">
        <v>2506</v>
      </c>
      <c r="C1392">
        <v>7.0000000000000001E-3</v>
      </c>
    </row>
    <row r="1393" spans="1:3" x14ac:dyDescent="0.25">
      <c r="A1393">
        <v>1392</v>
      </c>
      <c r="B1393" t="s">
        <v>2507</v>
      </c>
      <c r="C1393">
        <v>7.0000000000000001E-3</v>
      </c>
    </row>
    <row r="1394" spans="1:3" x14ac:dyDescent="0.25">
      <c r="A1394">
        <v>1393</v>
      </c>
      <c r="B1394" t="s">
        <v>2508</v>
      </c>
      <c r="C1394">
        <v>7.0000000000000001E-3</v>
      </c>
    </row>
    <row r="1395" spans="1:3" x14ac:dyDescent="0.25">
      <c r="A1395">
        <v>1394</v>
      </c>
      <c r="B1395" t="s">
        <v>2509</v>
      </c>
      <c r="C1395">
        <v>7.0000000000000001E-3</v>
      </c>
    </row>
    <row r="1396" spans="1:3" x14ac:dyDescent="0.25">
      <c r="A1396">
        <v>1395</v>
      </c>
      <c r="B1396" t="s">
        <v>2510</v>
      </c>
      <c r="C1396">
        <v>7.0000000000000001E-3</v>
      </c>
    </row>
    <row r="1397" spans="1:3" x14ac:dyDescent="0.25">
      <c r="A1397">
        <v>1396</v>
      </c>
      <c r="B1397" t="s">
        <v>2511</v>
      </c>
      <c r="C1397">
        <v>7.0000000000000001E-3</v>
      </c>
    </row>
    <row r="1398" spans="1:3" x14ac:dyDescent="0.25">
      <c r="A1398">
        <v>1397</v>
      </c>
      <c r="B1398" t="s">
        <v>2512</v>
      </c>
      <c r="C1398">
        <v>7.0000000000000001E-3</v>
      </c>
    </row>
    <row r="1399" spans="1:3" x14ac:dyDescent="0.25">
      <c r="A1399">
        <v>1398</v>
      </c>
      <c r="B1399" t="s">
        <v>2513</v>
      </c>
      <c r="C1399">
        <v>7.0000000000000001E-3</v>
      </c>
    </row>
    <row r="1400" spans="1:3" x14ac:dyDescent="0.25">
      <c r="A1400">
        <v>1399</v>
      </c>
      <c r="B1400" t="s">
        <v>2514</v>
      </c>
      <c r="C1400">
        <v>7.0000000000000001E-3</v>
      </c>
    </row>
    <row r="1401" spans="1:3" x14ac:dyDescent="0.25">
      <c r="A1401">
        <v>1400</v>
      </c>
      <c r="B1401" t="s">
        <v>2515</v>
      </c>
      <c r="C1401">
        <v>7.0000000000000001E-3</v>
      </c>
    </row>
    <row r="1402" spans="1:3" x14ac:dyDescent="0.25">
      <c r="A1402">
        <v>1401</v>
      </c>
      <c r="B1402" t="s">
        <v>2516</v>
      </c>
      <c r="C1402">
        <v>7.0000000000000001E-3</v>
      </c>
    </row>
    <row r="1403" spans="1:3" x14ac:dyDescent="0.25">
      <c r="A1403">
        <v>1402</v>
      </c>
      <c r="B1403" t="s">
        <v>2517</v>
      </c>
      <c r="C1403">
        <v>7.0000000000000001E-3</v>
      </c>
    </row>
    <row r="1404" spans="1:3" x14ac:dyDescent="0.25">
      <c r="A1404">
        <v>1403</v>
      </c>
      <c r="B1404" t="s">
        <v>2518</v>
      </c>
      <c r="C1404">
        <v>7.0000000000000001E-3</v>
      </c>
    </row>
    <row r="1405" spans="1:3" x14ac:dyDescent="0.25">
      <c r="A1405">
        <v>1404</v>
      </c>
      <c r="B1405" t="s">
        <v>2519</v>
      </c>
      <c r="C1405">
        <v>7.0000000000000001E-3</v>
      </c>
    </row>
    <row r="1406" spans="1:3" x14ac:dyDescent="0.25">
      <c r="A1406">
        <v>1405</v>
      </c>
      <c r="B1406" t="s">
        <v>2520</v>
      </c>
      <c r="C1406">
        <v>7.0000000000000001E-3</v>
      </c>
    </row>
    <row r="1407" spans="1:3" x14ac:dyDescent="0.25">
      <c r="A1407">
        <v>1406</v>
      </c>
      <c r="B1407" t="s">
        <v>2521</v>
      </c>
      <c r="C1407">
        <v>7.0000000000000001E-3</v>
      </c>
    </row>
    <row r="1408" spans="1:3" x14ac:dyDescent="0.25">
      <c r="A1408">
        <v>1407</v>
      </c>
      <c r="B1408" t="s">
        <v>2522</v>
      </c>
      <c r="C1408">
        <v>7.0000000000000001E-3</v>
      </c>
    </row>
    <row r="1409" spans="1:3" x14ac:dyDescent="0.25">
      <c r="A1409">
        <v>1408</v>
      </c>
      <c r="B1409" t="s">
        <v>2523</v>
      </c>
      <c r="C1409">
        <v>7.0000000000000001E-3</v>
      </c>
    </row>
    <row r="1410" spans="1:3" x14ac:dyDescent="0.25">
      <c r="A1410">
        <v>1409</v>
      </c>
      <c r="B1410" t="s">
        <v>2524</v>
      </c>
      <c r="C1410">
        <v>7.0000000000000001E-3</v>
      </c>
    </row>
    <row r="1411" spans="1:3" x14ac:dyDescent="0.25">
      <c r="A1411">
        <v>1410</v>
      </c>
      <c r="B1411" t="s">
        <v>2525</v>
      </c>
      <c r="C1411">
        <v>7.0000000000000001E-3</v>
      </c>
    </row>
    <row r="1412" spans="1:3" x14ac:dyDescent="0.25">
      <c r="A1412">
        <v>1411</v>
      </c>
      <c r="B1412" t="s">
        <v>2526</v>
      </c>
      <c r="C1412">
        <v>7.0000000000000001E-3</v>
      </c>
    </row>
    <row r="1413" spans="1:3" x14ac:dyDescent="0.25">
      <c r="A1413">
        <v>1412</v>
      </c>
      <c r="B1413" t="s">
        <v>2527</v>
      </c>
      <c r="C1413">
        <v>7.0000000000000001E-3</v>
      </c>
    </row>
    <row r="1414" spans="1:3" x14ac:dyDescent="0.25">
      <c r="A1414">
        <v>1413</v>
      </c>
      <c r="B1414" t="s">
        <v>2528</v>
      </c>
      <c r="C1414">
        <v>7.0000000000000001E-3</v>
      </c>
    </row>
    <row r="1415" spans="1:3" x14ac:dyDescent="0.25">
      <c r="A1415">
        <v>1414</v>
      </c>
      <c r="B1415" t="s">
        <v>2529</v>
      </c>
      <c r="C1415">
        <v>7.0000000000000001E-3</v>
      </c>
    </row>
    <row r="1416" spans="1:3" x14ac:dyDescent="0.25">
      <c r="A1416">
        <v>1415</v>
      </c>
      <c r="B1416" t="s">
        <v>2530</v>
      </c>
      <c r="C1416">
        <v>7.0000000000000001E-3</v>
      </c>
    </row>
    <row r="1417" spans="1:3" x14ac:dyDescent="0.25">
      <c r="A1417">
        <v>1416</v>
      </c>
      <c r="B1417" t="s">
        <v>2531</v>
      </c>
      <c r="C1417">
        <v>7.0000000000000001E-3</v>
      </c>
    </row>
    <row r="1418" spans="1:3" x14ac:dyDescent="0.25">
      <c r="A1418">
        <v>1417</v>
      </c>
      <c r="B1418" t="s">
        <v>2532</v>
      </c>
      <c r="C1418">
        <v>7.0000000000000001E-3</v>
      </c>
    </row>
    <row r="1419" spans="1:3" x14ac:dyDescent="0.25">
      <c r="A1419">
        <v>1418</v>
      </c>
      <c r="B1419" t="s">
        <v>2533</v>
      </c>
      <c r="C1419">
        <v>7.0000000000000001E-3</v>
      </c>
    </row>
    <row r="1420" spans="1:3" x14ac:dyDescent="0.25">
      <c r="A1420">
        <v>1419</v>
      </c>
      <c r="B1420" t="s">
        <v>2534</v>
      </c>
      <c r="C1420">
        <v>7.0000000000000001E-3</v>
      </c>
    </row>
    <row r="1421" spans="1:3" x14ac:dyDescent="0.25">
      <c r="A1421">
        <v>1420</v>
      </c>
      <c r="B1421" t="s">
        <v>2535</v>
      </c>
      <c r="C1421">
        <v>7.0000000000000001E-3</v>
      </c>
    </row>
    <row r="1422" spans="1:3" x14ac:dyDescent="0.25">
      <c r="A1422">
        <v>1421</v>
      </c>
      <c r="B1422" t="s">
        <v>2536</v>
      </c>
      <c r="C1422">
        <v>7.0000000000000001E-3</v>
      </c>
    </row>
    <row r="1423" spans="1:3" x14ac:dyDescent="0.25">
      <c r="A1423">
        <v>1422</v>
      </c>
      <c r="B1423" t="s">
        <v>2537</v>
      </c>
      <c r="C1423">
        <v>7.0000000000000001E-3</v>
      </c>
    </row>
    <row r="1424" spans="1:3" x14ac:dyDescent="0.25">
      <c r="A1424">
        <v>1423</v>
      </c>
      <c r="B1424" t="s">
        <v>2538</v>
      </c>
      <c r="C1424">
        <v>7.0000000000000001E-3</v>
      </c>
    </row>
    <row r="1425" spans="1:3" x14ac:dyDescent="0.25">
      <c r="A1425">
        <v>1424</v>
      </c>
      <c r="B1425" t="s">
        <v>2539</v>
      </c>
      <c r="C1425">
        <v>7.0000000000000001E-3</v>
      </c>
    </row>
    <row r="1426" spans="1:3" x14ac:dyDescent="0.25">
      <c r="A1426">
        <v>1425</v>
      </c>
      <c r="B1426" t="s">
        <v>2540</v>
      </c>
      <c r="C1426">
        <v>7.0000000000000001E-3</v>
      </c>
    </row>
    <row r="1427" spans="1:3" x14ac:dyDescent="0.25">
      <c r="A1427">
        <v>1426</v>
      </c>
      <c r="B1427" t="s">
        <v>2541</v>
      </c>
      <c r="C1427">
        <v>7.0000000000000001E-3</v>
      </c>
    </row>
    <row r="1428" spans="1:3" x14ac:dyDescent="0.25">
      <c r="A1428">
        <v>1427</v>
      </c>
      <c r="B1428" t="s">
        <v>2542</v>
      </c>
      <c r="C1428">
        <v>7.0000000000000001E-3</v>
      </c>
    </row>
    <row r="1429" spans="1:3" x14ac:dyDescent="0.25">
      <c r="A1429">
        <v>1428</v>
      </c>
      <c r="B1429" t="s">
        <v>2543</v>
      </c>
      <c r="C1429">
        <v>7.0000000000000001E-3</v>
      </c>
    </row>
    <row r="1430" spans="1:3" x14ac:dyDescent="0.25">
      <c r="A1430">
        <v>1429</v>
      </c>
      <c r="B1430" t="s">
        <v>2544</v>
      </c>
      <c r="C1430">
        <v>7.0000000000000001E-3</v>
      </c>
    </row>
    <row r="1431" spans="1:3" x14ac:dyDescent="0.25">
      <c r="A1431">
        <v>1430</v>
      </c>
      <c r="B1431" t="s">
        <v>2545</v>
      </c>
      <c r="C1431">
        <v>7.0000000000000001E-3</v>
      </c>
    </row>
    <row r="1432" spans="1:3" x14ac:dyDescent="0.25">
      <c r="A1432">
        <v>1431</v>
      </c>
      <c r="B1432" t="s">
        <v>2546</v>
      </c>
      <c r="C1432">
        <v>6.0000000000000001E-3</v>
      </c>
    </row>
    <row r="1433" spans="1:3" x14ac:dyDescent="0.25">
      <c r="A1433">
        <v>1432</v>
      </c>
      <c r="B1433" t="s">
        <v>2547</v>
      </c>
      <c r="C1433">
        <v>6.0000000000000001E-3</v>
      </c>
    </row>
    <row r="1434" spans="1:3" x14ac:dyDescent="0.25">
      <c r="A1434">
        <v>1433</v>
      </c>
      <c r="B1434" t="s">
        <v>2548</v>
      </c>
      <c r="C1434">
        <v>6.0000000000000001E-3</v>
      </c>
    </row>
    <row r="1435" spans="1:3" x14ac:dyDescent="0.25">
      <c r="A1435">
        <v>1434</v>
      </c>
      <c r="B1435" t="s">
        <v>2549</v>
      </c>
      <c r="C1435">
        <v>6.0000000000000001E-3</v>
      </c>
    </row>
    <row r="1436" spans="1:3" x14ac:dyDescent="0.25">
      <c r="A1436">
        <v>1435</v>
      </c>
      <c r="B1436" t="s">
        <v>2550</v>
      </c>
      <c r="C1436">
        <v>6.0000000000000001E-3</v>
      </c>
    </row>
    <row r="1437" spans="1:3" x14ac:dyDescent="0.25">
      <c r="A1437">
        <v>1436</v>
      </c>
      <c r="B1437" t="s">
        <v>2551</v>
      </c>
      <c r="C1437">
        <v>6.0000000000000001E-3</v>
      </c>
    </row>
    <row r="1438" spans="1:3" x14ac:dyDescent="0.25">
      <c r="A1438">
        <v>1437</v>
      </c>
      <c r="B1438" t="s">
        <v>2552</v>
      </c>
      <c r="C1438">
        <v>6.0000000000000001E-3</v>
      </c>
    </row>
    <row r="1439" spans="1:3" x14ac:dyDescent="0.25">
      <c r="A1439">
        <v>1438</v>
      </c>
      <c r="B1439" t="s">
        <v>2553</v>
      </c>
      <c r="C1439">
        <v>6.0000000000000001E-3</v>
      </c>
    </row>
    <row r="1440" spans="1:3" x14ac:dyDescent="0.25">
      <c r="A1440">
        <v>1439</v>
      </c>
      <c r="B1440" t="s">
        <v>2554</v>
      </c>
      <c r="C1440">
        <v>6.0000000000000001E-3</v>
      </c>
    </row>
    <row r="1441" spans="1:3" x14ac:dyDescent="0.25">
      <c r="A1441">
        <v>1440</v>
      </c>
      <c r="B1441" t="s">
        <v>2555</v>
      </c>
      <c r="C1441">
        <v>6.0000000000000001E-3</v>
      </c>
    </row>
    <row r="1442" spans="1:3" x14ac:dyDescent="0.25">
      <c r="A1442">
        <v>1441</v>
      </c>
      <c r="B1442" t="s">
        <v>2556</v>
      </c>
      <c r="C1442">
        <v>6.0000000000000001E-3</v>
      </c>
    </row>
    <row r="1443" spans="1:3" x14ac:dyDescent="0.25">
      <c r="A1443">
        <v>1442</v>
      </c>
      <c r="B1443" t="s">
        <v>2557</v>
      </c>
      <c r="C1443">
        <v>6.0000000000000001E-3</v>
      </c>
    </row>
    <row r="1444" spans="1:3" x14ac:dyDescent="0.25">
      <c r="A1444">
        <v>1443</v>
      </c>
      <c r="B1444" t="s">
        <v>2558</v>
      </c>
      <c r="C1444">
        <v>6.0000000000000001E-3</v>
      </c>
    </row>
    <row r="1445" spans="1:3" x14ac:dyDescent="0.25">
      <c r="A1445">
        <v>1444</v>
      </c>
      <c r="B1445" t="s">
        <v>2559</v>
      </c>
      <c r="C1445">
        <v>6.0000000000000001E-3</v>
      </c>
    </row>
    <row r="1446" spans="1:3" x14ac:dyDescent="0.25">
      <c r="A1446">
        <v>1445</v>
      </c>
      <c r="B1446" t="s">
        <v>2560</v>
      </c>
      <c r="C1446">
        <v>6.0000000000000001E-3</v>
      </c>
    </row>
    <row r="1447" spans="1:3" x14ac:dyDescent="0.25">
      <c r="A1447">
        <v>1446</v>
      </c>
      <c r="B1447" t="s">
        <v>2561</v>
      </c>
      <c r="C1447">
        <v>6.0000000000000001E-3</v>
      </c>
    </row>
    <row r="1448" spans="1:3" x14ac:dyDescent="0.25">
      <c r="A1448">
        <v>1447</v>
      </c>
      <c r="B1448" t="s">
        <v>2562</v>
      </c>
      <c r="C1448">
        <v>6.0000000000000001E-3</v>
      </c>
    </row>
    <row r="1449" spans="1:3" x14ac:dyDescent="0.25">
      <c r="A1449">
        <v>1448</v>
      </c>
      <c r="B1449" t="s">
        <v>2563</v>
      </c>
      <c r="C1449">
        <v>6.0000000000000001E-3</v>
      </c>
    </row>
    <row r="1450" spans="1:3" x14ac:dyDescent="0.25">
      <c r="A1450">
        <v>1449</v>
      </c>
      <c r="B1450" t="s">
        <v>2564</v>
      </c>
      <c r="C1450">
        <v>6.0000000000000001E-3</v>
      </c>
    </row>
    <row r="1451" spans="1:3" x14ac:dyDescent="0.25">
      <c r="A1451">
        <v>1450</v>
      </c>
      <c r="B1451" t="s">
        <v>2565</v>
      </c>
      <c r="C1451">
        <v>6.0000000000000001E-3</v>
      </c>
    </row>
    <row r="1452" spans="1:3" x14ac:dyDescent="0.25">
      <c r="A1452">
        <v>1451</v>
      </c>
      <c r="B1452" t="s">
        <v>2566</v>
      </c>
      <c r="C1452">
        <v>6.0000000000000001E-3</v>
      </c>
    </row>
    <row r="1453" spans="1:3" x14ac:dyDescent="0.25">
      <c r="A1453">
        <v>1452</v>
      </c>
      <c r="B1453" t="s">
        <v>2567</v>
      </c>
      <c r="C1453">
        <v>6.0000000000000001E-3</v>
      </c>
    </row>
    <row r="1454" spans="1:3" x14ac:dyDescent="0.25">
      <c r="A1454">
        <v>1453</v>
      </c>
      <c r="B1454" t="s">
        <v>2568</v>
      </c>
      <c r="C1454">
        <v>6.0000000000000001E-3</v>
      </c>
    </row>
    <row r="1455" spans="1:3" x14ac:dyDescent="0.25">
      <c r="A1455">
        <v>1454</v>
      </c>
      <c r="B1455" t="s">
        <v>2569</v>
      </c>
      <c r="C1455">
        <v>6.0000000000000001E-3</v>
      </c>
    </row>
    <row r="1456" spans="1:3" x14ac:dyDescent="0.25">
      <c r="A1456">
        <v>1455</v>
      </c>
      <c r="B1456" t="s">
        <v>2570</v>
      </c>
      <c r="C1456">
        <v>6.0000000000000001E-3</v>
      </c>
    </row>
    <row r="1457" spans="1:3" x14ac:dyDescent="0.25">
      <c r="A1457">
        <v>1456</v>
      </c>
      <c r="B1457" t="s">
        <v>2571</v>
      </c>
      <c r="C1457">
        <v>6.0000000000000001E-3</v>
      </c>
    </row>
    <row r="1458" spans="1:3" x14ac:dyDescent="0.25">
      <c r="A1458">
        <v>1457</v>
      </c>
      <c r="B1458" t="s">
        <v>2572</v>
      </c>
      <c r="C1458">
        <v>6.0000000000000001E-3</v>
      </c>
    </row>
    <row r="1459" spans="1:3" x14ac:dyDescent="0.25">
      <c r="A1459">
        <v>1458</v>
      </c>
      <c r="B1459" t="s">
        <v>2573</v>
      </c>
      <c r="C1459">
        <v>6.0000000000000001E-3</v>
      </c>
    </row>
    <row r="1460" spans="1:3" x14ac:dyDescent="0.25">
      <c r="A1460">
        <v>1459</v>
      </c>
      <c r="B1460" t="s">
        <v>2574</v>
      </c>
      <c r="C1460">
        <v>6.0000000000000001E-3</v>
      </c>
    </row>
    <row r="1461" spans="1:3" x14ac:dyDescent="0.25">
      <c r="A1461">
        <v>1460</v>
      </c>
      <c r="B1461" t="s">
        <v>2575</v>
      </c>
      <c r="C1461">
        <v>6.0000000000000001E-3</v>
      </c>
    </row>
    <row r="1462" spans="1:3" x14ac:dyDescent="0.25">
      <c r="A1462">
        <v>1461</v>
      </c>
      <c r="B1462" t="s">
        <v>2576</v>
      </c>
      <c r="C1462">
        <v>6.0000000000000001E-3</v>
      </c>
    </row>
    <row r="1463" spans="1:3" x14ac:dyDescent="0.25">
      <c r="A1463">
        <v>1462</v>
      </c>
      <c r="B1463" t="s">
        <v>2577</v>
      </c>
      <c r="C1463">
        <v>6.0000000000000001E-3</v>
      </c>
    </row>
    <row r="1464" spans="1:3" x14ac:dyDescent="0.25">
      <c r="A1464">
        <v>1463</v>
      </c>
      <c r="B1464" t="s">
        <v>2578</v>
      </c>
      <c r="C1464">
        <v>6.0000000000000001E-3</v>
      </c>
    </row>
    <row r="1465" spans="1:3" x14ac:dyDescent="0.25">
      <c r="A1465">
        <v>1464</v>
      </c>
      <c r="B1465" t="s">
        <v>2579</v>
      </c>
      <c r="C1465">
        <v>6.0000000000000001E-3</v>
      </c>
    </row>
    <row r="1466" spans="1:3" x14ac:dyDescent="0.25">
      <c r="A1466">
        <v>1465</v>
      </c>
      <c r="B1466" t="s">
        <v>2580</v>
      </c>
      <c r="C1466">
        <v>6.0000000000000001E-3</v>
      </c>
    </row>
    <row r="1467" spans="1:3" x14ac:dyDescent="0.25">
      <c r="A1467">
        <v>1466</v>
      </c>
      <c r="B1467" t="s">
        <v>2581</v>
      </c>
      <c r="C1467">
        <v>6.0000000000000001E-3</v>
      </c>
    </row>
    <row r="1468" spans="1:3" x14ac:dyDescent="0.25">
      <c r="A1468">
        <v>1467</v>
      </c>
      <c r="B1468" t="s">
        <v>2582</v>
      </c>
      <c r="C1468">
        <v>6.0000000000000001E-3</v>
      </c>
    </row>
    <row r="1469" spans="1:3" x14ac:dyDescent="0.25">
      <c r="A1469">
        <v>1468</v>
      </c>
      <c r="B1469" t="s">
        <v>2583</v>
      </c>
      <c r="C1469">
        <v>6.0000000000000001E-3</v>
      </c>
    </row>
    <row r="1470" spans="1:3" x14ac:dyDescent="0.25">
      <c r="A1470">
        <v>1469</v>
      </c>
      <c r="B1470" t="s">
        <v>2584</v>
      </c>
      <c r="C1470">
        <v>6.0000000000000001E-3</v>
      </c>
    </row>
    <row r="1471" spans="1:3" x14ac:dyDescent="0.25">
      <c r="A1471">
        <v>1470</v>
      </c>
      <c r="B1471" t="s">
        <v>2585</v>
      </c>
      <c r="C1471">
        <v>6.0000000000000001E-3</v>
      </c>
    </row>
    <row r="1472" spans="1:3" x14ac:dyDescent="0.25">
      <c r="A1472">
        <v>1471</v>
      </c>
      <c r="B1472" t="s">
        <v>2586</v>
      </c>
      <c r="C1472">
        <v>6.0000000000000001E-3</v>
      </c>
    </row>
    <row r="1473" spans="1:3" x14ac:dyDescent="0.25">
      <c r="A1473">
        <v>1472</v>
      </c>
      <c r="B1473" t="s">
        <v>2587</v>
      </c>
      <c r="C1473">
        <v>6.0000000000000001E-3</v>
      </c>
    </row>
    <row r="1474" spans="1:3" x14ac:dyDescent="0.25">
      <c r="A1474">
        <v>1473</v>
      </c>
      <c r="B1474" t="s">
        <v>2588</v>
      </c>
      <c r="C1474">
        <v>6.0000000000000001E-3</v>
      </c>
    </row>
    <row r="1475" spans="1:3" x14ac:dyDescent="0.25">
      <c r="A1475">
        <v>1474</v>
      </c>
      <c r="B1475" t="s">
        <v>2589</v>
      </c>
      <c r="C1475">
        <v>6.0000000000000001E-3</v>
      </c>
    </row>
    <row r="1476" spans="1:3" x14ac:dyDescent="0.25">
      <c r="A1476">
        <v>1475</v>
      </c>
      <c r="B1476" t="s">
        <v>2590</v>
      </c>
      <c r="C1476">
        <v>6.0000000000000001E-3</v>
      </c>
    </row>
    <row r="1477" spans="1:3" x14ac:dyDescent="0.25">
      <c r="A1477">
        <v>1476</v>
      </c>
      <c r="B1477" t="s">
        <v>2591</v>
      </c>
      <c r="C1477">
        <v>6.0000000000000001E-3</v>
      </c>
    </row>
    <row r="1478" spans="1:3" x14ac:dyDescent="0.25">
      <c r="A1478">
        <v>1477</v>
      </c>
      <c r="B1478" t="s">
        <v>2592</v>
      </c>
      <c r="C1478">
        <v>6.0000000000000001E-3</v>
      </c>
    </row>
    <row r="1479" spans="1:3" x14ac:dyDescent="0.25">
      <c r="A1479">
        <v>1478</v>
      </c>
      <c r="B1479" t="s">
        <v>2593</v>
      </c>
      <c r="C1479">
        <v>6.0000000000000001E-3</v>
      </c>
    </row>
    <row r="1480" spans="1:3" x14ac:dyDescent="0.25">
      <c r="A1480">
        <v>1479</v>
      </c>
      <c r="B1480" t="s">
        <v>2594</v>
      </c>
      <c r="C1480">
        <v>6.0000000000000001E-3</v>
      </c>
    </row>
    <row r="1481" spans="1:3" x14ac:dyDescent="0.25">
      <c r="A1481">
        <v>1480</v>
      </c>
      <c r="B1481" t="s">
        <v>2595</v>
      </c>
      <c r="C1481">
        <v>6.0000000000000001E-3</v>
      </c>
    </row>
    <row r="1482" spans="1:3" x14ac:dyDescent="0.25">
      <c r="A1482">
        <v>1481</v>
      </c>
      <c r="B1482" t="s">
        <v>2596</v>
      </c>
      <c r="C1482">
        <v>6.0000000000000001E-3</v>
      </c>
    </row>
    <row r="1483" spans="1:3" x14ac:dyDescent="0.25">
      <c r="A1483">
        <v>1482</v>
      </c>
      <c r="B1483" t="s">
        <v>2597</v>
      </c>
      <c r="C1483">
        <v>6.0000000000000001E-3</v>
      </c>
    </row>
    <row r="1484" spans="1:3" x14ac:dyDescent="0.25">
      <c r="A1484">
        <v>1483</v>
      </c>
      <c r="B1484" t="s">
        <v>2598</v>
      </c>
      <c r="C1484">
        <v>6.0000000000000001E-3</v>
      </c>
    </row>
    <row r="1485" spans="1:3" x14ac:dyDescent="0.25">
      <c r="A1485">
        <v>1484</v>
      </c>
      <c r="B1485" t="s">
        <v>2599</v>
      </c>
      <c r="C1485">
        <v>6.0000000000000001E-3</v>
      </c>
    </row>
    <row r="1486" spans="1:3" x14ac:dyDescent="0.25">
      <c r="A1486">
        <v>1485</v>
      </c>
      <c r="B1486" t="s">
        <v>2600</v>
      </c>
      <c r="C1486">
        <v>6.0000000000000001E-3</v>
      </c>
    </row>
    <row r="1487" spans="1:3" x14ac:dyDescent="0.25">
      <c r="A1487">
        <v>1486</v>
      </c>
      <c r="B1487" t="s">
        <v>2601</v>
      </c>
      <c r="C1487">
        <v>6.0000000000000001E-3</v>
      </c>
    </row>
    <row r="1488" spans="1:3" x14ac:dyDescent="0.25">
      <c r="A1488">
        <v>1487</v>
      </c>
      <c r="B1488" t="s">
        <v>2602</v>
      </c>
      <c r="C1488">
        <v>6.0000000000000001E-3</v>
      </c>
    </row>
    <row r="1489" spans="1:3" x14ac:dyDescent="0.25">
      <c r="A1489">
        <v>1488</v>
      </c>
      <c r="B1489" t="s">
        <v>2603</v>
      </c>
      <c r="C1489">
        <v>6.0000000000000001E-3</v>
      </c>
    </row>
    <row r="1490" spans="1:3" x14ac:dyDescent="0.25">
      <c r="A1490">
        <v>1489</v>
      </c>
      <c r="B1490" t="s">
        <v>2604</v>
      </c>
      <c r="C1490">
        <v>6.0000000000000001E-3</v>
      </c>
    </row>
    <row r="1491" spans="1:3" x14ac:dyDescent="0.25">
      <c r="A1491">
        <v>1490</v>
      </c>
      <c r="B1491" t="s">
        <v>2605</v>
      </c>
      <c r="C1491">
        <v>6.0000000000000001E-3</v>
      </c>
    </row>
    <row r="1492" spans="1:3" x14ac:dyDescent="0.25">
      <c r="A1492">
        <v>1491</v>
      </c>
      <c r="B1492" t="s">
        <v>2606</v>
      </c>
      <c r="C1492">
        <v>6.0000000000000001E-3</v>
      </c>
    </row>
    <row r="1493" spans="1:3" x14ac:dyDescent="0.25">
      <c r="A1493">
        <v>1492</v>
      </c>
      <c r="B1493" t="s">
        <v>2607</v>
      </c>
      <c r="C1493">
        <v>6.0000000000000001E-3</v>
      </c>
    </row>
    <row r="1494" spans="1:3" x14ac:dyDescent="0.25">
      <c r="A1494">
        <v>1493</v>
      </c>
      <c r="B1494" t="s">
        <v>2608</v>
      </c>
      <c r="C1494">
        <v>6.0000000000000001E-3</v>
      </c>
    </row>
    <row r="1495" spans="1:3" x14ac:dyDescent="0.25">
      <c r="A1495">
        <v>1494</v>
      </c>
      <c r="B1495" t="s">
        <v>2609</v>
      </c>
      <c r="C1495">
        <v>6.0000000000000001E-3</v>
      </c>
    </row>
    <row r="1496" spans="1:3" x14ac:dyDescent="0.25">
      <c r="A1496">
        <v>1495</v>
      </c>
      <c r="B1496" t="s">
        <v>2610</v>
      </c>
      <c r="C1496">
        <v>6.0000000000000001E-3</v>
      </c>
    </row>
    <row r="1497" spans="1:3" x14ac:dyDescent="0.25">
      <c r="A1497">
        <v>1496</v>
      </c>
      <c r="B1497" t="s">
        <v>2611</v>
      </c>
      <c r="C1497">
        <v>6.0000000000000001E-3</v>
      </c>
    </row>
    <row r="1498" spans="1:3" x14ac:dyDescent="0.25">
      <c r="A1498">
        <v>1497</v>
      </c>
      <c r="B1498" t="s">
        <v>2612</v>
      </c>
      <c r="C1498">
        <v>6.0000000000000001E-3</v>
      </c>
    </row>
    <row r="1499" spans="1:3" x14ac:dyDescent="0.25">
      <c r="A1499">
        <v>1498</v>
      </c>
      <c r="B1499" t="s">
        <v>2613</v>
      </c>
      <c r="C1499">
        <v>6.0000000000000001E-3</v>
      </c>
    </row>
    <row r="1500" spans="1:3" x14ac:dyDescent="0.25">
      <c r="A1500">
        <v>1499</v>
      </c>
      <c r="B1500" t="s">
        <v>2614</v>
      </c>
      <c r="C1500">
        <v>6.0000000000000001E-3</v>
      </c>
    </row>
    <row r="1501" spans="1:3" x14ac:dyDescent="0.25">
      <c r="A1501">
        <v>1500</v>
      </c>
      <c r="B1501" t="s">
        <v>2615</v>
      </c>
      <c r="C1501">
        <v>6.0000000000000001E-3</v>
      </c>
    </row>
    <row r="1502" spans="1:3" x14ac:dyDescent="0.25">
      <c r="A1502">
        <v>1501</v>
      </c>
      <c r="B1502" t="s">
        <v>2616</v>
      </c>
      <c r="C1502">
        <v>6.0000000000000001E-3</v>
      </c>
    </row>
    <row r="1503" spans="1:3" x14ac:dyDescent="0.25">
      <c r="A1503">
        <v>1502</v>
      </c>
      <c r="B1503" t="s">
        <v>2617</v>
      </c>
      <c r="C1503">
        <v>6.0000000000000001E-3</v>
      </c>
    </row>
    <row r="1504" spans="1:3" x14ac:dyDescent="0.25">
      <c r="A1504">
        <v>1503</v>
      </c>
      <c r="B1504" t="s">
        <v>2618</v>
      </c>
      <c r="C1504">
        <v>6.0000000000000001E-3</v>
      </c>
    </row>
    <row r="1505" spans="1:3" x14ac:dyDescent="0.25">
      <c r="A1505">
        <v>1504</v>
      </c>
      <c r="B1505" t="s">
        <v>2619</v>
      </c>
      <c r="C1505">
        <v>6.0000000000000001E-3</v>
      </c>
    </row>
    <row r="1506" spans="1:3" x14ac:dyDescent="0.25">
      <c r="A1506">
        <v>1505</v>
      </c>
      <c r="B1506" t="s">
        <v>2620</v>
      </c>
      <c r="C1506">
        <v>6.0000000000000001E-3</v>
      </c>
    </row>
    <row r="1507" spans="1:3" x14ac:dyDescent="0.25">
      <c r="A1507">
        <v>1506</v>
      </c>
      <c r="B1507" t="s">
        <v>2621</v>
      </c>
      <c r="C1507">
        <v>6.0000000000000001E-3</v>
      </c>
    </row>
    <row r="1508" spans="1:3" x14ac:dyDescent="0.25">
      <c r="A1508">
        <v>1507</v>
      </c>
      <c r="B1508" t="s">
        <v>2622</v>
      </c>
      <c r="C1508">
        <v>6.0000000000000001E-3</v>
      </c>
    </row>
    <row r="1509" spans="1:3" x14ac:dyDescent="0.25">
      <c r="A1509">
        <v>1508</v>
      </c>
      <c r="B1509" t="s">
        <v>2623</v>
      </c>
      <c r="C1509">
        <v>6.0000000000000001E-3</v>
      </c>
    </row>
    <row r="1510" spans="1:3" x14ac:dyDescent="0.25">
      <c r="A1510">
        <v>1509</v>
      </c>
      <c r="B1510" t="s">
        <v>2624</v>
      </c>
      <c r="C1510">
        <v>6.0000000000000001E-3</v>
      </c>
    </row>
    <row r="1511" spans="1:3" x14ac:dyDescent="0.25">
      <c r="A1511">
        <v>1510</v>
      </c>
      <c r="B1511" t="s">
        <v>2625</v>
      </c>
      <c r="C1511">
        <v>6.0000000000000001E-3</v>
      </c>
    </row>
    <row r="1512" spans="1:3" x14ac:dyDescent="0.25">
      <c r="A1512">
        <v>1511</v>
      </c>
      <c r="B1512" t="s">
        <v>2626</v>
      </c>
      <c r="C1512">
        <v>6.0000000000000001E-3</v>
      </c>
    </row>
    <row r="1513" spans="1:3" x14ac:dyDescent="0.25">
      <c r="A1513">
        <v>1512</v>
      </c>
      <c r="B1513" t="s">
        <v>2627</v>
      </c>
      <c r="C1513">
        <v>6.0000000000000001E-3</v>
      </c>
    </row>
    <row r="1514" spans="1:3" x14ac:dyDescent="0.25">
      <c r="A1514">
        <v>1513</v>
      </c>
      <c r="B1514" t="s">
        <v>2628</v>
      </c>
      <c r="C1514">
        <v>6.0000000000000001E-3</v>
      </c>
    </row>
    <row r="1515" spans="1:3" x14ac:dyDescent="0.25">
      <c r="A1515">
        <v>1514</v>
      </c>
      <c r="B1515" t="s">
        <v>2629</v>
      </c>
      <c r="C1515">
        <v>6.0000000000000001E-3</v>
      </c>
    </row>
    <row r="1516" spans="1:3" x14ac:dyDescent="0.25">
      <c r="A1516">
        <v>1515</v>
      </c>
      <c r="B1516" t="s">
        <v>2630</v>
      </c>
      <c r="C1516">
        <v>6.0000000000000001E-3</v>
      </c>
    </row>
    <row r="1517" spans="1:3" x14ac:dyDescent="0.25">
      <c r="A1517">
        <v>1516</v>
      </c>
      <c r="B1517" t="s">
        <v>2631</v>
      </c>
      <c r="C1517">
        <v>6.0000000000000001E-3</v>
      </c>
    </row>
    <row r="1518" spans="1:3" x14ac:dyDescent="0.25">
      <c r="A1518">
        <v>1517</v>
      </c>
      <c r="B1518" t="s">
        <v>2632</v>
      </c>
      <c r="C1518">
        <v>6.0000000000000001E-3</v>
      </c>
    </row>
    <row r="1519" spans="1:3" x14ac:dyDescent="0.25">
      <c r="A1519">
        <v>1518</v>
      </c>
      <c r="B1519" t="s">
        <v>2633</v>
      </c>
      <c r="C1519">
        <v>6.0000000000000001E-3</v>
      </c>
    </row>
    <row r="1520" spans="1:3" x14ac:dyDescent="0.25">
      <c r="A1520">
        <v>1519</v>
      </c>
      <c r="B1520" t="s">
        <v>2634</v>
      </c>
      <c r="C1520">
        <v>6.0000000000000001E-3</v>
      </c>
    </row>
    <row r="1521" spans="1:3" x14ac:dyDescent="0.25">
      <c r="A1521">
        <v>1520</v>
      </c>
      <c r="B1521" t="s">
        <v>2635</v>
      </c>
      <c r="C1521">
        <v>6.0000000000000001E-3</v>
      </c>
    </row>
    <row r="1522" spans="1:3" x14ac:dyDescent="0.25">
      <c r="A1522">
        <v>1521</v>
      </c>
      <c r="B1522" t="s">
        <v>2636</v>
      </c>
      <c r="C1522">
        <v>6.0000000000000001E-3</v>
      </c>
    </row>
    <row r="1523" spans="1:3" x14ac:dyDescent="0.25">
      <c r="A1523">
        <v>1522</v>
      </c>
      <c r="B1523" t="s">
        <v>2637</v>
      </c>
      <c r="C1523">
        <v>6.0000000000000001E-3</v>
      </c>
    </row>
    <row r="1524" spans="1:3" x14ac:dyDescent="0.25">
      <c r="A1524">
        <v>1523</v>
      </c>
      <c r="B1524" t="s">
        <v>2638</v>
      </c>
      <c r="C1524">
        <v>6.0000000000000001E-3</v>
      </c>
    </row>
    <row r="1525" spans="1:3" x14ac:dyDescent="0.25">
      <c r="A1525">
        <v>1524</v>
      </c>
      <c r="B1525" t="s">
        <v>2639</v>
      </c>
      <c r="C1525">
        <v>6.0000000000000001E-3</v>
      </c>
    </row>
    <row r="1526" spans="1:3" x14ac:dyDescent="0.25">
      <c r="A1526">
        <v>1525</v>
      </c>
      <c r="B1526" t="s">
        <v>2640</v>
      </c>
      <c r="C1526">
        <v>6.0000000000000001E-3</v>
      </c>
    </row>
    <row r="1527" spans="1:3" x14ac:dyDescent="0.25">
      <c r="A1527">
        <v>1526</v>
      </c>
      <c r="B1527" t="s">
        <v>2641</v>
      </c>
      <c r="C1527">
        <v>6.0000000000000001E-3</v>
      </c>
    </row>
    <row r="1528" spans="1:3" x14ac:dyDescent="0.25">
      <c r="A1528">
        <v>1527</v>
      </c>
      <c r="B1528" t="s">
        <v>2642</v>
      </c>
      <c r="C1528">
        <v>6.0000000000000001E-3</v>
      </c>
    </row>
    <row r="1529" spans="1:3" x14ac:dyDescent="0.25">
      <c r="A1529">
        <v>1528</v>
      </c>
      <c r="B1529" t="s">
        <v>2643</v>
      </c>
      <c r="C1529">
        <v>6.0000000000000001E-3</v>
      </c>
    </row>
    <row r="1530" spans="1:3" x14ac:dyDescent="0.25">
      <c r="A1530">
        <v>1529</v>
      </c>
      <c r="B1530" t="s">
        <v>2644</v>
      </c>
      <c r="C1530">
        <v>6.0000000000000001E-3</v>
      </c>
    </row>
    <row r="1531" spans="1:3" x14ac:dyDescent="0.25">
      <c r="A1531">
        <v>1530</v>
      </c>
      <c r="B1531" t="s">
        <v>2645</v>
      </c>
      <c r="C1531">
        <v>6.0000000000000001E-3</v>
      </c>
    </row>
    <row r="1532" spans="1:3" x14ac:dyDescent="0.25">
      <c r="A1532">
        <v>1531</v>
      </c>
      <c r="B1532" t="s">
        <v>2646</v>
      </c>
      <c r="C1532">
        <v>6.0000000000000001E-3</v>
      </c>
    </row>
    <row r="1533" spans="1:3" x14ac:dyDescent="0.25">
      <c r="A1533">
        <v>1532</v>
      </c>
      <c r="B1533" t="s">
        <v>2647</v>
      </c>
      <c r="C1533">
        <v>6.0000000000000001E-3</v>
      </c>
    </row>
    <row r="1534" spans="1:3" x14ac:dyDescent="0.25">
      <c r="A1534">
        <v>1533</v>
      </c>
      <c r="B1534" t="s">
        <v>2648</v>
      </c>
      <c r="C1534">
        <v>6.0000000000000001E-3</v>
      </c>
    </row>
    <row r="1535" spans="1:3" x14ac:dyDescent="0.25">
      <c r="A1535">
        <v>1534</v>
      </c>
      <c r="B1535" t="s">
        <v>2649</v>
      </c>
      <c r="C1535">
        <v>6.0000000000000001E-3</v>
      </c>
    </row>
    <row r="1536" spans="1:3" x14ac:dyDescent="0.25">
      <c r="A1536">
        <v>1535</v>
      </c>
      <c r="B1536" t="s">
        <v>2650</v>
      </c>
      <c r="C1536">
        <v>6.0000000000000001E-3</v>
      </c>
    </row>
    <row r="1537" spans="1:3" x14ac:dyDescent="0.25">
      <c r="A1537">
        <v>1536</v>
      </c>
      <c r="B1537" t="s">
        <v>2651</v>
      </c>
      <c r="C1537">
        <v>6.0000000000000001E-3</v>
      </c>
    </row>
    <row r="1538" spans="1:3" x14ac:dyDescent="0.25">
      <c r="A1538">
        <v>1537</v>
      </c>
      <c r="B1538" t="s">
        <v>2652</v>
      </c>
      <c r="C1538">
        <v>6.0000000000000001E-3</v>
      </c>
    </row>
    <row r="1539" spans="1:3" x14ac:dyDescent="0.25">
      <c r="A1539">
        <v>1538</v>
      </c>
      <c r="B1539" t="s">
        <v>2653</v>
      </c>
      <c r="C1539">
        <v>6.0000000000000001E-3</v>
      </c>
    </row>
    <row r="1540" spans="1:3" x14ac:dyDescent="0.25">
      <c r="A1540">
        <v>1539</v>
      </c>
      <c r="B1540" t="s">
        <v>2654</v>
      </c>
      <c r="C1540">
        <v>6.0000000000000001E-3</v>
      </c>
    </row>
    <row r="1541" spans="1:3" x14ac:dyDescent="0.25">
      <c r="A1541">
        <v>1540</v>
      </c>
      <c r="B1541" t="s">
        <v>2655</v>
      </c>
      <c r="C1541">
        <v>6.0000000000000001E-3</v>
      </c>
    </row>
    <row r="1542" spans="1:3" x14ac:dyDescent="0.25">
      <c r="A1542">
        <v>1541</v>
      </c>
      <c r="B1542" t="s">
        <v>2656</v>
      </c>
      <c r="C1542">
        <v>5.0000000000000001E-3</v>
      </c>
    </row>
    <row r="1543" spans="1:3" x14ac:dyDescent="0.25">
      <c r="A1543">
        <v>1542</v>
      </c>
      <c r="B1543" t="s">
        <v>2657</v>
      </c>
      <c r="C1543">
        <v>5.0000000000000001E-3</v>
      </c>
    </row>
    <row r="1544" spans="1:3" x14ac:dyDescent="0.25">
      <c r="A1544">
        <v>1543</v>
      </c>
      <c r="B1544" t="s">
        <v>2658</v>
      </c>
      <c r="C1544">
        <v>5.0000000000000001E-3</v>
      </c>
    </row>
    <row r="1545" spans="1:3" x14ac:dyDescent="0.25">
      <c r="A1545">
        <v>1544</v>
      </c>
      <c r="B1545" t="s">
        <v>2659</v>
      </c>
      <c r="C1545">
        <v>5.0000000000000001E-3</v>
      </c>
    </row>
    <row r="1546" spans="1:3" x14ac:dyDescent="0.25">
      <c r="A1546">
        <v>1545</v>
      </c>
      <c r="B1546" t="s">
        <v>2660</v>
      </c>
      <c r="C1546">
        <v>5.0000000000000001E-3</v>
      </c>
    </row>
    <row r="1547" spans="1:3" x14ac:dyDescent="0.25">
      <c r="A1547">
        <v>1546</v>
      </c>
      <c r="B1547" t="s">
        <v>2661</v>
      </c>
      <c r="C1547">
        <v>5.0000000000000001E-3</v>
      </c>
    </row>
    <row r="1548" spans="1:3" x14ac:dyDescent="0.25">
      <c r="A1548">
        <v>1547</v>
      </c>
      <c r="B1548" t="s">
        <v>2662</v>
      </c>
      <c r="C1548">
        <v>5.0000000000000001E-3</v>
      </c>
    </row>
    <row r="1549" spans="1:3" x14ac:dyDescent="0.25">
      <c r="A1549">
        <v>1548</v>
      </c>
      <c r="B1549" t="s">
        <v>2663</v>
      </c>
      <c r="C1549">
        <v>5.0000000000000001E-3</v>
      </c>
    </row>
    <row r="1550" spans="1:3" x14ac:dyDescent="0.25">
      <c r="A1550">
        <v>1549</v>
      </c>
      <c r="B1550" t="s">
        <v>2664</v>
      </c>
      <c r="C1550">
        <v>5.0000000000000001E-3</v>
      </c>
    </row>
    <row r="1551" spans="1:3" x14ac:dyDescent="0.25">
      <c r="A1551">
        <v>1550</v>
      </c>
      <c r="B1551" t="s">
        <v>2665</v>
      </c>
      <c r="C1551">
        <v>5.0000000000000001E-3</v>
      </c>
    </row>
    <row r="1552" spans="1:3" x14ac:dyDescent="0.25">
      <c r="A1552">
        <v>1551</v>
      </c>
      <c r="B1552" t="s">
        <v>2666</v>
      </c>
      <c r="C1552">
        <v>5.0000000000000001E-3</v>
      </c>
    </row>
    <row r="1553" spans="1:3" x14ac:dyDescent="0.25">
      <c r="A1553">
        <v>1552</v>
      </c>
      <c r="B1553" t="s">
        <v>2667</v>
      </c>
      <c r="C1553">
        <v>5.0000000000000001E-3</v>
      </c>
    </row>
    <row r="1554" spans="1:3" x14ac:dyDescent="0.25">
      <c r="A1554">
        <v>1553</v>
      </c>
      <c r="B1554" t="s">
        <v>2668</v>
      </c>
      <c r="C1554">
        <v>5.0000000000000001E-3</v>
      </c>
    </row>
    <row r="1555" spans="1:3" x14ac:dyDescent="0.25">
      <c r="A1555">
        <v>1554</v>
      </c>
      <c r="B1555" t="s">
        <v>2669</v>
      </c>
      <c r="C1555">
        <v>5.0000000000000001E-3</v>
      </c>
    </row>
    <row r="1556" spans="1:3" x14ac:dyDescent="0.25">
      <c r="A1556">
        <v>1555</v>
      </c>
      <c r="B1556" t="s">
        <v>2670</v>
      </c>
      <c r="C1556">
        <v>5.0000000000000001E-3</v>
      </c>
    </row>
    <row r="1557" spans="1:3" x14ac:dyDescent="0.25">
      <c r="A1557">
        <v>1556</v>
      </c>
      <c r="B1557" t="s">
        <v>2671</v>
      </c>
      <c r="C1557">
        <v>5.0000000000000001E-3</v>
      </c>
    </row>
    <row r="1558" spans="1:3" x14ac:dyDescent="0.25">
      <c r="A1558">
        <v>1557</v>
      </c>
      <c r="B1558" t="s">
        <v>2672</v>
      </c>
      <c r="C1558">
        <v>5.0000000000000001E-3</v>
      </c>
    </row>
    <row r="1559" spans="1:3" x14ac:dyDescent="0.25">
      <c r="A1559">
        <v>1558</v>
      </c>
      <c r="B1559" t="s">
        <v>2673</v>
      </c>
      <c r="C1559">
        <v>5.0000000000000001E-3</v>
      </c>
    </row>
    <row r="1560" spans="1:3" x14ac:dyDescent="0.25">
      <c r="A1560">
        <v>1559</v>
      </c>
      <c r="B1560" t="s">
        <v>2674</v>
      </c>
      <c r="C1560">
        <v>5.0000000000000001E-3</v>
      </c>
    </row>
    <row r="1561" spans="1:3" x14ac:dyDescent="0.25">
      <c r="A1561">
        <v>1560</v>
      </c>
      <c r="B1561" t="s">
        <v>2675</v>
      </c>
      <c r="C1561">
        <v>5.0000000000000001E-3</v>
      </c>
    </row>
    <row r="1562" spans="1:3" x14ac:dyDescent="0.25">
      <c r="A1562">
        <v>1561</v>
      </c>
      <c r="B1562" t="s">
        <v>2676</v>
      </c>
      <c r="C1562">
        <v>5.0000000000000001E-3</v>
      </c>
    </row>
    <row r="1563" spans="1:3" x14ac:dyDescent="0.25">
      <c r="A1563">
        <v>1562</v>
      </c>
      <c r="B1563" t="s">
        <v>2677</v>
      </c>
      <c r="C1563">
        <v>5.0000000000000001E-3</v>
      </c>
    </row>
    <row r="1564" spans="1:3" x14ac:dyDescent="0.25">
      <c r="A1564">
        <v>1563</v>
      </c>
      <c r="B1564" t="s">
        <v>2678</v>
      </c>
      <c r="C1564">
        <v>5.0000000000000001E-3</v>
      </c>
    </row>
    <row r="1565" spans="1:3" x14ac:dyDescent="0.25">
      <c r="A1565">
        <v>1564</v>
      </c>
      <c r="B1565" t="s">
        <v>2679</v>
      </c>
      <c r="C1565">
        <v>5.0000000000000001E-3</v>
      </c>
    </row>
    <row r="1566" spans="1:3" x14ac:dyDescent="0.25">
      <c r="A1566">
        <v>1565</v>
      </c>
      <c r="B1566" t="s">
        <v>2680</v>
      </c>
      <c r="C1566">
        <v>5.0000000000000001E-3</v>
      </c>
    </row>
    <row r="1567" spans="1:3" x14ac:dyDescent="0.25">
      <c r="A1567">
        <v>1566</v>
      </c>
      <c r="B1567" t="s">
        <v>2681</v>
      </c>
      <c r="C1567">
        <v>5.0000000000000001E-3</v>
      </c>
    </row>
    <row r="1568" spans="1:3" x14ac:dyDescent="0.25">
      <c r="A1568">
        <v>1567</v>
      </c>
      <c r="B1568" t="s">
        <v>2682</v>
      </c>
      <c r="C1568">
        <v>5.0000000000000001E-3</v>
      </c>
    </row>
    <row r="1569" spans="1:3" x14ac:dyDescent="0.25">
      <c r="A1569">
        <v>1568</v>
      </c>
      <c r="B1569" t="s">
        <v>2683</v>
      </c>
      <c r="C1569">
        <v>5.0000000000000001E-3</v>
      </c>
    </row>
    <row r="1570" spans="1:3" x14ac:dyDescent="0.25">
      <c r="A1570">
        <v>1569</v>
      </c>
      <c r="B1570" t="s">
        <v>2684</v>
      </c>
      <c r="C1570">
        <v>5.0000000000000001E-3</v>
      </c>
    </row>
    <row r="1571" spans="1:3" x14ac:dyDescent="0.25">
      <c r="A1571">
        <v>1570</v>
      </c>
      <c r="B1571" t="s">
        <v>2685</v>
      </c>
      <c r="C1571">
        <v>5.0000000000000001E-3</v>
      </c>
    </row>
    <row r="1572" spans="1:3" x14ac:dyDescent="0.25">
      <c r="A1572">
        <v>1571</v>
      </c>
      <c r="B1572" t="s">
        <v>2686</v>
      </c>
      <c r="C1572">
        <v>5.0000000000000001E-3</v>
      </c>
    </row>
    <row r="1573" spans="1:3" x14ac:dyDescent="0.25">
      <c r="A1573">
        <v>1572</v>
      </c>
      <c r="B1573" t="s">
        <v>2687</v>
      </c>
      <c r="C1573">
        <v>5.0000000000000001E-3</v>
      </c>
    </row>
    <row r="1574" spans="1:3" x14ac:dyDescent="0.25">
      <c r="A1574">
        <v>1573</v>
      </c>
      <c r="B1574" t="s">
        <v>2688</v>
      </c>
      <c r="C1574">
        <v>5.0000000000000001E-3</v>
      </c>
    </row>
    <row r="1575" spans="1:3" x14ac:dyDescent="0.25">
      <c r="A1575">
        <v>1574</v>
      </c>
      <c r="B1575" t="s">
        <v>2689</v>
      </c>
      <c r="C1575">
        <v>5.0000000000000001E-3</v>
      </c>
    </row>
    <row r="1576" spans="1:3" x14ac:dyDescent="0.25">
      <c r="A1576">
        <v>1575</v>
      </c>
      <c r="B1576" t="s">
        <v>2690</v>
      </c>
      <c r="C1576">
        <v>5.0000000000000001E-3</v>
      </c>
    </row>
    <row r="1577" spans="1:3" x14ac:dyDescent="0.25">
      <c r="A1577">
        <v>1576</v>
      </c>
      <c r="B1577" t="s">
        <v>2691</v>
      </c>
      <c r="C1577">
        <v>5.0000000000000001E-3</v>
      </c>
    </row>
    <row r="1578" spans="1:3" x14ac:dyDescent="0.25">
      <c r="A1578">
        <v>1577</v>
      </c>
      <c r="B1578" t="s">
        <v>2692</v>
      </c>
      <c r="C1578">
        <v>5.0000000000000001E-3</v>
      </c>
    </row>
    <row r="1579" spans="1:3" x14ac:dyDescent="0.25">
      <c r="A1579">
        <v>1578</v>
      </c>
      <c r="B1579" t="s">
        <v>2693</v>
      </c>
      <c r="C1579">
        <v>5.0000000000000001E-3</v>
      </c>
    </row>
    <row r="1580" spans="1:3" x14ac:dyDescent="0.25">
      <c r="A1580">
        <v>1579</v>
      </c>
      <c r="B1580" t="s">
        <v>2694</v>
      </c>
      <c r="C1580">
        <v>5.0000000000000001E-3</v>
      </c>
    </row>
    <row r="1581" spans="1:3" x14ac:dyDescent="0.25">
      <c r="A1581">
        <v>1580</v>
      </c>
      <c r="B1581" t="s">
        <v>2695</v>
      </c>
      <c r="C1581">
        <v>5.0000000000000001E-3</v>
      </c>
    </row>
    <row r="1582" spans="1:3" x14ac:dyDescent="0.25">
      <c r="A1582">
        <v>1581</v>
      </c>
      <c r="B1582" t="s">
        <v>2696</v>
      </c>
      <c r="C1582">
        <v>5.0000000000000001E-3</v>
      </c>
    </row>
    <row r="1583" spans="1:3" x14ac:dyDescent="0.25">
      <c r="A1583">
        <v>1582</v>
      </c>
      <c r="B1583" t="s">
        <v>2697</v>
      </c>
      <c r="C1583">
        <v>5.0000000000000001E-3</v>
      </c>
    </row>
    <row r="1584" spans="1:3" x14ac:dyDescent="0.25">
      <c r="A1584">
        <v>1583</v>
      </c>
      <c r="B1584" t="s">
        <v>2698</v>
      </c>
      <c r="C1584">
        <v>5.0000000000000001E-3</v>
      </c>
    </row>
    <row r="1585" spans="1:3" x14ac:dyDescent="0.25">
      <c r="A1585">
        <v>1584</v>
      </c>
      <c r="B1585" t="s">
        <v>2699</v>
      </c>
      <c r="C1585">
        <v>5.0000000000000001E-3</v>
      </c>
    </row>
    <row r="1586" spans="1:3" x14ac:dyDescent="0.25">
      <c r="A1586">
        <v>1585</v>
      </c>
      <c r="B1586" t="s">
        <v>2700</v>
      </c>
      <c r="C1586">
        <v>5.0000000000000001E-3</v>
      </c>
    </row>
    <row r="1587" spans="1:3" x14ac:dyDescent="0.25">
      <c r="A1587">
        <v>1586</v>
      </c>
      <c r="B1587" t="s">
        <v>2701</v>
      </c>
      <c r="C1587">
        <v>5.0000000000000001E-3</v>
      </c>
    </row>
    <row r="1588" spans="1:3" x14ac:dyDescent="0.25">
      <c r="A1588">
        <v>1587</v>
      </c>
      <c r="B1588" t="s">
        <v>2702</v>
      </c>
      <c r="C1588">
        <v>5.0000000000000001E-3</v>
      </c>
    </row>
    <row r="1589" spans="1:3" x14ac:dyDescent="0.25">
      <c r="A1589">
        <v>1588</v>
      </c>
      <c r="B1589" t="s">
        <v>2703</v>
      </c>
      <c r="C1589">
        <v>5.0000000000000001E-3</v>
      </c>
    </row>
    <row r="1590" spans="1:3" x14ac:dyDescent="0.25">
      <c r="A1590">
        <v>1589</v>
      </c>
      <c r="B1590" t="s">
        <v>2704</v>
      </c>
      <c r="C1590">
        <v>5.0000000000000001E-3</v>
      </c>
    </row>
    <row r="1591" spans="1:3" x14ac:dyDescent="0.25">
      <c r="A1591">
        <v>1590</v>
      </c>
      <c r="B1591" t="s">
        <v>2705</v>
      </c>
      <c r="C1591">
        <v>5.0000000000000001E-3</v>
      </c>
    </row>
    <row r="1592" spans="1:3" x14ac:dyDescent="0.25">
      <c r="A1592">
        <v>1591</v>
      </c>
      <c r="B1592" t="s">
        <v>2706</v>
      </c>
      <c r="C1592">
        <v>5.0000000000000001E-3</v>
      </c>
    </row>
    <row r="1593" spans="1:3" x14ac:dyDescent="0.25">
      <c r="A1593">
        <v>1592</v>
      </c>
      <c r="B1593" t="s">
        <v>2707</v>
      </c>
      <c r="C1593">
        <v>5.0000000000000001E-3</v>
      </c>
    </row>
    <row r="1594" spans="1:3" x14ac:dyDescent="0.25">
      <c r="A1594">
        <v>1593</v>
      </c>
      <c r="B1594" t="s">
        <v>2708</v>
      </c>
      <c r="C1594">
        <v>5.0000000000000001E-3</v>
      </c>
    </row>
    <row r="1595" spans="1:3" x14ac:dyDescent="0.25">
      <c r="A1595">
        <v>1594</v>
      </c>
      <c r="B1595" t="s">
        <v>2709</v>
      </c>
      <c r="C1595">
        <v>5.0000000000000001E-3</v>
      </c>
    </row>
    <row r="1596" spans="1:3" x14ac:dyDescent="0.25">
      <c r="A1596">
        <v>1595</v>
      </c>
      <c r="B1596" t="s">
        <v>2710</v>
      </c>
      <c r="C1596">
        <v>5.0000000000000001E-3</v>
      </c>
    </row>
    <row r="1597" spans="1:3" x14ac:dyDescent="0.25">
      <c r="A1597">
        <v>1596</v>
      </c>
      <c r="B1597" t="s">
        <v>2711</v>
      </c>
      <c r="C1597">
        <v>5.0000000000000001E-3</v>
      </c>
    </row>
    <row r="1598" spans="1:3" x14ac:dyDescent="0.25">
      <c r="A1598">
        <v>1597</v>
      </c>
      <c r="B1598" t="s">
        <v>2712</v>
      </c>
      <c r="C1598">
        <v>5.0000000000000001E-3</v>
      </c>
    </row>
    <row r="1599" spans="1:3" x14ac:dyDescent="0.25">
      <c r="A1599">
        <v>1598</v>
      </c>
      <c r="B1599" t="s">
        <v>2713</v>
      </c>
      <c r="C1599">
        <v>5.0000000000000001E-3</v>
      </c>
    </row>
    <row r="1600" spans="1:3" x14ac:dyDescent="0.25">
      <c r="A1600">
        <v>1599</v>
      </c>
      <c r="B1600" t="s">
        <v>2714</v>
      </c>
      <c r="C1600">
        <v>5.0000000000000001E-3</v>
      </c>
    </row>
    <row r="1601" spans="1:3" x14ac:dyDescent="0.25">
      <c r="A1601">
        <v>1600</v>
      </c>
      <c r="B1601" t="s">
        <v>2715</v>
      </c>
      <c r="C1601">
        <v>5.0000000000000001E-3</v>
      </c>
    </row>
    <row r="1602" spans="1:3" x14ac:dyDescent="0.25">
      <c r="A1602">
        <v>1601</v>
      </c>
      <c r="B1602" t="s">
        <v>2716</v>
      </c>
      <c r="C1602">
        <v>5.0000000000000001E-3</v>
      </c>
    </row>
    <row r="1603" spans="1:3" x14ac:dyDescent="0.25">
      <c r="A1603">
        <v>1602</v>
      </c>
      <c r="B1603" t="s">
        <v>2717</v>
      </c>
      <c r="C1603">
        <v>5.0000000000000001E-3</v>
      </c>
    </row>
    <row r="1604" spans="1:3" x14ac:dyDescent="0.25">
      <c r="A1604">
        <v>1603</v>
      </c>
      <c r="B1604" t="s">
        <v>2718</v>
      </c>
      <c r="C1604">
        <v>5.0000000000000001E-3</v>
      </c>
    </row>
    <row r="1605" spans="1:3" x14ac:dyDescent="0.25">
      <c r="A1605">
        <v>1604</v>
      </c>
      <c r="B1605" t="s">
        <v>2719</v>
      </c>
      <c r="C1605">
        <v>5.0000000000000001E-3</v>
      </c>
    </row>
    <row r="1606" spans="1:3" x14ac:dyDescent="0.25">
      <c r="A1606">
        <v>1605</v>
      </c>
      <c r="B1606" t="s">
        <v>2720</v>
      </c>
      <c r="C1606">
        <v>5.0000000000000001E-3</v>
      </c>
    </row>
    <row r="1607" spans="1:3" x14ac:dyDescent="0.25">
      <c r="A1607">
        <v>1606</v>
      </c>
      <c r="B1607" t="s">
        <v>2721</v>
      </c>
      <c r="C1607">
        <v>5.0000000000000001E-3</v>
      </c>
    </row>
    <row r="1608" spans="1:3" x14ac:dyDescent="0.25">
      <c r="A1608">
        <v>1607</v>
      </c>
      <c r="B1608" t="s">
        <v>2722</v>
      </c>
      <c r="C1608">
        <v>5.0000000000000001E-3</v>
      </c>
    </row>
    <row r="1609" spans="1:3" x14ac:dyDescent="0.25">
      <c r="A1609">
        <v>1608</v>
      </c>
      <c r="B1609" t="s">
        <v>2723</v>
      </c>
      <c r="C1609">
        <v>5.0000000000000001E-3</v>
      </c>
    </row>
    <row r="1610" spans="1:3" x14ac:dyDescent="0.25">
      <c r="A1610">
        <v>1609</v>
      </c>
      <c r="B1610" t="s">
        <v>2724</v>
      </c>
      <c r="C1610">
        <v>5.0000000000000001E-3</v>
      </c>
    </row>
    <row r="1611" spans="1:3" x14ac:dyDescent="0.25">
      <c r="A1611">
        <v>1610</v>
      </c>
      <c r="B1611" t="s">
        <v>2725</v>
      </c>
      <c r="C1611">
        <v>5.0000000000000001E-3</v>
      </c>
    </row>
    <row r="1612" spans="1:3" x14ac:dyDescent="0.25">
      <c r="A1612">
        <v>1611</v>
      </c>
      <c r="B1612" t="s">
        <v>2726</v>
      </c>
      <c r="C1612">
        <v>5.0000000000000001E-3</v>
      </c>
    </row>
    <row r="1613" spans="1:3" x14ac:dyDescent="0.25">
      <c r="A1613">
        <v>1612</v>
      </c>
      <c r="B1613" t="s">
        <v>2727</v>
      </c>
      <c r="C1613">
        <v>5.0000000000000001E-3</v>
      </c>
    </row>
    <row r="1614" spans="1:3" x14ac:dyDescent="0.25">
      <c r="A1614">
        <v>1613</v>
      </c>
      <c r="B1614" t="s">
        <v>2728</v>
      </c>
      <c r="C1614">
        <v>5.0000000000000001E-3</v>
      </c>
    </row>
    <row r="1615" spans="1:3" x14ac:dyDescent="0.25">
      <c r="A1615">
        <v>1614</v>
      </c>
      <c r="B1615" t="s">
        <v>2729</v>
      </c>
      <c r="C1615">
        <v>5.0000000000000001E-3</v>
      </c>
    </row>
    <row r="1616" spans="1:3" x14ac:dyDescent="0.25">
      <c r="A1616">
        <v>1615</v>
      </c>
      <c r="B1616" t="s">
        <v>2730</v>
      </c>
      <c r="C1616">
        <v>5.0000000000000001E-3</v>
      </c>
    </row>
    <row r="1617" spans="1:3" x14ac:dyDescent="0.25">
      <c r="A1617">
        <v>1616</v>
      </c>
      <c r="B1617" t="s">
        <v>2731</v>
      </c>
      <c r="C1617">
        <v>5.0000000000000001E-3</v>
      </c>
    </row>
    <row r="1618" spans="1:3" x14ac:dyDescent="0.25">
      <c r="A1618">
        <v>1617</v>
      </c>
      <c r="B1618" t="s">
        <v>2732</v>
      </c>
      <c r="C1618">
        <v>5.0000000000000001E-3</v>
      </c>
    </row>
    <row r="1619" spans="1:3" x14ac:dyDescent="0.25">
      <c r="A1619">
        <v>1618</v>
      </c>
      <c r="B1619" t="s">
        <v>2733</v>
      </c>
      <c r="C1619">
        <v>5.0000000000000001E-3</v>
      </c>
    </row>
    <row r="1620" spans="1:3" x14ac:dyDescent="0.25">
      <c r="A1620">
        <v>1619</v>
      </c>
      <c r="B1620" t="s">
        <v>2734</v>
      </c>
      <c r="C1620">
        <v>5.0000000000000001E-3</v>
      </c>
    </row>
    <row r="1621" spans="1:3" x14ac:dyDescent="0.25">
      <c r="A1621">
        <v>1620</v>
      </c>
      <c r="B1621" t="s">
        <v>2735</v>
      </c>
      <c r="C1621">
        <v>5.0000000000000001E-3</v>
      </c>
    </row>
    <row r="1622" spans="1:3" x14ac:dyDescent="0.25">
      <c r="A1622">
        <v>1621</v>
      </c>
      <c r="B1622" t="s">
        <v>2736</v>
      </c>
      <c r="C1622">
        <v>5.0000000000000001E-3</v>
      </c>
    </row>
    <row r="1623" spans="1:3" x14ac:dyDescent="0.25">
      <c r="A1623">
        <v>1622</v>
      </c>
      <c r="B1623" t="s">
        <v>2737</v>
      </c>
      <c r="C1623">
        <v>5.0000000000000001E-3</v>
      </c>
    </row>
    <row r="1624" spans="1:3" x14ac:dyDescent="0.25">
      <c r="A1624">
        <v>1623</v>
      </c>
      <c r="B1624" t="s">
        <v>2738</v>
      </c>
      <c r="C1624">
        <v>5.0000000000000001E-3</v>
      </c>
    </row>
    <row r="1625" spans="1:3" x14ac:dyDescent="0.25">
      <c r="A1625">
        <v>1624</v>
      </c>
      <c r="B1625" t="s">
        <v>2739</v>
      </c>
      <c r="C1625">
        <v>5.0000000000000001E-3</v>
      </c>
    </row>
    <row r="1626" spans="1:3" x14ac:dyDescent="0.25">
      <c r="A1626">
        <v>1625</v>
      </c>
      <c r="B1626" t="s">
        <v>2740</v>
      </c>
      <c r="C1626">
        <v>5.0000000000000001E-3</v>
      </c>
    </row>
    <row r="1627" spans="1:3" x14ac:dyDescent="0.25">
      <c r="A1627">
        <v>1626</v>
      </c>
      <c r="B1627" t="s">
        <v>2741</v>
      </c>
      <c r="C1627">
        <v>5.0000000000000001E-3</v>
      </c>
    </row>
    <row r="1628" spans="1:3" x14ac:dyDescent="0.25">
      <c r="A1628">
        <v>1627</v>
      </c>
      <c r="B1628" t="s">
        <v>2742</v>
      </c>
      <c r="C1628">
        <v>5.0000000000000001E-3</v>
      </c>
    </row>
    <row r="1629" spans="1:3" x14ac:dyDescent="0.25">
      <c r="A1629">
        <v>1628</v>
      </c>
      <c r="B1629" t="s">
        <v>2743</v>
      </c>
      <c r="C1629">
        <v>5.0000000000000001E-3</v>
      </c>
    </row>
    <row r="1630" spans="1:3" x14ac:dyDescent="0.25">
      <c r="A1630">
        <v>1629</v>
      </c>
      <c r="B1630" t="s">
        <v>2744</v>
      </c>
      <c r="C1630">
        <v>5.0000000000000001E-3</v>
      </c>
    </row>
    <row r="1631" spans="1:3" x14ac:dyDescent="0.25">
      <c r="A1631">
        <v>1630</v>
      </c>
      <c r="B1631" t="s">
        <v>2745</v>
      </c>
      <c r="C1631">
        <v>5.0000000000000001E-3</v>
      </c>
    </row>
    <row r="1632" spans="1:3" x14ac:dyDescent="0.25">
      <c r="A1632">
        <v>1631</v>
      </c>
      <c r="B1632" t="s">
        <v>2746</v>
      </c>
      <c r="C1632">
        <v>5.0000000000000001E-3</v>
      </c>
    </row>
    <row r="1633" spans="1:3" x14ac:dyDescent="0.25">
      <c r="A1633">
        <v>1632</v>
      </c>
      <c r="B1633" t="s">
        <v>2747</v>
      </c>
      <c r="C1633">
        <v>5.0000000000000001E-3</v>
      </c>
    </row>
    <row r="1634" spans="1:3" x14ac:dyDescent="0.25">
      <c r="A1634">
        <v>1633</v>
      </c>
      <c r="B1634" t="s">
        <v>2748</v>
      </c>
      <c r="C1634">
        <v>5.0000000000000001E-3</v>
      </c>
    </row>
    <row r="1635" spans="1:3" x14ac:dyDescent="0.25">
      <c r="A1635">
        <v>1634</v>
      </c>
      <c r="B1635" t="s">
        <v>2749</v>
      </c>
      <c r="C1635">
        <v>5.0000000000000001E-3</v>
      </c>
    </row>
    <row r="1636" spans="1:3" x14ac:dyDescent="0.25">
      <c r="A1636">
        <v>1635</v>
      </c>
      <c r="B1636" t="s">
        <v>2750</v>
      </c>
      <c r="C1636">
        <v>5.0000000000000001E-3</v>
      </c>
    </row>
    <row r="1637" spans="1:3" x14ac:dyDescent="0.25">
      <c r="A1637">
        <v>1636</v>
      </c>
      <c r="B1637" t="s">
        <v>2751</v>
      </c>
      <c r="C1637">
        <v>5.0000000000000001E-3</v>
      </c>
    </row>
    <row r="1638" spans="1:3" x14ac:dyDescent="0.25">
      <c r="A1638">
        <v>1637</v>
      </c>
      <c r="B1638" t="s">
        <v>2752</v>
      </c>
      <c r="C1638">
        <v>5.0000000000000001E-3</v>
      </c>
    </row>
    <row r="1639" spans="1:3" x14ac:dyDescent="0.25">
      <c r="A1639">
        <v>1638</v>
      </c>
      <c r="B1639" t="s">
        <v>2753</v>
      </c>
      <c r="C1639">
        <v>5.0000000000000001E-3</v>
      </c>
    </row>
    <row r="1640" spans="1:3" x14ac:dyDescent="0.25">
      <c r="A1640">
        <v>1639</v>
      </c>
      <c r="B1640" t="s">
        <v>2754</v>
      </c>
      <c r="C1640">
        <v>5.0000000000000001E-3</v>
      </c>
    </row>
    <row r="1641" spans="1:3" x14ac:dyDescent="0.25">
      <c r="A1641">
        <v>1640</v>
      </c>
      <c r="B1641" t="s">
        <v>2755</v>
      </c>
      <c r="C1641">
        <v>5.0000000000000001E-3</v>
      </c>
    </row>
    <row r="1642" spans="1:3" x14ac:dyDescent="0.25">
      <c r="A1642">
        <v>1641</v>
      </c>
      <c r="B1642" t="s">
        <v>2756</v>
      </c>
      <c r="C1642">
        <v>5.0000000000000001E-3</v>
      </c>
    </row>
    <row r="1643" spans="1:3" x14ac:dyDescent="0.25">
      <c r="A1643">
        <v>1642</v>
      </c>
      <c r="B1643" t="s">
        <v>2757</v>
      </c>
      <c r="C1643">
        <v>5.0000000000000001E-3</v>
      </c>
    </row>
    <row r="1644" spans="1:3" x14ac:dyDescent="0.25">
      <c r="A1644">
        <v>1643</v>
      </c>
      <c r="B1644" t="s">
        <v>2758</v>
      </c>
      <c r="C1644">
        <v>5.0000000000000001E-3</v>
      </c>
    </row>
    <row r="1645" spans="1:3" x14ac:dyDescent="0.25">
      <c r="A1645">
        <v>1644</v>
      </c>
      <c r="B1645" t="s">
        <v>2759</v>
      </c>
      <c r="C1645">
        <v>5.0000000000000001E-3</v>
      </c>
    </row>
    <row r="1646" spans="1:3" x14ac:dyDescent="0.25">
      <c r="A1646">
        <v>1645</v>
      </c>
      <c r="B1646" t="s">
        <v>2760</v>
      </c>
      <c r="C1646">
        <v>5.0000000000000001E-3</v>
      </c>
    </row>
    <row r="1647" spans="1:3" x14ac:dyDescent="0.25">
      <c r="A1647">
        <v>1646</v>
      </c>
      <c r="B1647" t="s">
        <v>2761</v>
      </c>
      <c r="C1647">
        <v>5.0000000000000001E-3</v>
      </c>
    </row>
    <row r="1648" spans="1:3" x14ac:dyDescent="0.25">
      <c r="A1648">
        <v>1647</v>
      </c>
      <c r="B1648" t="s">
        <v>2762</v>
      </c>
      <c r="C1648">
        <v>5.0000000000000001E-3</v>
      </c>
    </row>
    <row r="1649" spans="1:3" x14ac:dyDescent="0.25">
      <c r="A1649">
        <v>1648</v>
      </c>
      <c r="B1649" t="s">
        <v>2763</v>
      </c>
      <c r="C1649">
        <v>5.0000000000000001E-3</v>
      </c>
    </row>
    <row r="1650" spans="1:3" x14ac:dyDescent="0.25">
      <c r="A1650">
        <v>1649</v>
      </c>
      <c r="B1650" t="s">
        <v>2764</v>
      </c>
      <c r="C1650">
        <v>5.0000000000000001E-3</v>
      </c>
    </row>
    <row r="1651" spans="1:3" x14ac:dyDescent="0.25">
      <c r="A1651">
        <v>1650</v>
      </c>
      <c r="B1651" t="s">
        <v>2765</v>
      </c>
      <c r="C1651">
        <v>5.0000000000000001E-3</v>
      </c>
    </row>
    <row r="1652" spans="1:3" x14ac:dyDescent="0.25">
      <c r="A1652">
        <v>1651</v>
      </c>
      <c r="B1652" t="s">
        <v>2766</v>
      </c>
      <c r="C1652">
        <v>5.0000000000000001E-3</v>
      </c>
    </row>
    <row r="1653" spans="1:3" x14ac:dyDescent="0.25">
      <c r="A1653">
        <v>1652</v>
      </c>
      <c r="B1653" t="s">
        <v>2767</v>
      </c>
      <c r="C1653">
        <v>5.0000000000000001E-3</v>
      </c>
    </row>
    <row r="1654" spans="1:3" x14ac:dyDescent="0.25">
      <c r="A1654">
        <v>1653</v>
      </c>
      <c r="B1654" t="s">
        <v>2768</v>
      </c>
      <c r="C1654">
        <v>5.0000000000000001E-3</v>
      </c>
    </row>
    <row r="1655" spans="1:3" x14ac:dyDescent="0.25">
      <c r="A1655">
        <v>1654</v>
      </c>
      <c r="B1655" t="s">
        <v>2769</v>
      </c>
      <c r="C1655">
        <v>5.0000000000000001E-3</v>
      </c>
    </row>
    <row r="1656" spans="1:3" x14ac:dyDescent="0.25">
      <c r="A1656">
        <v>1655</v>
      </c>
      <c r="B1656" t="s">
        <v>2770</v>
      </c>
      <c r="C1656">
        <v>5.0000000000000001E-3</v>
      </c>
    </row>
    <row r="1657" spans="1:3" x14ac:dyDescent="0.25">
      <c r="A1657">
        <v>1656</v>
      </c>
      <c r="B1657" t="s">
        <v>2771</v>
      </c>
      <c r="C1657">
        <v>5.0000000000000001E-3</v>
      </c>
    </row>
    <row r="1658" spans="1:3" x14ac:dyDescent="0.25">
      <c r="A1658">
        <v>1657</v>
      </c>
      <c r="B1658" t="s">
        <v>2772</v>
      </c>
      <c r="C1658">
        <v>4.0000000000000001E-3</v>
      </c>
    </row>
    <row r="1659" spans="1:3" x14ac:dyDescent="0.25">
      <c r="A1659">
        <v>1658</v>
      </c>
      <c r="B1659" t="s">
        <v>2773</v>
      </c>
      <c r="C1659">
        <v>4.0000000000000001E-3</v>
      </c>
    </row>
    <row r="1660" spans="1:3" x14ac:dyDescent="0.25">
      <c r="A1660">
        <v>1659</v>
      </c>
      <c r="B1660" t="s">
        <v>2774</v>
      </c>
      <c r="C1660">
        <v>4.0000000000000001E-3</v>
      </c>
    </row>
    <row r="1661" spans="1:3" x14ac:dyDescent="0.25">
      <c r="A1661">
        <v>1660</v>
      </c>
      <c r="B1661" t="s">
        <v>2775</v>
      </c>
      <c r="C1661">
        <v>4.0000000000000001E-3</v>
      </c>
    </row>
    <row r="1662" spans="1:3" x14ac:dyDescent="0.25">
      <c r="A1662">
        <v>1661</v>
      </c>
      <c r="B1662" t="s">
        <v>2776</v>
      </c>
      <c r="C1662">
        <v>4.0000000000000001E-3</v>
      </c>
    </row>
    <row r="1663" spans="1:3" x14ac:dyDescent="0.25">
      <c r="A1663">
        <v>1662</v>
      </c>
      <c r="B1663" t="s">
        <v>2777</v>
      </c>
      <c r="C1663">
        <v>4.0000000000000001E-3</v>
      </c>
    </row>
    <row r="1664" spans="1:3" x14ac:dyDescent="0.25">
      <c r="A1664">
        <v>1663</v>
      </c>
      <c r="B1664" t="s">
        <v>2778</v>
      </c>
      <c r="C1664">
        <v>4.0000000000000001E-3</v>
      </c>
    </row>
    <row r="1665" spans="1:3" x14ac:dyDescent="0.25">
      <c r="A1665">
        <v>1664</v>
      </c>
      <c r="B1665" t="s">
        <v>2779</v>
      </c>
      <c r="C1665">
        <v>4.0000000000000001E-3</v>
      </c>
    </row>
    <row r="1666" spans="1:3" x14ac:dyDescent="0.25">
      <c r="A1666">
        <v>1665</v>
      </c>
      <c r="B1666" t="s">
        <v>2780</v>
      </c>
      <c r="C1666">
        <v>4.0000000000000001E-3</v>
      </c>
    </row>
    <row r="1667" spans="1:3" x14ac:dyDescent="0.25">
      <c r="A1667">
        <v>1666</v>
      </c>
      <c r="B1667" t="s">
        <v>2781</v>
      </c>
      <c r="C1667">
        <v>4.0000000000000001E-3</v>
      </c>
    </row>
    <row r="1668" spans="1:3" x14ac:dyDescent="0.25">
      <c r="A1668">
        <v>1667</v>
      </c>
      <c r="B1668" t="s">
        <v>2782</v>
      </c>
      <c r="C1668">
        <v>4.0000000000000001E-3</v>
      </c>
    </row>
    <row r="1669" spans="1:3" x14ac:dyDescent="0.25">
      <c r="A1669">
        <v>1668</v>
      </c>
      <c r="B1669" t="s">
        <v>2783</v>
      </c>
      <c r="C1669">
        <v>4.0000000000000001E-3</v>
      </c>
    </row>
    <row r="1670" spans="1:3" x14ac:dyDescent="0.25">
      <c r="A1670">
        <v>1669</v>
      </c>
      <c r="B1670" t="s">
        <v>2784</v>
      </c>
      <c r="C1670">
        <v>4.0000000000000001E-3</v>
      </c>
    </row>
    <row r="1671" spans="1:3" x14ac:dyDescent="0.25">
      <c r="A1671">
        <v>1670</v>
      </c>
      <c r="B1671" t="s">
        <v>2785</v>
      </c>
      <c r="C1671">
        <v>4.0000000000000001E-3</v>
      </c>
    </row>
    <row r="1672" spans="1:3" x14ac:dyDescent="0.25">
      <c r="A1672">
        <v>1671</v>
      </c>
      <c r="B1672" t="s">
        <v>2786</v>
      </c>
      <c r="C1672">
        <v>4.0000000000000001E-3</v>
      </c>
    </row>
    <row r="1673" spans="1:3" x14ac:dyDescent="0.25">
      <c r="A1673">
        <v>1672</v>
      </c>
      <c r="B1673" t="s">
        <v>2787</v>
      </c>
      <c r="C1673">
        <v>4.0000000000000001E-3</v>
      </c>
    </row>
    <row r="1674" spans="1:3" x14ac:dyDescent="0.25">
      <c r="A1674">
        <v>1673</v>
      </c>
      <c r="B1674" t="s">
        <v>2788</v>
      </c>
      <c r="C1674">
        <v>4.0000000000000001E-3</v>
      </c>
    </row>
    <row r="1675" spans="1:3" x14ac:dyDescent="0.25">
      <c r="A1675">
        <v>1674</v>
      </c>
      <c r="B1675" t="s">
        <v>2789</v>
      </c>
      <c r="C1675">
        <v>4.0000000000000001E-3</v>
      </c>
    </row>
    <row r="1676" spans="1:3" x14ac:dyDescent="0.25">
      <c r="A1676">
        <v>1675</v>
      </c>
      <c r="B1676" t="s">
        <v>2790</v>
      </c>
      <c r="C1676">
        <v>4.0000000000000001E-3</v>
      </c>
    </row>
    <row r="1677" spans="1:3" x14ac:dyDescent="0.25">
      <c r="A1677">
        <v>1676</v>
      </c>
      <c r="B1677" t="s">
        <v>2791</v>
      </c>
      <c r="C1677">
        <v>4.0000000000000001E-3</v>
      </c>
    </row>
    <row r="1678" spans="1:3" x14ac:dyDescent="0.25">
      <c r="A1678">
        <v>1677</v>
      </c>
      <c r="B1678" t="s">
        <v>2792</v>
      </c>
      <c r="C1678">
        <v>4.0000000000000001E-3</v>
      </c>
    </row>
    <row r="1679" spans="1:3" x14ac:dyDescent="0.25">
      <c r="A1679">
        <v>1678</v>
      </c>
      <c r="B1679" t="s">
        <v>2793</v>
      </c>
      <c r="C1679">
        <v>4.0000000000000001E-3</v>
      </c>
    </row>
    <row r="1680" spans="1:3" x14ac:dyDescent="0.25">
      <c r="A1680">
        <v>1679</v>
      </c>
      <c r="B1680" t="s">
        <v>2794</v>
      </c>
      <c r="C1680">
        <v>4.0000000000000001E-3</v>
      </c>
    </row>
    <row r="1681" spans="1:3" x14ac:dyDescent="0.25">
      <c r="A1681">
        <v>1680</v>
      </c>
      <c r="B1681" t="s">
        <v>2795</v>
      </c>
      <c r="C1681">
        <v>4.0000000000000001E-3</v>
      </c>
    </row>
    <row r="1682" spans="1:3" x14ac:dyDescent="0.25">
      <c r="A1682">
        <v>1681</v>
      </c>
      <c r="B1682" t="s">
        <v>2796</v>
      </c>
      <c r="C1682">
        <v>4.0000000000000001E-3</v>
      </c>
    </row>
    <row r="1683" spans="1:3" x14ac:dyDescent="0.25">
      <c r="A1683">
        <v>1682</v>
      </c>
      <c r="B1683" t="s">
        <v>2797</v>
      </c>
      <c r="C1683">
        <v>4.0000000000000001E-3</v>
      </c>
    </row>
    <row r="1684" spans="1:3" x14ac:dyDescent="0.25">
      <c r="A1684">
        <v>1683</v>
      </c>
      <c r="B1684" t="s">
        <v>2798</v>
      </c>
      <c r="C1684">
        <v>4.0000000000000001E-3</v>
      </c>
    </row>
    <row r="1685" spans="1:3" x14ac:dyDescent="0.25">
      <c r="A1685">
        <v>1684</v>
      </c>
      <c r="B1685" t="s">
        <v>2799</v>
      </c>
      <c r="C1685">
        <v>4.0000000000000001E-3</v>
      </c>
    </row>
    <row r="1686" spans="1:3" x14ac:dyDescent="0.25">
      <c r="A1686">
        <v>1685</v>
      </c>
      <c r="B1686" t="s">
        <v>2800</v>
      </c>
      <c r="C1686">
        <v>4.0000000000000001E-3</v>
      </c>
    </row>
    <row r="1687" spans="1:3" x14ac:dyDescent="0.25">
      <c r="A1687">
        <v>1686</v>
      </c>
      <c r="B1687" t="s">
        <v>2801</v>
      </c>
      <c r="C1687">
        <v>4.0000000000000001E-3</v>
      </c>
    </row>
    <row r="1688" spans="1:3" x14ac:dyDescent="0.25">
      <c r="A1688">
        <v>1687</v>
      </c>
      <c r="B1688" t="s">
        <v>2802</v>
      </c>
      <c r="C1688">
        <v>4.0000000000000001E-3</v>
      </c>
    </row>
    <row r="1689" spans="1:3" x14ac:dyDescent="0.25">
      <c r="A1689">
        <v>1688</v>
      </c>
      <c r="B1689" t="s">
        <v>2803</v>
      </c>
      <c r="C1689">
        <v>4.0000000000000001E-3</v>
      </c>
    </row>
    <row r="1690" spans="1:3" x14ac:dyDescent="0.25">
      <c r="A1690">
        <v>1689</v>
      </c>
      <c r="B1690" t="s">
        <v>2804</v>
      </c>
      <c r="C1690">
        <v>4.0000000000000001E-3</v>
      </c>
    </row>
    <row r="1691" spans="1:3" x14ac:dyDescent="0.25">
      <c r="A1691">
        <v>1690</v>
      </c>
      <c r="B1691" t="s">
        <v>2805</v>
      </c>
      <c r="C1691">
        <v>4.0000000000000001E-3</v>
      </c>
    </row>
    <row r="1692" spans="1:3" x14ac:dyDescent="0.25">
      <c r="A1692">
        <v>1691</v>
      </c>
      <c r="B1692" t="s">
        <v>2806</v>
      </c>
      <c r="C1692">
        <v>4.0000000000000001E-3</v>
      </c>
    </row>
    <row r="1693" spans="1:3" x14ac:dyDescent="0.25">
      <c r="A1693">
        <v>1692</v>
      </c>
      <c r="B1693" t="s">
        <v>2807</v>
      </c>
      <c r="C1693">
        <v>4.0000000000000001E-3</v>
      </c>
    </row>
    <row r="1694" spans="1:3" x14ac:dyDescent="0.25">
      <c r="A1694">
        <v>1693</v>
      </c>
      <c r="B1694" t="s">
        <v>2808</v>
      </c>
      <c r="C1694">
        <v>4.0000000000000001E-3</v>
      </c>
    </row>
    <row r="1695" spans="1:3" x14ac:dyDescent="0.25">
      <c r="A1695">
        <v>1694</v>
      </c>
      <c r="B1695" t="s">
        <v>2809</v>
      </c>
      <c r="C1695">
        <v>4.0000000000000001E-3</v>
      </c>
    </row>
    <row r="1696" spans="1:3" x14ac:dyDescent="0.25">
      <c r="A1696">
        <v>1695</v>
      </c>
      <c r="B1696" t="s">
        <v>2810</v>
      </c>
      <c r="C1696">
        <v>4.0000000000000001E-3</v>
      </c>
    </row>
    <row r="1697" spans="1:3" x14ac:dyDescent="0.25">
      <c r="A1697">
        <v>1696</v>
      </c>
      <c r="B1697" t="s">
        <v>2811</v>
      </c>
      <c r="C1697">
        <v>4.0000000000000001E-3</v>
      </c>
    </row>
    <row r="1698" spans="1:3" x14ac:dyDescent="0.25">
      <c r="A1698">
        <v>1697</v>
      </c>
      <c r="B1698" t="s">
        <v>2812</v>
      </c>
      <c r="C1698">
        <v>4.0000000000000001E-3</v>
      </c>
    </row>
    <row r="1699" spans="1:3" x14ac:dyDescent="0.25">
      <c r="A1699">
        <v>1698</v>
      </c>
      <c r="B1699" t="s">
        <v>2813</v>
      </c>
      <c r="C1699">
        <v>4.0000000000000001E-3</v>
      </c>
    </row>
    <row r="1700" spans="1:3" x14ac:dyDescent="0.25">
      <c r="A1700">
        <v>1699</v>
      </c>
      <c r="B1700" t="s">
        <v>2814</v>
      </c>
      <c r="C1700">
        <v>4.0000000000000001E-3</v>
      </c>
    </row>
    <row r="1701" spans="1:3" x14ac:dyDescent="0.25">
      <c r="A1701">
        <v>1700</v>
      </c>
      <c r="B1701" t="s">
        <v>2815</v>
      </c>
      <c r="C1701">
        <v>4.0000000000000001E-3</v>
      </c>
    </row>
    <row r="1702" spans="1:3" x14ac:dyDescent="0.25">
      <c r="A1702">
        <v>1701</v>
      </c>
      <c r="B1702" t="s">
        <v>2816</v>
      </c>
      <c r="C1702">
        <v>4.0000000000000001E-3</v>
      </c>
    </row>
    <row r="1703" spans="1:3" x14ac:dyDescent="0.25">
      <c r="A1703">
        <v>1702</v>
      </c>
      <c r="B1703" t="s">
        <v>2817</v>
      </c>
      <c r="C1703">
        <v>4.0000000000000001E-3</v>
      </c>
    </row>
    <row r="1704" spans="1:3" x14ac:dyDescent="0.25">
      <c r="A1704">
        <v>1703</v>
      </c>
      <c r="B1704" t="s">
        <v>2818</v>
      </c>
      <c r="C1704">
        <v>4.0000000000000001E-3</v>
      </c>
    </row>
    <row r="1705" spans="1:3" x14ac:dyDescent="0.25">
      <c r="A1705">
        <v>1704</v>
      </c>
      <c r="B1705" t="s">
        <v>2819</v>
      </c>
      <c r="C1705">
        <v>4.0000000000000001E-3</v>
      </c>
    </row>
    <row r="1706" spans="1:3" x14ac:dyDescent="0.25">
      <c r="A1706">
        <v>1705</v>
      </c>
      <c r="B1706" t="s">
        <v>2820</v>
      </c>
      <c r="C1706">
        <v>4.0000000000000001E-3</v>
      </c>
    </row>
    <row r="1707" spans="1:3" x14ac:dyDescent="0.25">
      <c r="A1707">
        <v>1706</v>
      </c>
      <c r="B1707" t="s">
        <v>2821</v>
      </c>
      <c r="C1707">
        <v>4.0000000000000001E-3</v>
      </c>
    </row>
    <row r="1708" spans="1:3" x14ac:dyDescent="0.25">
      <c r="A1708">
        <v>1707</v>
      </c>
      <c r="B1708" t="s">
        <v>2822</v>
      </c>
      <c r="C1708">
        <v>4.0000000000000001E-3</v>
      </c>
    </row>
    <row r="1709" spans="1:3" x14ac:dyDescent="0.25">
      <c r="A1709">
        <v>1708</v>
      </c>
      <c r="B1709" t="s">
        <v>2823</v>
      </c>
      <c r="C1709">
        <v>4.0000000000000001E-3</v>
      </c>
    </row>
    <row r="1710" spans="1:3" x14ac:dyDescent="0.25">
      <c r="A1710">
        <v>1709</v>
      </c>
      <c r="B1710" t="s">
        <v>2824</v>
      </c>
      <c r="C1710">
        <v>4.0000000000000001E-3</v>
      </c>
    </row>
    <row r="1711" spans="1:3" x14ac:dyDescent="0.25">
      <c r="A1711">
        <v>1710</v>
      </c>
      <c r="B1711" t="s">
        <v>2825</v>
      </c>
      <c r="C1711">
        <v>4.0000000000000001E-3</v>
      </c>
    </row>
    <row r="1712" spans="1:3" x14ac:dyDescent="0.25">
      <c r="A1712">
        <v>1711</v>
      </c>
      <c r="B1712" t="s">
        <v>2826</v>
      </c>
      <c r="C1712">
        <v>4.0000000000000001E-3</v>
      </c>
    </row>
    <row r="1713" spans="1:3" x14ac:dyDescent="0.25">
      <c r="A1713">
        <v>1712</v>
      </c>
      <c r="B1713" t="s">
        <v>2827</v>
      </c>
      <c r="C1713">
        <v>4.0000000000000001E-3</v>
      </c>
    </row>
    <row r="1714" spans="1:3" x14ac:dyDescent="0.25">
      <c r="A1714">
        <v>1713</v>
      </c>
      <c r="B1714" t="s">
        <v>2828</v>
      </c>
      <c r="C1714">
        <v>4.0000000000000001E-3</v>
      </c>
    </row>
    <row r="1715" spans="1:3" x14ac:dyDescent="0.25">
      <c r="A1715">
        <v>1714</v>
      </c>
      <c r="B1715" t="s">
        <v>2829</v>
      </c>
      <c r="C1715">
        <v>4.0000000000000001E-3</v>
      </c>
    </row>
    <row r="1716" spans="1:3" x14ac:dyDescent="0.25">
      <c r="A1716">
        <v>1715</v>
      </c>
      <c r="B1716" t="s">
        <v>2830</v>
      </c>
      <c r="C1716">
        <v>4.0000000000000001E-3</v>
      </c>
    </row>
    <row r="1717" spans="1:3" x14ac:dyDescent="0.25">
      <c r="A1717">
        <v>1716</v>
      </c>
      <c r="B1717" t="s">
        <v>2831</v>
      </c>
      <c r="C1717">
        <v>4.0000000000000001E-3</v>
      </c>
    </row>
    <row r="1718" spans="1:3" x14ac:dyDescent="0.25">
      <c r="A1718">
        <v>1717</v>
      </c>
      <c r="B1718" t="s">
        <v>2832</v>
      </c>
      <c r="C1718">
        <v>4.0000000000000001E-3</v>
      </c>
    </row>
    <row r="1719" spans="1:3" x14ac:dyDescent="0.25">
      <c r="A1719">
        <v>1718</v>
      </c>
      <c r="B1719" t="s">
        <v>2833</v>
      </c>
      <c r="C1719">
        <v>4.0000000000000001E-3</v>
      </c>
    </row>
    <row r="1720" spans="1:3" x14ac:dyDescent="0.25">
      <c r="A1720">
        <v>1719</v>
      </c>
      <c r="B1720" t="s">
        <v>2834</v>
      </c>
      <c r="C1720">
        <v>4.0000000000000001E-3</v>
      </c>
    </row>
    <row r="1721" spans="1:3" x14ac:dyDescent="0.25">
      <c r="A1721">
        <v>1720</v>
      </c>
      <c r="B1721" t="s">
        <v>2835</v>
      </c>
      <c r="C1721">
        <v>4.0000000000000001E-3</v>
      </c>
    </row>
    <row r="1722" spans="1:3" x14ac:dyDescent="0.25">
      <c r="A1722">
        <v>1721</v>
      </c>
      <c r="B1722" t="s">
        <v>2836</v>
      </c>
      <c r="C1722">
        <v>4.0000000000000001E-3</v>
      </c>
    </row>
    <row r="1723" spans="1:3" x14ac:dyDescent="0.25">
      <c r="A1723">
        <v>1722</v>
      </c>
      <c r="B1723" t="s">
        <v>2837</v>
      </c>
      <c r="C1723">
        <v>4.0000000000000001E-3</v>
      </c>
    </row>
    <row r="1724" spans="1:3" x14ac:dyDescent="0.25">
      <c r="A1724">
        <v>1723</v>
      </c>
      <c r="B1724" t="s">
        <v>2838</v>
      </c>
      <c r="C1724">
        <v>4.0000000000000001E-3</v>
      </c>
    </row>
    <row r="1725" spans="1:3" x14ac:dyDescent="0.25">
      <c r="A1725">
        <v>1724</v>
      </c>
      <c r="B1725" t="s">
        <v>2839</v>
      </c>
      <c r="C1725">
        <v>4.0000000000000001E-3</v>
      </c>
    </row>
    <row r="1726" spans="1:3" x14ac:dyDescent="0.25">
      <c r="A1726">
        <v>1725</v>
      </c>
      <c r="B1726" t="s">
        <v>2840</v>
      </c>
      <c r="C1726">
        <v>4.0000000000000001E-3</v>
      </c>
    </row>
    <row r="1727" spans="1:3" x14ac:dyDescent="0.25">
      <c r="A1727">
        <v>1726</v>
      </c>
      <c r="B1727" t="s">
        <v>2841</v>
      </c>
      <c r="C1727">
        <v>4.0000000000000001E-3</v>
      </c>
    </row>
    <row r="1728" spans="1:3" x14ac:dyDescent="0.25">
      <c r="A1728">
        <v>1727</v>
      </c>
      <c r="B1728" t="s">
        <v>2842</v>
      </c>
      <c r="C1728">
        <v>4.0000000000000001E-3</v>
      </c>
    </row>
    <row r="1729" spans="1:3" x14ac:dyDescent="0.25">
      <c r="A1729">
        <v>1728</v>
      </c>
      <c r="B1729" t="s">
        <v>2843</v>
      </c>
      <c r="C1729">
        <v>4.0000000000000001E-3</v>
      </c>
    </row>
    <row r="1730" spans="1:3" x14ac:dyDescent="0.25">
      <c r="A1730">
        <v>1729</v>
      </c>
      <c r="B1730" t="s">
        <v>2844</v>
      </c>
      <c r="C1730">
        <v>4.0000000000000001E-3</v>
      </c>
    </row>
    <row r="1731" spans="1:3" x14ac:dyDescent="0.25">
      <c r="A1731">
        <v>1730</v>
      </c>
      <c r="B1731" t="s">
        <v>2845</v>
      </c>
      <c r="C1731">
        <v>4.0000000000000001E-3</v>
      </c>
    </row>
    <row r="1732" spans="1:3" x14ac:dyDescent="0.25">
      <c r="A1732">
        <v>1731</v>
      </c>
      <c r="B1732" t="s">
        <v>2846</v>
      </c>
      <c r="C1732">
        <v>4.0000000000000001E-3</v>
      </c>
    </row>
    <row r="1733" spans="1:3" x14ac:dyDescent="0.25">
      <c r="A1733">
        <v>1732</v>
      </c>
      <c r="B1733" t="s">
        <v>2847</v>
      </c>
      <c r="C1733">
        <v>4.0000000000000001E-3</v>
      </c>
    </row>
    <row r="1734" spans="1:3" x14ac:dyDescent="0.25">
      <c r="A1734">
        <v>1733</v>
      </c>
      <c r="B1734" t="s">
        <v>2848</v>
      </c>
      <c r="C1734">
        <v>4.0000000000000001E-3</v>
      </c>
    </row>
    <row r="1735" spans="1:3" x14ac:dyDescent="0.25">
      <c r="A1735">
        <v>1734</v>
      </c>
      <c r="B1735" t="s">
        <v>2849</v>
      </c>
      <c r="C1735">
        <v>4.0000000000000001E-3</v>
      </c>
    </row>
    <row r="1736" spans="1:3" x14ac:dyDescent="0.25">
      <c r="A1736">
        <v>1735</v>
      </c>
      <c r="B1736" t="s">
        <v>2850</v>
      </c>
      <c r="C1736">
        <v>4.0000000000000001E-3</v>
      </c>
    </row>
    <row r="1737" spans="1:3" x14ac:dyDescent="0.25">
      <c r="A1737">
        <v>1736</v>
      </c>
      <c r="B1737" t="s">
        <v>2851</v>
      </c>
      <c r="C1737">
        <v>4.0000000000000001E-3</v>
      </c>
    </row>
    <row r="1738" spans="1:3" x14ac:dyDescent="0.25">
      <c r="A1738">
        <v>1737</v>
      </c>
      <c r="B1738" t="s">
        <v>2852</v>
      </c>
      <c r="C1738">
        <v>4.0000000000000001E-3</v>
      </c>
    </row>
    <row r="1739" spans="1:3" x14ac:dyDescent="0.25">
      <c r="A1739">
        <v>1738</v>
      </c>
      <c r="B1739" t="s">
        <v>2853</v>
      </c>
      <c r="C1739">
        <v>4.0000000000000001E-3</v>
      </c>
    </row>
    <row r="1740" spans="1:3" x14ac:dyDescent="0.25">
      <c r="A1740">
        <v>1739</v>
      </c>
      <c r="B1740" t="s">
        <v>2854</v>
      </c>
      <c r="C1740">
        <v>4.0000000000000001E-3</v>
      </c>
    </row>
    <row r="1741" spans="1:3" x14ac:dyDescent="0.25">
      <c r="A1741">
        <v>1740</v>
      </c>
      <c r="B1741" t="s">
        <v>2855</v>
      </c>
      <c r="C1741">
        <v>4.0000000000000001E-3</v>
      </c>
    </row>
    <row r="1742" spans="1:3" x14ac:dyDescent="0.25">
      <c r="A1742">
        <v>1741</v>
      </c>
      <c r="B1742" t="s">
        <v>2856</v>
      </c>
      <c r="C1742">
        <v>4.0000000000000001E-3</v>
      </c>
    </row>
    <row r="1743" spans="1:3" x14ac:dyDescent="0.25">
      <c r="A1743">
        <v>1742</v>
      </c>
      <c r="B1743" t="s">
        <v>2857</v>
      </c>
      <c r="C1743">
        <v>4.0000000000000001E-3</v>
      </c>
    </row>
    <row r="1744" spans="1:3" x14ac:dyDescent="0.25">
      <c r="A1744">
        <v>1743</v>
      </c>
      <c r="B1744" t="s">
        <v>2858</v>
      </c>
      <c r="C1744">
        <v>4.0000000000000001E-3</v>
      </c>
    </row>
    <row r="1745" spans="1:3" x14ac:dyDescent="0.25">
      <c r="A1745">
        <v>1744</v>
      </c>
      <c r="B1745" t="s">
        <v>2859</v>
      </c>
      <c r="C1745">
        <v>4.0000000000000001E-3</v>
      </c>
    </row>
    <row r="1746" spans="1:3" x14ac:dyDescent="0.25">
      <c r="A1746">
        <v>1745</v>
      </c>
      <c r="B1746" t="s">
        <v>2860</v>
      </c>
      <c r="C1746">
        <v>4.0000000000000001E-3</v>
      </c>
    </row>
    <row r="1747" spans="1:3" x14ac:dyDescent="0.25">
      <c r="A1747">
        <v>1746</v>
      </c>
      <c r="B1747" t="s">
        <v>2861</v>
      </c>
      <c r="C1747">
        <v>4.0000000000000001E-3</v>
      </c>
    </row>
    <row r="1748" spans="1:3" x14ac:dyDescent="0.25">
      <c r="A1748">
        <v>1747</v>
      </c>
      <c r="B1748" t="s">
        <v>2862</v>
      </c>
      <c r="C1748">
        <v>4.0000000000000001E-3</v>
      </c>
    </row>
    <row r="1749" spans="1:3" x14ac:dyDescent="0.25">
      <c r="A1749">
        <v>1748</v>
      </c>
      <c r="B1749" t="s">
        <v>2863</v>
      </c>
      <c r="C1749">
        <v>4.0000000000000001E-3</v>
      </c>
    </row>
    <row r="1750" spans="1:3" x14ac:dyDescent="0.25">
      <c r="A1750">
        <v>1749</v>
      </c>
      <c r="B1750" t="s">
        <v>2864</v>
      </c>
      <c r="C1750">
        <v>4.0000000000000001E-3</v>
      </c>
    </row>
    <row r="1751" spans="1:3" x14ac:dyDescent="0.25">
      <c r="A1751">
        <v>1750</v>
      </c>
      <c r="B1751" t="s">
        <v>2865</v>
      </c>
      <c r="C1751">
        <v>4.0000000000000001E-3</v>
      </c>
    </row>
    <row r="1752" spans="1:3" x14ac:dyDescent="0.25">
      <c r="A1752">
        <v>1751</v>
      </c>
      <c r="B1752" t="s">
        <v>2866</v>
      </c>
      <c r="C1752">
        <v>4.0000000000000001E-3</v>
      </c>
    </row>
    <row r="1753" spans="1:3" x14ac:dyDescent="0.25">
      <c r="A1753">
        <v>1752</v>
      </c>
      <c r="B1753" t="s">
        <v>2867</v>
      </c>
      <c r="C1753">
        <v>4.0000000000000001E-3</v>
      </c>
    </row>
    <row r="1754" spans="1:3" x14ac:dyDescent="0.25">
      <c r="A1754">
        <v>1753</v>
      </c>
      <c r="B1754" t="s">
        <v>2868</v>
      </c>
      <c r="C1754">
        <v>4.0000000000000001E-3</v>
      </c>
    </row>
    <row r="1755" spans="1:3" x14ac:dyDescent="0.25">
      <c r="A1755">
        <v>1754</v>
      </c>
      <c r="B1755" t="s">
        <v>2869</v>
      </c>
      <c r="C1755">
        <v>4.0000000000000001E-3</v>
      </c>
    </row>
    <row r="1756" spans="1:3" x14ac:dyDescent="0.25">
      <c r="A1756">
        <v>1755</v>
      </c>
      <c r="B1756" t="s">
        <v>2870</v>
      </c>
      <c r="C1756">
        <v>4.0000000000000001E-3</v>
      </c>
    </row>
    <row r="1757" spans="1:3" x14ac:dyDescent="0.25">
      <c r="A1757">
        <v>1756</v>
      </c>
      <c r="B1757" t="s">
        <v>2871</v>
      </c>
      <c r="C1757">
        <v>4.0000000000000001E-3</v>
      </c>
    </row>
    <row r="1758" spans="1:3" x14ac:dyDescent="0.25">
      <c r="A1758">
        <v>1757</v>
      </c>
      <c r="B1758" t="s">
        <v>2872</v>
      </c>
      <c r="C1758">
        <v>4.0000000000000001E-3</v>
      </c>
    </row>
    <row r="1759" spans="1:3" x14ac:dyDescent="0.25">
      <c r="A1759">
        <v>1758</v>
      </c>
      <c r="B1759" t="s">
        <v>2873</v>
      </c>
      <c r="C1759">
        <v>4.0000000000000001E-3</v>
      </c>
    </row>
    <row r="1760" spans="1:3" x14ac:dyDescent="0.25">
      <c r="A1760">
        <v>1759</v>
      </c>
      <c r="B1760" t="s">
        <v>2874</v>
      </c>
      <c r="C1760">
        <v>4.0000000000000001E-3</v>
      </c>
    </row>
    <row r="1761" spans="1:3" x14ac:dyDescent="0.25">
      <c r="A1761">
        <v>1760</v>
      </c>
      <c r="B1761" t="s">
        <v>2875</v>
      </c>
      <c r="C1761">
        <v>4.0000000000000001E-3</v>
      </c>
    </row>
    <row r="1762" spans="1:3" x14ac:dyDescent="0.25">
      <c r="A1762">
        <v>1761</v>
      </c>
      <c r="B1762" t="s">
        <v>2876</v>
      </c>
      <c r="C1762">
        <v>4.0000000000000001E-3</v>
      </c>
    </row>
    <row r="1763" spans="1:3" x14ac:dyDescent="0.25">
      <c r="A1763">
        <v>1762</v>
      </c>
      <c r="B1763" t="s">
        <v>2877</v>
      </c>
      <c r="C1763">
        <v>4.0000000000000001E-3</v>
      </c>
    </row>
    <row r="1764" spans="1:3" x14ac:dyDescent="0.25">
      <c r="A1764">
        <v>1763</v>
      </c>
      <c r="B1764" t="s">
        <v>2878</v>
      </c>
      <c r="C1764">
        <v>4.0000000000000001E-3</v>
      </c>
    </row>
    <row r="1765" spans="1:3" x14ac:dyDescent="0.25">
      <c r="A1765">
        <v>1764</v>
      </c>
      <c r="B1765" t="s">
        <v>2879</v>
      </c>
      <c r="C1765">
        <v>4.0000000000000001E-3</v>
      </c>
    </row>
    <row r="1766" spans="1:3" x14ac:dyDescent="0.25">
      <c r="A1766">
        <v>1765</v>
      </c>
      <c r="B1766" t="s">
        <v>2880</v>
      </c>
      <c r="C1766">
        <v>4.0000000000000001E-3</v>
      </c>
    </row>
    <row r="1767" spans="1:3" x14ac:dyDescent="0.25">
      <c r="A1767">
        <v>1766</v>
      </c>
      <c r="B1767" t="s">
        <v>2881</v>
      </c>
      <c r="C1767">
        <v>4.0000000000000001E-3</v>
      </c>
    </row>
    <row r="1768" spans="1:3" x14ac:dyDescent="0.25">
      <c r="A1768">
        <v>1767</v>
      </c>
      <c r="B1768" t="s">
        <v>2882</v>
      </c>
      <c r="C1768">
        <v>4.0000000000000001E-3</v>
      </c>
    </row>
    <row r="1769" spans="1:3" x14ac:dyDescent="0.25">
      <c r="A1769">
        <v>1768</v>
      </c>
      <c r="B1769" t="s">
        <v>2883</v>
      </c>
      <c r="C1769">
        <v>4.0000000000000001E-3</v>
      </c>
    </row>
    <row r="1770" spans="1:3" x14ac:dyDescent="0.25">
      <c r="A1770">
        <v>1769</v>
      </c>
      <c r="B1770" t="s">
        <v>2884</v>
      </c>
      <c r="C1770">
        <v>4.0000000000000001E-3</v>
      </c>
    </row>
    <row r="1771" spans="1:3" x14ac:dyDescent="0.25">
      <c r="A1771">
        <v>1770</v>
      </c>
      <c r="B1771" t="s">
        <v>2885</v>
      </c>
      <c r="C1771">
        <v>4.0000000000000001E-3</v>
      </c>
    </row>
    <row r="1772" spans="1:3" x14ac:dyDescent="0.25">
      <c r="A1772">
        <v>1771</v>
      </c>
      <c r="B1772" t="s">
        <v>2886</v>
      </c>
      <c r="C1772">
        <v>4.0000000000000001E-3</v>
      </c>
    </row>
    <row r="1773" spans="1:3" x14ac:dyDescent="0.25">
      <c r="A1773">
        <v>1772</v>
      </c>
      <c r="B1773" t="s">
        <v>2887</v>
      </c>
      <c r="C1773">
        <v>4.0000000000000001E-3</v>
      </c>
    </row>
    <row r="1774" spans="1:3" x14ac:dyDescent="0.25">
      <c r="A1774">
        <v>1773</v>
      </c>
      <c r="B1774" t="s">
        <v>2888</v>
      </c>
      <c r="C1774">
        <v>4.0000000000000001E-3</v>
      </c>
    </row>
    <row r="1775" spans="1:3" x14ac:dyDescent="0.25">
      <c r="A1775">
        <v>1774</v>
      </c>
      <c r="B1775" t="s">
        <v>2889</v>
      </c>
      <c r="C1775">
        <v>4.0000000000000001E-3</v>
      </c>
    </row>
    <row r="1776" spans="1:3" x14ac:dyDescent="0.25">
      <c r="A1776">
        <v>1775</v>
      </c>
      <c r="B1776" t="s">
        <v>2890</v>
      </c>
      <c r="C1776">
        <v>4.0000000000000001E-3</v>
      </c>
    </row>
    <row r="1777" spans="1:3" x14ac:dyDescent="0.25">
      <c r="A1777">
        <v>1776</v>
      </c>
      <c r="B1777" t="s">
        <v>2891</v>
      </c>
      <c r="C1777">
        <v>4.0000000000000001E-3</v>
      </c>
    </row>
    <row r="1778" spans="1:3" x14ac:dyDescent="0.25">
      <c r="A1778">
        <v>1777</v>
      </c>
      <c r="B1778" t="s">
        <v>2892</v>
      </c>
      <c r="C1778">
        <v>4.0000000000000001E-3</v>
      </c>
    </row>
    <row r="1779" spans="1:3" x14ac:dyDescent="0.25">
      <c r="A1779">
        <v>1778</v>
      </c>
      <c r="B1779" t="s">
        <v>2893</v>
      </c>
      <c r="C1779">
        <v>4.0000000000000001E-3</v>
      </c>
    </row>
    <row r="1780" spans="1:3" x14ac:dyDescent="0.25">
      <c r="A1780">
        <v>1779</v>
      </c>
      <c r="B1780" t="s">
        <v>2894</v>
      </c>
      <c r="C1780">
        <v>4.0000000000000001E-3</v>
      </c>
    </row>
    <row r="1781" spans="1:3" x14ac:dyDescent="0.25">
      <c r="A1781">
        <v>1780</v>
      </c>
      <c r="B1781" t="s">
        <v>2895</v>
      </c>
      <c r="C1781">
        <v>4.0000000000000001E-3</v>
      </c>
    </row>
    <row r="1782" spans="1:3" x14ac:dyDescent="0.25">
      <c r="A1782">
        <v>1781</v>
      </c>
      <c r="B1782" t="s">
        <v>2896</v>
      </c>
      <c r="C1782">
        <v>4.0000000000000001E-3</v>
      </c>
    </row>
    <row r="1783" spans="1:3" x14ac:dyDescent="0.25">
      <c r="A1783">
        <v>1782</v>
      </c>
      <c r="B1783" t="s">
        <v>2897</v>
      </c>
      <c r="C1783">
        <v>4.0000000000000001E-3</v>
      </c>
    </row>
    <row r="1784" spans="1:3" x14ac:dyDescent="0.25">
      <c r="A1784">
        <v>1783</v>
      </c>
      <c r="B1784" t="s">
        <v>2898</v>
      </c>
      <c r="C1784">
        <v>4.0000000000000001E-3</v>
      </c>
    </row>
    <row r="1785" spans="1:3" x14ac:dyDescent="0.25">
      <c r="A1785">
        <v>1784</v>
      </c>
      <c r="B1785" t="s">
        <v>2899</v>
      </c>
      <c r="C1785">
        <v>4.0000000000000001E-3</v>
      </c>
    </row>
    <row r="1786" spans="1:3" x14ac:dyDescent="0.25">
      <c r="A1786">
        <v>1785</v>
      </c>
      <c r="B1786" t="s">
        <v>2900</v>
      </c>
      <c r="C1786">
        <v>4.0000000000000001E-3</v>
      </c>
    </row>
    <row r="1787" spans="1:3" x14ac:dyDescent="0.25">
      <c r="A1787">
        <v>1786</v>
      </c>
      <c r="B1787" t="s">
        <v>2901</v>
      </c>
      <c r="C1787">
        <v>4.0000000000000001E-3</v>
      </c>
    </row>
    <row r="1788" spans="1:3" x14ac:dyDescent="0.25">
      <c r="A1788">
        <v>1787</v>
      </c>
      <c r="B1788" t="s">
        <v>2902</v>
      </c>
      <c r="C1788">
        <v>4.0000000000000001E-3</v>
      </c>
    </row>
    <row r="1789" spans="1:3" x14ac:dyDescent="0.25">
      <c r="A1789">
        <v>1788</v>
      </c>
      <c r="B1789" t="s">
        <v>2903</v>
      </c>
      <c r="C1789">
        <v>4.0000000000000001E-3</v>
      </c>
    </row>
    <row r="1790" spans="1:3" x14ac:dyDescent="0.25">
      <c r="A1790">
        <v>1789</v>
      </c>
      <c r="B1790" t="s">
        <v>2904</v>
      </c>
      <c r="C1790">
        <v>4.0000000000000001E-3</v>
      </c>
    </row>
    <row r="1791" spans="1:3" x14ac:dyDescent="0.25">
      <c r="A1791">
        <v>1790</v>
      </c>
      <c r="B1791" t="s">
        <v>2905</v>
      </c>
      <c r="C1791">
        <v>4.0000000000000001E-3</v>
      </c>
    </row>
    <row r="1792" spans="1:3" x14ac:dyDescent="0.25">
      <c r="A1792">
        <v>1791</v>
      </c>
      <c r="B1792" t="s">
        <v>2906</v>
      </c>
      <c r="C1792">
        <v>4.0000000000000001E-3</v>
      </c>
    </row>
    <row r="1793" spans="1:3" x14ac:dyDescent="0.25">
      <c r="A1793">
        <v>1792</v>
      </c>
      <c r="B1793" t="s">
        <v>2907</v>
      </c>
      <c r="C1793">
        <v>4.0000000000000001E-3</v>
      </c>
    </row>
    <row r="1794" spans="1:3" x14ac:dyDescent="0.25">
      <c r="A1794">
        <v>1793</v>
      </c>
      <c r="B1794" t="s">
        <v>2908</v>
      </c>
      <c r="C1794">
        <v>4.0000000000000001E-3</v>
      </c>
    </row>
    <row r="1795" spans="1:3" x14ac:dyDescent="0.25">
      <c r="A1795">
        <v>1794</v>
      </c>
      <c r="B1795" t="s">
        <v>2909</v>
      </c>
      <c r="C1795">
        <v>4.0000000000000001E-3</v>
      </c>
    </row>
    <row r="1796" spans="1:3" x14ac:dyDescent="0.25">
      <c r="A1796">
        <v>1795</v>
      </c>
      <c r="B1796" t="s">
        <v>2910</v>
      </c>
      <c r="C1796">
        <v>4.0000000000000001E-3</v>
      </c>
    </row>
    <row r="1797" spans="1:3" x14ac:dyDescent="0.25">
      <c r="A1797">
        <v>1796</v>
      </c>
      <c r="B1797" t="s">
        <v>2911</v>
      </c>
      <c r="C1797">
        <v>4.0000000000000001E-3</v>
      </c>
    </row>
    <row r="1798" spans="1:3" x14ac:dyDescent="0.25">
      <c r="A1798">
        <v>1797</v>
      </c>
      <c r="B1798" t="s">
        <v>2912</v>
      </c>
      <c r="C1798">
        <v>4.0000000000000001E-3</v>
      </c>
    </row>
    <row r="1799" spans="1:3" x14ac:dyDescent="0.25">
      <c r="A1799">
        <v>1798</v>
      </c>
      <c r="B1799" t="s">
        <v>2913</v>
      </c>
      <c r="C1799">
        <v>4.0000000000000001E-3</v>
      </c>
    </row>
    <row r="1800" spans="1:3" x14ac:dyDescent="0.25">
      <c r="A1800">
        <v>1799</v>
      </c>
      <c r="B1800" t="s">
        <v>2914</v>
      </c>
      <c r="C1800">
        <v>4.0000000000000001E-3</v>
      </c>
    </row>
    <row r="1801" spans="1:3" x14ac:dyDescent="0.25">
      <c r="A1801">
        <v>1800</v>
      </c>
      <c r="B1801" t="s">
        <v>2915</v>
      </c>
      <c r="C1801">
        <v>4.0000000000000001E-3</v>
      </c>
    </row>
    <row r="1802" spans="1:3" x14ac:dyDescent="0.25">
      <c r="A1802">
        <v>1801</v>
      </c>
      <c r="B1802" t="s">
        <v>2916</v>
      </c>
      <c r="C1802">
        <v>4.0000000000000001E-3</v>
      </c>
    </row>
    <row r="1803" spans="1:3" x14ac:dyDescent="0.25">
      <c r="A1803">
        <v>1802</v>
      </c>
      <c r="B1803" t="s">
        <v>2917</v>
      </c>
      <c r="C1803">
        <v>4.0000000000000001E-3</v>
      </c>
    </row>
    <row r="1804" spans="1:3" x14ac:dyDescent="0.25">
      <c r="A1804">
        <v>1803</v>
      </c>
      <c r="B1804" t="s">
        <v>2918</v>
      </c>
      <c r="C1804">
        <v>4.0000000000000001E-3</v>
      </c>
    </row>
    <row r="1805" spans="1:3" x14ac:dyDescent="0.25">
      <c r="A1805">
        <v>1804</v>
      </c>
      <c r="B1805" t="s">
        <v>2919</v>
      </c>
      <c r="C1805">
        <v>4.0000000000000001E-3</v>
      </c>
    </row>
    <row r="1806" spans="1:3" x14ac:dyDescent="0.25">
      <c r="A1806">
        <v>1805</v>
      </c>
      <c r="B1806" t="s">
        <v>2920</v>
      </c>
      <c r="C1806">
        <v>4.0000000000000001E-3</v>
      </c>
    </row>
    <row r="1807" spans="1:3" x14ac:dyDescent="0.25">
      <c r="A1807">
        <v>1806</v>
      </c>
      <c r="B1807" t="s">
        <v>2921</v>
      </c>
      <c r="C1807">
        <v>4.0000000000000001E-3</v>
      </c>
    </row>
    <row r="1808" spans="1:3" x14ac:dyDescent="0.25">
      <c r="A1808">
        <v>1807</v>
      </c>
      <c r="B1808" t="s">
        <v>2922</v>
      </c>
      <c r="C1808">
        <v>4.0000000000000001E-3</v>
      </c>
    </row>
    <row r="1809" spans="1:3" x14ac:dyDescent="0.25">
      <c r="A1809">
        <v>1808</v>
      </c>
      <c r="B1809" t="s">
        <v>2923</v>
      </c>
      <c r="C1809">
        <v>4.0000000000000001E-3</v>
      </c>
    </row>
    <row r="1810" spans="1:3" x14ac:dyDescent="0.25">
      <c r="A1810">
        <v>1809</v>
      </c>
      <c r="B1810" t="s">
        <v>2924</v>
      </c>
      <c r="C1810">
        <v>4.0000000000000001E-3</v>
      </c>
    </row>
    <row r="1811" spans="1:3" x14ac:dyDescent="0.25">
      <c r="A1811">
        <v>1810</v>
      </c>
      <c r="B1811" t="s">
        <v>2925</v>
      </c>
      <c r="C1811">
        <v>4.0000000000000001E-3</v>
      </c>
    </row>
    <row r="1812" spans="1:3" x14ac:dyDescent="0.25">
      <c r="A1812">
        <v>1811</v>
      </c>
      <c r="B1812" t="s">
        <v>2926</v>
      </c>
      <c r="C1812">
        <v>4.0000000000000001E-3</v>
      </c>
    </row>
    <row r="1813" spans="1:3" x14ac:dyDescent="0.25">
      <c r="A1813">
        <v>1812</v>
      </c>
      <c r="B1813" t="s">
        <v>2927</v>
      </c>
      <c r="C1813">
        <v>4.0000000000000001E-3</v>
      </c>
    </row>
    <row r="1814" spans="1:3" x14ac:dyDescent="0.25">
      <c r="A1814">
        <v>1813</v>
      </c>
      <c r="B1814" t="s">
        <v>2928</v>
      </c>
      <c r="C1814">
        <v>3.0000000000000001E-3</v>
      </c>
    </row>
    <row r="1815" spans="1:3" x14ac:dyDescent="0.25">
      <c r="A1815">
        <v>1814</v>
      </c>
      <c r="B1815" t="s">
        <v>2929</v>
      </c>
      <c r="C1815">
        <v>3.0000000000000001E-3</v>
      </c>
    </row>
    <row r="1816" spans="1:3" x14ac:dyDescent="0.25">
      <c r="A1816">
        <v>1815</v>
      </c>
      <c r="B1816" t="s">
        <v>2930</v>
      </c>
      <c r="C1816">
        <v>3.0000000000000001E-3</v>
      </c>
    </row>
    <row r="1817" spans="1:3" x14ac:dyDescent="0.25">
      <c r="A1817">
        <v>1816</v>
      </c>
      <c r="B1817" t="s">
        <v>2931</v>
      </c>
      <c r="C1817">
        <v>3.0000000000000001E-3</v>
      </c>
    </row>
    <row r="1818" spans="1:3" x14ac:dyDescent="0.25">
      <c r="A1818">
        <v>1817</v>
      </c>
      <c r="B1818" t="s">
        <v>2932</v>
      </c>
      <c r="C1818">
        <v>3.0000000000000001E-3</v>
      </c>
    </row>
    <row r="1819" spans="1:3" x14ac:dyDescent="0.25">
      <c r="A1819">
        <v>1818</v>
      </c>
      <c r="B1819" t="s">
        <v>2933</v>
      </c>
      <c r="C1819">
        <v>3.0000000000000001E-3</v>
      </c>
    </row>
    <row r="1820" spans="1:3" x14ac:dyDescent="0.25">
      <c r="A1820">
        <v>1819</v>
      </c>
      <c r="B1820" t="s">
        <v>2934</v>
      </c>
      <c r="C1820">
        <v>3.0000000000000001E-3</v>
      </c>
    </row>
    <row r="1821" spans="1:3" x14ac:dyDescent="0.25">
      <c r="A1821">
        <v>1820</v>
      </c>
      <c r="B1821" t="s">
        <v>2935</v>
      </c>
      <c r="C1821">
        <v>3.0000000000000001E-3</v>
      </c>
    </row>
    <row r="1822" spans="1:3" x14ac:dyDescent="0.25">
      <c r="A1822">
        <v>1821</v>
      </c>
      <c r="B1822" t="s">
        <v>2936</v>
      </c>
      <c r="C1822">
        <v>3.0000000000000001E-3</v>
      </c>
    </row>
    <row r="1823" spans="1:3" x14ac:dyDescent="0.25">
      <c r="A1823">
        <v>1822</v>
      </c>
      <c r="B1823" t="s">
        <v>2937</v>
      </c>
      <c r="C1823">
        <v>3.0000000000000001E-3</v>
      </c>
    </row>
    <row r="1824" spans="1:3" x14ac:dyDescent="0.25">
      <c r="A1824">
        <v>1823</v>
      </c>
      <c r="B1824" t="s">
        <v>2938</v>
      </c>
      <c r="C1824">
        <v>3.0000000000000001E-3</v>
      </c>
    </row>
    <row r="1825" spans="1:3" x14ac:dyDescent="0.25">
      <c r="A1825">
        <v>1824</v>
      </c>
      <c r="B1825" t="s">
        <v>2939</v>
      </c>
      <c r="C1825">
        <v>3.0000000000000001E-3</v>
      </c>
    </row>
    <row r="1826" spans="1:3" x14ac:dyDescent="0.25">
      <c r="A1826">
        <v>1825</v>
      </c>
      <c r="B1826" t="s">
        <v>2940</v>
      </c>
      <c r="C1826">
        <v>3.0000000000000001E-3</v>
      </c>
    </row>
    <row r="1827" spans="1:3" x14ac:dyDescent="0.25">
      <c r="A1827">
        <v>1826</v>
      </c>
      <c r="B1827" t="s">
        <v>2941</v>
      </c>
      <c r="C1827">
        <v>3.0000000000000001E-3</v>
      </c>
    </row>
    <row r="1828" spans="1:3" x14ac:dyDescent="0.25">
      <c r="A1828">
        <v>1827</v>
      </c>
      <c r="B1828" t="s">
        <v>2942</v>
      </c>
      <c r="C1828">
        <v>3.0000000000000001E-3</v>
      </c>
    </row>
    <row r="1829" spans="1:3" x14ac:dyDescent="0.25">
      <c r="A1829">
        <v>1828</v>
      </c>
      <c r="B1829" t="s">
        <v>2943</v>
      </c>
      <c r="C1829">
        <v>3.0000000000000001E-3</v>
      </c>
    </row>
    <row r="1830" spans="1:3" x14ac:dyDescent="0.25">
      <c r="A1830">
        <v>1829</v>
      </c>
      <c r="B1830" t="s">
        <v>2944</v>
      </c>
      <c r="C1830">
        <v>3.0000000000000001E-3</v>
      </c>
    </row>
    <row r="1831" spans="1:3" x14ac:dyDescent="0.25">
      <c r="A1831">
        <v>1830</v>
      </c>
      <c r="B1831" t="s">
        <v>2945</v>
      </c>
      <c r="C1831">
        <v>3.0000000000000001E-3</v>
      </c>
    </row>
    <row r="1832" spans="1:3" x14ac:dyDescent="0.25">
      <c r="A1832">
        <v>1831</v>
      </c>
      <c r="B1832" t="s">
        <v>2946</v>
      </c>
      <c r="C1832">
        <v>3.0000000000000001E-3</v>
      </c>
    </row>
    <row r="1833" spans="1:3" x14ac:dyDescent="0.25">
      <c r="A1833">
        <v>1832</v>
      </c>
      <c r="B1833" t="s">
        <v>2947</v>
      </c>
      <c r="C1833">
        <v>3.0000000000000001E-3</v>
      </c>
    </row>
    <row r="1834" spans="1:3" x14ac:dyDescent="0.25">
      <c r="A1834">
        <v>1833</v>
      </c>
      <c r="B1834" t="s">
        <v>2948</v>
      </c>
      <c r="C1834">
        <v>3.0000000000000001E-3</v>
      </c>
    </row>
    <row r="1835" spans="1:3" x14ac:dyDescent="0.25">
      <c r="A1835">
        <v>1834</v>
      </c>
      <c r="B1835" t="s">
        <v>2949</v>
      </c>
      <c r="C1835">
        <v>3.0000000000000001E-3</v>
      </c>
    </row>
    <row r="1836" spans="1:3" x14ac:dyDescent="0.25">
      <c r="A1836">
        <v>1835</v>
      </c>
      <c r="B1836" t="s">
        <v>2950</v>
      </c>
      <c r="C1836">
        <v>3.0000000000000001E-3</v>
      </c>
    </row>
    <row r="1837" spans="1:3" x14ac:dyDescent="0.25">
      <c r="A1837">
        <v>1836</v>
      </c>
      <c r="B1837" t="s">
        <v>2951</v>
      </c>
      <c r="C1837">
        <v>3.0000000000000001E-3</v>
      </c>
    </row>
    <row r="1838" spans="1:3" x14ac:dyDescent="0.25">
      <c r="A1838">
        <v>1837</v>
      </c>
      <c r="B1838" t="s">
        <v>2952</v>
      </c>
      <c r="C1838">
        <v>3.0000000000000001E-3</v>
      </c>
    </row>
    <row r="1839" spans="1:3" x14ac:dyDescent="0.25">
      <c r="A1839">
        <v>1838</v>
      </c>
      <c r="B1839" t="s">
        <v>2953</v>
      </c>
      <c r="C1839">
        <v>3.0000000000000001E-3</v>
      </c>
    </row>
    <row r="1840" spans="1:3" x14ac:dyDescent="0.25">
      <c r="A1840">
        <v>1839</v>
      </c>
      <c r="B1840" t="s">
        <v>2954</v>
      </c>
      <c r="C1840">
        <v>3.0000000000000001E-3</v>
      </c>
    </row>
    <row r="1841" spans="1:3" x14ac:dyDescent="0.25">
      <c r="A1841">
        <v>1840</v>
      </c>
      <c r="B1841" t="s">
        <v>2955</v>
      </c>
      <c r="C1841">
        <v>3.0000000000000001E-3</v>
      </c>
    </row>
    <row r="1842" spans="1:3" x14ac:dyDescent="0.25">
      <c r="A1842">
        <v>1841</v>
      </c>
      <c r="B1842" t="s">
        <v>2956</v>
      </c>
      <c r="C1842">
        <v>3.0000000000000001E-3</v>
      </c>
    </row>
    <row r="1843" spans="1:3" x14ac:dyDescent="0.25">
      <c r="A1843">
        <v>1842</v>
      </c>
      <c r="B1843" t="s">
        <v>2957</v>
      </c>
      <c r="C1843">
        <v>3.0000000000000001E-3</v>
      </c>
    </row>
    <row r="1844" spans="1:3" x14ac:dyDescent="0.25">
      <c r="A1844">
        <v>1843</v>
      </c>
      <c r="B1844" t="s">
        <v>2958</v>
      </c>
      <c r="C1844">
        <v>3.0000000000000001E-3</v>
      </c>
    </row>
    <row r="1845" spans="1:3" x14ac:dyDescent="0.25">
      <c r="A1845">
        <v>1844</v>
      </c>
      <c r="B1845" t="s">
        <v>2959</v>
      </c>
      <c r="C1845">
        <v>3.0000000000000001E-3</v>
      </c>
    </row>
    <row r="1846" spans="1:3" x14ac:dyDescent="0.25">
      <c r="A1846">
        <v>1845</v>
      </c>
      <c r="B1846" t="s">
        <v>2960</v>
      </c>
      <c r="C1846">
        <v>3.0000000000000001E-3</v>
      </c>
    </row>
    <row r="1847" spans="1:3" x14ac:dyDescent="0.25">
      <c r="A1847">
        <v>1846</v>
      </c>
      <c r="B1847" t="s">
        <v>2961</v>
      </c>
      <c r="C1847">
        <v>3.0000000000000001E-3</v>
      </c>
    </row>
    <row r="1848" spans="1:3" x14ac:dyDescent="0.25">
      <c r="A1848">
        <v>1847</v>
      </c>
      <c r="B1848" t="s">
        <v>2962</v>
      </c>
      <c r="C1848">
        <v>3.0000000000000001E-3</v>
      </c>
    </row>
    <row r="1849" spans="1:3" x14ac:dyDescent="0.25">
      <c r="A1849">
        <v>1848</v>
      </c>
      <c r="B1849" t="s">
        <v>2963</v>
      </c>
      <c r="C1849">
        <v>3.0000000000000001E-3</v>
      </c>
    </row>
    <row r="1850" spans="1:3" x14ac:dyDescent="0.25">
      <c r="A1850">
        <v>1849</v>
      </c>
      <c r="B1850" t="s">
        <v>2964</v>
      </c>
      <c r="C1850">
        <v>3.0000000000000001E-3</v>
      </c>
    </row>
    <row r="1851" spans="1:3" x14ac:dyDescent="0.25">
      <c r="A1851">
        <v>1850</v>
      </c>
      <c r="B1851" t="s">
        <v>2965</v>
      </c>
      <c r="C1851">
        <v>3.0000000000000001E-3</v>
      </c>
    </row>
    <row r="1852" spans="1:3" x14ac:dyDescent="0.25">
      <c r="A1852">
        <v>1851</v>
      </c>
      <c r="B1852" t="s">
        <v>2966</v>
      </c>
      <c r="C1852">
        <v>3.0000000000000001E-3</v>
      </c>
    </row>
    <row r="1853" spans="1:3" x14ac:dyDescent="0.25">
      <c r="A1853">
        <v>1852</v>
      </c>
      <c r="B1853" t="s">
        <v>2967</v>
      </c>
      <c r="C1853">
        <v>3.0000000000000001E-3</v>
      </c>
    </row>
    <row r="1854" spans="1:3" x14ac:dyDescent="0.25">
      <c r="A1854">
        <v>1853</v>
      </c>
      <c r="B1854" t="s">
        <v>2968</v>
      </c>
      <c r="C1854">
        <v>3.0000000000000001E-3</v>
      </c>
    </row>
    <row r="1855" spans="1:3" x14ac:dyDescent="0.25">
      <c r="A1855">
        <v>1854</v>
      </c>
      <c r="B1855" t="s">
        <v>2969</v>
      </c>
      <c r="C1855">
        <v>3.0000000000000001E-3</v>
      </c>
    </row>
    <row r="1856" spans="1:3" x14ac:dyDescent="0.25">
      <c r="A1856">
        <v>1855</v>
      </c>
      <c r="B1856" t="s">
        <v>2970</v>
      </c>
      <c r="C1856">
        <v>3.0000000000000001E-3</v>
      </c>
    </row>
    <row r="1857" spans="1:3" x14ac:dyDescent="0.25">
      <c r="A1857">
        <v>1856</v>
      </c>
      <c r="B1857" t="s">
        <v>2971</v>
      </c>
      <c r="C1857">
        <v>3.0000000000000001E-3</v>
      </c>
    </row>
    <row r="1858" spans="1:3" x14ac:dyDescent="0.25">
      <c r="A1858">
        <v>1857</v>
      </c>
      <c r="B1858" t="s">
        <v>2972</v>
      </c>
      <c r="C1858">
        <v>3.0000000000000001E-3</v>
      </c>
    </row>
    <row r="1859" spans="1:3" x14ac:dyDescent="0.25">
      <c r="A1859">
        <v>1858</v>
      </c>
      <c r="B1859" t="s">
        <v>2973</v>
      </c>
      <c r="C1859">
        <v>3.0000000000000001E-3</v>
      </c>
    </row>
    <row r="1860" spans="1:3" x14ac:dyDescent="0.25">
      <c r="A1860">
        <v>1859</v>
      </c>
      <c r="B1860" t="s">
        <v>2974</v>
      </c>
      <c r="C1860">
        <v>3.0000000000000001E-3</v>
      </c>
    </row>
    <row r="1861" spans="1:3" x14ac:dyDescent="0.25">
      <c r="A1861">
        <v>1860</v>
      </c>
      <c r="B1861" t="s">
        <v>2975</v>
      </c>
      <c r="C1861">
        <v>3.0000000000000001E-3</v>
      </c>
    </row>
    <row r="1862" spans="1:3" x14ac:dyDescent="0.25">
      <c r="A1862">
        <v>1861</v>
      </c>
      <c r="B1862" t="s">
        <v>2976</v>
      </c>
      <c r="C1862">
        <v>3.0000000000000001E-3</v>
      </c>
    </row>
    <row r="1863" spans="1:3" x14ac:dyDescent="0.25">
      <c r="A1863">
        <v>1862</v>
      </c>
      <c r="B1863" t="s">
        <v>2977</v>
      </c>
      <c r="C1863">
        <v>3.0000000000000001E-3</v>
      </c>
    </row>
    <row r="1864" spans="1:3" x14ac:dyDescent="0.25">
      <c r="A1864">
        <v>1863</v>
      </c>
      <c r="B1864" t="s">
        <v>2978</v>
      </c>
      <c r="C1864">
        <v>3.0000000000000001E-3</v>
      </c>
    </row>
    <row r="1865" spans="1:3" x14ac:dyDescent="0.25">
      <c r="A1865">
        <v>1864</v>
      </c>
      <c r="B1865" t="s">
        <v>2979</v>
      </c>
      <c r="C1865">
        <v>3.0000000000000001E-3</v>
      </c>
    </row>
    <row r="1866" spans="1:3" x14ac:dyDescent="0.25">
      <c r="A1866">
        <v>1865</v>
      </c>
      <c r="B1866" t="s">
        <v>2980</v>
      </c>
      <c r="C1866">
        <v>3.0000000000000001E-3</v>
      </c>
    </row>
    <row r="1867" spans="1:3" x14ac:dyDescent="0.25">
      <c r="A1867">
        <v>1866</v>
      </c>
      <c r="B1867" t="s">
        <v>2981</v>
      </c>
      <c r="C1867">
        <v>3.0000000000000001E-3</v>
      </c>
    </row>
    <row r="1868" spans="1:3" x14ac:dyDescent="0.25">
      <c r="A1868">
        <v>1867</v>
      </c>
      <c r="B1868" t="s">
        <v>2982</v>
      </c>
      <c r="C1868">
        <v>3.0000000000000001E-3</v>
      </c>
    </row>
    <row r="1869" spans="1:3" x14ac:dyDescent="0.25">
      <c r="A1869">
        <v>1868</v>
      </c>
      <c r="B1869" t="s">
        <v>2983</v>
      </c>
      <c r="C1869">
        <v>3.0000000000000001E-3</v>
      </c>
    </row>
    <row r="1870" spans="1:3" x14ac:dyDescent="0.25">
      <c r="A1870">
        <v>1869</v>
      </c>
      <c r="B1870" t="s">
        <v>2984</v>
      </c>
      <c r="C1870">
        <v>3.0000000000000001E-3</v>
      </c>
    </row>
    <row r="1871" spans="1:3" x14ac:dyDescent="0.25">
      <c r="A1871">
        <v>1870</v>
      </c>
      <c r="B1871" t="s">
        <v>2985</v>
      </c>
      <c r="C1871">
        <v>3.0000000000000001E-3</v>
      </c>
    </row>
    <row r="1872" spans="1:3" x14ac:dyDescent="0.25">
      <c r="A1872">
        <v>1871</v>
      </c>
      <c r="B1872" t="s">
        <v>2986</v>
      </c>
      <c r="C1872">
        <v>3.0000000000000001E-3</v>
      </c>
    </row>
    <row r="1873" spans="1:3" x14ac:dyDescent="0.25">
      <c r="A1873">
        <v>1872</v>
      </c>
      <c r="B1873" t="s">
        <v>2987</v>
      </c>
      <c r="C1873">
        <v>3.0000000000000001E-3</v>
      </c>
    </row>
    <row r="1874" spans="1:3" x14ac:dyDescent="0.25">
      <c r="A1874">
        <v>1873</v>
      </c>
      <c r="B1874" t="s">
        <v>2988</v>
      </c>
      <c r="C1874">
        <v>3.0000000000000001E-3</v>
      </c>
    </row>
    <row r="1875" spans="1:3" x14ac:dyDescent="0.25">
      <c r="A1875">
        <v>1874</v>
      </c>
      <c r="B1875" t="s">
        <v>2989</v>
      </c>
      <c r="C1875">
        <v>3.0000000000000001E-3</v>
      </c>
    </row>
    <row r="1876" spans="1:3" x14ac:dyDescent="0.25">
      <c r="A1876">
        <v>1875</v>
      </c>
      <c r="B1876" t="s">
        <v>2990</v>
      </c>
      <c r="C1876">
        <v>3.0000000000000001E-3</v>
      </c>
    </row>
    <row r="1877" spans="1:3" x14ac:dyDescent="0.25">
      <c r="A1877">
        <v>1876</v>
      </c>
      <c r="B1877" t="s">
        <v>2991</v>
      </c>
      <c r="C1877">
        <v>3.0000000000000001E-3</v>
      </c>
    </row>
    <row r="1878" spans="1:3" x14ac:dyDescent="0.25">
      <c r="A1878">
        <v>1877</v>
      </c>
      <c r="B1878" t="s">
        <v>2992</v>
      </c>
      <c r="C1878">
        <v>3.0000000000000001E-3</v>
      </c>
    </row>
    <row r="1879" spans="1:3" x14ac:dyDescent="0.25">
      <c r="A1879">
        <v>1878</v>
      </c>
      <c r="B1879" t="s">
        <v>2993</v>
      </c>
      <c r="C1879">
        <v>3.0000000000000001E-3</v>
      </c>
    </row>
    <row r="1880" spans="1:3" x14ac:dyDescent="0.25">
      <c r="A1880">
        <v>1879</v>
      </c>
      <c r="B1880" t="s">
        <v>2994</v>
      </c>
      <c r="C1880">
        <v>3.0000000000000001E-3</v>
      </c>
    </row>
    <row r="1881" spans="1:3" x14ac:dyDescent="0.25">
      <c r="A1881">
        <v>1880</v>
      </c>
      <c r="B1881" t="s">
        <v>2995</v>
      </c>
      <c r="C1881">
        <v>3.0000000000000001E-3</v>
      </c>
    </row>
    <row r="1882" spans="1:3" x14ac:dyDescent="0.25">
      <c r="A1882">
        <v>1881</v>
      </c>
      <c r="B1882" t="s">
        <v>2996</v>
      </c>
      <c r="C1882">
        <v>3.0000000000000001E-3</v>
      </c>
    </row>
    <row r="1883" spans="1:3" x14ac:dyDescent="0.25">
      <c r="A1883">
        <v>1882</v>
      </c>
      <c r="B1883" t="s">
        <v>2997</v>
      </c>
      <c r="C1883">
        <v>3.0000000000000001E-3</v>
      </c>
    </row>
    <row r="1884" spans="1:3" x14ac:dyDescent="0.25">
      <c r="A1884">
        <v>1883</v>
      </c>
      <c r="B1884" t="s">
        <v>2998</v>
      </c>
      <c r="C1884">
        <v>3.0000000000000001E-3</v>
      </c>
    </row>
    <row r="1885" spans="1:3" x14ac:dyDescent="0.25">
      <c r="A1885">
        <v>1884</v>
      </c>
      <c r="B1885" t="s">
        <v>2999</v>
      </c>
      <c r="C1885">
        <v>3.0000000000000001E-3</v>
      </c>
    </row>
    <row r="1886" spans="1:3" x14ac:dyDescent="0.25">
      <c r="A1886">
        <v>1885</v>
      </c>
      <c r="B1886" t="s">
        <v>3000</v>
      </c>
      <c r="C1886">
        <v>3.0000000000000001E-3</v>
      </c>
    </row>
    <row r="1887" spans="1:3" x14ac:dyDescent="0.25">
      <c r="A1887">
        <v>1886</v>
      </c>
      <c r="B1887" t="s">
        <v>3001</v>
      </c>
      <c r="C1887">
        <v>3.0000000000000001E-3</v>
      </c>
    </row>
    <row r="1888" spans="1:3" x14ac:dyDescent="0.25">
      <c r="A1888">
        <v>1887</v>
      </c>
      <c r="B1888" t="s">
        <v>3002</v>
      </c>
      <c r="C1888">
        <v>3.0000000000000001E-3</v>
      </c>
    </row>
    <row r="1889" spans="1:3" x14ac:dyDescent="0.25">
      <c r="A1889">
        <v>1888</v>
      </c>
      <c r="B1889" t="s">
        <v>3003</v>
      </c>
      <c r="C1889">
        <v>3.0000000000000001E-3</v>
      </c>
    </row>
    <row r="1890" spans="1:3" x14ac:dyDescent="0.25">
      <c r="A1890">
        <v>1889</v>
      </c>
      <c r="B1890" t="s">
        <v>3004</v>
      </c>
      <c r="C1890">
        <v>3.0000000000000001E-3</v>
      </c>
    </row>
    <row r="1891" spans="1:3" x14ac:dyDescent="0.25">
      <c r="A1891">
        <v>1890</v>
      </c>
      <c r="B1891" t="s">
        <v>3005</v>
      </c>
      <c r="C1891">
        <v>3.0000000000000001E-3</v>
      </c>
    </row>
    <row r="1892" spans="1:3" x14ac:dyDescent="0.25">
      <c r="A1892">
        <v>1891</v>
      </c>
      <c r="B1892" t="s">
        <v>3006</v>
      </c>
      <c r="C1892">
        <v>3.0000000000000001E-3</v>
      </c>
    </row>
    <row r="1893" spans="1:3" x14ac:dyDescent="0.25">
      <c r="A1893">
        <v>1892</v>
      </c>
      <c r="B1893" t="s">
        <v>3007</v>
      </c>
      <c r="C1893">
        <v>3.0000000000000001E-3</v>
      </c>
    </row>
    <row r="1894" spans="1:3" x14ac:dyDescent="0.25">
      <c r="A1894">
        <v>1893</v>
      </c>
      <c r="B1894" t="s">
        <v>3008</v>
      </c>
      <c r="C1894">
        <v>3.0000000000000001E-3</v>
      </c>
    </row>
    <row r="1895" spans="1:3" x14ac:dyDescent="0.25">
      <c r="A1895">
        <v>1894</v>
      </c>
      <c r="B1895" t="s">
        <v>3009</v>
      </c>
      <c r="C1895">
        <v>3.0000000000000001E-3</v>
      </c>
    </row>
    <row r="1896" spans="1:3" x14ac:dyDescent="0.25">
      <c r="A1896">
        <v>1895</v>
      </c>
      <c r="B1896" t="s">
        <v>3010</v>
      </c>
      <c r="C1896">
        <v>3.0000000000000001E-3</v>
      </c>
    </row>
    <row r="1897" spans="1:3" x14ac:dyDescent="0.25">
      <c r="A1897">
        <v>1896</v>
      </c>
      <c r="B1897" t="s">
        <v>3011</v>
      </c>
      <c r="C1897">
        <v>3.0000000000000001E-3</v>
      </c>
    </row>
    <row r="1898" spans="1:3" x14ac:dyDescent="0.25">
      <c r="A1898">
        <v>1897</v>
      </c>
      <c r="B1898" t="s">
        <v>3012</v>
      </c>
      <c r="C1898">
        <v>3.0000000000000001E-3</v>
      </c>
    </row>
    <row r="1899" spans="1:3" x14ac:dyDescent="0.25">
      <c r="A1899">
        <v>1898</v>
      </c>
      <c r="B1899" t="s">
        <v>3013</v>
      </c>
      <c r="C1899">
        <v>3.0000000000000001E-3</v>
      </c>
    </row>
    <row r="1900" spans="1:3" x14ac:dyDescent="0.25">
      <c r="A1900">
        <v>1899</v>
      </c>
      <c r="B1900" t="s">
        <v>3014</v>
      </c>
      <c r="C1900">
        <v>3.0000000000000001E-3</v>
      </c>
    </row>
    <row r="1901" spans="1:3" x14ac:dyDescent="0.25">
      <c r="A1901">
        <v>1900</v>
      </c>
      <c r="B1901" t="s">
        <v>3015</v>
      </c>
      <c r="C1901">
        <v>3.0000000000000001E-3</v>
      </c>
    </row>
    <row r="1902" spans="1:3" x14ac:dyDescent="0.25">
      <c r="A1902">
        <v>1901</v>
      </c>
      <c r="B1902" t="s">
        <v>3016</v>
      </c>
      <c r="C1902">
        <v>3.0000000000000001E-3</v>
      </c>
    </row>
    <row r="1903" spans="1:3" x14ac:dyDescent="0.25">
      <c r="A1903">
        <v>1902</v>
      </c>
      <c r="B1903" t="s">
        <v>3017</v>
      </c>
      <c r="C1903">
        <v>3.0000000000000001E-3</v>
      </c>
    </row>
    <row r="1904" spans="1:3" x14ac:dyDescent="0.25">
      <c r="A1904">
        <v>1903</v>
      </c>
      <c r="B1904" t="s">
        <v>3018</v>
      </c>
      <c r="C1904">
        <v>3.0000000000000001E-3</v>
      </c>
    </row>
    <row r="1905" spans="1:3" x14ac:dyDescent="0.25">
      <c r="A1905">
        <v>1904</v>
      </c>
      <c r="B1905" t="s">
        <v>3019</v>
      </c>
      <c r="C1905">
        <v>3.0000000000000001E-3</v>
      </c>
    </row>
    <row r="1906" spans="1:3" x14ac:dyDescent="0.25">
      <c r="A1906">
        <v>1905</v>
      </c>
      <c r="B1906" t="s">
        <v>3020</v>
      </c>
      <c r="C1906">
        <v>3.0000000000000001E-3</v>
      </c>
    </row>
    <row r="1907" spans="1:3" x14ac:dyDescent="0.25">
      <c r="A1907">
        <v>1906</v>
      </c>
      <c r="B1907" t="s">
        <v>3021</v>
      </c>
      <c r="C1907">
        <v>3.0000000000000001E-3</v>
      </c>
    </row>
    <row r="1908" spans="1:3" x14ac:dyDescent="0.25">
      <c r="A1908">
        <v>1907</v>
      </c>
      <c r="B1908" t="s">
        <v>3022</v>
      </c>
      <c r="C1908">
        <v>3.0000000000000001E-3</v>
      </c>
    </row>
    <row r="1909" spans="1:3" x14ac:dyDescent="0.25">
      <c r="A1909">
        <v>1908</v>
      </c>
      <c r="B1909" t="s">
        <v>3023</v>
      </c>
      <c r="C1909">
        <v>3.0000000000000001E-3</v>
      </c>
    </row>
    <row r="1910" spans="1:3" x14ac:dyDescent="0.25">
      <c r="A1910">
        <v>1909</v>
      </c>
      <c r="B1910" t="s">
        <v>3024</v>
      </c>
      <c r="C1910">
        <v>3.0000000000000001E-3</v>
      </c>
    </row>
    <row r="1911" spans="1:3" x14ac:dyDescent="0.25">
      <c r="A1911">
        <v>1910</v>
      </c>
      <c r="B1911" t="s">
        <v>3025</v>
      </c>
      <c r="C1911">
        <v>3.0000000000000001E-3</v>
      </c>
    </row>
    <row r="1912" spans="1:3" x14ac:dyDescent="0.25">
      <c r="A1912">
        <v>1911</v>
      </c>
      <c r="B1912" t="s">
        <v>3026</v>
      </c>
      <c r="C1912">
        <v>3.0000000000000001E-3</v>
      </c>
    </row>
    <row r="1913" spans="1:3" x14ac:dyDescent="0.25">
      <c r="A1913">
        <v>1912</v>
      </c>
      <c r="B1913" t="s">
        <v>3027</v>
      </c>
      <c r="C1913">
        <v>3.0000000000000001E-3</v>
      </c>
    </row>
    <row r="1914" spans="1:3" x14ac:dyDescent="0.25">
      <c r="A1914">
        <v>1913</v>
      </c>
      <c r="B1914" t="s">
        <v>3028</v>
      </c>
      <c r="C1914">
        <v>3.0000000000000001E-3</v>
      </c>
    </row>
    <row r="1915" spans="1:3" x14ac:dyDescent="0.25">
      <c r="A1915">
        <v>1914</v>
      </c>
      <c r="B1915" t="s">
        <v>3029</v>
      </c>
      <c r="C1915">
        <v>3.0000000000000001E-3</v>
      </c>
    </row>
    <row r="1916" spans="1:3" x14ac:dyDescent="0.25">
      <c r="A1916">
        <v>1915</v>
      </c>
      <c r="B1916" t="s">
        <v>3030</v>
      </c>
      <c r="C1916">
        <v>3.0000000000000001E-3</v>
      </c>
    </row>
    <row r="1917" spans="1:3" x14ac:dyDescent="0.25">
      <c r="A1917">
        <v>1916</v>
      </c>
      <c r="B1917" t="s">
        <v>3031</v>
      </c>
      <c r="C1917">
        <v>3.0000000000000001E-3</v>
      </c>
    </row>
    <row r="1918" spans="1:3" x14ac:dyDescent="0.25">
      <c r="A1918">
        <v>1917</v>
      </c>
      <c r="B1918" t="s">
        <v>3032</v>
      </c>
      <c r="C1918">
        <v>3.0000000000000001E-3</v>
      </c>
    </row>
    <row r="1919" spans="1:3" x14ac:dyDescent="0.25">
      <c r="A1919">
        <v>1918</v>
      </c>
      <c r="B1919" t="s">
        <v>3033</v>
      </c>
      <c r="C1919">
        <v>3.0000000000000001E-3</v>
      </c>
    </row>
    <row r="1920" spans="1:3" x14ac:dyDescent="0.25">
      <c r="A1920">
        <v>1919</v>
      </c>
      <c r="B1920" t="s">
        <v>3034</v>
      </c>
      <c r="C1920">
        <v>3.0000000000000001E-3</v>
      </c>
    </row>
    <row r="1921" spans="1:3" x14ac:dyDescent="0.25">
      <c r="A1921">
        <v>1920</v>
      </c>
      <c r="B1921" t="s">
        <v>3035</v>
      </c>
      <c r="C1921">
        <v>3.0000000000000001E-3</v>
      </c>
    </row>
    <row r="1922" spans="1:3" x14ac:dyDescent="0.25">
      <c r="A1922">
        <v>1921</v>
      </c>
      <c r="B1922" t="s">
        <v>3036</v>
      </c>
      <c r="C1922">
        <v>3.0000000000000001E-3</v>
      </c>
    </row>
    <row r="1923" spans="1:3" x14ac:dyDescent="0.25">
      <c r="A1923">
        <v>1922</v>
      </c>
      <c r="B1923" t="s">
        <v>3037</v>
      </c>
      <c r="C1923">
        <v>3.0000000000000001E-3</v>
      </c>
    </row>
    <row r="1924" spans="1:3" x14ac:dyDescent="0.25">
      <c r="A1924">
        <v>1923</v>
      </c>
      <c r="B1924" t="s">
        <v>3038</v>
      </c>
      <c r="C1924">
        <v>3.0000000000000001E-3</v>
      </c>
    </row>
    <row r="1925" spans="1:3" x14ac:dyDescent="0.25">
      <c r="A1925">
        <v>1924</v>
      </c>
      <c r="B1925" t="s">
        <v>3039</v>
      </c>
      <c r="C1925">
        <v>3.0000000000000001E-3</v>
      </c>
    </row>
    <row r="1926" spans="1:3" x14ac:dyDescent="0.25">
      <c r="A1926">
        <v>1925</v>
      </c>
      <c r="B1926" t="s">
        <v>3040</v>
      </c>
      <c r="C1926">
        <v>3.0000000000000001E-3</v>
      </c>
    </row>
    <row r="1927" spans="1:3" x14ac:dyDescent="0.25">
      <c r="A1927">
        <v>1926</v>
      </c>
      <c r="B1927" t="s">
        <v>3041</v>
      </c>
      <c r="C1927">
        <v>3.0000000000000001E-3</v>
      </c>
    </row>
    <row r="1928" spans="1:3" x14ac:dyDescent="0.25">
      <c r="A1928">
        <v>1927</v>
      </c>
      <c r="B1928" t="s">
        <v>3042</v>
      </c>
      <c r="C1928">
        <v>3.0000000000000001E-3</v>
      </c>
    </row>
    <row r="1929" spans="1:3" x14ac:dyDescent="0.25">
      <c r="A1929">
        <v>1928</v>
      </c>
      <c r="B1929" t="s">
        <v>3043</v>
      </c>
      <c r="C1929">
        <v>3.0000000000000001E-3</v>
      </c>
    </row>
    <row r="1930" spans="1:3" x14ac:dyDescent="0.25">
      <c r="A1930">
        <v>1929</v>
      </c>
      <c r="B1930" t="s">
        <v>3044</v>
      </c>
      <c r="C1930">
        <v>3.0000000000000001E-3</v>
      </c>
    </row>
    <row r="1931" spans="1:3" x14ac:dyDescent="0.25">
      <c r="A1931">
        <v>1930</v>
      </c>
      <c r="B1931" t="s">
        <v>3045</v>
      </c>
      <c r="C1931">
        <v>3.0000000000000001E-3</v>
      </c>
    </row>
    <row r="1932" spans="1:3" x14ac:dyDescent="0.25">
      <c r="A1932">
        <v>1931</v>
      </c>
      <c r="B1932" t="s">
        <v>3046</v>
      </c>
      <c r="C1932">
        <v>3.0000000000000001E-3</v>
      </c>
    </row>
    <row r="1933" spans="1:3" x14ac:dyDescent="0.25">
      <c r="A1933">
        <v>1932</v>
      </c>
      <c r="B1933" t="s">
        <v>3047</v>
      </c>
      <c r="C1933">
        <v>3.0000000000000001E-3</v>
      </c>
    </row>
    <row r="1934" spans="1:3" x14ac:dyDescent="0.25">
      <c r="A1934">
        <v>1933</v>
      </c>
      <c r="B1934" t="s">
        <v>3048</v>
      </c>
      <c r="C1934">
        <v>3.0000000000000001E-3</v>
      </c>
    </row>
    <row r="1935" spans="1:3" x14ac:dyDescent="0.25">
      <c r="A1935">
        <v>1934</v>
      </c>
      <c r="B1935" t="s">
        <v>3049</v>
      </c>
      <c r="C1935">
        <v>3.0000000000000001E-3</v>
      </c>
    </row>
    <row r="1936" spans="1:3" x14ac:dyDescent="0.25">
      <c r="A1936">
        <v>1935</v>
      </c>
      <c r="B1936" t="s">
        <v>3050</v>
      </c>
      <c r="C1936">
        <v>3.0000000000000001E-3</v>
      </c>
    </row>
    <row r="1937" spans="1:3" x14ac:dyDescent="0.25">
      <c r="A1937">
        <v>1936</v>
      </c>
      <c r="B1937" t="s">
        <v>3051</v>
      </c>
      <c r="C1937">
        <v>3.0000000000000001E-3</v>
      </c>
    </row>
    <row r="1938" spans="1:3" x14ac:dyDescent="0.25">
      <c r="A1938">
        <v>1937</v>
      </c>
      <c r="B1938" t="s">
        <v>3052</v>
      </c>
      <c r="C1938">
        <v>3.0000000000000001E-3</v>
      </c>
    </row>
    <row r="1939" spans="1:3" x14ac:dyDescent="0.25">
      <c r="A1939">
        <v>1938</v>
      </c>
      <c r="B1939" t="s">
        <v>3053</v>
      </c>
      <c r="C1939">
        <v>3.0000000000000001E-3</v>
      </c>
    </row>
    <row r="1940" spans="1:3" x14ac:dyDescent="0.25">
      <c r="A1940">
        <v>1939</v>
      </c>
      <c r="B1940" t="s">
        <v>3054</v>
      </c>
      <c r="C1940">
        <v>3.0000000000000001E-3</v>
      </c>
    </row>
    <row r="1941" spans="1:3" x14ac:dyDescent="0.25">
      <c r="A1941">
        <v>1940</v>
      </c>
      <c r="B1941" t="s">
        <v>3055</v>
      </c>
      <c r="C1941">
        <v>3.0000000000000001E-3</v>
      </c>
    </row>
    <row r="1942" spans="1:3" x14ac:dyDescent="0.25">
      <c r="A1942">
        <v>1941</v>
      </c>
      <c r="B1942" t="s">
        <v>3056</v>
      </c>
      <c r="C1942">
        <v>3.0000000000000001E-3</v>
      </c>
    </row>
    <row r="1943" spans="1:3" x14ac:dyDescent="0.25">
      <c r="A1943">
        <v>1942</v>
      </c>
      <c r="B1943" t="s">
        <v>3057</v>
      </c>
      <c r="C1943">
        <v>3.0000000000000001E-3</v>
      </c>
    </row>
    <row r="1944" spans="1:3" x14ac:dyDescent="0.25">
      <c r="A1944">
        <v>1943</v>
      </c>
      <c r="B1944" t="s">
        <v>3058</v>
      </c>
      <c r="C1944">
        <v>3.0000000000000001E-3</v>
      </c>
    </row>
    <row r="1945" spans="1:3" x14ac:dyDescent="0.25">
      <c r="A1945">
        <v>1944</v>
      </c>
      <c r="B1945" t="s">
        <v>3059</v>
      </c>
      <c r="C1945">
        <v>3.0000000000000001E-3</v>
      </c>
    </row>
    <row r="1946" spans="1:3" x14ac:dyDescent="0.25">
      <c r="A1946">
        <v>1945</v>
      </c>
      <c r="B1946" t="s">
        <v>3060</v>
      </c>
      <c r="C1946">
        <v>3.0000000000000001E-3</v>
      </c>
    </row>
    <row r="1947" spans="1:3" x14ac:dyDescent="0.25">
      <c r="A1947">
        <v>1946</v>
      </c>
      <c r="B1947" t="s">
        <v>3061</v>
      </c>
      <c r="C1947">
        <v>3.0000000000000001E-3</v>
      </c>
    </row>
    <row r="1948" spans="1:3" x14ac:dyDescent="0.25">
      <c r="A1948">
        <v>1947</v>
      </c>
      <c r="B1948" t="s">
        <v>3062</v>
      </c>
      <c r="C1948">
        <v>3.0000000000000001E-3</v>
      </c>
    </row>
    <row r="1949" spans="1:3" x14ac:dyDescent="0.25">
      <c r="A1949">
        <v>1948</v>
      </c>
      <c r="B1949" t="s">
        <v>3063</v>
      </c>
      <c r="C1949">
        <v>3.0000000000000001E-3</v>
      </c>
    </row>
    <row r="1950" spans="1:3" x14ac:dyDescent="0.25">
      <c r="A1950">
        <v>1949</v>
      </c>
      <c r="B1950" t="s">
        <v>3064</v>
      </c>
      <c r="C1950">
        <v>3.0000000000000001E-3</v>
      </c>
    </row>
    <row r="1951" spans="1:3" x14ac:dyDescent="0.25">
      <c r="A1951">
        <v>1950</v>
      </c>
      <c r="B1951" t="s">
        <v>3065</v>
      </c>
      <c r="C1951">
        <v>3.0000000000000001E-3</v>
      </c>
    </row>
    <row r="1952" spans="1:3" x14ac:dyDescent="0.25">
      <c r="A1952">
        <v>1951</v>
      </c>
      <c r="B1952" t="s">
        <v>3066</v>
      </c>
      <c r="C1952">
        <v>3.0000000000000001E-3</v>
      </c>
    </row>
    <row r="1953" spans="1:3" x14ac:dyDescent="0.25">
      <c r="A1953">
        <v>1952</v>
      </c>
      <c r="B1953" t="s">
        <v>3067</v>
      </c>
      <c r="C1953">
        <v>3.0000000000000001E-3</v>
      </c>
    </row>
    <row r="1954" spans="1:3" x14ac:dyDescent="0.25">
      <c r="A1954">
        <v>1953</v>
      </c>
      <c r="B1954" t="s">
        <v>3068</v>
      </c>
      <c r="C1954">
        <v>3.0000000000000001E-3</v>
      </c>
    </row>
    <row r="1955" spans="1:3" x14ac:dyDescent="0.25">
      <c r="A1955">
        <v>1954</v>
      </c>
      <c r="B1955" t="s">
        <v>3069</v>
      </c>
      <c r="C1955">
        <v>3.0000000000000001E-3</v>
      </c>
    </row>
    <row r="1956" spans="1:3" x14ac:dyDescent="0.25">
      <c r="A1956">
        <v>1955</v>
      </c>
      <c r="B1956" t="s">
        <v>3070</v>
      </c>
      <c r="C1956">
        <v>3.0000000000000001E-3</v>
      </c>
    </row>
    <row r="1957" spans="1:3" x14ac:dyDescent="0.25">
      <c r="A1957">
        <v>1956</v>
      </c>
      <c r="B1957" t="s">
        <v>3071</v>
      </c>
      <c r="C1957">
        <v>3.0000000000000001E-3</v>
      </c>
    </row>
    <row r="1958" spans="1:3" x14ac:dyDescent="0.25">
      <c r="A1958">
        <v>1957</v>
      </c>
      <c r="B1958" t="s">
        <v>3072</v>
      </c>
      <c r="C1958">
        <v>3.0000000000000001E-3</v>
      </c>
    </row>
    <row r="1959" spans="1:3" x14ac:dyDescent="0.25">
      <c r="A1959">
        <v>1958</v>
      </c>
      <c r="B1959" t="s">
        <v>3073</v>
      </c>
      <c r="C1959">
        <v>3.0000000000000001E-3</v>
      </c>
    </row>
    <row r="1960" spans="1:3" x14ac:dyDescent="0.25">
      <c r="A1960">
        <v>1959</v>
      </c>
      <c r="B1960" t="s">
        <v>3074</v>
      </c>
      <c r="C1960">
        <v>3.0000000000000001E-3</v>
      </c>
    </row>
    <row r="1961" spans="1:3" x14ac:dyDescent="0.25">
      <c r="A1961">
        <v>1960</v>
      </c>
      <c r="B1961" t="s">
        <v>3075</v>
      </c>
      <c r="C1961">
        <v>3.0000000000000001E-3</v>
      </c>
    </row>
    <row r="1962" spans="1:3" x14ac:dyDescent="0.25">
      <c r="A1962">
        <v>1961</v>
      </c>
      <c r="B1962" t="s">
        <v>3076</v>
      </c>
      <c r="C1962">
        <v>3.0000000000000001E-3</v>
      </c>
    </row>
    <row r="1963" spans="1:3" x14ac:dyDescent="0.25">
      <c r="A1963">
        <v>1962</v>
      </c>
      <c r="B1963" t="s">
        <v>3077</v>
      </c>
      <c r="C1963">
        <v>3.0000000000000001E-3</v>
      </c>
    </row>
    <row r="1964" spans="1:3" x14ac:dyDescent="0.25">
      <c r="A1964">
        <v>1963</v>
      </c>
      <c r="B1964" t="s">
        <v>3078</v>
      </c>
      <c r="C1964">
        <v>3.0000000000000001E-3</v>
      </c>
    </row>
    <row r="1965" spans="1:3" x14ac:dyDescent="0.25">
      <c r="A1965">
        <v>1964</v>
      </c>
      <c r="B1965" t="s">
        <v>3079</v>
      </c>
      <c r="C1965">
        <v>3.0000000000000001E-3</v>
      </c>
    </row>
    <row r="1966" spans="1:3" x14ac:dyDescent="0.25">
      <c r="A1966">
        <v>1965</v>
      </c>
      <c r="B1966" t="s">
        <v>3080</v>
      </c>
      <c r="C1966">
        <v>3.0000000000000001E-3</v>
      </c>
    </row>
    <row r="1967" spans="1:3" x14ac:dyDescent="0.25">
      <c r="A1967">
        <v>1966</v>
      </c>
      <c r="B1967" t="s">
        <v>3081</v>
      </c>
      <c r="C1967">
        <v>3.0000000000000001E-3</v>
      </c>
    </row>
    <row r="1968" spans="1:3" x14ac:dyDescent="0.25">
      <c r="A1968">
        <v>1967</v>
      </c>
      <c r="B1968" t="s">
        <v>3082</v>
      </c>
      <c r="C1968">
        <v>3.0000000000000001E-3</v>
      </c>
    </row>
    <row r="1969" spans="1:3" x14ac:dyDescent="0.25">
      <c r="A1969">
        <v>1968</v>
      </c>
      <c r="B1969" t="s">
        <v>3083</v>
      </c>
      <c r="C1969">
        <v>3.0000000000000001E-3</v>
      </c>
    </row>
    <row r="1970" spans="1:3" x14ac:dyDescent="0.25">
      <c r="A1970">
        <v>1969</v>
      </c>
      <c r="B1970" t="s">
        <v>3084</v>
      </c>
      <c r="C1970">
        <v>3.0000000000000001E-3</v>
      </c>
    </row>
    <row r="1971" spans="1:3" x14ac:dyDescent="0.25">
      <c r="A1971">
        <v>1970</v>
      </c>
      <c r="B1971" t="s">
        <v>3085</v>
      </c>
      <c r="C1971">
        <v>3.0000000000000001E-3</v>
      </c>
    </row>
    <row r="1972" spans="1:3" x14ac:dyDescent="0.25">
      <c r="A1972">
        <v>1971</v>
      </c>
      <c r="B1972" t="s">
        <v>3086</v>
      </c>
      <c r="C1972">
        <v>3.0000000000000001E-3</v>
      </c>
    </row>
    <row r="1973" spans="1:3" x14ac:dyDescent="0.25">
      <c r="A1973">
        <v>1972</v>
      </c>
      <c r="B1973" t="s">
        <v>3087</v>
      </c>
      <c r="C1973">
        <v>3.0000000000000001E-3</v>
      </c>
    </row>
    <row r="1974" spans="1:3" x14ac:dyDescent="0.25">
      <c r="A1974">
        <v>1973</v>
      </c>
      <c r="B1974" t="s">
        <v>3088</v>
      </c>
      <c r="C1974">
        <v>3.0000000000000001E-3</v>
      </c>
    </row>
    <row r="1975" spans="1:3" x14ac:dyDescent="0.25">
      <c r="A1975">
        <v>1974</v>
      </c>
      <c r="B1975" t="s">
        <v>3089</v>
      </c>
      <c r="C1975">
        <v>3.0000000000000001E-3</v>
      </c>
    </row>
    <row r="1976" spans="1:3" x14ac:dyDescent="0.25">
      <c r="A1976">
        <v>1975</v>
      </c>
      <c r="B1976" t="s">
        <v>3090</v>
      </c>
      <c r="C1976">
        <v>3.0000000000000001E-3</v>
      </c>
    </row>
    <row r="1977" spans="1:3" x14ac:dyDescent="0.25">
      <c r="A1977">
        <v>1976</v>
      </c>
      <c r="B1977" t="s">
        <v>3091</v>
      </c>
      <c r="C1977">
        <v>3.0000000000000001E-3</v>
      </c>
    </row>
    <row r="1978" spans="1:3" x14ac:dyDescent="0.25">
      <c r="A1978">
        <v>1977</v>
      </c>
      <c r="B1978" t="s">
        <v>3092</v>
      </c>
      <c r="C1978">
        <v>3.0000000000000001E-3</v>
      </c>
    </row>
    <row r="1979" spans="1:3" x14ac:dyDescent="0.25">
      <c r="A1979">
        <v>1978</v>
      </c>
      <c r="B1979" t="s">
        <v>3093</v>
      </c>
      <c r="C1979">
        <v>3.0000000000000001E-3</v>
      </c>
    </row>
    <row r="1980" spans="1:3" x14ac:dyDescent="0.25">
      <c r="A1980">
        <v>1979</v>
      </c>
      <c r="B1980" t="s">
        <v>3094</v>
      </c>
      <c r="C1980">
        <v>3.0000000000000001E-3</v>
      </c>
    </row>
    <row r="1981" spans="1:3" x14ac:dyDescent="0.25">
      <c r="A1981">
        <v>1980</v>
      </c>
      <c r="B1981" t="s">
        <v>3095</v>
      </c>
      <c r="C1981">
        <v>3.0000000000000001E-3</v>
      </c>
    </row>
    <row r="1982" spans="1:3" x14ac:dyDescent="0.25">
      <c r="A1982">
        <v>1981</v>
      </c>
      <c r="B1982" t="s">
        <v>3096</v>
      </c>
      <c r="C1982">
        <v>3.0000000000000001E-3</v>
      </c>
    </row>
    <row r="1983" spans="1:3" x14ac:dyDescent="0.25">
      <c r="A1983">
        <v>1982</v>
      </c>
      <c r="B1983" t="s">
        <v>3097</v>
      </c>
      <c r="C1983">
        <v>3.0000000000000001E-3</v>
      </c>
    </row>
    <row r="1984" spans="1:3" x14ac:dyDescent="0.25">
      <c r="A1984">
        <v>1983</v>
      </c>
      <c r="B1984" t="s">
        <v>3098</v>
      </c>
      <c r="C1984">
        <v>3.0000000000000001E-3</v>
      </c>
    </row>
    <row r="1985" spans="1:3" x14ac:dyDescent="0.25">
      <c r="A1985">
        <v>1984</v>
      </c>
      <c r="B1985" t="s">
        <v>3099</v>
      </c>
      <c r="C1985">
        <v>3.0000000000000001E-3</v>
      </c>
    </row>
    <row r="1986" spans="1:3" x14ac:dyDescent="0.25">
      <c r="A1986">
        <v>1985</v>
      </c>
      <c r="B1986" t="s">
        <v>3100</v>
      </c>
      <c r="C1986">
        <v>3.0000000000000001E-3</v>
      </c>
    </row>
    <row r="1987" spans="1:3" x14ac:dyDescent="0.25">
      <c r="A1987">
        <v>1986</v>
      </c>
      <c r="B1987" t="s">
        <v>3101</v>
      </c>
      <c r="C1987">
        <v>3.0000000000000001E-3</v>
      </c>
    </row>
    <row r="1988" spans="1:3" x14ac:dyDescent="0.25">
      <c r="A1988">
        <v>1987</v>
      </c>
      <c r="B1988" t="s">
        <v>3102</v>
      </c>
      <c r="C1988">
        <v>3.0000000000000001E-3</v>
      </c>
    </row>
    <row r="1989" spans="1:3" x14ac:dyDescent="0.25">
      <c r="A1989">
        <v>1988</v>
      </c>
      <c r="B1989" t="s">
        <v>3103</v>
      </c>
      <c r="C1989">
        <v>3.0000000000000001E-3</v>
      </c>
    </row>
    <row r="1990" spans="1:3" x14ac:dyDescent="0.25">
      <c r="A1990">
        <v>1989</v>
      </c>
      <c r="B1990" t="s">
        <v>3104</v>
      </c>
      <c r="C1990">
        <v>3.0000000000000001E-3</v>
      </c>
    </row>
    <row r="1991" spans="1:3" x14ac:dyDescent="0.25">
      <c r="A1991">
        <v>1990</v>
      </c>
      <c r="B1991" t="s">
        <v>3105</v>
      </c>
      <c r="C1991">
        <v>3.0000000000000001E-3</v>
      </c>
    </row>
    <row r="1992" spans="1:3" x14ac:dyDescent="0.25">
      <c r="A1992">
        <v>1991</v>
      </c>
      <c r="B1992" t="s">
        <v>3106</v>
      </c>
      <c r="C1992">
        <v>3.0000000000000001E-3</v>
      </c>
    </row>
    <row r="1993" spans="1:3" x14ac:dyDescent="0.25">
      <c r="A1993">
        <v>1992</v>
      </c>
      <c r="B1993" t="s">
        <v>3107</v>
      </c>
      <c r="C1993">
        <v>3.0000000000000001E-3</v>
      </c>
    </row>
    <row r="1994" spans="1:3" x14ac:dyDescent="0.25">
      <c r="A1994">
        <v>1993</v>
      </c>
      <c r="B1994" t="s">
        <v>3108</v>
      </c>
      <c r="C1994">
        <v>3.0000000000000001E-3</v>
      </c>
    </row>
    <row r="1995" spans="1:3" x14ac:dyDescent="0.25">
      <c r="A1995">
        <v>1994</v>
      </c>
      <c r="B1995" t="s">
        <v>3109</v>
      </c>
      <c r="C1995">
        <v>3.0000000000000001E-3</v>
      </c>
    </row>
    <row r="1996" spans="1:3" x14ac:dyDescent="0.25">
      <c r="A1996">
        <v>1995</v>
      </c>
      <c r="B1996" t="s">
        <v>3110</v>
      </c>
      <c r="C1996">
        <v>3.0000000000000001E-3</v>
      </c>
    </row>
    <row r="1997" spans="1:3" x14ac:dyDescent="0.25">
      <c r="A1997">
        <v>1996</v>
      </c>
      <c r="B1997" t="s">
        <v>3111</v>
      </c>
      <c r="C1997">
        <v>3.0000000000000001E-3</v>
      </c>
    </row>
    <row r="1998" spans="1:3" x14ac:dyDescent="0.25">
      <c r="A1998">
        <v>1997</v>
      </c>
      <c r="B1998" t="s">
        <v>3112</v>
      </c>
      <c r="C1998">
        <v>3.0000000000000001E-3</v>
      </c>
    </row>
    <row r="1999" spans="1:3" x14ac:dyDescent="0.25">
      <c r="A1999">
        <v>1998</v>
      </c>
      <c r="B1999" t="s">
        <v>3113</v>
      </c>
      <c r="C1999">
        <v>3.0000000000000001E-3</v>
      </c>
    </row>
    <row r="2000" spans="1:3" x14ac:dyDescent="0.25">
      <c r="A2000">
        <v>1999</v>
      </c>
      <c r="B2000" t="s">
        <v>3114</v>
      </c>
      <c r="C2000">
        <v>3.0000000000000001E-3</v>
      </c>
    </row>
    <row r="2001" spans="1:3" x14ac:dyDescent="0.25">
      <c r="A2001">
        <v>2000</v>
      </c>
      <c r="B2001" t="s">
        <v>3115</v>
      </c>
      <c r="C2001">
        <v>3.0000000000000001E-3</v>
      </c>
    </row>
    <row r="2002" spans="1:3" x14ac:dyDescent="0.25">
      <c r="A2002">
        <v>2001</v>
      </c>
      <c r="B2002" t="s">
        <v>3116</v>
      </c>
      <c r="C2002">
        <v>3.0000000000000001E-3</v>
      </c>
    </row>
    <row r="2003" spans="1:3" x14ac:dyDescent="0.25">
      <c r="A2003">
        <v>2002</v>
      </c>
      <c r="B2003" t="s">
        <v>3117</v>
      </c>
      <c r="C2003">
        <v>3.0000000000000001E-3</v>
      </c>
    </row>
    <row r="2004" spans="1:3" x14ac:dyDescent="0.25">
      <c r="A2004">
        <v>2003</v>
      </c>
      <c r="B2004" t="s">
        <v>3118</v>
      </c>
      <c r="C2004">
        <v>3.0000000000000001E-3</v>
      </c>
    </row>
    <row r="2005" spans="1:3" x14ac:dyDescent="0.25">
      <c r="A2005">
        <v>2004</v>
      </c>
      <c r="B2005" t="s">
        <v>3119</v>
      </c>
      <c r="C2005">
        <v>3.0000000000000001E-3</v>
      </c>
    </row>
    <row r="2006" spans="1:3" x14ac:dyDescent="0.25">
      <c r="A2006">
        <v>2005</v>
      </c>
      <c r="B2006" t="s">
        <v>3120</v>
      </c>
      <c r="C2006">
        <v>3.0000000000000001E-3</v>
      </c>
    </row>
    <row r="2007" spans="1:3" x14ac:dyDescent="0.25">
      <c r="A2007">
        <v>2006</v>
      </c>
      <c r="B2007" t="s">
        <v>3121</v>
      </c>
      <c r="C2007">
        <v>3.0000000000000001E-3</v>
      </c>
    </row>
    <row r="2008" spans="1:3" x14ac:dyDescent="0.25">
      <c r="A2008">
        <v>2007</v>
      </c>
      <c r="B2008" t="s">
        <v>3122</v>
      </c>
      <c r="C2008">
        <v>3.0000000000000001E-3</v>
      </c>
    </row>
    <row r="2009" spans="1:3" x14ac:dyDescent="0.25">
      <c r="A2009">
        <v>2008</v>
      </c>
      <c r="B2009" t="s">
        <v>3123</v>
      </c>
      <c r="C2009">
        <v>3.0000000000000001E-3</v>
      </c>
    </row>
    <row r="2010" spans="1:3" x14ac:dyDescent="0.25">
      <c r="A2010">
        <v>2009</v>
      </c>
      <c r="B2010" t="s">
        <v>3124</v>
      </c>
      <c r="C2010">
        <v>3.0000000000000001E-3</v>
      </c>
    </row>
    <row r="2011" spans="1:3" x14ac:dyDescent="0.25">
      <c r="A2011">
        <v>2010</v>
      </c>
      <c r="B2011" t="s">
        <v>3125</v>
      </c>
      <c r="C2011">
        <v>3.0000000000000001E-3</v>
      </c>
    </row>
    <row r="2012" spans="1:3" x14ac:dyDescent="0.25">
      <c r="A2012">
        <v>2011</v>
      </c>
      <c r="B2012" t="s">
        <v>3126</v>
      </c>
      <c r="C2012">
        <v>3.0000000000000001E-3</v>
      </c>
    </row>
    <row r="2013" spans="1:3" x14ac:dyDescent="0.25">
      <c r="A2013">
        <v>2012</v>
      </c>
      <c r="B2013" t="s">
        <v>3127</v>
      </c>
      <c r="C2013">
        <v>3.0000000000000001E-3</v>
      </c>
    </row>
    <row r="2014" spans="1:3" x14ac:dyDescent="0.25">
      <c r="A2014">
        <v>2013</v>
      </c>
      <c r="B2014" t="s">
        <v>3128</v>
      </c>
      <c r="C2014">
        <v>3.0000000000000001E-3</v>
      </c>
    </row>
    <row r="2015" spans="1:3" x14ac:dyDescent="0.25">
      <c r="A2015">
        <v>2014</v>
      </c>
      <c r="B2015" t="s">
        <v>3129</v>
      </c>
      <c r="C2015">
        <v>3.0000000000000001E-3</v>
      </c>
    </row>
    <row r="2016" spans="1:3" x14ac:dyDescent="0.25">
      <c r="A2016">
        <v>2015</v>
      </c>
      <c r="B2016" t="s">
        <v>3130</v>
      </c>
      <c r="C2016">
        <v>3.0000000000000001E-3</v>
      </c>
    </row>
    <row r="2017" spans="1:3" x14ac:dyDescent="0.25">
      <c r="A2017">
        <v>2016</v>
      </c>
      <c r="B2017" t="s">
        <v>3131</v>
      </c>
      <c r="C2017">
        <v>3.0000000000000001E-3</v>
      </c>
    </row>
    <row r="2018" spans="1:3" x14ac:dyDescent="0.25">
      <c r="A2018">
        <v>2017</v>
      </c>
      <c r="B2018" t="s">
        <v>3132</v>
      </c>
      <c r="C2018">
        <v>3.0000000000000001E-3</v>
      </c>
    </row>
    <row r="2019" spans="1:3" x14ac:dyDescent="0.25">
      <c r="A2019">
        <v>2018</v>
      </c>
      <c r="B2019" t="s">
        <v>3133</v>
      </c>
      <c r="C2019">
        <v>3.0000000000000001E-3</v>
      </c>
    </row>
    <row r="2020" spans="1:3" x14ac:dyDescent="0.25">
      <c r="A2020">
        <v>2019</v>
      </c>
      <c r="B2020" t="s">
        <v>3134</v>
      </c>
      <c r="C2020">
        <v>3.0000000000000001E-3</v>
      </c>
    </row>
    <row r="2021" spans="1:3" x14ac:dyDescent="0.25">
      <c r="A2021">
        <v>2020</v>
      </c>
      <c r="B2021" t="s">
        <v>3135</v>
      </c>
      <c r="C2021">
        <v>3.0000000000000001E-3</v>
      </c>
    </row>
    <row r="2022" spans="1:3" x14ac:dyDescent="0.25">
      <c r="A2022">
        <v>2021</v>
      </c>
      <c r="B2022" t="s">
        <v>3136</v>
      </c>
      <c r="C2022">
        <v>3.0000000000000001E-3</v>
      </c>
    </row>
    <row r="2023" spans="1:3" x14ac:dyDescent="0.25">
      <c r="A2023">
        <v>2022</v>
      </c>
      <c r="B2023" t="s">
        <v>3137</v>
      </c>
      <c r="C2023">
        <v>3.0000000000000001E-3</v>
      </c>
    </row>
    <row r="2024" spans="1:3" x14ac:dyDescent="0.25">
      <c r="A2024">
        <v>2023</v>
      </c>
      <c r="B2024" t="s">
        <v>3138</v>
      </c>
      <c r="C2024">
        <v>3.0000000000000001E-3</v>
      </c>
    </row>
    <row r="2025" spans="1:3" x14ac:dyDescent="0.25">
      <c r="A2025">
        <v>2024</v>
      </c>
      <c r="B2025" t="s">
        <v>3139</v>
      </c>
      <c r="C2025">
        <v>3.0000000000000001E-3</v>
      </c>
    </row>
    <row r="2026" spans="1:3" x14ac:dyDescent="0.25">
      <c r="A2026">
        <v>2025</v>
      </c>
      <c r="B2026" t="s">
        <v>3140</v>
      </c>
      <c r="C2026">
        <v>2E-3</v>
      </c>
    </row>
    <row r="2027" spans="1:3" x14ac:dyDescent="0.25">
      <c r="A2027">
        <v>2026</v>
      </c>
      <c r="B2027" t="s">
        <v>3141</v>
      </c>
      <c r="C2027">
        <v>2E-3</v>
      </c>
    </row>
    <row r="2028" spans="1:3" x14ac:dyDescent="0.25">
      <c r="A2028">
        <v>2027</v>
      </c>
      <c r="B2028" t="s">
        <v>3142</v>
      </c>
      <c r="C2028">
        <v>2E-3</v>
      </c>
    </row>
    <row r="2029" spans="1:3" x14ac:dyDescent="0.25">
      <c r="A2029">
        <v>2028</v>
      </c>
      <c r="B2029" t="s">
        <v>3143</v>
      </c>
      <c r="C2029">
        <v>2E-3</v>
      </c>
    </row>
    <row r="2030" spans="1:3" x14ac:dyDescent="0.25">
      <c r="A2030">
        <v>2029</v>
      </c>
      <c r="B2030" t="s">
        <v>3144</v>
      </c>
      <c r="C2030">
        <v>2E-3</v>
      </c>
    </row>
    <row r="2031" spans="1:3" x14ac:dyDescent="0.25">
      <c r="A2031">
        <v>2030</v>
      </c>
      <c r="B2031" t="s">
        <v>3145</v>
      </c>
      <c r="C2031">
        <v>2E-3</v>
      </c>
    </row>
    <row r="2032" spans="1:3" x14ac:dyDescent="0.25">
      <c r="A2032">
        <v>2031</v>
      </c>
      <c r="B2032" t="s">
        <v>3146</v>
      </c>
      <c r="C2032">
        <v>2E-3</v>
      </c>
    </row>
    <row r="2033" spans="1:3" x14ac:dyDescent="0.25">
      <c r="A2033">
        <v>2032</v>
      </c>
      <c r="B2033" t="s">
        <v>3147</v>
      </c>
      <c r="C2033">
        <v>2E-3</v>
      </c>
    </row>
    <row r="2034" spans="1:3" x14ac:dyDescent="0.25">
      <c r="A2034">
        <v>2033</v>
      </c>
      <c r="B2034" t="s">
        <v>3148</v>
      </c>
      <c r="C2034">
        <v>2E-3</v>
      </c>
    </row>
    <row r="2035" spans="1:3" x14ac:dyDescent="0.25">
      <c r="A2035">
        <v>2034</v>
      </c>
      <c r="B2035" t="s">
        <v>3149</v>
      </c>
      <c r="C2035">
        <v>2E-3</v>
      </c>
    </row>
    <row r="2036" spans="1:3" x14ac:dyDescent="0.25">
      <c r="A2036">
        <v>2035</v>
      </c>
      <c r="B2036" t="s">
        <v>3150</v>
      </c>
      <c r="C2036">
        <v>2E-3</v>
      </c>
    </row>
    <row r="2037" spans="1:3" x14ac:dyDescent="0.25">
      <c r="A2037">
        <v>2036</v>
      </c>
      <c r="B2037" t="s">
        <v>3151</v>
      </c>
      <c r="C2037">
        <v>2E-3</v>
      </c>
    </row>
    <row r="2038" spans="1:3" x14ac:dyDescent="0.25">
      <c r="A2038">
        <v>2037</v>
      </c>
      <c r="B2038" t="s">
        <v>3152</v>
      </c>
      <c r="C2038">
        <v>2E-3</v>
      </c>
    </row>
    <row r="2039" spans="1:3" x14ac:dyDescent="0.25">
      <c r="A2039">
        <v>2038</v>
      </c>
      <c r="B2039" t="s">
        <v>3153</v>
      </c>
      <c r="C2039">
        <v>2E-3</v>
      </c>
    </row>
    <row r="2040" spans="1:3" x14ac:dyDescent="0.25">
      <c r="A2040">
        <v>2039</v>
      </c>
      <c r="B2040" t="s">
        <v>3154</v>
      </c>
      <c r="C2040">
        <v>2E-3</v>
      </c>
    </row>
    <row r="2041" spans="1:3" x14ac:dyDescent="0.25">
      <c r="A2041">
        <v>2040</v>
      </c>
      <c r="B2041" t="s">
        <v>3155</v>
      </c>
      <c r="C2041">
        <v>2E-3</v>
      </c>
    </row>
    <row r="2042" spans="1:3" x14ac:dyDescent="0.25">
      <c r="A2042">
        <v>2041</v>
      </c>
      <c r="B2042" t="s">
        <v>3156</v>
      </c>
      <c r="C2042">
        <v>2E-3</v>
      </c>
    </row>
    <row r="2043" spans="1:3" x14ac:dyDescent="0.25">
      <c r="A2043">
        <v>2042</v>
      </c>
      <c r="B2043" t="s">
        <v>3157</v>
      </c>
      <c r="C2043">
        <v>2E-3</v>
      </c>
    </row>
    <row r="2044" spans="1:3" x14ac:dyDescent="0.25">
      <c r="A2044">
        <v>2043</v>
      </c>
      <c r="B2044" t="s">
        <v>3158</v>
      </c>
      <c r="C2044">
        <v>2E-3</v>
      </c>
    </row>
    <row r="2045" spans="1:3" x14ac:dyDescent="0.25">
      <c r="A2045">
        <v>2044</v>
      </c>
      <c r="B2045" t="s">
        <v>3159</v>
      </c>
      <c r="C2045">
        <v>2E-3</v>
      </c>
    </row>
    <row r="2046" spans="1:3" x14ac:dyDescent="0.25">
      <c r="A2046">
        <v>2045</v>
      </c>
      <c r="B2046" t="s">
        <v>3160</v>
      </c>
      <c r="C2046">
        <v>2E-3</v>
      </c>
    </row>
    <row r="2047" spans="1:3" x14ac:dyDescent="0.25">
      <c r="A2047">
        <v>2046</v>
      </c>
      <c r="B2047" t="s">
        <v>3161</v>
      </c>
      <c r="C2047">
        <v>2E-3</v>
      </c>
    </row>
    <row r="2048" spans="1:3" x14ac:dyDescent="0.25">
      <c r="A2048">
        <v>2047</v>
      </c>
      <c r="B2048" t="s">
        <v>3162</v>
      </c>
      <c r="C2048">
        <v>2E-3</v>
      </c>
    </row>
    <row r="2049" spans="1:3" x14ac:dyDescent="0.25">
      <c r="A2049">
        <v>2048</v>
      </c>
      <c r="B2049" t="s">
        <v>3163</v>
      </c>
      <c r="C2049">
        <v>2E-3</v>
      </c>
    </row>
    <row r="2050" spans="1:3" x14ac:dyDescent="0.25">
      <c r="A2050">
        <v>2049</v>
      </c>
      <c r="B2050" t="s">
        <v>3164</v>
      </c>
      <c r="C2050">
        <v>2E-3</v>
      </c>
    </row>
    <row r="2051" spans="1:3" x14ac:dyDescent="0.25">
      <c r="A2051">
        <v>2050</v>
      </c>
      <c r="B2051" t="s">
        <v>3165</v>
      </c>
      <c r="C2051">
        <v>2E-3</v>
      </c>
    </row>
    <row r="2052" spans="1:3" x14ac:dyDescent="0.25">
      <c r="A2052">
        <v>2051</v>
      </c>
      <c r="B2052" t="s">
        <v>3166</v>
      </c>
      <c r="C2052">
        <v>2E-3</v>
      </c>
    </row>
    <row r="2053" spans="1:3" x14ac:dyDescent="0.25">
      <c r="A2053">
        <v>2052</v>
      </c>
      <c r="B2053" t="s">
        <v>3167</v>
      </c>
      <c r="C2053">
        <v>2E-3</v>
      </c>
    </row>
    <row r="2054" spans="1:3" x14ac:dyDescent="0.25">
      <c r="A2054">
        <v>2053</v>
      </c>
      <c r="B2054" t="s">
        <v>3168</v>
      </c>
      <c r="C2054">
        <v>2E-3</v>
      </c>
    </row>
    <row r="2055" spans="1:3" x14ac:dyDescent="0.25">
      <c r="A2055">
        <v>2054</v>
      </c>
      <c r="B2055" t="s">
        <v>3169</v>
      </c>
      <c r="C2055">
        <v>2E-3</v>
      </c>
    </row>
    <row r="2056" spans="1:3" x14ac:dyDescent="0.25">
      <c r="A2056">
        <v>2055</v>
      </c>
      <c r="B2056" t="s">
        <v>3170</v>
      </c>
      <c r="C2056">
        <v>2E-3</v>
      </c>
    </row>
    <row r="2057" spans="1:3" x14ac:dyDescent="0.25">
      <c r="A2057">
        <v>2056</v>
      </c>
      <c r="B2057" t="s">
        <v>3171</v>
      </c>
      <c r="C2057">
        <v>2E-3</v>
      </c>
    </row>
    <row r="2058" spans="1:3" x14ac:dyDescent="0.25">
      <c r="A2058">
        <v>2057</v>
      </c>
      <c r="B2058" t="s">
        <v>3172</v>
      </c>
      <c r="C2058">
        <v>2E-3</v>
      </c>
    </row>
    <row r="2059" spans="1:3" x14ac:dyDescent="0.25">
      <c r="A2059">
        <v>2058</v>
      </c>
      <c r="B2059" t="s">
        <v>3173</v>
      </c>
      <c r="C2059">
        <v>2E-3</v>
      </c>
    </row>
    <row r="2060" spans="1:3" x14ac:dyDescent="0.25">
      <c r="A2060">
        <v>2059</v>
      </c>
      <c r="B2060" t="s">
        <v>3174</v>
      </c>
      <c r="C2060">
        <v>2E-3</v>
      </c>
    </row>
    <row r="2061" spans="1:3" x14ac:dyDescent="0.25">
      <c r="A2061">
        <v>2060</v>
      </c>
      <c r="B2061" t="s">
        <v>3175</v>
      </c>
      <c r="C2061">
        <v>2E-3</v>
      </c>
    </row>
    <row r="2062" spans="1:3" x14ac:dyDescent="0.25">
      <c r="A2062">
        <v>2061</v>
      </c>
      <c r="B2062" t="s">
        <v>3176</v>
      </c>
      <c r="C2062">
        <v>2E-3</v>
      </c>
    </row>
    <row r="2063" spans="1:3" x14ac:dyDescent="0.25">
      <c r="A2063">
        <v>2062</v>
      </c>
      <c r="B2063" t="s">
        <v>3177</v>
      </c>
      <c r="C2063">
        <v>2E-3</v>
      </c>
    </row>
    <row r="2064" spans="1:3" x14ac:dyDescent="0.25">
      <c r="A2064">
        <v>2063</v>
      </c>
      <c r="B2064" t="s">
        <v>3178</v>
      </c>
      <c r="C2064">
        <v>2E-3</v>
      </c>
    </row>
    <row r="2065" spans="1:3" x14ac:dyDescent="0.25">
      <c r="A2065">
        <v>2064</v>
      </c>
      <c r="B2065" t="s">
        <v>3179</v>
      </c>
      <c r="C2065">
        <v>2E-3</v>
      </c>
    </row>
    <row r="2066" spans="1:3" x14ac:dyDescent="0.25">
      <c r="A2066">
        <v>2065</v>
      </c>
      <c r="B2066" t="s">
        <v>3180</v>
      </c>
      <c r="C2066">
        <v>2E-3</v>
      </c>
    </row>
    <row r="2067" spans="1:3" x14ac:dyDescent="0.25">
      <c r="A2067">
        <v>2066</v>
      </c>
      <c r="B2067" t="s">
        <v>3181</v>
      </c>
      <c r="C2067">
        <v>2E-3</v>
      </c>
    </row>
    <row r="2068" spans="1:3" x14ac:dyDescent="0.25">
      <c r="A2068">
        <v>2067</v>
      </c>
      <c r="B2068" t="s">
        <v>3182</v>
      </c>
      <c r="C2068">
        <v>2E-3</v>
      </c>
    </row>
    <row r="2069" spans="1:3" x14ac:dyDescent="0.25">
      <c r="A2069">
        <v>2068</v>
      </c>
      <c r="B2069" t="s">
        <v>3183</v>
      </c>
      <c r="C2069">
        <v>2E-3</v>
      </c>
    </row>
    <row r="2070" spans="1:3" x14ac:dyDescent="0.25">
      <c r="A2070">
        <v>2069</v>
      </c>
      <c r="B2070" t="s">
        <v>3184</v>
      </c>
      <c r="C2070">
        <v>2E-3</v>
      </c>
    </row>
    <row r="2071" spans="1:3" x14ac:dyDescent="0.25">
      <c r="A2071">
        <v>2070</v>
      </c>
      <c r="B2071" t="s">
        <v>3185</v>
      </c>
      <c r="C2071">
        <v>2E-3</v>
      </c>
    </row>
    <row r="2072" spans="1:3" x14ac:dyDescent="0.25">
      <c r="A2072">
        <v>2071</v>
      </c>
      <c r="B2072" t="s">
        <v>3186</v>
      </c>
      <c r="C2072">
        <v>2E-3</v>
      </c>
    </row>
    <row r="2073" spans="1:3" x14ac:dyDescent="0.25">
      <c r="A2073">
        <v>2072</v>
      </c>
      <c r="B2073" t="s">
        <v>3187</v>
      </c>
      <c r="C2073">
        <v>2E-3</v>
      </c>
    </row>
    <row r="2074" spans="1:3" x14ac:dyDescent="0.25">
      <c r="A2074">
        <v>2073</v>
      </c>
      <c r="B2074" t="s">
        <v>3188</v>
      </c>
      <c r="C2074">
        <v>2E-3</v>
      </c>
    </row>
    <row r="2075" spans="1:3" x14ac:dyDescent="0.25">
      <c r="A2075">
        <v>2074</v>
      </c>
      <c r="B2075" t="s">
        <v>3189</v>
      </c>
      <c r="C2075">
        <v>2E-3</v>
      </c>
    </row>
    <row r="2076" spans="1:3" x14ac:dyDescent="0.25">
      <c r="A2076">
        <v>2075</v>
      </c>
      <c r="B2076" t="s">
        <v>3190</v>
      </c>
      <c r="C2076">
        <v>2E-3</v>
      </c>
    </row>
    <row r="2077" spans="1:3" x14ac:dyDescent="0.25">
      <c r="A2077">
        <v>2076</v>
      </c>
      <c r="B2077" t="s">
        <v>3191</v>
      </c>
      <c r="C2077">
        <v>2E-3</v>
      </c>
    </row>
    <row r="2078" spans="1:3" x14ac:dyDescent="0.25">
      <c r="A2078">
        <v>2077</v>
      </c>
      <c r="B2078" t="s">
        <v>3192</v>
      </c>
      <c r="C2078">
        <v>2E-3</v>
      </c>
    </row>
    <row r="2079" spans="1:3" x14ac:dyDescent="0.25">
      <c r="A2079">
        <v>2078</v>
      </c>
      <c r="B2079" t="s">
        <v>3193</v>
      </c>
      <c r="C2079">
        <v>2E-3</v>
      </c>
    </row>
    <row r="2080" spans="1:3" x14ac:dyDescent="0.25">
      <c r="A2080">
        <v>2079</v>
      </c>
      <c r="B2080" t="s">
        <v>3194</v>
      </c>
      <c r="C2080">
        <v>2E-3</v>
      </c>
    </row>
    <row r="2081" spans="1:3" x14ac:dyDescent="0.25">
      <c r="A2081">
        <v>2080</v>
      </c>
      <c r="B2081" t="s">
        <v>3195</v>
      </c>
      <c r="C2081">
        <v>2E-3</v>
      </c>
    </row>
    <row r="2082" spans="1:3" x14ac:dyDescent="0.25">
      <c r="A2082">
        <v>2081</v>
      </c>
      <c r="B2082" t="s">
        <v>3196</v>
      </c>
      <c r="C2082">
        <v>2E-3</v>
      </c>
    </row>
    <row r="2083" spans="1:3" x14ac:dyDescent="0.25">
      <c r="A2083">
        <v>2082</v>
      </c>
      <c r="B2083" t="s">
        <v>3197</v>
      </c>
      <c r="C2083">
        <v>2E-3</v>
      </c>
    </row>
    <row r="2084" spans="1:3" x14ac:dyDescent="0.25">
      <c r="A2084">
        <v>2083</v>
      </c>
      <c r="B2084" t="s">
        <v>3198</v>
      </c>
      <c r="C2084">
        <v>2E-3</v>
      </c>
    </row>
    <row r="2085" spans="1:3" x14ac:dyDescent="0.25">
      <c r="A2085">
        <v>2084</v>
      </c>
      <c r="B2085" t="s">
        <v>3199</v>
      </c>
      <c r="C2085">
        <v>2E-3</v>
      </c>
    </row>
    <row r="2086" spans="1:3" x14ac:dyDescent="0.25">
      <c r="A2086">
        <v>2085</v>
      </c>
      <c r="B2086" t="s">
        <v>3200</v>
      </c>
      <c r="C2086">
        <v>2E-3</v>
      </c>
    </row>
    <row r="2087" spans="1:3" x14ac:dyDescent="0.25">
      <c r="A2087">
        <v>2086</v>
      </c>
      <c r="B2087" t="s">
        <v>3201</v>
      </c>
      <c r="C2087">
        <v>2E-3</v>
      </c>
    </row>
    <row r="2088" spans="1:3" x14ac:dyDescent="0.25">
      <c r="A2088">
        <v>2087</v>
      </c>
      <c r="B2088" t="s">
        <v>3202</v>
      </c>
      <c r="C2088">
        <v>2E-3</v>
      </c>
    </row>
    <row r="2089" spans="1:3" x14ac:dyDescent="0.25">
      <c r="A2089">
        <v>2088</v>
      </c>
      <c r="B2089" t="s">
        <v>3203</v>
      </c>
      <c r="C2089">
        <v>2E-3</v>
      </c>
    </row>
    <row r="2090" spans="1:3" x14ac:dyDescent="0.25">
      <c r="A2090">
        <v>2089</v>
      </c>
      <c r="B2090" t="s">
        <v>3204</v>
      </c>
      <c r="C2090">
        <v>2E-3</v>
      </c>
    </row>
    <row r="2091" spans="1:3" x14ac:dyDescent="0.25">
      <c r="A2091">
        <v>2090</v>
      </c>
      <c r="B2091" t="s">
        <v>3205</v>
      </c>
      <c r="C2091">
        <v>2E-3</v>
      </c>
    </row>
    <row r="2092" spans="1:3" x14ac:dyDescent="0.25">
      <c r="A2092">
        <v>2091</v>
      </c>
      <c r="B2092" t="s">
        <v>3206</v>
      </c>
      <c r="C2092">
        <v>2E-3</v>
      </c>
    </row>
    <row r="2093" spans="1:3" x14ac:dyDescent="0.25">
      <c r="A2093">
        <v>2092</v>
      </c>
      <c r="B2093" t="s">
        <v>3207</v>
      </c>
      <c r="C2093">
        <v>2E-3</v>
      </c>
    </row>
    <row r="2094" spans="1:3" x14ac:dyDescent="0.25">
      <c r="A2094">
        <v>2093</v>
      </c>
      <c r="B2094" t="s">
        <v>3208</v>
      </c>
      <c r="C2094">
        <v>2E-3</v>
      </c>
    </row>
    <row r="2095" spans="1:3" x14ac:dyDescent="0.25">
      <c r="A2095">
        <v>2094</v>
      </c>
      <c r="B2095" t="s">
        <v>3209</v>
      </c>
      <c r="C2095">
        <v>2E-3</v>
      </c>
    </row>
    <row r="2096" spans="1:3" x14ac:dyDescent="0.25">
      <c r="A2096">
        <v>2095</v>
      </c>
      <c r="B2096" t="s">
        <v>3210</v>
      </c>
      <c r="C2096">
        <v>2E-3</v>
      </c>
    </row>
    <row r="2097" spans="1:3" x14ac:dyDescent="0.25">
      <c r="A2097">
        <v>2096</v>
      </c>
      <c r="B2097" t="s">
        <v>3211</v>
      </c>
      <c r="C2097">
        <v>2E-3</v>
      </c>
    </row>
    <row r="2098" spans="1:3" x14ac:dyDescent="0.25">
      <c r="A2098">
        <v>2097</v>
      </c>
      <c r="B2098" t="s">
        <v>3212</v>
      </c>
      <c r="C2098">
        <v>2E-3</v>
      </c>
    </row>
    <row r="2099" spans="1:3" x14ac:dyDescent="0.25">
      <c r="A2099">
        <v>2098</v>
      </c>
      <c r="B2099" t="s">
        <v>3213</v>
      </c>
      <c r="C2099">
        <v>2E-3</v>
      </c>
    </row>
    <row r="2100" spans="1:3" x14ac:dyDescent="0.25">
      <c r="A2100">
        <v>2099</v>
      </c>
      <c r="B2100" t="s">
        <v>3214</v>
      </c>
      <c r="C2100">
        <v>2E-3</v>
      </c>
    </row>
    <row r="2101" spans="1:3" x14ac:dyDescent="0.25">
      <c r="A2101">
        <v>2100</v>
      </c>
      <c r="B2101" t="s">
        <v>3215</v>
      </c>
      <c r="C2101">
        <v>2E-3</v>
      </c>
    </row>
    <row r="2102" spans="1:3" x14ac:dyDescent="0.25">
      <c r="A2102">
        <v>2101</v>
      </c>
      <c r="B2102" t="s">
        <v>3216</v>
      </c>
      <c r="C2102">
        <v>2E-3</v>
      </c>
    </row>
    <row r="2103" spans="1:3" x14ac:dyDescent="0.25">
      <c r="A2103">
        <v>2102</v>
      </c>
      <c r="B2103" t="s">
        <v>3217</v>
      </c>
      <c r="C2103">
        <v>2E-3</v>
      </c>
    </row>
    <row r="2104" spans="1:3" x14ac:dyDescent="0.25">
      <c r="A2104">
        <v>2103</v>
      </c>
      <c r="B2104" t="s">
        <v>3218</v>
      </c>
      <c r="C2104">
        <v>2E-3</v>
      </c>
    </row>
    <row r="2105" spans="1:3" x14ac:dyDescent="0.25">
      <c r="A2105">
        <v>2104</v>
      </c>
      <c r="B2105" t="s">
        <v>3219</v>
      </c>
      <c r="C2105">
        <v>2E-3</v>
      </c>
    </row>
    <row r="2106" spans="1:3" x14ac:dyDescent="0.25">
      <c r="A2106">
        <v>2105</v>
      </c>
      <c r="B2106" t="s">
        <v>3220</v>
      </c>
      <c r="C2106">
        <v>2E-3</v>
      </c>
    </row>
    <row r="2107" spans="1:3" x14ac:dyDescent="0.25">
      <c r="A2107">
        <v>2106</v>
      </c>
      <c r="B2107" t="s">
        <v>3221</v>
      </c>
      <c r="C2107">
        <v>2E-3</v>
      </c>
    </row>
    <row r="2108" spans="1:3" x14ac:dyDescent="0.25">
      <c r="A2108">
        <v>2107</v>
      </c>
      <c r="B2108" t="s">
        <v>3222</v>
      </c>
      <c r="C2108">
        <v>2E-3</v>
      </c>
    </row>
    <row r="2109" spans="1:3" x14ac:dyDescent="0.25">
      <c r="A2109">
        <v>2108</v>
      </c>
      <c r="B2109" t="s">
        <v>3223</v>
      </c>
      <c r="C2109">
        <v>2E-3</v>
      </c>
    </row>
    <row r="2110" spans="1:3" x14ac:dyDescent="0.25">
      <c r="A2110">
        <v>2109</v>
      </c>
      <c r="B2110" t="s">
        <v>3224</v>
      </c>
      <c r="C2110">
        <v>2E-3</v>
      </c>
    </row>
    <row r="2111" spans="1:3" x14ac:dyDescent="0.25">
      <c r="A2111">
        <v>2110</v>
      </c>
      <c r="B2111" t="s">
        <v>3225</v>
      </c>
      <c r="C2111">
        <v>2E-3</v>
      </c>
    </row>
    <row r="2112" spans="1:3" x14ac:dyDescent="0.25">
      <c r="A2112">
        <v>2111</v>
      </c>
      <c r="B2112" t="s">
        <v>3226</v>
      </c>
      <c r="C2112">
        <v>2E-3</v>
      </c>
    </row>
    <row r="2113" spans="1:3" x14ac:dyDescent="0.25">
      <c r="A2113">
        <v>2112</v>
      </c>
      <c r="B2113" t="s">
        <v>3227</v>
      </c>
      <c r="C2113">
        <v>2E-3</v>
      </c>
    </row>
    <row r="2114" spans="1:3" x14ac:dyDescent="0.25">
      <c r="A2114">
        <v>2113</v>
      </c>
      <c r="B2114" t="s">
        <v>3228</v>
      </c>
      <c r="C2114">
        <v>2E-3</v>
      </c>
    </row>
    <row r="2115" spans="1:3" x14ac:dyDescent="0.25">
      <c r="A2115">
        <v>2114</v>
      </c>
      <c r="B2115" t="s">
        <v>3229</v>
      </c>
      <c r="C2115">
        <v>2E-3</v>
      </c>
    </row>
    <row r="2116" spans="1:3" x14ac:dyDescent="0.25">
      <c r="A2116">
        <v>2115</v>
      </c>
      <c r="B2116" t="s">
        <v>3230</v>
      </c>
      <c r="C2116">
        <v>2E-3</v>
      </c>
    </row>
    <row r="2117" spans="1:3" x14ac:dyDescent="0.25">
      <c r="A2117">
        <v>2116</v>
      </c>
      <c r="B2117" t="s">
        <v>3231</v>
      </c>
      <c r="C2117">
        <v>2E-3</v>
      </c>
    </row>
    <row r="2118" spans="1:3" x14ac:dyDescent="0.25">
      <c r="A2118">
        <v>2117</v>
      </c>
      <c r="B2118" t="s">
        <v>3114</v>
      </c>
      <c r="C2118">
        <v>2E-3</v>
      </c>
    </row>
    <row r="2119" spans="1:3" x14ac:dyDescent="0.25">
      <c r="A2119">
        <v>2118</v>
      </c>
      <c r="B2119" t="s">
        <v>3232</v>
      </c>
      <c r="C2119">
        <v>2E-3</v>
      </c>
    </row>
    <row r="2120" spans="1:3" x14ac:dyDescent="0.25">
      <c r="A2120">
        <v>2119</v>
      </c>
      <c r="B2120" t="s">
        <v>3233</v>
      </c>
      <c r="C2120">
        <v>2E-3</v>
      </c>
    </row>
    <row r="2121" spans="1:3" x14ac:dyDescent="0.25">
      <c r="A2121">
        <v>2120</v>
      </c>
      <c r="B2121" t="s">
        <v>3234</v>
      </c>
      <c r="C2121">
        <v>2E-3</v>
      </c>
    </row>
    <row r="2122" spans="1:3" x14ac:dyDescent="0.25">
      <c r="A2122">
        <v>2121</v>
      </c>
      <c r="B2122" t="s">
        <v>3235</v>
      </c>
      <c r="C2122">
        <v>2E-3</v>
      </c>
    </row>
    <row r="2123" spans="1:3" x14ac:dyDescent="0.25">
      <c r="A2123">
        <v>2122</v>
      </c>
      <c r="B2123" t="s">
        <v>3236</v>
      </c>
      <c r="C2123">
        <v>2E-3</v>
      </c>
    </row>
    <row r="2124" spans="1:3" x14ac:dyDescent="0.25">
      <c r="A2124">
        <v>2123</v>
      </c>
      <c r="B2124" t="s">
        <v>3237</v>
      </c>
      <c r="C2124">
        <v>2E-3</v>
      </c>
    </row>
    <row r="2125" spans="1:3" x14ac:dyDescent="0.25">
      <c r="A2125">
        <v>2124</v>
      </c>
      <c r="B2125" t="s">
        <v>3238</v>
      </c>
      <c r="C2125">
        <v>2E-3</v>
      </c>
    </row>
    <row r="2126" spans="1:3" x14ac:dyDescent="0.25">
      <c r="A2126">
        <v>2125</v>
      </c>
      <c r="B2126" t="s">
        <v>3239</v>
      </c>
      <c r="C2126">
        <v>2E-3</v>
      </c>
    </row>
    <row r="2127" spans="1:3" x14ac:dyDescent="0.25">
      <c r="A2127">
        <v>2126</v>
      </c>
      <c r="B2127" t="s">
        <v>3240</v>
      </c>
      <c r="C2127">
        <v>2E-3</v>
      </c>
    </row>
    <row r="2128" spans="1:3" x14ac:dyDescent="0.25">
      <c r="A2128">
        <v>2127</v>
      </c>
      <c r="B2128" t="s">
        <v>3241</v>
      </c>
      <c r="C2128">
        <v>2E-3</v>
      </c>
    </row>
    <row r="2129" spans="1:3" x14ac:dyDescent="0.25">
      <c r="A2129">
        <v>2128</v>
      </c>
      <c r="B2129" t="s">
        <v>3242</v>
      </c>
      <c r="C2129">
        <v>2E-3</v>
      </c>
    </row>
    <row r="2130" spans="1:3" x14ac:dyDescent="0.25">
      <c r="A2130">
        <v>2129</v>
      </c>
      <c r="B2130" t="s">
        <v>3243</v>
      </c>
      <c r="C2130">
        <v>2E-3</v>
      </c>
    </row>
    <row r="2131" spans="1:3" x14ac:dyDescent="0.25">
      <c r="A2131">
        <v>2130</v>
      </c>
      <c r="B2131" t="s">
        <v>3244</v>
      </c>
      <c r="C2131">
        <v>2E-3</v>
      </c>
    </row>
    <row r="2132" spans="1:3" x14ac:dyDescent="0.25">
      <c r="A2132">
        <v>2131</v>
      </c>
      <c r="B2132" t="s">
        <v>3245</v>
      </c>
      <c r="C2132">
        <v>2E-3</v>
      </c>
    </row>
    <row r="2133" spans="1:3" x14ac:dyDescent="0.25">
      <c r="A2133">
        <v>2132</v>
      </c>
      <c r="B2133" t="s">
        <v>3246</v>
      </c>
      <c r="C2133">
        <v>2E-3</v>
      </c>
    </row>
    <row r="2134" spans="1:3" x14ac:dyDescent="0.25">
      <c r="A2134">
        <v>2133</v>
      </c>
      <c r="B2134" t="s">
        <v>3247</v>
      </c>
      <c r="C2134">
        <v>2E-3</v>
      </c>
    </row>
    <row r="2135" spans="1:3" x14ac:dyDescent="0.25">
      <c r="A2135">
        <v>2134</v>
      </c>
      <c r="B2135" t="s">
        <v>3248</v>
      </c>
      <c r="C2135">
        <v>2E-3</v>
      </c>
    </row>
    <row r="2136" spans="1:3" x14ac:dyDescent="0.25">
      <c r="A2136">
        <v>2135</v>
      </c>
      <c r="B2136" t="s">
        <v>3249</v>
      </c>
      <c r="C2136">
        <v>2E-3</v>
      </c>
    </row>
    <row r="2137" spans="1:3" x14ac:dyDescent="0.25">
      <c r="A2137">
        <v>2136</v>
      </c>
      <c r="B2137" t="s">
        <v>3250</v>
      </c>
      <c r="C2137">
        <v>2E-3</v>
      </c>
    </row>
    <row r="2138" spans="1:3" x14ac:dyDescent="0.25">
      <c r="A2138">
        <v>2137</v>
      </c>
      <c r="B2138" t="s">
        <v>3251</v>
      </c>
      <c r="C2138">
        <v>2E-3</v>
      </c>
    </row>
    <row r="2139" spans="1:3" x14ac:dyDescent="0.25">
      <c r="A2139">
        <v>2138</v>
      </c>
      <c r="B2139" t="s">
        <v>3252</v>
      </c>
      <c r="C2139">
        <v>2E-3</v>
      </c>
    </row>
    <row r="2140" spans="1:3" x14ac:dyDescent="0.25">
      <c r="A2140">
        <v>2139</v>
      </c>
      <c r="B2140" t="s">
        <v>3253</v>
      </c>
      <c r="C2140">
        <v>2E-3</v>
      </c>
    </row>
    <row r="2141" spans="1:3" x14ac:dyDescent="0.25">
      <c r="A2141">
        <v>2140</v>
      </c>
      <c r="B2141" t="s">
        <v>3254</v>
      </c>
      <c r="C2141">
        <v>2E-3</v>
      </c>
    </row>
    <row r="2142" spans="1:3" x14ac:dyDescent="0.25">
      <c r="A2142">
        <v>2141</v>
      </c>
      <c r="B2142" t="s">
        <v>3255</v>
      </c>
      <c r="C2142">
        <v>2E-3</v>
      </c>
    </row>
    <row r="2143" spans="1:3" x14ac:dyDescent="0.25">
      <c r="A2143">
        <v>2142</v>
      </c>
      <c r="B2143" t="s">
        <v>3256</v>
      </c>
      <c r="C2143">
        <v>2E-3</v>
      </c>
    </row>
    <row r="2144" spans="1:3" x14ac:dyDescent="0.25">
      <c r="A2144">
        <v>2143</v>
      </c>
      <c r="B2144" t="s">
        <v>3257</v>
      </c>
      <c r="C2144">
        <v>2E-3</v>
      </c>
    </row>
    <row r="2145" spans="1:3" x14ac:dyDescent="0.25">
      <c r="A2145">
        <v>2144</v>
      </c>
      <c r="B2145" t="s">
        <v>3258</v>
      </c>
      <c r="C2145">
        <v>2E-3</v>
      </c>
    </row>
    <row r="2146" spans="1:3" x14ac:dyDescent="0.25">
      <c r="A2146">
        <v>2145</v>
      </c>
      <c r="B2146" t="s">
        <v>3259</v>
      </c>
      <c r="C2146">
        <v>2E-3</v>
      </c>
    </row>
    <row r="2147" spans="1:3" x14ac:dyDescent="0.25">
      <c r="A2147">
        <v>2146</v>
      </c>
      <c r="B2147" t="s">
        <v>3260</v>
      </c>
      <c r="C2147">
        <v>2E-3</v>
      </c>
    </row>
    <row r="2148" spans="1:3" x14ac:dyDescent="0.25">
      <c r="A2148">
        <v>2147</v>
      </c>
      <c r="B2148" t="s">
        <v>3261</v>
      </c>
      <c r="C2148">
        <v>2E-3</v>
      </c>
    </row>
    <row r="2149" spans="1:3" x14ac:dyDescent="0.25">
      <c r="A2149">
        <v>2148</v>
      </c>
      <c r="B2149" t="s">
        <v>3262</v>
      </c>
      <c r="C2149">
        <v>2E-3</v>
      </c>
    </row>
    <row r="2150" spans="1:3" x14ac:dyDescent="0.25">
      <c r="A2150">
        <v>2149</v>
      </c>
      <c r="B2150" t="s">
        <v>3263</v>
      </c>
      <c r="C2150">
        <v>2E-3</v>
      </c>
    </row>
    <row r="2151" spans="1:3" x14ac:dyDescent="0.25">
      <c r="A2151">
        <v>2150</v>
      </c>
      <c r="B2151" t="s">
        <v>3264</v>
      </c>
      <c r="C2151">
        <v>2E-3</v>
      </c>
    </row>
    <row r="2152" spans="1:3" x14ac:dyDescent="0.25">
      <c r="A2152">
        <v>2151</v>
      </c>
      <c r="B2152" t="s">
        <v>3265</v>
      </c>
      <c r="C2152">
        <v>2E-3</v>
      </c>
    </row>
    <row r="2153" spans="1:3" x14ac:dyDescent="0.25">
      <c r="A2153">
        <v>2152</v>
      </c>
      <c r="B2153" t="s">
        <v>3266</v>
      </c>
      <c r="C2153">
        <v>2E-3</v>
      </c>
    </row>
    <row r="2154" spans="1:3" x14ac:dyDescent="0.25">
      <c r="A2154">
        <v>2153</v>
      </c>
      <c r="B2154" t="s">
        <v>3267</v>
      </c>
      <c r="C2154">
        <v>2E-3</v>
      </c>
    </row>
    <row r="2155" spans="1:3" x14ac:dyDescent="0.25">
      <c r="A2155">
        <v>2154</v>
      </c>
      <c r="B2155" t="s">
        <v>3268</v>
      </c>
      <c r="C2155">
        <v>2E-3</v>
      </c>
    </row>
    <row r="2156" spans="1:3" x14ac:dyDescent="0.25">
      <c r="A2156">
        <v>2155</v>
      </c>
      <c r="B2156" t="s">
        <v>3269</v>
      </c>
      <c r="C2156">
        <v>2E-3</v>
      </c>
    </row>
    <row r="2157" spans="1:3" x14ac:dyDescent="0.25">
      <c r="A2157">
        <v>2156</v>
      </c>
      <c r="B2157" t="s">
        <v>3270</v>
      </c>
      <c r="C2157">
        <v>2E-3</v>
      </c>
    </row>
    <row r="2158" spans="1:3" x14ac:dyDescent="0.25">
      <c r="A2158">
        <v>2157</v>
      </c>
      <c r="B2158" t="s">
        <v>3271</v>
      </c>
      <c r="C2158">
        <v>2E-3</v>
      </c>
    </row>
    <row r="2159" spans="1:3" x14ac:dyDescent="0.25">
      <c r="A2159">
        <v>2158</v>
      </c>
      <c r="B2159" t="s">
        <v>3272</v>
      </c>
      <c r="C2159">
        <v>2E-3</v>
      </c>
    </row>
    <row r="2160" spans="1:3" x14ac:dyDescent="0.25">
      <c r="A2160">
        <v>2159</v>
      </c>
      <c r="B2160" t="s">
        <v>3273</v>
      </c>
      <c r="C2160">
        <v>2E-3</v>
      </c>
    </row>
    <row r="2161" spans="1:3" x14ac:dyDescent="0.25">
      <c r="A2161">
        <v>2160</v>
      </c>
      <c r="B2161" t="s">
        <v>3274</v>
      </c>
      <c r="C2161">
        <v>2E-3</v>
      </c>
    </row>
    <row r="2162" spans="1:3" x14ac:dyDescent="0.25">
      <c r="A2162">
        <v>2161</v>
      </c>
      <c r="B2162" t="s">
        <v>3275</v>
      </c>
      <c r="C2162">
        <v>2E-3</v>
      </c>
    </row>
    <row r="2163" spans="1:3" x14ac:dyDescent="0.25">
      <c r="A2163">
        <v>2162</v>
      </c>
      <c r="B2163" t="s">
        <v>3276</v>
      </c>
      <c r="C2163">
        <v>2E-3</v>
      </c>
    </row>
    <row r="2164" spans="1:3" x14ac:dyDescent="0.25">
      <c r="A2164">
        <v>2163</v>
      </c>
      <c r="B2164" t="s">
        <v>3277</v>
      </c>
      <c r="C2164">
        <v>2E-3</v>
      </c>
    </row>
    <row r="2165" spans="1:3" x14ac:dyDescent="0.25">
      <c r="A2165">
        <v>2164</v>
      </c>
      <c r="B2165" t="s">
        <v>3278</v>
      </c>
      <c r="C2165">
        <v>2E-3</v>
      </c>
    </row>
    <row r="2166" spans="1:3" x14ac:dyDescent="0.25">
      <c r="A2166">
        <v>2165</v>
      </c>
      <c r="B2166" t="s">
        <v>3279</v>
      </c>
      <c r="C2166">
        <v>2E-3</v>
      </c>
    </row>
    <row r="2167" spans="1:3" x14ac:dyDescent="0.25">
      <c r="A2167">
        <v>2166</v>
      </c>
      <c r="B2167" t="s">
        <v>3280</v>
      </c>
      <c r="C2167">
        <v>2E-3</v>
      </c>
    </row>
    <row r="2168" spans="1:3" x14ac:dyDescent="0.25">
      <c r="A2168">
        <v>2167</v>
      </c>
      <c r="B2168" t="s">
        <v>3281</v>
      </c>
      <c r="C2168">
        <v>2E-3</v>
      </c>
    </row>
    <row r="2169" spans="1:3" x14ac:dyDescent="0.25">
      <c r="A2169">
        <v>2168</v>
      </c>
      <c r="B2169" t="s">
        <v>3282</v>
      </c>
      <c r="C2169">
        <v>2E-3</v>
      </c>
    </row>
    <row r="2170" spans="1:3" x14ac:dyDescent="0.25">
      <c r="A2170">
        <v>2169</v>
      </c>
      <c r="B2170" t="s">
        <v>3283</v>
      </c>
      <c r="C2170">
        <v>2E-3</v>
      </c>
    </row>
    <row r="2171" spans="1:3" x14ac:dyDescent="0.25">
      <c r="A2171">
        <v>2170</v>
      </c>
      <c r="B2171" t="s">
        <v>3284</v>
      </c>
      <c r="C2171">
        <v>2E-3</v>
      </c>
    </row>
    <row r="2172" spans="1:3" x14ac:dyDescent="0.25">
      <c r="A2172">
        <v>2171</v>
      </c>
      <c r="B2172" t="s">
        <v>3285</v>
      </c>
      <c r="C2172">
        <v>2E-3</v>
      </c>
    </row>
    <row r="2173" spans="1:3" x14ac:dyDescent="0.25">
      <c r="A2173">
        <v>2172</v>
      </c>
      <c r="B2173" t="s">
        <v>3286</v>
      </c>
      <c r="C2173">
        <v>2E-3</v>
      </c>
    </row>
    <row r="2174" spans="1:3" x14ac:dyDescent="0.25">
      <c r="A2174">
        <v>2173</v>
      </c>
      <c r="B2174" t="s">
        <v>3287</v>
      </c>
      <c r="C2174">
        <v>2E-3</v>
      </c>
    </row>
    <row r="2175" spans="1:3" x14ac:dyDescent="0.25">
      <c r="A2175">
        <v>2174</v>
      </c>
      <c r="B2175" t="s">
        <v>3288</v>
      </c>
      <c r="C2175">
        <v>2E-3</v>
      </c>
    </row>
    <row r="2176" spans="1:3" x14ac:dyDescent="0.25">
      <c r="A2176">
        <v>2175</v>
      </c>
      <c r="B2176" t="s">
        <v>3289</v>
      </c>
      <c r="C2176">
        <v>2E-3</v>
      </c>
    </row>
    <row r="2177" spans="1:3" x14ac:dyDescent="0.25">
      <c r="A2177">
        <v>2176</v>
      </c>
      <c r="B2177" t="s">
        <v>3290</v>
      </c>
      <c r="C2177">
        <v>2E-3</v>
      </c>
    </row>
    <row r="2178" spans="1:3" x14ac:dyDescent="0.25">
      <c r="A2178">
        <v>2177</v>
      </c>
      <c r="B2178" t="s">
        <v>3291</v>
      </c>
      <c r="C2178">
        <v>2E-3</v>
      </c>
    </row>
    <row r="2179" spans="1:3" x14ac:dyDescent="0.25">
      <c r="A2179">
        <v>2178</v>
      </c>
      <c r="B2179" t="s">
        <v>3292</v>
      </c>
      <c r="C2179">
        <v>2E-3</v>
      </c>
    </row>
    <row r="2180" spans="1:3" x14ac:dyDescent="0.25">
      <c r="A2180">
        <v>2179</v>
      </c>
      <c r="B2180" t="s">
        <v>3293</v>
      </c>
      <c r="C2180">
        <v>2E-3</v>
      </c>
    </row>
    <row r="2181" spans="1:3" x14ac:dyDescent="0.25">
      <c r="A2181">
        <v>2180</v>
      </c>
      <c r="B2181" t="s">
        <v>3294</v>
      </c>
      <c r="C2181">
        <v>2E-3</v>
      </c>
    </row>
    <row r="2182" spans="1:3" x14ac:dyDescent="0.25">
      <c r="A2182">
        <v>2181</v>
      </c>
      <c r="B2182" t="s">
        <v>3295</v>
      </c>
      <c r="C2182">
        <v>2E-3</v>
      </c>
    </row>
    <row r="2183" spans="1:3" x14ac:dyDescent="0.25">
      <c r="A2183">
        <v>2182</v>
      </c>
      <c r="B2183" t="s">
        <v>3296</v>
      </c>
      <c r="C2183">
        <v>2E-3</v>
      </c>
    </row>
    <row r="2184" spans="1:3" x14ac:dyDescent="0.25">
      <c r="A2184">
        <v>2183</v>
      </c>
      <c r="B2184" t="s">
        <v>3297</v>
      </c>
      <c r="C2184">
        <v>2E-3</v>
      </c>
    </row>
    <row r="2185" spans="1:3" x14ac:dyDescent="0.25">
      <c r="A2185">
        <v>2184</v>
      </c>
      <c r="B2185" t="s">
        <v>3298</v>
      </c>
      <c r="C2185">
        <v>2E-3</v>
      </c>
    </row>
    <row r="2186" spans="1:3" x14ac:dyDescent="0.25">
      <c r="A2186">
        <v>2185</v>
      </c>
      <c r="B2186" t="s">
        <v>3299</v>
      </c>
      <c r="C2186">
        <v>2E-3</v>
      </c>
    </row>
    <row r="2187" spans="1:3" x14ac:dyDescent="0.25">
      <c r="A2187">
        <v>2186</v>
      </c>
      <c r="B2187" t="s">
        <v>3300</v>
      </c>
      <c r="C2187">
        <v>2E-3</v>
      </c>
    </row>
    <row r="2188" spans="1:3" x14ac:dyDescent="0.25">
      <c r="A2188">
        <v>2187</v>
      </c>
      <c r="B2188" t="s">
        <v>3301</v>
      </c>
      <c r="C2188">
        <v>2E-3</v>
      </c>
    </row>
    <row r="2189" spans="1:3" x14ac:dyDescent="0.25">
      <c r="A2189">
        <v>2188</v>
      </c>
      <c r="B2189" t="s">
        <v>3302</v>
      </c>
      <c r="C2189">
        <v>2E-3</v>
      </c>
    </row>
    <row r="2190" spans="1:3" x14ac:dyDescent="0.25">
      <c r="A2190">
        <v>2189</v>
      </c>
      <c r="B2190" t="s">
        <v>3303</v>
      </c>
      <c r="C2190">
        <v>2E-3</v>
      </c>
    </row>
    <row r="2191" spans="1:3" x14ac:dyDescent="0.25">
      <c r="A2191">
        <v>2190</v>
      </c>
      <c r="B2191" t="s">
        <v>3304</v>
      </c>
      <c r="C2191">
        <v>2E-3</v>
      </c>
    </row>
    <row r="2192" spans="1:3" x14ac:dyDescent="0.25">
      <c r="A2192">
        <v>2191</v>
      </c>
      <c r="B2192" t="s">
        <v>3305</v>
      </c>
      <c r="C2192">
        <v>2E-3</v>
      </c>
    </row>
    <row r="2193" spans="1:3" x14ac:dyDescent="0.25">
      <c r="A2193">
        <v>2192</v>
      </c>
      <c r="B2193" t="s">
        <v>3306</v>
      </c>
      <c r="C2193">
        <v>2E-3</v>
      </c>
    </row>
    <row r="2194" spans="1:3" x14ac:dyDescent="0.25">
      <c r="A2194">
        <v>2193</v>
      </c>
      <c r="B2194" t="s">
        <v>3307</v>
      </c>
      <c r="C2194">
        <v>2E-3</v>
      </c>
    </row>
    <row r="2195" spans="1:3" x14ac:dyDescent="0.25">
      <c r="A2195">
        <v>2194</v>
      </c>
      <c r="B2195" t="s">
        <v>3308</v>
      </c>
      <c r="C2195">
        <v>2E-3</v>
      </c>
    </row>
    <row r="2196" spans="1:3" x14ac:dyDescent="0.25">
      <c r="A2196">
        <v>2195</v>
      </c>
      <c r="B2196" t="s">
        <v>3309</v>
      </c>
      <c r="C2196">
        <v>2E-3</v>
      </c>
    </row>
    <row r="2197" spans="1:3" x14ac:dyDescent="0.25">
      <c r="A2197">
        <v>2196</v>
      </c>
      <c r="B2197" t="s">
        <v>3310</v>
      </c>
      <c r="C2197">
        <v>2E-3</v>
      </c>
    </row>
    <row r="2198" spans="1:3" x14ac:dyDescent="0.25">
      <c r="A2198">
        <v>2197</v>
      </c>
      <c r="B2198" t="s">
        <v>3311</v>
      </c>
      <c r="C2198">
        <v>2E-3</v>
      </c>
    </row>
    <row r="2199" spans="1:3" x14ac:dyDescent="0.25">
      <c r="A2199">
        <v>2198</v>
      </c>
      <c r="B2199" t="s">
        <v>3312</v>
      </c>
      <c r="C2199">
        <v>2E-3</v>
      </c>
    </row>
    <row r="2200" spans="1:3" x14ac:dyDescent="0.25">
      <c r="A2200">
        <v>2199</v>
      </c>
      <c r="B2200" t="s">
        <v>3313</v>
      </c>
      <c r="C2200">
        <v>2E-3</v>
      </c>
    </row>
    <row r="2201" spans="1:3" x14ac:dyDescent="0.25">
      <c r="A2201">
        <v>2200</v>
      </c>
      <c r="B2201" t="s">
        <v>3314</v>
      </c>
      <c r="C2201">
        <v>2E-3</v>
      </c>
    </row>
    <row r="2202" spans="1:3" x14ac:dyDescent="0.25">
      <c r="A2202">
        <v>2201</v>
      </c>
      <c r="B2202" t="s">
        <v>3315</v>
      </c>
      <c r="C2202">
        <v>2E-3</v>
      </c>
    </row>
    <row r="2203" spans="1:3" x14ac:dyDescent="0.25">
      <c r="A2203">
        <v>2202</v>
      </c>
      <c r="B2203" t="s">
        <v>3316</v>
      </c>
      <c r="C2203">
        <v>2E-3</v>
      </c>
    </row>
    <row r="2204" spans="1:3" x14ac:dyDescent="0.25">
      <c r="A2204">
        <v>2203</v>
      </c>
      <c r="B2204" t="s">
        <v>3317</v>
      </c>
      <c r="C2204">
        <v>2E-3</v>
      </c>
    </row>
    <row r="2205" spans="1:3" x14ac:dyDescent="0.25">
      <c r="A2205">
        <v>2204</v>
      </c>
      <c r="B2205" t="s">
        <v>3318</v>
      </c>
      <c r="C2205">
        <v>2E-3</v>
      </c>
    </row>
    <row r="2206" spans="1:3" x14ac:dyDescent="0.25">
      <c r="A2206">
        <v>2205</v>
      </c>
      <c r="B2206" t="s">
        <v>3319</v>
      </c>
      <c r="C2206">
        <v>2E-3</v>
      </c>
    </row>
    <row r="2207" spans="1:3" x14ac:dyDescent="0.25">
      <c r="A2207">
        <v>2206</v>
      </c>
      <c r="B2207" t="s">
        <v>3320</v>
      </c>
      <c r="C2207">
        <v>2E-3</v>
      </c>
    </row>
    <row r="2208" spans="1:3" x14ac:dyDescent="0.25">
      <c r="A2208">
        <v>2207</v>
      </c>
      <c r="B2208" t="s">
        <v>3321</v>
      </c>
      <c r="C2208">
        <v>2E-3</v>
      </c>
    </row>
    <row r="2209" spans="1:3" x14ac:dyDescent="0.25">
      <c r="A2209">
        <v>2208</v>
      </c>
      <c r="B2209" t="s">
        <v>3322</v>
      </c>
      <c r="C2209">
        <v>2E-3</v>
      </c>
    </row>
    <row r="2210" spans="1:3" x14ac:dyDescent="0.25">
      <c r="A2210">
        <v>2209</v>
      </c>
      <c r="B2210" t="s">
        <v>3323</v>
      </c>
      <c r="C2210">
        <v>2E-3</v>
      </c>
    </row>
    <row r="2211" spans="1:3" x14ac:dyDescent="0.25">
      <c r="A2211">
        <v>2210</v>
      </c>
      <c r="B2211" t="s">
        <v>3324</v>
      </c>
      <c r="C2211">
        <v>2E-3</v>
      </c>
    </row>
    <row r="2212" spans="1:3" x14ac:dyDescent="0.25">
      <c r="A2212">
        <v>2211</v>
      </c>
      <c r="B2212" t="s">
        <v>3325</v>
      </c>
      <c r="C2212">
        <v>2E-3</v>
      </c>
    </row>
    <row r="2213" spans="1:3" x14ac:dyDescent="0.25">
      <c r="A2213">
        <v>2212</v>
      </c>
      <c r="B2213" t="s">
        <v>3326</v>
      </c>
      <c r="C2213">
        <v>2E-3</v>
      </c>
    </row>
    <row r="2214" spans="1:3" x14ac:dyDescent="0.25">
      <c r="A2214">
        <v>2213</v>
      </c>
      <c r="B2214" t="s">
        <v>3327</v>
      </c>
      <c r="C2214">
        <v>2E-3</v>
      </c>
    </row>
    <row r="2215" spans="1:3" x14ac:dyDescent="0.25">
      <c r="A2215">
        <v>2214</v>
      </c>
      <c r="B2215" t="s">
        <v>3328</v>
      </c>
      <c r="C2215">
        <v>2E-3</v>
      </c>
    </row>
    <row r="2216" spans="1:3" x14ac:dyDescent="0.25">
      <c r="A2216">
        <v>2215</v>
      </c>
      <c r="B2216" t="s">
        <v>3329</v>
      </c>
      <c r="C2216">
        <v>2E-3</v>
      </c>
    </row>
    <row r="2217" spans="1:3" x14ac:dyDescent="0.25">
      <c r="A2217">
        <v>2216</v>
      </c>
      <c r="B2217" t="s">
        <v>3330</v>
      </c>
      <c r="C2217">
        <v>2E-3</v>
      </c>
    </row>
    <row r="2218" spans="1:3" x14ac:dyDescent="0.25">
      <c r="A2218">
        <v>2217</v>
      </c>
      <c r="B2218" t="s">
        <v>3331</v>
      </c>
      <c r="C2218">
        <v>2E-3</v>
      </c>
    </row>
    <row r="2219" spans="1:3" x14ac:dyDescent="0.25">
      <c r="A2219">
        <v>2218</v>
      </c>
      <c r="B2219" t="s">
        <v>3332</v>
      </c>
      <c r="C2219">
        <v>2E-3</v>
      </c>
    </row>
    <row r="2220" spans="1:3" x14ac:dyDescent="0.25">
      <c r="A2220">
        <v>2219</v>
      </c>
      <c r="B2220" t="s">
        <v>3333</v>
      </c>
      <c r="C2220">
        <v>2E-3</v>
      </c>
    </row>
    <row r="2221" spans="1:3" x14ac:dyDescent="0.25">
      <c r="A2221">
        <v>2220</v>
      </c>
      <c r="B2221" t="s">
        <v>3334</v>
      </c>
      <c r="C2221">
        <v>2E-3</v>
      </c>
    </row>
    <row r="2222" spans="1:3" x14ac:dyDescent="0.25">
      <c r="A2222">
        <v>2221</v>
      </c>
      <c r="B2222" t="s">
        <v>3335</v>
      </c>
      <c r="C2222">
        <v>2E-3</v>
      </c>
    </row>
    <row r="2223" spans="1:3" x14ac:dyDescent="0.25">
      <c r="A2223">
        <v>2222</v>
      </c>
      <c r="B2223" t="s">
        <v>3336</v>
      </c>
      <c r="C2223">
        <v>2E-3</v>
      </c>
    </row>
    <row r="2224" spans="1:3" x14ac:dyDescent="0.25">
      <c r="A2224">
        <v>2223</v>
      </c>
      <c r="B2224" t="s">
        <v>3337</v>
      </c>
      <c r="C2224">
        <v>2E-3</v>
      </c>
    </row>
    <row r="2225" spans="1:3" x14ac:dyDescent="0.25">
      <c r="A2225">
        <v>2224</v>
      </c>
      <c r="B2225" t="s">
        <v>3338</v>
      </c>
      <c r="C2225">
        <v>2E-3</v>
      </c>
    </row>
    <row r="2226" spans="1:3" x14ac:dyDescent="0.25">
      <c r="A2226">
        <v>2225</v>
      </c>
      <c r="B2226" t="s">
        <v>3339</v>
      </c>
      <c r="C2226">
        <v>2E-3</v>
      </c>
    </row>
    <row r="2227" spans="1:3" x14ac:dyDescent="0.25">
      <c r="A2227">
        <v>2226</v>
      </c>
      <c r="B2227" t="s">
        <v>3340</v>
      </c>
      <c r="C2227">
        <v>2E-3</v>
      </c>
    </row>
    <row r="2228" spans="1:3" x14ac:dyDescent="0.25">
      <c r="A2228">
        <v>2227</v>
      </c>
      <c r="B2228" t="s">
        <v>3341</v>
      </c>
      <c r="C2228">
        <v>2E-3</v>
      </c>
    </row>
    <row r="2229" spans="1:3" x14ac:dyDescent="0.25">
      <c r="A2229">
        <v>2228</v>
      </c>
      <c r="B2229" t="s">
        <v>3342</v>
      </c>
      <c r="C2229">
        <v>2E-3</v>
      </c>
    </row>
    <row r="2230" spans="1:3" x14ac:dyDescent="0.25">
      <c r="A2230">
        <v>2229</v>
      </c>
      <c r="B2230" t="s">
        <v>3343</v>
      </c>
      <c r="C2230">
        <v>2E-3</v>
      </c>
    </row>
    <row r="2231" spans="1:3" x14ac:dyDescent="0.25">
      <c r="A2231">
        <v>2230</v>
      </c>
      <c r="B2231" t="s">
        <v>3344</v>
      </c>
      <c r="C2231">
        <v>2E-3</v>
      </c>
    </row>
    <row r="2232" spans="1:3" x14ac:dyDescent="0.25">
      <c r="A2232">
        <v>2231</v>
      </c>
      <c r="B2232" t="s">
        <v>3345</v>
      </c>
      <c r="C2232">
        <v>2E-3</v>
      </c>
    </row>
    <row r="2233" spans="1:3" x14ac:dyDescent="0.25">
      <c r="A2233">
        <v>2232</v>
      </c>
      <c r="B2233" t="s">
        <v>3346</v>
      </c>
      <c r="C2233">
        <v>2E-3</v>
      </c>
    </row>
    <row r="2234" spans="1:3" x14ac:dyDescent="0.25">
      <c r="A2234">
        <v>2233</v>
      </c>
      <c r="B2234" t="s">
        <v>3347</v>
      </c>
      <c r="C2234">
        <v>2E-3</v>
      </c>
    </row>
    <row r="2235" spans="1:3" x14ac:dyDescent="0.25">
      <c r="A2235">
        <v>2234</v>
      </c>
      <c r="B2235" t="s">
        <v>3348</v>
      </c>
      <c r="C2235">
        <v>2E-3</v>
      </c>
    </row>
    <row r="2236" spans="1:3" x14ac:dyDescent="0.25">
      <c r="A2236">
        <v>2235</v>
      </c>
      <c r="B2236" t="s">
        <v>3349</v>
      </c>
      <c r="C2236">
        <v>2E-3</v>
      </c>
    </row>
    <row r="2237" spans="1:3" x14ac:dyDescent="0.25">
      <c r="A2237">
        <v>2236</v>
      </c>
      <c r="B2237" t="s">
        <v>3350</v>
      </c>
      <c r="C2237">
        <v>2E-3</v>
      </c>
    </row>
    <row r="2238" spans="1:3" x14ac:dyDescent="0.25">
      <c r="A2238">
        <v>2237</v>
      </c>
      <c r="B2238" t="s">
        <v>3351</v>
      </c>
      <c r="C2238">
        <v>2E-3</v>
      </c>
    </row>
    <row r="2239" spans="1:3" x14ac:dyDescent="0.25">
      <c r="A2239">
        <v>2238</v>
      </c>
      <c r="B2239" t="s">
        <v>3352</v>
      </c>
      <c r="C2239">
        <v>2E-3</v>
      </c>
    </row>
    <row r="2240" spans="1:3" x14ac:dyDescent="0.25">
      <c r="A2240">
        <v>2239</v>
      </c>
      <c r="B2240" t="s">
        <v>3353</v>
      </c>
      <c r="C2240">
        <v>2E-3</v>
      </c>
    </row>
    <row r="2241" spans="1:3" x14ac:dyDescent="0.25">
      <c r="A2241">
        <v>2240</v>
      </c>
      <c r="B2241" t="s">
        <v>3354</v>
      </c>
      <c r="C2241">
        <v>2E-3</v>
      </c>
    </row>
    <row r="2242" spans="1:3" x14ac:dyDescent="0.25">
      <c r="A2242">
        <v>2241</v>
      </c>
      <c r="B2242" t="s">
        <v>3355</v>
      </c>
      <c r="C2242">
        <v>2E-3</v>
      </c>
    </row>
    <row r="2243" spans="1:3" x14ac:dyDescent="0.25">
      <c r="A2243">
        <v>2242</v>
      </c>
      <c r="B2243" t="s">
        <v>3356</v>
      </c>
      <c r="C2243">
        <v>2E-3</v>
      </c>
    </row>
    <row r="2244" spans="1:3" x14ac:dyDescent="0.25">
      <c r="A2244">
        <v>2243</v>
      </c>
      <c r="B2244" t="s">
        <v>3357</v>
      </c>
      <c r="C2244">
        <v>2E-3</v>
      </c>
    </row>
    <row r="2245" spans="1:3" x14ac:dyDescent="0.25">
      <c r="A2245">
        <v>2244</v>
      </c>
      <c r="B2245" t="s">
        <v>3358</v>
      </c>
      <c r="C2245">
        <v>2E-3</v>
      </c>
    </row>
    <row r="2246" spans="1:3" x14ac:dyDescent="0.25">
      <c r="A2246">
        <v>2245</v>
      </c>
      <c r="B2246" t="s">
        <v>3359</v>
      </c>
      <c r="C2246">
        <v>2E-3</v>
      </c>
    </row>
    <row r="2247" spans="1:3" x14ac:dyDescent="0.25">
      <c r="A2247">
        <v>2246</v>
      </c>
      <c r="B2247" t="s">
        <v>3360</v>
      </c>
      <c r="C2247">
        <v>2E-3</v>
      </c>
    </row>
    <row r="2248" spans="1:3" x14ac:dyDescent="0.25">
      <c r="A2248">
        <v>2247</v>
      </c>
      <c r="B2248" t="s">
        <v>3361</v>
      </c>
      <c r="C2248">
        <v>2E-3</v>
      </c>
    </row>
    <row r="2249" spans="1:3" x14ac:dyDescent="0.25">
      <c r="A2249">
        <v>2248</v>
      </c>
      <c r="B2249" t="s">
        <v>3362</v>
      </c>
      <c r="C2249">
        <v>2E-3</v>
      </c>
    </row>
    <row r="2250" spans="1:3" x14ac:dyDescent="0.25">
      <c r="A2250">
        <v>2249</v>
      </c>
      <c r="B2250" t="s">
        <v>3363</v>
      </c>
      <c r="C2250">
        <v>2E-3</v>
      </c>
    </row>
    <row r="2251" spans="1:3" x14ac:dyDescent="0.25">
      <c r="A2251">
        <v>2250</v>
      </c>
      <c r="B2251" t="s">
        <v>3364</v>
      </c>
      <c r="C2251">
        <v>2E-3</v>
      </c>
    </row>
    <row r="2252" spans="1:3" x14ac:dyDescent="0.25">
      <c r="A2252">
        <v>2251</v>
      </c>
      <c r="B2252" t="s">
        <v>3365</v>
      </c>
      <c r="C2252">
        <v>2E-3</v>
      </c>
    </row>
    <row r="2253" spans="1:3" x14ac:dyDescent="0.25">
      <c r="A2253">
        <v>2252</v>
      </c>
      <c r="B2253" t="s">
        <v>3366</v>
      </c>
      <c r="C2253">
        <v>2E-3</v>
      </c>
    </row>
    <row r="2254" spans="1:3" x14ac:dyDescent="0.25">
      <c r="A2254">
        <v>2253</v>
      </c>
      <c r="B2254" t="s">
        <v>3367</v>
      </c>
      <c r="C2254">
        <v>2E-3</v>
      </c>
    </row>
    <row r="2255" spans="1:3" x14ac:dyDescent="0.25">
      <c r="A2255">
        <v>2254</v>
      </c>
      <c r="B2255" t="s">
        <v>3368</v>
      </c>
      <c r="C2255">
        <v>2E-3</v>
      </c>
    </row>
    <row r="2256" spans="1:3" x14ac:dyDescent="0.25">
      <c r="A2256">
        <v>2255</v>
      </c>
      <c r="B2256" t="s">
        <v>3369</v>
      </c>
      <c r="C2256">
        <v>2E-3</v>
      </c>
    </row>
    <row r="2257" spans="1:3" x14ac:dyDescent="0.25">
      <c r="A2257">
        <v>2256</v>
      </c>
      <c r="B2257" t="s">
        <v>3370</v>
      </c>
      <c r="C2257">
        <v>2E-3</v>
      </c>
    </row>
    <row r="2258" spans="1:3" x14ac:dyDescent="0.25">
      <c r="A2258">
        <v>2257</v>
      </c>
      <c r="B2258" t="s">
        <v>3371</v>
      </c>
      <c r="C2258">
        <v>2E-3</v>
      </c>
    </row>
    <row r="2259" spans="1:3" x14ac:dyDescent="0.25">
      <c r="A2259">
        <v>2258</v>
      </c>
      <c r="B2259" t="s">
        <v>3372</v>
      </c>
      <c r="C2259">
        <v>2E-3</v>
      </c>
    </row>
    <row r="2260" spans="1:3" x14ac:dyDescent="0.25">
      <c r="A2260">
        <v>2259</v>
      </c>
      <c r="B2260" t="s">
        <v>3373</v>
      </c>
      <c r="C2260">
        <v>2E-3</v>
      </c>
    </row>
    <row r="2261" spans="1:3" x14ac:dyDescent="0.25">
      <c r="A2261">
        <v>2260</v>
      </c>
      <c r="B2261" t="s">
        <v>3374</v>
      </c>
      <c r="C2261">
        <v>2E-3</v>
      </c>
    </row>
    <row r="2262" spans="1:3" x14ac:dyDescent="0.25">
      <c r="A2262">
        <v>2261</v>
      </c>
      <c r="B2262" t="s">
        <v>3375</v>
      </c>
      <c r="C2262">
        <v>2E-3</v>
      </c>
    </row>
    <row r="2263" spans="1:3" x14ac:dyDescent="0.25">
      <c r="A2263">
        <v>2262</v>
      </c>
      <c r="B2263" t="s">
        <v>3376</v>
      </c>
      <c r="C2263">
        <v>2E-3</v>
      </c>
    </row>
    <row r="2264" spans="1:3" x14ac:dyDescent="0.25">
      <c r="A2264">
        <v>2263</v>
      </c>
      <c r="B2264" t="s">
        <v>3377</v>
      </c>
      <c r="C2264">
        <v>2E-3</v>
      </c>
    </row>
    <row r="2265" spans="1:3" x14ac:dyDescent="0.25">
      <c r="A2265">
        <v>2264</v>
      </c>
      <c r="B2265" t="s">
        <v>3378</v>
      </c>
      <c r="C2265">
        <v>2E-3</v>
      </c>
    </row>
    <row r="2266" spans="1:3" x14ac:dyDescent="0.25">
      <c r="A2266">
        <v>2265</v>
      </c>
      <c r="B2266" t="s">
        <v>3379</v>
      </c>
      <c r="C2266">
        <v>2E-3</v>
      </c>
    </row>
    <row r="2267" spans="1:3" x14ac:dyDescent="0.25">
      <c r="A2267">
        <v>2266</v>
      </c>
      <c r="B2267" t="s">
        <v>3380</v>
      </c>
      <c r="C2267">
        <v>2E-3</v>
      </c>
    </row>
    <row r="2268" spans="1:3" x14ac:dyDescent="0.25">
      <c r="A2268">
        <v>2267</v>
      </c>
      <c r="B2268" t="s">
        <v>3381</v>
      </c>
      <c r="C2268">
        <v>2E-3</v>
      </c>
    </row>
    <row r="2269" spans="1:3" x14ac:dyDescent="0.25">
      <c r="A2269">
        <v>2268</v>
      </c>
      <c r="B2269" t="s">
        <v>3382</v>
      </c>
      <c r="C2269">
        <v>2E-3</v>
      </c>
    </row>
    <row r="2270" spans="1:3" x14ac:dyDescent="0.25">
      <c r="A2270">
        <v>2269</v>
      </c>
      <c r="B2270" t="s">
        <v>3383</v>
      </c>
      <c r="C2270">
        <v>2E-3</v>
      </c>
    </row>
    <row r="2271" spans="1:3" x14ac:dyDescent="0.25">
      <c r="A2271">
        <v>2270</v>
      </c>
      <c r="B2271" t="s">
        <v>3384</v>
      </c>
      <c r="C2271">
        <v>2E-3</v>
      </c>
    </row>
    <row r="2272" spans="1:3" x14ac:dyDescent="0.25">
      <c r="A2272">
        <v>2271</v>
      </c>
      <c r="B2272" t="s">
        <v>3385</v>
      </c>
      <c r="C2272">
        <v>2E-3</v>
      </c>
    </row>
    <row r="2273" spans="1:3" x14ac:dyDescent="0.25">
      <c r="A2273">
        <v>2272</v>
      </c>
      <c r="B2273" t="s">
        <v>3386</v>
      </c>
      <c r="C2273">
        <v>2E-3</v>
      </c>
    </row>
    <row r="2274" spans="1:3" x14ac:dyDescent="0.25">
      <c r="A2274">
        <v>2273</v>
      </c>
      <c r="B2274" t="s">
        <v>3387</v>
      </c>
      <c r="C2274">
        <v>2E-3</v>
      </c>
    </row>
    <row r="2275" spans="1:3" x14ac:dyDescent="0.25">
      <c r="A2275">
        <v>2274</v>
      </c>
      <c r="B2275" t="s">
        <v>3388</v>
      </c>
      <c r="C2275">
        <v>2E-3</v>
      </c>
    </row>
    <row r="2276" spans="1:3" x14ac:dyDescent="0.25">
      <c r="A2276">
        <v>2275</v>
      </c>
      <c r="B2276" t="s">
        <v>3389</v>
      </c>
      <c r="C2276">
        <v>2E-3</v>
      </c>
    </row>
    <row r="2277" spans="1:3" x14ac:dyDescent="0.25">
      <c r="A2277">
        <v>2276</v>
      </c>
      <c r="B2277" t="s">
        <v>3390</v>
      </c>
      <c r="C2277">
        <v>2E-3</v>
      </c>
    </row>
    <row r="2278" spans="1:3" x14ac:dyDescent="0.25">
      <c r="A2278">
        <v>2277</v>
      </c>
      <c r="B2278" t="s">
        <v>3391</v>
      </c>
      <c r="C2278">
        <v>2E-3</v>
      </c>
    </row>
    <row r="2279" spans="1:3" x14ac:dyDescent="0.25">
      <c r="A2279">
        <v>2278</v>
      </c>
      <c r="B2279" t="s">
        <v>3392</v>
      </c>
      <c r="C2279">
        <v>2E-3</v>
      </c>
    </row>
    <row r="2280" spans="1:3" x14ac:dyDescent="0.25">
      <c r="A2280">
        <v>2279</v>
      </c>
      <c r="B2280" t="s">
        <v>3393</v>
      </c>
      <c r="C2280">
        <v>2E-3</v>
      </c>
    </row>
    <row r="2281" spans="1:3" x14ac:dyDescent="0.25">
      <c r="A2281">
        <v>2280</v>
      </c>
      <c r="B2281" t="s">
        <v>3394</v>
      </c>
      <c r="C2281">
        <v>2E-3</v>
      </c>
    </row>
    <row r="2282" spans="1:3" x14ac:dyDescent="0.25">
      <c r="A2282">
        <v>2281</v>
      </c>
      <c r="B2282" t="s">
        <v>3395</v>
      </c>
      <c r="C2282">
        <v>2E-3</v>
      </c>
    </row>
    <row r="2283" spans="1:3" x14ac:dyDescent="0.25">
      <c r="A2283">
        <v>2282</v>
      </c>
      <c r="B2283" t="s">
        <v>3396</v>
      </c>
      <c r="C2283">
        <v>2E-3</v>
      </c>
    </row>
    <row r="2284" spans="1:3" x14ac:dyDescent="0.25">
      <c r="A2284">
        <v>2283</v>
      </c>
      <c r="B2284" t="s">
        <v>3397</v>
      </c>
      <c r="C2284">
        <v>2E-3</v>
      </c>
    </row>
    <row r="2285" spans="1:3" x14ac:dyDescent="0.25">
      <c r="A2285">
        <v>2284</v>
      </c>
      <c r="B2285" t="s">
        <v>3398</v>
      </c>
      <c r="C2285">
        <v>2E-3</v>
      </c>
    </row>
    <row r="2286" spans="1:3" x14ac:dyDescent="0.25">
      <c r="A2286">
        <v>2285</v>
      </c>
      <c r="B2286" t="s">
        <v>3399</v>
      </c>
      <c r="C2286">
        <v>2E-3</v>
      </c>
    </row>
    <row r="2287" spans="1:3" x14ac:dyDescent="0.25">
      <c r="A2287">
        <v>2286</v>
      </c>
      <c r="B2287" t="s">
        <v>3400</v>
      </c>
      <c r="C2287">
        <v>2E-3</v>
      </c>
    </row>
    <row r="2288" spans="1:3" x14ac:dyDescent="0.25">
      <c r="A2288">
        <v>2287</v>
      </c>
      <c r="B2288" t="s">
        <v>3401</v>
      </c>
      <c r="C2288">
        <v>2E-3</v>
      </c>
    </row>
    <row r="2289" spans="1:3" x14ac:dyDescent="0.25">
      <c r="A2289">
        <v>2288</v>
      </c>
      <c r="B2289" t="s">
        <v>3402</v>
      </c>
      <c r="C2289">
        <v>2E-3</v>
      </c>
    </row>
    <row r="2290" spans="1:3" x14ac:dyDescent="0.25">
      <c r="A2290">
        <v>2289</v>
      </c>
      <c r="B2290" t="s">
        <v>3403</v>
      </c>
      <c r="C2290">
        <v>2E-3</v>
      </c>
    </row>
    <row r="2291" spans="1:3" x14ac:dyDescent="0.25">
      <c r="A2291">
        <v>2290</v>
      </c>
      <c r="B2291" t="s">
        <v>3404</v>
      </c>
      <c r="C2291">
        <v>2E-3</v>
      </c>
    </row>
    <row r="2292" spans="1:3" x14ac:dyDescent="0.25">
      <c r="A2292">
        <v>2291</v>
      </c>
      <c r="B2292" t="s">
        <v>3405</v>
      </c>
      <c r="C2292">
        <v>1E-3</v>
      </c>
    </row>
    <row r="2293" spans="1:3" x14ac:dyDescent="0.25">
      <c r="A2293">
        <v>2292</v>
      </c>
      <c r="B2293" t="s">
        <v>3406</v>
      </c>
      <c r="C2293">
        <v>1E-3</v>
      </c>
    </row>
    <row r="2294" spans="1:3" x14ac:dyDescent="0.25">
      <c r="A2294">
        <v>2293</v>
      </c>
      <c r="B2294" t="s">
        <v>3407</v>
      </c>
      <c r="C2294">
        <v>1E-3</v>
      </c>
    </row>
    <row r="2295" spans="1:3" x14ac:dyDescent="0.25">
      <c r="A2295">
        <v>2294</v>
      </c>
      <c r="B2295" t="s">
        <v>3408</v>
      </c>
      <c r="C2295">
        <v>1E-3</v>
      </c>
    </row>
    <row r="2296" spans="1:3" x14ac:dyDescent="0.25">
      <c r="A2296">
        <v>2295</v>
      </c>
      <c r="B2296" t="s">
        <v>3409</v>
      </c>
      <c r="C2296">
        <v>1E-3</v>
      </c>
    </row>
    <row r="2297" spans="1:3" x14ac:dyDescent="0.25">
      <c r="A2297">
        <v>2296</v>
      </c>
      <c r="B2297" t="s">
        <v>3410</v>
      </c>
      <c r="C2297">
        <v>1E-3</v>
      </c>
    </row>
    <row r="2298" spans="1:3" x14ac:dyDescent="0.25">
      <c r="A2298">
        <v>2297</v>
      </c>
      <c r="B2298" t="s">
        <v>3411</v>
      </c>
      <c r="C2298">
        <v>1E-3</v>
      </c>
    </row>
    <row r="2299" spans="1:3" x14ac:dyDescent="0.25">
      <c r="A2299">
        <v>2298</v>
      </c>
      <c r="B2299" t="s">
        <v>3412</v>
      </c>
      <c r="C2299">
        <v>1E-3</v>
      </c>
    </row>
    <row r="2300" spans="1:3" x14ac:dyDescent="0.25">
      <c r="A2300">
        <v>2299</v>
      </c>
      <c r="B2300" t="s">
        <v>3413</v>
      </c>
      <c r="C2300">
        <v>1E-3</v>
      </c>
    </row>
    <row r="2301" spans="1:3" x14ac:dyDescent="0.25">
      <c r="A2301">
        <v>2300</v>
      </c>
      <c r="B2301" t="s">
        <v>3414</v>
      </c>
      <c r="C2301">
        <v>1E-3</v>
      </c>
    </row>
    <row r="2302" spans="1:3" x14ac:dyDescent="0.25">
      <c r="A2302">
        <v>2301</v>
      </c>
      <c r="B2302" t="s">
        <v>3415</v>
      </c>
      <c r="C2302">
        <v>1E-3</v>
      </c>
    </row>
    <row r="2303" spans="1:3" x14ac:dyDescent="0.25">
      <c r="A2303">
        <v>2302</v>
      </c>
      <c r="B2303" t="s">
        <v>3416</v>
      </c>
      <c r="C2303">
        <v>1E-3</v>
      </c>
    </row>
    <row r="2304" spans="1:3" x14ac:dyDescent="0.25">
      <c r="A2304">
        <v>2303</v>
      </c>
      <c r="B2304" t="s">
        <v>3417</v>
      </c>
      <c r="C2304">
        <v>1E-3</v>
      </c>
    </row>
    <row r="2305" spans="1:3" x14ac:dyDescent="0.25">
      <c r="A2305">
        <v>2304</v>
      </c>
      <c r="B2305" t="s">
        <v>3418</v>
      </c>
      <c r="C2305">
        <v>1E-3</v>
      </c>
    </row>
    <row r="2306" spans="1:3" x14ac:dyDescent="0.25">
      <c r="A2306">
        <v>2305</v>
      </c>
      <c r="B2306" t="s">
        <v>3419</v>
      </c>
      <c r="C2306">
        <v>1E-3</v>
      </c>
    </row>
    <row r="2307" spans="1:3" x14ac:dyDescent="0.25">
      <c r="A2307">
        <v>2306</v>
      </c>
      <c r="B2307" t="s">
        <v>3420</v>
      </c>
      <c r="C2307">
        <v>1E-3</v>
      </c>
    </row>
    <row r="2308" spans="1:3" x14ac:dyDescent="0.25">
      <c r="A2308">
        <v>2307</v>
      </c>
      <c r="B2308" t="s">
        <v>3421</v>
      </c>
      <c r="C2308">
        <v>1E-3</v>
      </c>
    </row>
    <row r="2309" spans="1:3" x14ac:dyDescent="0.25">
      <c r="A2309">
        <v>2308</v>
      </c>
      <c r="B2309" t="s">
        <v>3422</v>
      </c>
      <c r="C2309">
        <v>1E-3</v>
      </c>
    </row>
    <row r="2310" spans="1:3" x14ac:dyDescent="0.25">
      <c r="A2310">
        <v>2309</v>
      </c>
      <c r="B2310" t="s">
        <v>3423</v>
      </c>
      <c r="C2310">
        <v>1E-3</v>
      </c>
    </row>
    <row r="2311" spans="1:3" x14ac:dyDescent="0.25">
      <c r="A2311">
        <v>2310</v>
      </c>
      <c r="B2311" t="s">
        <v>3424</v>
      </c>
      <c r="C2311">
        <v>1E-3</v>
      </c>
    </row>
    <row r="2312" spans="1:3" x14ac:dyDescent="0.25">
      <c r="A2312">
        <v>2311</v>
      </c>
      <c r="B2312" t="s">
        <v>3425</v>
      </c>
      <c r="C2312">
        <v>1E-3</v>
      </c>
    </row>
    <row r="2313" spans="1:3" x14ac:dyDescent="0.25">
      <c r="A2313">
        <v>2312</v>
      </c>
      <c r="B2313" t="s">
        <v>3426</v>
      </c>
      <c r="C2313">
        <v>1E-3</v>
      </c>
    </row>
    <row r="2314" spans="1:3" x14ac:dyDescent="0.25">
      <c r="A2314">
        <v>2313</v>
      </c>
      <c r="B2314" t="s">
        <v>3427</v>
      </c>
      <c r="C2314">
        <v>1E-3</v>
      </c>
    </row>
    <row r="2315" spans="1:3" x14ac:dyDescent="0.25">
      <c r="A2315">
        <v>2314</v>
      </c>
      <c r="B2315" t="s">
        <v>3428</v>
      </c>
      <c r="C2315">
        <v>1E-3</v>
      </c>
    </row>
    <row r="2316" spans="1:3" x14ac:dyDescent="0.25">
      <c r="A2316">
        <v>2315</v>
      </c>
      <c r="B2316" t="s">
        <v>3429</v>
      </c>
      <c r="C2316">
        <v>1E-3</v>
      </c>
    </row>
    <row r="2317" spans="1:3" x14ac:dyDescent="0.25">
      <c r="A2317">
        <v>2316</v>
      </c>
      <c r="B2317" t="s">
        <v>3430</v>
      </c>
      <c r="C2317">
        <v>1E-3</v>
      </c>
    </row>
    <row r="2318" spans="1:3" x14ac:dyDescent="0.25">
      <c r="A2318">
        <v>2317</v>
      </c>
      <c r="B2318" t="s">
        <v>3431</v>
      </c>
      <c r="C2318">
        <v>1E-3</v>
      </c>
    </row>
    <row r="2319" spans="1:3" x14ac:dyDescent="0.25">
      <c r="A2319">
        <v>2318</v>
      </c>
      <c r="B2319" t="s">
        <v>3432</v>
      </c>
      <c r="C2319">
        <v>1E-3</v>
      </c>
    </row>
    <row r="2320" spans="1:3" x14ac:dyDescent="0.25">
      <c r="A2320">
        <v>2319</v>
      </c>
      <c r="B2320" t="s">
        <v>3433</v>
      </c>
      <c r="C2320">
        <v>1E-3</v>
      </c>
    </row>
    <row r="2321" spans="1:3" x14ac:dyDescent="0.25">
      <c r="A2321">
        <v>2320</v>
      </c>
      <c r="B2321" t="s">
        <v>3434</v>
      </c>
      <c r="C2321">
        <v>1E-3</v>
      </c>
    </row>
    <row r="2322" spans="1:3" x14ac:dyDescent="0.25">
      <c r="A2322">
        <v>2321</v>
      </c>
      <c r="B2322" t="s">
        <v>3435</v>
      </c>
      <c r="C2322">
        <v>1E-3</v>
      </c>
    </row>
    <row r="2323" spans="1:3" x14ac:dyDescent="0.25">
      <c r="A2323">
        <v>2322</v>
      </c>
      <c r="B2323" t="s">
        <v>3436</v>
      </c>
      <c r="C2323">
        <v>1E-3</v>
      </c>
    </row>
    <row r="2324" spans="1:3" x14ac:dyDescent="0.25">
      <c r="A2324">
        <v>2323</v>
      </c>
      <c r="B2324" t="s">
        <v>3437</v>
      </c>
      <c r="C2324">
        <v>1E-3</v>
      </c>
    </row>
    <row r="2325" spans="1:3" x14ac:dyDescent="0.25">
      <c r="A2325">
        <v>2324</v>
      </c>
      <c r="B2325" t="s">
        <v>3438</v>
      </c>
      <c r="C2325">
        <v>1E-3</v>
      </c>
    </row>
    <row r="2326" spans="1:3" x14ac:dyDescent="0.25">
      <c r="A2326">
        <v>2325</v>
      </c>
      <c r="B2326" t="s">
        <v>3439</v>
      </c>
      <c r="C2326">
        <v>1E-3</v>
      </c>
    </row>
    <row r="2327" spans="1:3" x14ac:dyDescent="0.25">
      <c r="A2327">
        <v>2326</v>
      </c>
      <c r="B2327" t="s">
        <v>3440</v>
      </c>
      <c r="C2327">
        <v>1E-3</v>
      </c>
    </row>
    <row r="2328" spans="1:3" x14ac:dyDescent="0.25">
      <c r="A2328">
        <v>2327</v>
      </c>
      <c r="B2328" t="s">
        <v>3441</v>
      </c>
      <c r="C2328">
        <v>1E-3</v>
      </c>
    </row>
    <row r="2329" spans="1:3" x14ac:dyDescent="0.25">
      <c r="A2329">
        <v>2328</v>
      </c>
      <c r="B2329" t="s">
        <v>3442</v>
      </c>
      <c r="C2329">
        <v>1E-3</v>
      </c>
    </row>
    <row r="2330" spans="1:3" x14ac:dyDescent="0.25">
      <c r="A2330">
        <v>2329</v>
      </c>
      <c r="B2330" t="s">
        <v>3443</v>
      </c>
      <c r="C2330">
        <v>1E-3</v>
      </c>
    </row>
    <row r="2331" spans="1:3" x14ac:dyDescent="0.25">
      <c r="A2331">
        <v>2330</v>
      </c>
      <c r="B2331" t="s">
        <v>3444</v>
      </c>
      <c r="C2331">
        <v>1E-3</v>
      </c>
    </row>
    <row r="2332" spans="1:3" x14ac:dyDescent="0.25">
      <c r="A2332">
        <v>2331</v>
      </c>
      <c r="B2332" t="s">
        <v>3445</v>
      </c>
      <c r="C2332">
        <v>1E-3</v>
      </c>
    </row>
    <row r="2333" spans="1:3" x14ac:dyDescent="0.25">
      <c r="A2333">
        <v>2332</v>
      </c>
      <c r="B2333" t="s">
        <v>3446</v>
      </c>
      <c r="C2333">
        <v>1E-3</v>
      </c>
    </row>
    <row r="2334" spans="1:3" x14ac:dyDescent="0.25">
      <c r="A2334">
        <v>2333</v>
      </c>
      <c r="B2334" t="s">
        <v>3447</v>
      </c>
      <c r="C2334">
        <v>1E-3</v>
      </c>
    </row>
    <row r="2335" spans="1:3" x14ac:dyDescent="0.25">
      <c r="A2335">
        <v>2334</v>
      </c>
      <c r="B2335" t="s">
        <v>3448</v>
      </c>
      <c r="C2335">
        <v>1E-3</v>
      </c>
    </row>
    <row r="2336" spans="1:3" x14ac:dyDescent="0.25">
      <c r="A2336">
        <v>2335</v>
      </c>
      <c r="B2336" t="s">
        <v>3449</v>
      </c>
      <c r="C2336">
        <v>1E-3</v>
      </c>
    </row>
    <row r="2337" spans="1:3" x14ac:dyDescent="0.25">
      <c r="A2337">
        <v>2336</v>
      </c>
      <c r="B2337" t="s">
        <v>3450</v>
      </c>
      <c r="C2337">
        <v>1E-3</v>
      </c>
    </row>
    <row r="2338" spans="1:3" x14ac:dyDescent="0.25">
      <c r="A2338">
        <v>2337</v>
      </c>
      <c r="B2338" t="s">
        <v>3451</v>
      </c>
      <c r="C2338">
        <v>1E-3</v>
      </c>
    </row>
    <row r="2339" spans="1:3" x14ac:dyDescent="0.25">
      <c r="A2339">
        <v>2338</v>
      </c>
      <c r="B2339" t="s">
        <v>3452</v>
      </c>
      <c r="C2339">
        <v>1E-3</v>
      </c>
    </row>
    <row r="2340" spans="1:3" x14ac:dyDescent="0.25">
      <c r="A2340">
        <v>2339</v>
      </c>
      <c r="B2340" t="s">
        <v>3453</v>
      </c>
      <c r="C2340">
        <v>1E-3</v>
      </c>
    </row>
    <row r="2341" spans="1:3" x14ac:dyDescent="0.25">
      <c r="A2341">
        <v>2340</v>
      </c>
      <c r="B2341" t="s">
        <v>3454</v>
      </c>
      <c r="C2341">
        <v>1E-3</v>
      </c>
    </row>
    <row r="2342" spans="1:3" x14ac:dyDescent="0.25">
      <c r="A2342">
        <v>2341</v>
      </c>
      <c r="B2342" t="s">
        <v>3455</v>
      </c>
      <c r="C2342">
        <v>1E-3</v>
      </c>
    </row>
    <row r="2343" spans="1:3" x14ac:dyDescent="0.25">
      <c r="A2343">
        <v>2342</v>
      </c>
      <c r="B2343" t="s">
        <v>3456</v>
      </c>
      <c r="C2343">
        <v>1E-3</v>
      </c>
    </row>
    <row r="2344" spans="1:3" x14ac:dyDescent="0.25">
      <c r="A2344">
        <v>2343</v>
      </c>
      <c r="B2344" t="s">
        <v>3457</v>
      </c>
      <c r="C2344">
        <v>1E-3</v>
      </c>
    </row>
    <row r="2345" spans="1:3" x14ac:dyDescent="0.25">
      <c r="A2345">
        <v>2344</v>
      </c>
      <c r="B2345" t="s">
        <v>3458</v>
      </c>
      <c r="C2345">
        <v>1E-3</v>
      </c>
    </row>
    <row r="2346" spans="1:3" x14ac:dyDescent="0.25">
      <c r="A2346">
        <v>2345</v>
      </c>
      <c r="B2346" t="s">
        <v>3459</v>
      </c>
      <c r="C2346">
        <v>1E-3</v>
      </c>
    </row>
    <row r="2347" spans="1:3" x14ac:dyDescent="0.25">
      <c r="A2347">
        <v>2346</v>
      </c>
      <c r="B2347" t="s">
        <v>3460</v>
      </c>
      <c r="C2347">
        <v>1E-3</v>
      </c>
    </row>
    <row r="2348" spans="1:3" x14ac:dyDescent="0.25">
      <c r="A2348">
        <v>2347</v>
      </c>
      <c r="B2348" t="s">
        <v>3461</v>
      </c>
      <c r="C2348">
        <v>1E-3</v>
      </c>
    </row>
    <row r="2349" spans="1:3" x14ac:dyDescent="0.25">
      <c r="A2349">
        <v>2348</v>
      </c>
      <c r="B2349" t="s">
        <v>3462</v>
      </c>
      <c r="C2349">
        <v>1E-3</v>
      </c>
    </row>
    <row r="2350" spans="1:3" x14ac:dyDescent="0.25">
      <c r="A2350">
        <v>2349</v>
      </c>
      <c r="B2350" t="s">
        <v>3463</v>
      </c>
      <c r="C2350">
        <v>1E-3</v>
      </c>
    </row>
    <row r="2351" spans="1:3" x14ac:dyDescent="0.25">
      <c r="A2351">
        <v>2350</v>
      </c>
      <c r="B2351" t="s">
        <v>3464</v>
      </c>
      <c r="C2351">
        <v>1E-3</v>
      </c>
    </row>
    <row r="2352" spans="1:3" x14ac:dyDescent="0.25">
      <c r="A2352">
        <v>2351</v>
      </c>
      <c r="B2352" t="s">
        <v>3465</v>
      </c>
      <c r="C2352">
        <v>1E-3</v>
      </c>
    </row>
    <row r="2353" spans="1:3" x14ac:dyDescent="0.25">
      <c r="A2353">
        <v>2352</v>
      </c>
      <c r="B2353" t="s">
        <v>3466</v>
      </c>
      <c r="C2353">
        <v>1E-3</v>
      </c>
    </row>
    <row r="2354" spans="1:3" x14ac:dyDescent="0.25">
      <c r="A2354">
        <v>2353</v>
      </c>
      <c r="B2354" t="s">
        <v>3467</v>
      </c>
      <c r="C2354">
        <v>1E-3</v>
      </c>
    </row>
    <row r="2355" spans="1:3" x14ac:dyDescent="0.25">
      <c r="A2355">
        <v>2354</v>
      </c>
      <c r="B2355" t="s">
        <v>3468</v>
      </c>
      <c r="C2355">
        <v>1E-3</v>
      </c>
    </row>
    <row r="2356" spans="1:3" x14ac:dyDescent="0.25">
      <c r="A2356">
        <v>2355</v>
      </c>
      <c r="B2356" t="s">
        <v>3469</v>
      </c>
      <c r="C2356">
        <v>1E-3</v>
      </c>
    </row>
    <row r="2357" spans="1:3" x14ac:dyDescent="0.25">
      <c r="A2357">
        <v>2356</v>
      </c>
      <c r="B2357" t="s">
        <v>3470</v>
      </c>
      <c r="C2357">
        <v>1E-3</v>
      </c>
    </row>
    <row r="2358" spans="1:3" x14ac:dyDescent="0.25">
      <c r="A2358">
        <v>2357</v>
      </c>
      <c r="B2358" t="s">
        <v>3471</v>
      </c>
      <c r="C2358">
        <v>1E-3</v>
      </c>
    </row>
    <row r="2359" spans="1:3" x14ac:dyDescent="0.25">
      <c r="A2359">
        <v>2358</v>
      </c>
      <c r="B2359" t="s">
        <v>3472</v>
      </c>
      <c r="C2359">
        <v>1E-3</v>
      </c>
    </row>
    <row r="2360" spans="1:3" x14ac:dyDescent="0.25">
      <c r="A2360">
        <v>2359</v>
      </c>
      <c r="B2360" t="s">
        <v>3473</v>
      </c>
      <c r="C2360">
        <v>1E-3</v>
      </c>
    </row>
    <row r="2361" spans="1:3" x14ac:dyDescent="0.25">
      <c r="A2361">
        <v>2360</v>
      </c>
      <c r="B2361" t="s">
        <v>3474</v>
      </c>
      <c r="C2361">
        <v>1E-3</v>
      </c>
    </row>
    <row r="2362" spans="1:3" x14ac:dyDescent="0.25">
      <c r="A2362">
        <v>2361</v>
      </c>
      <c r="B2362" t="s">
        <v>3475</v>
      </c>
      <c r="C2362">
        <v>1E-3</v>
      </c>
    </row>
    <row r="2363" spans="1:3" x14ac:dyDescent="0.25">
      <c r="A2363">
        <v>2362</v>
      </c>
      <c r="B2363" t="s">
        <v>3476</v>
      </c>
      <c r="C2363">
        <v>1E-3</v>
      </c>
    </row>
    <row r="2364" spans="1:3" x14ac:dyDescent="0.25">
      <c r="A2364">
        <v>2363</v>
      </c>
      <c r="B2364" t="s">
        <v>3477</v>
      </c>
      <c r="C2364">
        <v>1E-3</v>
      </c>
    </row>
    <row r="2365" spans="1:3" x14ac:dyDescent="0.25">
      <c r="A2365">
        <v>2364</v>
      </c>
      <c r="B2365" t="s">
        <v>3478</v>
      </c>
      <c r="C2365">
        <v>1E-3</v>
      </c>
    </row>
    <row r="2366" spans="1:3" x14ac:dyDescent="0.25">
      <c r="A2366">
        <v>2365</v>
      </c>
      <c r="B2366" t="s">
        <v>3479</v>
      </c>
      <c r="C2366">
        <v>1E-3</v>
      </c>
    </row>
    <row r="2367" spans="1:3" x14ac:dyDescent="0.25">
      <c r="A2367">
        <v>2366</v>
      </c>
      <c r="B2367" t="s">
        <v>3480</v>
      </c>
      <c r="C2367">
        <v>1E-3</v>
      </c>
    </row>
    <row r="2368" spans="1:3" x14ac:dyDescent="0.25">
      <c r="A2368">
        <v>2367</v>
      </c>
      <c r="B2368" t="s">
        <v>3481</v>
      </c>
      <c r="C2368">
        <v>1E-3</v>
      </c>
    </row>
    <row r="2369" spans="1:3" x14ac:dyDescent="0.25">
      <c r="A2369">
        <v>2368</v>
      </c>
      <c r="B2369" t="s">
        <v>3482</v>
      </c>
      <c r="C2369">
        <v>1E-3</v>
      </c>
    </row>
    <row r="2370" spans="1:3" x14ac:dyDescent="0.25">
      <c r="A2370">
        <v>2369</v>
      </c>
      <c r="B2370" t="s">
        <v>3483</v>
      </c>
      <c r="C2370">
        <v>1E-3</v>
      </c>
    </row>
    <row r="2371" spans="1:3" x14ac:dyDescent="0.25">
      <c r="A2371">
        <v>2370</v>
      </c>
      <c r="B2371" t="s">
        <v>3484</v>
      </c>
      <c r="C2371">
        <v>1E-3</v>
      </c>
    </row>
    <row r="2372" spans="1:3" x14ac:dyDescent="0.25">
      <c r="A2372">
        <v>2371</v>
      </c>
      <c r="B2372" t="s">
        <v>3485</v>
      </c>
      <c r="C2372">
        <v>1E-3</v>
      </c>
    </row>
    <row r="2373" spans="1:3" x14ac:dyDescent="0.25">
      <c r="A2373">
        <v>2372</v>
      </c>
      <c r="B2373" t="s">
        <v>3486</v>
      </c>
      <c r="C2373">
        <v>1E-3</v>
      </c>
    </row>
    <row r="2374" spans="1:3" x14ac:dyDescent="0.25">
      <c r="A2374">
        <v>2373</v>
      </c>
      <c r="B2374" t="s">
        <v>3487</v>
      </c>
      <c r="C2374">
        <v>1E-3</v>
      </c>
    </row>
    <row r="2375" spans="1:3" x14ac:dyDescent="0.25">
      <c r="A2375">
        <v>2374</v>
      </c>
      <c r="B2375" t="s">
        <v>3488</v>
      </c>
      <c r="C2375">
        <v>1E-3</v>
      </c>
    </row>
    <row r="2376" spans="1:3" x14ac:dyDescent="0.25">
      <c r="A2376">
        <v>2375</v>
      </c>
      <c r="B2376" t="s">
        <v>3489</v>
      </c>
      <c r="C2376">
        <v>1E-3</v>
      </c>
    </row>
    <row r="2377" spans="1:3" x14ac:dyDescent="0.25">
      <c r="A2377">
        <v>2376</v>
      </c>
      <c r="B2377" t="s">
        <v>3490</v>
      </c>
      <c r="C2377">
        <v>1E-3</v>
      </c>
    </row>
    <row r="2378" spans="1:3" x14ac:dyDescent="0.25">
      <c r="A2378">
        <v>2377</v>
      </c>
      <c r="B2378" t="s">
        <v>3491</v>
      </c>
      <c r="C2378">
        <v>1E-3</v>
      </c>
    </row>
    <row r="2379" spans="1:3" x14ac:dyDescent="0.25">
      <c r="A2379">
        <v>2378</v>
      </c>
      <c r="B2379" t="s">
        <v>3492</v>
      </c>
      <c r="C2379">
        <v>1E-3</v>
      </c>
    </row>
    <row r="2380" spans="1:3" x14ac:dyDescent="0.25">
      <c r="A2380">
        <v>2379</v>
      </c>
      <c r="B2380" t="s">
        <v>3493</v>
      </c>
      <c r="C2380">
        <v>1E-3</v>
      </c>
    </row>
    <row r="2381" spans="1:3" x14ac:dyDescent="0.25">
      <c r="A2381">
        <v>2380</v>
      </c>
      <c r="B2381" t="s">
        <v>3494</v>
      </c>
      <c r="C2381">
        <v>1E-3</v>
      </c>
    </row>
    <row r="2382" spans="1:3" x14ac:dyDescent="0.25">
      <c r="A2382">
        <v>2381</v>
      </c>
      <c r="B2382" t="s">
        <v>3495</v>
      </c>
      <c r="C2382">
        <v>1E-3</v>
      </c>
    </row>
    <row r="2383" spans="1:3" x14ac:dyDescent="0.25">
      <c r="A2383">
        <v>2382</v>
      </c>
      <c r="B2383" t="s">
        <v>3496</v>
      </c>
      <c r="C2383">
        <v>1E-3</v>
      </c>
    </row>
    <row r="2384" spans="1:3" x14ac:dyDescent="0.25">
      <c r="A2384">
        <v>2383</v>
      </c>
      <c r="B2384" t="s">
        <v>3497</v>
      </c>
      <c r="C2384">
        <v>1E-3</v>
      </c>
    </row>
    <row r="2385" spans="1:3" x14ac:dyDescent="0.25">
      <c r="A2385">
        <v>2384</v>
      </c>
      <c r="B2385" t="s">
        <v>3498</v>
      </c>
      <c r="C2385">
        <v>1E-3</v>
      </c>
    </row>
    <row r="2386" spans="1:3" x14ac:dyDescent="0.25">
      <c r="A2386">
        <v>2385</v>
      </c>
      <c r="B2386" t="s">
        <v>3499</v>
      </c>
      <c r="C2386">
        <v>1E-3</v>
      </c>
    </row>
    <row r="2387" spans="1:3" x14ac:dyDescent="0.25">
      <c r="A2387">
        <v>2386</v>
      </c>
      <c r="B2387" t="s">
        <v>3500</v>
      </c>
      <c r="C2387">
        <v>1E-3</v>
      </c>
    </row>
    <row r="2388" spans="1:3" x14ac:dyDescent="0.25">
      <c r="A2388">
        <v>2387</v>
      </c>
      <c r="B2388" t="s">
        <v>3501</v>
      </c>
      <c r="C2388">
        <v>1E-3</v>
      </c>
    </row>
    <row r="2389" spans="1:3" x14ac:dyDescent="0.25">
      <c r="A2389">
        <v>2388</v>
      </c>
      <c r="B2389" t="s">
        <v>3502</v>
      </c>
      <c r="C2389">
        <v>1E-3</v>
      </c>
    </row>
    <row r="2390" spans="1:3" x14ac:dyDescent="0.25">
      <c r="A2390">
        <v>2389</v>
      </c>
      <c r="B2390" t="s">
        <v>3503</v>
      </c>
      <c r="C2390">
        <v>1E-3</v>
      </c>
    </row>
    <row r="2391" spans="1:3" x14ac:dyDescent="0.25">
      <c r="A2391">
        <v>2390</v>
      </c>
      <c r="B2391" t="s">
        <v>3504</v>
      </c>
      <c r="C2391">
        <v>1E-3</v>
      </c>
    </row>
    <row r="2392" spans="1:3" x14ac:dyDescent="0.25">
      <c r="A2392">
        <v>2391</v>
      </c>
      <c r="B2392" t="s">
        <v>3505</v>
      </c>
      <c r="C2392">
        <v>1E-3</v>
      </c>
    </row>
    <row r="2393" spans="1:3" x14ac:dyDescent="0.25">
      <c r="A2393">
        <v>2392</v>
      </c>
      <c r="B2393" t="s">
        <v>3506</v>
      </c>
      <c r="C2393">
        <v>1E-3</v>
      </c>
    </row>
    <row r="2394" spans="1:3" x14ac:dyDescent="0.25">
      <c r="A2394">
        <v>2393</v>
      </c>
      <c r="B2394" t="s">
        <v>3507</v>
      </c>
      <c r="C2394">
        <v>1E-3</v>
      </c>
    </row>
    <row r="2395" spans="1:3" x14ac:dyDescent="0.25">
      <c r="A2395">
        <v>2394</v>
      </c>
      <c r="B2395" t="s">
        <v>3508</v>
      </c>
      <c r="C2395">
        <v>1E-3</v>
      </c>
    </row>
    <row r="2396" spans="1:3" x14ac:dyDescent="0.25">
      <c r="A2396">
        <v>2395</v>
      </c>
      <c r="B2396" t="s">
        <v>3509</v>
      </c>
      <c r="C2396">
        <v>1E-3</v>
      </c>
    </row>
    <row r="2397" spans="1:3" x14ac:dyDescent="0.25">
      <c r="A2397">
        <v>2396</v>
      </c>
      <c r="B2397" t="s">
        <v>3510</v>
      </c>
      <c r="C2397">
        <v>1E-3</v>
      </c>
    </row>
    <row r="2398" spans="1:3" x14ac:dyDescent="0.25">
      <c r="A2398">
        <v>2397</v>
      </c>
      <c r="B2398" t="s">
        <v>3511</v>
      </c>
      <c r="C2398">
        <v>1E-3</v>
      </c>
    </row>
    <row r="2399" spans="1:3" x14ac:dyDescent="0.25">
      <c r="A2399">
        <v>2398</v>
      </c>
      <c r="B2399" t="s">
        <v>3512</v>
      </c>
      <c r="C2399">
        <v>1E-3</v>
      </c>
    </row>
    <row r="2400" spans="1:3" x14ac:dyDescent="0.25">
      <c r="A2400">
        <v>2399</v>
      </c>
      <c r="B2400" t="s">
        <v>3513</v>
      </c>
      <c r="C2400">
        <v>1E-3</v>
      </c>
    </row>
    <row r="2401" spans="1:3" x14ac:dyDescent="0.25">
      <c r="A2401">
        <v>2400</v>
      </c>
      <c r="B2401" t="s">
        <v>3514</v>
      </c>
      <c r="C2401">
        <v>1E-3</v>
      </c>
    </row>
    <row r="2402" spans="1:3" x14ac:dyDescent="0.25">
      <c r="A2402">
        <v>2401</v>
      </c>
      <c r="B2402" t="s">
        <v>3515</v>
      </c>
      <c r="C2402">
        <v>1E-3</v>
      </c>
    </row>
    <row r="2403" spans="1:3" x14ac:dyDescent="0.25">
      <c r="A2403">
        <v>2402</v>
      </c>
      <c r="B2403" t="s">
        <v>3516</v>
      </c>
      <c r="C2403">
        <v>1E-3</v>
      </c>
    </row>
    <row r="2404" spans="1:3" x14ac:dyDescent="0.25">
      <c r="A2404">
        <v>2403</v>
      </c>
      <c r="B2404" t="s">
        <v>3517</v>
      </c>
      <c r="C2404">
        <v>1E-3</v>
      </c>
    </row>
    <row r="2405" spans="1:3" x14ac:dyDescent="0.25">
      <c r="A2405">
        <v>2404</v>
      </c>
      <c r="B2405" t="s">
        <v>3518</v>
      </c>
      <c r="C2405">
        <v>1E-3</v>
      </c>
    </row>
    <row r="2406" spans="1:3" x14ac:dyDescent="0.25">
      <c r="A2406">
        <v>2405</v>
      </c>
      <c r="B2406" t="s">
        <v>3519</v>
      </c>
      <c r="C2406">
        <v>1E-3</v>
      </c>
    </row>
    <row r="2407" spans="1:3" x14ac:dyDescent="0.25">
      <c r="A2407">
        <v>2406</v>
      </c>
      <c r="B2407" t="s">
        <v>3520</v>
      </c>
      <c r="C2407">
        <v>1E-3</v>
      </c>
    </row>
    <row r="2408" spans="1:3" x14ac:dyDescent="0.25">
      <c r="A2408">
        <v>2407</v>
      </c>
      <c r="B2408" t="s">
        <v>3521</v>
      </c>
      <c r="C2408">
        <v>1E-3</v>
      </c>
    </row>
    <row r="2409" spans="1:3" x14ac:dyDescent="0.25">
      <c r="A2409">
        <v>2408</v>
      </c>
      <c r="B2409" t="s">
        <v>3522</v>
      </c>
      <c r="C2409">
        <v>1E-3</v>
      </c>
    </row>
    <row r="2410" spans="1:3" x14ac:dyDescent="0.25">
      <c r="A2410">
        <v>2409</v>
      </c>
      <c r="B2410" t="s">
        <v>3523</v>
      </c>
      <c r="C2410">
        <v>1E-3</v>
      </c>
    </row>
    <row r="2411" spans="1:3" x14ac:dyDescent="0.25">
      <c r="A2411">
        <v>2410</v>
      </c>
      <c r="B2411" t="s">
        <v>3524</v>
      </c>
      <c r="C2411">
        <v>1E-3</v>
      </c>
    </row>
    <row r="2412" spans="1:3" x14ac:dyDescent="0.25">
      <c r="A2412">
        <v>2411</v>
      </c>
      <c r="B2412" t="s">
        <v>3525</v>
      </c>
      <c r="C2412">
        <v>1E-3</v>
      </c>
    </row>
    <row r="2413" spans="1:3" x14ac:dyDescent="0.25">
      <c r="A2413">
        <v>2412</v>
      </c>
      <c r="B2413" t="s">
        <v>3526</v>
      </c>
      <c r="C2413">
        <v>1E-3</v>
      </c>
    </row>
    <row r="2414" spans="1:3" x14ac:dyDescent="0.25">
      <c r="A2414">
        <v>2413</v>
      </c>
      <c r="B2414" t="s">
        <v>3527</v>
      </c>
      <c r="C2414">
        <v>1E-3</v>
      </c>
    </row>
    <row r="2415" spans="1:3" x14ac:dyDescent="0.25">
      <c r="A2415">
        <v>2414</v>
      </c>
      <c r="B2415" t="s">
        <v>3528</v>
      </c>
      <c r="C2415">
        <v>1E-3</v>
      </c>
    </row>
    <row r="2416" spans="1:3" x14ac:dyDescent="0.25">
      <c r="A2416">
        <v>2415</v>
      </c>
      <c r="B2416" t="s">
        <v>3529</v>
      </c>
      <c r="C2416">
        <v>1E-3</v>
      </c>
    </row>
    <row r="2417" spans="1:3" x14ac:dyDescent="0.25">
      <c r="A2417">
        <v>2416</v>
      </c>
      <c r="B2417" t="s">
        <v>3530</v>
      </c>
      <c r="C2417">
        <v>1E-3</v>
      </c>
    </row>
    <row r="2418" spans="1:3" x14ac:dyDescent="0.25">
      <c r="A2418">
        <v>2417</v>
      </c>
      <c r="B2418" t="s">
        <v>3531</v>
      </c>
      <c r="C2418">
        <v>1E-3</v>
      </c>
    </row>
    <row r="2419" spans="1:3" x14ac:dyDescent="0.25">
      <c r="A2419">
        <v>2418</v>
      </c>
      <c r="B2419" t="s">
        <v>3532</v>
      </c>
      <c r="C2419">
        <v>1E-3</v>
      </c>
    </row>
    <row r="2420" spans="1:3" x14ac:dyDescent="0.25">
      <c r="A2420">
        <v>2419</v>
      </c>
      <c r="B2420" t="s">
        <v>3533</v>
      </c>
      <c r="C2420">
        <v>1E-3</v>
      </c>
    </row>
    <row r="2421" spans="1:3" x14ac:dyDescent="0.25">
      <c r="A2421">
        <v>2420</v>
      </c>
      <c r="B2421" t="s">
        <v>3534</v>
      </c>
      <c r="C2421">
        <v>1E-3</v>
      </c>
    </row>
    <row r="2422" spans="1:3" x14ac:dyDescent="0.25">
      <c r="A2422">
        <v>2421</v>
      </c>
      <c r="B2422" t="s">
        <v>3535</v>
      </c>
      <c r="C2422">
        <v>1E-3</v>
      </c>
    </row>
    <row r="2423" spans="1:3" x14ac:dyDescent="0.25">
      <c r="A2423">
        <v>2422</v>
      </c>
      <c r="B2423" t="s">
        <v>3536</v>
      </c>
      <c r="C2423">
        <v>1E-3</v>
      </c>
    </row>
    <row r="2424" spans="1:3" x14ac:dyDescent="0.25">
      <c r="A2424">
        <v>2423</v>
      </c>
      <c r="B2424" t="s">
        <v>3537</v>
      </c>
      <c r="C2424">
        <v>1E-3</v>
      </c>
    </row>
    <row r="2425" spans="1:3" x14ac:dyDescent="0.25">
      <c r="A2425">
        <v>2424</v>
      </c>
      <c r="B2425" t="s">
        <v>3538</v>
      </c>
      <c r="C2425">
        <v>1E-3</v>
      </c>
    </row>
    <row r="2426" spans="1:3" x14ac:dyDescent="0.25">
      <c r="A2426">
        <v>2425</v>
      </c>
      <c r="B2426" t="s">
        <v>3539</v>
      </c>
      <c r="C2426">
        <v>1E-3</v>
      </c>
    </row>
    <row r="2427" spans="1:3" x14ac:dyDescent="0.25">
      <c r="A2427">
        <v>2426</v>
      </c>
      <c r="B2427" t="s">
        <v>3540</v>
      </c>
      <c r="C2427">
        <v>1E-3</v>
      </c>
    </row>
    <row r="2428" spans="1:3" x14ac:dyDescent="0.25">
      <c r="A2428">
        <v>2427</v>
      </c>
      <c r="B2428" t="s">
        <v>3541</v>
      </c>
      <c r="C2428">
        <v>1E-3</v>
      </c>
    </row>
    <row r="2429" spans="1:3" x14ac:dyDescent="0.25">
      <c r="A2429">
        <v>2428</v>
      </c>
      <c r="B2429" t="s">
        <v>3542</v>
      </c>
      <c r="C2429">
        <v>1E-3</v>
      </c>
    </row>
    <row r="2430" spans="1:3" x14ac:dyDescent="0.25">
      <c r="A2430">
        <v>2429</v>
      </c>
      <c r="B2430" t="s">
        <v>3543</v>
      </c>
      <c r="C2430">
        <v>1E-3</v>
      </c>
    </row>
    <row r="2431" spans="1:3" x14ac:dyDescent="0.25">
      <c r="A2431">
        <v>2430</v>
      </c>
      <c r="B2431" t="s">
        <v>3544</v>
      </c>
      <c r="C2431">
        <v>1E-3</v>
      </c>
    </row>
    <row r="2432" spans="1:3" x14ac:dyDescent="0.25">
      <c r="A2432">
        <v>2431</v>
      </c>
      <c r="B2432" t="s">
        <v>3545</v>
      </c>
      <c r="C2432">
        <v>1E-3</v>
      </c>
    </row>
    <row r="2433" spans="1:3" x14ac:dyDescent="0.25">
      <c r="A2433">
        <v>2432</v>
      </c>
      <c r="B2433" t="s">
        <v>3546</v>
      </c>
      <c r="C2433">
        <v>1E-3</v>
      </c>
    </row>
    <row r="2434" spans="1:3" x14ac:dyDescent="0.25">
      <c r="A2434">
        <v>2433</v>
      </c>
      <c r="B2434" t="s">
        <v>3547</v>
      </c>
      <c r="C2434">
        <v>1E-3</v>
      </c>
    </row>
    <row r="2435" spans="1:3" x14ac:dyDescent="0.25">
      <c r="A2435">
        <v>2434</v>
      </c>
      <c r="B2435" t="s">
        <v>3548</v>
      </c>
      <c r="C2435">
        <v>1E-3</v>
      </c>
    </row>
    <row r="2436" spans="1:3" x14ac:dyDescent="0.25">
      <c r="A2436">
        <v>2435</v>
      </c>
      <c r="B2436" t="s">
        <v>3549</v>
      </c>
      <c r="C2436">
        <v>1E-3</v>
      </c>
    </row>
    <row r="2437" spans="1:3" x14ac:dyDescent="0.25">
      <c r="A2437">
        <v>2436</v>
      </c>
      <c r="B2437" t="s">
        <v>3550</v>
      </c>
      <c r="C2437">
        <v>1E-3</v>
      </c>
    </row>
    <row r="2438" spans="1:3" x14ac:dyDescent="0.25">
      <c r="A2438">
        <v>2437</v>
      </c>
      <c r="B2438" t="s">
        <v>3551</v>
      </c>
      <c r="C2438">
        <v>1E-3</v>
      </c>
    </row>
    <row r="2439" spans="1:3" x14ac:dyDescent="0.25">
      <c r="A2439">
        <v>2438</v>
      </c>
      <c r="B2439" t="s">
        <v>3552</v>
      </c>
      <c r="C2439">
        <v>1E-3</v>
      </c>
    </row>
    <row r="2440" spans="1:3" x14ac:dyDescent="0.25">
      <c r="A2440">
        <v>2439</v>
      </c>
      <c r="B2440" t="s">
        <v>3553</v>
      </c>
      <c r="C2440">
        <v>1E-3</v>
      </c>
    </row>
    <row r="2441" spans="1:3" x14ac:dyDescent="0.25">
      <c r="A2441">
        <v>2440</v>
      </c>
      <c r="B2441" t="s">
        <v>3554</v>
      </c>
      <c r="C2441">
        <v>1E-3</v>
      </c>
    </row>
    <row r="2442" spans="1:3" x14ac:dyDescent="0.25">
      <c r="A2442">
        <v>2441</v>
      </c>
      <c r="B2442" t="s">
        <v>3555</v>
      </c>
      <c r="C2442">
        <v>1E-3</v>
      </c>
    </row>
    <row r="2443" spans="1:3" x14ac:dyDescent="0.25">
      <c r="A2443">
        <v>2442</v>
      </c>
      <c r="B2443" t="s">
        <v>3556</v>
      </c>
      <c r="C2443">
        <v>1E-3</v>
      </c>
    </row>
    <row r="2444" spans="1:3" x14ac:dyDescent="0.25">
      <c r="A2444">
        <v>2443</v>
      </c>
      <c r="B2444" t="s">
        <v>3557</v>
      </c>
      <c r="C2444">
        <v>1E-3</v>
      </c>
    </row>
    <row r="2445" spans="1:3" x14ac:dyDescent="0.25">
      <c r="A2445">
        <v>2444</v>
      </c>
      <c r="B2445" t="s">
        <v>3558</v>
      </c>
      <c r="C2445">
        <v>1E-3</v>
      </c>
    </row>
    <row r="2446" spans="1:3" x14ac:dyDescent="0.25">
      <c r="A2446">
        <v>2445</v>
      </c>
      <c r="B2446" t="s">
        <v>3559</v>
      </c>
      <c r="C2446">
        <v>1E-3</v>
      </c>
    </row>
    <row r="2447" spans="1:3" x14ac:dyDescent="0.25">
      <c r="A2447">
        <v>2446</v>
      </c>
      <c r="B2447" t="s">
        <v>3560</v>
      </c>
      <c r="C2447">
        <v>1E-3</v>
      </c>
    </row>
    <row r="2448" spans="1:3" x14ac:dyDescent="0.25">
      <c r="A2448">
        <v>2447</v>
      </c>
      <c r="B2448" t="s">
        <v>3561</v>
      </c>
      <c r="C2448">
        <v>1E-3</v>
      </c>
    </row>
    <row r="2449" spans="1:3" x14ac:dyDescent="0.25">
      <c r="A2449">
        <v>2448</v>
      </c>
      <c r="B2449" t="s">
        <v>3562</v>
      </c>
      <c r="C2449">
        <v>1E-3</v>
      </c>
    </row>
    <row r="2450" spans="1:3" x14ac:dyDescent="0.25">
      <c r="A2450">
        <v>2449</v>
      </c>
      <c r="B2450" t="s">
        <v>3563</v>
      </c>
      <c r="C2450">
        <v>1E-3</v>
      </c>
    </row>
    <row r="2451" spans="1:3" x14ac:dyDescent="0.25">
      <c r="A2451">
        <v>2450</v>
      </c>
      <c r="B2451" t="s">
        <v>3564</v>
      </c>
      <c r="C2451">
        <v>1E-3</v>
      </c>
    </row>
    <row r="2452" spans="1:3" x14ac:dyDescent="0.25">
      <c r="A2452">
        <v>2451</v>
      </c>
      <c r="B2452" t="s">
        <v>3565</v>
      </c>
      <c r="C2452">
        <v>1E-3</v>
      </c>
    </row>
    <row r="2453" spans="1:3" x14ac:dyDescent="0.25">
      <c r="A2453">
        <v>2452</v>
      </c>
      <c r="B2453" t="s">
        <v>3566</v>
      </c>
      <c r="C2453">
        <v>1E-3</v>
      </c>
    </row>
    <row r="2454" spans="1:3" x14ac:dyDescent="0.25">
      <c r="A2454">
        <v>2453</v>
      </c>
      <c r="B2454" t="s">
        <v>3567</v>
      </c>
      <c r="C2454">
        <v>1E-3</v>
      </c>
    </row>
    <row r="2455" spans="1:3" x14ac:dyDescent="0.25">
      <c r="A2455">
        <v>2454</v>
      </c>
      <c r="B2455" t="s">
        <v>3568</v>
      </c>
      <c r="C2455">
        <v>1E-3</v>
      </c>
    </row>
    <row r="2456" spans="1:3" x14ac:dyDescent="0.25">
      <c r="A2456">
        <v>2455</v>
      </c>
      <c r="B2456" t="s">
        <v>3569</v>
      </c>
      <c r="C2456">
        <v>1E-3</v>
      </c>
    </row>
    <row r="2457" spans="1:3" x14ac:dyDescent="0.25">
      <c r="A2457">
        <v>2456</v>
      </c>
      <c r="B2457" t="s">
        <v>3570</v>
      </c>
      <c r="C2457">
        <v>1E-3</v>
      </c>
    </row>
    <row r="2458" spans="1:3" x14ac:dyDescent="0.25">
      <c r="A2458">
        <v>2457</v>
      </c>
      <c r="B2458" t="s">
        <v>3571</v>
      </c>
      <c r="C2458">
        <v>1E-3</v>
      </c>
    </row>
    <row r="2459" spans="1:3" x14ac:dyDescent="0.25">
      <c r="A2459">
        <v>2458</v>
      </c>
      <c r="B2459" t="s">
        <v>3572</v>
      </c>
      <c r="C2459">
        <v>1E-3</v>
      </c>
    </row>
    <row r="2460" spans="1:3" x14ac:dyDescent="0.25">
      <c r="A2460">
        <v>2459</v>
      </c>
      <c r="B2460" t="s">
        <v>3573</v>
      </c>
      <c r="C2460">
        <v>1E-3</v>
      </c>
    </row>
    <row r="2461" spans="1:3" x14ac:dyDescent="0.25">
      <c r="A2461">
        <v>2460</v>
      </c>
      <c r="B2461" t="s">
        <v>3574</v>
      </c>
      <c r="C2461">
        <v>1E-3</v>
      </c>
    </row>
    <row r="2462" spans="1:3" x14ac:dyDescent="0.25">
      <c r="A2462">
        <v>2461</v>
      </c>
      <c r="B2462" t="s">
        <v>3575</v>
      </c>
      <c r="C2462">
        <v>1E-3</v>
      </c>
    </row>
    <row r="2463" spans="1:3" x14ac:dyDescent="0.25">
      <c r="A2463">
        <v>2462</v>
      </c>
      <c r="B2463" t="s">
        <v>3576</v>
      </c>
      <c r="C2463">
        <v>1E-3</v>
      </c>
    </row>
    <row r="2464" spans="1:3" x14ac:dyDescent="0.25">
      <c r="A2464">
        <v>2463</v>
      </c>
      <c r="B2464" t="s">
        <v>3577</v>
      </c>
      <c r="C2464">
        <v>1E-3</v>
      </c>
    </row>
    <row r="2465" spans="1:3" x14ac:dyDescent="0.25">
      <c r="A2465">
        <v>2464</v>
      </c>
      <c r="B2465" t="s">
        <v>3578</v>
      </c>
      <c r="C2465">
        <v>1E-3</v>
      </c>
    </row>
    <row r="2466" spans="1:3" x14ac:dyDescent="0.25">
      <c r="A2466">
        <v>2465</v>
      </c>
      <c r="B2466" t="s">
        <v>3579</v>
      </c>
      <c r="C2466">
        <v>1E-3</v>
      </c>
    </row>
    <row r="2467" spans="1:3" x14ac:dyDescent="0.25">
      <c r="A2467">
        <v>2466</v>
      </c>
      <c r="B2467" t="s">
        <v>3580</v>
      </c>
      <c r="C2467">
        <v>1E-3</v>
      </c>
    </row>
    <row r="2468" spans="1:3" x14ac:dyDescent="0.25">
      <c r="A2468">
        <v>2467</v>
      </c>
      <c r="B2468" t="s">
        <v>3581</v>
      </c>
      <c r="C2468">
        <v>1E-3</v>
      </c>
    </row>
    <row r="2469" spans="1:3" x14ac:dyDescent="0.25">
      <c r="A2469">
        <v>2468</v>
      </c>
      <c r="B2469" t="s">
        <v>3582</v>
      </c>
      <c r="C2469">
        <v>1E-3</v>
      </c>
    </row>
    <row r="2470" spans="1:3" x14ac:dyDescent="0.25">
      <c r="A2470">
        <v>2469</v>
      </c>
      <c r="B2470" t="s">
        <v>3583</v>
      </c>
      <c r="C2470">
        <v>1E-3</v>
      </c>
    </row>
    <row r="2471" spans="1:3" x14ac:dyDescent="0.25">
      <c r="A2471">
        <v>2470</v>
      </c>
      <c r="B2471" t="s">
        <v>3584</v>
      </c>
      <c r="C2471">
        <v>1E-3</v>
      </c>
    </row>
    <row r="2472" spans="1:3" x14ac:dyDescent="0.25">
      <c r="A2472">
        <v>2471</v>
      </c>
      <c r="B2472" t="s">
        <v>3585</v>
      </c>
      <c r="C2472">
        <v>1E-3</v>
      </c>
    </row>
    <row r="2473" spans="1:3" x14ac:dyDescent="0.25">
      <c r="A2473">
        <v>2472</v>
      </c>
      <c r="B2473" t="s">
        <v>3586</v>
      </c>
      <c r="C2473">
        <v>1E-3</v>
      </c>
    </row>
    <row r="2474" spans="1:3" x14ac:dyDescent="0.25">
      <c r="A2474">
        <v>2473</v>
      </c>
      <c r="B2474" t="s">
        <v>3587</v>
      </c>
      <c r="C2474">
        <v>1E-3</v>
      </c>
    </row>
    <row r="2475" spans="1:3" x14ac:dyDescent="0.25">
      <c r="A2475">
        <v>2474</v>
      </c>
      <c r="B2475" t="s">
        <v>3588</v>
      </c>
      <c r="C2475">
        <v>1E-3</v>
      </c>
    </row>
    <row r="2476" spans="1:3" x14ac:dyDescent="0.25">
      <c r="A2476">
        <v>2475</v>
      </c>
      <c r="B2476" t="s">
        <v>3589</v>
      </c>
      <c r="C2476">
        <v>1E-3</v>
      </c>
    </row>
    <row r="2477" spans="1:3" x14ac:dyDescent="0.25">
      <c r="A2477">
        <v>2476</v>
      </c>
      <c r="B2477" t="s">
        <v>3590</v>
      </c>
      <c r="C2477">
        <v>1E-3</v>
      </c>
    </row>
    <row r="2478" spans="1:3" x14ac:dyDescent="0.25">
      <c r="A2478">
        <v>2477</v>
      </c>
      <c r="B2478" t="s">
        <v>3591</v>
      </c>
      <c r="C2478">
        <v>1E-3</v>
      </c>
    </row>
    <row r="2479" spans="1:3" x14ac:dyDescent="0.25">
      <c r="A2479">
        <v>2478</v>
      </c>
      <c r="B2479" t="s">
        <v>3592</v>
      </c>
      <c r="C2479">
        <v>1E-3</v>
      </c>
    </row>
    <row r="2480" spans="1:3" x14ac:dyDescent="0.25">
      <c r="A2480">
        <v>2479</v>
      </c>
      <c r="B2480" t="s">
        <v>3593</v>
      </c>
      <c r="C2480">
        <v>1E-3</v>
      </c>
    </row>
    <row r="2481" spans="1:3" x14ac:dyDescent="0.25">
      <c r="A2481">
        <v>2480</v>
      </c>
      <c r="B2481" t="s">
        <v>3594</v>
      </c>
      <c r="C2481">
        <v>1E-3</v>
      </c>
    </row>
    <row r="2482" spans="1:3" x14ac:dyDescent="0.25">
      <c r="A2482">
        <v>2481</v>
      </c>
      <c r="B2482" t="s">
        <v>3595</v>
      </c>
      <c r="C2482">
        <v>1E-3</v>
      </c>
    </row>
    <row r="2483" spans="1:3" x14ac:dyDescent="0.25">
      <c r="A2483">
        <v>2482</v>
      </c>
      <c r="B2483" t="s">
        <v>3596</v>
      </c>
      <c r="C2483">
        <v>1E-3</v>
      </c>
    </row>
    <row r="2484" spans="1:3" x14ac:dyDescent="0.25">
      <c r="A2484">
        <v>2483</v>
      </c>
      <c r="B2484" t="s">
        <v>3597</v>
      </c>
      <c r="C2484">
        <v>1E-3</v>
      </c>
    </row>
    <row r="2485" spans="1:3" x14ac:dyDescent="0.25">
      <c r="A2485">
        <v>2484</v>
      </c>
      <c r="B2485" t="s">
        <v>3598</v>
      </c>
      <c r="C2485">
        <v>1E-3</v>
      </c>
    </row>
    <row r="2486" spans="1:3" x14ac:dyDescent="0.25">
      <c r="A2486">
        <v>2485</v>
      </c>
      <c r="B2486" t="s">
        <v>3599</v>
      </c>
      <c r="C2486">
        <v>1E-3</v>
      </c>
    </row>
    <row r="2487" spans="1:3" x14ac:dyDescent="0.25">
      <c r="A2487">
        <v>2486</v>
      </c>
      <c r="B2487" t="s">
        <v>3600</v>
      </c>
      <c r="C2487">
        <v>1E-3</v>
      </c>
    </row>
    <row r="2488" spans="1:3" x14ac:dyDescent="0.25">
      <c r="A2488">
        <v>2487</v>
      </c>
      <c r="B2488" t="s">
        <v>3601</v>
      </c>
      <c r="C2488">
        <v>1E-3</v>
      </c>
    </row>
    <row r="2489" spans="1:3" x14ac:dyDescent="0.25">
      <c r="A2489">
        <v>2488</v>
      </c>
      <c r="B2489" t="s">
        <v>3602</v>
      </c>
      <c r="C2489">
        <v>1E-3</v>
      </c>
    </row>
    <row r="2490" spans="1:3" x14ac:dyDescent="0.25">
      <c r="A2490">
        <v>2489</v>
      </c>
      <c r="B2490" t="s">
        <v>3603</v>
      </c>
      <c r="C2490">
        <v>1E-3</v>
      </c>
    </row>
    <row r="2491" spans="1:3" x14ac:dyDescent="0.25">
      <c r="A2491">
        <v>2490</v>
      </c>
      <c r="B2491" t="s">
        <v>3604</v>
      </c>
      <c r="C2491">
        <v>1E-3</v>
      </c>
    </row>
    <row r="2492" spans="1:3" x14ac:dyDescent="0.25">
      <c r="A2492">
        <v>2491</v>
      </c>
      <c r="B2492" t="s">
        <v>3605</v>
      </c>
      <c r="C2492">
        <v>1E-3</v>
      </c>
    </row>
    <row r="2493" spans="1:3" x14ac:dyDescent="0.25">
      <c r="A2493">
        <v>2492</v>
      </c>
      <c r="B2493" t="s">
        <v>3606</v>
      </c>
      <c r="C2493">
        <v>1E-3</v>
      </c>
    </row>
    <row r="2494" spans="1:3" x14ac:dyDescent="0.25">
      <c r="A2494">
        <v>2493</v>
      </c>
      <c r="B2494" t="s">
        <v>3607</v>
      </c>
      <c r="C2494">
        <v>1E-3</v>
      </c>
    </row>
    <row r="2495" spans="1:3" x14ac:dyDescent="0.25">
      <c r="A2495">
        <v>2494</v>
      </c>
      <c r="B2495" t="s">
        <v>3608</v>
      </c>
      <c r="C2495">
        <v>1E-3</v>
      </c>
    </row>
    <row r="2496" spans="1:3" x14ac:dyDescent="0.25">
      <c r="A2496">
        <v>2495</v>
      </c>
      <c r="B2496" t="s">
        <v>3609</v>
      </c>
      <c r="C2496">
        <v>1E-3</v>
      </c>
    </row>
    <row r="2497" spans="1:3" x14ac:dyDescent="0.25">
      <c r="A2497">
        <v>2496</v>
      </c>
      <c r="B2497" t="s">
        <v>3610</v>
      </c>
      <c r="C2497">
        <v>1E-3</v>
      </c>
    </row>
    <row r="2498" spans="1:3" x14ac:dyDescent="0.25">
      <c r="A2498">
        <v>2497</v>
      </c>
      <c r="B2498" t="s">
        <v>3611</v>
      </c>
      <c r="C2498">
        <v>1E-3</v>
      </c>
    </row>
    <row r="2499" spans="1:3" x14ac:dyDescent="0.25">
      <c r="A2499">
        <v>2498</v>
      </c>
      <c r="B2499" t="s">
        <v>3612</v>
      </c>
      <c r="C2499">
        <v>1E-3</v>
      </c>
    </row>
    <row r="2500" spans="1:3" x14ac:dyDescent="0.25">
      <c r="A2500">
        <v>2499</v>
      </c>
      <c r="B2500" t="s">
        <v>3613</v>
      </c>
      <c r="C2500">
        <v>1E-3</v>
      </c>
    </row>
    <row r="2501" spans="1:3" x14ac:dyDescent="0.25">
      <c r="A2501">
        <v>2500</v>
      </c>
      <c r="B2501" t="s">
        <v>3614</v>
      </c>
      <c r="C2501">
        <v>1E-3</v>
      </c>
    </row>
    <row r="2502" spans="1:3" x14ac:dyDescent="0.25">
      <c r="A2502">
        <v>2501</v>
      </c>
      <c r="B2502" t="s">
        <v>3615</v>
      </c>
      <c r="C2502">
        <v>1E-3</v>
      </c>
    </row>
    <row r="2503" spans="1:3" x14ac:dyDescent="0.25">
      <c r="A2503">
        <v>2502</v>
      </c>
      <c r="B2503" t="s">
        <v>3616</v>
      </c>
      <c r="C2503">
        <v>1E-3</v>
      </c>
    </row>
    <row r="2504" spans="1:3" x14ac:dyDescent="0.25">
      <c r="A2504">
        <v>2503</v>
      </c>
      <c r="B2504" t="s">
        <v>3617</v>
      </c>
      <c r="C2504">
        <v>1E-3</v>
      </c>
    </row>
    <row r="2505" spans="1:3" x14ac:dyDescent="0.25">
      <c r="A2505">
        <v>2504</v>
      </c>
      <c r="B2505" t="s">
        <v>3618</v>
      </c>
      <c r="C2505">
        <v>1E-3</v>
      </c>
    </row>
    <row r="2506" spans="1:3" x14ac:dyDescent="0.25">
      <c r="A2506">
        <v>2505</v>
      </c>
      <c r="B2506" t="s">
        <v>3619</v>
      </c>
      <c r="C2506">
        <v>1E-3</v>
      </c>
    </row>
    <row r="2507" spans="1:3" x14ac:dyDescent="0.25">
      <c r="A2507">
        <v>2506</v>
      </c>
      <c r="B2507" t="s">
        <v>3620</v>
      </c>
      <c r="C2507">
        <v>1E-3</v>
      </c>
    </row>
    <row r="2508" spans="1:3" x14ac:dyDescent="0.25">
      <c r="A2508">
        <v>2507</v>
      </c>
      <c r="B2508" t="s">
        <v>3621</v>
      </c>
      <c r="C2508">
        <v>1E-3</v>
      </c>
    </row>
    <row r="2509" spans="1:3" x14ac:dyDescent="0.25">
      <c r="A2509">
        <v>2508</v>
      </c>
      <c r="B2509" t="s">
        <v>3622</v>
      </c>
      <c r="C2509">
        <v>1E-3</v>
      </c>
    </row>
    <row r="2510" spans="1:3" x14ac:dyDescent="0.25">
      <c r="A2510">
        <v>2509</v>
      </c>
      <c r="B2510" t="s">
        <v>3623</v>
      </c>
      <c r="C2510">
        <v>1E-3</v>
      </c>
    </row>
    <row r="2511" spans="1:3" x14ac:dyDescent="0.25">
      <c r="A2511">
        <v>2510</v>
      </c>
      <c r="B2511" t="s">
        <v>3624</v>
      </c>
      <c r="C2511">
        <v>1E-3</v>
      </c>
    </row>
    <row r="2512" spans="1:3" x14ac:dyDescent="0.25">
      <c r="A2512">
        <v>2511</v>
      </c>
      <c r="B2512" t="s">
        <v>3625</v>
      </c>
      <c r="C2512">
        <v>1E-3</v>
      </c>
    </row>
    <row r="2513" spans="1:3" x14ac:dyDescent="0.25">
      <c r="A2513">
        <v>2512</v>
      </c>
      <c r="B2513" t="s">
        <v>3626</v>
      </c>
      <c r="C2513">
        <v>1E-3</v>
      </c>
    </row>
    <row r="2514" spans="1:3" x14ac:dyDescent="0.25">
      <c r="A2514">
        <v>2513</v>
      </c>
      <c r="B2514" t="s">
        <v>3627</v>
      </c>
      <c r="C2514">
        <v>1E-3</v>
      </c>
    </row>
    <row r="2515" spans="1:3" x14ac:dyDescent="0.25">
      <c r="A2515">
        <v>2514</v>
      </c>
      <c r="B2515" t="s">
        <v>3628</v>
      </c>
      <c r="C2515">
        <v>1E-3</v>
      </c>
    </row>
    <row r="2516" spans="1:3" x14ac:dyDescent="0.25">
      <c r="A2516">
        <v>2515</v>
      </c>
      <c r="B2516" t="s">
        <v>3629</v>
      </c>
      <c r="C2516">
        <v>1E-3</v>
      </c>
    </row>
    <row r="2517" spans="1:3" x14ac:dyDescent="0.25">
      <c r="A2517">
        <v>2516</v>
      </c>
      <c r="B2517" t="s">
        <v>3630</v>
      </c>
      <c r="C2517">
        <v>1E-3</v>
      </c>
    </row>
    <row r="2518" spans="1:3" x14ac:dyDescent="0.25">
      <c r="A2518">
        <v>2517</v>
      </c>
      <c r="B2518" t="s">
        <v>3631</v>
      </c>
      <c r="C2518">
        <v>1E-3</v>
      </c>
    </row>
    <row r="2519" spans="1:3" x14ac:dyDescent="0.25">
      <c r="A2519">
        <v>2518</v>
      </c>
      <c r="B2519" t="s">
        <v>3632</v>
      </c>
      <c r="C2519">
        <v>1E-3</v>
      </c>
    </row>
    <row r="2520" spans="1:3" x14ac:dyDescent="0.25">
      <c r="A2520">
        <v>2519</v>
      </c>
      <c r="B2520" t="s">
        <v>3633</v>
      </c>
      <c r="C2520">
        <v>1E-3</v>
      </c>
    </row>
    <row r="2521" spans="1:3" x14ac:dyDescent="0.25">
      <c r="A2521">
        <v>2520</v>
      </c>
      <c r="B2521" t="s">
        <v>3634</v>
      </c>
      <c r="C2521">
        <v>1E-3</v>
      </c>
    </row>
    <row r="2522" spans="1:3" x14ac:dyDescent="0.25">
      <c r="A2522">
        <v>2521</v>
      </c>
      <c r="B2522" t="s">
        <v>3635</v>
      </c>
      <c r="C2522">
        <v>1E-3</v>
      </c>
    </row>
    <row r="2523" spans="1:3" x14ac:dyDescent="0.25">
      <c r="A2523">
        <v>2522</v>
      </c>
      <c r="B2523" t="s">
        <v>3636</v>
      </c>
      <c r="C2523">
        <v>1E-3</v>
      </c>
    </row>
    <row r="2524" spans="1:3" x14ac:dyDescent="0.25">
      <c r="A2524">
        <v>2523</v>
      </c>
      <c r="B2524" t="s">
        <v>3637</v>
      </c>
      <c r="C2524">
        <v>1E-3</v>
      </c>
    </row>
    <row r="2525" spans="1:3" x14ac:dyDescent="0.25">
      <c r="A2525">
        <v>2524</v>
      </c>
      <c r="B2525" t="s">
        <v>3638</v>
      </c>
      <c r="C2525">
        <v>1E-3</v>
      </c>
    </row>
    <row r="2526" spans="1:3" x14ac:dyDescent="0.25">
      <c r="A2526">
        <v>2525</v>
      </c>
      <c r="B2526" t="s">
        <v>3639</v>
      </c>
      <c r="C2526">
        <v>1E-3</v>
      </c>
    </row>
    <row r="2527" spans="1:3" x14ac:dyDescent="0.25">
      <c r="A2527">
        <v>2526</v>
      </c>
      <c r="B2527" t="s">
        <v>3640</v>
      </c>
      <c r="C2527">
        <v>1E-3</v>
      </c>
    </row>
    <row r="2528" spans="1:3" x14ac:dyDescent="0.25">
      <c r="A2528">
        <v>2527</v>
      </c>
      <c r="B2528" t="s">
        <v>3641</v>
      </c>
      <c r="C2528">
        <v>1E-3</v>
      </c>
    </row>
    <row r="2529" spans="1:3" x14ac:dyDescent="0.25">
      <c r="A2529">
        <v>2528</v>
      </c>
      <c r="B2529" t="s">
        <v>3642</v>
      </c>
      <c r="C2529">
        <v>1E-3</v>
      </c>
    </row>
    <row r="2530" spans="1:3" x14ac:dyDescent="0.25">
      <c r="A2530">
        <v>2529</v>
      </c>
      <c r="B2530" t="s">
        <v>3643</v>
      </c>
      <c r="C2530">
        <v>1E-3</v>
      </c>
    </row>
    <row r="2531" spans="1:3" x14ac:dyDescent="0.25">
      <c r="A2531">
        <v>2530</v>
      </c>
      <c r="B2531" t="s">
        <v>3644</v>
      </c>
      <c r="C2531">
        <v>1E-3</v>
      </c>
    </row>
    <row r="2532" spans="1:3" x14ac:dyDescent="0.25">
      <c r="A2532">
        <v>2531</v>
      </c>
      <c r="B2532" t="s">
        <v>3645</v>
      </c>
      <c r="C2532">
        <v>1E-3</v>
      </c>
    </row>
    <row r="2533" spans="1:3" x14ac:dyDescent="0.25">
      <c r="A2533">
        <v>2532</v>
      </c>
      <c r="B2533" t="s">
        <v>3646</v>
      </c>
      <c r="C2533">
        <v>1E-3</v>
      </c>
    </row>
    <row r="2534" spans="1:3" x14ac:dyDescent="0.25">
      <c r="A2534">
        <v>2533</v>
      </c>
      <c r="B2534" t="s">
        <v>3647</v>
      </c>
      <c r="C2534">
        <v>1E-3</v>
      </c>
    </row>
    <row r="2535" spans="1:3" x14ac:dyDescent="0.25">
      <c r="A2535">
        <v>2534</v>
      </c>
      <c r="B2535" t="s">
        <v>3648</v>
      </c>
      <c r="C2535">
        <v>1E-3</v>
      </c>
    </row>
    <row r="2536" spans="1:3" x14ac:dyDescent="0.25">
      <c r="A2536">
        <v>2535</v>
      </c>
      <c r="B2536" t="s">
        <v>3649</v>
      </c>
      <c r="C2536">
        <v>1E-3</v>
      </c>
    </row>
    <row r="2537" spans="1:3" x14ac:dyDescent="0.25">
      <c r="A2537">
        <v>2536</v>
      </c>
      <c r="B2537" t="s">
        <v>3650</v>
      </c>
      <c r="C2537">
        <v>1E-3</v>
      </c>
    </row>
    <row r="2538" spans="1:3" x14ac:dyDescent="0.25">
      <c r="A2538">
        <v>2537</v>
      </c>
      <c r="B2538" t="s">
        <v>3651</v>
      </c>
      <c r="C2538">
        <v>1E-3</v>
      </c>
    </row>
    <row r="2539" spans="1:3" x14ac:dyDescent="0.25">
      <c r="A2539">
        <v>2538</v>
      </c>
      <c r="B2539" t="s">
        <v>3652</v>
      </c>
      <c r="C2539">
        <v>1E-3</v>
      </c>
    </row>
    <row r="2540" spans="1:3" x14ac:dyDescent="0.25">
      <c r="A2540">
        <v>2539</v>
      </c>
      <c r="B2540" t="s">
        <v>3653</v>
      </c>
      <c r="C2540">
        <v>1E-3</v>
      </c>
    </row>
    <row r="2541" spans="1:3" x14ac:dyDescent="0.25">
      <c r="A2541">
        <v>2540</v>
      </c>
      <c r="B2541" t="s">
        <v>3654</v>
      </c>
      <c r="C2541">
        <v>1E-3</v>
      </c>
    </row>
    <row r="2542" spans="1:3" x14ac:dyDescent="0.25">
      <c r="A2542">
        <v>2541</v>
      </c>
      <c r="B2542" t="s">
        <v>3655</v>
      </c>
      <c r="C2542">
        <v>1E-3</v>
      </c>
    </row>
    <row r="2543" spans="1:3" x14ac:dyDescent="0.25">
      <c r="A2543">
        <v>2542</v>
      </c>
      <c r="B2543" t="s">
        <v>3656</v>
      </c>
      <c r="C2543">
        <v>1E-3</v>
      </c>
    </row>
    <row r="2544" spans="1:3" x14ac:dyDescent="0.25">
      <c r="A2544">
        <v>2543</v>
      </c>
      <c r="B2544" t="s">
        <v>3657</v>
      </c>
      <c r="C2544">
        <v>1E-3</v>
      </c>
    </row>
    <row r="2545" spans="1:3" x14ac:dyDescent="0.25">
      <c r="A2545">
        <v>2544</v>
      </c>
      <c r="B2545" t="s">
        <v>3658</v>
      </c>
      <c r="C2545">
        <v>1E-3</v>
      </c>
    </row>
    <row r="2546" spans="1:3" x14ac:dyDescent="0.25">
      <c r="A2546">
        <v>2545</v>
      </c>
      <c r="B2546" t="s">
        <v>3659</v>
      </c>
      <c r="C2546">
        <v>1E-3</v>
      </c>
    </row>
    <row r="2547" spans="1:3" x14ac:dyDescent="0.25">
      <c r="A2547">
        <v>2546</v>
      </c>
      <c r="B2547" t="s">
        <v>3660</v>
      </c>
      <c r="C2547">
        <v>1E-3</v>
      </c>
    </row>
    <row r="2548" spans="1:3" x14ac:dyDescent="0.25">
      <c r="A2548">
        <v>2547</v>
      </c>
      <c r="B2548" t="s">
        <v>3661</v>
      </c>
      <c r="C2548">
        <v>1E-3</v>
      </c>
    </row>
    <row r="2549" spans="1:3" x14ac:dyDescent="0.25">
      <c r="A2549">
        <v>2548</v>
      </c>
      <c r="B2549" t="s">
        <v>3662</v>
      </c>
      <c r="C2549">
        <v>1E-3</v>
      </c>
    </row>
    <row r="2550" spans="1:3" x14ac:dyDescent="0.25">
      <c r="A2550">
        <v>2549</v>
      </c>
      <c r="B2550" t="s">
        <v>3663</v>
      </c>
      <c r="C2550">
        <v>1E-3</v>
      </c>
    </row>
    <row r="2551" spans="1:3" x14ac:dyDescent="0.25">
      <c r="A2551">
        <v>2550</v>
      </c>
      <c r="B2551" t="s">
        <v>3664</v>
      </c>
      <c r="C2551">
        <v>1E-3</v>
      </c>
    </row>
    <row r="2552" spans="1:3" x14ac:dyDescent="0.25">
      <c r="A2552">
        <v>2551</v>
      </c>
      <c r="B2552" t="s">
        <v>3665</v>
      </c>
      <c r="C2552">
        <v>1E-3</v>
      </c>
    </row>
    <row r="2553" spans="1:3" x14ac:dyDescent="0.25">
      <c r="A2553">
        <v>2552</v>
      </c>
      <c r="B2553" t="s">
        <v>3666</v>
      </c>
      <c r="C2553">
        <v>1E-3</v>
      </c>
    </row>
    <row r="2554" spans="1:3" x14ac:dyDescent="0.25">
      <c r="A2554">
        <v>2553</v>
      </c>
      <c r="B2554" t="s">
        <v>3667</v>
      </c>
      <c r="C2554">
        <v>1E-3</v>
      </c>
    </row>
    <row r="2555" spans="1:3" x14ac:dyDescent="0.25">
      <c r="A2555">
        <v>2554</v>
      </c>
      <c r="B2555" t="s">
        <v>3668</v>
      </c>
      <c r="C2555">
        <v>1E-3</v>
      </c>
    </row>
    <row r="2556" spans="1:3" x14ac:dyDescent="0.25">
      <c r="A2556">
        <v>2555</v>
      </c>
      <c r="B2556" t="s">
        <v>3669</v>
      </c>
      <c r="C2556">
        <v>1E-3</v>
      </c>
    </row>
    <row r="2557" spans="1:3" x14ac:dyDescent="0.25">
      <c r="A2557">
        <v>2556</v>
      </c>
      <c r="B2557" t="s">
        <v>3670</v>
      </c>
      <c r="C2557">
        <v>1E-3</v>
      </c>
    </row>
    <row r="2558" spans="1:3" x14ac:dyDescent="0.25">
      <c r="A2558">
        <v>2557</v>
      </c>
      <c r="B2558" t="s">
        <v>3671</v>
      </c>
      <c r="C2558">
        <v>1E-3</v>
      </c>
    </row>
    <row r="2559" spans="1:3" x14ac:dyDescent="0.25">
      <c r="A2559">
        <v>2558</v>
      </c>
      <c r="B2559" t="s">
        <v>3672</v>
      </c>
      <c r="C2559">
        <v>1E-3</v>
      </c>
    </row>
    <row r="2560" spans="1:3" x14ac:dyDescent="0.25">
      <c r="A2560">
        <v>2559</v>
      </c>
      <c r="B2560" t="s">
        <v>3673</v>
      </c>
      <c r="C2560">
        <v>1E-3</v>
      </c>
    </row>
    <row r="2561" spans="1:3" x14ac:dyDescent="0.25">
      <c r="A2561">
        <v>2560</v>
      </c>
      <c r="B2561" t="s">
        <v>3674</v>
      </c>
      <c r="C2561">
        <v>1E-3</v>
      </c>
    </row>
    <row r="2562" spans="1:3" x14ac:dyDescent="0.25">
      <c r="A2562">
        <v>2561</v>
      </c>
      <c r="B2562" t="s">
        <v>3675</v>
      </c>
      <c r="C2562">
        <v>1E-3</v>
      </c>
    </row>
    <row r="2563" spans="1:3" x14ac:dyDescent="0.25">
      <c r="A2563">
        <v>2562</v>
      </c>
      <c r="B2563" t="s">
        <v>3676</v>
      </c>
      <c r="C2563">
        <v>1E-3</v>
      </c>
    </row>
    <row r="2564" spans="1:3" x14ac:dyDescent="0.25">
      <c r="A2564">
        <v>2563</v>
      </c>
      <c r="B2564" t="s">
        <v>3677</v>
      </c>
      <c r="C2564">
        <v>1E-3</v>
      </c>
    </row>
    <row r="2565" spans="1:3" x14ac:dyDescent="0.25">
      <c r="A2565">
        <v>2564</v>
      </c>
      <c r="B2565" t="s">
        <v>3678</v>
      </c>
      <c r="C2565">
        <v>1E-3</v>
      </c>
    </row>
    <row r="2566" spans="1:3" x14ac:dyDescent="0.25">
      <c r="A2566">
        <v>2565</v>
      </c>
      <c r="B2566" t="s">
        <v>3679</v>
      </c>
      <c r="C2566">
        <v>1E-3</v>
      </c>
    </row>
    <row r="2567" spans="1:3" x14ac:dyDescent="0.25">
      <c r="A2567">
        <v>2566</v>
      </c>
      <c r="B2567" t="s">
        <v>3680</v>
      </c>
      <c r="C2567">
        <v>1E-3</v>
      </c>
    </row>
    <row r="2568" spans="1:3" x14ac:dyDescent="0.25">
      <c r="A2568">
        <v>2567</v>
      </c>
      <c r="B2568" t="s">
        <v>3681</v>
      </c>
      <c r="C2568">
        <v>1E-3</v>
      </c>
    </row>
    <row r="2569" spans="1:3" x14ac:dyDescent="0.25">
      <c r="A2569">
        <v>2568</v>
      </c>
      <c r="B2569" t="s">
        <v>3682</v>
      </c>
      <c r="C2569">
        <v>1E-3</v>
      </c>
    </row>
    <row r="2570" spans="1:3" x14ac:dyDescent="0.25">
      <c r="A2570">
        <v>2569</v>
      </c>
      <c r="B2570" t="s">
        <v>3683</v>
      </c>
      <c r="C2570">
        <v>1E-3</v>
      </c>
    </row>
    <row r="2571" spans="1:3" x14ac:dyDescent="0.25">
      <c r="A2571">
        <v>2570</v>
      </c>
      <c r="B2571" t="s">
        <v>3684</v>
      </c>
      <c r="C2571">
        <v>1E-3</v>
      </c>
    </row>
    <row r="2572" spans="1:3" x14ac:dyDescent="0.25">
      <c r="A2572">
        <v>2571</v>
      </c>
      <c r="B2572" t="s">
        <v>3685</v>
      </c>
      <c r="C2572">
        <v>1E-3</v>
      </c>
    </row>
    <row r="2573" spans="1:3" x14ac:dyDescent="0.25">
      <c r="A2573">
        <v>2572</v>
      </c>
      <c r="B2573" t="s">
        <v>3686</v>
      </c>
      <c r="C2573">
        <v>1E-3</v>
      </c>
    </row>
    <row r="2574" spans="1:3" x14ac:dyDescent="0.25">
      <c r="A2574">
        <v>2573</v>
      </c>
      <c r="B2574" t="s">
        <v>3687</v>
      </c>
      <c r="C2574">
        <v>1E-3</v>
      </c>
    </row>
    <row r="2575" spans="1:3" x14ac:dyDescent="0.25">
      <c r="A2575">
        <v>2574</v>
      </c>
      <c r="B2575" t="s">
        <v>3688</v>
      </c>
      <c r="C2575">
        <v>1E-3</v>
      </c>
    </row>
    <row r="2576" spans="1:3" x14ac:dyDescent="0.25">
      <c r="A2576">
        <v>2575</v>
      </c>
      <c r="B2576" t="s">
        <v>3689</v>
      </c>
      <c r="C2576">
        <v>1E-3</v>
      </c>
    </row>
    <row r="2577" spans="1:3" x14ac:dyDescent="0.25">
      <c r="A2577">
        <v>2576</v>
      </c>
      <c r="B2577" t="s">
        <v>3690</v>
      </c>
      <c r="C2577">
        <v>1E-3</v>
      </c>
    </row>
    <row r="2578" spans="1:3" x14ac:dyDescent="0.25">
      <c r="A2578">
        <v>2577</v>
      </c>
      <c r="B2578" t="s">
        <v>3691</v>
      </c>
      <c r="C2578">
        <v>1E-3</v>
      </c>
    </row>
    <row r="2579" spans="1:3" x14ac:dyDescent="0.25">
      <c r="A2579">
        <v>2578</v>
      </c>
      <c r="B2579" t="s">
        <v>3692</v>
      </c>
      <c r="C2579">
        <v>1E-3</v>
      </c>
    </row>
    <row r="2580" spans="1:3" x14ac:dyDescent="0.25">
      <c r="A2580">
        <v>2579</v>
      </c>
      <c r="B2580" t="s">
        <v>3693</v>
      </c>
      <c r="C2580">
        <v>1E-3</v>
      </c>
    </row>
    <row r="2581" spans="1:3" x14ac:dyDescent="0.25">
      <c r="A2581">
        <v>2580</v>
      </c>
      <c r="B2581" t="s">
        <v>3694</v>
      </c>
      <c r="C2581">
        <v>1E-3</v>
      </c>
    </row>
    <row r="2582" spans="1:3" x14ac:dyDescent="0.25">
      <c r="A2582">
        <v>2581</v>
      </c>
      <c r="B2582" t="s">
        <v>3695</v>
      </c>
      <c r="C2582">
        <v>1E-3</v>
      </c>
    </row>
    <row r="2583" spans="1:3" x14ac:dyDescent="0.25">
      <c r="A2583">
        <v>2582</v>
      </c>
      <c r="B2583" t="s">
        <v>3696</v>
      </c>
      <c r="C2583">
        <v>1E-3</v>
      </c>
    </row>
    <row r="2584" spans="1:3" x14ac:dyDescent="0.25">
      <c r="A2584">
        <v>2583</v>
      </c>
      <c r="B2584" t="s">
        <v>3697</v>
      </c>
      <c r="C2584">
        <v>1E-3</v>
      </c>
    </row>
    <row r="2585" spans="1:3" x14ac:dyDescent="0.25">
      <c r="A2585">
        <v>2584</v>
      </c>
      <c r="B2585" t="s">
        <v>3698</v>
      </c>
      <c r="C2585">
        <v>1E-3</v>
      </c>
    </row>
    <row r="2586" spans="1:3" x14ac:dyDescent="0.25">
      <c r="A2586">
        <v>2585</v>
      </c>
      <c r="B2586" t="s">
        <v>3699</v>
      </c>
      <c r="C2586">
        <v>1E-3</v>
      </c>
    </row>
    <row r="2587" spans="1:3" x14ac:dyDescent="0.25">
      <c r="A2587">
        <v>2586</v>
      </c>
      <c r="B2587" t="s">
        <v>3700</v>
      </c>
      <c r="C2587">
        <v>1E-3</v>
      </c>
    </row>
    <row r="2588" spans="1:3" x14ac:dyDescent="0.25">
      <c r="A2588">
        <v>2587</v>
      </c>
      <c r="B2588" t="s">
        <v>3701</v>
      </c>
      <c r="C2588">
        <v>1E-3</v>
      </c>
    </row>
    <row r="2589" spans="1:3" x14ac:dyDescent="0.25">
      <c r="A2589">
        <v>2588</v>
      </c>
      <c r="B2589" t="s">
        <v>3702</v>
      </c>
      <c r="C2589">
        <v>1E-3</v>
      </c>
    </row>
    <row r="2590" spans="1:3" x14ac:dyDescent="0.25">
      <c r="A2590">
        <v>2589</v>
      </c>
      <c r="B2590" t="s">
        <v>3703</v>
      </c>
      <c r="C2590">
        <v>1E-3</v>
      </c>
    </row>
    <row r="2591" spans="1:3" x14ac:dyDescent="0.25">
      <c r="A2591">
        <v>2590</v>
      </c>
      <c r="B2591" t="s">
        <v>3704</v>
      </c>
      <c r="C2591">
        <v>1E-3</v>
      </c>
    </row>
    <row r="2592" spans="1:3" x14ac:dyDescent="0.25">
      <c r="A2592">
        <v>2591</v>
      </c>
      <c r="B2592" t="s">
        <v>3705</v>
      </c>
      <c r="C2592">
        <v>1E-3</v>
      </c>
    </row>
    <row r="2593" spans="1:3" x14ac:dyDescent="0.25">
      <c r="A2593">
        <v>2592</v>
      </c>
      <c r="B2593" t="s">
        <v>3706</v>
      </c>
      <c r="C2593">
        <v>1E-3</v>
      </c>
    </row>
    <row r="2594" spans="1:3" x14ac:dyDescent="0.25">
      <c r="A2594">
        <v>2593</v>
      </c>
      <c r="B2594" t="s">
        <v>3707</v>
      </c>
      <c r="C2594">
        <v>1E-3</v>
      </c>
    </row>
    <row r="2595" spans="1:3" x14ac:dyDescent="0.25">
      <c r="A2595">
        <v>2594</v>
      </c>
      <c r="B2595" t="s">
        <v>3708</v>
      </c>
      <c r="C2595">
        <v>1E-3</v>
      </c>
    </row>
    <row r="2596" spans="1:3" x14ac:dyDescent="0.25">
      <c r="A2596">
        <v>2595</v>
      </c>
      <c r="B2596" t="s">
        <v>3709</v>
      </c>
      <c r="C2596">
        <v>1E-3</v>
      </c>
    </row>
    <row r="2597" spans="1:3" x14ac:dyDescent="0.25">
      <c r="A2597">
        <v>2596</v>
      </c>
      <c r="B2597" t="s">
        <v>3710</v>
      </c>
      <c r="C2597">
        <v>1E-3</v>
      </c>
    </row>
    <row r="2598" spans="1:3" x14ac:dyDescent="0.25">
      <c r="A2598">
        <v>2597</v>
      </c>
      <c r="B2598" t="s">
        <v>3711</v>
      </c>
      <c r="C2598">
        <v>1E-3</v>
      </c>
    </row>
    <row r="2599" spans="1:3" x14ac:dyDescent="0.25">
      <c r="A2599">
        <v>2598</v>
      </c>
      <c r="B2599" t="s">
        <v>3712</v>
      </c>
      <c r="C2599">
        <v>1E-3</v>
      </c>
    </row>
    <row r="2600" spans="1:3" x14ac:dyDescent="0.25">
      <c r="A2600">
        <v>2599</v>
      </c>
      <c r="B2600" t="s">
        <v>3713</v>
      </c>
      <c r="C2600">
        <v>1E-3</v>
      </c>
    </row>
    <row r="2601" spans="1:3" x14ac:dyDescent="0.25">
      <c r="A2601">
        <v>2600</v>
      </c>
      <c r="B2601" t="s">
        <v>3714</v>
      </c>
      <c r="C2601">
        <v>1E-3</v>
      </c>
    </row>
    <row r="2602" spans="1:3" x14ac:dyDescent="0.25">
      <c r="A2602">
        <v>2601</v>
      </c>
      <c r="B2602" t="s">
        <v>3715</v>
      </c>
      <c r="C2602">
        <v>1E-3</v>
      </c>
    </row>
    <row r="2603" spans="1:3" x14ac:dyDescent="0.25">
      <c r="A2603">
        <v>2602</v>
      </c>
      <c r="B2603" t="s">
        <v>3716</v>
      </c>
      <c r="C2603">
        <v>1E-3</v>
      </c>
    </row>
    <row r="2604" spans="1:3" x14ac:dyDescent="0.25">
      <c r="A2604">
        <v>2603</v>
      </c>
      <c r="B2604" t="s">
        <v>3717</v>
      </c>
      <c r="C2604">
        <v>1E-3</v>
      </c>
    </row>
    <row r="2605" spans="1:3" x14ac:dyDescent="0.25">
      <c r="A2605">
        <v>2604</v>
      </c>
      <c r="B2605" t="s">
        <v>3718</v>
      </c>
      <c r="C2605">
        <v>1E-3</v>
      </c>
    </row>
    <row r="2606" spans="1:3" x14ac:dyDescent="0.25">
      <c r="A2606">
        <v>2605</v>
      </c>
      <c r="B2606" t="s">
        <v>3719</v>
      </c>
      <c r="C2606">
        <v>1E-3</v>
      </c>
    </row>
    <row r="2607" spans="1:3" x14ac:dyDescent="0.25">
      <c r="A2607">
        <v>2606</v>
      </c>
      <c r="B2607" t="s">
        <v>3720</v>
      </c>
      <c r="C2607">
        <v>1E-3</v>
      </c>
    </row>
    <row r="2608" spans="1:3" x14ac:dyDescent="0.25">
      <c r="A2608">
        <v>2607</v>
      </c>
      <c r="B2608" t="s">
        <v>3721</v>
      </c>
      <c r="C2608">
        <v>1E-3</v>
      </c>
    </row>
    <row r="2609" spans="1:3" x14ac:dyDescent="0.25">
      <c r="A2609">
        <v>2608</v>
      </c>
      <c r="B2609" t="s">
        <v>3722</v>
      </c>
      <c r="C2609">
        <v>1E-3</v>
      </c>
    </row>
    <row r="2610" spans="1:3" x14ac:dyDescent="0.25">
      <c r="A2610">
        <v>2609</v>
      </c>
      <c r="B2610" t="s">
        <v>3723</v>
      </c>
      <c r="C2610">
        <v>1E-3</v>
      </c>
    </row>
    <row r="2611" spans="1:3" x14ac:dyDescent="0.25">
      <c r="A2611">
        <v>2610</v>
      </c>
      <c r="B2611" t="s">
        <v>3724</v>
      </c>
      <c r="C2611">
        <v>1E-3</v>
      </c>
    </row>
    <row r="2612" spans="1:3" x14ac:dyDescent="0.25">
      <c r="A2612">
        <v>2611</v>
      </c>
      <c r="B2612" t="s">
        <v>3725</v>
      </c>
      <c r="C2612">
        <v>1E-3</v>
      </c>
    </row>
    <row r="2613" spans="1:3" x14ac:dyDescent="0.25">
      <c r="A2613">
        <v>2612</v>
      </c>
      <c r="B2613" t="s">
        <v>3726</v>
      </c>
      <c r="C2613">
        <v>1E-3</v>
      </c>
    </row>
    <row r="2614" spans="1:3" x14ac:dyDescent="0.25">
      <c r="A2614">
        <v>2613</v>
      </c>
      <c r="B2614" t="s">
        <v>3727</v>
      </c>
      <c r="C2614">
        <v>1E-3</v>
      </c>
    </row>
    <row r="2615" spans="1:3" x14ac:dyDescent="0.25">
      <c r="A2615">
        <v>2614</v>
      </c>
      <c r="B2615" t="s">
        <v>3728</v>
      </c>
      <c r="C2615">
        <v>1E-3</v>
      </c>
    </row>
    <row r="2616" spans="1:3" x14ac:dyDescent="0.25">
      <c r="A2616">
        <v>2615</v>
      </c>
      <c r="B2616" t="s">
        <v>3729</v>
      </c>
      <c r="C2616">
        <v>1E-3</v>
      </c>
    </row>
    <row r="2617" spans="1:3" x14ac:dyDescent="0.25">
      <c r="A2617">
        <v>2616</v>
      </c>
      <c r="B2617" t="s">
        <v>3730</v>
      </c>
      <c r="C2617">
        <v>1E-3</v>
      </c>
    </row>
    <row r="2618" spans="1:3" x14ac:dyDescent="0.25">
      <c r="A2618">
        <v>2617</v>
      </c>
      <c r="B2618" t="s">
        <v>3731</v>
      </c>
      <c r="C2618">
        <v>1E-3</v>
      </c>
    </row>
    <row r="2619" spans="1:3" x14ac:dyDescent="0.25">
      <c r="A2619">
        <v>2618</v>
      </c>
      <c r="B2619" t="s">
        <v>3732</v>
      </c>
      <c r="C2619">
        <v>1E-3</v>
      </c>
    </row>
    <row r="2620" spans="1:3" x14ac:dyDescent="0.25">
      <c r="A2620">
        <v>2619</v>
      </c>
      <c r="B2620" t="s">
        <v>3733</v>
      </c>
      <c r="C2620">
        <v>1E-3</v>
      </c>
    </row>
    <row r="2621" spans="1:3" x14ac:dyDescent="0.25">
      <c r="A2621">
        <v>2620</v>
      </c>
      <c r="B2621" t="s">
        <v>3734</v>
      </c>
      <c r="C2621">
        <v>1E-3</v>
      </c>
    </row>
    <row r="2622" spans="1:3" x14ac:dyDescent="0.25">
      <c r="A2622">
        <v>2621</v>
      </c>
      <c r="B2622" t="s">
        <v>3735</v>
      </c>
      <c r="C2622">
        <v>1E-3</v>
      </c>
    </row>
    <row r="2623" spans="1:3" x14ac:dyDescent="0.25">
      <c r="A2623">
        <v>2622</v>
      </c>
      <c r="B2623" t="s">
        <v>3736</v>
      </c>
      <c r="C2623">
        <v>1E-3</v>
      </c>
    </row>
    <row r="2624" spans="1:3" x14ac:dyDescent="0.25">
      <c r="A2624">
        <v>2623</v>
      </c>
      <c r="B2624" t="s">
        <v>3737</v>
      </c>
      <c r="C2624">
        <v>1E-3</v>
      </c>
    </row>
    <row r="2625" spans="1:3" x14ac:dyDescent="0.25">
      <c r="A2625">
        <v>2624</v>
      </c>
      <c r="B2625" t="s">
        <v>3738</v>
      </c>
      <c r="C2625">
        <v>1E-3</v>
      </c>
    </row>
    <row r="2626" spans="1:3" x14ac:dyDescent="0.25">
      <c r="A2626">
        <v>2625</v>
      </c>
      <c r="B2626" t="s">
        <v>3739</v>
      </c>
      <c r="C2626">
        <v>1E-3</v>
      </c>
    </row>
    <row r="2627" spans="1:3" x14ac:dyDescent="0.25">
      <c r="A2627">
        <v>2626</v>
      </c>
      <c r="B2627" t="s">
        <v>3740</v>
      </c>
      <c r="C2627">
        <v>1E-3</v>
      </c>
    </row>
    <row r="2628" spans="1:3" x14ac:dyDescent="0.25">
      <c r="A2628">
        <v>2627</v>
      </c>
      <c r="B2628" t="s">
        <v>3741</v>
      </c>
      <c r="C2628">
        <v>1E-3</v>
      </c>
    </row>
    <row r="2629" spans="1:3" x14ac:dyDescent="0.25">
      <c r="A2629">
        <v>2628</v>
      </c>
      <c r="B2629" t="s">
        <v>3742</v>
      </c>
      <c r="C2629">
        <v>1E-3</v>
      </c>
    </row>
    <row r="2630" spans="1:3" x14ac:dyDescent="0.25">
      <c r="A2630">
        <v>2629</v>
      </c>
      <c r="B2630" t="s">
        <v>3743</v>
      </c>
      <c r="C2630">
        <v>1E-3</v>
      </c>
    </row>
    <row r="2631" spans="1:3" x14ac:dyDescent="0.25">
      <c r="A2631">
        <v>2630</v>
      </c>
      <c r="B2631" t="s">
        <v>3744</v>
      </c>
      <c r="C2631">
        <v>1E-3</v>
      </c>
    </row>
    <row r="2632" spans="1:3" x14ac:dyDescent="0.25">
      <c r="A2632">
        <v>2631</v>
      </c>
      <c r="B2632" t="s">
        <v>3745</v>
      </c>
      <c r="C2632">
        <v>1E-3</v>
      </c>
    </row>
    <row r="2633" spans="1:3" x14ac:dyDescent="0.25">
      <c r="A2633">
        <v>2632</v>
      </c>
      <c r="B2633" t="s">
        <v>3746</v>
      </c>
      <c r="C2633">
        <v>1E-3</v>
      </c>
    </row>
    <row r="2634" spans="1:3" x14ac:dyDescent="0.25">
      <c r="A2634">
        <v>2633</v>
      </c>
      <c r="B2634" t="s">
        <v>3747</v>
      </c>
      <c r="C2634">
        <v>1E-3</v>
      </c>
    </row>
    <row r="2635" spans="1:3" x14ac:dyDescent="0.25">
      <c r="A2635">
        <v>2634</v>
      </c>
      <c r="B2635" t="s">
        <v>3748</v>
      </c>
      <c r="C2635">
        <v>1E-3</v>
      </c>
    </row>
    <row r="2636" spans="1:3" x14ac:dyDescent="0.25">
      <c r="A2636">
        <v>2635</v>
      </c>
      <c r="B2636" t="s">
        <v>3749</v>
      </c>
      <c r="C2636">
        <v>1E-3</v>
      </c>
    </row>
    <row r="2637" spans="1:3" x14ac:dyDescent="0.25">
      <c r="A2637">
        <v>2636</v>
      </c>
      <c r="B2637" t="s">
        <v>3750</v>
      </c>
      <c r="C2637">
        <v>1E-3</v>
      </c>
    </row>
    <row r="2638" spans="1:3" x14ac:dyDescent="0.25">
      <c r="A2638">
        <v>2637</v>
      </c>
      <c r="B2638" t="s">
        <v>3751</v>
      </c>
      <c r="C2638">
        <v>1E-3</v>
      </c>
    </row>
    <row r="2639" spans="1:3" x14ac:dyDescent="0.25">
      <c r="A2639">
        <v>2638</v>
      </c>
      <c r="B2639" t="s">
        <v>3752</v>
      </c>
      <c r="C2639">
        <v>1E-3</v>
      </c>
    </row>
    <row r="2640" spans="1:3" x14ac:dyDescent="0.25">
      <c r="A2640">
        <v>2639</v>
      </c>
      <c r="B2640" t="s">
        <v>3753</v>
      </c>
      <c r="C2640">
        <v>1E-3</v>
      </c>
    </row>
    <row r="2641" spans="1:3" x14ac:dyDescent="0.25">
      <c r="A2641">
        <v>2640</v>
      </c>
      <c r="B2641" t="s">
        <v>3754</v>
      </c>
      <c r="C2641">
        <v>1E-3</v>
      </c>
    </row>
    <row r="2642" spans="1:3" x14ac:dyDescent="0.25">
      <c r="A2642">
        <v>2641</v>
      </c>
      <c r="B2642" t="s">
        <v>3755</v>
      </c>
      <c r="C2642">
        <v>1E-3</v>
      </c>
    </row>
    <row r="2643" spans="1:3" x14ac:dyDescent="0.25">
      <c r="A2643">
        <v>2642</v>
      </c>
      <c r="B2643" t="s">
        <v>3756</v>
      </c>
      <c r="C2643">
        <v>1E-3</v>
      </c>
    </row>
    <row r="2644" spans="1:3" x14ac:dyDescent="0.25">
      <c r="A2644">
        <v>2643</v>
      </c>
      <c r="B2644" t="s">
        <v>3757</v>
      </c>
      <c r="C2644">
        <v>1E-3</v>
      </c>
    </row>
    <row r="2645" spans="1:3" x14ac:dyDescent="0.25">
      <c r="A2645">
        <v>2644</v>
      </c>
      <c r="B2645" t="s">
        <v>3758</v>
      </c>
      <c r="C2645">
        <v>1E-3</v>
      </c>
    </row>
    <row r="2646" spans="1:3" x14ac:dyDescent="0.25">
      <c r="A2646">
        <v>2645</v>
      </c>
      <c r="B2646" t="s">
        <v>3759</v>
      </c>
      <c r="C2646">
        <v>1E-3</v>
      </c>
    </row>
    <row r="2647" spans="1:3" x14ac:dyDescent="0.25">
      <c r="A2647">
        <v>2646</v>
      </c>
      <c r="B2647" t="s">
        <v>3760</v>
      </c>
      <c r="C2647">
        <v>1E-3</v>
      </c>
    </row>
    <row r="2648" spans="1:3" x14ac:dyDescent="0.25">
      <c r="A2648">
        <v>2647</v>
      </c>
      <c r="B2648" t="s">
        <v>3761</v>
      </c>
      <c r="C2648">
        <v>1E-3</v>
      </c>
    </row>
    <row r="2649" spans="1:3" x14ac:dyDescent="0.25">
      <c r="A2649">
        <v>2648</v>
      </c>
      <c r="B2649" t="s">
        <v>3762</v>
      </c>
      <c r="C2649">
        <v>1E-3</v>
      </c>
    </row>
    <row r="2650" spans="1:3" x14ac:dyDescent="0.25">
      <c r="A2650">
        <v>2649</v>
      </c>
      <c r="B2650" t="s">
        <v>3763</v>
      </c>
      <c r="C2650">
        <v>1E-3</v>
      </c>
    </row>
    <row r="2651" spans="1:3" x14ac:dyDescent="0.25">
      <c r="A2651">
        <v>2650</v>
      </c>
      <c r="B2651" t="s">
        <v>3764</v>
      </c>
      <c r="C2651">
        <v>1E-3</v>
      </c>
    </row>
    <row r="2652" spans="1:3" x14ac:dyDescent="0.25">
      <c r="A2652">
        <v>2651</v>
      </c>
      <c r="B2652" t="s">
        <v>3765</v>
      </c>
      <c r="C2652">
        <v>1E-3</v>
      </c>
    </row>
    <row r="2653" spans="1:3" x14ac:dyDescent="0.25">
      <c r="A2653">
        <v>2652</v>
      </c>
      <c r="B2653" t="s">
        <v>3766</v>
      </c>
      <c r="C2653">
        <v>1E-3</v>
      </c>
    </row>
    <row r="2654" spans="1:3" x14ac:dyDescent="0.25">
      <c r="A2654">
        <v>2653</v>
      </c>
      <c r="B2654" t="s">
        <v>3767</v>
      </c>
      <c r="C2654">
        <v>1E-3</v>
      </c>
    </row>
    <row r="2655" spans="1:3" x14ac:dyDescent="0.25">
      <c r="A2655">
        <v>2654</v>
      </c>
      <c r="B2655" t="s">
        <v>3768</v>
      </c>
      <c r="C2655">
        <v>1E-3</v>
      </c>
    </row>
    <row r="2656" spans="1:3" x14ac:dyDescent="0.25">
      <c r="A2656">
        <v>2655</v>
      </c>
      <c r="B2656" t="s">
        <v>3769</v>
      </c>
      <c r="C2656">
        <v>1E-3</v>
      </c>
    </row>
    <row r="2657" spans="1:3" x14ac:dyDescent="0.25">
      <c r="A2657">
        <v>2656</v>
      </c>
      <c r="B2657" t="s">
        <v>3770</v>
      </c>
      <c r="C2657">
        <v>1E-3</v>
      </c>
    </row>
    <row r="2658" spans="1:3" x14ac:dyDescent="0.25">
      <c r="A2658">
        <v>2657</v>
      </c>
      <c r="B2658" t="s">
        <v>3771</v>
      </c>
      <c r="C2658">
        <v>1E-3</v>
      </c>
    </row>
    <row r="2659" spans="1:3" x14ac:dyDescent="0.25">
      <c r="A2659">
        <v>2658</v>
      </c>
      <c r="B2659" t="s">
        <v>3772</v>
      </c>
      <c r="C2659">
        <v>1E-3</v>
      </c>
    </row>
    <row r="2660" spans="1:3" x14ac:dyDescent="0.25">
      <c r="A2660">
        <v>2659</v>
      </c>
      <c r="B2660" t="s">
        <v>3773</v>
      </c>
      <c r="C2660">
        <v>1E-3</v>
      </c>
    </row>
    <row r="2661" spans="1:3" x14ac:dyDescent="0.25">
      <c r="A2661">
        <v>2660</v>
      </c>
      <c r="B2661" t="s">
        <v>3774</v>
      </c>
      <c r="C2661">
        <v>1E-3</v>
      </c>
    </row>
    <row r="2662" spans="1:3" x14ac:dyDescent="0.25">
      <c r="A2662">
        <v>2661</v>
      </c>
      <c r="B2662" t="s">
        <v>3775</v>
      </c>
      <c r="C2662">
        <v>1E-3</v>
      </c>
    </row>
    <row r="2663" spans="1:3" x14ac:dyDescent="0.25">
      <c r="A2663">
        <v>2662</v>
      </c>
      <c r="B2663" t="s">
        <v>3776</v>
      </c>
      <c r="C2663">
        <v>1E-3</v>
      </c>
    </row>
    <row r="2664" spans="1:3" x14ac:dyDescent="0.25">
      <c r="A2664">
        <v>2663</v>
      </c>
      <c r="B2664" t="s">
        <v>3777</v>
      </c>
      <c r="C2664">
        <v>1E-3</v>
      </c>
    </row>
    <row r="2665" spans="1:3" x14ac:dyDescent="0.25">
      <c r="A2665">
        <v>2664</v>
      </c>
      <c r="B2665" t="s">
        <v>3778</v>
      </c>
      <c r="C2665">
        <v>1E-3</v>
      </c>
    </row>
    <row r="2666" spans="1:3" x14ac:dyDescent="0.25">
      <c r="A2666">
        <v>2665</v>
      </c>
      <c r="B2666" t="s">
        <v>3779</v>
      </c>
      <c r="C2666">
        <v>1E-3</v>
      </c>
    </row>
    <row r="2667" spans="1:3" x14ac:dyDescent="0.25">
      <c r="A2667">
        <v>2666</v>
      </c>
      <c r="B2667" t="s">
        <v>3780</v>
      </c>
      <c r="C2667">
        <v>1E-3</v>
      </c>
    </row>
    <row r="2668" spans="1:3" x14ac:dyDescent="0.25">
      <c r="A2668">
        <v>2667</v>
      </c>
      <c r="B2668" t="s">
        <v>3781</v>
      </c>
      <c r="C2668">
        <v>1E-3</v>
      </c>
    </row>
    <row r="2669" spans="1:3" x14ac:dyDescent="0.25">
      <c r="A2669">
        <v>2668</v>
      </c>
      <c r="B2669" t="s">
        <v>3782</v>
      </c>
      <c r="C2669">
        <v>1E-3</v>
      </c>
    </row>
    <row r="2670" spans="1:3" x14ac:dyDescent="0.25">
      <c r="A2670">
        <v>2669</v>
      </c>
      <c r="B2670" t="s">
        <v>3783</v>
      </c>
      <c r="C2670">
        <v>1E-3</v>
      </c>
    </row>
    <row r="2671" spans="1:3" x14ac:dyDescent="0.25">
      <c r="A2671">
        <v>2670</v>
      </c>
      <c r="B2671" t="s">
        <v>3784</v>
      </c>
      <c r="C2671">
        <v>1E-3</v>
      </c>
    </row>
    <row r="2672" spans="1:3" x14ac:dyDescent="0.25">
      <c r="A2672">
        <v>2671</v>
      </c>
      <c r="B2672" t="s">
        <v>3785</v>
      </c>
      <c r="C2672">
        <v>1E-3</v>
      </c>
    </row>
    <row r="2673" spans="1:3" x14ac:dyDescent="0.25">
      <c r="A2673">
        <v>2672</v>
      </c>
      <c r="B2673" t="s">
        <v>3786</v>
      </c>
      <c r="C2673">
        <v>1E-3</v>
      </c>
    </row>
    <row r="2674" spans="1:3" x14ac:dyDescent="0.25">
      <c r="A2674">
        <v>2673</v>
      </c>
      <c r="B2674" t="s">
        <v>3787</v>
      </c>
      <c r="C2674">
        <v>1E-3</v>
      </c>
    </row>
    <row r="2675" spans="1:3" x14ac:dyDescent="0.25">
      <c r="A2675">
        <v>2674</v>
      </c>
      <c r="B2675" t="s">
        <v>3788</v>
      </c>
      <c r="C2675">
        <v>1E-3</v>
      </c>
    </row>
    <row r="2676" spans="1:3" x14ac:dyDescent="0.25">
      <c r="A2676">
        <v>2675</v>
      </c>
      <c r="B2676" t="s">
        <v>3789</v>
      </c>
      <c r="C2676">
        <v>1E-3</v>
      </c>
    </row>
    <row r="2677" spans="1:3" x14ac:dyDescent="0.25">
      <c r="A2677">
        <v>2676</v>
      </c>
      <c r="B2677" t="s">
        <v>3790</v>
      </c>
      <c r="C2677">
        <v>1E-3</v>
      </c>
    </row>
    <row r="2678" spans="1:3" x14ac:dyDescent="0.25">
      <c r="A2678">
        <v>2677</v>
      </c>
      <c r="B2678" t="s">
        <v>3791</v>
      </c>
      <c r="C2678">
        <v>1E-3</v>
      </c>
    </row>
    <row r="2679" spans="1:3" x14ac:dyDescent="0.25">
      <c r="A2679">
        <v>2678</v>
      </c>
      <c r="B2679" t="s">
        <v>3792</v>
      </c>
      <c r="C2679">
        <v>1E-3</v>
      </c>
    </row>
    <row r="2680" spans="1:3" x14ac:dyDescent="0.25">
      <c r="A2680">
        <v>2679</v>
      </c>
      <c r="B2680" t="s">
        <v>3793</v>
      </c>
      <c r="C2680">
        <v>1E-3</v>
      </c>
    </row>
    <row r="2681" spans="1:3" x14ac:dyDescent="0.25">
      <c r="A2681">
        <v>2680</v>
      </c>
      <c r="B2681" t="s">
        <v>3794</v>
      </c>
      <c r="C2681">
        <v>1E-3</v>
      </c>
    </row>
    <row r="2682" spans="1:3" x14ac:dyDescent="0.25">
      <c r="A2682">
        <v>2681</v>
      </c>
      <c r="B2682" t="s">
        <v>3795</v>
      </c>
      <c r="C2682">
        <v>1E-3</v>
      </c>
    </row>
    <row r="2683" spans="1:3" x14ac:dyDescent="0.25">
      <c r="A2683">
        <v>2682</v>
      </c>
      <c r="B2683" t="s">
        <v>3796</v>
      </c>
      <c r="C2683">
        <v>1E-3</v>
      </c>
    </row>
    <row r="2684" spans="1:3" x14ac:dyDescent="0.25">
      <c r="A2684">
        <v>2683</v>
      </c>
      <c r="B2684" t="s">
        <v>3797</v>
      </c>
      <c r="C2684">
        <v>1E-3</v>
      </c>
    </row>
    <row r="2685" spans="1:3" x14ac:dyDescent="0.25">
      <c r="A2685">
        <v>2684</v>
      </c>
      <c r="B2685" t="s">
        <v>3798</v>
      </c>
      <c r="C2685">
        <v>1E-3</v>
      </c>
    </row>
    <row r="2686" spans="1:3" x14ac:dyDescent="0.25">
      <c r="A2686">
        <v>2685</v>
      </c>
      <c r="B2686" t="s">
        <v>3799</v>
      </c>
      <c r="C2686">
        <v>1E-3</v>
      </c>
    </row>
    <row r="2687" spans="1:3" x14ac:dyDescent="0.25">
      <c r="A2687">
        <v>2686</v>
      </c>
      <c r="B2687" t="s">
        <v>3800</v>
      </c>
      <c r="C2687">
        <v>1E-3</v>
      </c>
    </row>
    <row r="2688" spans="1:3" x14ac:dyDescent="0.25">
      <c r="A2688">
        <v>2687</v>
      </c>
      <c r="B2688" t="s">
        <v>3801</v>
      </c>
      <c r="C2688">
        <v>1E-3</v>
      </c>
    </row>
    <row r="2689" spans="1:3" x14ac:dyDescent="0.25">
      <c r="A2689">
        <v>2688</v>
      </c>
      <c r="B2689" t="s">
        <v>3802</v>
      </c>
      <c r="C2689">
        <v>1E-3</v>
      </c>
    </row>
    <row r="2690" spans="1:3" x14ac:dyDescent="0.25">
      <c r="A2690">
        <v>2689</v>
      </c>
      <c r="B2690" t="s">
        <v>3803</v>
      </c>
      <c r="C2690">
        <v>1E-3</v>
      </c>
    </row>
    <row r="2691" spans="1:3" x14ac:dyDescent="0.25">
      <c r="A2691">
        <v>2690</v>
      </c>
      <c r="B2691" t="s">
        <v>3804</v>
      </c>
      <c r="C2691">
        <v>1E-3</v>
      </c>
    </row>
    <row r="2692" spans="1:3" x14ac:dyDescent="0.25">
      <c r="A2692">
        <v>2691</v>
      </c>
      <c r="B2692" t="s">
        <v>3805</v>
      </c>
      <c r="C2692">
        <v>1E-3</v>
      </c>
    </row>
    <row r="2693" spans="1:3" x14ac:dyDescent="0.25">
      <c r="A2693">
        <v>2692</v>
      </c>
      <c r="B2693" t="s">
        <v>3806</v>
      </c>
      <c r="C2693">
        <v>1E-3</v>
      </c>
    </row>
    <row r="2694" spans="1:3" x14ac:dyDescent="0.25">
      <c r="A2694">
        <v>2693</v>
      </c>
      <c r="B2694" t="s">
        <v>3807</v>
      </c>
      <c r="C2694">
        <v>1E-3</v>
      </c>
    </row>
    <row r="2695" spans="1:3" x14ac:dyDescent="0.25">
      <c r="A2695">
        <v>2694</v>
      </c>
      <c r="B2695" t="s">
        <v>3808</v>
      </c>
      <c r="C2695">
        <v>1E-3</v>
      </c>
    </row>
    <row r="2696" spans="1:3" x14ac:dyDescent="0.25">
      <c r="A2696">
        <v>2695</v>
      </c>
      <c r="B2696" t="s">
        <v>3809</v>
      </c>
      <c r="C2696">
        <v>1E-3</v>
      </c>
    </row>
    <row r="2697" spans="1:3" x14ac:dyDescent="0.25">
      <c r="A2697">
        <v>2696</v>
      </c>
      <c r="B2697" t="s">
        <v>3810</v>
      </c>
      <c r="C2697">
        <v>1E-3</v>
      </c>
    </row>
    <row r="2698" spans="1:3" x14ac:dyDescent="0.25">
      <c r="A2698">
        <v>2697</v>
      </c>
      <c r="B2698" t="s">
        <v>3811</v>
      </c>
      <c r="C2698">
        <v>1E-3</v>
      </c>
    </row>
    <row r="2699" spans="1:3" x14ac:dyDescent="0.25">
      <c r="A2699">
        <v>2698</v>
      </c>
      <c r="B2699" t="s">
        <v>3812</v>
      </c>
      <c r="C2699">
        <v>1E-3</v>
      </c>
    </row>
    <row r="2700" spans="1:3" x14ac:dyDescent="0.25">
      <c r="A2700">
        <v>2699</v>
      </c>
      <c r="B2700" t="s">
        <v>3813</v>
      </c>
      <c r="C2700">
        <v>1E-3</v>
      </c>
    </row>
    <row r="2701" spans="1:3" x14ac:dyDescent="0.25">
      <c r="A2701">
        <v>2700</v>
      </c>
      <c r="B2701" t="s">
        <v>3814</v>
      </c>
      <c r="C2701">
        <v>1E-3</v>
      </c>
    </row>
    <row r="2702" spans="1:3" x14ac:dyDescent="0.25">
      <c r="A2702">
        <v>2701</v>
      </c>
      <c r="B2702" t="s">
        <v>3815</v>
      </c>
      <c r="C2702">
        <v>1E-3</v>
      </c>
    </row>
    <row r="2703" spans="1:3" x14ac:dyDescent="0.25">
      <c r="A2703">
        <v>2702</v>
      </c>
      <c r="B2703" t="s">
        <v>3816</v>
      </c>
      <c r="C2703">
        <v>1E-3</v>
      </c>
    </row>
    <row r="2704" spans="1:3" x14ac:dyDescent="0.25">
      <c r="A2704">
        <v>2703</v>
      </c>
      <c r="B2704" t="s">
        <v>3817</v>
      </c>
      <c r="C2704">
        <v>1E-3</v>
      </c>
    </row>
    <row r="2705" spans="1:3" x14ac:dyDescent="0.25">
      <c r="A2705">
        <v>2704</v>
      </c>
      <c r="B2705" t="s">
        <v>3818</v>
      </c>
      <c r="C2705">
        <v>1E-3</v>
      </c>
    </row>
    <row r="2706" spans="1:3" x14ac:dyDescent="0.25">
      <c r="A2706">
        <v>2705</v>
      </c>
      <c r="B2706" t="s">
        <v>3819</v>
      </c>
      <c r="C2706">
        <v>1E-3</v>
      </c>
    </row>
    <row r="2707" spans="1:3" x14ac:dyDescent="0.25">
      <c r="A2707">
        <v>2706</v>
      </c>
      <c r="B2707" t="s">
        <v>3820</v>
      </c>
      <c r="C2707">
        <v>1E-3</v>
      </c>
    </row>
    <row r="2708" spans="1:3" x14ac:dyDescent="0.25">
      <c r="A2708">
        <v>2707</v>
      </c>
      <c r="B2708" t="s">
        <v>3821</v>
      </c>
      <c r="C2708">
        <v>1E-3</v>
      </c>
    </row>
    <row r="2709" spans="1:3" x14ac:dyDescent="0.25">
      <c r="A2709">
        <v>2708</v>
      </c>
      <c r="B2709" t="s">
        <v>3822</v>
      </c>
      <c r="C2709">
        <v>1E-3</v>
      </c>
    </row>
    <row r="2710" spans="1:3" x14ac:dyDescent="0.25">
      <c r="A2710">
        <v>2709</v>
      </c>
      <c r="B2710" t="s">
        <v>3823</v>
      </c>
      <c r="C2710">
        <v>1E-3</v>
      </c>
    </row>
    <row r="2711" spans="1:3" x14ac:dyDescent="0.25">
      <c r="A2711">
        <v>2710</v>
      </c>
      <c r="B2711" t="s">
        <v>3824</v>
      </c>
      <c r="C2711">
        <v>1E-3</v>
      </c>
    </row>
    <row r="2712" spans="1:3" x14ac:dyDescent="0.25">
      <c r="A2712">
        <v>2711</v>
      </c>
      <c r="B2712" t="s">
        <v>3825</v>
      </c>
      <c r="C2712">
        <v>1E-3</v>
      </c>
    </row>
    <row r="2713" spans="1:3" x14ac:dyDescent="0.25">
      <c r="A2713">
        <v>2712</v>
      </c>
      <c r="B2713" t="s">
        <v>3826</v>
      </c>
      <c r="C2713">
        <v>1E-3</v>
      </c>
    </row>
    <row r="2714" spans="1:3" x14ac:dyDescent="0.25">
      <c r="A2714">
        <v>2713</v>
      </c>
      <c r="B2714" t="s">
        <v>3827</v>
      </c>
      <c r="C2714">
        <v>1E-3</v>
      </c>
    </row>
    <row r="2715" spans="1:3" x14ac:dyDescent="0.25">
      <c r="A2715">
        <v>2714</v>
      </c>
      <c r="B2715" t="s">
        <v>3828</v>
      </c>
      <c r="C2715">
        <v>1E-3</v>
      </c>
    </row>
    <row r="2716" spans="1:3" x14ac:dyDescent="0.25">
      <c r="A2716">
        <v>2715</v>
      </c>
      <c r="B2716" t="s">
        <v>3829</v>
      </c>
      <c r="C2716">
        <v>1E-3</v>
      </c>
    </row>
    <row r="2717" spans="1:3" x14ac:dyDescent="0.25">
      <c r="A2717">
        <v>2716</v>
      </c>
      <c r="B2717" t="s">
        <v>3830</v>
      </c>
      <c r="C2717">
        <v>1E-3</v>
      </c>
    </row>
    <row r="2718" spans="1:3" x14ac:dyDescent="0.25">
      <c r="A2718">
        <v>2717</v>
      </c>
      <c r="B2718" t="s">
        <v>3831</v>
      </c>
      <c r="C2718">
        <v>1E-3</v>
      </c>
    </row>
    <row r="2719" spans="1:3" x14ac:dyDescent="0.25">
      <c r="A2719">
        <v>2718</v>
      </c>
      <c r="B2719" t="s">
        <v>3832</v>
      </c>
      <c r="C2719">
        <v>1E-3</v>
      </c>
    </row>
    <row r="2720" spans="1:3" x14ac:dyDescent="0.25">
      <c r="A2720">
        <v>2719</v>
      </c>
      <c r="B2720" t="s">
        <v>3833</v>
      </c>
      <c r="C2720">
        <v>1E-3</v>
      </c>
    </row>
    <row r="2721" spans="1:3" x14ac:dyDescent="0.25">
      <c r="A2721">
        <v>2720</v>
      </c>
      <c r="B2721" t="s">
        <v>3834</v>
      </c>
      <c r="C2721">
        <v>1E-3</v>
      </c>
    </row>
    <row r="2722" spans="1:3" x14ac:dyDescent="0.25">
      <c r="A2722">
        <v>2721</v>
      </c>
      <c r="B2722" t="s">
        <v>3835</v>
      </c>
      <c r="C2722">
        <v>1E-3</v>
      </c>
    </row>
    <row r="2723" spans="1:3" x14ac:dyDescent="0.25">
      <c r="A2723">
        <v>2722</v>
      </c>
      <c r="B2723" t="s">
        <v>3836</v>
      </c>
      <c r="C2723">
        <v>1E-3</v>
      </c>
    </row>
    <row r="2724" spans="1:3" x14ac:dyDescent="0.25">
      <c r="A2724">
        <v>2723</v>
      </c>
      <c r="B2724" t="s">
        <v>3837</v>
      </c>
      <c r="C2724">
        <v>1E-3</v>
      </c>
    </row>
    <row r="2725" spans="1:3" x14ac:dyDescent="0.25">
      <c r="A2725">
        <v>2724</v>
      </c>
      <c r="B2725" t="s">
        <v>3838</v>
      </c>
      <c r="C2725">
        <v>1E-3</v>
      </c>
    </row>
    <row r="2726" spans="1:3" x14ac:dyDescent="0.25">
      <c r="A2726">
        <v>2725</v>
      </c>
      <c r="B2726" t="s">
        <v>3839</v>
      </c>
      <c r="C2726">
        <v>1E-3</v>
      </c>
    </row>
    <row r="2727" spans="1:3" x14ac:dyDescent="0.25">
      <c r="A2727">
        <v>2726</v>
      </c>
      <c r="B2727" t="s">
        <v>3840</v>
      </c>
      <c r="C2727">
        <v>1E-3</v>
      </c>
    </row>
    <row r="2728" spans="1:3" x14ac:dyDescent="0.25">
      <c r="A2728">
        <v>2727</v>
      </c>
      <c r="B2728" t="s">
        <v>3841</v>
      </c>
      <c r="C2728">
        <v>1E-3</v>
      </c>
    </row>
    <row r="2729" spans="1:3" x14ac:dyDescent="0.25">
      <c r="A2729">
        <v>2728</v>
      </c>
      <c r="B2729" t="s">
        <v>3842</v>
      </c>
      <c r="C2729">
        <v>1E-3</v>
      </c>
    </row>
    <row r="2730" spans="1:3" x14ac:dyDescent="0.25">
      <c r="A2730">
        <v>2729</v>
      </c>
      <c r="B2730" t="s">
        <v>3843</v>
      </c>
      <c r="C2730">
        <v>1E-3</v>
      </c>
    </row>
    <row r="2731" spans="1:3" x14ac:dyDescent="0.25">
      <c r="A2731">
        <v>2730</v>
      </c>
      <c r="B2731" t="s">
        <v>3844</v>
      </c>
      <c r="C2731">
        <v>1E-3</v>
      </c>
    </row>
    <row r="2732" spans="1:3" x14ac:dyDescent="0.25">
      <c r="A2732">
        <v>2731</v>
      </c>
      <c r="B2732" t="s">
        <v>3845</v>
      </c>
      <c r="C2732">
        <v>1E-3</v>
      </c>
    </row>
    <row r="2733" spans="1:3" x14ac:dyDescent="0.25">
      <c r="A2733">
        <v>2732</v>
      </c>
      <c r="B2733" t="s">
        <v>3846</v>
      </c>
      <c r="C2733">
        <v>1E-3</v>
      </c>
    </row>
    <row r="2734" spans="1:3" x14ac:dyDescent="0.25">
      <c r="A2734">
        <v>2733</v>
      </c>
      <c r="B2734" t="s">
        <v>3847</v>
      </c>
      <c r="C2734">
        <v>1E-3</v>
      </c>
    </row>
    <row r="2735" spans="1:3" x14ac:dyDescent="0.25">
      <c r="A2735">
        <v>2734</v>
      </c>
      <c r="B2735" t="s">
        <v>3848</v>
      </c>
      <c r="C2735">
        <v>1E-3</v>
      </c>
    </row>
    <row r="2736" spans="1:3" x14ac:dyDescent="0.25">
      <c r="A2736">
        <v>2735</v>
      </c>
      <c r="B2736" t="s">
        <v>3849</v>
      </c>
      <c r="C2736">
        <v>1E-3</v>
      </c>
    </row>
    <row r="2737" spans="1:3" x14ac:dyDescent="0.25">
      <c r="A2737">
        <v>2736</v>
      </c>
      <c r="B2737" t="s">
        <v>3850</v>
      </c>
      <c r="C2737">
        <v>1E-3</v>
      </c>
    </row>
    <row r="2738" spans="1:3" x14ac:dyDescent="0.25">
      <c r="A2738">
        <v>2737</v>
      </c>
      <c r="B2738" t="s">
        <v>3851</v>
      </c>
      <c r="C2738">
        <v>1E-3</v>
      </c>
    </row>
    <row r="2739" spans="1:3" x14ac:dyDescent="0.25">
      <c r="A2739">
        <v>2738</v>
      </c>
      <c r="B2739" t="s">
        <v>3852</v>
      </c>
      <c r="C2739">
        <v>1E-3</v>
      </c>
    </row>
    <row r="2740" spans="1:3" x14ac:dyDescent="0.25">
      <c r="A2740">
        <v>2739</v>
      </c>
      <c r="B2740" t="s">
        <v>3853</v>
      </c>
      <c r="C2740">
        <v>1E-3</v>
      </c>
    </row>
    <row r="2741" spans="1:3" x14ac:dyDescent="0.25">
      <c r="A2741">
        <v>2740</v>
      </c>
      <c r="B2741" t="s">
        <v>3854</v>
      </c>
      <c r="C2741">
        <v>1E-3</v>
      </c>
    </row>
    <row r="2742" spans="1:3" x14ac:dyDescent="0.25">
      <c r="A2742">
        <v>2741</v>
      </c>
      <c r="B2742" t="s">
        <v>3855</v>
      </c>
      <c r="C2742">
        <v>1E-3</v>
      </c>
    </row>
    <row r="2743" spans="1:3" x14ac:dyDescent="0.25">
      <c r="A2743">
        <v>2742</v>
      </c>
      <c r="B2743" t="s">
        <v>3856</v>
      </c>
      <c r="C2743">
        <v>1E-3</v>
      </c>
    </row>
    <row r="2744" spans="1:3" x14ac:dyDescent="0.25">
      <c r="A2744">
        <v>2743</v>
      </c>
      <c r="B2744" t="s">
        <v>3857</v>
      </c>
      <c r="C2744">
        <v>1E-3</v>
      </c>
    </row>
    <row r="2745" spans="1:3" x14ac:dyDescent="0.25">
      <c r="A2745">
        <v>2744</v>
      </c>
      <c r="B2745" t="s">
        <v>3858</v>
      </c>
      <c r="C2745">
        <v>1E-3</v>
      </c>
    </row>
    <row r="2746" spans="1:3" x14ac:dyDescent="0.25">
      <c r="A2746">
        <v>2745</v>
      </c>
      <c r="B2746" t="s">
        <v>3859</v>
      </c>
      <c r="C2746">
        <v>1E-3</v>
      </c>
    </row>
    <row r="2747" spans="1:3" x14ac:dyDescent="0.25">
      <c r="A2747">
        <v>2746</v>
      </c>
      <c r="B2747" t="s">
        <v>3860</v>
      </c>
      <c r="C2747">
        <v>1E-3</v>
      </c>
    </row>
    <row r="2748" spans="1:3" x14ac:dyDescent="0.25">
      <c r="A2748">
        <v>2747</v>
      </c>
      <c r="B2748" t="s">
        <v>3861</v>
      </c>
      <c r="C2748">
        <v>1E-3</v>
      </c>
    </row>
    <row r="2749" spans="1:3" x14ac:dyDescent="0.25">
      <c r="A2749">
        <v>2748</v>
      </c>
      <c r="B2749" t="s">
        <v>3862</v>
      </c>
      <c r="C2749">
        <v>1E-3</v>
      </c>
    </row>
    <row r="2750" spans="1:3" x14ac:dyDescent="0.25">
      <c r="A2750">
        <v>2749</v>
      </c>
      <c r="B2750" t="s">
        <v>3863</v>
      </c>
      <c r="C2750">
        <v>1E-3</v>
      </c>
    </row>
    <row r="2751" spans="1:3" x14ac:dyDescent="0.25">
      <c r="A2751">
        <v>2750</v>
      </c>
      <c r="B2751" t="s">
        <v>3864</v>
      </c>
      <c r="C2751">
        <v>1E-3</v>
      </c>
    </row>
    <row r="2752" spans="1:3" x14ac:dyDescent="0.25">
      <c r="A2752">
        <v>2751</v>
      </c>
      <c r="B2752" t="s">
        <v>3865</v>
      </c>
      <c r="C2752">
        <v>1E-3</v>
      </c>
    </row>
    <row r="2753" spans="1:3" x14ac:dyDescent="0.25">
      <c r="A2753">
        <v>2752</v>
      </c>
      <c r="B2753" t="s">
        <v>3866</v>
      </c>
      <c r="C2753">
        <v>1E-3</v>
      </c>
    </row>
    <row r="2754" spans="1:3" x14ac:dyDescent="0.25">
      <c r="A2754">
        <v>2753</v>
      </c>
      <c r="B2754" t="s">
        <v>3867</v>
      </c>
      <c r="C2754">
        <v>1E-3</v>
      </c>
    </row>
    <row r="2755" spans="1:3" x14ac:dyDescent="0.25">
      <c r="A2755">
        <v>2754</v>
      </c>
      <c r="B2755" t="s">
        <v>3868</v>
      </c>
      <c r="C2755">
        <v>1E-3</v>
      </c>
    </row>
    <row r="2756" spans="1:3" x14ac:dyDescent="0.25">
      <c r="A2756">
        <v>2755</v>
      </c>
      <c r="B2756" t="s">
        <v>3869</v>
      </c>
      <c r="C2756">
        <v>1E-3</v>
      </c>
    </row>
    <row r="2757" spans="1:3" x14ac:dyDescent="0.25">
      <c r="A2757">
        <v>2756</v>
      </c>
      <c r="B2757" t="s">
        <v>3870</v>
      </c>
      <c r="C2757">
        <v>1E-3</v>
      </c>
    </row>
    <row r="2758" spans="1:3" x14ac:dyDescent="0.25">
      <c r="A2758">
        <v>2757</v>
      </c>
      <c r="B2758" t="s">
        <v>3871</v>
      </c>
      <c r="C2758">
        <v>1E-3</v>
      </c>
    </row>
    <row r="2759" spans="1:3" x14ac:dyDescent="0.25">
      <c r="A2759">
        <v>2758</v>
      </c>
      <c r="B2759" t="s">
        <v>3872</v>
      </c>
      <c r="C2759">
        <v>1E-3</v>
      </c>
    </row>
    <row r="2760" spans="1:3" x14ac:dyDescent="0.25">
      <c r="A2760">
        <v>2759</v>
      </c>
      <c r="B2760" t="s">
        <v>3873</v>
      </c>
      <c r="C2760">
        <v>1E-3</v>
      </c>
    </row>
    <row r="2761" spans="1:3" x14ac:dyDescent="0.25">
      <c r="A2761">
        <v>2760</v>
      </c>
      <c r="B2761" t="s">
        <v>3874</v>
      </c>
      <c r="C2761">
        <v>1E-3</v>
      </c>
    </row>
    <row r="2762" spans="1:3" x14ac:dyDescent="0.25">
      <c r="A2762">
        <v>2761</v>
      </c>
      <c r="B2762" t="s">
        <v>3875</v>
      </c>
      <c r="C2762">
        <v>1E-3</v>
      </c>
    </row>
    <row r="2763" spans="1:3" x14ac:dyDescent="0.25">
      <c r="A2763">
        <v>2762</v>
      </c>
      <c r="B2763" t="s">
        <v>3876</v>
      </c>
      <c r="C2763">
        <v>1E-3</v>
      </c>
    </row>
    <row r="2764" spans="1:3" x14ac:dyDescent="0.25">
      <c r="A2764">
        <v>2763</v>
      </c>
      <c r="B2764" t="s">
        <v>3877</v>
      </c>
      <c r="C2764">
        <v>1E-3</v>
      </c>
    </row>
    <row r="2765" spans="1:3" x14ac:dyDescent="0.25">
      <c r="A2765">
        <v>2764</v>
      </c>
      <c r="B2765" t="s">
        <v>3878</v>
      </c>
      <c r="C2765">
        <v>1E-3</v>
      </c>
    </row>
    <row r="2766" spans="1:3" x14ac:dyDescent="0.25">
      <c r="A2766">
        <v>2765</v>
      </c>
      <c r="B2766" t="s">
        <v>3879</v>
      </c>
      <c r="C2766">
        <v>1E-3</v>
      </c>
    </row>
    <row r="2767" spans="1:3" x14ac:dyDescent="0.25">
      <c r="A2767">
        <v>2766</v>
      </c>
      <c r="B2767" t="s">
        <v>3880</v>
      </c>
      <c r="C2767">
        <v>1E-3</v>
      </c>
    </row>
    <row r="2768" spans="1:3" x14ac:dyDescent="0.25">
      <c r="A2768">
        <v>2767</v>
      </c>
      <c r="B2768" t="s">
        <v>3881</v>
      </c>
      <c r="C2768">
        <v>1E-3</v>
      </c>
    </row>
    <row r="2769" spans="1:3" x14ac:dyDescent="0.25">
      <c r="A2769">
        <v>2768</v>
      </c>
      <c r="B2769" t="s">
        <v>3882</v>
      </c>
      <c r="C2769">
        <v>1E-3</v>
      </c>
    </row>
    <row r="2770" spans="1:3" x14ac:dyDescent="0.25">
      <c r="A2770">
        <v>2769</v>
      </c>
      <c r="B2770" t="s">
        <v>3883</v>
      </c>
      <c r="C2770">
        <v>1E-3</v>
      </c>
    </row>
    <row r="2771" spans="1:3" x14ac:dyDescent="0.25">
      <c r="A2771">
        <v>2770</v>
      </c>
      <c r="B2771" t="s">
        <v>3884</v>
      </c>
      <c r="C2771">
        <v>1E-3</v>
      </c>
    </row>
    <row r="2772" spans="1:3" x14ac:dyDescent="0.25">
      <c r="A2772">
        <v>2771</v>
      </c>
      <c r="B2772" t="s">
        <v>3885</v>
      </c>
      <c r="C2772">
        <v>1E-3</v>
      </c>
    </row>
    <row r="2773" spans="1:3" x14ac:dyDescent="0.25">
      <c r="A2773">
        <v>2772</v>
      </c>
      <c r="B2773" t="s">
        <v>3886</v>
      </c>
      <c r="C2773">
        <v>1E-3</v>
      </c>
    </row>
    <row r="2774" spans="1:3" x14ac:dyDescent="0.25">
      <c r="A2774">
        <v>2773</v>
      </c>
      <c r="B2774" t="s">
        <v>3887</v>
      </c>
      <c r="C2774">
        <v>1E-3</v>
      </c>
    </row>
    <row r="2775" spans="1:3" x14ac:dyDescent="0.25">
      <c r="A2775">
        <v>2774</v>
      </c>
      <c r="B2775" t="s">
        <v>3888</v>
      </c>
      <c r="C2775">
        <v>1E-3</v>
      </c>
    </row>
    <row r="2776" spans="1:3" x14ac:dyDescent="0.25">
      <c r="A2776">
        <v>2775</v>
      </c>
      <c r="B2776" t="s">
        <v>3889</v>
      </c>
      <c r="C2776">
        <v>1E-3</v>
      </c>
    </row>
    <row r="2777" spans="1:3" x14ac:dyDescent="0.25">
      <c r="A2777">
        <v>2776</v>
      </c>
      <c r="B2777" t="s">
        <v>3890</v>
      </c>
      <c r="C2777">
        <v>1E-3</v>
      </c>
    </row>
    <row r="2778" spans="1:3" x14ac:dyDescent="0.25">
      <c r="A2778">
        <v>2777</v>
      </c>
      <c r="B2778" t="s">
        <v>3891</v>
      </c>
      <c r="C2778">
        <v>1E-3</v>
      </c>
    </row>
    <row r="2779" spans="1:3" x14ac:dyDescent="0.25">
      <c r="A2779">
        <v>2778</v>
      </c>
      <c r="B2779" t="s">
        <v>3892</v>
      </c>
      <c r="C2779">
        <v>1E-3</v>
      </c>
    </row>
    <row r="2780" spans="1:3" x14ac:dyDescent="0.25">
      <c r="A2780">
        <v>2779</v>
      </c>
      <c r="B2780" t="s">
        <v>3893</v>
      </c>
      <c r="C2780">
        <v>1E-3</v>
      </c>
    </row>
    <row r="2781" spans="1:3" x14ac:dyDescent="0.25">
      <c r="A2781">
        <v>2780</v>
      </c>
      <c r="B2781" t="s">
        <v>3894</v>
      </c>
      <c r="C2781">
        <v>1E-3</v>
      </c>
    </row>
    <row r="2782" spans="1:3" x14ac:dyDescent="0.25">
      <c r="A2782">
        <v>2781</v>
      </c>
      <c r="B2782" t="s">
        <v>3895</v>
      </c>
      <c r="C2782">
        <v>1E-3</v>
      </c>
    </row>
    <row r="2783" spans="1:3" x14ac:dyDescent="0.25">
      <c r="A2783">
        <v>2782</v>
      </c>
      <c r="B2783" t="s">
        <v>3896</v>
      </c>
      <c r="C2783">
        <v>1E-3</v>
      </c>
    </row>
    <row r="2784" spans="1:3" x14ac:dyDescent="0.25">
      <c r="A2784">
        <v>2783</v>
      </c>
      <c r="B2784" t="s">
        <v>3897</v>
      </c>
      <c r="C2784">
        <v>1E-3</v>
      </c>
    </row>
    <row r="2785" spans="1:3" x14ac:dyDescent="0.25">
      <c r="A2785">
        <v>2784</v>
      </c>
      <c r="B2785" t="s">
        <v>3898</v>
      </c>
      <c r="C2785">
        <v>1E-3</v>
      </c>
    </row>
    <row r="2786" spans="1:3" x14ac:dyDescent="0.25">
      <c r="A2786">
        <v>2785</v>
      </c>
      <c r="B2786" t="s">
        <v>3899</v>
      </c>
      <c r="C2786">
        <v>1E-3</v>
      </c>
    </row>
    <row r="2787" spans="1:3" x14ac:dyDescent="0.25">
      <c r="A2787">
        <v>2786</v>
      </c>
      <c r="B2787" t="s">
        <v>3900</v>
      </c>
      <c r="C2787">
        <v>1E-3</v>
      </c>
    </row>
    <row r="2788" spans="1:3" x14ac:dyDescent="0.25">
      <c r="A2788">
        <v>2787</v>
      </c>
      <c r="B2788" t="s">
        <v>3901</v>
      </c>
      <c r="C2788">
        <v>1E-3</v>
      </c>
    </row>
    <row r="2789" spans="1:3" x14ac:dyDescent="0.25">
      <c r="A2789">
        <v>2788</v>
      </c>
      <c r="B2789" t="s">
        <v>3902</v>
      </c>
      <c r="C2789">
        <v>1E-3</v>
      </c>
    </row>
    <row r="2790" spans="1:3" x14ac:dyDescent="0.25">
      <c r="A2790">
        <v>2789</v>
      </c>
      <c r="B2790" t="s">
        <v>3903</v>
      </c>
      <c r="C2790">
        <v>1E-3</v>
      </c>
    </row>
    <row r="2791" spans="1:3" x14ac:dyDescent="0.25">
      <c r="A2791">
        <v>2790</v>
      </c>
      <c r="B2791" t="s">
        <v>3904</v>
      </c>
      <c r="C2791">
        <v>1E-3</v>
      </c>
    </row>
    <row r="2792" spans="1:3" x14ac:dyDescent="0.25">
      <c r="A2792">
        <v>2791</v>
      </c>
      <c r="B2792" t="s">
        <v>3905</v>
      </c>
      <c r="C2792">
        <v>1E-3</v>
      </c>
    </row>
    <row r="2793" spans="1:3" x14ac:dyDescent="0.25">
      <c r="A2793">
        <v>2792</v>
      </c>
      <c r="B2793" t="s">
        <v>3906</v>
      </c>
      <c r="C2793">
        <v>1E-3</v>
      </c>
    </row>
    <row r="2794" spans="1:3" x14ac:dyDescent="0.25">
      <c r="A2794">
        <v>2793</v>
      </c>
      <c r="B2794" t="s">
        <v>3907</v>
      </c>
      <c r="C2794">
        <v>1E-3</v>
      </c>
    </row>
    <row r="2795" spans="1:3" x14ac:dyDescent="0.25">
      <c r="A2795">
        <v>2794</v>
      </c>
      <c r="B2795" t="s">
        <v>3908</v>
      </c>
      <c r="C2795">
        <v>1E-3</v>
      </c>
    </row>
    <row r="2796" spans="1:3" x14ac:dyDescent="0.25">
      <c r="A2796">
        <v>2795</v>
      </c>
      <c r="B2796" t="s">
        <v>3909</v>
      </c>
      <c r="C2796">
        <v>1E-3</v>
      </c>
    </row>
    <row r="2797" spans="1:3" x14ac:dyDescent="0.25">
      <c r="A2797">
        <v>2796</v>
      </c>
      <c r="B2797" t="s">
        <v>3910</v>
      </c>
      <c r="C2797">
        <v>1E-3</v>
      </c>
    </row>
    <row r="2798" spans="1:3" x14ac:dyDescent="0.25">
      <c r="A2798">
        <v>2797</v>
      </c>
      <c r="B2798" t="s">
        <v>3911</v>
      </c>
      <c r="C2798">
        <v>1E-3</v>
      </c>
    </row>
    <row r="2799" spans="1:3" x14ac:dyDescent="0.25">
      <c r="A2799">
        <v>2798</v>
      </c>
      <c r="B2799" t="s">
        <v>3912</v>
      </c>
      <c r="C2799">
        <v>1E-3</v>
      </c>
    </row>
    <row r="2800" spans="1:3" x14ac:dyDescent="0.25">
      <c r="A2800">
        <v>2799</v>
      </c>
      <c r="B2800" t="s">
        <v>3913</v>
      </c>
      <c r="C2800">
        <v>1E-3</v>
      </c>
    </row>
    <row r="2801" spans="1:3" x14ac:dyDescent="0.25">
      <c r="A2801">
        <v>2800</v>
      </c>
      <c r="B2801" t="s">
        <v>3914</v>
      </c>
      <c r="C2801">
        <v>1E-3</v>
      </c>
    </row>
    <row r="2802" spans="1:3" x14ac:dyDescent="0.25">
      <c r="A2802">
        <v>2801</v>
      </c>
      <c r="B2802" t="s">
        <v>3915</v>
      </c>
      <c r="C2802">
        <v>1E-3</v>
      </c>
    </row>
    <row r="2803" spans="1:3" x14ac:dyDescent="0.25">
      <c r="A2803">
        <v>2802</v>
      </c>
      <c r="B2803" t="s">
        <v>3916</v>
      </c>
      <c r="C2803">
        <v>1E-3</v>
      </c>
    </row>
    <row r="2804" spans="1:3" x14ac:dyDescent="0.25">
      <c r="A2804">
        <v>2803</v>
      </c>
      <c r="B2804" t="s">
        <v>3917</v>
      </c>
      <c r="C2804">
        <v>1E-3</v>
      </c>
    </row>
    <row r="2805" spans="1:3" x14ac:dyDescent="0.25">
      <c r="A2805">
        <v>2804</v>
      </c>
      <c r="B2805" t="s">
        <v>3918</v>
      </c>
      <c r="C2805">
        <v>1E-3</v>
      </c>
    </row>
    <row r="2806" spans="1:3" x14ac:dyDescent="0.25">
      <c r="A2806">
        <v>2805</v>
      </c>
      <c r="B2806" t="s">
        <v>3919</v>
      </c>
      <c r="C2806">
        <v>1E-3</v>
      </c>
    </row>
    <row r="2807" spans="1:3" x14ac:dyDescent="0.25">
      <c r="A2807">
        <v>2806</v>
      </c>
      <c r="B2807" t="s">
        <v>3920</v>
      </c>
      <c r="C2807">
        <v>1E-3</v>
      </c>
    </row>
    <row r="2808" spans="1:3" x14ac:dyDescent="0.25">
      <c r="A2808">
        <v>2807</v>
      </c>
      <c r="B2808" t="s">
        <v>3921</v>
      </c>
      <c r="C2808">
        <v>1E-3</v>
      </c>
    </row>
    <row r="2809" spans="1:3" x14ac:dyDescent="0.25">
      <c r="A2809">
        <v>2808</v>
      </c>
      <c r="B2809" t="s">
        <v>3922</v>
      </c>
      <c r="C2809">
        <v>1E-3</v>
      </c>
    </row>
    <row r="2810" spans="1:3" x14ac:dyDescent="0.25">
      <c r="A2810">
        <v>2809</v>
      </c>
      <c r="B2810" t="s">
        <v>3923</v>
      </c>
      <c r="C2810">
        <v>1E-3</v>
      </c>
    </row>
    <row r="2811" spans="1:3" x14ac:dyDescent="0.25">
      <c r="A2811">
        <v>2810</v>
      </c>
      <c r="B2811" t="s">
        <v>3924</v>
      </c>
      <c r="C2811">
        <v>1E-3</v>
      </c>
    </row>
    <row r="2812" spans="1:3" x14ac:dyDescent="0.25">
      <c r="A2812">
        <v>2811</v>
      </c>
      <c r="B2812" t="s">
        <v>3925</v>
      </c>
      <c r="C2812">
        <v>1E-3</v>
      </c>
    </row>
    <row r="2813" spans="1:3" x14ac:dyDescent="0.25">
      <c r="A2813">
        <v>2812</v>
      </c>
      <c r="B2813" t="s">
        <v>3926</v>
      </c>
      <c r="C2813">
        <v>1E-3</v>
      </c>
    </row>
    <row r="2814" spans="1:3" x14ac:dyDescent="0.25">
      <c r="A2814">
        <v>2813</v>
      </c>
      <c r="B2814" t="s">
        <v>3927</v>
      </c>
      <c r="C2814">
        <v>1E-3</v>
      </c>
    </row>
    <row r="2815" spans="1:3" x14ac:dyDescent="0.25">
      <c r="A2815">
        <v>2814</v>
      </c>
      <c r="B2815" t="s">
        <v>3928</v>
      </c>
      <c r="C2815">
        <v>1E-3</v>
      </c>
    </row>
    <row r="2816" spans="1:3" x14ac:dyDescent="0.25">
      <c r="A2816">
        <v>2815</v>
      </c>
      <c r="B2816" t="s">
        <v>3929</v>
      </c>
      <c r="C2816">
        <v>1E-3</v>
      </c>
    </row>
    <row r="2817" spans="1:3" x14ac:dyDescent="0.25">
      <c r="A2817">
        <v>2816</v>
      </c>
      <c r="B2817" t="s">
        <v>3930</v>
      </c>
      <c r="C2817">
        <v>1E-3</v>
      </c>
    </row>
    <row r="2818" spans="1:3" x14ac:dyDescent="0.25">
      <c r="A2818">
        <v>2817</v>
      </c>
      <c r="B2818" t="s">
        <v>3931</v>
      </c>
      <c r="C2818">
        <v>1E-3</v>
      </c>
    </row>
    <row r="2819" spans="1:3" x14ac:dyDescent="0.25">
      <c r="A2819">
        <v>2818</v>
      </c>
      <c r="B2819" t="s">
        <v>3932</v>
      </c>
      <c r="C2819">
        <v>1E-3</v>
      </c>
    </row>
    <row r="2820" spans="1:3" x14ac:dyDescent="0.25">
      <c r="A2820">
        <v>2819</v>
      </c>
      <c r="B2820" t="s">
        <v>3933</v>
      </c>
      <c r="C2820">
        <v>1E-3</v>
      </c>
    </row>
    <row r="2821" spans="1:3" x14ac:dyDescent="0.25">
      <c r="A2821">
        <v>2820</v>
      </c>
      <c r="B2821" t="s">
        <v>3934</v>
      </c>
      <c r="C2821">
        <v>1E-3</v>
      </c>
    </row>
    <row r="2822" spans="1:3" x14ac:dyDescent="0.25">
      <c r="A2822">
        <v>2821</v>
      </c>
      <c r="B2822" t="s">
        <v>3935</v>
      </c>
      <c r="C2822">
        <v>1E-3</v>
      </c>
    </row>
    <row r="2823" spans="1:3" x14ac:dyDescent="0.25">
      <c r="A2823">
        <v>2822</v>
      </c>
      <c r="B2823" t="s">
        <v>3936</v>
      </c>
      <c r="C2823">
        <v>1E-3</v>
      </c>
    </row>
    <row r="2824" spans="1:3" x14ac:dyDescent="0.25">
      <c r="A2824">
        <v>2823</v>
      </c>
      <c r="B2824" t="s">
        <v>3937</v>
      </c>
      <c r="C2824">
        <v>1E-3</v>
      </c>
    </row>
    <row r="2825" spans="1:3" x14ac:dyDescent="0.25">
      <c r="A2825">
        <v>2824</v>
      </c>
      <c r="B2825" t="s">
        <v>3938</v>
      </c>
      <c r="C2825">
        <v>1E-3</v>
      </c>
    </row>
    <row r="2826" spans="1:3" x14ac:dyDescent="0.25">
      <c r="A2826">
        <v>2825</v>
      </c>
      <c r="B2826" t="s">
        <v>3939</v>
      </c>
      <c r="C2826">
        <v>1E-3</v>
      </c>
    </row>
    <row r="2827" spans="1:3" x14ac:dyDescent="0.25">
      <c r="A2827">
        <v>2826</v>
      </c>
      <c r="B2827" t="s">
        <v>3940</v>
      </c>
      <c r="C2827">
        <v>1E-3</v>
      </c>
    </row>
    <row r="2828" spans="1:3" x14ac:dyDescent="0.25">
      <c r="A2828">
        <v>2827</v>
      </c>
      <c r="B2828" t="s">
        <v>3941</v>
      </c>
      <c r="C2828">
        <v>1E-3</v>
      </c>
    </row>
    <row r="2829" spans="1:3" x14ac:dyDescent="0.25">
      <c r="A2829">
        <v>2828</v>
      </c>
      <c r="B2829" t="s">
        <v>3942</v>
      </c>
      <c r="C2829">
        <v>1E-3</v>
      </c>
    </row>
    <row r="2830" spans="1:3" x14ac:dyDescent="0.25">
      <c r="A2830">
        <v>2829</v>
      </c>
      <c r="B2830" t="s">
        <v>3943</v>
      </c>
      <c r="C2830">
        <v>1E-3</v>
      </c>
    </row>
    <row r="2831" spans="1:3" x14ac:dyDescent="0.25">
      <c r="A2831">
        <v>2830</v>
      </c>
      <c r="B2831" t="s">
        <v>3944</v>
      </c>
      <c r="C2831">
        <v>1E-3</v>
      </c>
    </row>
    <row r="2832" spans="1:3" x14ac:dyDescent="0.25">
      <c r="A2832">
        <v>2831</v>
      </c>
      <c r="B2832" t="s">
        <v>3945</v>
      </c>
      <c r="C2832">
        <v>1E-3</v>
      </c>
    </row>
    <row r="2833" spans="1:3" x14ac:dyDescent="0.25">
      <c r="A2833">
        <v>2832</v>
      </c>
      <c r="B2833" t="s">
        <v>3946</v>
      </c>
      <c r="C2833">
        <v>1E-3</v>
      </c>
    </row>
    <row r="2834" spans="1:3" x14ac:dyDescent="0.25">
      <c r="A2834">
        <v>2833</v>
      </c>
      <c r="B2834" t="s">
        <v>3947</v>
      </c>
      <c r="C2834">
        <v>1E-3</v>
      </c>
    </row>
    <row r="2835" spans="1:3" x14ac:dyDescent="0.25">
      <c r="A2835">
        <v>2834</v>
      </c>
      <c r="B2835" t="s">
        <v>3948</v>
      </c>
      <c r="C2835">
        <v>1E-3</v>
      </c>
    </row>
    <row r="2836" spans="1:3" x14ac:dyDescent="0.25">
      <c r="A2836">
        <v>2835</v>
      </c>
      <c r="B2836" t="s">
        <v>3949</v>
      </c>
      <c r="C2836">
        <v>1E-3</v>
      </c>
    </row>
    <row r="2837" spans="1:3" x14ac:dyDescent="0.25">
      <c r="A2837">
        <v>2836</v>
      </c>
      <c r="B2837" t="s">
        <v>3950</v>
      </c>
      <c r="C2837">
        <v>1E-3</v>
      </c>
    </row>
    <row r="2838" spans="1:3" x14ac:dyDescent="0.25">
      <c r="A2838">
        <v>2837</v>
      </c>
      <c r="B2838" t="s">
        <v>3951</v>
      </c>
      <c r="C2838">
        <v>1E-3</v>
      </c>
    </row>
    <row r="2839" spans="1:3" x14ac:dyDescent="0.25">
      <c r="A2839">
        <v>2838</v>
      </c>
      <c r="B2839" t="s">
        <v>3952</v>
      </c>
      <c r="C2839">
        <v>1E-3</v>
      </c>
    </row>
    <row r="2840" spans="1:3" x14ac:dyDescent="0.25">
      <c r="A2840">
        <v>2839</v>
      </c>
      <c r="B2840" t="s">
        <v>3953</v>
      </c>
      <c r="C2840">
        <v>1E-3</v>
      </c>
    </row>
    <row r="2841" spans="1:3" x14ac:dyDescent="0.25">
      <c r="A2841">
        <v>2840</v>
      </c>
      <c r="B2841" t="s">
        <v>3954</v>
      </c>
      <c r="C2841">
        <v>1E-3</v>
      </c>
    </row>
    <row r="2842" spans="1:3" x14ac:dyDescent="0.25">
      <c r="A2842">
        <v>2841</v>
      </c>
      <c r="B2842" t="s">
        <v>3955</v>
      </c>
      <c r="C2842">
        <v>1E-3</v>
      </c>
    </row>
    <row r="2843" spans="1:3" x14ac:dyDescent="0.25">
      <c r="A2843">
        <v>2842</v>
      </c>
      <c r="B2843" t="s">
        <v>3956</v>
      </c>
      <c r="C2843">
        <v>1E-3</v>
      </c>
    </row>
    <row r="2844" spans="1:3" x14ac:dyDescent="0.25">
      <c r="A2844">
        <v>2843</v>
      </c>
      <c r="B2844" t="s">
        <v>3957</v>
      </c>
      <c r="C2844">
        <v>1E-3</v>
      </c>
    </row>
    <row r="2845" spans="1:3" x14ac:dyDescent="0.25">
      <c r="A2845">
        <v>2844</v>
      </c>
      <c r="B2845" t="s">
        <v>3958</v>
      </c>
      <c r="C2845">
        <v>1E-3</v>
      </c>
    </row>
    <row r="2846" spans="1:3" x14ac:dyDescent="0.25">
      <c r="A2846">
        <v>2845</v>
      </c>
      <c r="B2846" t="s">
        <v>3959</v>
      </c>
      <c r="C2846">
        <v>1E-3</v>
      </c>
    </row>
    <row r="2847" spans="1:3" x14ac:dyDescent="0.25">
      <c r="A2847">
        <v>2846</v>
      </c>
      <c r="B2847" t="s">
        <v>3960</v>
      </c>
      <c r="C2847">
        <v>1E-3</v>
      </c>
    </row>
    <row r="2848" spans="1:3" x14ac:dyDescent="0.25">
      <c r="A2848">
        <v>2847</v>
      </c>
      <c r="B2848" t="s">
        <v>3961</v>
      </c>
      <c r="C2848">
        <v>1E-3</v>
      </c>
    </row>
    <row r="2849" spans="1:3" x14ac:dyDescent="0.25">
      <c r="A2849">
        <v>2848</v>
      </c>
      <c r="B2849" t="s">
        <v>3962</v>
      </c>
      <c r="C2849">
        <v>1E-3</v>
      </c>
    </row>
    <row r="2850" spans="1:3" x14ac:dyDescent="0.25">
      <c r="A2850">
        <v>2849</v>
      </c>
      <c r="B2850" t="s">
        <v>3963</v>
      </c>
      <c r="C2850">
        <v>1E-3</v>
      </c>
    </row>
    <row r="2851" spans="1:3" x14ac:dyDescent="0.25">
      <c r="A2851">
        <v>2850</v>
      </c>
      <c r="B2851" t="s">
        <v>3964</v>
      </c>
      <c r="C2851">
        <v>1E-3</v>
      </c>
    </row>
    <row r="2852" spans="1:3" x14ac:dyDescent="0.25">
      <c r="A2852">
        <v>2851</v>
      </c>
      <c r="B2852" t="s">
        <v>3965</v>
      </c>
      <c r="C2852">
        <v>1E-3</v>
      </c>
    </row>
    <row r="2853" spans="1:3" x14ac:dyDescent="0.25">
      <c r="A2853">
        <v>2852</v>
      </c>
      <c r="B2853" t="s">
        <v>3966</v>
      </c>
      <c r="C2853">
        <v>1E-3</v>
      </c>
    </row>
    <row r="2854" spans="1:3" x14ac:dyDescent="0.25">
      <c r="A2854">
        <v>2853</v>
      </c>
      <c r="B2854" t="s">
        <v>3967</v>
      </c>
      <c r="C2854">
        <v>1E-3</v>
      </c>
    </row>
    <row r="2855" spans="1:3" x14ac:dyDescent="0.25">
      <c r="A2855">
        <v>2854</v>
      </c>
      <c r="B2855" t="s">
        <v>3968</v>
      </c>
      <c r="C2855">
        <v>1E-3</v>
      </c>
    </row>
    <row r="2856" spans="1:3" x14ac:dyDescent="0.25">
      <c r="A2856">
        <v>2855</v>
      </c>
      <c r="B2856" t="s">
        <v>3969</v>
      </c>
      <c r="C2856">
        <v>1E-3</v>
      </c>
    </row>
    <row r="2857" spans="1:3" x14ac:dyDescent="0.25">
      <c r="A2857">
        <v>2856</v>
      </c>
      <c r="B2857" t="s">
        <v>3970</v>
      </c>
      <c r="C2857">
        <v>1E-3</v>
      </c>
    </row>
    <row r="2858" spans="1:3" x14ac:dyDescent="0.25">
      <c r="A2858">
        <v>2857</v>
      </c>
      <c r="B2858" t="s">
        <v>3971</v>
      </c>
      <c r="C2858">
        <v>1E-3</v>
      </c>
    </row>
    <row r="2859" spans="1:3" x14ac:dyDescent="0.25">
      <c r="A2859">
        <v>2858</v>
      </c>
      <c r="B2859" t="s">
        <v>3972</v>
      </c>
      <c r="C2859">
        <v>1E-3</v>
      </c>
    </row>
    <row r="2860" spans="1:3" x14ac:dyDescent="0.25">
      <c r="A2860">
        <v>2859</v>
      </c>
      <c r="B2860" t="s">
        <v>3973</v>
      </c>
      <c r="C2860">
        <v>1E-3</v>
      </c>
    </row>
    <row r="2861" spans="1:3" x14ac:dyDescent="0.25">
      <c r="A2861">
        <v>2860</v>
      </c>
      <c r="B2861" t="s">
        <v>3974</v>
      </c>
      <c r="C2861">
        <v>1E-3</v>
      </c>
    </row>
    <row r="2862" spans="1:3" x14ac:dyDescent="0.25">
      <c r="A2862">
        <v>2861</v>
      </c>
      <c r="B2862" t="s">
        <v>3975</v>
      </c>
      <c r="C2862">
        <v>1E-3</v>
      </c>
    </row>
    <row r="2863" spans="1:3" x14ac:dyDescent="0.25">
      <c r="A2863">
        <v>2862</v>
      </c>
      <c r="B2863" t="s">
        <v>3976</v>
      </c>
      <c r="C2863">
        <v>1E-3</v>
      </c>
    </row>
    <row r="2864" spans="1:3" x14ac:dyDescent="0.25">
      <c r="A2864">
        <v>2863</v>
      </c>
      <c r="B2864" t="s">
        <v>3977</v>
      </c>
      <c r="C2864">
        <v>1E-3</v>
      </c>
    </row>
    <row r="2865" spans="1:3" x14ac:dyDescent="0.25">
      <c r="A2865">
        <v>2864</v>
      </c>
      <c r="B2865" t="s">
        <v>3978</v>
      </c>
      <c r="C2865">
        <v>1E-3</v>
      </c>
    </row>
    <row r="2866" spans="1:3" x14ac:dyDescent="0.25">
      <c r="A2866">
        <v>2865</v>
      </c>
      <c r="B2866" t="s">
        <v>3979</v>
      </c>
      <c r="C2866">
        <v>1E-3</v>
      </c>
    </row>
    <row r="2867" spans="1:3" x14ac:dyDescent="0.25">
      <c r="A2867">
        <v>2866</v>
      </c>
      <c r="B2867" t="s">
        <v>3980</v>
      </c>
      <c r="C2867">
        <v>1E-3</v>
      </c>
    </row>
    <row r="2868" spans="1:3" x14ac:dyDescent="0.25">
      <c r="A2868">
        <v>2867</v>
      </c>
      <c r="B2868" t="s">
        <v>3981</v>
      </c>
      <c r="C2868">
        <v>1E-3</v>
      </c>
    </row>
    <row r="2869" spans="1:3" x14ac:dyDescent="0.25">
      <c r="A2869">
        <v>2868</v>
      </c>
      <c r="B2869" t="s">
        <v>3982</v>
      </c>
      <c r="C2869">
        <v>1E-3</v>
      </c>
    </row>
    <row r="2870" spans="1:3" x14ac:dyDescent="0.25">
      <c r="A2870">
        <v>2869</v>
      </c>
      <c r="B2870" t="s">
        <v>3983</v>
      </c>
      <c r="C2870">
        <v>1E-3</v>
      </c>
    </row>
    <row r="2871" spans="1:3" x14ac:dyDescent="0.25">
      <c r="A2871">
        <v>2870</v>
      </c>
      <c r="B2871" t="s">
        <v>3984</v>
      </c>
      <c r="C2871">
        <v>1E-3</v>
      </c>
    </row>
    <row r="2872" spans="1:3" x14ac:dyDescent="0.25">
      <c r="A2872">
        <v>2871</v>
      </c>
      <c r="B2872" t="s">
        <v>3985</v>
      </c>
      <c r="C2872">
        <v>1E-3</v>
      </c>
    </row>
    <row r="2873" spans="1:3" x14ac:dyDescent="0.25">
      <c r="A2873">
        <v>2872</v>
      </c>
      <c r="B2873" t="s">
        <v>3986</v>
      </c>
      <c r="C2873">
        <v>1E-3</v>
      </c>
    </row>
    <row r="2874" spans="1:3" x14ac:dyDescent="0.25">
      <c r="A2874">
        <v>2873</v>
      </c>
      <c r="B2874" t="s">
        <v>3987</v>
      </c>
      <c r="C2874">
        <v>1E-3</v>
      </c>
    </row>
    <row r="2875" spans="1:3" x14ac:dyDescent="0.25">
      <c r="A2875">
        <v>2874</v>
      </c>
      <c r="B2875" t="s">
        <v>3988</v>
      </c>
      <c r="C2875">
        <v>1E-3</v>
      </c>
    </row>
    <row r="2876" spans="1:3" x14ac:dyDescent="0.25">
      <c r="A2876">
        <v>2875</v>
      </c>
      <c r="B2876" t="s">
        <v>3989</v>
      </c>
      <c r="C2876">
        <v>1E-3</v>
      </c>
    </row>
    <row r="2877" spans="1:3" x14ac:dyDescent="0.25">
      <c r="B2877" t="s">
        <v>3990</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05"/>
  <sheetViews>
    <sheetView workbookViewId="0"/>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4053</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464</v>
      </c>
      <c r="C7" t="b">
        <v>0</v>
      </c>
    </row>
    <row r="8" spans="1:3" x14ac:dyDescent="0.25">
      <c r="A8" s="28" t="s">
        <v>88</v>
      </c>
      <c r="B8" s="125" t="s">
        <v>376</v>
      </c>
      <c r="C8" t="b">
        <v>0</v>
      </c>
    </row>
    <row r="9" spans="1:3" x14ac:dyDescent="0.25">
      <c r="A9" s="28" t="s">
        <v>89</v>
      </c>
      <c r="B9" s="125" t="s">
        <v>377</v>
      </c>
      <c r="C9" t="b">
        <v>0</v>
      </c>
    </row>
    <row r="10" spans="1:3" x14ac:dyDescent="0.25">
      <c r="A10" s="124" t="s">
        <v>4026</v>
      </c>
      <c r="B10" s="117" t="s">
        <v>4028</v>
      </c>
      <c r="C10" t="b">
        <v>0</v>
      </c>
    </row>
    <row r="11" spans="1:3" x14ac:dyDescent="0.25">
      <c r="A11" s="28" t="s">
        <v>153</v>
      </c>
      <c r="B11" s="125" t="s">
        <v>4027</v>
      </c>
      <c r="C11" t="b">
        <v>0</v>
      </c>
    </row>
    <row r="12" spans="1:3" x14ac:dyDescent="0.25">
      <c r="A12" s="28" t="s">
        <v>92</v>
      </c>
      <c r="B12" s="125" t="s">
        <v>4052</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126</v>
      </c>
      <c r="B30" s="119" t="s">
        <v>396</v>
      </c>
      <c r="C30" t="b">
        <v>1</v>
      </c>
    </row>
    <row r="31" spans="1:3" x14ac:dyDescent="0.25">
      <c r="A31" s="2" t="s">
        <v>141</v>
      </c>
      <c r="B31" s="119" t="s">
        <v>397</v>
      </c>
      <c r="C31" t="b">
        <v>1</v>
      </c>
    </row>
    <row r="32" spans="1:3" x14ac:dyDescent="0.25">
      <c r="A32" s="2" t="s">
        <v>136</v>
      </c>
      <c r="B32" s="119" t="s">
        <v>398</v>
      </c>
      <c r="C32" t="b">
        <v>1</v>
      </c>
    </row>
    <row r="33" spans="1:3" x14ac:dyDescent="0.25">
      <c r="A33" s="2" t="s">
        <v>127</v>
      </c>
      <c r="B33" s="119" t="s">
        <v>395</v>
      </c>
      <c r="C33" t="b">
        <v>0</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61</v>
      </c>
      <c r="B59" s="126" t="s">
        <v>423</v>
      </c>
      <c r="C59" t="b">
        <v>1</v>
      </c>
    </row>
    <row r="60" spans="1:3" x14ac:dyDescent="0.25">
      <c r="A60" s="38" t="s">
        <v>62</v>
      </c>
      <c r="B60" s="126" t="s">
        <v>424</v>
      </c>
      <c r="C60" t="b">
        <v>1</v>
      </c>
    </row>
    <row r="61" spans="1:3" x14ac:dyDescent="0.25">
      <c r="A61" s="38" t="s">
        <v>63</v>
      </c>
      <c r="B61" s="126" t="s">
        <v>425</v>
      </c>
      <c r="C61" t="b">
        <v>1</v>
      </c>
    </row>
    <row r="62" spans="1:3" x14ac:dyDescent="0.25">
      <c r="A62" s="38" t="s">
        <v>56</v>
      </c>
      <c r="B62" s="126" t="s">
        <v>426</v>
      </c>
      <c r="C62" t="b">
        <v>0</v>
      </c>
    </row>
    <row r="63" spans="1:3" x14ac:dyDescent="0.25">
      <c r="A63" s="38" t="s">
        <v>55</v>
      </c>
      <c r="B63" s="126" t="s">
        <v>427</v>
      </c>
      <c r="C63" t="b">
        <v>1</v>
      </c>
    </row>
    <row r="64" spans="1:3" x14ac:dyDescent="0.25">
      <c r="A64" s="38" t="s">
        <v>54</v>
      </c>
      <c r="B64" s="126" t="s">
        <v>428</v>
      </c>
      <c r="C64" t="b">
        <v>1</v>
      </c>
    </row>
    <row r="65" spans="1:3" x14ac:dyDescent="0.25">
      <c r="A65" s="38" t="s">
        <v>66</v>
      </c>
      <c r="B65" s="126" t="s">
        <v>429</v>
      </c>
      <c r="C65" t="b">
        <v>1</v>
      </c>
    </row>
    <row r="66" spans="1:3" x14ac:dyDescent="0.25">
      <c r="A66" s="38" t="s">
        <v>67</v>
      </c>
      <c r="B66" s="126" t="s">
        <v>430</v>
      </c>
      <c r="C66" t="b">
        <v>1</v>
      </c>
    </row>
    <row r="67" spans="1:3" x14ac:dyDescent="0.25">
      <c r="A67" s="38" t="s">
        <v>68</v>
      </c>
      <c r="B67" s="126" t="s">
        <v>431</v>
      </c>
      <c r="C67" t="b">
        <v>1</v>
      </c>
    </row>
    <row r="68" spans="1:3" x14ac:dyDescent="0.25">
      <c r="A68" s="4" t="s">
        <v>69</v>
      </c>
      <c r="B68" s="120" t="s">
        <v>432</v>
      </c>
      <c r="C68" t="b">
        <v>1</v>
      </c>
    </row>
    <row r="69" spans="1:3" x14ac:dyDescent="0.25">
      <c r="A69" s="4" t="s">
        <v>237</v>
      </c>
      <c r="B69" s="120" t="s">
        <v>433</v>
      </c>
      <c r="C69" t="b">
        <v>1</v>
      </c>
    </row>
    <row r="70" spans="1:3" x14ac:dyDescent="0.25">
      <c r="A70" s="4" t="s">
        <v>268</v>
      </c>
      <c r="B70" s="120" t="s">
        <v>434</v>
      </c>
      <c r="C70" t="b">
        <v>1</v>
      </c>
    </row>
    <row r="71" spans="1:3" x14ac:dyDescent="0.25">
      <c r="A71" s="4" t="s">
        <v>157</v>
      </c>
      <c r="B71" s="120" t="s">
        <v>435</v>
      </c>
      <c r="C71" t="b">
        <v>1</v>
      </c>
    </row>
    <row r="72" spans="1:3" x14ac:dyDescent="0.25">
      <c r="A72" s="4" t="s">
        <v>129</v>
      </c>
      <c r="B72" s="120" t="s">
        <v>436</v>
      </c>
      <c r="C72" t="b">
        <v>1</v>
      </c>
    </row>
    <row r="73" spans="1:3" x14ac:dyDescent="0.25">
      <c r="A73" s="4" t="s">
        <v>139</v>
      </c>
      <c r="B73" s="120" t="s">
        <v>437</v>
      </c>
      <c r="C73" t="b">
        <v>1</v>
      </c>
    </row>
    <row r="74" spans="1:3" x14ac:dyDescent="0.25">
      <c r="A74" s="4" t="s">
        <v>138</v>
      </c>
      <c r="B74" s="120" t="s">
        <v>438</v>
      </c>
      <c r="C74" t="b">
        <v>1</v>
      </c>
    </row>
    <row r="75" spans="1:3" x14ac:dyDescent="0.25">
      <c r="A75" s="4" t="s">
        <v>70</v>
      </c>
      <c r="B75" s="120" t="s">
        <v>439</v>
      </c>
      <c r="C75" t="b">
        <v>0</v>
      </c>
    </row>
    <row r="76" spans="1:3" x14ac:dyDescent="0.25">
      <c r="A76" s="4" t="s">
        <v>71</v>
      </c>
      <c r="B76" s="120" t="s">
        <v>440</v>
      </c>
      <c r="C76" t="b">
        <v>1</v>
      </c>
    </row>
    <row r="77" spans="1:3" x14ac:dyDescent="0.25">
      <c r="A77" s="4" t="s">
        <v>72</v>
      </c>
      <c r="B77" s="120" t="s">
        <v>441</v>
      </c>
      <c r="C77" t="b">
        <v>1</v>
      </c>
    </row>
    <row r="78" spans="1:3" x14ac:dyDescent="0.25">
      <c r="A78" s="4" t="s">
        <v>123</v>
      </c>
      <c r="B78" s="120" t="s">
        <v>442</v>
      </c>
      <c r="C78" t="b">
        <v>1</v>
      </c>
    </row>
    <row r="79" spans="1:3" x14ac:dyDescent="0.25">
      <c r="A79" s="4" t="s">
        <v>124</v>
      </c>
      <c r="B79" s="120" t="s">
        <v>443</v>
      </c>
      <c r="C79" t="b">
        <v>0</v>
      </c>
    </row>
    <row r="80" spans="1:3" x14ac:dyDescent="0.25">
      <c r="A80" s="4" t="s">
        <v>132</v>
      </c>
      <c r="B80" s="120" t="s">
        <v>444</v>
      </c>
      <c r="C80" t="b">
        <v>0</v>
      </c>
    </row>
    <row r="81" spans="1:3" x14ac:dyDescent="0.25">
      <c r="A81" s="4" t="s">
        <v>142</v>
      </c>
      <c r="B81" s="120" t="s">
        <v>445</v>
      </c>
      <c r="C81" t="b">
        <v>0</v>
      </c>
    </row>
    <row r="82" spans="1:3" x14ac:dyDescent="0.25">
      <c r="A82" s="4" t="s">
        <v>158</v>
      </c>
      <c r="B82" s="120" t="s">
        <v>446</v>
      </c>
      <c r="C82" t="b">
        <v>0</v>
      </c>
    </row>
    <row r="83" spans="1:3" x14ac:dyDescent="0.25">
      <c r="A83" s="4" t="s">
        <v>498</v>
      </c>
      <c r="B83" s="120" t="s">
        <v>447</v>
      </c>
      <c r="C83" t="b">
        <v>0</v>
      </c>
    </row>
    <row r="84" spans="1:3" x14ac:dyDescent="0.25">
      <c r="A84" s="4" t="s">
        <v>133</v>
      </c>
      <c r="B84" s="120" t="s">
        <v>501</v>
      </c>
      <c r="C84" t="b">
        <v>0</v>
      </c>
    </row>
    <row r="85" spans="1:3" x14ac:dyDescent="0.25">
      <c r="A85" s="4" t="s">
        <v>73</v>
      </c>
      <c r="B85" s="120" t="s">
        <v>448</v>
      </c>
      <c r="C85" t="b">
        <v>0</v>
      </c>
    </row>
    <row r="86" spans="1:3" x14ac:dyDescent="0.25">
      <c r="A86" s="4" t="s">
        <v>74</v>
      </c>
      <c r="B86" s="120" t="s">
        <v>449</v>
      </c>
      <c r="C86" t="b">
        <v>0</v>
      </c>
    </row>
    <row r="87" spans="1:3" x14ac:dyDescent="0.25">
      <c r="A87" s="4" t="s">
        <v>75</v>
      </c>
      <c r="B87" s="120" t="s">
        <v>450</v>
      </c>
      <c r="C87" t="b">
        <v>0</v>
      </c>
    </row>
    <row r="88" spans="1:3" x14ac:dyDescent="0.25">
      <c r="A88" s="4" t="s">
        <v>108</v>
      </c>
      <c r="B88" s="120" t="s">
        <v>451</v>
      </c>
      <c r="C88" t="b">
        <v>0</v>
      </c>
    </row>
    <row r="89" spans="1:3" x14ac:dyDescent="0.25">
      <c r="A89" s="4" t="s">
        <v>76</v>
      </c>
      <c r="B89" s="120" t="s">
        <v>452</v>
      </c>
      <c r="C89" t="b">
        <v>0</v>
      </c>
    </row>
    <row r="90" spans="1:3" x14ac:dyDescent="0.25">
      <c r="A90" s="4" t="s">
        <v>77</v>
      </c>
      <c r="B90" s="120" t="s">
        <v>453</v>
      </c>
      <c r="C90" t="b">
        <v>0</v>
      </c>
    </row>
    <row r="91" spans="1:3" x14ac:dyDescent="0.25">
      <c r="A91" s="4" t="s">
        <v>78</v>
      </c>
      <c r="B91" s="120" t="s">
        <v>454</v>
      </c>
      <c r="C91" t="b">
        <v>0</v>
      </c>
    </row>
    <row r="92" spans="1:3" x14ac:dyDescent="0.25">
      <c r="A92" s="4" t="s">
        <v>79</v>
      </c>
      <c r="B92" s="120" t="s">
        <v>455</v>
      </c>
      <c r="C92" t="b">
        <v>0</v>
      </c>
    </row>
    <row r="93" spans="1:3" x14ac:dyDescent="0.25">
      <c r="A93" s="4" t="s">
        <v>81</v>
      </c>
      <c r="B93" s="120" t="s">
        <v>456</v>
      </c>
      <c r="C93" t="b">
        <v>0</v>
      </c>
    </row>
    <row r="94" spans="1:3" x14ac:dyDescent="0.25">
      <c r="A94" s="4" t="s">
        <v>140</v>
      </c>
      <c r="B94" s="120" t="s">
        <v>457</v>
      </c>
      <c r="C94" t="b">
        <v>0</v>
      </c>
    </row>
    <row r="95" spans="1:3" x14ac:dyDescent="0.25">
      <c r="A95" s="4" t="s">
        <v>80</v>
      </c>
      <c r="B95" s="120" t="s">
        <v>458</v>
      </c>
      <c r="C95" t="b">
        <v>0</v>
      </c>
    </row>
    <row r="96" spans="1:3" x14ac:dyDescent="0.25">
      <c r="A96" s="44" t="s">
        <v>82</v>
      </c>
      <c r="B96" s="121" t="s">
        <v>459</v>
      </c>
      <c r="C96" t="b">
        <v>0</v>
      </c>
    </row>
    <row r="97" spans="1:3" x14ac:dyDescent="0.25">
      <c r="A97" s="44" t="s">
        <v>83</v>
      </c>
      <c r="B97" s="121" t="s">
        <v>460</v>
      </c>
      <c r="C97" t="b">
        <v>1</v>
      </c>
    </row>
    <row r="98" spans="1:3" x14ac:dyDescent="0.25">
      <c r="A98" s="44" t="s">
        <v>84</v>
      </c>
      <c r="B98" s="121" t="s">
        <v>461</v>
      </c>
      <c r="C98" t="b">
        <v>1</v>
      </c>
    </row>
    <row r="99" spans="1:3" x14ac:dyDescent="0.25">
      <c r="A99" s="44" t="s">
        <v>359</v>
      </c>
      <c r="B99" s="121" t="s">
        <v>462</v>
      </c>
      <c r="C99" t="b">
        <v>0</v>
      </c>
    </row>
    <row r="100" spans="1:3" x14ac:dyDescent="0.25">
      <c r="A100" s="44" t="s">
        <v>85</v>
      </c>
      <c r="B100" s="121" t="s">
        <v>463</v>
      </c>
      <c r="C100" t="b">
        <v>0</v>
      </c>
    </row>
    <row r="101" spans="1:3" x14ac:dyDescent="0.25">
      <c r="A101" s="127" t="s">
        <v>4029</v>
      </c>
      <c r="B101" s="129" t="s">
        <v>4030</v>
      </c>
      <c r="C101" t="b">
        <v>1</v>
      </c>
    </row>
    <row r="102" spans="1:3" x14ac:dyDescent="0.25">
      <c r="A102" s="128" t="s">
        <v>4031</v>
      </c>
      <c r="B102" s="129" t="s">
        <v>4032</v>
      </c>
      <c r="C102" t="b">
        <v>1</v>
      </c>
    </row>
    <row r="103" spans="1:3" x14ac:dyDescent="0.25">
      <c r="A103" s="128" t="s">
        <v>467</v>
      </c>
      <c r="B103" s="129" t="s">
        <v>470</v>
      </c>
      <c r="C103" t="b">
        <v>0</v>
      </c>
    </row>
    <row r="104" spans="1:3" x14ac:dyDescent="0.25">
      <c r="A104" s="128" t="s">
        <v>468</v>
      </c>
      <c r="B104" s="129" t="s">
        <v>471</v>
      </c>
      <c r="C104" t="b">
        <v>0</v>
      </c>
    </row>
    <row r="105" spans="1:3" x14ac:dyDescent="0.25">
      <c r="A105" s="128" t="s">
        <v>469</v>
      </c>
      <c r="B105" s="129" t="s">
        <v>472</v>
      </c>
      <c r="C105" t="b">
        <v>0</v>
      </c>
    </row>
  </sheetData>
  <conditionalFormatting sqref="A2:B4 A11:B14 A6:B9 A25:B67">
    <cfRule type="containsBlanks" dxfId="20" priority="9">
      <formula>LEN(TRIM(A2))=0</formula>
    </cfRule>
  </conditionalFormatting>
  <conditionalFormatting sqref="A10:B10">
    <cfRule type="containsBlanks" dxfId="19" priority="8">
      <formula>LEN(TRIM(A10))=0</formula>
    </cfRule>
  </conditionalFormatting>
  <conditionalFormatting sqref="A5:B5">
    <cfRule type="containsBlanks" dxfId="18" priority="7">
      <formula>LEN(TRIM(A5))=0</formula>
    </cfRule>
  </conditionalFormatting>
  <conditionalFormatting sqref="A15:B24">
    <cfRule type="containsBlanks" dxfId="17" priority="6">
      <formula>LEN(TRIM(A15))=0</formula>
    </cfRule>
  </conditionalFormatting>
  <conditionalFormatting sqref="A68:B95">
    <cfRule type="containsBlanks" dxfId="16" priority="5">
      <formula>LEN(TRIM(A68))=0</formula>
    </cfRule>
  </conditionalFormatting>
  <conditionalFormatting sqref="A97:B100">
    <cfRule type="containsBlanks" dxfId="15" priority="4">
      <formula>LEN(TRIM(A97))=0</formula>
    </cfRule>
  </conditionalFormatting>
  <conditionalFormatting sqref="A101:A105">
    <cfRule type="containsBlanks" dxfId="14" priority="3">
      <formula>LEN(TRIM(A101))=0</formula>
    </cfRule>
  </conditionalFormatting>
  <conditionalFormatting sqref="A96">
    <cfRule type="containsBlanks" dxfId="13" priority="2">
      <formula>LEN(TRIM(A96))=0</formula>
    </cfRule>
  </conditionalFormatting>
  <conditionalFormatting sqref="B96">
    <cfRule type="containsBlanks" dxfId="12" priority="1">
      <formula>LEN(TRIM(B96))=0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48"/>
  <sheetViews>
    <sheetView topLeftCell="A564" workbookViewId="0">
      <selection activeCell="D577" sqref="D577:D606"/>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172</v>
      </c>
    </row>
    <row r="62" spans="1:18" x14ac:dyDescent="0.25">
      <c r="B62" t="s">
        <v>168</v>
      </c>
      <c r="D62" t="s">
        <v>181</v>
      </c>
      <c r="H62" t="s">
        <v>169</v>
      </c>
      <c r="N62" t="s">
        <v>170</v>
      </c>
    </row>
    <row r="64" spans="1:18" x14ac:dyDescent="0.25">
      <c r="C64" t="s">
        <v>151</v>
      </c>
      <c r="D64" t="s">
        <v>178</v>
      </c>
      <c r="E64" t="s">
        <v>148</v>
      </c>
      <c r="F64" s="72" t="s">
        <v>153</v>
      </c>
      <c r="H64" t="s">
        <v>154</v>
      </c>
      <c r="I64" t="s">
        <v>87</v>
      </c>
      <c r="J64" t="s">
        <v>156</v>
      </c>
      <c r="K64" t="s">
        <v>182</v>
      </c>
      <c r="N64" t="s">
        <v>154</v>
      </c>
      <c r="O64" t="s">
        <v>153</v>
      </c>
      <c r="P64" t="s">
        <v>155</v>
      </c>
    </row>
    <row r="65" spans="2:16" x14ac:dyDescent="0.25">
      <c r="B65" t="s">
        <v>177</v>
      </c>
      <c r="C65">
        <v>3</v>
      </c>
      <c r="D65" t="s">
        <v>179</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173</v>
      </c>
      <c r="C66">
        <v>3</v>
      </c>
      <c r="D66" t="s">
        <v>179</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174</v>
      </c>
      <c r="C67" s="71" t="s">
        <v>163</v>
      </c>
      <c r="D67" t="s">
        <v>179</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175</v>
      </c>
      <c r="C68" s="71" t="s">
        <v>163</v>
      </c>
      <c r="D68" t="s">
        <v>179</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176</v>
      </c>
      <c r="C69">
        <v>3</v>
      </c>
      <c r="D69" t="s">
        <v>179</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177</v>
      </c>
      <c r="C70">
        <v>3</v>
      </c>
      <c r="D70" t="s">
        <v>183</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173</v>
      </c>
      <c r="C71">
        <v>3</v>
      </c>
      <c r="D71" t="s">
        <v>183</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174</v>
      </c>
      <c r="C72" s="71" t="s">
        <v>163</v>
      </c>
      <c r="D72" t="s">
        <v>183</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175</v>
      </c>
      <c r="C73" s="71" t="s">
        <v>163</v>
      </c>
      <c r="D73" t="s">
        <v>183</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176</v>
      </c>
      <c r="C74">
        <v>3</v>
      </c>
      <c r="D74" t="s">
        <v>183</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177</v>
      </c>
      <c r="C75">
        <v>3</v>
      </c>
      <c r="D75" t="s">
        <v>184</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173</v>
      </c>
      <c r="C76">
        <v>3</v>
      </c>
      <c r="D76" t="s">
        <v>184</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174</v>
      </c>
      <c r="C77" s="71" t="s">
        <v>163</v>
      </c>
      <c r="D77" t="s">
        <v>184</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175</v>
      </c>
      <c r="C78" s="71" t="s">
        <v>163</v>
      </c>
      <c r="D78" t="s">
        <v>184</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176</v>
      </c>
      <c r="C79">
        <v>3</v>
      </c>
      <c r="D79" t="s">
        <v>184</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185</v>
      </c>
    </row>
    <row r="84" spans="1:9" x14ac:dyDescent="0.25">
      <c r="B84" s="76" t="s">
        <v>191</v>
      </c>
      <c r="C84" s="76" t="s">
        <v>151</v>
      </c>
      <c r="D84" s="76" t="s">
        <v>186</v>
      </c>
      <c r="E84" s="76" t="s">
        <v>194</v>
      </c>
      <c r="F84" s="76" t="s">
        <v>189</v>
      </c>
    </row>
    <row r="85" spans="1:9" x14ac:dyDescent="0.25">
      <c r="B85" t="s">
        <v>190</v>
      </c>
      <c r="C85">
        <v>0</v>
      </c>
      <c r="D85" t="s">
        <v>187</v>
      </c>
      <c r="E85" s="33">
        <v>0.39100000000000001</v>
      </c>
      <c r="F85" s="9">
        <v>46965</v>
      </c>
      <c r="H85" t="s">
        <v>195</v>
      </c>
      <c r="I85" s="9"/>
    </row>
    <row r="86" spans="1:9" x14ac:dyDescent="0.25">
      <c r="B86" t="s">
        <v>177</v>
      </c>
      <c r="C86">
        <v>5</v>
      </c>
      <c r="D86" t="s">
        <v>187</v>
      </c>
      <c r="E86" s="33">
        <v>0.14299999999999999</v>
      </c>
      <c r="F86" s="9">
        <v>46965</v>
      </c>
      <c r="H86" s="77">
        <f>C85*E85+C86*E86+C87*E87+C88*E88</f>
        <v>6.134999999999998</v>
      </c>
      <c r="I86" s="9"/>
    </row>
    <row r="87" spans="1:9" x14ac:dyDescent="0.25">
      <c r="B87" t="s">
        <v>174</v>
      </c>
      <c r="C87">
        <v>10</v>
      </c>
      <c r="D87" t="s">
        <v>187</v>
      </c>
      <c r="E87" s="33">
        <v>0.314</v>
      </c>
      <c r="F87" s="9">
        <v>46965</v>
      </c>
      <c r="G87" s="33"/>
      <c r="H87" s="33"/>
      <c r="I87" s="9"/>
    </row>
    <row r="88" spans="1:9" x14ac:dyDescent="0.25">
      <c r="B88" t="s">
        <v>192</v>
      </c>
      <c r="C88" s="71" t="s">
        <v>197</v>
      </c>
      <c r="D88" t="s">
        <v>187</v>
      </c>
      <c r="E88" s="33">
        <v>0.15199999999999991</v>
      </c>
      <c r="F88" s="9">
        <v>46965</v>
      </c>
      <c r="G88" s="33"/>
      <c r="H88" s="33"/>
      <c r="I88" s="9"/>
    </row>
    <row r="89" spans="1:9" x14ac:dyDescent="0.25">
      <c r="B89" t="s">
        <v>190</v>
      </c>
      <c r="C89">
        <v>0</v>
      </c>
      <c r="D89" t="s">
        <v>188</v>
      </c>
      <c r="E89">
        <v>0.32600000000000001</v>
      </c>
      <c r="F89" s="9">
        <v>99900</v>
      </c>
      <c r="G89" s="33"/>
      <c r="H89" s="33" t="s">
        <v>196</v>
      </c>
      <c r="I89" s="9"/>
    </row>
    <row r="90" spans="1:9" x14ac:dyDescent="0.25">
      <c r="B90" t="s">
        <v>177</v>
      </c>
      <c r="C90">
        <v>5</v>
      </c>
      <c r="D90" t="s">
        <v>188</v>
      </c>
      <c r="E90">
        <v>0.127</v>
      </c>
      <c r="F90" s="9">
        <v>99900</v>
      </c>
      <c r="G90" s="33"/>
      <c r="H90" s="77">
        <f>C89*E89+C90*E90+C91*E91+C92*E92</f>
        <v>7.0349999999999993</v>
      </c>
    </row>
    <row r="91" spans="1:9" x14ac:dyDescent="0.25">
      <c r="B91" t="s">
        <v>174</v>
      </c>
      <c r="C91">
        <v>10</v>
      </c>
      <c r="D91" t="s">
        <v>188</v>
      </c>
      <c r="E91">
        <v>0.36099999999999999</v>
      </c>
      <c r="F91" s="9">
        <v>99900</v>
      </c>
      <c r="I91" s="9"/>
    </row>
    <row r="92" spans="1:9" x14ac:dyDescent="0.25">
      <c r="B92" t="s">
        <v>192</v>
      </c>
      <c r="C92" s="71" t="s">
        <v>197</v>
      </c>
      <c r="D92" t="s">
        <v>188</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198</v>
      </c>
    </row>
    <row r="98" spans="2:17" x14ac:dyDescent="0.25">
      <c r="B98" t="s">
        <v>168</v>
      </c>
      <c r="D98" s="76" t="s">
        <v>201</v>
      </c>
      <c r="I98" t="s">
        <v>169</v>
      </c>
      <c r="O98" t="s">
        <v>170</v>
      </c>
    </row>
    <row r="100" spans="2:17" x14ac:dyDescent="0.25">
      <c r="C100" t="s">
        <v>151</v>
      </c>
      <c r="D100" t="s">
        <v>164</v>
      </c>
      <c r="E100" t="s">
        <v>149</v>
      </c>
      <c r="F100" t="s">
        <v>148</v>
      </c>
      <c r="G100" s="72" t="s">
        <v>202</v>
      </c>
      <c r="I100" t="s">
        <v>154</v>
      </c>
      <c r="J100" t="s">
        <v>156</v>
      </c>
      <c r="K100" t="s">
        <v>153</v>
      </c>
      <c r="O100" t="s">
        <v>154</v>
      </c>
      <c r="P100" t="s">
        <v>153</v>
      </c>
      <c r="Q100" t="s">
        <v>155</v>
      </c>
    </row>
    <row r="101" spans="2:17" x14ac:dyDescent="0.25">
      <c r="B101" t="s">
        <v>177</v>
      </c>
      <c r="C101">
        <v>6</v>
      </c>
      <c r="D101">
        <v>1992</v>
      </c>
      <c r="E101" t="s">
        <v>152</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173</v>
      </c>
      <c r="C102">
        <v>4</v>
      </c>
      <c r="D102">
        <v>1992</v>
      </c>
      <c r="E102" t="s">
        <v>152</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174</v>
      </c>
      <c r="C103" s="71" t="s">
        <v>193</v>
      </c>
      <c r="D103">
        <v>1992</v>
      </c>
      <c r="E103" t="s">
        <v>152</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192</v>
      </c>
      <c r="C104" s="71" t="s">
        <v>180</v>
      </c>
      <c r="D104">
        <v>1992</v>
      </c>
      <c r="E104" t="s">
        <v>152</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177</v>
      </c>
      <c r="C105">
        <v>6</v>
      </c>
      <c r="D105">
        <v>1992</v>
      </c>
      <c r="E105" t="s">
        <v>150</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173</v>
      </c>
      <c r="C106">
        <v>4</v>
      </c>
      <c r="D106">
        <v>1992</v>
      </c>
      <c r="E106" t="s">
        <v>150</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174</v>
      </c>
      <c r="C107" s="71" t="s">
        <v>193</v>
      </c>
      <c r="D107">
        <v>1992</v>
      </c>
      <c r="E107" t="s">
        <v>150</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192</v>
      </c>
      <c r="C108" s="71" t="s">
        <v>180</v>
      </c>
      <c r="D108">
        <v>1992</v>
      </c>
      <c r="E108" t="s">
        <v>150</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177</v>
      </c>
      <c r="C109">
        <v>6</v>
      </c>
      <c r="D109">
        <v>1999</v>
      </c>
      <c r="E109" t="s">
        <v>152</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173</v>
      </c>
      <c r="C110">
        <v>4</v>
      </c>
      <c r="D110">
        <v>1999</v>
      </c>
      <c r="E110" t="s">
        <v>152</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174</v>
      </c>
      <c r="C111" s="71" t="s">
        <v>193</v>
      </c>
      <c r="D111">
        <v>1999</v>
      </c>
      <c r="E111" t="s">
        <v>152</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192</v>
      </c>
      <c r="C112" s="71" t="s">
        <v>180</v>
      </c>
      <c r="D112">
        <v>1999</v>
      </c>
      <c r="E112" t="s">
        <v>152</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177</v>
      </c>
      <c r="C113">
        <v>6</v>
      </c>
      <c r="D113">
        <v>1999</v>
      </c>
      <c r="E113" t="s">
        <v>150</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173</v>
      </c>
      <c r="C114">
        <v>4</v>
      </c>
      <c r="D114">
        <v>1999</v>
      </c>
      <c r="E114" t="s">
        <v>150</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174</v>
      </c>
      <c r="C115" s="71" t="s">
        <v>193</v>
      </c>
      <c r="D115">
        <v>1999</v>
      </c>
      <c r="E115" t="s">
        <v>150</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192</v>
      </c>
      <c r="C116" s="71" t="s">
        <v>180</v>
      </c>
      <c r="D116">
        <v>1999</v>
      </c>
      <c r="E116" t="s">
        <v>150</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203</v>
      </c>
      <c r="F118" t="s">
        <v>204</v>
      </c>
    </row>
    <row r="120" spans="2:18" x14ac:dyDescent="0.25">
      <c r="C120" t="s">
        <v>151</v>
      </c>
      <c r="D120" t="s">
        <v>164</v>
      </c>
      <c r="E120" t="s">
        <v>149</v>
      </c>
      <c r="F120" t="s">
        <v>205</v>
      </c>
      <c r="G120" t="s">
        <v>148</v>
      </c>
      <c r="H120" s="72" t="s">
        <v>202</v>
      </c>
      <c r="J120" t="s">
        <v>154</v>
      </c>
      <c r="K120" t="s">
        <v>156</v>
      </c>
      <c r="L120" t="s">
        <v>153</v>
      </c>
      <c r="P120" t="s">
        <v>154</v>
      </c>
      <c r="Q120" t="s">
        <v>153</v>
      </c>
      <c r="R120" t="s">
        <v>155</v>
      </c>
    </row>
    <row r="121" spans="2:18" x14ac:dyDescent="0.25">
      <c r="B121" t="s">
        <v>177</v>
      </c>
      <c r="C121">
        <v>6</v>
      </c>
      <c r="D121">
        <v>1992</v>
      </c>
      <c r="E121" t="s">
        <v>152</v>
      </c>
      <c r="F121" t="s">
        <v>206</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173</v>
      </c>
      <c r="C122">
        <v>4</v>
      </c>
      <c r="D122">
        <v>1992</v>
      </c>
      <c r="E122" t="s">
        <v>152</v>
      </c>
      <c r="F122" t="s">
        <v>206</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174</v>
      </c>
      <c r="C123" s="71" t="s">
        <v>193</v>
      </c>
      <c r="D123">
        <v>1992</v>
      </c>
      <c r="E123" t="s">
        <v>152</v>
      </c>
      <c r="F123" t="s">
        <v>206</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192</v>
      </c>
      <c r="C124" s="71" t="s">
        <v>180</v>
      </c>
      <c r="D124">
        <v>1992</v>
      </c>
      <c r="E124" t="s">
        <v>152</v>
      </c>
      <c r="F124" t="s">
        <v>206</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177</v>
      </c>
      <c r="C125">
        <v>6</v>
      </c>
      <c r="D125">
        <v>1992</v>
      </c>
      <c r="E125" t="s">
        <v>150</v>
      </c>
      <c r="F125" t="s">
        <v>207</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173</v>
      </c>
      <c r="C126">
        <v>4</v>
      </c>
      <c r="D126">
        <v>1992</v>
      </c>
      <c r="E126" t="s">
        <v>150</v>
      </c>
      <c r="F126" t="s">
        <v>207</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174</v>
      </c>
      <c r="C127" s="71" t="s">
        <v>193</v>
      </c>
      <c r="D127">
        <v>1992</v>
      </c>
      <c r="E127" t="s">
        <v>150</v>
      </c>
      <c r="F127" t="s">
        <v>207</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192</v>
      </c>
      <c r="C128" s="71" t="s">
        <v>180</v>
      </c>
      <c r="D128">
        <v>1992</v>
      </c>
      <c r="E128" t="s">
        <v>150</v>
      </c>
      <c r="F128" t="s">
        <v>207</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177</v>
      </c>
      <c r="C129">
        <v>6</v>
      </c>
      <c r="D129">
        <v>1999</v>
      </c>
      <c r="E129" t="s">
        <v>152</v>
      </c>
      <c r="F129" t="s">
        <v>206</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173</v>
      </c>
      <c r="C130">
        <v>4</v>
      </c>
      <c r="D130">
        <v>1999</v>
      </c>
      <c r="E130" t="s">
        <v>152</v>
      </c>
      <c r="F130" t="s">
        <v>206</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174</v>
      </c>
      <c r="C131" s="71" t="s">
        <v>193</v>
      </c>
      <c r="D131">
        <v>1999</v>
      </c>
      <c r="E131" t="s">
        <v>152</v>
      </c>
      <c r="F131" t="s">
        <v>206</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192</v>
      </c>
      <c r="C132" s="71" t="s">
        <v>180</v>
      </c>
      <c r="D132">
        <v>1999</v>
      </c>
      <c r="E132" t="s">
        <v>152</v>
      </c>
      <c r="F132" t="s">
        <v>206</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177</v>
      </c>
      <c r="C133">
        <v>6</v>
      </c>
      <c r="D133">
        <v>1999</v>
      </c>
      <c r="E133" t="s">
        <v>150</v>
      </c>
      <c r="F133" t="s">
        <v>207</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173</v>
      </c>
      <c r="C134">
        <v>4</v>
      </c>
      <c r="D134">
        <v>1999</v>
      </c>
      <c r="E134" t="s">
        <v>150</v>
      </c>
      <c r="F134" t="s">
        <v>207</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174</v>
      </c>
      <c r="C135" s="71" t="s">
        <v>193</v>
      </c>
      <c r="D135">
        <v>1999</v>
      </c>
      <c r="E135" t="s">
        <v>150</v>
      </c>
      <c r="F135" t="s">
        <v>207</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192</v>
      </c>
      <c r="C136" s="71" t="s">
        <v>180</v>
      </c>
      <c r="D136">
        <v>1999</v>
      </c>
      <c r="E136" t="s">
        <v>150</v>
      </c>
      <c r="F136" t="s">
        <v>207</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177</v>
      </c>
      <c r="C137">
        <v>6</v>
      </c>
      <c r="D137">
        <v>1992</v>
      </c>
      <c r="E137" t="s">
        <v>152</v>
      </c>
      <c r="F137" t="s">
        <v>206</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173</v>
      </c>
      <c r="C138">
        <v>4</v>
      </c>
      <c r="D138">
        <v>1992</v>
      </c>
      <c r="E138" t="s">
        <v>152</v>
      </c>
      <c r="F138" t="s">
        <v>206</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174</v>
      </c>
      <c r="C139" s="71" t="s">
        <v>193</v>
      </c>
      <c r="D139">
        <v>1992</v>
      </c>
      <c r="E139" t="s">
        <v>152</v>
      </c>
      <c r="F139" t="s">
        <v>206</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192</v>
      </c>
      <c r="C140" s="71" t="s">
        <v>180</v>
      </c>
      <c r="D140">
        <v>1992</v>
      </c>
      <c r="E140" t="s">
        <v>152</v>
      </c>
      <c r="F140" t="s">
        <v>206</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177</v>
      </c>
      <c r="C141">
        <v>6</v>
      </c>
      <c r="D141">
        <v>1992</v>
      </c>
      <c r="E141" t="s">
        <v>150</v>
      </c>
      <c r="F141" t="s">
        <v>207</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173</v>
      </c>
      <c r="C142">
        <v>4</v>
      </c>
      <c r="D142">
        <v>1992</v>
      </c>
      <c r="E142" t="s">
        <v>150</v>
      </c>
      <c r="F142" t="s">
        <v>207</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174</v>
      </c>
      <c r="C143" s="71" t="s">
        <v>193</v>
      </c>
      <c r="D143">
        <v>1992</v>
      </c>
      <c r="E143" t="s">
        <v>150</v>
      </c>
      <c r="F143" t="s">
        <v>207</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192</v>
      </c>
      <c r="C144" s="71" t="s">
        <v>180</v>
      </c>
      <c r="D144">
        <v>1992</v>
      </c>
      <c r="E144" t="s">
        <v>150</v>
      </c>
      <c r="F144" t="s">
        <v>207</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177</v>
      </c>
      <c r="C145">
        <v>6</v>
      </c>
      <c r="D145">
        <v>1999</v>
      </c>
      <c r="E145" t="s">
        <v>152</v>
      </c>
      <c r="F145" t="s">
        <v>206</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173</v>
      </c>
      <c r="C146">
        <v>4</v>
      </c>
      <c r="D146">
        <v>1999</v>
      </c>
      <c r="E146" t="s">
        <v>152</v>
      </c>
      <c r="F146" t="s">
        <v>206</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174</v>
      </c>
      <c r="C147" s="71" t="s">
        <v>193</v>
      </c>
      <c r="D147">
        <v>1999</v>
      </c>
      <c r="E147" t="s">
        <v>152</v>
      </c>
      <c r="F147" t="s">
        <v>206</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192</v>
      </c>
      <c r="C148" s="71" t="s">
        <v>180</v>
      </c>
      <c r="D148">
        <v>1999</v>
      </c>
      <c r="E148" t="s">
        <v>152</v>
      </c>
      <c r="F148" t="s">
        <v>206</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177</v>
      </c>
      <c r="C149">
        <v>6</v>
      </c>
      <c r="D149">
        <v>1999</v>
      </c>
      <c r="E149" t="s">
        <v>150</v>
      </c>
      <c r="F149" t="s">
        <v>207</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173</v>
      </c>
      <c r="C150">
        <v>4</v>
      </c>
      <c r="D150">
        <v>1999</v>
      </c>
      <c r="E150" t="s">
        <v>150</v>
      </c>
      <c r="F150" t="s">
        <v>207</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174</v>
      </c>
      <c r="C151" s="71" t="s">
        <v>193</v>
      </c>
      <c r="D151">
        <v>1999</v>
      </c>
      <c r="E151" t="s">
        <v>150</v>
      </c>
      <c r="F151" t="s">
        <v>207</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192</v>
      </c>
      <c r="C152" s="71" t="s">
        <v>180</v>
      </c>
      <c r="D152">
        <v>1999</v>
      </c>
      <c r="E152" t="s">
        <v>150</v>
      </c>
      <c r="F152" t="s">
        <v>207</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208</v>
      </c>
    </row>
    <row r="157" spans="2:18" x14ac:dyDescent="0.25">
      <c r="C157" t="s">
        <v>209</v>
      </c>
      <c r="D157" t="s">
        <v>212</v>
      </c>
      <c r="E157" t="s">
        <v>210</v>
      </c>
      <c r="H157" s="76" t="s">
        <v>217</v>
      </c>
    </row>
    <row r="158" spans="2:18" x14ac:dyDescent="0.25">
      <c r="B158" t="s">
        <v>190</v>
      </c>
      <c r="C158">
        <v>0</v>
      </c>
      <c r="D158" t="s">
        <v>213</v>
      </c>
      <c r="E158">
        <v>0.26250000000000001</v>
      </c>
      <c r="H158" t="s">
        <v>213</v>
      </c>
    </row>
    <row r="159" spans="2:18" x14ac:dyDescent="0.25">
      <c r="B159" t="s">
        <v>177</v>
      </c>
      <c r="C159">
        <v>6</v>
      </c>
      <c r="D159" t="s">
        <v>213</v>
      </c>
      <c r="E159">
        <v>0.25</v>
      </c>
      <c r="H159" s="78">
        <f>C158*E158+C159*E159+C160*E160+C161*E161+C162*E162</f>
        <v>9.8249999999999993</v>
      </c>
    </row>
    <row r="160" spans="2:18" x14ac:dyDescent="0.25">
      <c r="B160" t="s">
        <v>173</v>
      </c>
      <c r="C160">
        <v>10</v>
      </c>
      <c r="D160" t="s">
        <v>213</v>
      </c>
      <c r="E160">
        <v>0.1125</v>
      </c>
    </row>
    <row r="161" spans="2:10" x14ac:dyDescent="0.25">
      <c r="B161" t="s">
        <v>174</v>
      </c>
      <c r="C161" s="71" t="s">
        <v>197</v>
      </c>
      <c r="D161" t="s">
        <v>213</v>
      </c>
      <c r="E161">
        <v>0.1125</v>
      </c>
    </row>
    <row r="162" spans="2:10" x14ac:dyDescent="0.25">
      <c r="B162" t="s">
        <v>192</v>
      </c>
      <c r="C162" s="71" t="s">
        <v>211</v>
      </c>
      <c r="D162" t="s">
        <v>213</v>
      </c>
      <c r="E162">
        <v>0.26250000000000001</v>
      </c>
    </row>
    <row r="163" spans="2:10" x14ac:dyDescent="0.25">
      <c r="B163" t="s">
        <v>190</v>
      </c>
      <c r="C163">
        <v>0</v>
      </c>
      <c r="D163" t="s">
        <v>214</v>
      </c>
      <c r="E163">
        <v>0.17</v>
      </c>
      <c r="H163" t="s">
        <v>214</v>
      </c>
    </row>
    <row r="164" spans="2:10" x14ac:dyDescent="0.25">
      <c r="B164" t="s">
        <v>177</v>
      </c>
      <c r="C164">
        <v>6</v>
      </c>
      <c r="D164" t="s">
        <v>214</v>
      </c>
      <c r="E164">
        <v>0.2</v>
      </c>
      <c r="H164" s="78">
        <f>C163*E163+C164*E164+C165*E165+C166*E166+C167*E167</f>
        <v>10.520000000000001</v>
      </c>
    </row>
    <row r="165" spans="2:10" x14ac:dyDescent="0.25">
      <c r="B165" t="s">
        <v>173</v>
      </c>
      <c r="C165">
        <v>10</v>
      </c>
      <c r="D165" t="s">
        <v>214</v>
      </c>
      <c r="E165">
        <v>0.23</v>
      </c>
    </row>
    <row r="166" spans="2:10" x14ac:dyDescent="0.25">
      <c r="B166" t="s">
        <v>174</v>
      </c>
      <c r="C166" s="71" t="s">
        <v>197</v>
      </c>
      <c r="D166" t="s">
        <v>214</v>
      </c>
      <c r="E166">
        <v>0.23</v>
      </c>
    </row>
    <row r="167" spans="2:10" x14ac:dyDescent="0.25">
      <c r="B167" t="s">
        <v>192</v>
      </c>
      <c r="C167" s="71" t="s">
        <v>211</v>
      </c>
      <c r="D167" t="s">
        <v>214</v>
      </c>
      <c r="E167">
        <v>0.17</v>
      </c>
    </row>
    <row r="168" spans="2:10" x14ac:dyDescent="0.25">
      <c r="B168" t="s">
        <v>190</v>
      </c>
      <c r="C168">
        <v>0</v>
      </c>
      <c r="D168" t="s">
        <v>215</v>
      </c>
      <c r="E168">
        <v>0.1925</v>
      </c>
      <c r="H168" t="s">
        <v>215</v>
      </c>
    </row>
    <row r="169" spans="2:10" x14ac:dyDescent="0.25">
      <c r="B169" t="s">
        <v>177</v>
      </c>
      <c r="C169">
        <v>6</v>
      </c>
      <c r="D169" t="s">
        <v>215</v>
      </c>
      <c r="E169">
        <v>0.28999999999999998</v>
      </c>
      <c r="H169" s="78">
        <f>C168*E168+C169*E169+C170*E170+C171*E171+C172*E172</f>
        <v>9.8450000000000006</v>
      </c>
    </row>
    <row r="170" spans="2:10" x14ac:dyDescent="0.25">
      <c r="B170" t="s">
        <v>173</v>
      </c>
      <c r="C170">
        <v>10</v>
      </c>
      <c r="D170" t="s">
        <v>215</v>
      </c>
      <c r="E170">
        <v>0.16250000000000001</v>
      </c>
    </row>
    <row r="171" spans="2:10" x14ac:dyDescent="0.25">
      <c r="B171" t="s">
        <v>174</v>
      </c>
      <c r="C171" s="71" t="s">
        <v>197</v>
      </c>
      <c r="D171" t="s">
        <v>215</v>
      </c>
      <c r="E171">
        <v>0.16250000000000001</v>
      </c>
    </row>
    <row r="172" spans="2:10" x14ac:dyDescent="0.25">
      <c r="B172" t="s">
        <v>192</v>
      </c>
      <c r="C172" s="71" t="s">
        <v>211</v>
      </c>
      <c r="D172" t="s">
        <v>215</v>
      </c>
      <c r="E172">
        <v>0.1925</v>
      </c>
    </row>
    <row r="173" spans="2:10" x14ac:dyDescent="0.25">
      <c r="B173" t="s">
        <v>190</v>
      </c>
      <c r="C173">
        <v>0</v>
      </c>
      <c r="D173" t="s">
        <v>216</v>
      </c>
      <c r="E173">
        <v>0.12</v>
      </c>
      <c r="H173" t="s">
        <v>216</v>
      </c>
      <c r="J173" s="77"/>
    </row>
    <row r="174" spans="2:10" x14ac:dyDescent="0.25">
      <c r="B174" t="s">
        <v>177</v>
      </c>
      <c r="C174">
        <v>6</v>
      </c>
      <c r="D174" t="s">
        <v>216</v>
      </c>
      <c r="E174">
        <v>0.23</v>
      </c>
      <c r="H174" s="78">
        <f>C173*E173+C174*E174+C175*E175+C176*E176+C177*E177</f>
        <v>10.525</v>
      </c>
    </row>
    <row r="175" spans="2:10" x14ac:dyDescent="0.25">
      <c r="B175" t="s">
        <v>173</v>
      </c>
      <c r="C175">
        <v>10</v>
      </c>
      <c r="D175" t="s">
        <v>216</v>
      </c>
      <c r="E175">
        <v>0.26500000000000001</v>
      </c>
    </row>
    <row r="176" spans="2:10" x14ac:dyDescent="0.25">
      <c r="B176" t="s">
        <v>174</v>
      </c>
      <c r="C176" s="71" t="s">
        <v>197</v>
      </c>
      <c r="D176" t="s">
        <v>216</v>
      </c>
      <c r="E176">
        <v>0.26500000000000001</v>
      </c>
    </row>
    <row r="177" spans="1:15" x14ac:dyDescent="0.25">
      <c r="B177" t="s">
        <v>192</v>
      </c>
      <c r="C177" s="71" t="s">
        <v>211</v>
      </c>
      <c r="D177" t="s">
        <v>216</v>
      </c>
      <c r="E177">
        <v>0.12</v>
      </c>
    </row>
    <row r="181" spans="1:15" x14ac:dyDescent="0.25">
      <c r="A181" s="75" t="s">
        <v>219</v>
      </c>
      <c r="C181" t="s">
        <v>223</v>
      </c>
    </row>
    <row r="183" spans="1:15" x14ac:dyDescent="0.25">
      <c r="C183" t="s">
        <v>209</v>
      </c>
      <c r="D183" t="s">
        <v>148</v>
      </c>
      <c r="E183" s="72" t="s">
        <v>153</v>
      </c>
      <c r="G183" t="s">
        <v>154</v>
      </c>
      <c r="H183" t="s">
        <v>156</v>
      </c>
      <c r="I183" t="s">
        <v>222</v>
      </c>
      <c r="M183" t="s">
        <v>154</v>
      </c>
      <c r="N183" t="s">
        <v>153</v>
      </c>
      <c r="O183" t="s">
        <v>155</v>
      </c>
    </row>
    <row r="184" spans="1:15" x14ac:dyDescent="0.25">
      <c r="B184" t="s">
        <v>221</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220</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173</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221</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220</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173</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221</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220</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173</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221</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220</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173</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224</v>
      </c>
    </row>
    <row r="200" spans="2:15" x14ac:dyDescent="0.25">
      <c r="C200" t="s">
        <v>209</v>
      </c>
      <c r="D200" t="s">
        <v>148</v>
      </c>
      <c r="E200" s="72" t="s">
        <v>153</v>
      </c>
      <c r="G200" t="s">
        <v>154</v>
      </c>
      <c r="H200" t="s">
        <v>156</v>
      </c>
      <c r="I200" t="s">
        <v>222</v>
      </c>
      <c r="M200" t="s">
        <v>154</v>
      </c>
      <c r="N200" t="s">
        <v>153</v>
      </c>
      <c r="O200" t="s">
        <v>155</v>
      </c>
    </row>
    <row r="201" spans="2:15" x14ac:dyDescent="0.25">
      <c r="B201" t="s">
        <v>221</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220</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173</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221</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220</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173</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221</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220</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173</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221</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220</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173</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225</v>
      </c>
    </row>
    <row r="217" spans="1:22" x14ac:dyDescent="0.25">
      <c r="C217" t="s">
        <v>201</v>
      </c>
    </row>
    <row r="219" spans="1:22" x14ac:dyDescent="0.25">
      <c r="C219" t="s">
        <v>151</v>
      </c>
      <c r="D219" t="s">
        <v>231</v>
      </c>
      <c r="E219" t="s">
        <v>233</v>
      </c>
      <c r="F219" t="s">
        <v>148</v>
      </c>
      <c r="G219" s="72" t="s">
        <v>153</v>
      </c>
      <c r="I219" t="s">
        <v>154</v>
      </c>
      <c r="J219" t="s">
        <v>156</v>
      </c>
      <c r="K219" t="s">
        <v>235</v>
      </c>
      <c r="O219" t="s">
        <v>154</v>
      </c>
      <c r="P219" t="s">
        <v>153</v>
      </c>
      <c r="Q219" t="s">
        <v>155</v>
      </c>
    </row>
    <row r="220" spans="1:22" x14ac:dyDescent="0.25">
      <c r="B220" t="s">
        <v>226</v>
      </c>
      <c r="C220">
        <v>0</v>
      </c>
      <c r="D220" t="s">
        <v>232</v>
      </c>
      <c r="E220">
        <v>1</v>
      </c>
      <c r="F220">
        <v>-0.1295</v>
      </c>
      <c r="G220">
        <v>0.2034</v>
      </c>
      <c r="I220" s="70" t="s">
        <v>86</v>
      </c>
      <c r="J220" s="70" t="s">
        <v>86</v>
      </c>
      <c r="K220" s="70" t="s">
        <v>86</v>
      </c>
      <c r="O220" s="73" t="s">
        <v>86</v>
      </c>
      <c r="P220" s="73" t="s">
        <v>86</v>
      </c>
      <c r="Q220" s="73" t="s">
        <v>86</v>
      </c>
      <c r="T220" t="s">
        <v>236</v>
      </c>
    </row>
    <row r="221" spans="1:22" x14ac:dyDescent="0.25">
      <c r="B221" t="s">
        <v>37</v>
      </c>
      <c r="C221">
        <v>6</v>
      </c>
      <c r="D221" t="s">
        <v>232</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232</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227</v>
      </c>
      <c r="C223">
        <v>4</v>
      </c>
      <c r="D223" t="s">
        <v>232</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228</v>
      </c>
      <c r="C224">
        <v>5</v>
      </c>
      <c r="D224" t="s">
        <v>232</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226</v>
      </c>
      <c r="C225">
        <v>0</v>
      </c>
      <c r="D225" t="s">
        <v>232</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232</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232</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227</v>
      </c>
      <c r="C228">
        <v>4</v>
      </c>
      <c r="D228" t="s">
        <v>232</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228</v>
      </c>
      <c r="C229">
        <v>5</v>
      </c>
      <c r="D229" t="s">
        <v>232</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226</v>
      </c>
      <c r="C230">
        <v>0</v>
      </c>
      <c r="D230" t="s">
        <v>234</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234</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234</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227</v>
      </c>
      <c r="C233">
        <v>4</v>
      </c>
      <c r="D233" t="s">
        <v>234</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228</v>
      </c>
      <c r="C234">
        <v>5</v>
      </c>
      <c r="D234" t="s">
        <v>234</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226</v>
      </c>
      <c r="C235">
        <v>0</v>
      </c>
      <c r="D235" t="s">
        <v>234</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234</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234</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227</v>
      </c>
      <c r="C238">
        <v>4</v>
      </c>
      <c r="D238" t="s">
        <v>234</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228</v>
      </c>
      <c r="C239">
        <v>5</v>
      </c>
      <c r="D239" t="s">
        <v>234</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242</v>
      </c>
    </row>
    <row r="243" spans="1:11" x14ac:dyDescent="0.25">
      <c r="C243" t="s">
        <v>243</v>
      </c>
    </row>
    <row r="245" spans="1:11" x14ac:dyDescent="0.25">
      <c r="D245" t="s">
        <v>245</v>
      </c>
      <c r="E245" t="s">
        <v>246</v>
      </c>
      <c r="F245" t="s">
        <v>247</v>
      </c>
      <c r="G245" t="s">
        <v>248</v>
      </c>
      <c r="H245" t="s">
        <v>249</v>
      </c>
      <c r="J245" t="s">
        <v>250</v>
      </c>
      <c r="K245" t="s">
        <v>251</v>
      </c>
    </row>
    <row r="246" spans="1:11" x14ac:dyDescent="0.25">
      <c r="C246" t="s">
        <v>244</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252</v>
      </c>
      <c r="K250">
        <f>SUM(K246:K249)</f>
        <v>7.0203000000000007</v>
      </c>
    </row>
    <row r="253" spans="1:11" x14ac:dyDescent="0.25">
      <c r="A253" s="75" t="s">
        <v>253</v>
      </c>
    </row>
    <row r="255" spans="1:11" x14ac:dyDescent="0.25">
      <c r="C255" t="s">
        <v>254</v>
      </c>
    </row>
    <row r="257" spans="2:19" x14ac:dyDescent="0.25">
      <c r="C257" t="s">
        <v>261</v>
      </c>
      <c r="D257" t="s">
        <v>264</v>
      </c>
      <c r="E257" t="s">
        <v>209</v>
      </c>
      <c r="F257" t="s">
        <v>262</v>
      </c>
      <c r="G257" t="s">
        <v>148</v>
      </c>
      <c r="H257" s="72" t="s">
        <v>153</v>
      </c>
      <c r="J257" t="s">
        <v>154</v>
      </c>
      <c r="K257" t="s">
        <v>156</v>
      </c>
      <c r="L257" t="s">
        <v>263</v>
      </c>
      <c r="M257" t="s">
        <v>222</v>
      </c>
      <c r="Q257" t="s">
        <v>154</v>
      </c>
      <c r="R257" t="s">
        <v>153</v>
      </c>
      <c r="S257" t="s">
        <v>155</v>
      </c>
    </row>
    <row r="258" spans="2:19" x14ac:dyDescent="0.25">
      <c r="B258" t="s">
        <v>255</v>
      </c>
      <c r="C258">
        <v>0</v>
      </c>
      <c r="D258">
        <v>0.7</v>
      </c>
      <c r="E258">
        <f>D258</f>
        <v>0.7</v>
      </c>
      <c r="F258" t="s">
        <v>150</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150</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256</v>
      </c>
      <c r="C260">
        <v>8</v>
      </c>
      <c r="D260">
        <v>7.9</v>
      </c>
      <c r="E260">
        <f t="shared" ref="E260:E264" si="96">D260-D259</f>
        <v>2.9000000000000004</v>
      </c>
      <c r="F260" t="s">
        <v>150</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257</v>
      </c>
      <c r="C261">
        <v>10</v>
      </c>
      <c r="D261">
        <v>9.8000000000000007</v>
      </c>
      <c r="E261">
        <f t="shared" si="96"/>
        <v>1.9000000000000004</v>
      </c>
      <c r="F261" t="s">
        <v>150</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258</v>
      </c>
      <c r="C262">
        <v>12</v>
      </c>
      <c r="D262">
        <v>11.7</v>
      </c>
      <c r="E262">
        <f t="shared" si="96"/>
        <v>1.8999999999999986</v>
      </c>
      <c r="F262" t="s">
        <v>150</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259</v>
      </c>
      <c r="C263">
        <v>14</v>
      </c>
      <c r="D263">
        <v>13.55</v>
      </c>
      <c r="E263">
        <f t="shared" si="96"/>
        <v>1.8500000000000014</v>
      </c>
      <c r="F263" t="s">
        <v>150</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260</v>
      </c>
      <c r="C264">
        <v>16</v>
      </c>
      <c r="D264">
        <v>15.42</v>
      </c>
      <c r="E264">
        <f t="shared" si="96"/>
        <v>1.8699999999999992</v>
      </c>
      <c r="F264" t="s">
        <v>150</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255</v>
      </c>
      <c r="C265">
        <v>0</v>
      </c>
      <c r="D265">
        <v>0.7</v>
      </c>
      <c r="E265">
        <f>D265</f>
        <v>0.7</v>
      </c>
      <c r="F265" t="s">
        <v>152</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152</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256</v>
      </c>
      <c r="C267">
        <v>8</v>
      </c>
      <c r="D267">
        <v>7.9</v>
      </c>
      <c r="E267">
        <f t="shared" ref="E267:E271" si="104">D267-D266</f>
        <v>2.9000000000000004</v>
      </c>
      <c r="F267" t="s">
        <v>152</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257</v>
      </c>
      <c r="C268">
        <v>10</v>
      </c>
      <c r="D268">
        <v>9.8000000000000007</v>
      </c>
      <c r="E268">
        <f t="shared" si="104"/>
        <v>1.9000000000000004</v>
      </c>
      <c r="F268" t="s">
        <v>152</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258</v>
      </c>
      <c r="C269">
        <v>12</v>
      </c>
      <c r="D269">
        <v>11.7</v>
      </c>
      <c r="E269">
        <f t="shared" si="104"/>
        <v>1.8999999999999986</v>
      </c>
      <c r="F269" t="s">
        <v>152</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259</v>
      </c>
      <c r="C270">
        <v>14</v>
      </c>
      <c r="D270">
        <v>13.55</v>
      </c>
      <c r="E270">
        <f t="shared" si="104"/>
        <v>1.8500000000000014</v>
      </c>
      <c r="F270" t="s">
        <v>152</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260</v>
      </c>
      <c r="C271">
        <v>16</v>
      </c>
      <c r="D271">
        <v>15.42</v>
      </c>
      <c r="E271">
        <f t="shared" si="104"/>
        <v>1.8699999999999992</v>
      </c>
      <c r="F271" t="s">
        <v>152</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265</v>
      </c>
    </row>
    <row r="275" spans="2:19" x14ac:dyDescent="0.25">
      <c r="C275" t="s">
        <v>261</v>
      </c>
      <c r="D275" t="s">
        <v>264</v>
      </c>
      <c r="E275" t="s">
        <v>209</v>
      </c>
      <c r="F275" t="s">
        <v>262</v>
      </c>
      <c r="G275" t="s">
        <v>148</v>
      </c>
      <c r="H275" s="72" t="s">
        <v>153</v>
      </c>
      <c r="J275" t="s">
        <v>154</v>
      </c>
      <c r="K275" t="s">
        <v>156</v>
      </c>
      <c r="L275" t="s">
        <v>263</v>
      </c>
      <c r="M275" t="s">
        <v>222</v>
      </c>
      <c r="Q275" t="s">
        <v>154</v>
      </c>
      <c r="R275" t="s">
        <v>153</v>
      </c>
      <c r="S275" t="s">
        <v>155</v>
      </c>
    </row>
    <row r="276" spans="2:19" x14ac:dyDescent="0.25">
      <c r="B276" t="s">
        <v>255</v>
      </c>
      <c r="C276">
        <v>0</v>
      </c>
      <c r="D276">
        <v>0.7</v>
      </c>
      <c r="E276">
        <f>D276</f>
        <v>0.7</v>
      </c>
      <c r="F276" t="s">
        <v>150</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150</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256</v>
      </c>
      <c r="C278">
        <v>8</v>
      </c>
      <c r="D278">
        <v>7.9</v>
      </c>
      <c r="E278">
        <f t="shared" ref="E278:E282" si="111">D278-D277</f>
        <v>2.9000000000000004</v>
      </c>
      <c r="F278" t="s">
        <v>150</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257</v>
      </c>
      <c r="C279">
        <v>10</v>
      </c>
      <c r="D279">
        <v>9.8000000000000007</v>
      </c>
      <c r="E279">
        <f t="shared" si="111"/>
        <v>1.9000000000000004</v>
      </c>
      <c r="F279" t="s">
        <v>150</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258</v>
      </c>
      <c r="C280">
        <v>12</v>
      </c>
      <c r="D280">
        <v>11.7</v>
      </c>
      <c r="E280">
        <f t="shared" si="111"/>
        <v>1.8999999999999986</v>
      </c>
      <c r="F280" t="s">
        <v>150</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259</v>
      </c>
      <c r="C281">
        <v>14</v>
      </c>
      <c r="D281">
        <v>13.55</v>
      </c>
      <c r="E281">
        <f t="shared" si="111"/>
        <v>1.8500000000000014</v>
      </c>
      <c r="F281" t="s">
        <v>150</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260</v>
      </c>
      <c r="C282">
        <v>16</v>
      </c>
      <c r="D282">
        <v>15.42</v>
      </c>
      <c r="E282">
        <f t="shared" si="111"/>
        <v>1.8699999999999992</v>
      </c>
      <c r="F282" t="s">
        <v>150</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255</v>
      </c>
      <c r="C283">
        <v>0</v>
      </c>
      <c r="D283">
        <v>0.7</v>
      </c>
      <c r="E283">
        <f>D283</f>
        <v>0.7</v>
      </c>
      <c r="F283" t="s">
        <v>152</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152</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256</v>
      </c>
      <c r="C285">
        <v>8</v>
      </c>
      <c r="D285">
        <v>7.9</v>
      </c>
      <c r="E285">
        <f t="shared" ref="E285:E289" si="118">D285-D284</f>
        <v>2.9000000000000004</v>
      </c>
      <c r="F285" t="s">
        <v>152</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257</v>
      </c>
      <c r="C286">
        <v>10</v>
      </c>
      <c r="D286">
        <v>9.8000000000000007</v>
      </c>
      <c r="E286">
        <f t="shared" si="118"/>
        <v>1.9000000000000004</v>
      </c>
      <c r="F286" t="s">
        <v>152</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258</v>
      </c>
      <c r="C287">
        <v>12</v>
      </c>
      <c r="D287">
        <v>11.7</v>
      </c>
      <c r="E287">
        <f t="shared" si="118"/>
        <v>1.8999999999999986</v>
      </c>
      <c r="F287" t="s">
        <v>152</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259</v>
      </c>
      <c r="C288">
        <v>14</v>
      </c>
      <c r="D288">
        <v>13.55</v>
      </c>
      <c r="E288">
        <f t="shared" si="118"/>
        <v>1.8500000000000014</v>
      </c>
      <c r="F288" t="s">
        <v>152</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260</v>
      </c>
      <c r="C289">
        <v>16</v>
      </c>
      <c r="D289">
        <v>15.42</v>
      </c>
      <c r="E289">
        <f t="shared" si="118"/>
        <v>1.8699999999999992</v>
      </c>
      <c r="F289" t="s">
        <v>152</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269</v>
      </c>
    </row>
    <row r="293" spans="1:19" x14ac:dyDescent="0.25">
      <c r="G293" t="s">
        <v>276</v>
      </c>
    </row>
    <row r="294" spans="1:19" x14ac:dyDescent="0.25">
      <c r="C294" t="s">
        <v>270</v>
      </c>
      <c r="D294" t="s">
        <v>271</v>
      </c>
      <c r="H294" t="s">
        <v>272</v>
      </c>
      <c r="I294" t="s">
        <v>273</v>
      </c>
      <c r="J294" t="s">
        <v>280</v>
      </c>
      <c r="K294" t="s">
        <v>279</v>
      </c>
    </row>
    <row r="295" spans="1:19" x14ac:dyDescent="0.25">
      <c r="C295" t="s">
        <v>274</v>
      </c>
      <c r="D295" t="s">
        <v>272</v>
      </c>
      <c r="E295">
        <v>9065</v>
      </c>
      <c r="G295" t="s">
        <v>190</v>
      </c>
      <c r="H295">
        <v>1</v>
      </c>
      <c r="I295">
        <v>1</v>
      </c>
      <c r="J295">
        <f>H295-H296</f>
        <v>0.10999999999999999</v>
      </c>
      <c r="K295">
        <f>I295-I296</f>
        <v>0.26</v>
      </c>
    </row>
    <row r="296" spans="1:19" x14ac:dyDescent="0.25">
      <c r="C296" t="s">
        <v>275</v>
      </c>
      <c r="D296" t="s">
        <v>272</v>
      </c>
      <c r="E296">
        <v>55135</v>
      </c>
      <c r="G296" t="s">
        <v>277</v>
      </c>
      <c r="H296">
        <v>0.89</v>
      </c>
      <c r="I296">
        <v>0.74</v>
      </c>
      <c r="J296">
        <f t="shared" ref="J296:J297" si="119">H296-H297</f>
        <v>0.52</v>
      </c>
      <c r="K296">
        <f t="shared" ref="K296:K297" si="120">I296-I297</f>
        <v>0.47</v>
      </c>
    </row>
    <row r="297" spans="1:19" x14ac:dyDescent="0.25">
      <c r="C297" t="s">
        <v>274</v>
      </c>
      <c r="D297" t="s">
        <v>273</v>
      </c>
      <c r="E297">
        <v>3135</v>
      </c>
      <c r="G297" t="s">
        <v>278</v>
      </c>
      <c r="H297">
        <v>0.37</v>
      </c>
      <c r="I297">
        <v>0.27</v>
      </c>
      <c r="J297">
        <f t="shared" si="119"/>
        <v>0.31</v>
      </c>
      <c r="K297">
        <f t="shared" si="120"/>
        <v>0.24700000000000003</v>
      </c>
    </row>
    <row r="298" spans="1:19" x14ac:dyDescent="0.25">
      <c r="C298" t="s">
        <v>275</v>
      </c>
      <c r="D298" t="s">
        <v>273</v>
      </c>
      <c r="E298">
        <v>24826</v>
      </c>
      <c r="G298" t="s">
        <v>192</v>
      </c>
      <c r="H298">
        <v>0.06</v>
      </c>
      <c r="I298">
        <v>2.3E-2</v>
      </c>
      <c r="J298">
        <f>H298-H299</f>
        <v>0.06</v>
      </c>
      <c r="K298">
        <f>I298-I299</f>
        <v>2.3E-2</v>
      </c>
    </row>
    <row r="299" spans="1:19" x14ac:dyDescent="0.25">
      <c r="J299">
        <f>SUM(J295:J298)</f>
        <v>1</v>
      </c>
      <c r="K299">
        <f>SUM(K295:K298)</f>
        <v>1</v>
      </c>
    </row>
    <row r="301" spans="1:19" x14ac:dyDescent="0.25">
      <c r="A301" s="75" t="s">
        <v>281</v>
      </c>
    </row>
    <row r="304" spans="1:19" x14ac:dyDescent="0.25">
      <c r="C304" s="76" t="s">
        <v>283</v>
      </c>
    </row>
    <row r="306" spans="3:20" x14ac:dyDescent="0.25">
      <c r="D306" t="s">
        <v>209</v>
      </c>
      <c r="E306" t="s">
        <v>36</v>
      </c>
      <c r="F306" t="s">
        <v>164</v>
      </c>
      <c r="G306" t="s">
        <v>148</v>
      </c>
      <c r="H306" s="72" t="s">
        <v>153</v>
      </c>
      <c r="K306" t="s">
        <v>154</v>
      </c>
      <c r="L306" t="s">
        <v>156</v>
      </c>
      <c r="M306" t="s">
        <v>222</v>
      </c>
      <c r="R306" t="s">
        <v>154</v>
      </c>
      <c r="S306" t="s">
        <v>153</v>
      </c>
      <c r="T306" t="s">
        <v>155</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227</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227</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227</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227</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227</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227</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296</v>
      </c>
    </row>
    <row r="329" spans="2:20" x14ac:dyDescent="0.25">
      <c r="B329" s="25"/>
      <c r="C329" s="86" t="s">
        <v>297</v>
      </c>
      <c r="D329" t="s">
        <v>6</v>
      </c>
      <c r="E329" t="s">
        <v>6</v>
      </c>
      <c r="F329" t="s">
        <v>6</v>
      </c>
      <c r="G329" t="s">
        <v>15</v>
      </c>
      <c r="H329" t="s">
        <v>15</v>
      </c>
      <c r="I329" t="s">
        <v>15</v>
      </c>
      <c r="J329" t="s">
        <v>29</v>
      </c>
      <c r="K329" t="s">
        <v>29</v>
      </c>
      <c r="L329" t="s">
        <v>29</v>
      </c>
      <c r="N329" t="s">
        <v>301</v>
      </c>
    </row>
    <row r="330" spans="2:20" x14ac:dyDescent="0.25">
      <c r="B330" s="85"/>
      <c r="C330" s="87" t="s">
        <v>298</v>
      </c>
      <c r="D330" s="84">
        <v>1988</v>
      </c>
      <c r="E330" s="84">
        <v>1998</v>
      </c>
      <c r="F330" s="84">
        <v>2006</v>
      </c>
      <c r="G330" s="84">
        <v>1987</v>
      </c>
      <c r="H330" s="84">
        <v>2001</v>
      </c>
      <c r="I330" s="84">
        <v>2006</v>
      </c>
      <c r="J330" s="84">
        <v>1988</v>
      </c>
      <c r="K330" s="84">
        <v>1994</v>
      </c>
      <c r="L330" s="84">
        <v>2002</v>
      </c>
      <c r="N330" t="s">
        <v>304</v>
      </c>
      <c r="O330" t="s">
        <v>37</v>
      </c>
      <c r="P330" t="s">
        <v>38</v>
      </c>
      <c r="Q330" t="s">
        <v>39</v>
      </c>
      <c r="S330" t="s">
        <v>302</v>
      </c>
    </row>
    <row r="331" spans="2:20" x14ac:dyDescent="0.25">
      <c r="B331" s="25" t="s">
        <v>168</v>
      </c>
      <c r="C331" s="86" t="s">
        <v>284</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6" t="s">
        <v>293</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6" t="s">
        <v>177</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6" t="s">
        <v>292</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6" t="s">
        <v>291</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6" t="s">
        <v>294</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6" t="s">
        <v>295</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5"/>
      <c r="C338" s="87" t="s">
        <v>290</v>
      </c>
      <c r="D338" s="84">
        <v>22.53</v>
      </c>
      <c r="E338" s="84">
        <v>24.99</v>
      </c>
      <c r="F338" s="84">
        <v>27.3</v>
      </c>
      <c r="G338" s="84">
        <v>2.06</v>
      </c>
      <c r="H338" s="84">
        <v>6.1</v>
      </c>
      <c r="I338" s="84">
        <v>12.76</v>
      </c>
      <c r="J338" s="84">
        <v>10.24</v>
      </c>
      <c r="K338" s="84">
        <v>11.52</v>
      </c>
      <c r="L338" s="84">
        <v>14.15</v>
      </c>
      <c r="N338" s="73">
        <v>4.2699999999999995E-2</v>
      </c>
      <c r="O338" s="73">
        <v>0.50719999999999998</v>
      </c>
      <c r="P338" s="73">
        <v>0.33500000000000002</v>
      </c>
      <c r="Q338" s="73">
        <v>0.1152</v>
      </c>
      <c r="S338" s="73">
        <v>0.1943</v>
      </c>
    </row>
    <row r="339" spans="2:20" x14ac:dyDescent="0.25">
      <c r="B339" s="25" t="s">
        <v>299</v>
      </c>
      <c r="C339" s="86" t="s">
        <v>300</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6" t="s">
        <v>177</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6" t="s">
        <v>278</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5"/>
      <c r="C342" s="87" t="s">
        <v>192</v>
      </c>
      <c r="D342" s="84">
        <f>D338/100</f>
        <v>0.2253</v>
      </c>
      <c r="E342" s="84">
        <f t="shared" ref="E342:L342" si="143">E338/100</f>
        <v>0.24989999999999998</v>
      </c>
      <c r="F342" s="84">
        <f t="shared" si="143"/>
        <v>0.27300000000000002</v>
      </c>
      <c r="G342" s="84">
        <f t="shared" si="143"/>
        <v>2.06E-2</v>
      </c>
      <c r="H342" s="84">
        <f t="shared" si="143"/>
        <v>6.0999999999999999E-2</v>
      </c>
      <c r="I342" s="84">
        <f t="shared" si="143"/>
        <v>0.12759999999999999</v>
      </c>
      <c r="J342" s="84">
        <f t="shared" si="143"/>
        <v>0.1024</v>
      </c>
      <c r="K342" s="84">
        <f t="shared" si="143"/>
        <v>0.1152</v>
      </c>
      <c r="L342" s="84">
        <f t="shared" si="143"/>
        <v>0.14150000000000001</v>
      </c>
    </row>
    <row r="343" spans="2:20" ht="15.75" thickBot="1" x14ac:dyDescent="0.3">
      <c r="B343" s="88"/>
      <c r="C343" s="89" t="s">
        <v>252</v>
      </c>
      <c r="D343" s="90">
        <f>SUM(D339:D342)</f>
        <v>1</v>
      </c>
      <c r="E343" s="90">
        <f t="shared" ref="E343:L343" si="144">SUM(E339:E342)</f>
        <v>1.0001</v>
      </c>
      <c r="F343" s="90">
        <f t="shared" si="144"/>
        <v>1</v>
      </c>
      <c r="G343" s="90">
        <f t="shared" si="144"/>
        <v>1.0001</v>
      </c>
      <c r="H343" s="90">
        <f t="shared" si="144"/>
        <v>1</v>
      </c>
      <c r="I343" s="90">
        <f t="shared" si="144"/>
        <v>0.99999999999999978</v>
      </c>
      <c r="J343" s="90">
        <f t="shared" si="144"/>
        <v>1</v>
      </c>
      <c r="K343" s="90">
        <f t="shared" si="144"/>
        <v>1.0001</v>
      </c>
      <c r="L343" s="90">
        <f t="shared" si="144"/>
        <v>0.99990000000000001</v>
      </c>
    </row>
    <row r="344" spans="2:20" x14ac:dyDescent="0.25">
      <c r="B344" s="25" t="s">
        <v>168</v>
      </c>
      <c r="C344" s="86" t="s">
        <v>303</v>
      </c>
      <c r="D344">
        <v>63.23</v>
      </c>
      <c r="E344">
        <v>55.19</v>
      </c>
      <c r="F344">
        <v>43.89</v>
      </c>
      <c r="G344">
        <v>66.709999999999994</v>
      </c>
      <c r="H344">
        <v>49</v>
      </c>
      <c r="I344">
        <v>35.07</v>
      </c>
      <c r="J344">
        <v>22.37</v>
      </c>
      <c r="K344">
        <v>19.43</v>
      </c>
      <c r="L344">
        <v>27.93</v>
      </c>
    </row>
    <row r="345" spans="2:20" x14ac:dyDescent="0.25">
      <c r="B345" s="25"/>
      <c r="C345" s="86" t="s">
        <v>302</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6"/>
    </row>
    <row r="348" spans="2:20" x14ac:dyDescent="0.25">
      <c r="B348" s="76" t="s">
        <v>311</v>
      </c>
    </row>
    <row r="350" spans="2:20" x14ac:dyDescent="0.25">
      <c r="B350" t="s">
        <v>310</v>
      </c>
      <c r="D350">
        <v>1988</v>
      </c>
      <c r="I350">
        <v>1998</v>
      </c>
      <c r="N350">
        <v>2006</v>
      </c>
    </row>
    <row r="351" spans="2:20" x14ac:dyDescent="0.25">
      <c r="D351" t="s">
        <v>305</v>
      </c>
      <c r="E351" t="s">
        <v>306</v>
      </c>
      <c r="F351" t="s">
        <v>307</v>
      </c>
      <c r="G351" t="s">
        <v>308</v>
      </c>
      <c r="H351" t="s">
        <v>309</v>
      </c>
      <c r="I351" t="s">
        <v>305</v>
      </c>
      <c r="J351" t="s">
        <v>306</v>
      </c>
      <c r="K351" t="s">
        <v>307</v>
      </c>
      <c r="L351" t="s">
        <v>308</v>
      </c>
      <c r="M351" t="s">
        <v>309</v>
      </c>
      <c r="N351" t="s">
        <v>305</v>
      </c>
      <c r="O351" t="s">
        <v>306</v>
      </c>
      <c r="P351" t="s">
        <v>307</v>
      </c>
      <c r="Q351" t="s">
        <v>308</v>
      </c>
      <c r="R351" t="s">
        <v>309</v>
      </c>
    </row>
    <row r="352" spans="2:20" x14ac:dyDescent="0.25">
      <c r="C352" t="s">
        <v>284</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314</v>
      </c>
    </row>
    <row r="353" spans="2:21" x14ac:dyDescent="0.25">
      <c r="C353" t="s">
        <v>285</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316</v>
      </c>
      <c r="U353" t="s">
        <v>315</v>
      </c>
    </row>
    <row r="354" spans="2:21" x14ac:dyDescent="0.25">
      <c r="C354" t="s">
        <v>177</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286</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287</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288</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289</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290</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312</v>
      </c>
      <c r="T361">
        <v>0.43074865236748022</v>
      </c>
      <c r="U361">
        <v>0.56925134763251983</v>
      </c>
    </row>
    <row r="362" spans="2:21" x14ac:dyDescent="0.25">
      <c r="D362">
        <v>1987</v>
      </c>
      <c r="I362">
        <v>2001</v>
      </c>
      <c r="N362">
        <v>2006</v>
      </c>
      <c r="T362">
        <v>0.4185962674287485</v>
      </c>
      <c r="U362">
        <v>0.58140373257125155</v>
      </c>
    </row>
    <row r="363" spans="2:21" x14ac:dyDescent="0.25">
      <c r="D363" t="s">
        <v>305</v>
      </c>
      <c r="E363" t="s">
        <v>306</v>
      </c>
      <c r="F363" t="s">
        <v>307</v>
      </c>
      <c r="G363" t="s">
        <v>308</v>
      </c>
      <c r="H363" t="s">
        <v>309</v>
      </c>
      <c r="I363" t="s">
        <v>305</v>
      </c>
      <c r="J363" t="s">
        <v>306</v>
      </c>
      <c r="K363" t="s">
        <v>307</v>
      </c>
      <c r="L363" t="s">
        <v>308</v>
      </c>
      <c r="M363" t="s">
        <v>309</v>
      </c>
      <c r="N363" t="s">
        <v>305</v>
      </c>
      <c r="O363" t="s">
        <v>306</v>
      </c>
      <c r="P363" t="s">
        <v>307</v>
      </c>
      <c r="Q363" t="s">
        <v>308</v>
      </c>
      <c r="R363" t="s">
        <v>309</v>
      </c>
    </row>
    <row r="364" spans="2:21" x14ac:dyDescent="0.25">
      <c r="C364" t="s">
        <v>284</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285</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177</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286</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287</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288</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289</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290</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313</v>
      </c>
      <c r="D374">
        <v>1988</v>
      </c>
      <c r="I374">
        <v>1994</v>
      </c>
      <c r="N374">
        <v>2002</v>
      </c>
    </row>
    <row r="375" spans="2:18" x14ac:dyDescent="0.25">
      <c r="D375" t="s">
        <v>305</v>
      </c>
      <c r="E375" t="s">
        <v>306</v>
      </c>
      <c r="F375" t="s">
        <v>307</v>
      </c>
      <c r="G375" t="s">
        <v>308</v>
      </c>
      <c r="H375" t="s">
        <v>309</v>
      </c>
      <c r="I375" t="s">
        <v>305</v>
      </c>
      <c r="J375" t="s">
        <v>306</v>
      </c>
      <c r="K375" t="s">
        <v>307</v>
      </c>
      <c r="L375" t="s">
        <v>308</v>
      </c>
      <c r="M375" t="s">
        <v>309</v>
      </c>
      <c r="N375" t="s">
        <v>305</v>
      </c>
      <c r="O375" t="s">
        <v>306</v>
      </c>
      <c r="P375" t="s">
        <v>307</v>
      </c>
      <c r="Q375" t="s">
        <v>308</v>
      </c>
      <c r="R375" t="s">
        <v>309</v>
      </c>
    </row>
    <row r="376" spans="2:18" x14ac:dyDescent="0.25">
      <c r="C376" t="s">
        <v>284</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285</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177</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286</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287</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288</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290</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326</v>
      </c>
    </row>
    <row r="387" spans="1:17" x14ac:dyDescent="0.25">
      <c r="D387" t="s">
        <v>209</v>
      </c>
      <c r="E387" t="s">
        <v>321</v>
      </c>
      <c r="F387" t="s">
        <v>148</v>
      </c>
      <c r="G387" s="72" t="s">
        <v>153</v>
      </c>
      <c r="I387" t="s">
        <v>154</v>
      </c>
      <c r="J387" t="s">
        <v>156</v>
      </c>
      <c r="K387" t="s">
        <v>222</v>
      </c>
      <c r="O387" t="s">
        <v>154</v>
      </c>
      <c r="P387" t="s">
        <v>153</v>
      </c>
      <c r="Q387" t="s">
        <v>155</v>
      </c>
    </row>
    <row r="388" spans="1:17" x14ac:dyDescent="0.25">
      <c r="C388" t="s">
        <v>259</v>
      </c>
      <c r="D388">
        <v>4</v>
      </c>
      <c r="E388" t="s">
        <v>322</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320</v>
      </c>
      <c r="D389">
        <v>2</v>
      </c>
      <c r="E389" t="s">
        <v>322</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259</v>
      </c>
      <c r="D390" s="91">
        <v>4</v>
      </c>
      <c r="E390" s="91" t="s">
        <v>322</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320</v>
      </c>
      <c r="D391" s="91">
        <v>2</v>
      </c>
      <c r="E391" s="91" t="s">
        <v>322</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259</v>
      </c>
      <c r="D392">
        <v>4</v>
      </c>
      <c r="E392" t="s">
        <v>322</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320</v>
      </c>
      <c r="D393">
        <v>2</v>
      </c>
      <c r="E393" t="s">
        <v>322</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259</v>
      </c>
      <c r="D394" s="91">
        <v>4</v>
      </c>
      <c r="E394" s="91" t="s">
        <v>322</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320</v>
      </c>
      <c r="D395" s="91">
        <v>2</v>
      </c>
      <c r="E395" s="91" t="s">
        <v>322</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259</v>
      </c>
      <c r="D396">
        <v>4</v>
      </c>
      <c r="E396" s="91" t="s">
        <v>323</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320</v>
      </c>
      <c r="D397">
        <v>2</v>
      </c>
      <c r="E397" s="91" t="s">
        <v>323</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259</v>
      </c>
      <c r="D398" s="91">
        <v>4</v>
      </c>
      <c r="E398" s="91" t="s">
        <v>323</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320</v>
      </c>
      <c r="D399" s="91">
        <v>2</v>
      </c>
      <c r="E399" s="91" t="s">
        <v>323</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259</v>
      </c>
      <c r="D400">
        <v>4</v>
      </c>
      <c r="E400" s="91" t="s">
        <v>324</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320</v>
      </c>
      <c r="D401">
        <v>2</v>
      </c>
      <c r="E401" s="91" t="s">
        <v>324</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259</v>
      </c>
      <c r="D402" s="91">
        <v>4</v>
      </c>
      <c r="E402" s="91" t="s">
        <v>325</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320</v>
      </c>
      <c r="D403" s="91">
        <v>2</v>
      </c>
      <c r="E403" s="91" t="s">
        <v>325</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340</v>
      </c>
    </row>
    <row r="407" spans="1:20" x14ac:dyDescent="0.25">
      <c r="A407" s="76"/>
      <c r="C407" s="76" t="s">
        <v>341</v>
      </c>
    </row>
    <row r="408" spans="1:20" x14ac:dyDescent="0.25">
      <c r="D408" t="s">
        <v>209</v>
      </c>
      <c r="E408" t="s">
        <v>342</v>
      </c>
    </row>
    <row r="409" spans="1:20" x14ac:dyDescent="0.25">
      <c r="C409" t="s">
        <v>343</v>
      </c>
      <c r="D409">
        <v>0</v>
      </c>
      <c r="E409">
        <v>0</v>
      </c>
    </row>
    <row r="410" spans="1:20" x14ac:dyDescent="0.25">
      <c r="C410" s="91" t="s">
        <v>177</v>
      </c>
      <c r="D410">
        <v>6</v>
      </c>
      <c r="E410">
        <v>6</v>
      </c>
    </row>
    <row r="411" spans="1:20" x14ac:dyDescent="0.25">
      <c r="C411" t="s">
        <v>344</v>
      </c>
      <c r="D411">
        <v>3</v>
      </c>
      <c r="E411">
        <v>9</v>
      </c>
      <c r="R411" s="70"/>
      <c r="S411" s="70"/>
      <c r="T411" s="70"/>
    </row>
    <row r="412" spans="1:20" x14ac:dyDescent="0.25">
      <c r="C412" t="s">
        <v>345</v>
      </c>
      <c r="D412">
        <v>3</v>
      </c>
      <c r="E412">
        <v>12</v>
      </c>
      <c r="R412" s="70"/>
      <c r="S412" s="70"/>
      <c r="T412" s="70"/>
    </row>
    <row r="413" spans="1:20" x14ac:dyDescent="0.25">
      <c r="C413" t="s">
        <v>346</v>
      </c>
      <c r="D413">
        <v>3</v>
      </c>
      <c r="E413">
        <v>12</v>
      </c>
      <c r="R413" s="70"/>
      <c r="S413" s="70"/>
      <c r="T413" s="70"/>
    </row>
    <row r="414" spans="1:20" x14ac:dyDescent="0.25">
      <c r="C414" t="s">
        <v>347</v>
      </c>
      <c r="D414">
        <v>2</v>
      </c>
      <c r="E414">
        <v>14</v>
      </c>
      <c r="R414" s="70"/>
      <c r="S414" s="70"/>
      <c r="T414" s="70"/>
    </row>
    <row r="415" spans="1:20" x14ac:dyDescent="0.25">
      <c r="C415" t="s">
        <v>348</v>
      </c>
      <c r="D415">
        <v>4</v>
      </c>
      <c r="E415">
        <v>16</v>
      </c>
      <c r="R415" s="70"/>
      <c r="S415" s="70"/>
      <c r="T415" s="70"/>
    </row>
    <row r="416" spans="1:20" x14ac:dyDescent="0.25">
      <c r="C416" t="s">
        <v>349</v>
      </c>
      <c r="D416">
        <v>4</v>
      </c>
      <c r="E416">
        <v>16</v>
      </c>
      <c r="R416" s="70"/>
      <c r="S416" s="70"/>
      <c r="T416" s="70"/>
    </row>
    <row r="417" spans="1:20" x14ac:dyDescent="0.25">
      <c r="R417" s="70"/>
      <c r="S417" s="70"/>
      <c r="T417" s="70"/>
    </row>
    <row r="418" spans="1:20" x14ac:dyDescent="0.25">
      <c r="D418" t="s">
        <v>209</v>
      </c>
      <c r="E418" t="s">
        <v>342</v>
      </c>
      <c r="F418" t="s">
        <v>353</v>
      </c>
      <c r="G418" t="s">
        <v>148</v>
      </c>
      <c r="H418" t="s">
        <v>153</v>
      </c>
      <c r="J418" t="s">
        <v>154</v>
      </c>
      <c r="K418" t="s">
        <v>156</v>
      </c>
      <c r="L418" t="s">
        <v>222</v>
      </c>
      <c r="P418" t="s">
        <v>154</v>
      </c>
      <c r="Q418" t="s">
        <v>153</v>
      </c>
      <c r="R418" t="s">
        <v>155</v>
      </c>
    </row>
    <row r="419" spans="1:20" x14ac:dyDescent="0.25">
      <c r="C419" s="83" t="s">
        <v>37</v>
      </c>
      <c r="D419">
        <v>6</v>
      </c>
      <c r="E419">
        <v>6</v>
      </c>
      <c r="F419" s="70" t="s">
        <v>187</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350</v>
      </c>
      <c r="D420">
        <v>3</v>
      </c>
      <c r="E420">
        <v>9</v>
      </c>
      <c r="F420" s="70" t="s">
        <v>187</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351</v>
      </c>
      <c r="D421">
        <v>3</v>
      </c>
      <c r="E421">
        <v>12</v>
      </c>
      <c r="F421" s="70" t="s">
        <v>187</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352</v>
      </c>
      <c r="D422">
        <v>3</v>
      </c>
      <c r="E422">
        <v>12</v>
      </c>
      <c r="F422" s="70" t="s">
        <v>187</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187</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354</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350</v>
      </c>
      <c r="D425">
        <v>3</v>
      </c>
      <c r="E425">
        <v>9</v>
      </c>
      <c r="F425" s="70" t="s">
        <v>354</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351</v>
      </c>
      <c r="D426">
        <v>3</v>
      </c>
      <c r="E426">
        <v>12</v>
      </c>
      <c r="F426" s="70" t="s">
        <v>354</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352</v>
      </c>
      <c r="D427">
        <v>3</v>
      </c>
      <c r="E427">
        <v>12</v>
      </c>
      <c r="F427" s="70" t="s">
        <v>354</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354</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465</v>
      </c>
    </row>
    <row r="432" spans="1:20" x14ac:dyDescent="0.25">
      <c r="C432" s="70" t="s">
        <v>223</v>
      </c>
    </row>
    <row r="433" spans="3:18" x14ac:dyDescent="0.25">
      <c r="C433" s="70"/>
      <c r="F433" t="s">
        <v>271</v>
      </c>
      <c r="G433" t="s">
        <v>148</v>
      </c>
      <c r="H433" t="s">
        <v>153</v>
      </c>
      <c r="J433" t="s">
        <v>154</v>
      </c>
      <c r="K433" t="s">
        <v>156</v>
      </c>
      <c r="L433" t="s">
        <v>222</v>
      </c>
      <c r="P433" t="s">
        <v>154</v>
      </c>
      <c r="Q433" t="s">
        <v>153</v>
      </c>
      <c r="R433" t="s">
        <v>155</v>
      </c>
    </row>
    <row r="434" spans="3:18" x14ac:dyDescent="0.25">
      <c r="C434" s="70" t="s">
        <v>466</v>
      </c>
      <c r="D434">
        <v>3</v>
      </c>
      <c r="E434">
        <v>3</v>
      </c>
      <c r="F434" t="s">
        <v>272</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466</v>
      </c>
      <c r="D435">
        <v>3</v>
      </c>
      <c r="E435">
        <v>3</v>
      </c>
      <c r="F435" t="s">
        <v>273</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466</v>
      </c>
      <c r="D436">
        <v>3</v>
      </c>
      <c r="E436">
        <v>3</v>
      </c>
      <c r="F436" t="s">
        <v>272</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466</v>
      </c>
      <c r="D437">
        <v>3</v>
      </c>
      <c r="E437">
        <v>3</v>
      </c>
      <c r="F437" t="s">
        <v>273</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466</v>
      </c>
      <c r="D438">
        <v>3</v>
      </c>
      <c r="E438">
        <v>3</v>
      </c>
      <c r="F438" t="s">
        <v>272</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466</v>
      </c>
      <c r="D439">
        <v>3</v>
      </c>
      <c r="E439">
        <v>3</v>
      </c>
      <c r="F439" t="s">
        <v>273</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466</v>
      </c>
      <c r="D440">
        <v>3</v>
      </c>
      <c r="E440">
        <v>3</v>
      </c>
      <c r="F440" t="s">
        <v>272</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466</v>
      </c>
      <c r="D441">
        <v>3</v>
      </c>
      <c r="E441">
        <v>3</v>
      </c>
      <c r="F441" t="s">
        <v>273</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466</v>
      </c>
      <c r="D442">
        <v>3</v>
      </c>
      <c r="E442">
        <v>3</v>
      </c>
      <c r="F442" t="s">
        <v>272</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466</v>
      </c>
      <c r="D443">
        <v>3</v>
      </c>
      <c r="E443">
        <v>3</v>
      </c>
      <c r="F443" t="s">
        <v>273</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466</v>
      </c>
      <c r="D444">
        <v>3</v>
      </c>
      <c r="E444">
        <v>3</v>
      </c>
      <c r="F444" t="s">
        <v>272</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466</v>
      </c>
      <c r="D445">
        <v>3</v>
      </c>
      <c r="E445">
        <v>3</v>
      </c>
      <c r="F445" t="s">
        <v>273</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466</v>
      </c>
      <c r="D446">
        <v>3</v>
      </c>
      <c r="E446">
        <v>3</v>
      </c>
      <c r="F446" t="s">
        <v>272</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466</v>
      </c>
      <c r="D447">
        <v>3</v>
      </c>
      <c r="E447">
        <v>3</v>
      </c>
      <c r="F447" t="s">
        <v>273</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466</v>
      </c>
      <c r="D448">
        <v>3</v>
      </c>
      <c r="E448">
        <v>3</v>
      </c>
      <c r="F448" t="s">
        <v>272</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466</v>
      </c>
      <c r="D449">
        <v>3</v>
      </c>
      <c r="E449">
        <v>3</v>
      </c>
      <c r="F449" t="s">
        <v>273</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466</v>
      </c>
      <c r="D450">
        <v>3</v>
      </c>
      <c r="E450">
        <v>3</v>
      </c>
      <c r="F450" t="s">
        <v>272</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466</v>
      </c>
      <c r="D451">
        <v>3</v>
      </c>
      <c r="E451">
        <v>3</v>
      </c>
      <c r="F451" t="s">
        <v>273</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466</v>
      </c>
      <c r="D452">
        <v>3</v>
      </c>
      <c r="E452">
        <v>3</v>
      </c>
      <c r="F452" t="s">
        <v>272</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466</v>
      </c>
      <c r="D453">
        <v>3</v>
      </c>
      <c r="E453">
        <v>3</v>
      </c>
      <c r="F453" t="s">
        <v>273</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466</v>
      </c>
      <c r="D454">
        <v>3</v>
      </c>
      <c r="E454">
        <v>3</v>
      </c>
      <c r="F454" t="s">
        <v>272</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466</v>
      </c>
      <c r="D455">
        <v>3</v>
      </c>
      <c r="E455">
        <v>3</v>
      </c>
      <c r="F455" t="s">
        <v>273</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466</v>
      </c>
      <c r="D456">
        <v>3</v>
      </c>
      <c r="E456">
        <v>3</v>
      </c>
      <c r="F456" t="s">
        <v>272</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466</v>
      </c>
      <c r="D457">
        <v>3</v>
      </c>
      <c r="E457">
        <v>3</v>
      </c>
      <c r="F457" t="s">
        <v>273</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473</v>
      </c>
      <c r="C460" s="70"/>
    </row>
    <row r="461" spans="1:19" x14ac:dyDescent="0.25">
      <c r="C461" s="70"/>
      <c r="D461" t="s">
        <v>209</v>
      </c>
      <c r="E461" t="s">
        <v>478</v>
      </c>
      <c r="F461" t="s">
        <v>479</v>
      </c>
      <c r="G461" t="s">
        <v>271</v>
      </c>
      <c r="H461" t="s">
        <v>148</v>
      </c>
      <c r="I461" t="s">
        <v>222</v>
      </c>
      <c r="K461" t="s">
        <v>154</v>
      </c>
      <c r="L461" t="s">
        <v>156</v>
      </c>
      <c r="M461" t="s">
        <v>153</v>
      </c>
      <c r="Q461" t="s">
        <v>154</v>
      </c>
      <c r="R461" t="s">
        <v>153</v>
      </c>
      <c r="S461" t="s">
        <v>222</v>
      </c>
    </row>
    <row r="462" spans="1:19" x14ac:dyDescent="0.25">
      <c r="C462" s="70" t="s">
        <v>475</v>
      </c>
      <c r="D462">
        <v>7</v>
      </c>
      <c r="E462">
        <v>7</v>
      </c>
      <c r="F462" t="s">
        <v>480</v>
      </c>
      <c r="G462" t="s">
        <v>272</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476</v>
      </c>
      <c r="D463">
        <v>4</v>
      </c>
      <c r="E463">
        <v>11</v>
      </c>
      <c r="F463" t="s">
        <v>480</v>
      </c>
      <c r="G463" t="s">
        <v>272</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477</v>
      </c>
      <c r="D464">
        <v>3</v>
      </c>
      <c r="E464">
        <v>14</v>
      </c>
      <c r="F464" t="s">
        <v>480</v>
      </c>
      <c r="G464" t="s">
        <v>272</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475</v>
      </c>
      <c r="D465">
        <v>7</v>
      </c>
      <c r="E465">
        <v>7</v>
      </c>
      <c r="F465" t="s">
        <v>481</v>
      </c>
      <c r="G465" t="s">
        <v>272</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476</v>
      </c>
      <c r="D466">
        <v>4</v>
      </c>
      <c r="E466">
        <v>11</v>
      </c>
      <c r="F466" t="s">
        <v>481</v>
      </c>
      <c r="G466" t="s">
        <v>272</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477</v>
      </c>
      <c r="D467">
        <v>3</v>
      </c>
      <c r="E467">
        <v>14</v>
      </c>
      <c r="F467" t="s">
        <v>481</v>
      </c>
      <c r="G467" t="s">
        <v>272</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475</v>
      </c>
      <c r="D468">
        <v>7</v>
      </c>
      <c r="E468">
        <v>7</v>
      </c>
      <c r="F468" t="s">
        <v>482</v>
      </c>
      <c r="G468" t="s">
        <v>272</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476</v>
      </c>
      <c r="D469">
        <v>4</v>
      </c>
      <c r="E469">
        <v>11</v>
      </c>
      <c r="F469" t="s">
        <v>482</v>
      </c>
      <c r="G469" t="s">
        <v>272</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477</v>
      </c>
      <c r="D470">
        <v>3</v>
      </c>
      <c r="E470">
        <v>14</v>
      </c>
      <c r="F470" t="s">
        <v>482</v>
      </c>
      <c r="G470" t="s">
        <v>272</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475</v>
      </c>
      <c r="D471">
        <v>7</v>
      </c>
      <c r="E471">
        <v>7</v>
      </c>
      <c r="F471" t="s">
        <v>480</v>
      </c>
      <c r="G471" t="s">
        <v>273</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476</v>
      </c>
      <c r="D472">
        <v>4</v>
      </c>
      <c r="E472">
        <v>11</v>
      </c>
      <c r="F472" t="s">
        <v>480</v>
      </c>
      <c r="G472" t="s">
        <v>273</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477</v>
      </c>
      <c r="D473">
        <v>3</v>
      </c>
      <c r="E473">
        <v>14</v>
      </c>
      <c r="F473" t="s">
        <v>480</v>
      </c>
      <c r="G473" t="s">
        <v>273</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475</v>
      </c>
      <c r="D474">
        <v>7</v>
      </c>
      <c r="E474">
        <v>7</v>
      </c>
      <c r="F474" t="s">
        <v>481</v>
      </c>
      <c r="G474" t="s">
        <v>273</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476</v>
      </c>
      <c r="D475">
        <v>4</v>
      </c>
      <c r="E475">
        <v>11</v>
      </c>
      <c r="F475" t="s">
        <v>481</v>
      </c>
      <c r="G475" t="s">
        <v>273</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477</v>
      </c>
      <c r="D476">
        <v>3</v>
      </c>
      <c r="E476">
        <v>14</v>
      </c>
      <c r="F476" t="s">
        <v>481</v>
      </c>
      <c r="G476" t="s">
        <v>273</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475</v>
      </c>
      <c r="D477">
        <v>7</v>
      </c>
      <c r="E477">
        <v>7</v>
      </c>
      <c r="F477" t="s">
        <v>482</v>
      </c>
      <c r="G477" t="s">
        <v>273</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476</v>
      </c>
      <c r="D478">
        <v>4</v>
      </c>
      <c r="E478">
        <v>11</v>
      </c>
      <c r="F478" t="s">
        <v>482</v>
      </c>
      <c r="G478" t="s">
        <v>273</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477</v>
      </c>
      <c r="D479">
        <v>3</v>
      </c>
      <c r="E479">
        <v>14</v>
      </c>
      <c r="F479" t="s">
        <v>482</v>
      </c>
      <c r="G479" t="s">
        <v>273</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483</v>
      </c>
      <c r="C482" t="s">
        <v>485</v>
      </c>
      <c r="D482" t="s">
        <v>486</v>
      </c>
      <c r="E482" t="s">
        <v>487</v>
      </c>
      <c r="F482" t="s">
        <v>488</v>
      </c>
      <c r="G482" t="s">
        <v>222</v>
      </c>
      <c r="H482" t="s">
        <v>148</v>
      </c>
      <c r="I482" t="s">
        <v>153</v>
      </c>
      <c r="K482" t="s">
        <v>154</v>
      </c>
      <c r="L482" t="s">
        <v>153</v>
      </c>
      <c r="M482" t="s">
        <v>222</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502</v>
      </c>
    </row>
    <row r="494" spans="1:16" x14ac:dyDescent="0.25">
      <c r="C494" t="s">
        <v>209</v>
      </c>
      <c r="D494" t="s">
        <v>353</v>
      </c>
      <c r="E494" t="s">
        <v>148</v>
      </c>
      <c r="F494" t="s">
        <v>153</v>
      </c>
      <c r="H494" t="s">
        <v>154</v>
      </c>
      <c r="I494" t="s">
        <v>156</v>
      </c>
      <c r="J494" t="s">
        <v>222</v>
      </c>
      <c r="N494" t="s">
        <v>154</v>
      </c>
      <c r="O494" t="s">
        <v>153</v>
      </c>
      <c r="P494" t="s">
        <v>155</v>
      </c>
    </row>
    <row r="495" spans="1:16" x14ac:dyDescent="0.25">
      <c r="B495" s="83" t="s">
        <v>504</v>
      </c>
      <c r="C495">
        <v>12</v>
      </c>
      <c r="D495" s="70" t="s">
        <v>187</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503</v>
      </c>
      <c r="C496">
        <v>14</v>
      </c>
      <c r="D496" s="70" t="s">
        <v>187</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187</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504</v>
      </c>
      <c r="C498">
        <v>12</v>
      </c>
      <c r="D498" s="70" t="s">
        <v>505</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503</v>
      </c>
      <c r="C499">
        <v>14</v>
      </c>
      <c r="D499" s="70" t="s">
        <v>505</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505</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504</v>
      </c>
      <c r="C501">
        <v>12</v>
      </c>
      <c r="D501" s="70" t="s">
        <v>506</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503</v>
      </c>
      <c r="C502">
        <v>14</v>
      </c>
      <c r="D502" s="70" t="s">
        <v>506</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506</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504</v>
      </c>
      <c r="C504">
        <v>12</v>
      </c>
      <c r="D504" s="70" t="s">
        <v>507</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503</v>
      </c>
      <c r="C505">
        <v>14</v>
      </c>
      <c r="D505" s="70" t="s">
        <v>507</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507</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504</v>
      </c>
      <c r="C507">
        <v>12</v>
      </c>
      <c r="D507" s="70" t="s">
        <v>508</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503</v>
      </c>
      <c r="C508">
        <v>14</v>
      </c>
      <c r="D508" s="70" t="s">
        <v>508</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508</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510</v>
      </c>
      <c r="C512" t="s">
        <v>511</v>
      </c>
    </row>
    <row r="514" spans="1:17" x14ac:dyDescent="0.25">
      <c r="A514" t="s">
        <v>513</v>
      </c>
      <c r="B514" t="s">
        <v>209</v>
      </c>
      <c r="C514" t="s">
        <v>342</v>
      </c>
    </row>
    <row r="515" spans="1:17" x14ac:dyDescent="0.25">
      <c r="A515" t="s">
        <v>512</v>
      </c>
      <c r="B515">
        <v>4</v>
      </c>
      <c r="C515">
        <v>4</v>
      </c>
    </row>
    <row r="516" spans="1:17" x14ac:dyDescent="0.25">
      <c r="A516" t="s">
        <v>514</v>
      </c>
      <c r="B516">
        <v>6</v>
      </c>
      <c r="C516">
        <v>10</v>
      </c>
    </row>
    <row r="517" spans="1:17" x14ac:dyDescent="0.25">
      <c r="A517" t="s">
        <v>515</v>
      </c>
      <c r="B517">
        <v>2</v>
      </c>
      <c r="C517">
        <v>12</v>
      </c>
    </row>
    <row r="518" spans="1:17" x14ac:dyDescent="0.25">
      <c r="A518" t="s">
        <v>516</v>
      </c>
      <c r="B518">
        <v>2</v>
      </c>
      <c r="C518">
        <v>14</v>
      </c>
    </row>
    <row r="519" spans="1:17" x14ac:dyDescent="0.25">
      <c r="A519" t="s">
        <v>259</v>
      </c>
      <c r="B519">
        <v>4</v>
      </c>
      <c r="C519">
        <v>16</v>
      </c>
    </row>
    <row r="520" spans="1:17" x14ac:dyDescent="0.25">
      <c r="A520" t="s">
        <v>517</v>
      </c>
      <c r="B520">
        <v>2</v>
      </c>
      <c r="C520">
        <v>18</v>
      </c>
    </row>
    <row r="521" spans="1:17" x14ac:dyDescent="0.25">
      <c r="A521" t="s">
        <v>518</v>
      </c>
      <c r="B521">
        <v>2</v>
      </c>
      <c r="C521">
        <v>18</v>
      </c>
    </row>
    <row r="522" spans="1:17" x14ac:dyDescent="0.25">
      <c r="A522" t="s">
        <v>519</v>
      </c>
      <c r="B522">
        <v>4</v>
      </c>
      <c r="C522">
        <v>22</v>
      </c>
    </row>
    <row r="525" spans="1:17" x14ac:dyDescent="0.25">
      <c r="D525" t="s">
        <v>526</v>
      </c>
    </row>
    <row r="527" spans="1:17" x14ac:dyDescent="0.25">
      <c r="B527" t="s">
        <v>525</v>
      </c>
      <c r="C527" t="s">
        <v>209</v>
      </c>
      <c r="D527" t="s">
        <v>342</v>
      </c>
      <c r="E527" t="s">
        <v>353</v>
      </c>
      <c r="F527" t="s">
        <v>148</v>
      </c>
      <c r="G527" t="s">
        <v>153</v>
      </c>
      <c r="I527" t="s">
        <v>154</v>
      </c>
      <c r="J527" t="s">
        <v>156</v>
      </c>
      <c r="K527" t="s">
        <v>222</v>
      </c>
      <c r="O527" t="s">
        <v>154</v>
      </c>
      <c r="P527" t="s">
        <v>153</v>
      </c>
      <c r="Q527" t="s">
        <v>155</v>
      </c>
    </row>
    <row r="528" spans="1:17" x14ac:dyDescent="0.25">
      <c r="B528" t="s">
        <v>174</v>
      </c>
      <c r="C528">
        <v>2</v>
      </c>
      <c r="D528">
        <v>2</v>
      </c>
      <c r="E528" t="s">
        <v>187</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520</v>
      </c>
      <c r="C529">
        <v>2</v>
      </c>
      <c r="D529">
        <v>4</v>
      </c>
      <c r="E529" t="s">
        <v>187</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521</v>
      </c>
      <c r="C530">
        <v>2</v>
      </c>
      <c r="D530">
        <v>6</v>
      </c>
      <c r="E530" t="s">
        <v>187</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522</v>
      </c>
      <c r="C531">
        <v>4</v>
      </c>
      <c r="D531">
        <v>8</v>
      </c>
      <c r="E531" t="s">
        <v>187</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523</v>
      </c>
      <c r="C532">
        <v>2</v>
      </c>
      <c r="D532">
        <v>8</v>
      </c>
      <c r="E532" t="s">
        <v>187</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524</v>
      </c>
      <c r="C533">
        <v>2</v>
      </c>
      <c r="D533">
        <v>12</v>
      </c>
      <c r="E533" t="s">
        <v>187</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174</v>
      </c>
      <c r="C534">
        <v>2</v>
      </c>
      <c r="D534">
        <v>2</v>
      </c>
      <c r="E534" t="s">
        <v>187</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520</v>
      </c>
      <c r="C535">
        <v>2</v>
      </c>
      <c r="D535">
        <v>4</v>
      </c>
      <c r="E535" t="s">
        <v>187</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521</v>
      </c>
      <c r="C536">
        <v>2</v>
      </c>
      <c r="D536">
        <v>6</v>
      </c>
      <c r="E536" t="s">
        <v>187</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522</v>
      </c>
      <c r="C537">
        <v>4</v>
      </c>
      <c r="D537">
        <v>8</v>
      </c>
      <c r="E537" t="s">
        <v>187</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523</v>
      </c>
      <c r="C538">
        <v>2</v>
      </c>
      <c r="D538">
        <v>8</v>
      </c>
      <c r="E538" t="s">
        <v>187</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524</v>
      </c>
      <c r="C539">
        <v>2</v>
      </c>
      <c r="D539">
        <v>12</v>
      </c>
      <c r="E539" t="s">
        <v>187</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4034</v>
      </c>
    </row>
    <row r="543" spans="1:17" x14ac:dyDescent="0.25">
      <c r="C543" t="s">
        <v>4035</v>
      </c>
    </row>
    <row r="544" spans="1:17" x14ac:dyDescent="0.25">
      <c r="C544" t="s">
        <v>4036</v>
      </c>
    </row>
    <row r="546" spans="2:17" x14ac:dyDescent="0.25">
      <c r="B546" t="s">
        <v>4038</v>
      </c>
      <c r="C546" t="s">
        <v>342</v>
      </c>
      <c r="D546" t="s">
        <v>353</v>
      </c>
      <c r="E546" t="s">
        <v>148</v>
      </c>
      <c r="F546" t="s">
        <v>153</v>
      </c>
      <c r="H546" t="s">
        <v>154</v>
      </c>
      <c r="I546" t="s">
        <v>156</v>
      </c>
      <c r="J546" t="s">
        <v>222</v>
      </c>
      <c r="N546" t="s">
        <v>154</v>
      </c>
      <c r="O546" t="s">
        <v>153</v>
      </c>
      <c r="P546" t="s">
        <v>155</v>
      </c>
    </row>
    <row r="547" spans="2:17" x14ac:dyDescent="0.25">
      <c r="B547" t="s">
        <v>4039</v>
      </c>
      <c r="C547">
        <v>6</v>
      </c>
      <c r="D547" t="s">
        <v>187</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4039</v>
      </c>
      <c r="C548">
        <v>6</v>
      </c>
      <c r="D548" t="s">
        <v>4037</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4039</v>
      </c>
      <c r="C549">
        <v>6</v>
      </c>
      <c r="D549" t="s">
        <v>187</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4039</v>
      </c>
      <c r="C550">
        <v>6</v>
      </c>
      <c r="D550" t="s">
        <v>4037</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272</v>
      </c>
      <c r="C551">
        <v>6</v>
      </c>
      <c r="D551" t="s">
        <v>187</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272</v>
      </c>
      <c r="C552">
        <v>6</v>
      </c>
      <c r="D552" t="s">
        <v>4037</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272</v>
      </c>
      <c r="C553">
        <v>6</v>
      </c>
      <c r="D553" t="s">
        <v>187</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272</v>
      </c>
      <c r="C554">
        <v>6</v>
      </c>
      <c r="D554" t="s">
        <v>4037</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273</v>
      </c>
      <c r="C555">
        <v>6</v>
      </c>
      <c r="D555" t="s">
        <v>187</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273</v>
      </c>
      <c r="C556">
        <v>6</v>
      </c>
      <c r="D556" t="s">
        <v>4037</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273</v>
      </c>
      <c r="C557">
        <v>6</v>
      </c>
      <c r="D557" t="s">
        <v>187</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273</v>
      </c>
      <c r="C558">
        <v>6</v>
      </c>
      <c r="D558" t="s">
        <v>4037</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562" spans="1:5" x14ac:dyDescent="0.25">
      <c r="A562" s="75" t="s">
        <v>4095</v>
      </c>
    </row>
    <row r="563" spans="1:5" x14ac:dyDescent="0.25">
      <c r="C563" t="s">
        <v>4102</v>
      </c>
    </row>
    <row r="565" spans="1:5" x14ac:dyDescent="0.25">
      <c r="B565" t="s">
        <v>4103</v>
      </c>
      <c r="C565" t="s">
        <v>307</v>
      </c>
      <c r="D565" t="s">
        <v>150</v>
      </c>
      <c r="E565" t="s">
        <v>4104</v>
      </c>
    </row>
    <row r="566" spans="1:5" x14ac:dyDescent="0.25">
      <c r="B566">
        <v>1997</v>
      </c>
      <c r="C566">
        <v>874</v>
      </c>
      <c r="D566">
        <v>426</v>
      </c>
      <c r="E566">
        <f>D566/C566</f>
        <v>0.48741418764302058</v>
      </c>
    </row>
    <row r="567" spans="1:5" x14ac:dyDescent="0.25">
      <c r="B567">
        <v>2005</v>
      </c>
      <c r="C567">
        <v>947</v>
      </c>
      <c r="D567">
        <v>464</v>
      </c>
      <c r="E567">
        <f t="shared" ref="E567:E569" si="263">D567/C567</f>
        <v>0.48996832101372756</v>
      </c>
    </row>
    <row r="568" spans="1:5" x14ac:dyDescent="0.25">
      <c r="B568">
        <v>2015</v>
      </c>
      <c r="C568">
        <v>648</v>
      </c>
      <c r="D568">
        <v>361</v>
      </c>
      <c r="E568">
        <f t="shared" si="263"/>
        <v>0.5570987654320988</v>
      </c>
    </row>
    <row r="569" spans="1:5" x14ac:dyDescent="0.25">
      <c r="B569" t="s">
        <v>217</v>
      </c>
      <c r="C569">
        <v>2518</v>
      </c>
      <c r="D569">
        <v>1251</v>
      </c>
      <c r="E569">
        <f t="shared" si="263"/>
        <v>0.49682287529785546</v>
      </c>
    </row>
    <row r="572" spans="1:5" x14ac:dyDescent="0.25">
      <c r="A572" s="75" t="s">
        <v>4176</v>
      </c>
    </row>
    <row r="574" spans="1:5" x14ac:dyDescent="0.25">
      <c r="B574" t="s">
        <v>4185</v>
      </c>
    </row>
    <row r="576" spans="1:5" x14ac:dyDescent="0.25">
      <c r="B576" t="s">
        <v>154</v>
      </c>
      <c r="C576" t="s">
        <v>153</v>
      </c>
      <c r="D576" t="s">
        <v>155</v>
      </c>
    </row>
    <row r="577" spans="2:4" x14ac:dyDescent="0.25">
      <c r="B577">
        <v>2.4</v>
      </c>
      <c r="C577">
        <v>3.3</v>
      </c>
      <c r="D577" s="73">
        <f>B577/C577</f>
        <v>0.72727272727272729</v>
      </c>
    </row>
    <row r="578" spans="2:4" x14ac:dyDescent="0.25">
      <c r="B578">
        <v>13.5</v>
      </c>
      <c r="C578">
        <v>3.1</v>
      </c>
      <c r="D578" s="73">
        <f t="shared" ref="D578:D606" si="264">B578/C578</f>
        <v>4.354838709677419</v>
      </c>
    </row>
    <row r="579" spans="2:4" x14ac:dyDescent="0.25">
      <c r="B579">
        <v>30.5</v>
      </c>
      <c r="C579">
        <v>2.8</v>
      </c>
      <c r="D579" s="73">
        <f t="shared" si="264"/>
        <v>10.892857142857144</v>
      </c>
    </row>
    <row r="580" spans="2:4" x14ac:dyDescent="0.25">
      <c r="B580">
        <v>42.6</v>
      </c>
      <c r="C580">
        <v>4</v>
      </c>
      <c r="D580" s="73">
        <f t="shared" si="264"/>
        <v>10.65</v>
      </c>
    </row>
    <row r="581" spans="2:4" x14ac:dyDescent="0.25">
      <c r="B581">
        <v>66.900000000000006</v>
      </c>
      <c r="C581">
        <v>3</v>
      </c>
      <c r="D581" s="73">
        <f t="shared" si="264"/>
        <v>22.3</v>
      </c>
    </row>
    <row r="582" spans="2:4" x14ac:dyDescent="0.25">
      <c r="B582">
        <v>1.6</v>
      </c>
      <c r="C582">
        <v>5.0999999999999996</v>
      </c>
      <c r="D582" s="73">
        <f t="shared" si="264"/>
        <v>0.31372549019607848</v>
      </c>
    </row>
    <row r="583" spans="2:4" x14ac:dyDescent="0.25">
      <c r="B583">
        <v>11.6</v>
      </c>
      <c r="C583">
        <v>5.6</v>
      </c>
      <c r="D583" s="73">
        <f t="shared" si="264"/>
        <v>2.0714285714285716</v>
      </c>
    </row>
    <row r="584" spans="2:4" x14ac:dyDescent="0.25">
      <c r="B584">
        <v>38.6</v>
      </c>
      <c r="C584">
        <v>5.0999999999999996</v>
      </c>
      <c r="D584" s="73">
        <f t="shared" si="264"/>
        <v>7.5686274509803928</v>
      </c>
    </row>
    <row r="585" spans="2:4" x14ac:dyDescent="0.25">
      <c r="B585">
        <v>43.2</v>
      </c>
      <c r="C585">
        <v>8.3000000000000007</v>
      </c>
      <c r="D585" s="73">
        <f t="shared" si="264"/>
        <v>5.2048192771084336</v>
      </c>
    </row>
    <row r="586" spans="2:4" x14ac:dyDescent="0.25">
      <c r="B586">
        <v>80.099999999999994</v>
      </c>
      <c r="C586">
        <v>6</v>
      </c>
      <c r="D586" s="73">
        <f t="shared" si="264"/>
        <v>13.35</v>
      </c>
    </row>
    <row r="587" spans="2:4" x14ac:dyDescent="0.25">
      <c r="B587">
        <v>17.2</v>
      </c>
      <c r="C587">
        <v>9.1999999999999993</v>
      </c>
      <c r="D587" s="73">
        <f t="shared" si="264"/>
        <v>1.8695652173913044</v>
      </c>
    </row>
    <row r="588" spans="2:4" x14ac:dyDescent="0.25">
      <c r="B588">
        <v>33.1</v>
      </c>
      <c r="C588">
        <v>9</v>
      </c>
      <c r="D588" s="73">
        <f t="shared" si="264"/>
        <v>3.677777777777778</v>
      </c>
    </row>
    <row r="589" spans="2:4" x14ac:dyDescent="0.25">
      <c r="B589">
        <v>45.5</v>
      </c>
      <c r="C589">
        <v>9.1999999999999993</v>
      </c>
      <c r="D589" s="73">
        <f t="shared" si="264"/>
        <v>4.9456521739130439</v>
      </c>
    </row>
    <row r="590" spans="2:4" x14ac:dyDescent="0.25">
      <c r="B590">
        <v>60.7</v>
      </c>
      <c r="C590">
        <v>9.4</v>
      </c>
      <c r="D590" s="73">
        <f t="shared" si="264"/>
        <v>6.457446808510638</v>
      </c>
    </row>
    <row r="591" spans="2:4" x14ac:dyDescent="0.25">
      <c r="B591">
        <v>96.5</v>
      </c>
      <c r="C591">
        <v>9.1</v>
      </c>
      <c r="D591" s="73">
        <f t="shared" si="264"/>
        <v>10.604395604395604</v>
      </c>
    </row>
    <row r="592" spans="2:4" x14ac:dyDescent="0.25">
      <c r="B592">
        <v>25.5</v>
      </c>
      <c r="C592">
        <v>12.3</v>
      </c>
      <c r="D592" s="73">
        <f t="shared" si="264"/>
        <v>2.0731707317073171</v>
      </c>
    </row>
    <row r="593" spans="2:4" x14ac:dyDescent="0.25">
      <c r="B593">
        <v>29.1</v>
      </c>
      <c r="C593">
        <v>12</v>
      </c>
      <c r="D593" s="73">
        <f t="shared" si="264"/>
        <v>2.4250000000000003</v>
      </c>
    </row>
    <row r="594" spans="2:4" x14ac:dyDescent="0.25">
      <c r="B594">
        <v>39.200000000000003</v>
      </c>
      <c r="C594">
        <v>12.7</v>
      </c>
      <c r="D594" s="73">
        <f t="shared" si="264"/>
        <v>3.0866141732283467</v>
      </c>
    </row>
    <row r="595" spans="2:4" x14ac:dyDescent="0.25">
      <c r="B595">
        <v>65.900000000000006</v>
      </c>
      <c r="C595">
        <v>14</v>
      </c>
      <c r="D595" s="73">
        <f t="shared" si="264"/>
        <v>4.7071428571428573</v>
      </c>
    </row>
    <row r="596" spans="2:4" x14ac:dyDescent="0.25">
      <c r="B596">
        <v>114.7</v>
      </c>
      <c r="C596">
        <v>12.9</v>
      </c>
      <c r="D596" s="73">
        <f t="shared" si="264"/>
        <v>8.8914728682170541</v>
      </c>
    </row>
    <row r="597" spans="2:4" x14ac:dyDescent="0.25">
      <c r="B597">
        <v>5.9</v>
      </c>
      <c r="C597">
        <v>6.2</v>
      </c>
      <c r="D597" s="73">
        <f t="shared" si="264"/>
        <v>0.95161290322580649</v>
      </c>
    </row>
    <row r="598" spans="2:4" x14ac:dyDescent="0.25">
      <c r="B598">
        <v>22.2</v>
      </c>
      <c r="C598">
        <v>7.1</v>
      </c>
      <c r="D598" s="73">
        <f t="shared" si="264"/>
        <v>3.126760563380282</v>
      </c>
    </row>
    <row r="599" spans="2:4" x14ac:dyDescent="0.25">
      <c r="B599">
        <v>61.2</v>
      </c>
      <c r="C599">
        <v>8.3000000000000007</v>
      </c>
      <c r="D599" s="73">
        <f t="shared" si="264"/>
        <v>7.3734939759036138</v>
      </c>
    </row>
    <row r="600" spans="2:4" x14ac:dyDescent="0.25">
      <c r="B600">
        <v>107.4</v>
      </c>
      <c r="C600">
        <v>9.1999999999999993</v>
      </c>
      <c r="D600" s="73">
        <f t="shared" si="264"/>
        <v>11.673913043478262</v>
      </c>
    </row>
    <row r="601" spans="2:4" x14ac:dyDescent="0.25">
      <c r="B601">
        <v>148.80000000000001</v>
      </c>
      <c r="C601">
        <v>10.199999999999999</v>
      </c>
      <c r="D601" s="73">
        <f t="shared" si="264"/>
        <v>14.588235294117649</v>
      </c>
    </row>
    <row r="602" spans="2:4" x14ac:dyDescent="0.25">
      <c r="B602">
        <v>6.5</v>
      </c>
      <c r="C602">
        <v>8.5</v>
      </c>
      <c r="D602" s="73">
        <f t="shared" si="264"/>
        <v>0.76470588235294112</v>
      </c>
    </row>
    <row r="603" spans="2:4" x14ac:dyDescent="0.25">
      <c r="B603">
        <v>21.2</v>
      </c>
      <c r="C603">
        <v>9</v>
      </c>
      <c r="D603" s="73">
        <f t="shared" si="264"/>
        <v>2.3555555555555556</v>
      </c>
    </row>
    <row r="604" spans="2:4" x14ac:dyDescent="0.25">
      <c r="B604">
        <v>39.5</v>
      </c>
      <c r="C604">
        <v>16.399999999999999</v>
      </c>
      <c r="D604" s="73">
        <f t="shared" si="264"/>
        <v>2.4085365853658538</v>
      </c>
    </row>
    <row r="605" spans="2:4" x14ac:dyDescent="0.25">
      <c r="B605">
        <v>103.4</v>
      </c>
      <c r="C605">
        <v>16.399999999999999</v>
      </c>
      <c r="D605" s="73">
        <f t="shared" si="264"/>
        <v>6.3048780487804885</v>
      </c>
    </row>
    <row r="606" spans="2:4" x14ac:dyDescent="0.25">
      <c r="B606">
        <v>106.5</v>
      </c>
      <c r="C606">
        <v>18.399999999999999</v>
      </c>
      <c r="D606" s="73">
        <f t="shared" si="264"/>
        <v>5.7880434782608701</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527</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2">
      <formula>LEN(TRIM(A3))=0</formula>
    </cfRule>
  </conditionalFormatting>
  <conditionalFormatting sqref="F64">
    <cfRule type="containsBlanks" dxfId="10" priority="21">
      <formula>LEN(TRIM(F64))=0</formula>
    </cfRule>
  </conditionalFormatting>
  <conditionalFormatting sqref="F89:F92">
    <cfRule type="containsBlanks" dxfId="9" priority="18">
      <formula>LEN(TRIM(F89))=0</formula>
    </cfRule>
  </conditionalFormatting>
  <conditionalFormatting sqref="G100">
    <cfRule type="containsBlanks" dxfId="8" priority="17">
      <formula>LEN(TRIM(G100))=0</formula>
    </cfRule>
  </conditionalFormatting>
  <conditionalFormatting sqref="H120">
    <cfRule type="containsBlanks" dxfId="7" priority="16">
      <formula>LEN(TRIM(H120))=0</formula>
    </cfRule>
  </conditionalFormatting>
  <conditionalFormatting sqref="E183">
    <cfRule type="containsBlanks" dxfId="6" priority="14">
      <formula>LEN(TRIM(E183))=0</formula>
    </cfRule>
  </conditionalFormatting>
  <conditionalFormatting sqref="E200">
    <cfRule type="containsBlanks" dxfId="5" priority="13">
      <formula>LEN(TRIM(E200))=0</formula>
    </cfRule>
  </conditionalFormatting>
  <conditionalFormatting sqref="G219">
    <cfRule type="containsBlanks" dxfId="4" priority="11">
      <formula>LEN(TRIM(G219))=0</formula>
    </cfRule>
  </conditionalFormatting>
  <conditionalFormatting sqref="H257">
    <cfRule type="containsBlanks" dxfId="3" priority="10">
      <formula>LEN(TRIM(H257))=0</formula>
    </cfRule>
  </conditionalFormatting>
  <conditionalFormatting sqref="H275">
    <cfRule type="containsBlanks" dxfId="2" priority="9">
      <formula>LEN(TRIM(H275))=0</formula>
    </cfRule>
  </conditionalFormatting>
  <conditionalFormatting sqref="H306">
    <cfRule type="containsBlanks" dxfId="1" priority="8">
      <formula>LEN(TRIM(H306))=0</formula>
    </cfRule>
  </conditionalFormatting>
  <conditionalFormatting sqref="G387">
    <cfRule type="containsBlanks" dxfId="0" priority="5">
      <formula>LEN(TRIM(G387))=0</formula>
    </cfRule>
  </conditionalFormatting>
  <pageMargins left="0.7" right="0.7" top="0.75" bottom="0.75" header="0.3" footer="0.3"/>
  <pageSetup paperSize="9" orientation="portrait" verticalDpi="300" r:id="rId1"/>
  <ignoredErrors>
    <ignoredError sqref="K310 K313"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
  <sheetViews>
    <sheetView workbookViewId="0">
      <selection activeCell="P18" sqref="P18"/>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country_info</vt:lpstr>
      <vt:lpstr>study_list</vt:lpstr>
      <vt:lpstr>impact_factors</vt:lpstr>
      <vt:lpstr>legend</vt:lpstr>
      <vt:lpstr>bma_help</vt:lpstr>
      <vt:lpstr>Calculations</vt:lpstr>
      <vt:lpstr>Sheet1</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2023-04-13T20:24:07Z</dcterms:modified>
</cp:coreProperties>
</file>