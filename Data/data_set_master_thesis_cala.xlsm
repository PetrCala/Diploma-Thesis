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28B1F240-508E-45AC-8466-0C32F1C6EB38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23" i="10" l="1"/>
  <c r="Z824" i="10"/>
  <c r="Z825" i="10"/>
  <c r="Z826" i="10"/>
  <c r="Z827" i="10"/>
  <c r="Z828" i="10"/>
  <c r="Z829" i="10"/>
  <c r="Z830" i="10"/>
  <c r="Z831" i="10"/>
  <c r="Z832" i="10"/>
  <c r="Z833" i="10"/>
  <c r="Z834" i="10"/>
  <c r="Z835" i="10"/>
  <c r="Z836" i="10"/>
  <c r="Z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22" i="10"/>
  <c r="G822" i="10"/>
  <c r="H822" i="10"/>
  <c r="I822" i="10"/>
  <c r="J822" i="10" s="1"/>
  <c r="G823" i="10"/>
  <c r="H823" i="10"/>
  <c r="I823" i="10"/>
  <c r="L823" i="10" s="1"/>
  <c r="J823" i="10"/>
  <c r="K823" i="10" s="1"/>
  <c r="G824" i="10"/>
  <c r="H824" i="10"/>
  <c r="I824" i="10"/>
  <c r="L824" i="10" s="1"/>
  <c r="J824" i="10"/>
  <c r="K824" i="10"/>
  <c r="G825" i="10"/>
  <c r="H825" i="10"/>
  <c r="I825" i="10"/>
  <c r="J825" i="10" s="1"/>
  <c r="K825" i="10" s="1"/>
  <c r="G826" i="10"/>
  <c r="H826" i="10"/>
  <c r="I826" i="10"/>
  <c r="L826" i="10" s="1"/>
  <c r="J826" i="10"/>
  <c r="K826" i="10" s="1"/>
  <c r="G827" i="10"/>
  <c r="H827" i="10"/>
  <c r="I827" i="10"/>
  <c r="L827" i="10" s="1"/>
  <c r="J827" i="10"/>
  <c r="K827" i="10"/>
  <c r="G828" i="10"/>
  <c r="H828" i="10"/>
  <c r="I828" i="10"/>
  <c r="M828" i="10" s="1"/>
  <c r="J828" i="10"/>
  <c r="K828" i="10"/>
  <c r="L828" i="10"/>
  <c r="G829" i="10"/>
  <c r="H829" i="10"/>
  <c r="I829" i="10"/>
  <c r="J829" i="10"/>
  <c r="K829" i="10"/>
  <c r="L829" i="10"/>
  <c r="M829" i="10"/>
  <c r="G830" i="10"/>
  <c r="H830" i="10"/>
  <c r="I830" i="10"/>
  <c r="J830" i="10" s="1"/>
  <c r="G831" i="10"/>
  <c r="H831" i="10"/>
  <c r="I831" i="10"/>
  <c r="L831" i="10" s="1"/>
  <c r="J831" i="10"/>
  <c r="K831" i="10" s="1"/>
  <c r="M831" i="10"/>
  <c r="G832" i="10"/>
  <c r="H832" i="10"/>
  <c r="I832" i="10"/>
  <c r="J832" i="10" s="1"/>
  <c r="K832" i="10" s="1"/>
  <c r="G833" i="10"/>
  <c r="H833" i="10"/>
  <c r="I833" i="10"/>
  <c r="J833" i="10" s="1"/>
  <c r="K833" i="10" s="1"/>
  <c r="G834" i="10"/>
  <c r="H834" i="10"/>
  <c r="I834" i="10"/>
  <c r="L834" i="10" s="1"/>
  <c r="J834" i="10"/>
  <c r="K834" i="10" s="1"/>
  <c r="G835" i="10"/>
  <c r="H835" i="10"/>
  <c r="I835" i="10"/>
  <c r="L835" i="10" s="1"/>
  <c r="J835" i="10"/>
  <c r="K835" i="10"/>
  <c r="G836" i="10"/>
  <c r="H836" i="10"/>
  <c r="I836" i="10"/>
  <c r="M836" i="10" s="1"/>
  <c r="J836" i="10"/>
  <c r="K836" i="10"/>
  <c r="L836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22" i="10"/>
  <c r="H498" i="12"/>
  <c r="I498" i="12" s="1"/>
  <c r="N498" i="12" s="1"/>
  <c r="O498" i="12" s="1"/>
  <c r="J498" i="12"/>
  <c r="P498" i="12"/>
  <c r="H499" i="12"/>
  <c r="I499" i="12" s="1"/>
  <c r="N499" i="12" s="1"/>
  <c r="J499" i="12"/>
  <c r="P499" i="12" s="1"/>
  <c r="H500" i="12"/>
  <c r="I500" i="12" s="1"/>
  <c r="N500" i="12" s="1"/>
  <c r="J500" i="12"/>
  <c r="P500" i="12" s="1"/>
  <c r="H501" i="12"/>
  <c r="I501" i="12" s="1"/>
  <c r="N501" i="12" s="1"/>
  <c r="J501" i="12"/>
  <c r="P501" i="12"/>
  <c r="H502" i="12"/>
  <c r="I502" i="12" s="1"/>
  <c r="N502" i="12" s="1"/>
  <c r="O502" i="12" s="1"/>
  <c r="J502" i="12"/>
  <c r="P502" i="12"/>
  <c r="H503" i="12"/>
  <c r="I503" i="12" s="1"/>
  <c r="N503" i="12" s="1"/>
  <c r="J503" i="12"/>
  <c r="P503" i="12" s="1"/>
  <c r="H504" i="12"/>
  <c r="I504" i="12" s="1"/>
  <c r="N504" i="12" s="1"/>
  <c r="O504" i="12" s="1"/>
  <c r="J504" i="12"/>
  <c r="P504" i="12" s="1"/>
  <c r="H505" i="12"/>
  <c r="I505" i="12"/>
  <c r="N505" i="12" s="1"/>
  <c r="J505" i="12"/>
  <c r="P505" i="12"/>
  <c r="H506" i="12"/>
  <c r="I506" i="12" s="1"/>
  <c r="N506" i="12" s="1"/>
  <c r="O506" i="12" s="1"/>
  <c r="J506" i="12"/>
  <c r="P506" i="12"/>
  <c r="H507" i="12"/>
  <c r="I507" i="12" s="1"/>
  <c r="N507" i="12" s="1"/>
  <c r="J507" i="12"/>
  <c r="P507" i="12" s="1"/>
  <c r="H508" i="12"/>
  <c r="I508" i="12" s="1"/>
  <c r="N508" i="12" s="1"/>
  <c r="J508" i="12"/>
  <c r="P508" i="12" s="1"/>
  <c r="H509" i="12"/>
  <c r="I509" i="12" s="1"/>
  <c r="N509" i="12" s="1"/>
  <c r="J509" i="12"/>
  <c r="P509" i="12" s="1"/>
  <c r="H495" i="12"/>
  <c r="I495" i="12" s="1"/>
  <c r="N495" i="12" s="1"/>
  <c r="H496" i="12"/>
  <c r="I496" i="12" s="1"/>
  <c r="N496" i="12" s="1"/>
  <c r="H497" i="12"/>
  <c r="I497" i="12" s="1"/>
  <c r="N497" i="12" s="1"/>
  <c r="J497" i="12"/>
  <c r="P497" i="12" s="1"/>
  <c r="J496" i="12"/>
  <c r="P496" i="12" s="1"/>
  <c r="J495" i="12"/>
  <c r="P495" i="12" s="1"/>
  <c r="Z815" i="10"/>
  <c r="Z816" i="10"/>
  <c r="Z817" i="10"/>
  <c r="Z818" i="10"/>
  <c r="Z819" i="10"/>
  <c r="Z820" i="10"/>
  <c r="Z821" i="10"/>
  <c r="Z814" i="10"/>
  <c r="W821" i="10"/>
  <c r="I818" i="10"/>
  <c r="J818" i="10" s="1"/>
  <c r="K818" i="10" s="1"/>
  <c r="I819" i="10"/>
  <c r="M819" i="10" s="1"/>
  <c r="J819" i="10"/>
  <c r="K819" i="10" s="1"/>
  <c r="I820" i="10"/>
  <c r="J820" i="10"/>
  <c r="K820" i="10" s="1"/>
  <c r="L820" i="10"/>
  <c r="M820" i="10"/>
  <c r="I821" i="10"/>
  <c r="J821" i="10" s="1"/>
  <c r="K821" i="10" s="1"/>
  <c r="W818" i="10"/>
  <c r="W819" i="10"/>
  <c r="W820" i="10"/>
  <c r="F821" i="10"/>
  <c r="G821" i="10"/>
  <c r="H821" i="10"/>
  <c r="F820" i="10"/>
  <c r="G820" i="10"/>
  <c r="H820" i="10"/>
  <c r="F819" i="10"/>
  <c r="G819" i="10"/>
  <c r="H819" i="10"/>
  <c r="F818" i="10"/>
  <c r="G818" i="10"/>
  <c r="H818" i="10"/>
  <c r="I815" i="10"/>
  <c r="J815" i="10" s="1"/>
  <c r="K815" i="10" s="1"/>
  <c r="I816" i="10"/>
  <c r="J816" i="10" s="1"/>
  <c r="K816" i="10" s="1"/>
  <c r="I817" i="10"/>
  <c r="J817" i="10" s="1"/>
  <c r="K817" i="10" s="1"/>
  <c r="W815" i="10"/>
  <c r="W816" i="10"/>
  <c r="W817" i="10"/>
  <c r="W814" i="10"/>
  <c r="F817" i="10"/>
  <c r="G817" i="10"/>
  <c r="H817" i="10"/>
  <c r="F816" i="10"/>
  <c r="G816" i="10"/>
  <c r="H816" i="10"/>
  <c r="F815" i="10"/>
  <c r="G815" i="10"/>
  <c r="H815" i="10"/>
  <c r="F814" i="10"/>
  <c r="I814" i="10" s="1"/>
  <c r="G814" i="10"/>
  <c r="H814" i="10"/>
  <c r="W813" i="10"/>
  <c r="I813" i="10" s="1"/>
  <c r="F813" i="10"/>
  <c r="G813" i="10"/>
  <c r="H813" i="10"/>
  <c r="X815" i="10"/>
  <c r="X814" i="10"/>
  <c r="X813" i="10"/>
  <c r="I808" i="10"/>
  <c r="L808" i="10" s="1"/>
  <c r="J808" i="10"/>
  <c r="K808" i="10" s="1"/>
  <c r="I809" i="10"/>
  <c r="J809" i="10" s="1"/>
  <c r="I810" i="10"/>
  <c r="J810" i="10" s="1"/>
  <c r="I811" i="10"/>
  <c r="L811" i="10" s="1"/>
  <c r="J811" i="10"/>
  <c r="K811" i="10"/>
  <c r="I812" i="10"/>
  <c r="L812" i="10" s="1"/>
  <c r="J812" i="10"/>
  <c r="K812" i="10" s="1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W812" i="10"/>
  <c r="W807" i="10"/>
  <c r="I807" i="10" s="1"/>
  <c r="F812" i="10"/>
  <c r="G812" i="10"/>
  <c r="H812" i="10"/>
  <c r="F811" i="10"/>
  <c r="G811" i="10"/>
  <c r="H811" i="10"/>
  <c r="F810" i="10"/>
  <c r="G810" i="10"/>
  <c r="H810" i="10"/>
  <c r="F809" i="10"/>
  <c r="G809" i="10"/>
  <c r="H809" i="10"/>
  <c r="F808" i="10"/>
  <c r="G808" i="10"/>
  <c r="H808" i="10"/>
  <c r="F807" i="10"/>
  <c r="G807" i="10"/>
  <c r="H807" i="10"/>
  <c r="Z804" i="10"/>
  <c r="Z805" i="10"/>
  <c r="Z806" i="10"/>
  <c r="Z803" i="10"/>
  <c r="Y804" i="10"/>
  <c r="Y805" i="10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I805" i="10"/>
  <c r="W804" i="10"/>
  <c r="I804" i="10"/>
  <c r="J804" i="10"/>
  <c r="K804" i="10" s="1"/>
  <c r="M804" i="10"/>
  <c r="W803" i="10"/>
  <c r="I803" i="10"/>
  <c r="J803" i="10" s="1"/>
  <c r="F806" i="10"/>
  <c r="G806" i="10"/>
  <c r="H806" i="10"/>
  <c r="F805" i="10"/>
  <c r="G805" i="10"/>
  <c r="H805" i="10"/>
  <c r="F804" i="10"/>
  <c r="G804" i="10"/>
  <c r="H804" i="10"/>
  <c r="F803" i="10"/>
  <c r="G803" i="10"/>
  <c r="H803" i="10"/>
  <c r="K830" i="10" l="1"/>
  <c r="M830" i="10"/>
  <c r="L830" i="10"/>
  <c r="K822" i="10"/>
  <c r="L822" i="10"/>
  <c r="M822" i="10"/>
  <c r="M823" i="10"/>
  <c r="M832" i="10"/>
  <c r="M824" i="10"/>
  <c r="M833" i="10"/>
  <c r="L832" i="10"/>
  <c r="M825" i="10"/>
  <c r="M834" i="10"/>
  <c r="L833" i="10"/>
  <c r="M826" i="10"/>
  <c r="L825" i="10"/>
  <c r="M835" i="10"/>
  <c r="M827" i="10"/>
  <c r="O509" i="12"/>
  <c r="O505" i="12"/>
  <c r="O501" i="12"/>
  <c r="O508" i="12"/>
  <c r="O507" i="12"/>
  <c r="O500" i="12"/>
  <c r="O503" i="12"/>
  <c r="O499" i="12"/>
  <c r="O495" i="12"/>
  <c r="O496" i="12"/>
  <c r="O497" i="12"/>
  <c r="L819" i="10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L807" i="10"/>
  <c r="M807" i="10"/>
  <c r="J807" i="10"/>
  <c r="K807" i="10" s="1"/>
  <c r="L804" i="10"/>
  <c r="J805" i="10"/>
  <c r="K805" i="10" s="1"/>
  <c r="M806" i="10"/>
  <c r="L806" i="10"/>
  <c r="K803" i="10"/>
  <c r="M803" i="10"/>
  <c r="L803" i="10"/>
  <c r="L814" i="10" l="1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I802" i="10"/>
  <c r="W801" i="10"/>
  <c r="I801" i="10" s="1"/>
  <c r="F802" i="10"/>
  <c r="G802" i="10"/>
  <c r="H802" i="10"/>
  <c r="F801" i="10"/>
  <c r="G801" i="10"/>
  <c r="H801" i="10"/>
  <c r="AW798" i="10"/>
  <c r="W800" i="10"/>
  <c r="I800" i="10"/>
  <c r="J800" i="10"/>
  <c r="K800" i="10"/>
  <c r="L800" i="10"/>
  <c r="M800" i="10"/>
  <c r="W799" i="10"/>
  <c r="I799" i="10"/>
  <c r="J799" i="10"/>
  <c r="K799" i="10"/>
  <c r="L799" i="10"/>
  <c r="M799" i="10"/>
  <c r="W798" i="10"/>
  <c r="I798" i="10" s="1"/>
  <c r="F800" i="10"/>
  <c r="G800" i="10"/>
  <c r="H800" i="10"/>
  <c r="F799" i="10"/>
  <c r="G799" i="10"/>
  <c r="H799" i="10"/>
  <c r="F798" i="10"/>
  <c r="G798" i="10"/>
  <c r="H798" i="10"/>
  <c r="W797" i="10"/>
  <c r="I797" i="10" s="1"/>
  <c r="W796" i="10"/>
  <c r="I796" i="10" s="1"/>
  <c r="F797" i="10"/>
  <c r="G797" i="10"/>
  <c r="H797" i="10"/>
  <c r="F796" i="10"/>
  <c r="G796" i="10"/>
  <c r="H796" i="10"/>
  <c r="F795" i="10"/>
  <c r="AW793" i="10"/>
  <c r="W795" i="10"/>
  <c r="I795" i="10" s="1"/>
  <c r="W794" i="10"/>
  <c r="I794" i="10"/>
  <c r="J794" i="10"/>
  <c r="K794" i="10"/>
  <c r="L794" i="10"/>
  <c r="M794" i="10"/>
  <c r="W793" i="10"/>
  <c r="I793" i="10"/>
  <c r="J793" i="10"/>
  <c r="K793" i="10"/>
  <c r="L793" i="10"/>
  <c r="M793" i="10"/>
  <c r="G795" i="10"/>
  <c r="H795" i="10"/>
  <c r="F794" i="10"/>
  <c r="G794" i="10"/>
  <c r="H794" i="10"/>
  <c r="F793" i="10"/>
  <c r="G793" i="10"/>
  <c r="H793" i="10"/>
  <c r="Z785" i="10"/>
  <c r="Z786" i="10"/>
  <c r="Z787" i="10"/>
  <c r="Z788" i="10"/>
  <c r="Z789" i="10"/>
  <c r="Z790" i="10"/>
  <c r="Z791" i="10"/>
  <c r="Z792" i="10"/>
  <c r="Z784" i="10"/>
  <c r="Y785" i="10"/>
  <c r="Y786" i="10"/>
  <c r="Y787" i="10"/>
  <c r="Y788" i="10"/>
  <c r="Y789" i="10"/>
  <c r="Y790" i="10"/>
  <c r="Y791" i="10"/>
  <c r="Y792" i="10"/>
  <c r="Y784" i="10"/>
  <c r="I785" i="10"/>
  <c r="J785" i="10" s="1"/>
  <c r="K785" i="10" s="1"/>
  <c r="I786" i="10"/>
  <c r="J786" i="10"/>
  <c r="L786" i="10" s="1"/>
  <c r="K786" i="10"/>
  <c r="I787" i="10"/>
  <c r="J787" i="10" s="1"/>
  <c r="I788" i="10"/>
  <c r="J788" i="10" s="1"/>
  <c r="K788" i="10" s="1"/>
  <c r="I789" i="10"/>
  <c r="J789" i="10" s="1"/>
  <c r="I790" i="10"/>
  <c r="J790" i="10" s="1"/>
  <c r="K790" i="10" s="1"/>
  <c r="I791" i="10"/>
  <c r="L791" i="10" s="1"/>
  <c r="J791" i="10"/>
  <c r="K791" i="10" s="1"/>
  <c r="I792" i="10"/>
  <c r="J792" i="10"/>
  <c r="K792" i="10" s="1"/>
  <c r="L792" i="10"/>
  <c r="M792" i="10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G792" i="10"/>
  <c r="H792" i="10"/>
  <c r="F791" i="10"/>
  <c r="G791" i="10"/>
  <c r="H791" i="10"/>
  <c r="F790" i="10"/>
  <c r="G790" i="10"/>
  <c r="H790" i="10"/>
  <c r="W789" i="10"/>
  <c r="W788" i="10"/>
  <c r="W787" i="10"/>
  <c r="F789" i="10"/>
  <c r="G789" i="10"/>
  <c r="H789" i="10"/>
  <c r="F788" i="10"/>
  <c r="G788" i="10"/>
  <c r="H788" i="10"/>
  <c r="F787" i="10"/>
  <c r="G787" i="10"/>
  <c r="H787" i="10"/>
  <c r="W786" i="10"/>
  <c r="W785" i="10"/>
  <c r="W784" i="10"/>
  <c r="I784" i="10" s="1"/>
  <c r="F786" i="10"/>
  <c r="G786" i="10"/>
  <c r="H786" i="10"/>
  <c r="F785" i="10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0" i="10"/>
  <c r="L770" i="10" s="1"/>
  <c r="J770" i="10"/>
  <c r="K770" i="10" s="1"/>
  <c r="I771" i="10"/>
  <c r="J771" i="10" s="1"/>
  <c r="I772" i="10"/>
  <c r="M772" i="10" s="1"/>
  <c r="J772" i="10"/>
  <c r="K772" i="10" s="1"/>
  <c r="L772" i="10"/>
  <c r="I773" i="10"/>
  <c r="L773" i="10" s="1"/>
  <c r="J773" i="10"/>
  <c r="M773" i="10" s="1"/>
  <c r="K773" i="10"/>
  <c r="I774" i="10"/>
  <c r="J774" i="10"/>
  <c r="K774" i="10" s="1"/>
  <c r="M774" i="10"/>
  <c r="I775" i="10"/>
  <c r="J775" i="10" s="1"/>
  <c r="K775" i="10" s="1"/>
  <c r="I776" i="10"/>
  <c r="J776" i="10"/>
  <c r="M776" i="10" s="1"/>
  <c r="K776" i="10"/>
  <c r="L776" i="10"/>
  <c r="I777" i="10"/>
  <c r="J777" i="10" s="1"/>
  <c r="K777" i="10" s="1"/>
  <c r="I778" i="10"/>
  <c r="I779" i="10"/>
  <c r="J779" i="10" s="1"/>
  <c r="I780" i="10"/>
  <c r="M780" i="10" s="1"/>
  <c r="J780" i="10"/>
  <c r="K780" i="10" s="1"/>
  <c r="L780" i="10"/>
  <c r="I781" i="10"/>
  <c r="L781" i="10" s="1"/>
  <c r="J781" i="10"/>
  <c r="M781" i="10" s="1"/>
  <c r="K781" i="10"/>
  <c r="I782" i="10"/>
  <c r="J782" i="10"/>
  <c r="K782" i="10" s="1"/>
  <c r="M782" i="10"/>
  <c r="I783" i="10"/>
  <c r="J783" i="10" s="1"/>
  <c r="K783" i="10" s="1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70" i="10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L802" i="10" l="1"/>
  <c r="J802" i="10"/>
  <c r="K802" i="10" s="1"/>
  <c r="J801" i="10"/>
  <c r="K801" i="10" s="1"/>
  <c r="M801" i="10"/>
  <c r="J798" i="10"/>
  <c r="K798" i="10" s="1"/>
  <c r="L797" i="10"/>
  <c r="M797" i="10"/>
  <c r="J797" i="10"/>
  <c r="K797" i="10" s="1"/>
  <c r="J796" i="10"/>
  <c r="K796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J784" i="10"/>
  <c r="K784" i="10" s="1"/>
  <c r="L778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70" i="10"/>
  <c r="M783" i="10"/>
  <c r="M775" i="10"/>
  <c r="M802" i="10" l="1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<sst xmlns="http://schemas.openxmlformats.org/spreadsheetml/2006/main" count="9376" uniqueCount="528">
  <si>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</si>
  <si>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</si>
  <si>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</si>
  <si>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</si>
  <si>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</si>
  <si>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</si>
  <si>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</si>
  <si>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</si>
  <si>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</si>
  <si>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</si>
  <si>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</si>
  <si>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</si>
  <si>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</si>
  <si>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</si>
  <si>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</si>
  <si>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</si>
  <si>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</si>
  <si>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</si>
  <si>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</si>
  <si>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</si>
  <si>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</si>
  <si>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</si>
  <si>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</si>
  <si>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</si>
  <si>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</si>
  <si>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</si>
  <si>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</si>
  <si>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</si>
  <si>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</si>
  <si>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</si>
  <si>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</si>
  <si>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</si>
  <si>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</si>
  <si>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</si>
  <si>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</si>
  <si>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</si>
  <si>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</si>
  <si>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</si>
  <si>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</si>
  <si>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</si>
  <si>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</si>
  <si>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</si>
  <si>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</si>
  <si>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</si>
  <si>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</si>
  <si>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</si>
  <si>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</si>
  <si>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</si>
  <si>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</si>
  <si>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</si>
  <si>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</si>
  <si>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</si>
  <si>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</si>
  <si>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</si>
  <si>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</si>
  <si>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</si>
  <si>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</si>
  <si>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</si>
  <si>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</si>
  <si>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</si>
  <si>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</si>
  <si>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</si>
  <si>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</si>
  <si>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</si>
  <si>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</si>
  <si>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</si>
  <si>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</si>
  <si>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</si>
  <si>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</si>
  <si>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</si>
  <si>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</si>
  <si>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</si>
  <si>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</si>
  <si>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</si>
  <si>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</si>
  <si>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</si>
  <si>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</si>
  <si>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</si>
  <si>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</si>
  <si>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</si>
  <si>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</si>
  <si>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</si>
  <si>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</si>
  <si>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</si>
  <si>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</si>
  <si>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</si>
  <si>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</si>
  <si>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</si>
  <si>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</si>
  <si>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</si>
  <si>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</si>
  <si>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</si>
  <si>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</si>
  <si>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</si>
  <si>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</si>
  <si>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</si>
  <si>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</si>
  <si>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</si>
  <si>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</si>
  <si>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</si>
  <si>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</si>
  <si>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</si>
  <si>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</si>
  <si>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</si>
  <si>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</si>
  <si>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</si>
  <si>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</si>
  <si>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</si>
  <si>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</si>
  <si>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</si>
  <si>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</si>
  <si>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</si>
  <si>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</si>
  <si>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</si>
  <si>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</si>
  <si>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</si>
  <si>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</si>
  <si>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</si>
  <si>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</si>
  <si>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</si>
  <si>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</si>
  <si>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</si>
  <si>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</si>
  <si>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</si>
  <si>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</si>
  <si>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</si>
  <si>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</si>
  <si>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</si>
  <si>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</si>
  <si>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</si>
  <si>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</si>
  <si>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</si>
  <si>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</si>
  <si>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</si>
  <si>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</si>
  <si>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</si>
  <si>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</si>
  <si>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</si>
  <si>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</si>
  <si>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</si>
  <si>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</si>
  <si>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</si>
  <si>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</si>
  <si>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</si>
  <si>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</si>
  <si>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</si>
  <si>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</si>
  <si>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</si>
  <si>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</si>
  <si>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</si>
  <si>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</si>
  <si>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</si>
  <si>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</si>
  <si>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</si>
  <si>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</si>
  <si>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</si>
  <si>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</si>
  <si>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</si>
  <si>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</si>
  <si>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</si>
  <si>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</si>
  <si>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</si>
  <si>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</si>
  <si>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</si>
  <si>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</si>
  <si>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</si>
  <si>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</si>
  <si>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</si>
  <si>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</si>
  <si>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</si>
  <si>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</si>
  <si>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</si>
  <si>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</si>
  <si>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</si>
  <si>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</si>
  <si>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</si>
  <si>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</si>
  <si>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</si>
  <si>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</si>
  <si>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</si>
  <si>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</si>
  <si>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</si>
  <si>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</si>
  <si>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</si>
  <si>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</si>
  <si>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</si>
  <si>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</si>
  <si>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</si>
  <si>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</si>
  <si>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</si>
  <si>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</si>
  <si>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</si>
  <si>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</si>
  <si>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</si>
  <si>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</si>
  <si>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</si>
  <si>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</si>
  <si>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</si>
  <si>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</si>
  <si>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</si>
  <si>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</si>
  <si>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</si>
  <si>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</si>
  <si>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</si>
  <si>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</si>
  <si>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</si>
  <si>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</si>
  <si>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</si>
  <si>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</si>
  <si>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</si>
  <si>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</si>
  <si>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</si>
  <si>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</si>
  <si>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</si>
  <si>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</si>
  <si>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</si>
  <si>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</si>
  <si>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</si>
  <si>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</si>
  <si>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</si>
  <si>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</si>
  <si>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</si>
  <si>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</si>
  <si>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</si>
  <si>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</si>
  <si>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</si>
  <si>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</si>
  <si>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</si>
  <si>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</si>
  <si>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</si>
  <si>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</si>
  <si>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</si>
  <si>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</si>
  <si>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</si>
  <si>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</si>
  <si>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</si>
  <si>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</si>
  <si>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</si>
  <si>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</si>
  <si>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</si>
  <si>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</si>
  <si>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</si>
  <si>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</si>
  <si>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</si>
  <si>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</si>
  <si>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</si>
  <si>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</si>
  <si>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</si>
  <si>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</si>
  <si>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</si>
  <si>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</si>
  <si>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</si>
  <si>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</si>
  <si>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</si>
  <si>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</si>
  <si>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</si>
  <si>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</si>
  <si>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</si>
  <si>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</si>
  <si>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</si>
  <si>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</si>
  <si>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</si>
  <si>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</si>
  <si>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</si>
  <si>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</si>
  <si>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</si>
  <si>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</si>
  <si>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</si>
  <si>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</si>
  <si>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</si>
  <si>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</si>
  <si>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</si>
  <si>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</si>
  <si>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</si>
  <si>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</si>
  <si>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</si>
  <si>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</si>
  <si>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</si>
  <si>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</si>
  <si>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</si>
  <si>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</si>
  <si>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</si>
  <si>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</si>
  <si>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</si>
  <si>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</si>
  <si>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</si>
  <si>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</si>
  <si>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</si>
  <si>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</si>
  <si>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</si>
  <si>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</si>
  <si>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</si>
  <si>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</si>
  <si>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</si>
  <si>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</si>
  <si>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</si>
  <si>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</si>
  <si>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</si>
  <si>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</si>
  <si>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</si>
  <si>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</si>
  <si>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</si>
  <si>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</si>
  <si>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</si>
  <si>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</si>
  <si>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</si>
  <si>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</si>
  <si>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</si>
  <si>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</si>
  <si>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</si>
  <si>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</si>
  <si>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</si>
  <si>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</si>
  <si>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</si>
  <si>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</si>
  <si>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</si>
  <si>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</si>
  <si>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</si>
  <si>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</si>
  <si>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</si>
  <si>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</si>
  <si>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</si>
  <si>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</si>
  <si>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</si>
  <si>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</si>
  <si>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</si>
  <si>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</si>
  <si>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</si>
  <si>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</si>
  <si>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</si>
  <si>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</si>
  <si>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</si>
  <si>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</si>
  <si>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</si>
  <si>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</si>
  <si>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</si>
  <si>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</si>
  <si>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</si>
  <si>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</si>
  <si>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</si>
  <si>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</si>
  <si>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</si>
  <si>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</si>
  <si>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</si>
  <si>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</si>
  <si>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</si>
  <si>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</si>
  <si>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</si>
  <si>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</si>
  <si>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</si>
  <si>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</si>
  <si>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</si>
  <si>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</si>
  <si>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</si>
  <si>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</si>
  <si>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</si>
  <si>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</si>
  <si>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</si>
  <si>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</si>
  <si>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</si>
  <si>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</si>
  <si>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</si>
  <si>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</si>
  <si>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</si>
  <si>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</si>
  <si>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</si>
  <si>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</si>
  <si>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</si>
  <si>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</si>
  <si>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</si>
  <si>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</si>
  <si>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</si>
  <si>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</si>
  <si>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</si>
  <si>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</si>
  <si>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</si>
  <si>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</si>
  <si>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</si>
  <si>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</si>
  <si>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</si>
  <si>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</si>
  <si>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</si>
  <si>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</si>
  <si>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</si>
  <si>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</si>
  <si>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</si>
  <si>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</si>
  <si>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</si>
  <si>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</si>
  <si>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</si>
  <si>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</si>
  <si>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</si>
  <si>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</si>
  <si>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</si>
  <si>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</si>
  <si>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</si>
  <si>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</si>
  <si>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</si>
  <si>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</si>
  <si>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</si>
  <si>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</si>
  <si>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</si>
  <si>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</si>
  <si>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</si>
  <si>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</si>
  <si>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</si>
  <si>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</si>
  <si>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</si>
  <si>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</si>
  <si>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</si>
  <si>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</si>
  <si>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</si>
  <si>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</si>
  <si>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</si>
  <si>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</si>
  <si>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</si>
  <si>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</si>
  <si>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</si>
  <si>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</si>
  <si>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</si>
  <si>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</si>
  <si>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</si>
  <si>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</si>
  <si>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</si>
  <si>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</si>
  <si>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</si>
  <si>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</si>
  <si>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</si>
  <si>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</si>
  <si>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</si>
  <si>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</si>
  <si>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</si>
  <si>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</si>
  <si>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</si>
  <si>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</si>
  <si>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</si>
  <si>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</si>
  <si>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</si>
  <si>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</si>
  <si>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</si>
  <si>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</si>
  <si>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</si>
  <si>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</si>
  <si>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</si>
  <si>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</si>
  <si>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</si>
  <si>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</si>
  <si>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</si>
  <si>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</si>
  <si>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</si>
  <si>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</si>
  <si>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</si>
  <si>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</si>
  <si>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</si>
  <si>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</si>
  <si>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</si>
  <si>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</si>
  <si>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</si>
  <si>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</si>
  <si>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</si>
  <si>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</si>
  <si>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</si>
  <si>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</si>
  <si>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</si>
  <si>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</si>
  <si>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</si>
  <si>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</si>
  <si>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</si>
  <si>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</si>
  <si>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</si>
  <si>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</si>
  <si>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</si>
  <si>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</si>
  <si>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</si>
  <si>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</si>
  <si>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</si>
  <si>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</si>
  <si>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</si>
  <si>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</si>
  <si>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</si>
  <si>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</si>
  <si>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</si>
  <si>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</si>
  <si>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</si>
  <si>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</si>
  <si>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</si>
  <si>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</si>
  <si>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</si>
  <si>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</si>
  <si>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</si>
  <si>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</si>
  <si>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</si>
  <si>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</si>
  <si>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</si>
  <si>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</si>
  <si>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</si>
  <si>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</si>
  <si>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</si>
  <si>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</si>
  <si>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</si>
  <si>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</si>
  <si>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</si>
  <si>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</si>
  <si>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</si>
  <si>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</si>
  <si>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</si>
  <si>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</si>
  <si>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</si>
  <si>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</si>
  <si>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</si>
  <si>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</si>
  <si>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</si>
  <si>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</si>
  <si>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</si>
  <si>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</si>
  <si>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</si>
  <si>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</si>
  <si>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</si>
  <si>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</si>
  <si>
    <t>Instument - Other</t>
  </si>
  <si>
    <t>Blundell et al. (2001)</t>
  </si>
  <si>
    <t>A-level</t>
  </si>
  <si>
    <t>O-level</t>
  </si>
  <si>
    <t>OLS full</t>
  </si>
  <si>
    <t>IV spec i</t>
  </si>
  <si>
    <t>IV spec ii</t>
  </si>
  <si>
    <t>IV spec iii</t>
  </si>
  <si>
    <t>Aromolaran (2006)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</si>
</sst>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39" xfId="0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" fontId="0" fillId="4" borderId="44" xfId="0" applyNumberFormat="1" applyFill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4" borderId="44" xfId="0" applyFill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164" fontId="0" fillId="0" borderId="47" xfId="0" applyNumberFormat="1" applyBorder="1"/>
    <xf numFmtId="0" fontId="0" fillId="0" borderId="48" xfId="0" applyBorder="1"/>
    <xf numFmtId="0" fontId="0" fillId="0" borderId="0" xfId="0" applyFill="1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433" activePane="bottomRight" state="frozen"/>
      <selection pane="topRight" activeCell="E1" sqref="E1"/>
      <selection pane="bottomLeft" activeCell="A2" sqref="A2"/>
      <selection pane="bottomRight" activeCell="C448" sqref="C448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68" width="8.7109375" customWidth="1"/>
    <col min="69" max="69" width="8.7109375" style="25" customWidth="1"/>
    <col min="70" max="77" width="8.7109375" customWidth="1"/>
    <col min="78" max="78" width="8.5703125" customWidth="1"/>
    <col min="79" max="102" width="8.7109375" customWidth="1"/>
    <col min="103" max="103" width="9.140625" style="34" hidden="1" customWidth="1"/>
    <col min="104" max="107" width="9.140625" hidden="1" customWidth="1"/>
  </cols>
  <sheetData>
    <row r="1" spans="1:108" x14ac:dyDescent="0.25">
      <c r="A1" s="1" t="s">
        <v>0</v>
      </c>
      <c r="B1" s="1" t="s">
        <v>1</v>
      </c>
      <c r="C1" s="27" t="s">
        <v>339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516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365</v>
      </c>
      <c r="CX1" s="44" t="s">
        <v>85</v>
      </c>
      <c r="CY1" s="185" t="s">
        <v>481</v>
      </c>
      <c r="CZ1" s="186" t="s">
        <v>482</v>
      </c>
      <c r="DA1" s="186" t="s">
        <v>483</v>
      </c>
      <c r="DB1" s="186" t="s">
        <v>484</v>
      </c>
      <c r="DC1" s="186" t="s">
        <v>485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CU2" s="225"/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CU6" s="225"/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CU54" s="225"/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CU64" s="225"/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CU69" s="225"/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CU77" s="225"/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CU81" s="225"/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CU84" s="225"/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CU100" s="225"/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CU115" s="225"/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CU121" s="225"/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CU136" s="225"/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CU143" s="225"/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CU155" s="225"/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527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527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527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527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527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527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527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527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332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332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332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332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332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332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332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332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332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332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332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332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332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332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332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332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333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333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333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333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333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333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333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333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333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333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333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333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333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333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333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333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333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333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333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333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333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333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333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333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337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337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337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337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337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337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337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337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337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337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337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337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337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337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337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338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338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338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338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338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338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340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341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340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341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340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341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340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341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340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341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340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341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340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341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340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341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340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341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340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341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340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341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340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341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340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341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340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341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340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341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340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341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340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341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340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341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340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341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340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341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340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341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340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341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340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341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340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341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340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341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340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341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340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341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340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341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340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341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340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341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340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341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340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341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340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341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340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341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340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341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340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341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340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341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340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341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340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341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340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341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340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341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340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341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340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341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340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341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340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341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340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341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340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341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340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341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340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341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340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341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342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342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342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342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342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342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342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342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342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342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345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345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345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345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345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345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345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345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345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345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345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345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345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345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345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345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345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346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346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346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346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346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346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346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346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346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346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346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346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346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346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346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479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341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479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341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479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341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479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341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479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341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479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341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479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341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479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341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479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341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479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341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479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341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479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341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479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341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479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341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479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341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479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341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479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341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479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341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479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341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479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341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479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341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479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341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479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341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479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341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491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492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491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492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491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492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491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492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491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492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491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492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491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492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491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492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491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492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491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492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491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492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491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492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491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492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491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492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491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492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491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492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491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492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491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492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501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502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501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502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501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502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501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502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501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502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501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502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507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507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507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507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507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507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507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507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507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507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507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507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507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507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507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507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507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507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507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507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507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507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507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507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507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507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507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507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507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507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508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509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508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509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508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509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508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509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508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509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508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509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508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509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508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509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508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509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508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509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508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509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508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509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508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509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508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509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510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511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510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511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510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511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510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511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510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511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510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511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510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4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511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510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511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510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511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512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512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512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512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512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512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512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512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512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512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513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33">
        <v>1</v>
      </c>
      <c r="AW803" s="40">
        <v>0</v>
      </c>
      <c r="AX803">
        <v>1</v>
      </c>
      <c r="AY803" s="40">
        <v>0</v>
      </c>
      <c r="BA803" s="18"/>
      <c r="BB803">
        <f>1-BC803</f>
        <v>0.86519999999999997</v>
      </c>
      <c r="BC803" s="18">
        <v>0.1348</v>
      </c>
      <c r="BD803" s="18" t="s">
        <v>514</v>
      </c>
      <c r="BK803" s="18"/>
      <c r="BN803" s="18"/>
      <c r="BQ803" s="25">
        <v>17</v>
      </c>
      <c r="BR803">
        <v>1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s="18">
        <v>0</v>
      </c>
      <c r="BZ803">
        <v>0</v>
      </c>
      <c r="CA803">
        <v>1</v>
      </c>
      <c r="CB803">
        <v>0</v>
      </c>
      <c r="CC803" s="18">
        <v>0</v>
      </c>
      <c r="CD803">
        <v>0</v>
      </c>
      <c r="CE803">
        <v>0</v>
      </c>
      <c r="CF803">
        <v>0</v>
      </c>
      <c r="CG803">
        <v>0</v>
      </c>
      <c r="CH803" s="18">
        <v>1</v>
      </c>
      <c r="CI803">
        <v>1</v>
      </c>
      <c r="CJ803">
        <v>1</v>
      </c>
      <c r="CK803">
        <v>1</v>
      </c>
      <c r="CL803">
        <v>1</v>
      </c>
      <c r="CM803">
        <v>1</v>
      </c>
      <c r="CN803">
        <v>0</v>
      </c>
      <c r="CO803">
        <v>0</v>
      </c>
      <c r="CP803">
        <v>0</v>
      </c>
      <c r="CQ803">
        <v>0</v>
      </c>
      <c r="CR803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513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6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33">
        <v>1</v>
      </c>
      <c r="AW804" s="40">
        <v>0</v>
      </c>
      <c r="AX804">
        <v>1</v>
      </c>
      <c r="AY804" s="40">
        <v>0</v>
      </c>
      <c r="BA804" s="18"/>
      <c r="BB804">
        <f t="shared" ref="BB804:BB806" si="579">1-BC804</f>
        <v>0.86519999999999997</v>
      </c>
      <c r="BC804" s="18">
        <v>0.1348</v>
      </c>
      <c r="BD804" s="18" t="s">
        <v>514</v>
      </c>
      <c r="BK804" s="18"/>
      <c r="BN804" s="18"/>
      <c r="BQ804" s="25">
        <v>17</v>
      </c>
      <c r="BR804">
        <v>1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s="18">
        <v>0</v>
      </c>
      <c r="BZ804">
        <v>0</v>
      </c>
      <c r="CA804">
        <v>1</v>
      </c>
      <c r="CB804">
        <v>0</v>
      </c>
      <c r="CC804" s="18">
        <v>0</v>
      </c>
      <c r="CD804">
        <v>0</v>
      </c>
      <c r="CE804">
        <v>0</v>
      </c>
      <c r="CF804">
        <v>0</v>
      </c>
      <c r="CG804">
        <v>0</v>
      </c>
      <c r="CH804" s="18">
        <v>1</v>
      </c>
      <c r="CI804">
        <v>1</v>
      </c>
      <c r="CJ804">
        <v>1</v>
      </c>
      <c r="CK804">
        <v>1</v>
      </c>
      <c r="CL804">
        <v>1</v>
      </c>
      <c r="CM804">
        <v>1</v>
      </c>
      <c r="CN804">
        <v>0</v>
      </c>
      <c r="CO804">
        <v>0</v>
      </c>
      <c r="CP804">
        <v>0</v>
      </c>
      <c r="CQ804">
        <v>0</v>
      </c>
      <c r="CR804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513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33">
        <v>1</v>
      </c>
      <c r="AW805" s="40">
        <v>0</v>
      </c>
      <c r="AX805">
        <v>1</v>
      </c>
      <c r="AY805" s="40">
        <v>0</v>
      </c>
      <c r="BA805" s="18"/>
      <c r="BB805">
        <f t="shared" si="579"/>
        <v>0.86519999999999997</v>
      </c>
      <c r="BC805" s="18">
        <v>0.1348</v>
      </c>
      <c r="BD805" s="18" t="s">
        <v>514</v>
      </c>
      <c r="BK805" s="18"/>
      <c r="BN805" s="18"/>
      <c r="BQ805" s="25">
        <v>17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s="18">
        <v>1</v>
      </c>
      <c r="BZ805">
        <v>0</v>
      </c>
      <c r="CA805">
        <v>1</v>
      </c>
      <c r="CB805">
        <v>0</v>
      </c>
      <c r="CC805" s="18">
        <v>0</v>
      </c>
      <c r="CD805">
        <v>0</v>
      </c>
      <c r="CE805">
        <v>0</v>
      </c>
      <c r="CF805">
        <v>0</v>
      </c>
      <c r="CG805">
        <v>0</v>
      </c>
      <c r="CH805" s="18">
        <v>1</v>
      </c>
      <c r="CI805">
        <v>1</v>
      </c>
      <c r="CJ805">
        <v>1</v>
      </c>
      <c r="CK805">
        <v>1</v>
      </c>
      <c r="CL805">
        <v>1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513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60">
        <v>1</v>
      </c>
      <c r="AW806" s="169">
        <v>0</v>
      </c>
      <c r="AX806" s="153">
        <v>1</v>
      </c>
      <c r="AY806" s="169">
        <v>0</v>
      </c>
      <c r="BA806" s="168"/>
      <c r="BB806" s="153">
        <f t="shared" si="579"/>
        <v>0.86519999999999997</v>
      </c>
      <c r="BC806" s="168">
        <v>0.1348</v>
      </c>
      <c r="BD806" s="168" t="s">
        <v>514</v>
      </c>
      <c r="BK806" s="168"/>
      <c r="BN806" s="168"/>
      <c r="BQ806" s="154">
        <v>17</v>
      </c>
      <c r="BR806" s="153">
        <v>0</v>
      </c>
      <c r="BS806" s="153">
        <v>0</v>
      </c>
      <c r="BT806" s="153">
        <v>0</v>
      </c>
      <c r="BU806" s="153">
        <v>0</v>
      </c>
      <c r="BV806" s="153">
        <v>0</v>
      </c>
      <c r="BW806" s="153">
        <v>0</v>
      </c>
      <c r="BX806" s="153">
        <v>0</v>
      </c>
      <c r="BY806" s="168">
        <v>1</v>
      </c>
      <c r="BZ806" s="153">
        <v>0</v>
      </c>
      <c r="CA806" s="153">
        <v>1</v>
      </c>
      <c r="CB806" s="153">
        <v>0</v>
      </c>
      <c r="CC806" s="168">
        <v>0</v>
      </c>
      <c r="CD806" s="153">
        <v>0</v>
      </c>
      <c r="CE806" s="153">
        <v>0</v>
      </c>
      <c r="CF806" s="153">
        <v>0</v>
      </c>
      <c r="CG806" s="153">
        <v>0</v>
      </c>
      <c r="CH806" s="168">
        <v>1</v>
      </c>
      <c r="CI806" s="153">
        <v>1</v>
      </c>
      <c r="CJ806" s="153">
        <v>1</v>
      </c>
      <c r="CK806" s="153">
        <v>1</v>
      </c>
      <c r="CL806" s="153">
        <v>1</v>
      </c>
      <c r="CM806" s="153">
        <v>1</v>
      </c>
      <c r="CN806" s="153">
        <v>0</v>
      </c>
      <c r="CO806" s="153">
        <v>0</v>
      </c>
      <c r="CP806" s="153">
        <v>0</v>
      </c>
      <c r="CQ806" s="153">
        <v>0</v>
      </c>
      <c r="CR806" s="153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>
        <v>51</v>
      </c>
      <c r="C807" s="25" t="s">
        <v>515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33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>
        <v>1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s="18">
        <v>0</v>
      </c>
      <c r="BZ807">
        <v>0</v>
      </c>
      <c r="CA807">
        <v>0</v>
      </c>
      <c r="CB807">
        <v>0</v>
      </c>
      <c r="CC807" s="18">
        <v>1</v>
      </c>
      <c r="CD807">
        <v>0</v>
      </c>
      <c r="CE807">
        <v>0</v>
      </c>
      <c r="CF807">
        <v>0</v>
      </c>
      <c r="CG807">
        <v>0</v>
      </c>
      <c r="CH807" s="18">
        <v>0</v>
      </c>
      <c r="CI807">
        <v>0</v>
      </c>
      <c r="CJ807">
        <v>0</v>
      </c>
      <c r="CK807">
        <v>1</v>
      </c>
      <c r="CL807">
        <v>1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>
        <v>51</v>
      </c>
      <c r="C808" s="25" t="s">
        <v>515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33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s="18">
        <v>0</v>
      </c>
      <c r="BZ808">
        <v>0</v>
      </c>
      <c r="CA808">
        <v>0</v>
      </c>
      <c r="CB808">
        <v>0</v>
      </c>
      <c r="CC808" s="18">
        <v>1</v>
      </c>
      <c r="CD808">
        <v>0</v>
      </c>
      <c r="CE808">
        <v>0</v>
      </c>
      <c r="CF808">
        <v>0</v>
      </c>
      <c r="CG808">
        <v>0</v>
      </c>
      <c r="CH808" s="18">
        <v>0</v>
      </c>
      <c r="CI808">
        <v>0</v>
      </c>
      <c r="CJ808">
        <v>0</v>
      </c>
      <c r="CK808">
        <v>1</v>
      </c>
      <c r="CL808">
        <v>1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>
        <v>51</v>
      </c>
      <c r="C809" s="25" t="s">
        <v>515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33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>
        <v>1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s="18">
        <v>0</v>
      </c>
      <c r="BZ809">
        <v>0</v>
      </c>
      <c r="CA809">
        <v>0</v>
      </c>
      <c r="CB809">
        <v>0</v>
      </c>
      <c r="CC809" s="18">
        <v>1</v>
      </c>
      <c r="CD809">
        <v>0</v>
      </c>
      <c r="CE809">
        <v>0</v>
      </c>
      <c r="CF809">
        <v>0</v>
      </c>
      <c r="CG809">
        <v>0</v>
      </c>
      <c r="CH809" s="18">
        <v>0</v>
      </c>
      <c r="CI809">
        <v>0</v>
      </c>
      <c r="CJ809">
        <v>0</v>
      </c>
      <c r="CK809">
        <v>1</v>
      </c>
      <c r="CL809">
        <v>1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>
        <v>51</v>
      </c>
      <c r="C810" s="25" t="s">
        <v>515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>
        <v>1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s="18">
        <v>0</v>
      </c>
      <c r="BZ810">
        <v>0</v>
      </c>
      <c r="CA810">
        <v>0</v>
      </c>
      <c r="CB810">
        <v>0</v>
      </c>
      <c r="CC810" s="18">
        <v>1</v>
      </c>
      <c r="CD810">
        <v>0</v>
      </c>
      <c r="CE810">
        <v>0</v>
      </c>
      <c r="CF810">
        <v>0</v>
      </c>
      <c r="CG810">
        <v>0</v>
      </c>
      <c r="CH810" s="18">
        <v>0</v>
      </c>
      <c r="CI810">
        <v>0</v>
      </c>
      <c r="CJ810">
        <v>0</v>
      </c>
      <c r="CK810">
        <v>1</v>
      </c>
      <c r="CL810">
        <v>1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>
        <v>51</v>
      </c>
      <c r="C811" s="25" t="s">
        <v>515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>
        <v>1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s="18">
        <v>0</v>
      </c>
      <c r="BZ811">
        <v>0</v>
      </c>
      <c r="CA811">
        <v>0</v>
      </c>
      <c r="CB811">
        <v>0</v>
      </c>
      <c r="CC811" s="18">
        <v>1</v>
      </c>
      <c r="CD811">
        <v>0</v>
      </c>
      <c r="CE811">
        <v>0</v>
      </c>
      <c r="CF811">
        <v>0</v>
      </c>
      <c r="CG811">
        <v>0</v>
      </c>
      <c r="CH811" s="18">
        <v>0</v>
      </c>
      <c r="CI811">
        <v>0</v>
      </c>
      <c r="CJ811">
        <v>0</v>
      </c>
      <c r="CK811">
        <v>1</v>
      </c>
      <c r="CL811">
        <v>1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53">
        <v>51</v>
      </c>
      <c r="C812" s="154" t="s">
        <v>515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53">
        <v>1</v>
      </c>
      <c r="BS812" s="153">
        <v>0</v>
      </c>
      <c r="BT812" s="153">
        <v>0</v>
      </c>
      <c r="BU812" s="153">
        <v>0</v>
      </c>
      <c r="BV812" s="153">
        <v>0</v>
      </c>
      <c r="BW812" s="153">
        <v>0</v>
      </c>
      <c r="BX812" s="153">
        <v>0</v>
      </c>
      <c r="BY812" s="168">
        <v>0</v>
      </c>
      <c r="BZ812" s="153">
        <v>0</v>
      </c>
      <c r="CA812" s="153">
        <v>0</v>
      </c>
      <c r="CB812" s="153">
        <v>0</v>
      </c>
      <c r="CC812" s="168">
        <v>1</v>
      </c>
      <c r="CD812" s="153">
        <v>0</v>
      </c>
      <c r="CE812" s="153">
        <v>0</v>
      </c>
      <c r="CF812" s="153">
        <v>0</v>
      </c>
      <c r="CG812" s="153">
        <v>0</v>
      </c>
      <c r="CH812" s="168">
        <v>0</v>
      </c>
      <c r="CI812" s="153">
        <v>0</v>
      </c>
      <c r="CJ812" s="153">
        <v>0</v>
      </c>
      <c r="CK812" s="153">
        <v>1</v>
      </c>
      <c r="CL812" s="153">
        <v>1</v>
      </c>
      <c r="CM812" s="153">
        <v>0</v>
      </c>
      <c r="CN812" s="153">
        <v>0</v>
      </c>
      <c r="CO812" s="153">
        <v>0</v>
      </c>
      <c r="CP812" s="153">
        <v>0</v>
      </c>
      <c r="CQ812" s="153">
        <v>0</v>
      </c>
      <c r="CR812" s="153">
        <v>0</v>
      </c>
      <c r="CS812" s="168">
        <v>0</v>
      </c>
      <c r="CY812" s="171"/>
      <c r="DD812" s="171" t="s">
        <v>86</v>
      </c>
    </row>
    <row r="813" spans="1:108" s="189" customFormat="1" x14ac:dyDescent="0.25">
      <c r="A813" s="189">
        <v>812</v>
      </c>
      <c r="B813" s="189">
        <v>52</v>
      </c>
      <c r="C813" s="190" t="s">
        <v>517</v>
      </c>
      <c r="D813" s="191">
        <v>6.9290000000000003</v>
      </c>
      <c r="E813" s="192">
        <v>0.35099999999999998</v>
      </c>
      <c r="F813" s="193">
        <f t="shared" si="558"/>
        <v>19.740740740740744</v>
      </c>
      <c r="G813" s="193">
        <f t="shared" si="542"/>
        <v>6.5780000000000003</v>
      </c>
      <c r="H813" s="194">
        <f t="shared" si="543"/>
        <v>7.28</v>
      </c>
      <c r="I813" s="195">
        <f t="shared" si="580"/>
        <v>0.27982908448508376</v>
      </c>
      <c r="J813" s="196">
        <f t="shared" si="581"/>
        <v>1.4175206906373847E-2</v>
      </c>
      <c r="K813" s="196">
        <f t="shared" si="582"/>
        <v>70.545707488075706</v>
      </c>
      <c r="L813" s="196">
        <f t="shared" si="583"/>
        <v>0.2656538775787099</v>
      </c>
      <c r="M813" s="196">
        <f t="shared" si="584"/>
        <v>0.29400429139145762</v>
      </c>
      <c r="N813" s="197">
        <v>1</v>
      </c>
      <c r="O813" s="198">
        <v>0</v>
      </c>
      <c r="P813" s="197">
        <v>0</v>
      </c>
      <c r="Q813" s="198">
        <v>0</v>
      </c>
      <c r="R813" s="198">
        <v>1</v>
      </c>
      <c r="S813" s="198">
        <v>0</v>
      </c>
      <c r="T813" s="198">
        <v>0</v>
      </c>
      <c r="U813" s="197">
        <v>4596</v>
      </c>
      <c r="V813" s="198">
        <v>8</v>
      </c>
      <c r="W813" s="198">
        <f t="shared" si="573"/>
        <v>4587</v>
      </c>
      <c r="X813" s="198">
        <f t="shared" si="559"/>
        <v>1</v>
      </c>
      <c r="Y813" s="193">
        <v>10.683</v>
      </c>
      <c r="Z813" s="193">
        <v>7.8520000000000003</v>
      </c>
      <c r="AA813" s="198">
        <v>1</v>
      </c>
      <c r="AB813" s="198">
        <v>0</v>
      </c>
      <c r="AC813" s="198">
        <v>0</v>
      </c>
      <c r="AD813" s="198">
        <v>0</v>
      </c>
      <c r="AE813" s="198">
        <v>0</v>
      </c>
      <c r="AF813" s="198">
        <v>1</v>
      </c>
      <c r="AG813" s="197">
        <v>0</v>
      </c>
      <c r="AH813" s="198">
        <v>1</v>
      </c>
      <c r="AI813" s="199">
        <v>0</v>
      </c>
      <c r="AJ813" s="198">
        <v>1</v>
      </c>
      <c r="AK813" s="199">
        <v>0</v>
      </c>
      <c r="AL813" s="200">
        <v>2008</v>
      </c>
      <c r="AM813" s="201">
        <f t="shared" si="561"/>
        <v>7.6048944808116197</v>
      </c>
      <c r="AN813" s="196" t="s">
        <v>106</v>
      </c>
      <c r="AO813" s="196" t="s">
        <v>106</v>
      </c>
      <c r="AP813" s="196" t="s">
        <v>106</v>
      </c>
      <c r="AQ813" s="202" t="s">
        <v>106</v>
      </c>
      <c r="AR813" s="196" t="s">
        <v>106</v>
      </c>
      <c r="AS813" s="202" t="s">
        <v>106</v>
      </c>
      <c r="AT813" s="203" t="s">
        <v>106</v>
      </c>
      <c r="AU813" s="204" t="s">
        <v>106</v>
      </c>
      <c r="AV813" s="189">
        <v>0.66700000000000004</v>
      </c>
      <c r="AW813" s="205">
        <v>0.33300000000000002</v>
      </c>
      <c r="AX813" s="189" t="s">
        <v>106</v>
      </c>
      <c r="AY813" s="205" t="s">
        <v>106</v>
      </c>
      <c r="BA813" s="204"/>
      <c r="BB813" s="189">
        <v>0.32400000000000001</v>
      </c>
      <c r="BC813" s="204">
        <v>0.67600000000000005</v>
      </c>
      <c r="BD813" s="204" t="s">
        <v>13</v>
      </c>
      <c r="BK813" s="204"/>
      <c r="BN813" s="204"/>
      <c r="BQ813" s="190">
        <v>35.192</v>
      </c>
      <c r="BR813" s="189">
        <v>1</v>
      </c>
      <c r="BS813" s="189">
        <v>0</v>
      </c>
      <c r="BT813" s="189">
        <v>0</v>
      </c>
      <c r="BU813" s="189">
        <v>0</v>
      </c>
      <c r="BV813" s="189">
        <v>0</v>
      </c>
      <c r="BW813" s="189">
        <v>0</v>
      </c>
      <c r="BX813" s="189">
        <v>0</v>
      </c>
      <c r="BY813" s="204">
        <v>0</v>
      </c>
      <c r="BZ813" s="189">
        <v>0</v>
      </c>
      <c r="CA813" s="189">
        <v>0</v>
      </c>
      <c r="CB813" s="189">
        <v>0</v>
      </c>
      <c r="CC813" s="204">
        <v>1</v>
      </c>
      <c r="CD813" s="189">
        <v>0</v>
      </c>
      <c r="CE813" s="189">
        <v>0</v>
      </c>
      <c r="CF813" s="189">
        <v>0</v>
      </c>
      <c r="CG813" s="189">
        <v>0</v>
      </c>
      <c r="CH813" s="204">
        <v>0</v>
      </c>
      <c r="CI813" s="189">
        <v>0</v>
      </c>
      <c r="CJ813" s="189">
        <v>0</v>
      </c>
      <c r="CK813" s="189">
        <v>1</v>
      </c>
      <c r="CL813" s="189">
        <v>1</v>
      </c>
      <c r="CM813" s="189">
        <v>0</v>
      </c>
      <c r="CN813" s="189">
        <v>0</v>
      </c>
      <c r="CO813" s="189">
        <v>0</v>
      </c>
      <c r="CP813" s="189">
        <v>0</v>
      </c>
      <c r="CQ813" s="189">
        <v>0</v>
      </c>
      <c r="CR813" s="189">
        <v>0</v>
      </c>
      <c r="CS813" s="204">
        <v>0</v>
      </c>
      <c r="CY813" s="206"/>
      <c r="DD813" s="206" t="s">
        <v>86</v>
      </c>
    </row>
    <row r="814" spans="1:108" x14ac:dyDescent="0.25">
      <c r="A814">
        <v>813</v>
      </c>
      <c r="B814">
        <v>53</v>
      </c>
      <c r="C814" s="25" t="s">
        <v>518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>
        <v>1</v>
      </c>
      <c r="AW814" s="40">
        <v>0</v>
      </c>
      <c r="AX814" t="s">
        <v>106</v>
      </c>
      <c r="AY814" s="40" t="s">
        <v>106</v>
      </c>
      <c r="BA814" s="18"/>
      <c r="BB814" t="s">
        <v>106</v>
      </c>
      <c r="BC814" s="18" t="s">
        <v>106</v>
      </c>
      <c r="BD814" s="18" t="s">
        <v>245</v>
      </c>
      <c r="BK814" s="18"/>
      <c r="BN814" s="18"/>
      <c r="BQ814" s="25">
        <v>41.44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s="18">
        <v>0</v>
      </c>
      <c r="BZ814">
        <v>0</v>
      </c>
      <c r="CA814">
        <v>0</v>
      </c>
      <c r="CB814">
        <v>1</v>
      </c>
      <c r="CC814" s="18">
        <v>0</v>
      </c>
      <c r="CD814">
        <v>0</v>
      </c>
      <c r="CE814">
        <v>0</v>
      </c>
      <c r="CF814">
        <v>0</v>
      </c>
      <c r="CG814">
        <v>0</v>
      </c>
      <c r="CH814" s="18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>
        <v>53</v>
      </c>
      <c r="C815" s="25" t="s">
        <v>518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>
        <v>1</v>
      </c>
      <c r="AW815" s="40">
        <v>0</v>
      </c>
      <c r="AX815" t="s">
        <v>106</v>
      </c>
      <c r="AY815" s="40" t="s">
        <v>106</v>
      </c>
      <c r="BA815" s="18"/>
      <c r="BB815" t="s">
        <v>106</v>
      </c>
      <c r="BC815" s="18" t="s">
        <v>106</v>
      </c>
      <c r="BD815" s="18" t="s">
        <v>245</v>
      </c>
      <c r="BK815" s="18"/>
      <c r="BN815" s="18"/>
      <c r="BQ815" s="25">
        <v>41.44</v>
      </c>
      <c r="BR815">
        <v>0</v>
      </c>
      <c r="BS815">
        <v>0</v>
      </c>
      <c r="BT815">
        <v>0</v>
      </c>
      <c r="BU815">
        <v>0</v>
      </c>
      <c r="BV815">
        <v>1</v>
      </c>
      <c r="BW815">
        <v>0</v>
      </c>
      <c r="BX815">
        <v>0</v>
      </c>
      <c r="BY815" s="18">
        <v>0</v>
      </c>
      <c r="BZ815">
        <v>0</v>
      </c>
      <c r="CA815">
        <v>1</v>
      </c>
      <c r="CB815">
        <v>0</v>
      </c>
      <c r="CC815" s="18">
        <v>0</v>
      </c>
      <c r="CD815">
        <v>0</v>
      </c>
      <c r="CE815">
        <v>0</v>
      </c>
      <c r="CF815">
        <v>0</v>
      </c>
      <c r="CG815">
        <v>0</v>
      </c>
      <c r="CH815" s="18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>
        <v>53</v>
      </c>
      <c r="C816" s="25" t="s">
        <v>518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>
        <v>1</v>
      </c>
      <c r="AW816" s="40">
        <v>0</v>
      </c>
      <c r="AX816" t="s">
        <v>106</v>
      </c>
      <c r="AY816" s="40" t="s">
        <v>106</v>
      </c>
      <c r="BA816" s="18"/>
      <c r="BB816" t="s">
        <v>106</v>
      </c>
      <c r="BC816" s="18" t="s">
        <v>106</v>
      </c>
      <c r="BD816" s="18" t="s">
        <v>245</v>
      </c>
      <c r="BK816" s="18"/>
      <c r="BN816" s="18"/>
      <c r="BQ816" s="25">
        <v>41.44</v>
      </c>
      <c r="BR816">
        <v>0</v>
      </c>
      <c r="BS816">
        <v>0</v>
      </c>
      <c r="BT816">
        <v>0</v>
      </c>
      <c r="BU816">
        <v>0</v>
      </c>
      <c r="BV816">
        <v>1</v>
      </c>
      <c r="BW816">
        <v>0</v>
      </c>
      <c r="BX816">
        <v>0</v>
      </c>
      <c r="BY816" s="18">
        <v>0</v>
      </c>
      <c r="BZ816">
        <v>0</v>
      </c>
      <c r="CA816">
        <v>1</v>
      </c>
      <c r="CB816">
        <v>0</v>
      </c>
      <c r="CC816" s="18">
        <v>0</v>
      </c>
      <c r="CD816">
        <v>0</v>
      </c>
      <c r="CE816">
        <v>0</v>
      </c>
      <c r="CF816">
        <v>0</v>
      </c>
      <c r="CG816">
        <v>0</v>
      </c>
      <c r="CH816" s="18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>
        <v>53</v>
      </c>
      <c r="C817" s="25" t="s">
        <v>518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>
        <v>1</v>
      </c>
      <c r="AW817" s="40">
        <v>0</v>
      </c>
      <c r="AX817" t="s">
        <v>106</v>
      </c>
      <c r="AY817" s="40" t="s">
        <v>106</v>
      </c>
      <c r="BA817" s="18"/>
      <c r="BB817" t="s">
        <v>106</v>
      </c>
      <c r="BC817" s="18" t="s">
        <v>106</v>
      </c>
      <c r="BD817" s="18" t="s">
        <v>245</v>
      </c>
      <c r="BK817" s="18"/>
      <c r="BN817" s="18"/>
      <c r="BQ817" s="25">
        <v>41.44</v>
      </c>
      <c r="BR817">
        <v>0</v>
      </c>
      <c r="BS817">
        <v>0</v>
      </c>
      <c r="BT817">
        <v>0</v>
      </c>
      <c r="BU817">
        <v>0</v>
      </c>
      <c r="BV817">
        <v>1</v>
      </c>
      <c r="BW817">
        <v>0</v>
      </c>
      <c r="BX817">
        <v>0</v>
      </c>
      <c r="BY817" s="18">
        <v>0</v>
      </c>
      <c r="BZ817">
        <v>0</v>
      </c>
      <c r="CA817">
        <v>1</v>
      </c>
      <c r="CB817">
        <v>0</v>
      </c>
      <c r="CC817" s="18">
        <v>0</v>
      </c>
      <c r="CD817">
        <v>0</v>
      </c>
      <c r="CE817">
        <v>0</v>
      </c>
      <c r="CF817">
        <v>0</v>
      </c>
      <c r="CG817">
        <v>0</v>
      </c>
      <c r="CH817" s="18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>
        <v>53</v>
      </c>
      <c r="C818" s="25" t="s">
        <v>518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>
        <v>1</v>
      </c>
      <c r="AW818" s="40">
        <v>0</v>
      </c>
      <c r="AX818" t="s">
        <v>106</v>
      </c>
      <c r="AY818" s="40" t="s">
        <v>106</v>
      </c>
      <c r="BA818" s="18"/>
      <c r="BB818" t="s">
        <v>106</v>
      </c>
      <c r="BC818" s="18" t="s">
        <v>106</v>
      </c>
      <c r="BD818" s="18" t="s">
        <v>245</v>
      </c>
      <c r="BK818" s="18"/>
      <c r="BN818" s="18"/>
      <c r="BQ818" s="25">
        <v>41.44</v>
      </c>
      <c r="BR818">
        <v>1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s="18">
        <v>0</v>
      </c>
      <c r="BZ818">
        <v>0</v>
      </c>
      <c r="CA818">
        <v>0</v>
      </c>
      <c r="CB818">
        <v>1</v>
      </c>
      <c r="CC818" s="18">
        <v>0</v>
      </c>
      <c r="CD818">
        <v>0</v>
      </c>
      <c r="CE818">
        <v>0</v>
      </c>
      <c r="CF818">
        <v>0</v>
      </c>
      <c r="CG818">
        <v>0</v>
      </c>
      <c r="CH818" s="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>
        <v>53</v>
      </c>
      <c r="C819" s="25" t="s">
        <v>518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>
        <v>1</v>
      </c>
      <c r="AW819" s="40">
        <v>0</v>
      </c>
      <c r="AX819" t="s">
        <v>106</v>
      </c>
      <c r="AY819" s="40" t="s">
        <v>106</v>
      </c>
      <c r="BA819" s="18"/>
      <c r="BB819" t="s">
        <v>106</v>
      </c>
      <c r="BC819" s="18" t="s">
        <v>106</v>
      </c>
      <c r="BD819" s="18" t="s">
        <v>245</v>
      </c>
      <c r="BK819" s="18"/>
      <c r="BN819" s="18"/>
      <c r="BQ819" s="25">
        <v>41.44</v>
      </c>
      <c r="BR819">
        <v>0</v>
      </c>
      <c r="BS819">
        <v>0</v>
      </c>
      <c r="BT819">
        <v>0</v>
      </c>
      <c r="BU819">
        <v>0</v>
      </c>
      <c r="BV819">
        <v>1</v>
      </c>
      <c r="BW819">
        <v>0</v>
      </c>
      <c r="BX819">
        <v>0</v>
      </c>
      <c r="BY819" s="18">
        <v>0</v>
      </c>
      <c r="BZ819">
        <v>0</v>
      </c>
      <c r="CA819">
        <v>1</v>
      </c>
      <c r="CB819">
        <v>0</v>
      </c>
      <c r="CC819" s="18">
        <v>0</v>
      </c>
      <c r="CD819">
        <v>0</v>
      </c>
      <c r="CE819">
        <v>0</v>
      </c>
      <c r="CF819">
        <v>0</v>
      </c>
      <c r="CG819">
        <v>0</v>
      </c>
      <c r="CH819" s="18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>
        <v>53</v>
      </c>
      <c r="C820" s="25" t="s">
        <v>518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>
        <v>1</v>
      </c>
      <c r="AW820" s="40">
        <v>0</v>
      </c>
      <c r="AX820" t="s">
        <v>106</v>
      </c>
      <c r="AY820" s="40" t="s">
        <v>106</v>
      </c>
      <c r="BA820" s="18"/>
      <c r="BB820" t="s">
        <v>106</v>
      </c>
      <c r="BC820" s="18" t="s">
        <v>106</v>
      </c>
      <c r="BD820" s="18" t="s">
        <v>245</v>
      </c>
      <c r="BK820" s="18"/>
      <c r="BN820" s="18"/>
      <c r="BQ820" s="25">
        <v>41.44</v>
      </c>
      <c r="BR820">
        <v>0</v>
      </c>
      <c r="BS820">
        <v>0</v>
      </c>
      <c r="BT820">
        <v>0</v>
      </c>
      <c r="BU820">
        <v>0</v>
      </c>
      <c r="BV820">
        <v>1</v>
      </c>
      <c r="BW820">
        <v>0</v>
      </c>
      <c r="BX820">
        <v>0</v>
      </c>
      <c r="BY820" s="18">
        <v>0</v>
      </c>
      <c r="BZ820">
        <v>0</v>
      </c>
      <c r="CA820">
        <v>1</v>
      </c>
      <c r="CB820">
        <v>0</v>
      </c>
      <c r="CC820" s="18">
        <v>0</v>
      </c>
      <c r="CD820">
        <v>0</v>
      </c>
      <c r="CE820">
        <v>0</v>
      </c>
      <c r="CF820">
        <v>0</v>
      </c>
      <c r="CG820">
        <v>0</v>
      </c>
      <c r="CH820" s="18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53">
        <v>53</v>
      </c>
      <c r="C821" s="154" t="s">
        <v>518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:W822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53">
        <v>1</v>
      </c>
      <c r="AW821" s="169">
        <v>0</v>
      </c>
      <c r="AX821" s="153" t="s">
        <v>106</v>
      </c>
      <c r="AY821" s="169" t="s">
        <v>106</v>
      </c>
      <c r="BA821" s="168"/>
      <c r="BB821" s="153" t="s">
        <v>106</v>
      </c>
      <c r="BC821" s="168" t="s">
        <v>106</v>
      </c>
      <c r="BD821" s="168" t="s">
        <v>245</v>
      </c>
      <c r="BK821" s="168"/>
      <c r="BN821" s="168"/>
      <c r="BQ821" s="154">
        <v>41.44</v>
      </c>
      <c r="BR821" s="153">
        <v>0</v>
      </c>
      <c r="BS821" s="153">
        <v>0</v>
      </c>
      <c r="BT821" s="153">
        <v>0</v>
      </c>
      <c r="BU821" s="153">
        <v>0</v>
      </c>
      <c r="BV821" s="153">
        <v>1</v>
      </c>
      <c r="BW821" s="153">
        <v>0</v>
      </c>
      <c r="BX821" s="153">
        <v>0</v>
      </c>
      <c r="BY821" s="168">
        <v>0</v>
      </c>
      <c r="BZ821" s="153">
        <v>0</v>
      </c>
      <c r="CA821" s="153">
        <v>1</v>
      </c>
      <c r="CB821" s="153">
        <v>0</v>
      </c>
      <c r="CC821" s="168">
        <v>0</v>
      </c>
      <c r="CD821" s="153">
        <v>0</v>
      </c>
      <c r="CE821" s="153">
        <v>0</v>
      </c>
      <c r="CF821" s="153">
        <v>0</v>
      </c>
      <c r="CG821" s="153">
        <v>0</v>
      </c>
      <c r="CH821" s="168">
        <v>0</v>
      </c>
      <c r="CI821" s="153">
        <v>0</v>
      </c>
      <c r="CJ821" s="153">
        <v>0</v>
      </c>
      <c r="CK821" s="153">
        <v>0</v>
      </c>
      <c r="CL821" s="153">
        <v>0</v>
      </c>
      <c r="CM821" s="153">
        <v>0</v>
      </c>
      <c r="CN821" s="153">
        <v>0</v>
      </c>
      <c r="CO821" s="153">
        <v>0</v>
      </c>
      <c r="CP821" s="153">
        <v>0</v>
      </c>
      <c r="CQ821" s="153">
        <v>0</v>
      </c>
      <c r="CR821" s="153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>
        <v>54</v>
      </c>
      <c r="C822" s="25" t="s">
        <v>520</v>
      </c>
      <c r="D822" s="12">
        <v>1.9165214315062722</v>
      </c>
      <c r="E822" s="14">
        <v>0.16665403752228453</v>
      </c>
      <c r="F822" s="7">
        <v>11.5</v>
      </c>
      <c r="G822" s="7">
        <f t="shared" ref="G822:G836" si="600">D822-E822</f>
        <v>1.7498673939839877</v>
      </c>
      <c r="H822" s="16">
        <f t="shared" ref="H822:H836" si="601">D822+E822</f>
        <v>2.0831754690285567</v>
      </c>
      <c r="I822" s="11">
        <f t="shared" ref="I822:I836" si="602">IFERROR(F822/SQRT(F822^2+W822), "X")</f>
        <v>0.18736377137981769</v>
      </c>
      <c r="J822" s="33">
        <f t="shared" ref="J822:J836" si="603">IFERROR(SQRT((1-I822^2)/W822), "X")</f>
        <v>1.6292501859114582E-2</v>
      </c>
      <c r="K822" s="33">
        <f t="shared" ref="K822:K836" si="604">IFERROR(1/J822, "X")</f>
        <v>61.377927628749404</v>
      </c>
      <c r="L822" s="33">
        <f t="shared" ref="L822:L836" si="605">IFERROR(I822-J822, "X")</f>
        <v>0.17107126952070312</v>
      </c>
      <c r="M822" s="33">
        <f t="shared" ref="M822:M836" si="606">IFERROR(I822+J822, "X")</f>
        <v>0.20365627323893226</v>
      </c>
      <c r="N822" s="8">
        <v>1</v>
      </c>
      <c r="O822" s="9">
        <v>0</v>
      </c>
      <c r="P822" s="8">
        <v>0</v>
      </c>
      <c r="Q822" s="9">
        <v>0</v>
      </c>
      <c r="R822" s="9">
        <v>1</v>
      </c>
      <c r="S822" s="9">
        <v>0</v>
      </c>
      <c r="T822" s="9">
        <v>0</v>
      </c>
      <c r="U822" s="8">
        <v>3639</v>
      </c>
      <c r="V822" s="9">
        <v>3</v>
      </c>
      <c r="W822" s="9">
        <f t="shared" si="599"/>
        <v>3635</v>
      </c>
      <c r="X822" s="9">
        <f t="shared" si="559"/>
        <v>15</v>
      </c>
      <c r="Y822" s="7">
        <f>AP822*13+AQ822*16</f>
        <v>13.849</v>
      </c>
      <c r="Z822" s="7">
        <f>BQ822-Y822-6</f>
        <v>13.151</v>
      </c>
      <c r="AA822" s="9">
        <v>0</v>
      </c>
      <c r="AB822" s="9">
        <v>1</v>
      </c>
      <c r="AC822" s="9">
        <v>0</v>
      </c>
      <c r="AD822" s="9">
        <v>1</v>
      </c>
      <c r="AE822" s="9">
        <v>0</v>
      </c>
      <c r="AF822" s="9">
        <v>0</v>
      </c>
      <c r="AG822" s="8">
        <v>0</v>
      </c>
      <c r="AH822" s="9">
        <v>0</v>
      </c>
      <c r="AI822" s="30">
        <v>1</v>
      </c>
      <c r="AJ822" s="9">
        <v>1</v>
      </c>
      <c r="AK822" s="30">
        <v>0</v>
      </c>
      <c r="AL822" s="21">
        <v>1958</v>
      </c>
      <c r="AM822" s="23">
        <f t="shared" si="561"/>
        <v>7.5796788230904557</v>
      </c>
      <c r="AN822" s="33">
        <v>0</v>
      </c>
      <c r="AO822" s="33">
        <v>0</v>
      </c>
      <c r="AP822" s="33">
        <v>0.71699999999999997</v>
      </c>
      <c r="AQ822" s="43">
        <v>0.28299999999999997</v>
      </c>
      <c r="AR822" s="33">
        <v>0.94799999999999995</v>
      </c>
      <c r="AS822" s="43">
        <v>5.1999999999999998E-2</v>
      </c>
      <c r="AT822" s="42" t="s">
        <v>106</v>
      </c>
      <c r="AU822" s="18" t="s">
        <v>106</v>
      </c>
      <c r="AV822">
        <v>1</v>
      </c>
      <c r="AW822" s="40">
        <v>0</v>
      </c>
      <c r="AX822" t="s">
        <v>106</v>
      </c>
      <c r="AY822" s="40" t="s">
        <v>106</v>
      </c>
      <c r="BA822" s="18"/>
      <c r="BB822" t="s">
        <v>106</v>
      </c>
      <c r="BC822" s="18" t="s">
        <v>106</v>
      </c>
      <c r="BD822" s="18" t="s">
        <v>341</v>
      </c>
      <c r="BK822" s="18"/>
      <c r="BN822" s="18"/>
      <c r="BQ822" s="25">
        <v>33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 s="18">
        <v>0</v>
      </c>
      <c r="BZ822">
        <v>0</v>
      </c>
      <c r="CA822">
        <v>1</v>
      </c>
      <c r="CB822">
        <v>0</v>
      </c>
      <c r="CC822" s="18">
        <v>0</v>
      </c>
      <c r="CD822">
        <v>0</v>
      </c>
      <c r="CE822">
        <v>0</v>
      </c>
      <c r="CF822">
        <v>0</v>
      </c>
      <c r="CG822">
        <v>0</v>
      </c>
      <c r="CH822" s="18">
        <v>0</v>
      </c>
      <c r="CI822">
        <v>0</v>
      </c>
      <c r="CJ822">
        <v>0</v>
      </c>
      <c r="CK822">
        <v>0</v>
      </c>
      <c r="CL822">
        <v>0</v>
      </c>
      <c r="CM822">
        <v>1</v>
      </c>
      <c r="CN822">
        <v>0</v>
      </c>
      <c r="CO822">
        <v>0</v>
      </c>
      <c r="CP822">
        <v>0</v>
      </c>
      <c r="CQ822">
        <v>0</v>
      </c>
      <c r="CR822">
        <v>1</v>
      </c>
      <c r="CS822" s="18">
        <v>0</v>
      </c>
      <c r="DD822" s="34" t="s">
        <v>86</v>
      </c>
    </row>
    <row r="823" spans="1:108" x14ac:dyDescent="0.25">
      <c r="A823">
        <v>822</v>
      </c>
      <c r="B823">
        <v>54</v>
      </c>
      <c r="C823" s="25" t="s">
        <v>520</v>
      </c>
      <c r="D823" s="12">
        <v>0.70399818512266887</v>
      </c>
      <c r="E823" s="14">
        <v>0.11982947831875215</v>
      </c>
      <c r="F823" s="7">
        <v>5.875</v>
      </c>
      <c r="G823" s="7">
        <f t="shared" si="600"/>
        <v>0.58416870680391675</v>
      </c>
      <c r="H823" s="16">
        <f t="shared" si="601"/>
        <v>0.823827663441421</v>
      </c>
      <c r="I823" s="11">
        <f t="shared" si="602"/>
        <v>9.6984761089135257E-2</v>
      </c>
      <c r="J823" s="33">
        <f t="shared" si="603"/>
        <v>1.6508044440703872E-2</v>
      </c>
      <c r="K823" s="33">
        <f t="shared" si="604"/>
        <v>60.576527013357243</v>
      </c>
      <c r="L823" s="33">
        <f t="shared" si="605"/>
        <v>8.0476716648431382E-2</v>
      </c>
      <c r="M823" s="33">
        <f t="shared" si="606"/>
        <v>0.11349280552983913</v>
      </c>
      <c r="N823" s="8">
        <v>1</v>
      </c>
      <c r="O823" s="9">
        <v>0</v>
      </c>
      <c r="P823" s="8">
        <v>0</v>
      </c>
      <c r="Q823" s="9">
        <v>0</v>
      </c>
      <c r="R823" s="9">
        <v>1</v>
      </c>
      <c r="S823" s="9">
        <v>0</v>
      </c>
      <c r="T823" s="9">
        <v>0</v>
      </c>
      <c r="U823" s="8">
        <v>3639</v>
      </c>
      <c r="V823" s="9">
        <v>3</v>
      </c>
      <c r="W823" s="9">
        <f t="shared" ref="W823:W836" si="607">U823-V823-1</f>
        <v>3635</v>
      </c>
      <c r="X823" s="9">
        <f t="shared" si="559"/>
        <v>15</v>
      </c>
      <c r="Y823" s="7">
        <f t="shared" ref="Y823:Y836" si="608">AP823*13+AQ823*16</f>
        <v>13.849</v>
      </c>
      <c r="Z823" s="7">
        <f t="shared" ref="Z823:Z836" si="609">BQ823-Y823-6</f>
        <v>13.151</v>
      </c>
      <c r="AA823" s="9">
        <v>0</v>
      </c>
      <c r="AB823" s="9">
        <v>1</v>
      </c>
      <c r="AC823" s="9">
        <v>0</v>
      </c>
      <c r="AD823" s="9">
        <v>1</v>
      </c>
      <c r="AE823" s="9">
        <v>0</v>
      </c>
      <c r="AF823" s="9">
        <v>0</v>
      </c>
      <c r="AG823" s="8">
        <v>0</v>
      </c>
      <c r="AH823" s="9">
        <v>0</v>
      </c>
      <c r="AI823" s="30">
        <v>1</v>
      </c>
      <c r="AJ823" s="9">
        <v>1</v>
      </c>
      <c r="AK823" s="30">
        <v>0</v>
      </c>
      <c r="AL823" s="21">
        <v>1958</v>
      </c>
      <c r="AM823" s="23">
        <f t="shared" si="561"/>
        <v>7.5796788230904557</v>
      </c>
      <c r="AN823" s="33">
        <v>0</v>
      </c>
      <c r="AO823" s="33">
        <v>0</v>
      </c>
      <c r="AP823" s="33">
        <v>0.71699999999999997</v>
      </c>
      <c r="AQ823" s="43">
        <v>0.28299999999999997</v>
      </c>
      <c r="AR823" s="33">
        <v>0.94799999999999995</v>
      </c>
      <c r="AS823" s="43">
        <v>5.1999999999999998E-2</v>
      </c>
      <c r="AT823" s="42" t="s">
        <v>106</v>
      </c>
      <c r="AU823" s="18" t="s">
        <v>106</v>
      </c>
      <c r="AV823">
        <v>1</v>
      </c>
      <c r="AW823" s="40">
        <v>0</v>
      </c>
      <c r="AX823" t="s">
        <v>106</v>
      </c>
      <c r="AY823" s="40" t="s">
        <v>106</v>
      </c>
      <c r="BA823" s="18"/>
      <c r="BB823" t="s">
        <v>106</v>
      </c>
      <c r="BC823" s="18" t="s">
        <v>106</v>
      </c>
      <c r="BD823" s="18" t="s">
        <v>341</v>
      </c>
      <c r="BK823" s="18"/>
      <c r="BN823" s="18"/>
      <c r="BQ823" s="25">
        <v>33</v>
      </c>
      <c r="BR823">
        <v>1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s="18">
        <v>0</v>
      </c>
      <c r="BZ823">
        <v>0</v>
      </c>
      <c r="CA823">
        <v>1</v>
      </c>
      <c r="CB823">
        <v>0</v>
      </c>
      <c r="CC823" s="18">
        <v>0</v>
      </c>
      <c r="CD823">
        <v>0</v>
      </c>
      <c r="CE823">
        <v>0</v>
      </c>
      <c r="CF823">
        <v>0</v>
      </c>
      <c r="CG823">
        <v>0</v>
      </c>
      <c r="CH823" s="18">
        <v>0</v>
      </c>
      <c r="CI823">
        <v>0</v>
      </c>
      <c r="CJ823">
        <v>0</v>
      </c>
      <c r="CK823">
        <v>0</v>
      </c>
      <c r="CL823">
        <v>0</v>
      </c>
      <c r="CM823">
        <v>1</v>
      </c>
      <c r="CN823">
        <v>0</v>
      </c>
      <c r="CO823">
        <v>0</v>
      </c>
      <c r="CP823">
        <v>0</v>
      </c>
      <c r="CQ823">
        <v>0</v>
      </c>
      <c r="CR823">
        <v>1</v>
      </c>
      <c r="CS823" s="18">
        <v>0</v>
      </c>
      <c r="DD823" s="34" t="s">
        <v>86</v>
      </c>
    </row>
    <row r="824" spans="1:108" x14ac:dyDescent="0.25">
      <c r="A824">
        <v>823</v>
      </c>
      <c r="B824">
        <v>54</v>
      </c>
      <c r="C824" s="25" t="s">
        <v>520</v>
      </c>
      <c r="D824" s="12">
        <v>2.1697611742472129</v>
      </c>
      <c r="E824" s="14">
        <v>0.11649724425488392</v>
      </c>
      <c r="F824" s="7">
        <v>18.625</v>
      </c>
      <c r="G824" s="7">
        <f t="shared" si="600"/>
        <v>2.0532639299923292</v>
      </c>
      <c r="H824" s="16">
        <f t="shared" si="601"/>
        <v>2.2862584185020967</v>
      </c>
      <c r="I824" s="11">
        <f t="shared" si="602"/>
        <v>0.29515600137965536</v>
      </c>
      <c r="J824" s="33">
        <f t="shared" si="603"/>
        <v>1.5847302087498277E-2</v>
      </c>
      <c r="K824" s="33">
        <f t="shared" si="604"/>
        <v>63.102223613752308</v>
      </c>
      <c r="L824" s="33">
        <f t="shared" si="605"/>
        <v>0.27930869929215707</v>
      </c>
      <c r="M824" s="33">
        <f t="shared" si="606"/>
        <v>0.31100330346715366</v>
      </c>
      <c r="N824" s="8">
        <v>1</v>
      </c>
      <c r="O824" s="9">
        <v>0</v>
      </c>
      <c r="P824" s="8">
        <v>0</v>
      </c>
      <c r="Q824" s="9">
        <v>0</v>
      </c>
      <c r="R824" s="9">
        <v>1</v>
      </c>
      <c r="S824" s="9">
        <v>0</v>
      </c>
      <c r="T824" s="9">
        <v>0</v>
      </c>
      <c r="U824" s="8">
        <v>3639</v>
      </c>
      <c r="V824" s="9">
        <v>3</v>
      </c>
      <c r="W824" s="9">
        <f t="shared" si="607"/>
        <v>3635</v>
      </c>
      <c r="X824" s="9">
        <f t="shared" si="559"/>
        <v>15</v>
      </c>
      <c r="Y824" s="7">
        <f t="shared" si="608"/>
        <v>13.849</v>
      </c>
      <c r="Z824" s="7">
        <f t="shared" si="609"/>
        <v>13.151</v>
      </c>
      <c r="AA824" s="9">
        <v>0</v>
      </c>
      <c r="AB824" s="9">
        <v>1</v>
      </c>
      <c r="AC824" s="9">
        <v>0</v>
      </c>
      <c r="AD824" s="9">
        <v>1</v>
      </c>
      <c r="AE824" s="9">
        <v>0</v>
      </c>
      <c r="AF824" s="9">
        <v>0</v>
      </c>
      <c r="AG824" s="8">
        <v>0</v>
      </c>
      <c r="AH824" s="9">
        <v>0</v>
      </c>
      <c r="AI824" s="30">
        <v>1</v>
      </c>
      <c r="AJ824" s="9">
        <v>1</v>
      </c>
      <c r="AK824" s="30">
        <v>0</v>
      </c>
      <c r="AL824" s="21">
        <v>1958</v>
      </c>
      <c r="AM824" s="23">
        <f t="shared" si="561"/>
        <v>7.5796788230904557</v>
      </c>
      <c r="AN824" s="33">
        <v>0</v>
      </c>
      <c r="AO824" s="33">
        <v>0</v>
      </c>
      <c r="AP824" s="33">
        <v>0.71699999999999997</v>
      </c>
      <c r="AQ824" s="43">
        <v>0.28299999999999997</v>
      </c>
      <c r="AR824" s="33">
        <v>0.94799999999999995</v>
      </c>
      <c r="AS824" s="43">
        <v>5.1999999999999998E-2</v>
      </c>
      <c r="AT824" s="42" t="s">
        <v>106</v>
      </c>
      <c r="AU824" s="18" t="s">
        <v>106</v>
      </c>
      <c r="AV824">
        <v>1</v>
      </c>
      <c r="AW824" s="40">
        <v>0</v>
      </c>
      <c r="AX824" t="s">
        <v>106</v>
      </c>
      <c r="AY824" s="40" t="s">
        <v>106</v>
      </c>
      <c r="BA824" s="18"/>
      <c r="BB824" t="s">
        <v>106</v>
      </c>
      <c r="BC824" s="18" t="s">
        <v>106</v>
      </c>
      <c r="BD824" s="18" t="s">
        <v>341</v>
      </c>
      <c r="BK824" s="18"/>
      <c r="BN824" s="18"/>
      <c r="BQ824" s="25">
        <v>33</v>
      </c>
      <c r="BR824">
        <v>1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 s="18">
        <v>0</v>
      </c>
      <c r="BZ824">
        <v>0</v>
      </c>
      <c r="CA824">
        <v>1</v>
      </c>
      <c r="CB824">
        <v>0</v>
      </c>
      <c r="CC824" s="18">
        <v>0</v>
      </c>
      <c r="CD824">
        <v>0</v>
      </c>
      <c r="CE824">
        <v>0</v>
      </c>
      <c r="CF824">
        <v>0</v>
      </c>
      <c r="CG824">
        <v>0</v>
      </c>
      <c r="CH824" s="18">
        <v>0</v>
      </c>
      <c r="CI824">
        <v>0</v>
      </c>
      <c r="CJ824">
        <v>0</v>
      </c>
      <c r="CK824">
        <v>0</v>
      </c>
      <c r="CL824">
        <v>0</v>
      </c>
      <c r="CM824">
        <v>1</v>
      </c>
      <c r="CN824">
        <v>0</v>
      </c>
      <c r="CO824">
        <v>0</v>
      </c>
      <c r="CP824">
        <v>0</v>
      </c>
      <c r="CQ824">
        <v>0</v>
      </c>
      <c r="CR824">
        <v>1</v>
      </c>
      <c r="CS824" s="18">
        <v>0</v>
      </c>
      <c r="DD824" s="34" t="s">
        <v>86</v>
      </c>
    </row>
    <row r="825" spans="1:108" x14ac:dyDescent="0.25">
      <c r="A825">
        <v>824</v>
      </c>
      <c r="B825">
        <v>54</v>
      </c>
      <c r="C825" s="25" t="s">
        <v>520</v>
      </c>
      <c r="D825" s="12">
        <v>1.5047758476939677</v>
      </c>
      <c r="E825" s="14">
        <v>0.16316846541259888</v>
      </c>
      <c r="F825" s="7">
        <v>9.2222222222222232</v>
      </c>
      <c r="G825" s="7">
        <f t="shared" si="600"/>
        <v>1.3416073822813688</v>
      </c>
      <c r="H825" s="16">
        <f t="shared" si="601"/>
        <v>1.6679443131065665</v>
      </c>
      <c r="I825" s="11">
        <f t="shared" si="602"/>
        <v>0.15120328631414434</v>
      </c>
      <c r="J825" s="33">
        <f t="shared" si="603"/>
        <v>1.6395537070208421E-2</v>
      </c>
      <c r="K825" s="33">
        <f t="shared" si="604"/>
        <v>60.992207557326935</v>
      </c>
      <c r="L825" s="33">
        <f t="shared" si="605"/>
        <v>0.13480774924393593</v>
      </c>
      <c r="M825" s="33">
        <f t="shared" si="606"/>
        <v>0.16759882338435275</v>
      </c>
      <c r="N825" s="8">
        <v>1</v>
      </c>
      <c r="O825" s="9">
        <v>0</v>
      </c>
      <c r="P825" s="8">
        <v>0</v>
      </c>
      <c r="Q825" s="9">
        <v>0</v>
      </c>
      <c r="R825" s="9">
        <v>1</v>
      </c>
      <c r="S825" s="9">
        <v>0</v>
      </c>
      <c r="T825" s="9">
        <v>0</v>
      </c>
      <c r="U825" s="8">
        <v>3639</v>
      </c>
      <c r="V825" s="9">
        <v>3</v>
      </c>
      <c r="W825" s="9">
        <f t="shared" si="607"/>
        <v>3635</v>
      </c>
      <c r="X825" s="9">
        <f t="shared" si="559"/>
        <v>15</v>
      </c>
      <c r="Y825" s="7">
        <f t="shared" si="608"/>
        <v>13.849</v>
      </c>
      <c r="Z825" s="7">
        <f t="shared" si="609"/>
        <v>13.151</v>
      </c>
      <c r="AA825" s="9">
        <v>0</v>
      </c>
      <c r="AB825" s="9">
        <v>1</v>
      </c>
      <c r="AC825" s="9">
        <v>0</v>
      </c>
      <c r="AD825" s="9">
        <v>1</v>
      </c>
      <c r="AE825" s="9">
        <v>0</v>
      </c>
      <c r="AF825" s="9">
        <v>0</v>
      </c>
      <c r="AG825" s="8">
        <v>0</v>
      </c>
      <c r="AH825" s="9">
        <v>0</v>
      </c>
      <c r="AI825" s="30">
        <v>1</v>
      </c>
      <c r="AJ825" s="9">
        <v>1</v>
      </c>
      <c r="AK825" s="30">
        <v>0</v>
      </c>
      <c r="AL825" s="21">
        <v>1958</v>
      </c>
      <c r="AM825" s="23">
        <f t="shared" si="561"/>
        <v>7.5796788230904557</v>
      </c>
      <c r="AN825" s="33">
        <v>0</v>
      </c>
      <c r="AO825" s="33">
        <v>0</v>
      </c>
      <c r="AP825" s="33">
        <v>0.71699999999999997</v>
      </c>
      <c r="AQ825" s="43">
        <v>0.28299999999999997</v>
      </c>
      <c r="AR825" s="33">
        <v>0.94799999999999995</v>
      </c>
      <c r="AS825" s="43">
        <v>5.1999999999999998E-2</v>
      </c>
      <c r="AT825" s="42" t="s">
        <v>106</v>
      </c>
      <c r="AU825" s="18" t="s">
        <v>106</v>
      </c>
      <c r="AV825">
        <v>1</v>
      </c>
      <c r="AW825" s="40">
        <v>0</v>
      </c>
      <c r="AX825" t="s">
        <v>106</v>
      </c>
      <c r="AY825" s="40" t="s">
        <v>106</v>
      </c>
      <c r="BA825" s="18"/>
      <c r="BB825" t="s">
        <v>106</v>
      </c>
      <c r="BC825" s="18" t="s">
        <v>106</v>
      </c>
      <c r="BD825" s="18" t="s">
        <v>341</v>
      </c>
      <c r="BK825" s="18"/>
      <c r="BN825" s="18"/>
      <c r="BQ825" s="25">
        <v>33</v>
      </c>
      <c r="BR825">
        <v>1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s="18">
        <v>0</v>
      </c>
      <c r="BZ825">
        <v>0</v>
      </c>
      <c r="CA825">
        <v>1</v>
      </c>
      <c r="CB825">
        <v>0</v>
      </c>
      <c r="CC825" s="18">
        <v>0</v>
      </c>
      <c r="CD825">
        <v>0</v>
      </c>
      <c r="CE825">
        <v>0</v>
      </c>
      <c r="CF825">
        <v>0</v>
      </c>
      <c r="CG825">
        <v>0</v>
      </c>
      <c r="CH825" s="18">
        <v>0</v>
      </c>
      <c r="CI825">
        <v>0</v>
      </c>
      <c r="CJ825">
        <v>0</v>
      </c>
      <c r="CK825">
        <v>0</v>
      </c>
      <c r="CL825">
        <v>0</v>
      </c>
      <c r="CM825">
        <v>1</v>
      </c>
      <c r="CN825">
        <v>0</v>
      </c>
      <c r="CO825">
        <v>0</v>
      </c>
      <c r="CP825">
        <v>0</v>
      </c>
      <c r="CQ825">
        <v>0</v>
      </c>
      <c r="CR825">
        <v>1</v>
      </c>
      <c r="CS825" s="18">
        <v>0</v>
      </c>
      <c r="DD825" s="34" t="s">
        <v>86</v>
      </c>
    </row>
    <row r="826" spans="1:108" x14ac:dyDescent="0.25">
      <c r="A826">
        <v>825</v>
      </c>
      <c r="B826">
        <v>54</v>
      </c>
      <c r="C826" s="25" t="s">
        <v>520</v>
      </c>
      <c r="D826" s="12">
        <v>0.57172911709000296</v>
      </c>
      <c r="E826" s="14">
        <v>0.1188008554992214</v>
      </c>
      <c r="F826" s="7">
        <v>4.8125</v>
      </c>
      <c r="G826" s="7">
        <f t="shared" si="600"/>
        <v>0.45292826159078159</v>
      </c>
      <c r="H826" s="16">
        <f t="shared" si="601"/>
        <v>0.69052997258922433</v>
      </c>
      <c r="I826" s="11">
        <f t="shared" si="602"/>
        <v>7.9568172773817836E-2</v>
      </c>
      <c r="J826" s="33">
        <f t="shared" si="603"/>
        <v>1.6533646290663447E-2</v>
      </c>
      <c r="K826" s="33">
        <f t="shared" si="604"/>
        <v>60.482726098035627</v>
      </c>
      <c r="L826" s="33">
        <f t="shared" si="605"/>
        <v>6.3034526483154385E-2</v>
      </c>
      <c r="M826" s="33">
        <f t="shared" si="606"/>
        <v>9.6101819064481286E-2</v>
      </c>
      <c r="N826" s="8">
        <v>1</v>
      </c>
      <c r="O826" s="9">
        <v>0</v>
      </c>
      <c r="P826" s="8">
        <v>0</v>
      </c>
      <c r="Q826" s="9">
        <v>0</v>
      </c>
      <c r="R826" s="9">
        <v>1</v>
      </c>
      <c r="S826" s="9">
        <v>0</v>
      </c>
      <c r="T826" s="9">
        <v>0</v>
      </c>
      <c r="U826" s="8">
        <v>3639</v>
      </c>
      <c r="V826" s="9">
        <v>3</v>
      </c>
      <c r="W826" s="9">
        <f t="shared" si="607"/>
        <v>3635</v>
      </c>
      <c r="X826" s="9">
        <f t="shared" si="559"/>
        <v>15</v>
      </c>
      <c r="Y826" s="7">
        <f t="shared" si="608"/>
        <v>13.849</v>
      </c>
      <c r="Z826" s="7">
        <f t="shared" si="609"/>
        <v>13.151</v>
      </c>
      <c r="AA826" s="9">
        <v>0</v>
      </c>
      <c r="AB826" s="9">
        <v>1</v>
      </c>
      <c r="AC826" s="9">
        <v>0</v>
      </c>
      <c r="AD826" s="9">
        <v>1</v>
      </c>
      <c r="AE826" s="9">
        <v>0</v>
      </c>
      <c r="AF826" s="9">
        <v>0</v>
      </c>
      <c r="AG826" s="8">
        <v>0</v>
      </c>
      <c r="AH826" s="9">
        <v>0</v>
      </c>
      <c r="AI826" s="30">
        <v>1</v>
      </c>
      <c r="AJ826" s="9">
        <v>1</v>
      </c>
      <c r="AK826" s="30">
        <v>0</v>
      </c>
      <c r="AL826" s="21">
        <v>1958</v>
      </c>
      <c r="AM826" s="23">
        <f t="shared" si="561"/>
        <v>7.5796788230904557</v>
      </c>
      <c r="AN826" s="33">
        <v>0</v>
      </c>
      <c r="AO826" s="33">
        <v>0</v>
      </c>
      <c r="AP826" s="33">
        <v>0.71699999999999997</v>
      </c>
      <c r="AQ826" s="43">
        <v>0.28299999999999997</v>
      </c>
      <c r="AR826" s="33">
        <v>0.94799999999999995</v>
      </c>
      <c r="AS826" s="43">
        <v>5.1999999999999998E-2</v>
      </c>
      <c r="AT826" s="42" t="s">
        <v>106</v>
      </c>
      <c r="AU826" s="18" t="s">
        <v>106</v>
      </c>
      <c r="AV826">
        <v>1</v>
      </c>
      <c r="AW826" s="40">
        <v>0</v>
      </c>
      <c r="AX826" t="s">
        <v>106</v>
      </c>
      <c r="AY826" s="40" t="s">
        <v>106</v>
      </c>
      <c r="BA826" s="18"/>
      <c r="BB826" t="s">
        <v>106</v>
      </c>
      <c r="BC826" s="18" t="s">
        <v>106</v>
      </c>
      <c r="BD826" s="18" t="s">
        <v>341</v>
      </c>
      <c r="BK826" s="18"/>
      <c r="BN826" s="18"/>
      <c r="BQ826" s="25">
        <v>33</v>
      </c>
      <c r="BR826">
        <v>1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s="18">
        <v>0</v>
      </c>
      <c r="BZ826">
        <v>0</v>
      </c>
      <c r="CA826">
        <v>1</v>
      </c>
      <c r="CB826">
        <v>0</v>
      </c>
      <c r="CC826" s="18">
        <v>0</v>
      </c>
      <c r="CD826">
        <v>0</v>
      </c>
      <c r="CE826">
        <v>0</v>
      </c>
      <c r="CF826">
        <v>0</v>
      </c>
      <c r="CG826">
        <v>0</v>
      </c>
      <c r="CH826" s="18">
        <v>0</v>
      </c>
      <c r="CI826">
        <v>0</v>
      </c>
      <c r="CJ826">
        <v>0</v>
      </c>
      <c r="CK826">
        <v>0</v>
      </c>
      <c r="CL826">
        <v>0</v>
      </c>
      <c r="CM826">
        <v>1</v>
      </c>
      <c r="CN826">
        <v>0</v>
      </c>
      <c r="CO826">
        <v>0</v>
      </c>
      <c r="CP826">
        <v>0</v>
      </c>
      <c r="CQ826">
        <v>0</v>
      </c>
      <c r="CR826">
        <v>1</v>
      </c>
      <c r="CS826" s="18">
        <v>0</v>
      </c>
      <c r="DD826" s="34" t="s">
        <v>86</v>
      </c>
    </row>
    <row r="827" spans="1:108" x14ac:dyDescent="0.25">
      <c r="A827">
        <v>826</v>
      </c>
      <c r="B827">
        <v>54</v>
      </c>
      <c r="C827" s="25" t="s">
        <v>520</v>
      </c>
      <c r="D827" s="12">
        <v>1.7671377066863212</v>
      </c>
      <c r="E827" s="14">
        <v>0.113551017297113</v>
      </c>
      <c r="F827" s="7">
        <v>15.5625</v>
      </c>
      <c r="G827" s="7">
        <f t="shared" si="600"/>
        <v>1.6535866893892082</v>
      </c>
      <c r="H827" s="16">
        <f t="shared" si="601"/>
        <v>1.8806887239834342</v>
      </c>
      <c r="I827" s="11">
        <f t="shared" si="602"/>
        <v>0.24993135499564653</v>
      </c>
      <c r="J827" s="33">
        <f t="shared" si="603"/>
        <v>1.605984610413793E-2</v>
      </c>
      <c r="K827" s="33">
        <f t="shared" si="604"/>
        <v>62.267097300661128</v>
      </c>
      <c r="L827" s="33">
        <f t="shared" si="605"/>
        <v>0.23387150889150859</v>
      </c>
      <c r="M827" s="33">
        <f t="shared" si="606"/>
        <v>0.26599120109978447</v>
      </c>
      <c r="N827" s="8">
        <v>1</v>
      </c>
      <c r="O827" s="9">
        <v>0</v>
      </c>
      <c r="P827" s="8">
        <v>0</v>
      </c>
      <c r="Q827" s="9">
        <v>0</v>
      </c>
      <c r="R827" s="9">
        <v>1</v>
      </c>
      <c r="S827" s="9">
        <v>0</v>
      </c>
      <c r="T827" s="9">
        <v>0</v>
      </c>
      <c r="U827" s="8">
        <v>3639</v>
      </c>
      <c r="V827" s="9">
        <v>3</v>
      </c>
      <c r="W827" s="9">
        <f t="shared" si="607"/>
        <v>3635</v>
      </c>
      <c r="X827" s="9">
        <f t="shared" si="559"/>
        <v>15</v>
      </c>
      <c r="Y827" s="7">
        <f t="shared" si="608"/>
        <v>13.849</v>
      </c>
      <c r="Z827" s="7">
        <f t="shared" si="609"/>
        <v>13.151</v>
      </c>
      <c r="AA827" s="9">
        <v>0</v>
      </c>
      <c r="AB827" s="9">
        <v>1</v>
      </c>
      <c r="AC827" s="9">
        <v>0</v>
      </c>
      <c r="AD827" s="9">
        <v>1</v>
      </c>
      <c r="AE827" s="9">
        <v>0</v>
      </c>
      <c r="AF827" s="9">
        <v>0</v>
      </c>
      <c r="AG827" s="8">
        <v>0</v>
      </c>
      <c r="AH827" s="9">
        <v>0</v>
      </c>
      <c r="AI827" s="30">
        <v>1</v>
      </c>
      <c r="AJ827" s="9">
        <v>1</v>
      </c>
      <c r="AK827" s="30">
        <v>0</v>
      </c>
      <c r="AL827" s="21">
        <v>1958</v>
      </c>
      <c r="AM827" s="23">
        <f t="shared" si="561"/>
        <v>7.5796788230904557</v>
      </c>
      <c r="AN827" s="33">
        <v>0</v>
      </c>
      <c r="AO827" s="33">
        <v>0</v>
      </c>
      <c r="AP827" s="33">
        <v>0.71699999999999997</v>
      </c>
      <c r="AQ827" s="43">
        <v>0.28299999999999997</v>
      </c>
      <c r="AR827" s="33">
        <v>0.94799999999999995</v>
      </c>
      <c r="AS827" s="43">
        <v>5.1999999999999998E-2</v>
      </c>
      <c r="AT827" s="42" t="s">
        <v>106</v>
      </c>
      <c r="AU827" s="18" t="s">
        <v>106</v>
      </c>
      <c r="AV827">
        <v>1</v>
      </c>
      <c r="AW827" s="40">
        <v>0</v>
      </c>
      <c r="AX827" t="s">
        <v>106</v>
      </c>
      <c r="AY827" s="40" t="s">
        <v>106</v>
      </c>
      <c r="BA827" s="18"/>
      <c r="BB827" t="s">
        <v>106</v>
      </c>
      <c r="BC827" s="18" t="s">
        <v>106</v>
      </c>
      <c r="BD827" s="18" t="s">
        <v>341</v>
      </c>
      <c r="BK827" s="18"/>
      <c r="BN827" s="18"/>
      <c r="BQ827" s="25">
        <v>33</v>
      </c>
      <c r="BR827">
        <v>1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s="18">
        <v>0</v>
      </c>
      <c r="BZ827">
        <v>0</v>
      </c>
      <c r="CA827">
        <v>1</v>
      </c>
      <c r="CB827">
        <v>0</v>
      </c>
      <c r="CC827" s="18">
        <v>0</v>
      </c>
      <c r="CD827">
        <v>0</v>
      </c>
      <c r="CE827">
        <v>0</v>
      </c>
      <c r="CF827">
        <v>0</v>
      </c>
      <c r="CG827">
        <v>0</v>
      </c>
      <c r="CH827" s="18">
        <v>0</v>
      </c>
      <c r="CI827">
        <v>0</v>
      </c>
      <c r="CJ827">
        <v>0</v>
      </c>
      <c r="CK827">
        <v>0</v>
      </c>
      <c r="CL827">
        <v>0</v>
      </c>
      <c r="CM827">
        <v>1</v>
      </c>
      <c r="CN827">
        <v>0</v>
      </c>
      <c r="CO827">
        <v>0</v>
      </c>
      <c r="CP827">
        <v>0</v>
      </c>
      <c r="CQ827">
        <v>0</v>
      </c>
      <c r="CR827">
        <v>1</v>
      </c>
      <c r="CS827" s="18">
        <v>0</v>
      </c>
      <c r="DD827" s="34" t="s">
        <v>86</v>
      </c>
    </row>
    <row r="828" spans="1:108" x14ac:dyDescent="0.25">
      <c r="A828">
        <v>827</v>
      </c>
      <c r="B828">
        <v>54</v>
      </c>
      <c r="C828" s="25" t="s">
        <v>520</v>
      </c>
      <c r="D828" s="12">
        <v>3.0854942579749727</v>
      </c>
      <c r="E828" s="14">
        <v>0.51914665292912232</v>
      </c>
      <c r="F828" s="7">
        <v>5.9433962264150946</v>
      </c>
      <c r="G828" s="7">
        <f t="shared" si="600"/>
        <v>2.5663476050458502</v>
      </c>
      <c r="H828" s="16">
        <f t="shared" si="601"/>
        <v>3.6046409109040951</v>
      </c>
      <c r="I828" s="11">
        <f t="shared" si="602"/>
        <v>9.8103044388919494E-2</v>
      </c>
      <c r="J828" s="33">
        <f t="shared" si="603"/>
        <v>1.6506226516230897E-2</v>
      </c>
      <c r="K828" s="33">
        <f t="shared" si="604"/>
        <v>60.583198650320249</v>
      </c>
      <c r="L828" s="33">
        <f t="shared" si="605"/>
        <v>8.1596817872688604E-2</v>
      </c>
      <c r="M828" s="33">
        <f t="shared" si="606"/>
        <v>0.11460927090515038</v>
      </c>
      <c r="N828" s="8">
        <v>1</v>
      </c>
      <c r="O828" s="9">
        <v>0</v>
      </c>
      <c r="P828" s="8">
        <v>0</v>
      </c>
      <c r="Q828" s="9">
        <v>0</v>
      </c>
      <c r="R828" s="9">
        <v>1</v>
      </c>
      <c r="S828" s="9">
        <v>0</v>
      </c>
      <c r="T828" s="9">
        <v>0</v>
      </c>
      <c r="U828" s="8">
        <v>3639</v>
      </c>
      <c r="V828" s="9">
        <v>3</v>
      </c>
      <c r="W828" s="9">
        <f t="shared" si="607"/>
        <v>3635</v>
      </c>
      <c r="X828" s="9">
        <f t="shared" si="559"/>
        <v>15</v>
      </c>
      <c r="Y828" s="7">
        <f t="shared" si="608"/>
        <v>13.849</v>
      </c>
      <c r="Z828" s="7">
        <f t="shared" si="609"/>
        <v>13.151</v>
      </c>
      <c r="AA828" s="9">
        <v>0</v>
      </c>
      <c r="AB828" s="9">
        <v>1</v>
      </c>
      <c r="AC828" s="9">
        <v>0</v>
      </c>
      <c r="AD828" s="9">
        <v>1</v>
      </c>
      <c r="AE828" s="9">
        <v>0</v>
      </c>
      <c r="AF828" s="9">
        <v>0</v>
      </c>
      <c r="AG828" s="8">
        <v>0</v>
      </c>
      <c r="AH828" s="9">
        <v>0</v>
      </c>
      <c r="AI828" s="30">
        <v>1</v>
      </c>
      <c r="AJ828" s="9">
        <v>1</v>
      </c>
      <c r="AK828" s="30">
        <v>0</v>
      </c>
      <c r="AL828" s="21">
        <v>1958</v>
      </c>
      <c r="AM828" s="23">
        <f t="shared" si="561"/>
        <v>7.5796788230904557</v>
      </c>
      <c r="AN828" s="33">
        <v>0</v>
      </c>
      <c r="AO828" s="33">
        <v>0</v>
      </c>
      <c r="AP828" s="33">
        <v>0.71699999999999997</v>
      </c>
      <c r="AQ828" s="43">
        <v>0.28299999999999997</v>
      </c>
      <c r="AR828" s="33">
        <v>0.94799999999999995</v>
      </c>
      <c r="AS828" s="43">
        <v>5.1999999999999998E-2</v>
      </c>
      <c r="AT828" s="42" t="s">
        <v>106</v>
      </c>
      <c r="AU828" s="18" t="s">
        <v>106</v>
      </c>
      <c r="AV828">
        <v>1</v>
      </c>
      <c r="AW828" s="40">
        <v>0</v>
      </c>
      <c r="AX828" t="s">
        <v>106</v>
      </c>
      <c r="AY828" s="40" t="s">
        <v>106</v>
      </c>
      <c r="BA828" s="18"/>
      <c r="BB828" t="s">
        <v>106</v>
      </c>
      <c r="BC828" s="18" t="s">
        <v>106</v>
      </c>
      <c r="BD828" s="18" t="s">
        <v>341</v>
      </c>
      <c r="BK828" s="18"/>
      <c r="BN828" s="18"/>
      <c r="BQ828" s="25">
        <v>33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s="18">
        <v>1</v>
      </c>
      <c r="BZ828">
        <v>0</v>
      </c>
      <c r="CA828">
        <v>1</v>
      </c>
      <c r="CB828">
        <v>0</v>
      </c>
      <c r="CC828" s="18">
        <v>0</v>
      </c>
      <c r="CD828">
        <v>1</v>
      </c>
      <c r="CE828">
        <v>0</v>
      </c>
      <c r="CF828">
        <v>0</v>
      </c>
      <c r="CG828">
        <v>0</v>
      </c>
      <c r="CH828" s="18">
        <v>0</v>
      </c>
      <c r="CI828">
        <v>0</v>
      </c>
      <c r="CJ828">
        <v>0</v>
      </c>
      <c r="CK828">
        <v>0</v>
      </c>
      <c r="CL828">
        <v>0</v>
      </c>
      <c r="CM828">
        <v>1</v>
      </c>
      <c r="CN828">
        <v>0</v>
      </c>
      <c r="CO828">
        <v>0</v>
      </c>
      <c r="CP828">
        <v>0</v>
      </c>
      <c r="CQ828">
        <v>0</v>
      </c>
      <c r="CR828">
        <v>1</v>
      </c>
      <c r="CS828" s="18">
        <v>0</v>
      </c>
      <c r="DD828" s="34" t="s">
        <v>86</v>
      </c>
    </row>
    <row r="829" spans="1:108" x14ac:dyDescent="0.25">
      <c r="A829">
        <v>828</v>
      </c>
      <c r="B829">
        <v>54</v>
      </c>
      <c r="C829" s="25" t="s">
        <v>520</v>
      </c>
      <c r="D829" s="12">
        <v>1.3236060808597532</v>
      </c>
      <c r="E829" s="14">
        <v>0.27250713429465506</v>
      </c>
      <c r="F829" s="7">
        <v>4.8571428571428568</v>
      </c>
      <c r="G829" s="7">
        <f t="shared" si="600"/>
        <v>1.0510989465650982</v>
      </c>
      <c r="H829" s="16">
        <f t="shared" si="601"/>
        <v>1.5961132151544082</v>
      </c>
      <c r="I829" s="11">
        <f t="shared" si="602"/>
        <v>8.0301544138865227E-2</v>
      </c>
      <c r="J829" s="33">
        <f t="shared" si="603"/>
        <v>1.6532670852119312E-2</v>
      </c>
      <c r="K829" s="33">
        <f t="shared" si="604"/>
        <v>60.486294618985333</v>
      </c>
      <c r="L829" s="33">
        <f t="shared" si="605"/>
        <v>6.3768873286745908E-2</v>
      </c>
      <c r="M829" s="33">
        <f t="shared" si="606"/>
        <v>9.6834214990984546E-2</v>
      </c>
      <c r="N829" s="8">
        <v>1</v>
      </c>
      <c r="O829" s="9">
        <v>0</v>
      </c>
      <c r="P829" s="8">
        <v>0</v>
      </c>
      <c r="Q829" s="9">
        <v>0</v>
      </c>
      <c r="R829" s="9">
        <v>1</v>
      </c>
      <c r="S829" s="9">
        <v>0</v>
      </c>
      <c r="T829" s="9">
        <v>0</v>
      </c>
      <c r="U829" s="8">
        <v>3639</v>
      </c>
      <c r="V829" s="9">
        <v>3</v>
      </c>
      <c r="W829" s="9">
        <f t="shared" si="607"/>
        <v>3635</v>
      </c>
      <c r="X829" s="9">
        <f t="shared" si="559"/>
        <v>15</v>
      </c>
      <c r="Y829" s="7">
        <f t="shared" si="608"/>
        <v>13.849</v>
      </c>
      <c r="Z829" s="7">
        <f t="shared" si="609"/>
        <v>13.151</v>
      </c>
      <c r="AA829" s="9">
        <v>0</v>
      </c>
      <c r="AB829" s="9">
        <v>1</v>
      </c>
      <c r="AC829" s="9">
        <v>0</v>
      </c>
      <c r="AD829" s="9">
        <v>1</v>
      </c>
      <c r="AE829" s="9">
        <v>0</v>
      </c>
      <c r="AF829" s="9">
        <v>0</v>
      </c>
      <c r="AG829" s="8">
        <v>0</v>
      </c>
      <c r="AH829" s="9">
        <v>0</v>
      </c>
      <c r="AI829" s="30">
        <v>1</v>
      </c>
      <c r="AJ829" s="9">
        <v>1</v>
      </c>
      <c r="AK829" s="30">
        <v>0</v>
      </c>
      <c r="AL829" s="21">
        <v>1958</v>
      </c>
      <c r="AM829" s="23">
        <f t="shared" si="561"/>
        <v>7.5796788230904557</v>
      </c>
      <c r="AN829" s="33">
        <v>0</v>
      </c>
      <c r="AO829" s="33">
        <v>0</v>
      </c>
      <c r="AP829" s="33">
        <v>0.71699999999999997</v>
      </c>
      <c r="AQ829" s="43">
        <v>0.28299999999999997</v>
      </c>
      <c r="AR829" s="33">
        <v>0.94799999999999995</v>
      </c>
      <c r="AS829" s="43">
        <v>5.1999999999999998E-2</v>
      </c>
      <c r="AT829" s="42" t="s">
        <v>106</v>
      </c>
      <c r="AU829" s="18" t="s">
        <v>106</v>
      </c>
      <c r="AV829">
        <v>1</v>
      </c>
      <c r="AW829" s="40">
        <v>0</v>
      </c>
      <c r="AX829" t="s">
        <v>106</v>
      </c>
      <c r="AY829" s="40" t="s">
        <v>106</v>
      </c>
      <c r="BA829" s="18"/>
      <c r="BB829" t="s">
        <v>106</v>
      </c>
      <c r="BC829" s="18" t="s">
        <v>106</v>
      </c>
      <c r="BD829" s="18" t="s">
        <v>341</v>
      </c>
      <c r="BK829" s="18"/>
      <c r="BN829" s="18"/>
      <c r="BQ829" s="25">
        <v>33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s="18">
        <v>1</v>
      </c>
      <c r="BZ829">
        <v>0</v>
      </c>
      <c r="CA829">
        <v>1</v>
      </c>
      <c r="CB829">
        <v>0</v>
      </c>
      <c r="CC829" s="18">
        <v>0</v>
      </c>
      <c r="CD829">
        <v>1</v>
      </c>
      <c r="CE829">
        <v>0</v>
      </c>
      <c r="CF829">
        <v>0</v>
      </c>
      <c r="CG829">
        <v>0</v>
      </c>
      <c r="CH829" s="18">
        <v>0</v>
      </c>
      <c r="CI829">
        <v>0</v>
      </c>
      <c r="CJ829">
        <v>0</v>
      </c>
      <c r="CK829">
        <v>0</v>
      </c>
      <c r="CL829">
        <v>0</v>
      </c>
      <c r="CM829">
        <v>1</v>
      </c>
      <c r="CN829">
        <v>0</v>
      </c>
      <c r="CO829">
        <v>0</v>
      </c>
      <c r="CP829">
        <v>0</v>
      </c>
      <c r="CQ829">
        <v>0</v>
      </c>
      <c r="CR829">
        <v>1</v>
      </c>
      <c r="CS829" s="18">
        <v>0</v>
      </c>
      <c r="DD829" s="34" t="s">
        <v>86</v>
      </c>
    </row>
    <row r="830" spans="1:108" x14ac:dyDescent="0.25">
      <c r="A830">
        <v>829</v>
      </c>
      <c r="B830">
        <v>54</v>
      </c>
      <c r="C830" s="25" t="s">
        <v>520</v>
      </c>
      <c r="D830" s="12">
        <v>3.0088649333079016</v>
      </c>
      <c r="E830" s="14">
        <v>0.22202820118557035</v>
      </c>
      <c r="F830" s="7">
        <v>13.551724137931034</v>
      </c>
      <c r="G830" s="7">
        <f t="shared" si="600"/>
        <v>2.7868367321223313</v>
      </c>
      <c r="H830" s="16">
        <f t="shared" si="601"/>
        <v>3.2308931344934719</v>
      </c>
      <c r="I830" s="11">
        <f t="shared" si="602"/>
        <v>0.21930052382972101</v>
      </c>
      <c r="J830" s="33">
        <f t="shared" si="603"/>
        <v>1.6182481402193156E-2</v>
      </c>
      <c r="K830" s="33">
        <f t="shared" si="604"/>
        <v>61.795220099216273</v>
      </c>
      <c r="L830" s="33">
        <f t="shared" si="605"/>
        <v>0.20311804242752785</v>
      </c>
      <c r="M830" s="33">
        <f t="shared" si="606"/>
        <v>0.23548300523191418</v>
      </c>
      <c r="N830" s="8">
        <v>1</v>
      </c>
      <c r="O830" s="9">
        <v>0</v>
      </c>
      <c r="P830" s="8">
        <v>0</v>
      </c>
      <c r="Q830" s="9">
        <v>0</v>
      </c>
      <c r="R830" s="9">
        <v>1</v>
      </c>
      <c r="S830" s="9">
        <v>0</v>
      </c>
      <c r="T830" s="9">
        <v>0</v>
      </c>
      <c r="U830" s="8">
        <v>3639</v>
      </c>
      <c r="V830" s="9">
        <v>3</v>
      </c>
      <c r="W830" s="9">
        <f t="shared" si="607"/>
        <v>3635</v>
      </c>
      <c r="X830" s="9">
        <f t="shared" si="559"/>
        <v>15</v>
      </c>
      <c r="Y830" s="7">
        <f t="shared" si="608"/>
        <v>13.849</v>
      </c>
      <c r="Z830" s="7">
        <f t="shared" si="609"/>
        <v>13.151</v>
      </c>
      <c r="AA830" s="9">
        <v>0</v>
      </c>
      <c r="AB830" s="9">
        <v>1</v>
      </c>
      <c r="AC830" s="9">
        <v>0</v>
      </c>
      <c r="AD830" s="9">
        <v>1</v>
      </c>
      <c r="AE830" s="9">
        <v>0</v>
      </c>
      <c r="AF830" s="9">
        <v>0</v>
      </c>
      <c r="AG830" s="8">
        <v>0</v>
      </c>
      <c r="AH830" s="9">
        <v>0</v>
      </c>
      <c r="AI830" s="30">
        <v>1</v>
      </c>
      <c r="AJ830" s="9">
        <v>1</v>
      </c>
      <c r="AK830" s="30">
        <v>0</v>
      </c>
      <c r="AL830" s="21">
        <v>1958</v>
      </c>
      <c r="AM830" s="23">
        <f t="shared" si="561"/>
        <v>7.5796788230904557</v>
      </c>
      <c r="AN830" s="33">
        <v>0</v>
      </c>
      <c r="AO830" s="33">
        <v>0</v>
      </c>
      <c r="AP830" s="33">
        <v>0.71699999999999997</v>
      </c>
      <c r="AQ830" s="43">
        <v>0.28299999999999997</v>
      </c>
      <c r="AR830" s="33">
        <v>0.94799999999999995</v>
      </c>
      <c r="AS830" s="43">
        <v>5.1999999999999998E-2</v>
      </c>
      <c r="AT830" s="42" t="s">
        <v>106</v>
      </c>
      <c r="AU830" s="18" t="s">
        <v>106</v>
      </c>
      <c r="AV830">
        <v>1</v>
      </c>
      <c r="AW830" s="40">
        <v>0</v>
      </c>
      <c r="AX830" t="s">
        <v>106</v>
      </c>
      <c r="AY830" s="40" t="s">
        <v>106</v>
      </c>
      <c r="BA830" s="18"/>
      <c r="BB830" t="s">
        <v>106</v>
      </c>
      <c r="BC830" s="18" t="s">
        <v>106</v>
      </c>
      <c r="BD830" s="18" t="s">
        <v>341</v>
      </c>
      <c r="BK830" s="18"/>
      <c r="BN830" s="18"/>
      <c r="BQ830" s="25">
        <v>33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s="18">
        <v>1</v>
      </c>
      <c r="BZ830">
        <v>0</v>
      </c>
      <c r="CA830">
        <v>1</v>
      </c>
      <c r="CB830">
        <v>0</v>
      </c>
      <c r="CC830" s="18">
        <v>0</v>
      </c>
      <c r="CD830">
        <v>1</v>
      </c>
      <c r="CE830">
        <v>0</v>
      </c>
      <c r="CF830">
        <v>0</v>
      </c>
      <c r="CG830">
        <v>0</v>
      </c>
      <c r="CH830" s="18">
        <v>0</v>
      </c>
      <c r="CI830">
        <v>0</v>
      </c>
      <c r="CJ830">
        <v>0</v>
      </c>
      <c r="CK830">
        <v>0</v>
      </c>
      <c r="CL830">
        <v>0</v>
      </c>
      <c r="CM830">
        <v>1</v>
      </c>
      <c r="CN830">
        <v>0</v>
      </c>
      <c r="CO830">
        <v>0</v>
      </c>
      <c r="CP830">
        <v>0</v>
      </c>
      <c r="CQ830">
        <v>0</v>
      </c>
      <c r="CR830">
        <v>1</v>
      </c>
      <c r="CS830" s="18">
        <v>0</v>
      </c>
      <c r="DD830" s="34" t="s">
        <v>86</v>
      </c>
    </row>
    <row r="831" spans="1:108" x14ac:dyDescent="0.25">
      <c r="A831">
        <v>830</v>
      </c>
      <c r="B831">
        <v>54</v>
      </c>
      <c r="C831" s="25" t="s">
        <v>520</v>
      </c>
      <c r="D831" s="12">
        <v>2.7924310710709039</v>
      </c>
      <c r="E831" s="14">
        <v>9.6623912493802908E-2</v>
      </c>
      <c r="F831" s="7">
        <v>28.9</v>
      </c>
      <c r="G831" s="7">
        <f t="shared" si="600"/>
        <v>2.6958071585771011</v>
      </c>
      <c r="H831" s="16">
        <f t="shared" si="601"/>
        <v>2.8890549835647068</v>
      </c>
      <c r="I831" s="11">
        <f t="shared" si="602"/>
        <v>0.4322488832196768</v>
      </c>
      <c r="J831" s="33">
        <f t="shared" si="603"/>
        <v>1.4956708761926535E-2</v>
      </c>
      <c r="K831" s="33">
        <f t="shared" si="604"/>
        <v>66.859629074651622</v>
      </c>
      <c r="L831" s="33">
        <f t="shared" si="605"/>
        <v>0.41729217445775024</v>
      </c>
      <c r="M831" s="33">
        <f t="shared" si="606"/>
        <v>0.44720559198160337</v>
      </c>
      <c r="N831" s="8">
        <v>1</v>
      </c>
      <c r="O831" s="9">
        <v>0</v>
      </c>
      <c r="P831" s="8">
        <v>0</v>
      </c>
      <c r="Q831" s="9">
        <v>0</v>
      </c>
      <c r="R831" s="9">
        <v>1</v>
      </c>
      <c r="S831" s="9">
        <v>0</v>
      </c>
      <c r="T831" s="9">
        <v>0</v>
      </c>
      <c r="U831" s="8">
        <v>3639</v>
      </c>
      <c r="V831" s="9">
        <v>3</v>
      </c>
      <c r="W831" s="9">
        <f t="shared" si="607"/>
        <v>3635</v>
      </c>
      <c r="X831" s="9">
        <f t="shared" si="559"/>
        <v>15</v>
      </c>
      <c r="Y831" s="7">
        <f t="shared" si="608"/>
        <v>13.849</v>
      </c>
      <c r="Z831" s="7">
        <f t="shared" si="609"/>
        <v>13.151</v>
      </c>
      <c r="AA831" s="9">
        <v>0</v>
      </c>
      <c r="AB831" s="9">
        <v>1</v>
      </c>
      <c r="AC831" s="9">
        <v>0</v>
      </c>
      <c r="AD831" s="9">
        <v>1</v>
      </c>
      <c r="AE831" s="9">
        <v>0</v>
      </c>
      <c r="AF831" s="9">
        <v>0</v>
      </c>
      <c r="AG831" s="8">
        <v>0</v>
      </c>
      <c r="AH831" s="9">
        <v>0</v>
      </c>
      <c r="AI831" s="30">
        <v>1</v>
      </c>
      <c r="AJ831" s="9">
        <v>1</v>
      </c>
      <c r="AK831" s="30">
        <v>0</v>
      </c>
      <c r="AL831" s="21">
        <v>1958</v>
      </c>
      <c r="AM831" s="23">
        <f t="shared" si="561"/>
        <v>7.5796788230904557</v>
      </c>
      <c r="AN831" s="33">
        <v>0</v>
      </c>
      <c r="AO831" s="33">
        <v>0</v>
      </c>
      <c r="AP831" s="33">
        <v>0.71699999999999997</v>
      </c>
      <c r="AQ831" s="43">
        <v>0.28299999999999997</v>
      </c>
      <c r="AR831" s="33">
        <v>0.94799999999999995</v>
      </c>
      <c r="AS831" s="43">
        <v>5.1999999999999998E-2</v>
      </c>
      <c r="AT831" s="42" t="s">
        <v>106</v>
      </c>
      <c r="AU831" s="18" t="s">
        <v>106</v>
      </c>
      <c r="AV831">
        <v>1</v>
      </c>
      <c r="AW831" s="40">
        <v>0</v>
      </c>
      <c r="AX831" t="s">
        <v>106</v>
      </c>
      <c r="AY831" s="40" t="s">
        <v>106</v>
      </c>
      <c r="BA831" s="18"/>
      <c r="BB831" t="s">
        <v>106</v>
      </c>
      <c r="BC831" s="18" t="s">
        <v>106</v>
      </c>
      <c r="BD831" s="18" t="s">
        <v>341</v>
      </c>
      <c r="BK831" s="18"/>
      <c r="BN831" s="18"/>
      <c r="BQ831" s="25">
        <v>33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s="18">
        <v>1</v>
      </c>
      <c r="BZ831">
        <v>0</v>
      </c>
      <c r="CA831">
        <v>1</v>
      </c>
      <c r="CB831">
        <v>0</v>
      </c>
      <c r="CC831" s="18">
        <v>0</v>
      </c>
      <c r="CD831">
        <v>1</v>
      </c>
      <c r="CE831">
        <v>0</v>
      </c>
      <c r="CF831">
        <v>0</v>
      </c>
      <c r="CG831">
        <v>0</v>
      </c>
      <c r="CH831" s="18">
        <v>0</v>
      </c>
      <c r="CI831">
        <v>0</v>
      </c>
      <c r="CJ831">
        <v>0</v>
      </c>
      <c r="CK831">
        <v>0</v>
      </c>
      <c r="CL831">
        <v>0</v>
      </c>
      <c r="CM831">
        <v>1</v>
      </c>
      <c r="CN831">
        <v>0</v>
      </c>
      <c r="CO831">
        <v>0</v>
      </c>
      <c r="CP831">
        <v>0</v>
      </c>
      <c r="CQ831">
        <v>0</v>
      </c>
      <c r="CR831">
        <v>1</v>
      </c>
      <c r="CS831" s="18">
        <v>0</v>
      </c>
      <c r="DD831" s="34" t="s">
        <v>86</v>
      </c>
    </row>
    <row r="832" spans="1:108" x14ac:dyDescent="0.25">
      <c r="A832">
        <v>831</v>
      </c>
      <c r="B832">
        <v>54</v>
      </c>
      <c r="C832" s="25" t="s">
        <v>520</v>
      </c>
      <c r="D832" s="12">
        <v>1.2898078694519723</v>
      </c>
      <c r="E832" s="14">
        <v>0.52835503085984414</v>
      </c>
      <c r="F832" s="7">
        <v>2.4411764705882351</v>
      </c>
      <c r="G832" s="7">
        <f t="shared" si="600"/>
        <v>0.7614528385921282</v>
      </c>
      <c r="H832" s="16">
        <f t="shared" si="601"/>
        <v>1.8181629003118165</v>
      </c>
      <c r="I832" s="11">
        <f t="shared" si="602"/>
        <v>4.0456775047596705E-2</v>
      </c>
      <c r="J832" s="33">
        <f t="shared" si="603"/>
        <v>1.6572654838774556E-2</v>
      </c>
      <c r="K832" s="33">
        <f t="shared" si="604"/>
        <v>60.340362466267578</v>
      </c>
      <c r="L832" s="33">
        <f t="shared" si="605"/>
        <v>2.3884120208822149E-2</v>
      </c>
      <c r="M832" s="33">
        <f t="shared" si="606"/>
        <v>5.7029429886371261E-2</v>
      </c>
      <c r="N832" s="8">
        <v>1</v>
      </c>
      <c r="O832" s="9">
        <v>0</v>
      </c>
      <c r="P832" s="8">
        <v>0</v>
      </c>
      <c r="Q832" s="9">
        <v>0</v>
      </c>
      <c r="R832" s="9">
        <v>1</v>
      </c>
      <c r="S832" s="9">
        <v>0</v>
      </c>
      <c r="T832" s="9">
        <v>0</v>
      </c>
      <c r="U832" s="8">
        <v>3639</v>
      </c>
      <c r="V832" s="9">
        <v>3</v>
      </c>
      <c r="W832" s="9">
        <f t="shared" si="607"/>
        <v>3635</v>
      </c>
      <c r="X832" s="9">
        <f t="shared" si="559"/>
        <v>15</v>
      </c>
      <c r="Y832" s="7">
        <f t="shared" si="608"/>
        <v>13.849</v>
      </c>
      <c r="Z832" s="7">
        <f t="shared" si="609"/>
        <v>13.151</v>
      </c>
      <c r="AA832" s="9">
        <v>0</v>
      </c>
      <c r="AB832" s="9">
        <v>1</v>
      </c>
      <c r="AC832" s="9">
        <v>0</v>
      </c>
      <c r="AD832" s="9">
        <v>1</v>
      </c>
      <c r="AE832" s="9">
        <v>0</v>
      </c>
      <c r="AF832" s="9">
        <v>0</v>
      </c>
      <c r="AG832" s="8">
        <v>0</v>
      </c>
      <c r="AH832" s="9">
        <v>0</v>
      </c>
      <c r="AI832" s="30">
        <v>1</v>
      </c>
      <c r="AJ832" s="9">
        <v>1</v>
      </c>
      <c r="AK832" s="30">
        <v>0</v>
      </c>
      <c r="AL832" s="21">
        <v>1958</v>
      </c>
      <c r="AM832" s="23">
        <f t="shared" si="561"/>
        <v>7.5796788230904557</v>
      </c>
      <c r="AN832" s="33">
        <v>0</v>
      </c>
      <c r="AO832" s="33">
        <v>0</v>
      </c>
      <c r="AP832" s="33">
        <v>0.71699999999999997</v>
      </c>
      <c r="AQ832" s="43">
        <v>0.28299999999999997</v>
      </c>
      <c r="AR832" s="33">
        <v>0.94799999999999995</v>
      </c>
      <c r="AS832" s="43">
        <v>5.1999999999999998E-2</v>
      </c>
      <c r="AT832" s="42" t="s">
        <v>106</v>
      </c>
      <c r="AU832" s="18" t="s">
        <v>106</v>
      </c>
      <c r="AV832">
        <v>1</v>
      </c>
      <c r="AW832" s="40">
        <v>0</v>
      </c>
      <c r="AX832" t="s">
        <v>106</v>
      </c>
      <c r="AY832" s="40" t="s">
        <v>106</v>
      </c>
      <c r="BA832" s="18"/>
      <c r="BB832" t="s">
        <v>106</v>
      </c>
      <c r="BC832" s="18" t="s">
        <v>106</v>
      </c>
      <c r="BD832" s="18" t="s">
        <v>341</v>
      </c>
      <c r="BK832" s="18"/>
      <c r="BN832" s="18"/>
      <c r="BQ832" s="25">
        <v>33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s="18">
        <v>1</v>
      </c>
      <c r="BZ832">
        <v>0</v>
      </c>
      <c r="CA832">
        <v>1</v>
      </c>
      <c r="CB832">
        <v>0</v>
      </c>
      <c r="CC832" s="18">
        <v>0</v>
      </c>
      <c r="CD832">
        <v>1</v>
      </c>
      <c r="CE832">
        <v>0</v>
      </c>
      <c r="CF832">
        <v>0</v>
      </c>
      <c r="CG832">
        <v>0</v>
      </c>
      <c r="CH832" s="18">
        <v>0</v>
      </c>
      <c r="CI832">
        <v>0</v>
      </c>
      <c r="CJ832">
        <v>0</v>
      </c>
      <c r="CK832">
        <v>0</v>
      </c>
      <c r="CL832">
        <v>0</v>
      </c>
      <c r="CM832">
        <v>1</v>
      </c>
      <c r="CN832">
        <v>0</v>
      </c>
      <c r="CO832">
        <v>0</v>
      </c>
      <c r="CP832">
        <v>0</v>
      </c>
      <c r="CQ832">
        <v>0</v>
      </c>
      <c r="CR832">
        <v>1</v>
      </c>
      <c r="CS832" s="18">
        <v>0</v>
      </c>
      <c r="DD832" s="34" t="s">
        <v>86</v>
      </c>
    </row>
    <row r="833" spans="1:108" x14ac:dyDescent="0.25">
      <c r="A833">
        <v>832</v>
      </c>
      <c r="B833">
        <v>54</v>
      </c>
      <c r="C833" s="25" t="s">
        <v>520</v>
      </c>
      <c r="D833" s="12">
        <v>2.8255271239548447</v>
      </c>
      <c r="E833" s="14">
        <v>0.47723380377789598</v>
      </c>
      <c r="F833" s="7">
        <v>5.9206349206349209</v>
      </c>
      <c r="G833" s="7">
        <f t="shared" si="600"/>
        <v>2.3482933201769489</v>
      </c>
      <c r="H833" s="16">
        <f t="shared" si="601"/>
        <v>3.3027609277327405</v>
      </c>
      <c r="I833" s="11">
        <f t="shared" si="602"/>
        <v>9.7730936419665043E-2</v>
      </c>
      <c r="J833" s="33">
        <f t="shared" si="603"/>
        <v>1.6506833765251739E-2</v>
      </c>
      <c r="K833" s="33">
        <f t="shared" si="604"/>
        <v>60.580969931682681</v>
      </c>
      <c r="L833" s="33">
        <f t="shared" si="605"/>
        <v>8.1224102654413308E-2</v>
      </c>
      <c r="M833" s="33">
        <f t="shared" si="606"/>
        <v>0.11423777018491678</v>
      </c>
      <c r="N833" s="8">
        <v>1</v>
      </c>
      <c r="O833" s="9">
        <v>0</v>
      </c>
      <c r="P833" s="8">
        <v>0</v>
      </c>
      <c r="Q833" s="9">
        <v>0</v>
      </c>
      <c r="R833" s="9">
        <v>1</v>
      </c>
      <c r="S833" s="9">
        <v>0</v>
      </c>
      <c r="T833" s="9">
        <v>0</v>
      </c>
      <c r="U833" s="8">
        <v>3639</v>
      </c>
      <c r="V833" s="9">
        <v>3</v>
      </c>
      <c r="W833" s="9">
        <f t="shared" si="607"/>
        <v>3635</v>
      </c>
      <c r="X833" s="9">
        <f t="shared" si="559"/>
        <v>15</v>
      </c>
      <c r="Y833" s="7">
        <f t="shared" si="608"/>
        <v>13.849</v>
      </c>
      <c r="Z833" s="7">
        <f t="shared" si="609"/>
        <v>13.151</v>
      </c>
      <c r="AA833" s="9">
        <v>0</v>
      </c>
      <c r="AB833" s="9">
        <v>1</v>
      </c>
      <c r="AC833" s="9">
        <v>0</v>
      </c>
      <c r="AD833" s="9">
        <v>1</v>
      </c>
      <c r="AE833" s="9">
        <v>0</v>
      </c>
      <c r="AF833" s="9">
        <v>0</v>
      </c>
      <c r="AG833" s="8">
        <v>0</v>
      </c>
      <c r="AH833" s="9">
        <v>0</v>
      </c>
      <c r="AI833" s="30">
        <v>1</v>
      </c>
      <c r="AJ833" s="9">
        <v>1</v>
      </c>
      <c r="AK833" s="30">
        <v>0</v>
      </c>
      <c r="AL833" s="21">
        <v>1958</v>
      </c>
      <c r="AM833" s="23">
        <f t="shared" si="561"/>
        <v>7.5796788230904557</v>
      </c>
      <c r="AN833" s="33">
        <v>0</v>
      </c>
      <c r="AO833" s="33">
        <v>0</v>
      </c>
      <c r="AP833" s="33">
        <v>0.71699999999999997</v>
      </c>
      <c r="AQ833" s="43">
        <v>0.28299999999999997</v>
      </c>
      <c r="AR833" s="33">
        <v>0.94799999999999995</v>
      </c>
      <c r="AS833" s="43">
        <v>5.1999999999999998E-2</v>
      </c>
      <c r="AT833" s="42" t="s">
        <v>106</v>
      </c>
      <c r="AU833" s="18" t="s">
        <v>106</v>
      </c>
      <c r="AV833">
        <v>1</v>
      </c>
      <c r="AW833" s="40">
        <v>0</v>
      </c>
      <c r="AX833" t="s">
        <v>106</v>
      </c>
      <c r="AY833" s="40" t="s">
        <v>106</v>
      </c>
      <c r="BA833" s="18"/>
      <c r="BB833" t="s">
        <v>106</v>
      </c>
      <c r="BC833" s="18" t="s">
        <v>106</v>
      </c>
      <c r="BD833" s="18" t="s">
        <v>341</v>
      </c>
      <c r="BK833" s="18"/>
      <c r="BN833" s="18"/>
      <c r="BQ833" s="25">
        <v>33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s="18">
        <v>1</v>
      </c>
      <c r="BZ833">
        <v>0</v>
      </c>
      <c r="CA833">
        <v>1</v>
      </c>
      <c r="CB833">
        <v>0</v>
      </c>
      <c r="CC833" s="18">
        <v>0</v>
      </c>
      <c r="CD833">
        <v>1</v>
      </c>
      <c r="CE833">
        <v>0</v>
      </c>
      <c r="CF833">
        <v>0</v>
      </c>
      <c r="CG833">
        <v>0</v>
      </c>
      <c r="CH833" s="18">
        <v>0</v>
      </c>
      <c r="CI833">
        <v>0</v>
      </c>
      <c r="CJ833">
        <v>0</v>
      </c>
      <c r="CK833">
        <v>0</v>
      </c>
      <c r="CL833">
        <v>0</v>
      </c>
      <c r="CM833">
        <v>1</v>
      </c>
      <c r="CN833">
        <v>0</v>
      </c>
      <c r="CO833">
        <v>0</v>
      </c>
      <c r="CP833">
        <v>0</v>
      </c>
      <c r="CQ833">
        <v>0</v>
      </c>
      <c r="CR833">
        <v>1</v>
      </c>
      <c r="CS833" s="18">
        <v>0</v>
      </c>
      <c r="DD833" s="34" t="s">
        <v>86</v>
      </c>
    </row>
    <row r="834" spans="1:108" x14ac:dyDescent="0.25">
      <c r="A834">
        <v>833</v>
      </c>
      <c r="B834">
        <v>54</v>
      </c>
      <c r="C834" s="25" t="s">
        <v>520</v>
      </c>
      <c r="D834" s="12">
        <v>2.0610285880338735</v>
      </c>
      <c r="E834" s="14">
        <v>9.325921212822956E-2</v>
      </c>
      <c r="F834" s="7">
        <v>22.1</v>
      </c>
      <c r="G834" s="7">
        <f t="shared" si="600"/>
        <v>1.9677693759056438</v>
      </c>
      <c r="H834" s="16">
        <f t="shared" si="601"/>
        <v>2.1542878001621029</v>
      </c>
      <c r="I834" s="11">
        <f t="shared" si="602"/>
        <v>0.34416286928355505</v>
      </c>
      <c r="J834" s="33">
        <f t="shared" si="603"/>
        <v>1.5572980510568098E-2</v>
      </c>
      <c r="K834" s="33">
        <f t="shared" si="604"/>
        <v>64.21378356708162</v>
      </c>
      <c r="L834" s="33">
        <f t="shared" si="605"/>
        <v>0.32858988877298695</v>
      </c>
      <c r="M834" s="33">
        <f t="shared" si="606"/>
        <v>0.35973584979412315</v>
      </c>
      <c r="N834" s="8">
        <v>1</v>
      </c>
      <c r="O834" s="9">
        <v>0</v>
      </c>
      <c r="P834" s="8">
        <v>0</v>
      </c>
      <c r="Q834" s="9">
        <v>0</v>
      </c>
      <c r="R834" s="9">
        <v>1</v>
      </c>
      <c r="S834" s="9">
        <v>0</v>
      </c>
      <c r="T834" s="9">
        <v>0</v>
      </c>
      <c r="U834" s="8">
        <v>3639</v>
      </c>
      <c r="V834" s="9">
        <v>3</v>
      </c>
      <c r="W834" s="9">
        <f t="shared" si="607"/>
        <v>3635</v>
      </c>
      <c r="X834" s="9">
        <f t="shared" si="559"/>
        <v>15</v>
      </c>
      <c r="Y834" s="7">
        <f t="shared" si="608"/>
        <v>13.849</v>
      </c>
      <c r="Z834" s="7">
        <f t="shared" si="609"/>
        <v>13.151</v>
      </c>
      <c r="AA834" s="9">
        <v>0</v>
      </c>
      <c r="AB834" s="9">
        <v>1</v>
      </c>
      <c r="AC834" s="9">
        <v>0</v>
      </c>
      <c r="AD834" s="9">
        <v>1</v>
      </c>
      <c r="AE834" s="9">
        <v>0</v>
      </c>
      <c r="AF834" s="9">
        <v>0</v>
      </c>
      <c r="AG834" s="8">
        <v>0</v>
      </c>
      <c r="AH834" s="9">
        <v>0</v>
      </c>
      <c r="AI834" s="30">
        <v>1</v>
      </c>
      <c r="AJ834" s="9">
        <v>1</v>
      </c>
      <c r="AK834" s="30">
        <v>0</v>
      </c>
      <c r="AL834" s="21">
        <v>1958</v>
      </c>
      <c r="AM834" s="23">
        <f t="shared" si="561"/>
        <v>7.5796788230904557</v>
      </c>
      <c r="AN834" s="33">
        <v>0</v>
      </c>
      <c r="AO834" s="33">
        <v>0</v>
      </c>
      <c r="AP834" s="33">
        <v>0.71699999999999997</v>
      </c>
      <c r="AQ834" s="43">
        <v>0.28299999999999997</v>
      </c>
      <c r="AR834" s="33">
        <v>0.94799999999999995</v>
      </c>
      <c r="AS834" s="43">
        <v>5.1999999999999998E-2</v>
      </c>
      <c r="AT834" s="42" t="s">
        <v>106</v>
      </c>
      <c r="AU834" s="18" t="s">
        <v>106</v>
      </c>
      <c r="AV834">
        <v>1</v>
      </c>
      <c r="AW834" s="40">
        <v>0</v>
      </c>
      <c r="AX834" t="s">
        <v>106</v>
      </c>
      <c r="AY834" s="40" t="s">
        <v>106</v>
      </c>
      <c r="BA834" s="18"/>
      <c r="BB834" t="s">
        <v>106</v>
      </c>
      <c r="BC834" s="18" t="s">
        <v>106</v>
      </c>
      <c r="BD834" s="18" t="s">
        <v>341</v>
      </c>
      <c r="BK834" s="18"/>
      <c r="BN834" s="18"/>
      <c r="BQ834" s="25">
        <v>33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s="18">
        <v>1</v>
      </c>
      <c r="BZ834">
        <v>0</v>
      </c>
      <c r="CA834">
        <v>1</v>
      </c>
      <c r="CB834">
        <v>0</v>
      </c>
      <c r="CC834" s="18">
        <v>0</v>
      </c>
      <c r="CD834">
        <v>1</v>
      </c>
      <c r="CE834">
        <v>0</v>
      </c>
      <c r="CF834">
        <v>0</v>
      </c>
      <c r="CG834">
        <v>0</v>
      </c>
      <c r="CH834" s="18">
        <v>0</v>
      </c>
      <c r="CI834">
        <v>0</v>
      </c>
      <c r="CJ834">
        <v>0</v>
      </c>
      <c r="CK834">
        <v>0</v>
      </c>
      <c r="CL834">
        <v>0</v>
      </c>
      <c r="CM834">
        <v>1</v>
      </c>
      <c r="CN834">
        <v>0</v>
      </c>
      <c r="CO834">
        <v>0</v>
      </c>
      <c r="CP834">
        <v>0</v>
      </c>
      <c r="CQ834">
        <v>0</v>
      </c>
      <c r="CR834">
        <v>1</v>
      </c>
      <c r="CS834" s="18">
        <v>0</v>
      </c>
      <c r="DD834" s="34" t="s">
        <v>86</v>
      </c>
    </row>
    <row r="835" spans="1:108" x14ac:dyDescent="0.25">
      <c r="A835">
        <v>834</v>
      </c>
      <c r="B835">
        <v>54</v>
      </c>
      <c r="C835" s="25" t="s">
        <v>520</v>
      </c>
      <c r="D835" s="12">
        <v>1.1975568650366071</v>
      </c>
      <c r="E835" s="14">
        <v>1.0584857452259044</v>
      </c>
      <c r="F835" s="7">
        <v>1.1313868613138685</v>
      </c>
      <c r="G835" s="7">
        <f t="shared" si="600"/>
        <v>0.13907111981070264</v>
      </c>
      <c r="H835" s="16">
        <f t="shared" si="601"/>
        <v>2.2560426102625115</v>
      </c>
      <c r="I835" s="11">
        <f t="shared" si="602"/>
        <v>1.8762144231012211E-2</v>
      </c>
      <c r="J835" s="33">
        <f t="shared" si="603"/>
        <v>1.6583314578378538E-2</v>
      </c>
      <c r="K835" s="33">
        <f t="shared" si="604"/>
        <v>60.30157573587902</v>
      </c>
      <c r="L835" s="33">
        <f t="shared" si="605"/>
        <v>2.178829652633673E-3</v>
      </c>
      <c r="M835" s="33">
        <f t="shared" si="606"/>
        <v>3.5345458809390745E-2</v>
      </c>
      <c r="N835" s="8">
        <v>1</v>
      </c>
      <c r="O835" s="9">
        <v>0</v>
      </c>
      <c r="P835" s="8">
        <v>0</v>
      </c>
      <c r="Q835" s="9">
        <v>0</v>
      </c>
      <c r="R835" s="9">
        <v>1</v>
      </c>
      <c r="S835" s="9">
        <v>0</v>
      </c>
      <c r="T835" s="9">
        <v>0</v>
      </c>
      <c r="U835" s="8">
        <v>3639</v>
      </c>
      <c r="V835" s="9">
        <v>3</v>
      </c>
      <c r="W835" s="9">
        <f t="shared" si="607"/>
        <v>3635</v>
      </c>
      <c r="X835" s="9">
        <f t="shared" ref="X835:X898" si="610">COUNTIF(B:B,B835)</f>
        <v>15</v>
      </c>
      <c r="Y835" s="7">
        <f t="shared" si="608"/>
        <v>13.849</v>
      </c>
      <c r="Z835" s="7">
        <f t="shared" si="609"/>
        <v>13.151</v>
      </c>
      <c r="AA835" s="9">
        <v>0</v>
      </c>
      <c r="AB835" s="9">
        <v>1</v>
      </c>
      <c r="AC835" s="9">
        <v>0</v>
      </c>
      <c r="AD835" s="9">
        <v>1</v>
      </c>
      <c r="AE835" s="9">
        <v>0</v>
      </c>
      <c r="AF835" s="9">
        <v>0</v>
      </c>
      <c r="AG835" s="8">
        <v>0</v>
      </c>
      <c r="AH835" s="9">
        <v>0</v>
      </c>
      <c r="AI835" s="30">
        <v>1</v>
      </c>
      <c r="AJ835" s="9">
        <v>1</v>
      </c>
      <c r="AK835" s="30">
        <v>0</v>
      </c>
      <c r="AL835" s="21">
        <v>1958</v>
      </c>
      <c r="AM835" s="23">
        <f t="shared" ref="AM835:AM898" si="611">LN(AL835)</f>
        <v>7.5796788230904557</v>
      </c>
      <c r="AN835" s="33">
        <v>0</v>
      </c>
      <c r="AO835" s="33">
        <v>0</v>
      </c>
      <c r="AP835" s="33">
        <v>0.71699999999999997</v>
      </c>
      <c r="AQ835" s="43">
        <v>0.28299999999999997</v>
      </c>
      <c r="AR835" s="33">
        <v>0.94799999999999995</v>
      </c>
      <c r="AS835" s="43">
        <v>5.1999999999999998E-2</v>
      </c>
      <c r="AT835" s="42" t="s">
        <v>106</v>
      </c>
      <c r="AU835" s="18" t="s">
        <v>106</v>
      </c>
      <c r="AV835">
        <v>1</v>
      </c>
      <c r="AW835" s="40">
        <v>0</v>
      </c>
      <c r="AX835" t="s">
        <v>106</v>
      </c>
      <c r="AY835" s="40" t="s">
        <v>106</v>
      </c>
      <c r="BA835" s="18"/>
      <c r="BB835" t="s">
        <v>106</v>
      </c>
      <c r="BC835" s="18" t="s">
        <v>106</v>
      </c>
      <c r="BD835" s="18" t="s">
        <v>341</v>
      </c>
      <c r="BK835" s="18"/>
      <c r="BN835" s="18"/>
      <c r="BQ835" s="25">
        <v>33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s="18">
        <v>1</v>
      </c>
      <c r="BZ835">
        <v>0</v>
      </c>
      <c r="CA835">
        <v>1</v>
      </c>
      <c r="CB835">
        <v>0</v>
      </c>
      <c r="CC835" s="18">
        <v>0</v>
      </c>
      <c r="CD835">
        <v>1</v>
      </c>
      <c r="CE835">
        <v>0</v>
      </c>
      <c r="CF835">
        <v>0</v>
      </c>
      <c r="CG835">
        <v>0</v>
      </c>
      <c r="CH835" s="18">
        <v>0</v>
      </c>
      <c r="CI835">
        <v>0</v>
      </c>
      <c r="CJ835">
        <v>0</v>
      </c>
      <c r="CK835">
        <v>0</v>
      </c>
      <c r="CL835">
        <v>0</v>
      </c>
      <c r="CM835">
        <v>1</v>
      </c>
      <c r="CN835">
        <v>0</v>
      </c>
      <c r="CO835">
        <v>0</v>
      </c>
      <c r="CP835">
        <v>0</v>
      </c>
      <c r="CQ835">
        <v>0</v>
      </c>
      <c r="CR835">
        <v>1</v>
      </c>
      <c r="CS835" s="18">
        <v>0</v>
      </c>
      <c r="DD835" s="34" t="s">
        <v>86</v>
      </c>
    </row>
    <row r="836" spans="1:108" s="207" customFormat="1" x14ac:dyDescent="0.25">
      <c r="A836" s="207">
        <v>835</v>
      </c>
      <c r="B836" s="207">
        <v>54</v>
      </c>
      <c r="C836" s="208" t="s">
        <v>520</v>
      </c>
      <c r="D836" s="209">
        <v>2.4522487019262145</v>
      </c>
      <c r="E836" s="210">
        <v>1.1335167715852288</v>
      </c>
      <c r="F836" s="211">
        <v>2.1633986928104578</v>
      </c>
      <c r="G836" s="211">
        <f t="shared" si="600"/>
        <v>1.3187319303409857</v>
      </c>
      <c r="H836" s="212">
        <f t="shared" si="601"/>
        <v>3.5857654735114433</v>
      </c>
      <c r="I836" s="213">
        <f t="shared" si="602"/>
        <v>3.5859558999142858E-2</v>
      </c>
      <c r="J836" s="214">
        <f t="shared" si="603"/>
        <v>1.6575566546431591E-2</v>
      </c>
      <c r="K836" s="214">
        <f t="shared" si="604"/>
        <v>60.329762919342343</v>
      </c>
      <c r="L836" s="214">
        <f t="shared" si="605"/>
        <v>1.9283992452711268E-2</v>
      </c>
      <c r="M836" s="214">
        <f t="shared" si="606"/>
        <v>5.2435125545574446E-2</v>
      </c>
      <c r="N836" s="215">
        <v>1</v>
      </c>
      <c r="O836" s="216">
        <v>0</v>
      </c>
      <c r="P836" s="215">
        <v>0</v>
      </c>
      <c r="Q836" s="216">
        <v>0</v>
      </c>
      <c r="R836" s="216">
        <v>1</v>
      </c>
      <c r="S836" s="216">
        <v>0</v>
      </c>
      <c r="T836" s="216">
        <v>0</v>
      </c>
      <c r="U836" s="215">
        <v>3639</v>
      </c>
      <c r="V836" s="216">
        <v>3</v>
      </c>
      <c r="W836" s="216">
        <f t="shared" si="607"/>
        <v>3635</v>
      </c>
      <c r="X836" s="216">
        <f t="shared" si="610"/>
        <v>15</v>
      </c>
      <c r="Y836" s="211">
        <f t="shared" si="608"/>
        <v>13.849</v>
      </c>
      <c r="Z836" s="211">
        <f t="shared" si="609"/>
        <v>13.151</v>
      </c>
      <c r="AA836" s="216">
        <v>0</v>
      </c>
      <c r="AB836" s="216">
        <v>1</v>
      </c>
      <c r="AC836" s="216">
        <v>0</v>
      </c>
      <c r="AD836" s="216">
        <v>1</v>
      </c>
      <c r="AE836" s="216">
        <v>0</v>
      </c>
      <c r="AF836" s="216">
        <v>0</v>
      </c>
      <c r="AG836" s="215">
        <v>0</v>
      </c>
      <c r="AH836" s="216">
        <v>0</v>
      </c>
      <c r="AI836" s="217">
        <v>1</v>
      </c>
      <c r="AJ836" s="216">
        <v>1</v>
      </c>
      <c r="AK836" s="217">
        <v>0</v>
      </c>
      <c r="AL836" s="218">
        <v>1958</v>
      </c>
      <c r="AM836" s="219">
        <f t="shared" si="611"/>
        <v>7.5796788230904557</v>
      </c>
      <c r="AN836" s="214">
        <v>0</v>
      </c>
      <c r="AO836" s="214">
        <v>0</v>
      </c>
      <c r="AP836" s="214">
        <v>0.71699999999999997</v>
      </c>
      <c r="AQ836" s="220">
        <v>0.28299999999999997</v>
      </c>
      <c r="AR836" s="214">
        <v>0.94799999999999995</v>
      </c>
      <c r="AS836" s="220">
        <v>5.1999999999999998E-2</v>
      </c>
      <c r="AT836" s="221" t="s">
        <v>106</v>
      </c>
      <c r="AU836" s="222" t="s">
        <v>106</v>
      </c>
      <c r="AV836" s="207">
        <v>1</v>
      </c>
      <c r="AW836" s="223">
        <v>0</v>
      </c>
      <c r="AX836" s="207" t="s">
        <v>106</v>
      </c>
      <c r="AY836" s="223" t="s">
        <v>106</v>
      </c>
      <c r="BA836" s="222"/>
      <c r="BB836" s="207" t="s">
        <v>106</v>
      </c>
      <c r="BC836" s="222" t="s">
        <v>106</v>
      </c>
      <c r="BD836" s="222" t="s">
        <v>341</v>
      </c>
      <c r="BK836" s="222"/>
      <c r="BN836" s="222"/>
      <c r="BQ836" s="208">
        <v>33</v>
      </c>
      <c r="BR836" s="207">
        <v>0</v>
      </c>
      <c r="BS836" s="207">
        <v>0</v>
      </c>
      <c r="BT836" s="207">
        <v>0</v>
      </c>
      <c r="BU836" s="207">
        <v>0</v>
      </c>
      <c r="BV836" s="207">
        <v>0</v>
      </c>
      <c r="BW836" s="207">
        <v>0</v>
      </c>
      <c r="BX836" s="207">
        <v>0</v>
      </c>
      <c r="BY836" s="222">
        <v>1</v>
      </c>
      <c r="BZ836" s="207">
        <v>0</v>
      </c>
      <c r="CA836" s="207">
        <v>1</v>
      </c>
      <c r="CB836" s="207">
        <v>0</v>
      </c>
      <c r="CC836" s="222">
        <v>0</v>
      </c>
      <c r="CD836" s="207">
        <v>1</v>
      </c>
      <c r="CE836" s="207">
        <v>0</v>
      </c>
      <c r="CF836" s="207">
        <v>0</v>
      </c>
      <c r="CG836" s="207">
        <v>0</v>
      </c>
      <c r="CH836" s="222">
        <v>0</v>
      </c>
      <c r="CI836" s="207">
        <v>0</v>
      </c>
      <c r="CJ836" s="207">
        <v>0</v>
      </c>
      <c r="CK836" s="207">
        <v>0</v>
      </c>
      <c r="CL836" s="207">
        <v>0</v>
      </c>
      <c r="CM836" s="207">
        <v>1</v>
      </c>
      <c r="CN836" s="207">
        <v>0</v>
      </c>
      <c r="CO836" s="207">
        <v>0</v>
      </c>
      <c r="CP836" s="207">
        <v>0</v>
      </c>
      <c r="CQ836" s="207">
        <v>0</v>
      </c>
      <c r="CR836" s="207">
        <v>1</v>
      </c>
      <c r="CS836" s="222">
        <v>0</v>
      </c>
      <c r="CY836" s="224"/>
      <c r="DD836" s="224" t="s">
        <v>86</v>
      </c>
    </row>
    <row r="837" spans="1:108" x14ac:dyDescent="0.25">
      <c r="A837">
        <v>836</v>
      </c>
      <c r="B837">
        <v>55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610"/>
        <v>2</v>
      </c>
      <c r="AG837" s="8"/>
      <c r="AI837" s="30"/>
      <c r="AK837" s="30"/>
      <c r="AL837" s="21"/>
      <c r="AM837" s="23" t="e">
        <f t="shared" si="611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B838">
        <v>55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610"/>
        <v>2</v>
      </c>
      <c r="AG838" s="8"/>
      <c r="AI838" s="30"/>
      <c r="AK838" s="30"/>
      <c r="AL838" s="21"/>
      <c r="AM838" s="23" t="e">
        <f t="shared" si="611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610"/>
        <v>0</v>
      </c>
      <c r="AG839" s="8"/>
      <c r="AI839" s="30"/>
      <c r="AK839" s="30"/>
      <c r="AL839" s="21"/>
      <c r="AM839" s="23" t="e">
        <f t="shared" si="611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610"/>
        <v>0</v>
      </c>
      <c r="AG840" s="8"/>
      <c r="AI840" s="30"/>
      <c r="AK840" s="30"/>
      <c r="AL840" s="21"/>
      <c r="AM840" s="23" t="e">
        <f t="shared" si="611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610"/>
        <v>0</v>
      </c>
      <c r="AG841" s="8"/>
      <c r="AI841" s="30"/>
      <c r="AK841" s="30"/>
      <c r="AL841" s="21"/>
      <c r="AM841" s="23" t="e">
        <f t="shared" si="611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610"/>
        <v>0</v>
      </c>
      <c r="AG842" s="8"/>
      <c r="AI842" s="30"/>
      <c r="AK842" s="30"/>
      <c r="AL842" s="21"/>
      <c r="AM842" s="23" t="e">
        <f t="shared" si="611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610"/>
        <v>0</v>
      </c>
      <c r="AG843" s="8"/>
      <c r="AI843" s="30"/>
      <c r="AK843" s="30"/>
      <c r="AL843" s="21"/>
      <c r="AM843" s="23" t="e">
        <f t="shared" si="611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610"/>
        <v>0</v>
      </c>
      <c r="AG844" s="8"/>
      <c r="AI844" s="30"/>
      <c r="AK844" s="30"/>
      <c r="AL844" s="21"/>
      <c r="AM844" s="23" t="e">
        <f t="shared" si="611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610"/>
        <v>0</v>
      </c>
      <c r="AG845" s="8"/>
      <c r="AI845" s="30"/>
      <c r="AK845" s="30"/>
      <c r="AL845" s="21"/>
      <c r="AM845" s="23" t="e">
        <f t="shared" si="611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610"/>
        <v>0</v>
      </c>
      <c r="AG846" s="8"/>
      <c r="AI846" s="30"/>
      <c r="AK846" s="30"/>
      <c r="AL846" s="21"/>
      <c r="AM846" s="23" t="e">
        <f t="shared" si="611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610"/>
        <v>0</v>
      </c>
      <c r="AG847" s="8"/>
      <c r="AI847" s="30"/>
      <c r="AK847" s="30"/>
      <c r="AL847" s="21"/>
      <c r="AM847" s="23" t="e">
        <f t="shared" si="611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610"/>
        <v>0</v>
      </c>
      <c r="AG848" s="8"/>
      <c r="AI848" s="30"/>
      <c r="AK848" s="30"/>
      <c r="AL848" s="21"/>
      <c r="AM848" s="23" t="e">
        <f t="shared" si="611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10"/>
        <v>0</v>
      </c>
      <c r="AG849" s="8"/>
      <c r="AI849" s="30"/>
      <c r="AK849" s="30"/>
      <c r="AL849" s="21"/>
      <c r="AM849" s="23" t="e">
        <f t="shared" si="61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10"/>
        <v>0</v>
      </c>
      <c r="AG850" s="8"/>
      <c r="AI850" s="30"/>
      <c r="AK850" s="30"/>
      <c r="AL850" s="21"/>
      <c r="AM850" s="23" t="e">
        <f t="shared" si="61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10"/>
        <v>0</v>
      </c>
      <c r="AG851" s="8"/>
      <c r="AI851" s="30"/>
      <c r="AK851" s="30"/>
      <c r="AL851" s="21"/>
      <c r="AM851" s="23" t="e">
        <f t="shared" si="61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10"/>
        <v>0</v>
      </c>
      <c r="AG852" s="8"/>
      <c r="AI852" s="30"/>
      <c r="AK852" s="30"/>
      <c r="AL852" s="21"/>
      <c r="AM852" s="23" t="e">
        <f t="shared" si="61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10"/>
        <v>0</v>
      </c>
      <c r="AG853" s="8"/>
      <c r="AI853" s="30"/>
      <c r="AK853" s="30"/>
      <c r="AL853" s="21"/>
      <c r="AM853" s="23" t="e">
        <f t="shared" si="61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10"/>
        <v>0</v>
      </c>
      <c r="AG854" s="8"/>
      <c r="AI854" s="30"/>
      <c r="AK854" s="30"/>
      <c r="AL854" s="21"/>
      <c r="AM854" s="23" t="e">
        <f t="shared" si="61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10"/>
        <v>0</v>
      </c>
      <c r="AG855" s="8"/>
      <c r="AI855" s="30"/>
      <c r="AK855" s="30"/>
      <c r="AL855" s="21"/>
      <c r="AM855" s="23" t="e">
        <f t="shared" si="61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10"/>
        <v>0</v>
      </c>
      <c r="AG856" s="8"/>
      <c r="AI856" s="30"/>
      <c r="AK856" s="30"/>
      <c r="AL856" s="21"/>
      <c r="AM856" s="23" t="e">
        <f t="shared" si="61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10"/>
        <v>0</v>
      </c>
      <c r="AG857" s="8"/>
      <c r="AI857" s="30"/>
      <c r="AK857" s="30"/>
      <c r="AL857" s="21"/>
      <c r="AM857" s="23" t="e">
        <f t="shared" si="61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10"/>
        <v>0</v>
      </c>
      <c r="AG858" s="8"/>
      <c r="AI858" s="30"/>
      <c r="AK858" s="30"/>
      <c r="AL858" s="21"/>
      <c r="AM858" s="23" t="e">
        <f t="shared" si="61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10"/>
        <v>0</v>
      </c>
      <c r="AG859" s="8"/>
      <c r="AI859" s="30"/>
      <c r="AK859" s="30"/>
      <c r="AL859" s="21"/>
      <c r="AM859" s="23" t="e">
        <f t="shared" si="61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10"/>
        <v>0</v>
      </c>
      <c r="AG860" s="8"/>
      <c r="AI860" s="30"/>
      <c r="AK860" s="30"/>
      <c r="AL860" s="21"/>
      <c r="AM860" s="23" t="e">
        <f t="shared" si="61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10"/>
        <v>0</v>
      </c>
      <c r="AG861" s="8"/>
      <c r="AI861" s="30"/>
      <c r="AK861" s="30"/>
      <c r="AL861" s="21"/>
      <c r="AM861" s="23" t="e">
        <f t="shared" si="61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10"/>
        <v>0</v>
      </c>
      <c r="AG862" s="8"/>
      <c r="AI862" s="30"/>
      <c r="AK862" s="30"/>
      <c r="AL862" s="21"/>
      <c r="AM862" s="23" t="e">
        <f t="shared" si="61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10"/>
        <v>0</v>
      </c>
      <c r="AG863" s="8"/>
      <c r="AI863" s="30"/>
      <c r="AK863" s="30"/>
      <c r="AL863" s="21"/>
      <c r="AM863" s="23" t="e">
        <f t="shared" si="61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10"/>
        <v>0</v>
      </c>
      <c r="AG864" s="8"/>
      <c r="AI864" s="30"/>
      <c r="AK864" s="30"/>
      <c r="AL864" s="21"/>
      <c r="AM864" s="23" t="e">
        <f t="shared" si="61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10"/>
        <v>0</v>
      </c>
      <c r="AG865" s="8"/>
      <c r="AI865" s="30"/>
      <c r="AK865" s="30"/>
      <c r="AL865" s="21"/>
      <c r="AM865" s="23" t="e">
        <f t="shared" si="61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10"/>
        <v>0</v>
      </c>
      <c r="AG866" s="8"/>
      <c r="AI866" s="30"/>
      <c r="AK866" s="30"/>
      <c r="AL866" s="21"/>
      <c r="AM866" s="23" t="e">
        <f t="shared" si="61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10"/>
        <v>0</v>
      </c>
      <c r="AG867" s="8"/>
      <c r="AI867" s="30"/>
      <c r="AK867" s="30"/>
      <c r="AL867" s="21"/>
      <c r="AM867" s="23" t="e">
        <f t="shared" si="61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10"/>
        <v>0</v>
      </c>
      <c r="AG868" s="8"/>
      <c r="AI868" s="30"/>
      <c r="AK868" s="30"/>
      <c r="AL868" s="21"/>
      <c r="AM868" s="23" t="e">
        <f t="shared" si="61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10"/>
        <v>0</v>
      </c>
      <c r="AG869" s="8"/>
      <c r="AI869" s="30"/>
      <c r="AK869" s="30"/>
      <c r="AL869" s="21"/>
      <c r="AM869" s="23" t="e">
        <f t="shared" si="61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10"/>
        <v>0</v>
      </c>
      <c r="AG870" s="8"/>
      <c r="AI870" s="30"/>
      <c r="AK870" s="30"/>
      <c r="AL870" s="21"/>
      <c r="AM870" s="23" t="e">
        <f t="shared" si="61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10"/>
        <v>0</v>
      </c>
      <c r="AG871" s="8"/>
      <c r="AI871" s="30"/>
      <c r="AK871" s="30"/>
      <c r="AL871" s="21"/>
      <c r="AM871" s="23" t="e">
        <f t="shared" si="61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10"/>
        <v>0</v>
      </c>
      <c r="AG872" s="8"/>
      <c r="AI872" s="30"/>
      <c r="AK872" s="30"/>
      <c r="AL872" s="21"/>
      <c r="AM872" s="23" t="e">
        <f t="shared" si="61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10"/>
        <v>0</v>
      </c>
      <c r="AG873" s="8"/>
      <c r="AI873" s="30"/>
      <c r="AK873" s="30"/>
      <c r="AL873" s="21"/>
      <c r="AM873" s="23" t="e">
        <f t="shared" si="61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10"/>
        <v>0</v>
      </c>
      <c r="AG874" s="8"/>
      <c r="AI874" s="30"/>
      <c r="AK874" s="30"/>
      <c r="AL874" s="21"/>
      <c r="AM874" s="23" t="e">
        <f t="shared" si="61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10"/>
        <v>0</v>
      </c>
      <c r="AG875" s="8"/>
      <c r="AI875" s="30"/>
      <c r="AK875" s="30"/>
      <c r="AL875" s="21"/>
      <c r="AM875" s="23" t="e">
        <f t="shared" si="61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10"/>
        <v>0</v>
      </c>
      <c r="AG876" s="8"/>
      <c r="AI876" s="30"/>
      <c r="AK876" s="30"/>
      <c r="AL876" s="21"/>
      <c r="AM876" s="23" t="e">
        <f t="shared" si="61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10"/>
        <v>0</v>
      </c>
      <c r="AG877" s="8"/>
      <c r="AI877" s="30"/>
      <c r="AK877" s="30"/>
      <c r="AL877" s="21"/>
      <c r="AM877" s="23" t="e">
        <f t="shared" si="61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10"/>
        <v>0</v>
      </c>
      <c r="AG878" s="8"/>
      <c r="AI878" s="30"/>
      <c r="AK878" s="30"/>
      <c r="AL878" s="21"/>
      <c r="AM878" s="23" t="e">
        <f t="shared" si="61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10"/>
        <v>0</v>
      </c>
      <c r="AG879" s="8"/>
      <c r="AI879" s="30"/>
      <c r="AK879" s="30"/>
      <c r="AL879" s="21"/>
      <c r="AM879" s="23" t="e">
        <f t="shared" si="61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10"/>
        <v>0</v>
      </c>
      <c r="AG880" s="8"/>
      <c r="AI880" s="30"/>
      <c r="AK880" s="30"/>
      <c r="AL880" s="21"/>
      <c r="AM880" s="23" t="e">
        <f t="shared" si="61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10"/>
        <v>0</v>
      </c>
      <c r="AG881" s="8"/>
      <c r="AI881" s="30"/>
      <c r="AK881" s="30"/>
      <c r="AL881" s="21"/>
      <c r="AM881" s="23" t="e">
        <f t="shared" si="61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10"/>
        <v>0</v>
      </c>
      <c r="AG882" s="8"/>
      <c r="AI882" s="30"/>
      <c r="AK882" s="30"/>
      <c r="AL882" s="21"/>
      <c r="AM882" s="23" t="e">
        <f t="shared" si="61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10"/>
        <v>0</v>
      </c>
      <c r="AG883" s="8"/>
      <c r="AI883" s="30"/>
      <c r="AK883" s="30"/>
      <c r="AL883" s="21"/>
      <c r="AM883" s="23" t="e">
        <f t="shared" si="61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10"/>
        <v>0</v>
      </c>
      <c r="AG884" s="8"/>
      <c r="AI884" s="30"/>
      <c r="AK884" s="30"/>
      <c r="AL884" s="21"/>
      <c r="AM884" s="23" t="e">
        <f t="shared" si="61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10"/>
        <v>0</v>
      </c>
      <c r="AG885" s="8"/>
      <c r="AI885" s="30"/>
      <c r="AK885" s="30"/>
      <c r="AL885" s="21"/>
      <c r="AM885" s="23" t="e">
        <f t="shared" si="61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10"/>
        <v>0</v>
      </c>
      <c r="AG886" s="8"/>
      <c r="AI886" s="30"/>
      <c r="AK886" s="30"/>
      <c r="AL886" s="21"/>
      <c r="AM886" s="23" t="e">
        <f t="shared" si="61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10"/>
        <v>0</v>
      </c>
      <c r="AG887" s="8"/>
      <c r="AI887" s="30"/>
      <c r="AK887" s="30"/>
      <c r="AL887" s="21"/>
      <c r="AM887" s="23" t="e">
        <f t="shared" si="61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10"/>
        <v>0</v>
      </c>
      <c r="AG888" s="8"/>
      <c r="AI888" s="30"/>
      <c r="AK888" s="30"/>
      <c r="AL888" s="21"/>
      <c r="AM888" s="23" t="e">
        <f t="shared" si="61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10"/>
        <v>0</v>
      </c>
      <c r="AG889" s="8"/>
      <c r="AI889" s="30"/>
      <c r="AK889" s="30"/>
      <c r="AL889" s="21"/>
      <c r="AM889" s="23" t="e">
        <f t="shared" si="61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10"/>
        <v>0</v>
      </c>
      <c r="AG890" s="8"/>
      <c r="AI890" s="30"/>
      <c r="AK890" s="30"/>
      <c r="AL890" s="21"/>
      <c r="AM890" s="23" t="e">
        <f t="shared" si="61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10"/>
        <v>0</v>
      </c>
      <c r="AG891" s="8"/>
      <c r="AI891" s="30"/>
      <c r="AK891" s="30"/>
      <c r="AL891" s="21"/>
      <c r="AM891" s="23" t="e">
        <f t="shared" si="61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10"/>
        <v>0</v>
      </c>
      <c r="AG892" s="8"/>
      <c r="AI892" s="30"/>
      <c r="AK892" s="30"/>
      <c r="AL892" s="21"/>
      <c r="AM892" s="23" t="e">
        <f t="shared" si="61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10"/>
        <v>0</v>
      </c>
      <c r="AG893" s="8"/>
      <c r="AI893" s="30"/>
      <c r="AK893" s="30"/>
      <c r="AL893" s="21"/>
      <c r="AM893" s="23" t="e">
        <f t="shared" si="61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10"/>
        <v>0</v>
      </c>
      <c r="AG894" s="8"/>
      <c r="AI894" s="30"/>
      <c r="AK894" s="30"/>
      <c r="AL894" s="21"/>
      <c r="AM894" s="23" t="e">
        <f t="shared" si="61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10"/>
        <v>0</v>
      </c>
      <c r="AG895" s="8"/>
      <c r="AI895" s="30"/>
      <c r="AK895" s="30"/>
      <c r="AL895" s="21"/>
      <c r="AM895" s="23" t="e">
        <f t="shared" si="61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10"/>
        <v>0</v>
      </c>
      <c r="AG896" s="8"/>
      <c r="AI896" s="30"/>
      <c r="AK896" s="30"/>
      <c r="AL896" s="21"/>
      <c r="AM896" s="23" t="e">
        <f t="shared" si="61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10"/>
        <v>0</v>
      </c>
      <c r="AG897" s="8"/>
      <c r="AI897" s="30"/>
      <c r="AK897" s="30"/>
      <c r="AL897" s="21"/>
      <c r="AM897" s="23" t="e">
        <f t="shared" si="61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10"/>
        <v>0</v>
      </c>
      <c r="AG898" s="8"/>
      <c r="AI898" s="30"/>
      <c r="AK898" s="30"/>
      <c r="AL898" s="21"/>
      <c r="AM898" s="23" t="e">
        <f t="shared" si="61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12">COUNTIF(B:B,B899)</f>
        <v>0</v>
      </c>
      <c r="AG899" s="8"/>
      <c r="AI899" s="30"/>
      <c r="AK899" s="30"/>
      <c r="AL899" s="21"/>
      <c r="AM899" s="23" t="e">
        <f t="shared" ref="AM899:AM962" si="613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12"/>
        <v>0</v>
      </c>
      <c r="AG900" s="8"/>
      <c r="AI900" s="30"/>
      <c r="AK900" s="30"/>
      <c r="AL900" s="21"/>
      <c r="AM900" s="23" t="e">
        <f t="shared" si="613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12"/>
        <v>0</v>
      </c>
      <c r="AG901" s="8"/>
      <c r="AI901" s="30"/>
      <c r="AK901" s="30"/>
      <c r="AL901" s="21"/>
      <c r="AM901" s="23" t="e">
        <f t="shared" si="613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12"/>
        <v>0</v>
      </c>
      <c r="AG902" s="8"/>
      <c r="AI902" s="30"/>
      <c r="AK902" s="30"/>
      <c r="AL902" s="21"/>
      <c r="AM902" s="23" t="e">
        <f t="shared" si="613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12"/>
        <v>0</v>
      </c>
      <c r="AG903" s="8"/>
      <c r="AI903" s="30"/>
      <c r="AK903" s="30"/>
      <c r="AL903" s="21"/>
      <c r="AM903" s="23" t="e">
        <f t="shared" si="613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12"/>
        <v>0</v>
      </c>
      <c r="AG904" s="8"/>
      <c r="AI904" s="30"/>
      <c r="AK904" s="30"/>
      <c r="AL904" s="21"/>
      <c r="AM904" s="23" t="e">
        <f t="shared" si="613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12"/>
        <v>0</v>
      </c>
      <c r="AG905" s="8"/>
      <c r="AI905" s="30"/>
      <c r="AK905" s="30"/>
      <c r="AL905" s="21"/>
      <c r="AM905" s="23" t="e">
        <f t="shared" si="613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12"/>
        <v>0</v>
      </c>
      <c r="AG906" s="8"/>
      <c r="AI906" s="30"/>
      <c r="AK906" s="30"/>
      <c r="AL906" s="21"/>
      <c r="AM906" s="23" t="e">
        <f t="shared" si="613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12"/>
        <v>0</v>
      </c>
      <c r="AG907" s="8"/>
      <c r="AI907" s="30"/>
      <c r="AK907" s="30"/>
      <c r="AL907" s="21"/>
      <c r="AM907" s="23" t="e">
        <f t="shared" si="613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12"/>
        <v>0</v>
      </c>
      <c r="AG908" s="8"/>
      <c r="AI908" s="30"/>
      <c r="AK908" s="30"/>
      <c r="AL908" s="21"/>
      <c r="AM908" s="23" t="e">
        <f t="shared" si="613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12"/>
        <v>0</v>
      </c>
      <c r="AG909" s="8"/>
      <c r="AI909" s="30"/>
      <c r="AK909" s="30"/>
      <c r="AL909" s="21"/>
      <c r="AM909" s="23" t="e">
        <f t="shared" si="613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12"/>
        <v>0</v>
      </c>
      <c r="AG910" s="8"/>
      <c r="AI910" s="30"/>
      <c r="AK910" s="30"/>
      <c r="AL910" s="21"/>
      <c r="AM910" s="23" t="e">
        <f t="shared" si="613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12"/>
        <v>0</v>
      </c>
      <c r="AG911" s="8"/>
      <c r="AI911" s="30"/>
      <c r="AK911" s="30"/>
      <c r="AL911" s="21"/>
      <c r="AM911" s="23" t="e">
        <f t="shared" si="613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12"/>
        <v>0</v>
      </c>
      <c r="AG912" s="8"/>
      <c r="AI912" s="30"/>
      <c r="AK912" s="30"/>
      <c r="AL912" s="21"/>
      <c r="AM912" s="23" t="e">
        <f t="shared" si="613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12"/>
        <v>0</v>
      </c>
      <c r="AG913" s="8"/>
      <c r="AI913" s="30"/>
      <c r="AK913" s="30"/>
      <c r="AL913" s="21"/>
      <c r="AM913" s="23" t="e">
        <f t="shared" si="613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12"/>
        <v>0</v>
      </c>
      <c r="AG914" s="8"/>
      <c r="AI914" s="30"/>
      <c r="AK914" s="30"/>
      <c r="AL914" s="21"/>
      <c r="AM914" s="23" t="e">
        <f t="shared" si="613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12"/>
        <v>0</v>
      </c>
      <c r="AG915" s="8"/>
      <c r="AI915" s="30"/>
      <c r="AK915" s="30"/>
      <c r="AL915" s="21"/>
      <c r="AM915" s="23" t="e">
        <f t="shared" si="613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12"/>
        <v>0</v>
      </c>
      <c r="AG916" s="8"/>
      <c r="AI916" s="30"/>
      <c r="AK916" s="30"/>
      <c r="AL916" s="21"/>
      <c r="AM916" s="23" t="e">
        <f t="shared" si="613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12"/>
        <v>0</v>
      </c>
      <c r="AG917" s="8"/>
      <c r="AI917" s="30"/>
      <c r="AK917" s="30"/>
      <c r="AL917" s="21"/>
      <c r="AM917" s="23" t="e">
        <f t="shared" si="613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12"/>
        <v>0</v>
      </c>
      <c r="AG918" s="8"/>
      <c r="AI918" s="30"/>
      <c r="AK918" s="30"/>
      <c r="AL918" s="21"/>
      <c r="AM918" s="23" t="e">
        <f t="shared" si="613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12"/>
        <v>0</v>
      </c>
      <c r="AG919" s="8"/>
      <c r="AI919" s="30"/>
      <c r="AK919" s="30"/>
      <c r="AL919" s="21"/>
      <c r="AM919" s="23" t="e">
        <f t="shared" si="613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12"/>
        <v>0</v>
      </c>
      <c r="AG920" s="8"/>
      <c r="AI920" s="30"/>
      <c r="AK920" s="30"/>
      <c r="AL920" s="21"/>
      <c r="AM920" s="23" t="e">
        <f t="shared" si="613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12"/>
        <v>0</v>
      </c>
      <c r="AG921" s="8"/>
      <c r="AI921" s="30"/>
      <c r="AK921" s="30"/>
      <c r="AL921" s="21"/>
      <c r="AM921" s="23" t="e">
        <f t="shared" si="613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12"/>
        <v>0</v>
      </c>
      <c r="AG922" s="8"/>
      <c r="AI922" s="30"/>
      <c r="AK922" s="30"/>
      <c r="AL922" s="21"/>
      <c r="AM922" s="23" t="e">
        <f t="shared" si="613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12"/>
        <v>0</v>
      </c>
      <c r="AG923" s="8"/>
      <c r="AI923" s="30"/>
      <c r="AK923" s="30"/>
      <c r="AL923" s="21"/>
      <c r="AM923" s="23" t="e">
        <f t="shared" si="613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12"/>
        <v>0</v>
      </c>
      <c r="AG924" s="8"/>
      <c r="AI924" s="30"/>
      <c r="AK924" s="30"/>
      <c r="AL924" s="21"/>
      <c r="AM924" s="23" t="e">
        <f t="shared" si="613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12"/>
        <v>0</v>
      </c>
      <c r="AG925" s="8"/>
      <c r="AI925" s="30"/>
      <c r="AK925" s="30"/>
      <c r="AL925" s="21"/>
      <c r="AM925" s="23" t="e">
        <f t="shared" si="613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12"/>
        <v>0</v>
      </c>
      <c r="AG926" s="8"/>
      <c r="AI926" s="30"/>
      <c r="AK926" s="30"/>
      <c r="AL926" s="21"/>
      <c r="AM926" s="23" t="e">
        <f t="shared" si="613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12"/>
        <v>0</v>
      </c>
      <c r="AG927" s="8"/>
      <c r="AI927" s="30"/>
      <c r="AK927" s="30"/>
      <c r="AL927" s="21"/>
      <c r="AM927" s="23" t="e">
        <f t="shared" si="613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12"/>
        <v>0</v>
      </c>
      <c r="AG928" s="8"/>
      <c r="AI928" s="30"/>
      <c r="AK928" s="30"/>
      <c r="AL928" s="21"/>
      <c r="AM928" s="23" t="e">
        <f t="shared" si="613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12"/>
        <v>0</v>
      </c>
      <c r="AG929" s="8"/>
      <c r="AI929" s="30"/>
      <c r="AK929" s="30"/>
      <c r="AL929" s="21"/>
      <c r="AM929" s="23" t="e">
        <f t="shared" si="613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12"/>
        <v>0</v>
      </c>
      <c r="AG930" s="8"/>
      <c r="AI930" s="30"/>
      <c r="AK930" s="30"/>
      <c r="AL930" s="21"/>
      <c r="AM930" s="23" t="e">
        <f t="shared" si="613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12"/>
        <v>0</v>
      </c>
      <c r="AG931" s="8"/>
      <c r="AI931" s="30"/>
      <c r="AK931" s="30"/>
      <c r="AL931" s="21"/>
      <c r="AM931" s="23" t="e">
        <f t="shared" si="613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12"/>
        <v>0</v>
      </c>
      <c r="AG932" s="8"/>
      <c r="AI932" s="30"/>
      <c r="AK932" s="30"/>
      <c r="AL932" s="21"/>
      <c r="AM932" s="23" t="e">
        <f t="shared" si="613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12"/>
        <v>0</v>
      </c>
      <c r="AG933" s="8"/>
      <c r="AI933" s="30"/>
      <c r="AK933" s="30"/>
      <c r="AL933" s="21"/>
      <c r="AM933" s="23" t="e">
        <f t="shared" si="613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12"/>
        <v>0</v>
      </c>
      <c r="AG934" s="8"/>
      <c r="AI934" s="30"/>
      <c r="AK934" s="30"/>
      <c r="AL934" s="21"/>
      <c r="AM934" s="23" t="e">
        <f t="shared" si="613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12"/>
        <v>0</v>
      </c>
      <c r="AG935" s="8"/>
      <c r="AI935" s="30"/>
      <c r="AK935" s="30"/>
      <c r="AL935" s="21"/>
      <c r="AM935" s="23" t="e">
        <f t="shared" si="613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12"/>
        <v>0</v>
      </c>
      <c r="AG936" s="8"/>
      <c r="AI936" s="30"/>
      <c r="AK936" s="30"/>
      <c r="AL936" s="21"/>
      <c r="AM936" s="23" t="e">
        <f t="shared" si="613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12"/>
        <v>0</v>
      </c>
      <c r="AG937" s="8"/>
      <c r="AI937" s="30"/>
      <c r="AK937" s="30"/>
      <c r="AL937" s="21"/>
      <c r="AM937" s="23" t="e">
        <f t="shared" si="613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12"/>
        <v>0</v>
      </c>
      <c r="AG938" s="8"/>
      <c r="AI938" s="30"/>
      <c r="AK938" s="30"/>
      <c r="AL938" s="21"/>
      <c r="AM938" s="23" t="e">
        <f t="shared" si="613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12"/>
        <v>0</v>
      </c>
      <c r="AG939" s="8"/>
      <c r="AI939" s="30"/>
      <c r="AK939" s="30"/>
      <c r="AL939" s="21"/>
      <c r="AM939" s="23" t="e">
        <f t="shared" si="613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12"/>
        <v>0</v>
      </c>
      <c r="AG940" s="8"/>
      <c r="AI940" s="30"/>
      <c r="AK940" s="30"/>
      <c r="AL940" s="21"/>
      <c r="AM940" s="23" t="e">
        <f t="shared" si="613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12"/>
        <v>0</v>
      </c>
      <c r="AG941" s="8"/>
      <c r="AI941" s="30"/>
      <c r="AK941" s="30"/>
      <c r="AL941" s="21"/>
      <c r="AM941" s="23" t="e">
        <f t="shared" si="613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12"/>
        <v>0</v>
      </c>
      <c r="AG942" s="8"/>
      <c r="AI942" s="30"/>
      <c r="AK942" s="30"/>
      <c r="AL942" s="21"/>
      <c r="AM942" s="23" t="e">
        <f t="shared" si="613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12"/>
        <v>0</v>
      </c>
      <c r="AG943" s="8"/>
      <c r="AI943" s="30"/>
      <c r="AK943" s="30"/>
      <c r="AL943" s="21"/>
      <c r="AM943" s="23" t="e">
        <f t="shared" si="613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12"/>
        <v>0</v>
      </c>
      <c r="AG944" s="8"/>
      <c r="AI944" s="30"/>
      <c r="AK944" s="30"/>
      <c r="AL944" s="21"/>
      <c r="AM944" s="23" t="e">
        <f t="shared" si="613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12"/>
        <v>0</v>
      </c>
      <c r="AG945" s="8"/>
      <c r="AI945" s="30"/>
      <c r="AK945" s="30"/>
      <c r="AL945" s="21"/>
      <c r="AM945" s="23" t="e">
        <f t="shared" si="613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12"/>
        <v>0</v>
      </c>
      <c r="AG946" s="8"/>
      <c r="AI946" s="30"/>
      <c r="AK946" s="30"/>
      <c r="AL946" s="21"/>
      <c r="AM946" s="23" t="e">
        <f t="shared" si="613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12"/>
        <v>0</v>
      </c>
      <c r="AG947" s="8"/>
      <c r="AI947" s="30"/>
      <c r="AK947" s="30"/>
      <c r="AL947" s="21"/>
      <c r="AM947" s="23" t="e">
        <f t="shared" si="613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12"/>
        <v>0</v>
      </c>
      <c r="AG948" s="8"/>
      <c r="AI948" s="30"/>
      <c r="AK948" s="30"/>
      <c r="AL948" s="21"/>
      <c r="AM948" s="23" t="e">
        <f t="shared" si="613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12"/>
        <v>0</v>
      </c>
      <c r="AG949" s="8"/>
      <c r="AI949" s="30"/>
      <c r="AK949" s="30"/>
      <c r="AL949" s="21"/>
      <c r="AM949" s="23" t="e">
        <f t="shared" si="613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12"/>
        <v>0</v>
      </c>
      <c r="AG950" s="8"/>
      <c r="AI950" s="30"/>
      <c r="AK950" s="30"/>
      <c r="AL950" s="21"/>
      <c r="AM950" s="23" t="e">
        <f t="shared" si="613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12"/>
        <v>0</v>
      </c>
      <c r="AG951" s="8"/>
      <c r="AI951" s="30"/>
      <c r="AK951" s="30"/>
      <c r="AL951" s="21"/>
      <c r="AM951" s="23" t="e">
        <f t="shared" si="613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12"/>
        <v>0</v>
      </c>
      <c r="AG952" s="8"/>
      <c r="AI952" s="30"/>
      <c r="AK952" s="30"/>
      <c r="AL952" s="21"/>
      <c r="AM952" s="23" t="e">
        <f t="shared" si="613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12"/>
        <v>0</v>
      </c>
      <c r="AG953" s="8"/>
      <c r="AI953" s="30"/>
      <c r="AK953" s="30"/>
      <c r="AL953" s="21"/>
      <c r="AM953" s="23" t="e">
        <f t="shared" si="613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12"/>
        <v>0</v>
      </c>
      <c r="AG954" s="8"/>
      <c r="AI954" s="30"/>
      <c r="AK954" s="30"/>
      <c r="AL954" s="21"/>
      <c r="AM954" s="23" t="e">
        <f t="shared" si="613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12"/>
        <v>0</v>
      </c>
      <c r="AG955" s="8"/>
      <c r="AI955" s="30"/>
      <c r="AK955" s="30"/>
      <c r="AL955" s="21"/>
      <c r="AM955" s="23" t="e">
        <f t="shared" si="613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12"/>
        <v>0</v>
      </c>
      <c r="AG956" s="8"/>
      <c r="AI956" s="30"/>
      <c r="AK956" s="30"/>
      <c r="AL956" s="21"/>
      <c r="AM956" s="23" t="e">
        <f t="shared" si="613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12"/>
        <v>0</v>
      </c>
      <c r="AG957" s="8"/>
      <c r="AI957" s="30"/>
      <c r="AK957" s="30"/>
      <c r="AL957" s="21"/>
      <c r="AM957" s="23" t="e">
        <f t="shared" si="613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12"/>
        <v>0</v>
      </c>
      <c r="AG958" s="8"/>
      <c r="AI958" s="30"/>
      <c r="AK958" s="30"/>
      <c r="AL958" s="21"/>
      <c r="AM958" s="23" t="e">
        <f t="shared" si="613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12"/>
        <v>0</v>
      </c>
      <c r="AG959" s="8"/>
      <c r="AI959" s="30"/>
      <c r="AK959" s="30"/>
      <c r="AL959" s="21"/>
      <c r="AM959" s="23" t="e">
        <f t="shared" si="613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12"/>
        <v>0</v>
      </c>
      <c r="AG960" s="8"/>
      <c r="AI960" s="30"/>
      <c r="AK960" s="30"/>
      <c r="AL960" s="21"/>
      <c r="AM960" s="23" t="e">
        <f t="shared" si="613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12"/>
        <v>0</v>
      </c>
      <c r="AG961" s="8"/>
      <c r="AI961" s="30"/>
      <c r="AK961" s="30"/>
      <c r="AL961" s="21"/>
      <c r="AM961" s="23" t="e">
        <f t="shared" si="613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12"/>
        <v>0</v>
      </c>
      <c r="AG962" s="8"/>
      <c r="AI962" s="30"/>
      <c r="AK962" s="30"/>
      <c r="AL962" s="21"/>
      <c r="AM962" s="23" t="e">
        <f t="shared" si="613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14">COUNTIF(B:B,B963)</f>
        <v>0</v>
      </c>
      <c r="AG963" s="8"/>
      <c r="AI963" s="30"/>
      <c r="AK963" s="30"/>
      <c r="AL963" s="21"/>
      <c r="AM963" s="23" t="e">
        <f t="shared" ref="AM963:AM1026" si="615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14"/>
        <v>0</v>
      </c>
      <c r="AG964" s="8"/>
      <c r="AI964" s="30"/>
      <c r="AK964" s="30"/>
      <c r="AL964" s="21"/>
      <c r="AM964" s="23" t="e">
        <f t="shared" si="615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14"/>
        <v>0</v>
      </c>
      <c r="AG965" s="8"/>
      <c r="AI965" s="30"/>
      <c r="AK965" s="30"/>
      <c r="AL965" s="21"/>
      <c r="AM965" s="23" t="e">
        <f t="shared" si="615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14"/>
        <v>0</v>
      </c>
      <c r="AG966" s="8"/>
      <c r="AI966" s="30"/>
      <c r="AK966" s="30"/>
      <c r="AL966" s="21"/>
      <c r="AM966" s="23" t="e">
        <f t="shared" si="615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14"/>
        <v>0</v>
      </c>
      <c r="AG967" s="8"/>
      <c r="AI967" s="30"/>
      <c r="AK967" s="30"/>
      <c r="AL967" s="21"/>
      <c r="AM967" s="23" t="e">
        <f t="shared" si="615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14"/>
        <v>0</v>
      </c>
      <c r="AG968" s="8"/>
      <c r="AI968" s="30"/>
      <c r="AK968" s="30"/>
      <c r="AL968" s="21"/>
      <c r="AM968" s="23" t="e">
        <f t="shared" si="615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14"/>
        <v>0</v>
      </c>
      <c r="AG969" s="8"/>
      <c r="AI969" s="30"/>
      <c r="AK969" s="30"/>
      <c r="AL969" s="21"/>
      <c r="AM969" s="23" t="e">
        <f t="shared" si="615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14"/>
        <v>0</v>
      </c>
      <c r="AG970" s="8"/>
      <c r="AI970" s="30"/>
      <c r="AK970" s="30"/>
      <c r="AL970" s="21"/>
      <c r="AM970" s="23" t="e">
        <f t="shared" si="615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14"/>
        <v>0</v>
      </c>
      <c r="AG971" s="8"/>
      <c r="AI971" s="30"/>
      <c r="AK971" s="30"/>
      <c r="AL971" s="21"/>
      <c r="AM971" s="23" t="e">
        <f t="shared" si="615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14"/>
        <v>0</v>
      </c>
      <c r="AG972" s="8"/>
      <c r="AI972" s="30"/>
      <c r="AK972" s="30"/>
      <c r="AL972" s="21"/>
      <c r="AM972" s="23" t="e">
        <f t="shared" si="615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14"/>
        <v>0</v>
      </c>
      <c r="AG973" s="8"/>
      <c r="AI973" s="30"/>
      <c r="AK973" s="30"/>
      <c r="AL973" s="21"/>
      <c r="AM973" s="23" t="e">
        <f t="shared" si="615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14"/>
        <v>0</v>
      </c>
      <c r="AG974" s="8"/>
      <c r="AI974" s="30"/>
      <c r="AK974" s="30"/>
      <c r="AL974" s="21"/>
      <c r="AM974" s="23" t="e">
        <f t="shared" si="615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14"/>
        <v>0</v>
      </c>
      <c r="AG975" s="8"/>
      <c r="AI975" s="30"/>
      <c r="AK975" s="30"/>
      <c r="AL975" s="21"/>
      <c r="AM975" s="23" t="e">
        <f t="shared" si="615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14"/>
        <v>0</v>
      </c>
      <c r="AG976" s="8"/>
      <c r="AI976" s="30"/>
      <c r="AK976" s="30"/>
      <c r="AL976" s="21"/>
      <c r="AM976" s="23" t="e">
        <f t="shared" si="615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14"/>
        <v>0</v>
      </c>
      <c r="AG977" s="8"/>
      <c r="AI977" s="30"/>
      <c r="AK977" s="30"/>
      <c r="AL977" s="21"/>
      <c r="AM977" s="23" t="e">
        <f t="shared" si="615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14"/>
        <v>0</v>
      </c>
      <c r="AG978" s="8"/>
      <c r="AI978" s="30"/>
      <c r="AK978" s="30"/>
      <c r="AL978" s="21"/>
      <c r="AM978" s="23" t="e">
        <f t="shared" si="615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14"/>
        <v>0</v>
      </c>
      <c r="AG979" s="8"/>
      <c r="AI979" s="30"/>
      <c r="AK979" s="30"/>
      <c r="AL979" s="21"/>
      <c r="AM979" s="23" t="e">
        <f t="shared" si="615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14"/>
        <v>0</v>
      </c>
      <c r="AG980" s="8"/>
      <c r="AI980" s="30"/>
      <c r="AK980" s="30"/>
      <c r="AL980" s="21"/>
      <c r="AM980" s="23" t="e">
        <f t="shared" si="615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14"/>
        <v>0</v>
      </c>
      <c r="AG981" s="8"/>
      <c r="AI981" s="30"/>
      <c r="AK981" s="30"/>
      <c r="AL981" s="21"/>
      <c r="AM981" s="23" t="e">
        <f t="shared" si="615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14"/>
        <v>0</v>
      </c>
      <c r="AG982" s="8"/>
      <c r="AI982" s="30"/>
      <c r="AK982" s="30"/>
      <c r="AL982" s="21"/>
      <c r="AM982" s="23" t="e">
        <f t="shared" si="615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14"/>
        <v>0</v>
      </c>
      <c r="AG983" s="8"/>
      <c r="AI983" s="30"/>
      <c r="AK983" s="30"/>
      <c r="AL983" s="21"/>
      <c r="AM983" s="23" t="e">
        <f t="shared" si="615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14"/>
        <v>0</v>
      </c>
      <c r="AG984" s="8"/>
      <c r="AI984" s="30"/>
      <c r="AK984" s="30"/>
      <c r="AL984" s="21"/>
      <c r="AM984" s="23" t="e">
        <f t="shared" si="615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14"/>
        <v>0</v>
      </c>
      <c r="AG985" s="8"/>
      <c r="AI985" s="30"/>
      <c r="AK985" s="30"/>
      <c r="AL985" s="21"/>
      <c r="AM985" s="23" t="e">
        <f t="shared" si="615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14"/>
        <v>0</v>
      </c>
      <c r="AG986" s="8"/>
      <c r="AI986" s="30"/>
      <c r="AK986" s="30"/>
      <c r="AL986" s="21"/>
      <c r="AM986" s="23" t="e">
        <f t="shared" si="615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14"/>
        <v>0</v>
      </c>
      <c r="AG987" s="8"/>
      <c r="AI987" s="30"/>
      <c r="AK987" s="30"/>
      <c r="AL987" s="21"/>
      <c r="AM987" s="23" t="e">
        <f t="shared" si="615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14"/>
        <v>0</v>
      </c>
      <c r="AG988" s="8"/>
      <c r="AI988" s="30"/>
      <c r="AK988" s="30"/>
      <c r="AL988" s="21"/>
      <c r="AM988" s="23" t="e">
        <f t="shared" si="615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14"/>
        <v>0</v>
      </c>
      <c r="AG989" s="8"/>
      <c r="AI989" s="30"/>
      <c r="AK989" s="30"/>
      <c r="AL989" s="21"/>
      <c r="AM989" s="23" t="e">
        <f t="shared" si="615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14"/>
        <v>0</v>
      </c>
      <c r="AG990" s="8"/>
      <c r="AI990" s="30"/>
      <c r="AK990" s="30"/>
      <c r="AL990" s="21"/>
      <c r="AM990" s="23" t="e">
        <f t="shared" si="615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14"/>
        <v>0</v>
      </c>
      <c r="AG991" s="8"/>
      <c r="AI991" s="30"/>
      <c r="AK991" s="30"/>
      <c r="AL991" s="21"/>
      <c r="AM991" s="23" t="e">
        <f t="shared" si="615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14"/>
        <v>0</v>
      </c>
      <c r="AG992" s="8"/>
      <c r="AI992" s="30"/>
      <c r="AK992" s="30"/>
      <c r="AL992" s="21"/>
      <c r="AM992" s="23" t="e">
        <f t="shared" si="615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14"/>
        <v>0</v>
      </c>
      <c r="AG993" s="8"/>
      <c r="AI993" s="30"/>
      <c r="AK993" s="30"/>
      <c r="AL993" s="21"/>
      <c r="AM993" s="23" t="e">
        <f t="shared" si="615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14"/>
        <v>0</v>
      </c>
      <c r="AG994" s="8"/>
      <c r="AI994" s="30"/>
      <c r="AK994" s="30"/>
      <c r="AL994" s="21"/>
      <c r="AM994" s="23" t="e">
        <f t="shared" si="615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14"/>
        <v>0</v>
      </c>
      <c r="AG995" s="8"/>
      <c r="AI995" s="30"/>
      <c r="AK995" s="30"/>
      <c r="AL995" s="21"/>
      <c r="AM995" s="23" t="e">
        <f t="shared" si="615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14"/>
        <v>0</v>
      </c>
      <c r="AG996" s="8"/>
      <c r="AI996" s="30"/>
      <c r="AK996" s="30"/>
      <c r="AL996" s="21"/>
      <c r="AM996" s="23" t="e">
        <f t="shared" si="615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14"/>
        <v>0</v>
      </c>
      <c r="AG997" s="8"/>
      <c r="AI997" s="30"/>
      <c r="AK997" s="30"/>
      <c r="AL997" s="21"/>
      <c r="AM997" s="23" t="e">
        <f t="shared" si="615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14"/>
        <v>0</v>
      </c>
      <c r="AG998" s="8"/>
      <c r="AI998" s="30"/>
      <c r="AK998" s="30"/>
      <c r="AL998" s="21"/>
      <c r="AM998" s="23" t="e">
        <f t="shared" si="615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14"/>
        <v>0</v>
      </c>
      <c r="AG999" s="8"/>
      <c r="AI999" s="30"/>
      <c r="AK999" s="30"/>
      <c r="AL999" s="21"/>
      <c r="AM999" s="23" t="e">
        <f t="shared" si="615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14"/>
        <v>0</v>
      </c>
      <c r="AG1000" s="8"/>
      <c r="AI1000" s="30"/>
      <c r="AK1000" s="30"/>
      <c r="AL1000" s="21"/>
      <c r="AM1000" s="23" t="e">
        <f t="shared" si="615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14"/>
        <v>0</v>
      </c>
      <c r="AG1001" s="8"/>
      <c r="AI1001" s="30"/>
      <c r="AK1001" s="30"/>
      <c r="AL1001" s="21"/>
      <c r="AM1001" s="23" t="e">
        <f t="shared" si="615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14"/>
        <v>0</v>
      </c>
      <c r="AG1002" s="8"/>
      <c r="AI1002" s="30"/>
      <c r="AK1002" s="30"/>
      <c r="AL1002" s="21"/>
      <c r="AM1002" s="23" t="e">
        <f t="shared" si="615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14"/>
        <v>0</v>
      </c>
      <c r="AG1003" s="8"/>
      <c r="AI1003" s="30"/>
      <c r="AK1003" s="30"/>
      <c r="AL1003" s="21"/>
      <c r="AM1003" s="23" t="e">
        <f t="shared" si="615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14"/>
        <v>0</v>
      </c>
      <c r="AG1004" s="8"/>
      <c r="AI1004" s="30"/>
      <c r="AK1004" s="30"/>
      <c r="AL1004" s="21"/>
      <c r="AM1004" s="23" t="e">
        <f t="shared" si="615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14"/>
        <v>0</v>
      </c>
      <c r="AG1005" s="8"/>
      <c r="AI1005" s="30"/>
      <c r="AK1005" s="30"/>
      <c r="AL1005" s="21"/>
      <c r="AM1005" s="23" t="e">
        <f t="shared" si="615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14"/>
        <v>0</v>
      </c>
      <c r="AG1006" s="8"/>
      <c r="AI1006" s="30"/>
      <c r="AK1006" s="30"/>
      <c r="AL1006" s="21"/>
      <c r="AM1006" s="23" t="e">
        <f t="shared" si="615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14"/>
        <v>0</v>
      </c>
      <c r="AG1007" s="8"/>
      <c r="AI1007" s="30"/>
      <c r="AK1007" s="30"/>
      <c r="AL1007" s="21"/>
      <c r="AM1007" s="23" t="e">
        <f t="shared" si="615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14"/>
        <v>0</v>
      </c>
      <c r="AG1008" s="8"/>
      <c r="AI1008" s="30"/>
      <c r="AK1008" s="30"/>
      <c r="AL1008" s="21"/>
      <c r="AM1008" s="23" t="e">
        <f t="shared" si="615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14"/>
        <v>0</v>
      </c>
      <c r="AG1009" s="8"/>
      <c r="AI1009" s="30"/>
      <c r="AK1009" s="30"/>
      <c r="AL1009" s="21"/>
      <c r="AM1009" s="23" t="e">
        <f t="shared" si="615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14"/>
        <v>0</v>
      </c>
      <c r="AG1010" s="8"/>
      <c r="AI1010" s="30"/>
      <c r="AK1010" s="30"/>
      <c r="AL1010" s="21"/>
      <c r="AM1010" s="23" t="e">
        <f t="shared" si="615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14"/>
        <v>0</v>
      </c>
      <c r="AG1011" s="8"/>
      <c r="AI1011" s="30"/>
      <c r="AK1011" s="30"/>
      <c r="AL1011" s="21"/>
      <c r="AM1011" s="23" t="e">
        <f t="shared" si="615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14"/>
        <v>0</v>
      </c>
      <c r="AG1012" s="8"/>
      <c r="AI1012" s="30"/>
      <c r="AK1012" s="30"/>
      <c r="AL1012" s="21"/>
      <c r="AM1012" s="23" t="e">
        <f t="shared" si="615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14"/>
        <v>0</v>
      </c>
      <c r="AG1013" s="8"/>
      <c r="AI1013" s="30"/>
      <c r="AK1013" s="30"/>
      <c r="AL1013" s="21"/>
      <c r="AM1013" s="23" t="e">
        <f t="shared" si="615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14"/>
        <v>0</v>
      </c>
      <c r="AG1014" s="8"/>
      <c r="AI1014" s="30"/>
      <c r="AK1014" s="30"/>
      <c r="AL1014" s="21"/>
      <c r="AM1014" s="23" t="e">
        <f t="shared" si="615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14"/>
        <v>0</v>
      </c>
      <c r="AG1015" s="8"/>
      <c r="AI1015" s="30"/>
      <c r="AK1015" s="30"/>
      <c r="AL1015" s="21"/>
      <c r="AM1015" s="23" t="e">
        <f t="shared" si="615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14"/>
        <v>0</v>
      </c>
      <c r="AG1016" s="8"/>
      <c r="AI1016" s="30"/>
      <c r="AK1016" s="30"/>
      <c r="AL1016" s="21"/>
      <c r="AM1016" s="23" t="e">
        <f t="shared" si="615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14"/>
        <v>0</v>
      </c>
      <c r="AG1017" s="8"/>
      <c r="AI1017" s="30"/>
      <c r="AK1017" s="30"/>
      <c r="AL1017" s="21"/>
      <c r="AM1017" s="23" t="e">
        <f t="shared" si="615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14"/>
        <v>0</v>
      </c>
      <c r="AG1018" s="8"/>
      <c r="AI1018" s="30"/>
      <c r="AK1018" s="30"/>
      <c r="AL1018" s="21"/>
      <c r="AM1018" s="23" t="e">
        <f t="shared" si="615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14"/>
        <v>0</v>
      </c>
      <c r="AG1019" s="8"/>
      <c r="AI1019" s="30"/>
      <c r="AK1019" s="30"/>
      <c r="AL1019" s="21"/>
      <c r="AM1019" s="23" t="e">
        <f t="shared" si="615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14"/>
        <v>0</v>
      </c>
      <c r="AG1020" s="8"/>
      <c r="AI1020" s="30"/>
      <c r="AK1020" s="30"/>
      <c r="AL1020" s="21"/>
      <c r="AM1020" s="23" t="e">
        <f t="shared" si="615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14"/>
        <v>0</v>
      </c>
      <c r="AG1021" s="8"/>
      <c r="AI1021" s="30"/>
      <c r="AK1021" s="30"/>
      <c r="AL1021" s="21"/>
      <c r="AM1021" s="23" t="e">
        <f t="shared" si="615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14"/>
        <v>0</v>
      </c>
      <c r="AG1022" s="8"/>
      <c r="AI1022" s="30"/>
      <c r="AK1022" s="30"/>
      <c r="AL1022" s="21"/>
      <c r="AM1022" s="23" t="e">
        <f t="shared" si="615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14"/>
        <v>0</v>
      </c>
      <c r="AG1023" s="8"/>
      <c r="AI1023" s="30"/>
      <c r="AK1023" s="30"/>
      <c r="AL1023" s="21"/>
      <c r="AM1023" s="23" t="e">
        <f t="shared" si="615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14"/>
        <v>0</v>
      </c>
      <c r="AG1024" s="8"/>
      <c r="AI1024" s="30"/>
      <c r="AK1024" s="30"/>
      <c r="AL1024" s="21"/>
      <c r="AM1024" s="23" t="e">
        <f t="shared" si="615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14"/>
        <v>0</v>
      </c>
      <c r="AG1025" s="8"/>
      <c r="AI1025" s="30"/>
      <c r="AK1025" s="30"/>
      <c r="AL1025" s="21"/>
      <c r="AM1025" s="23" t="e">
        <f t="shared" si="615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14"/>
        <v>0</v>
      </c>
      <c r="AG1026" s="8"/>
      <c r="AI1026" s="30"/>
      <c r="AK1026" s="30"/>
      <c r="AL1026" s="21"/>
      <c r="AM1026" s="23" t="e">
        <f t="shared" si="615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16">COUNTIF(B:B,B1027)</f>
        <v>0</v>
      </c>
      <c r="AG1027" s="8"/>
      <c r="AI1027" s="30"/>
      <c r="AK1027" s="30"/>
      <c r="AL1027" s="21"/>
      <c r="AM1027" s="23" t="e">
        <f t="shared" ref="AM1027:AM1090" si="617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16"/>
        <v>0</v>
      </c>
      <c r="AG1028" s="8"/>
      <c r="AI1028" s="30"/>
      <c r="AK1028" s="30"/>
      <c r="AL1028" s="21"/>
      <c r="AM1028" s="23" t="e">
        <f t="shared" si="617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16"/>
        <v>0</v>
      </c>
      <c r="AG1029" s="8"/>
      <c r="AI1029" s="30"/>
      <c r="AK1029" s="30"/>
      <c r="AL1029" s="21"/>
      <c r="AM1029" s="23" t="e">
        <f t="shared" si="617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16"/>
        <v>0</v>
      </c>
      <c r="AG1030" s="8"/>
      <c r="AI1030" s="30"/>
      <c r="AK1030" s="30"/>
      <c r="AL1030" s="21"/>
      <c r="AM1030" s="23" t="e">
        <f t="shared" si="617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16"/>
        <v>0</v>
      </c>
      <c r="AG1031" s="8"/>
      <c r="AI1031" s="30"/>
      <c r="AK1031" s="30"/>
      <c r="AL1031" s="21"/>
      <c r="AM1031" s="23" t="e">
        <f t="shared" si="617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16"/>
        <v>0</v>
      </c>
      <c r="AG1032" s="8"/>
      <c r="AI1032" s="30"/>
      <c r="AK1032" s="30"/>
      <c r="AL1032" s="21"/>
      <c r="AM1032" s="23" t="e">
        <f t="shared" si="617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16"/>
        <v>0</v>
      </c>
      <c r="AG1033" s="8"/>
      <c r="AI1033" s="30"/>
      <c r="AK1033" s="30"/>
      <c r="AL1033" s="21"/>
      <c r="AM1033" s="23" t="e">
        <f t="shared" si="617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16"/>
        <v>0</v>
      </c>
      <c r="AG1034" s="8"/>
      <c r="AI1034" s="30"/>
      <c r="AK1034" s="30"/>
      <c r="AL1034" s="21"/>
      <c r="AM1034" s="23" t="e">
        <f t="shared" si="617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17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17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17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17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17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17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17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17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17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17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17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17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17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17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17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17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17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17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17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17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17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17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17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17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17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17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17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17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17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17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17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17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17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17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17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17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17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17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17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17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17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17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17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17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17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17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17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17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17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17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17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17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17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17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17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17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18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18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18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18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18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18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18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18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18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18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18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18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18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18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18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18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18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18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18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18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18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18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18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18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18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18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18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18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18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18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18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18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18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18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18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18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18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18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18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18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18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18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18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18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18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18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18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18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18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18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18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18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18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18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18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18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18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18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18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18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18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18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18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18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19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19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19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19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19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19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19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19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19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19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19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19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19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19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19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19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19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19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19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19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19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19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19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19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19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19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19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19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19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19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19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19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19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19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19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19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19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19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19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19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19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19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19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19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19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19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19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19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19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19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19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19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19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19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19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19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19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19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19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19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19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19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19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19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20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20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20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20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20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20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20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20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20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20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20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20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20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20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20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20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20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20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20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20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20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20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20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20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20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20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20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20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20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20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20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20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20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20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20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20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20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20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20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20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20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20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20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20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20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20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20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20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20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20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S122:AY135 S121:BP121 S136:CC346 N503:BQ517 A502:CH502 S1:CC120 CD1:CX346 CI502:CX504 BR505:CX517 S347:CX479 A480:CX501 CY1:XFD1048576 A518:CX739 V762:V769 U763:U768 U756:V761 A741:T769 U741:AM755 W756:AM769 A740:AW740 AN741:AW769 AX740:CX769 A770:CX1048576 A435:O479">
    <cfRule type="containsBlanks" dxfId="0" priority="19">
      <formula>LEN(TRIM(A1))=0</formula>
    </cfRule>
  </conditionalFormatting>
  <conditionalFormatting sqref="Y19:Y34">
    <cfRule type="containsBlanks" dxfId="33" priority="18">
      <formula>LEN(TRIM(Y19))=0</formula>
    </cfRule>
  </conditionalFormatting>
  <conditionalFormatting sqref="C84">
    <cfRule type="duplicateValues" dxfId="32" priority="16"/>
  </conditionalFormatting>
  <conditionalFormatting sqref="C88">
    <cfRule type="duplicateValues" dxfId="31" priority="14"/>
  </conditionalFormatting>
  <conditionalFormatting sqref="C100">
    <cfRule type="duplicateValues" dxfId="30" priority="13"/>
  </conditionalFormatting>
  <conditionalFormatting sqref="C115">
    <cfRule type="duplicateValues" dxfId="29" priority="12"/>
  </conditionalFormatting>
  <conditionalFormatting sqref="C121">
    <cfRule type="duplicateValues" dxfId="28" priority="11"/>
  </conditionalFormatting>
  <conditionalFormatting sqref="C136">
    <cfRule type="duplicateValues" dxfId="27" priority="7"/>
  </conditionalFormatting>
  <conditionalFormatting sqref="C137">
    <cfRule type="duplicateValues" dxfId="26" priority="6"/>
  </conditionalFormatting>
  <conditionalFormatting sqref="C267">
    <cfRule type="duplicateValues" dxfId="25" priority="5"/>
  </conditionalFormatting>
  <conditionalFormatting sqref="C347">
    <cfRule type="duplicateValues" dxfId="24" priority="4"/>
  </conditionalFormatting>
  <conditionalFormatting sqref="C383">
    <cfRule type="duplicateValues" dxfId="23" priority="3"/>
  </conditionalFormatting>
  <conditionalFormatting sqref="C434">
    <cfRule type="duplicateValues" dxfId="22" priority="2"/>
  </conditionalFormatting>
  <conditionalFormatting sqref="C503">
    <cfRule type="duplicateValues" dxfId="21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>
      <selection activeCell="E13" sqref="E13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334</v>
      </c>
      <c r="B1" s="172" t="s">
        <v>378</v>
      </c>
      <c r="C1" s="95" t="s">
        <v>343</v>
      </c>
      <c r="D1" s="95" t="s">
        <v>363</v>
      </c>
      <c r="E1" s="179" t="s">
        <v>366</v>
      </c>
      <c r="F1" s="180" t="s">
        <v>367</v>
      </c>
      <c r="G1" s="180" t="s">
        <v>368</v>
      </c>
      <c r="H1" s="180" t="s">
        <v>371</v>
      </c>
      <c r="I1" s="94" t="s">
        <v>335</v>
      </c>
      <c r="J1" s="93" t="s">
        <v>336</v>
      </c>
    </row>
    <row r="2" spans="1:10" x14ac:dyDescent="0.25">
      <c r="A2" s="28" t="s">
        <v>0</v>
      </c>
      <c r="B2" s="183" t="s">
        <v>381</v>
      </c>
      <c r="C2" t="s">
        <v>361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379</v>
      </c>
      <c r="C3" t="s">
        <v>361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339</v>
      </c>
      <c r="B4" s="183" t="s">
        <v>380</v>
      </c>
      <c r="C4" t="s">
        <v>377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382</v>
      </c>
      <c r="C5" t="s">
        <v>362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383</v>
      </c>
      <c r="C6" t="s">
        <v>362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478</v>
      </c>
      <c r="C7" t="s">
        <v>362</v>
      </c>
      <c r="D7">
        <v>6</v>
      </c>
      <c r="E7" s="42" t="b">
        <v>1</v>
      </c>
      <c r="F7" t="b">
        <v>1</v>
      </c>
      <c r="H7" t="s">
        <v>372</v>
      </c>
      <c r="I7" t="b">
        <v>0</v>
      </c>
    </row>
    <row r="8" spans="1:10" x14ac:dyDescent="0.25">
      <c r="A8" s="28" t="s">
        <v>88</v>
      </c>
      <c r="B8" s="183" t="s">
        <v>384</v>
      </c>
      <c r="C8" t="s">
        <v>362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385</v>
      </c>
      <c r="C9" t="s">
        <v>362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386</v>
      </c>
      <c r="C10" t="s">
        <v>362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387</v>
      </c>
      <c r="C11" t="s">
        <v>362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388</v>
      </c>
      <c r="C12" t="s">
        <v>362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389</v>
      </c>
      <c r="C13" t="s">
        <v>362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390</v>
      </c>
      <c r="C14" t="s">
        <v>362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391</v>
      </c>
      <c r="C15" t="s">
        <v>344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392</v>
      </c>
      <c r="C16" t="s">
        <v>344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393</v>
      </c>
      <c r="C17" t="s">
        <v>344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394</v>
      </c>
      <c r="C18" t="s">
        <v>344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395</v>
      </c>
      <c r="C19" t="s">
        <v>344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396</v>
      </c>
      <c r="C20" t="s">
        <v>344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397</v>
      </c>
      <c r="C21" t="s">
        <v>344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398</v>
      </c>
      <c r="C22" t="s">
        <v>361</v>
      </c>
      <c r="D22">
        <v>13</v>
      </c>
      <c r="E22" s="42" t="b">
        <v>1</v>
      </c>
      <c r="F22" t="b">
        <v>1</v>
      </c>
      <c r="H22" t="s">
        <v>372</v>
      </c>
      <c r="I22" t="b">
        <v>0</v>
      </c>
    </row>
    <row r="23" spans="1:9" x14ac:dyDescent="0.25">
      <c r="A23" s="6" t="s">
        <v>99</v>
      </c>
      <c r="B23" s="175" t="s">
        <v>399</v>
      </c>
      <c r="C23" t="s">
        <v>361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400</v>
      </c>
      <c r="C24" t="s">
        <v>361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401</v>
      </c>
      <c r="C25" t="s">
        <v>361</v>
      </c>
      <c r="D25">
        <v>14</v>
      </c>
      <c r="E25" s="42" t="b">
        <v>1</v>
      </c>
      <c r="F25" t="b">
        <v>1</v>
      </c>
      <c r="H25" t="s">
        <v>372</v>
      </c>
      <c r="I25" t="b">
        <v>1</v>
      </c>
    </row>
    <row r="26" spans="1:9" x14ac:dyDescent="0.25">
      <c r="A26" s="2" t="s">
        <v>31</v>
      </c>
      <c r="B26" s="176" t="s">
        <v>402</v>
      </c>
      <c r="C26" t="s">
        <v>362</v>
      </c>
      <c r="D26">
        <v>15</v>
      </c>
      <c r="E26" s="42" t="b">
        <v>1</v>
      </c>
      <c r="F26" t="b">
        <v>1</v>
      </c>
      <c r="H26" t="s">
        <v>372</v>
      </c>
      <c r="I26" t="b">
        <v>1</v>
      </c>
    </row>
    <row r="27" spans="1:9" x14ac:dyDescent="0.25">
      <c r="A27" s="2" t="s">
        <v>46</v>
      </c>
      <c r="B27" s="176" t="s">
        <v>403</v>
      </c>
      <c r="C27" t="s">
        <v>362</v>
      </c>
      <c r="D27">
        <v>16</v>
      </c>
      <c r="E27" s="42" t="b">
        <v>1</v>
      </c>
      <c r="F27" t="b">
        <v>1</v>
      </c>
      <c r="H27" t="s">
        <v>372</v>
      </c>
      <c r="I27" t="b">
        <v>1</v>
      </c>
    </row>
    <row r="28" spans="1:9" x14ac:dyDescent="0.25">
      <c r="A28" s="2" t="s">
        <v>205</v>
      </c>
      <c r="B28" s="176" t="s">
        <v>404</v>
      </c>
      <c r="C28" t="s">
        <v>344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405</v>
      </c>
      <c r="C29" t="s">
        <v>344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406</v>
      </c>
      <c r="C30" t="s">
        <v>344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407</v>
      </c>
      <c r="C31" t="s">
        <v>344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408</v>
      </c>
      <c r="C32" t="s">
        <v>344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409</v>
      </c>
      <c r="C33" t="s">
        <v>344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410</v>
      </c>
      <c r="C34" t="s">
        <v>344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411</v>
      </c>
      <c r="C35" t="s">
        <v>344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412</v>
      </c>
      <c r="C36" t="s">
        <v>344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413</v>
      </c>
      <c r="C37" t="s">
        <v>344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414</v>
      </c>
      <c r="C38" t="s">
        <v>344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415</v>
      </c>
      <c r="C39" t="s">
        <v>362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416</v>
      </c>
      <c r="C40" t="s">
        <v>362</v>
      </c>
      <c r="D40">
        <v>21</v>
      </c>
      <c r="E40" s="42" t="b">
        <v>1</v>
      </c>
      <c r="F40" t="b">
        <v>1</v>
      </c>
      <c r="H40" t="s">
        <v>372</v>
      </c>
      <c r="I40" t="b">
        <v>1</v>
      </c>
    </row>
    <row r="41" spans="1:9" x14ac:dyDescent="0.25">
      <c r="A41" s="38" t="s">
        <v>111</v>
      </c>
      <c r="B41" s="184" t="s">
        <v>417</v>
      </c>
      <c r="C41" t="s">
        <v>364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418</v>
      </c>
      <c r="C42" t="s">
        <v>364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419</v>
      </c>
      <c r="C43" t="s">
        <v>364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420</v>
      </c>
      <c r="C44" t="s">
        <v>364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421</v>
      </c>
      <c r="C45" t="s">
        <v>364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422</v>
      </c>
      <c r="C46" t="s">
        <v>364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423</v>
      </c>
      <c r="C47" t="s">
        <v>364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424</v>
      </c>
      <c r="C48" t="s">
        <v>364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425</v>
      </c>
      <c r="C49" t="s">
        <v>364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426</v>
      </c>
      <c r="C50" t="s">
        <v>364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427</v>
      </c>
      <c r="C51" t="s">
        <v>364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428</v>
      </c>
      <c r="C52" t="s">
        <v>364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429</v>
      </c>
      <c r="C53" t="s">
        <v>364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430</v>
      </c>
      <c r="C54" t="s">
        <v>364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431</v>
      </c>
      <c r="C55" t="s">
        <v>364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432</v>
      </c>
      <c r="C56" t="s">
        <v>364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377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433</v>
      </c>
      <c r="C58" t="s">
        <v>344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434</v>
      </c>
      <c r="C59" t="s">
        <v>344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435</v>
      </c>
      <c r="C60" t="s">
        <v>344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436</v>
      </c>
      <c r="C61" t="s">
        <v>344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437</v>
      </c>
      <c r="C62" t="s">
        <v>344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438</v>
      </c>
      <c r="C63" t="s">
        <v>344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439</v>
      </c>
      <c r="C64" t="s">
        <v>344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440</v>
      </c>
      <c r="C65" t="s">
        <v>344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441</v>
      </c>
      <c r="C66" t="s">
        <v>344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442</v>
      </c>
      <c r="C67" t="s">
        <v>344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443</v>
      </c>
      <c r="C68" t="s">
        <v>362</v>
      </c>
      <c r="D68">
        <v>32</v>
      </c>
      <c r="E68" s="42" t="b">
        <v>1</v>
      </c>
      <c r="F68" t="b">
        <v>1</v>
      </c>
      <c r="H68" t="s">
        <v>372</v>
      </c>
      <c r="I68" t="b">
        <v>1</v>
      </c>
    </row>
    <row r="69" spans="1:9" x14ac:dyDescent="0.25">
      <c r="A69" s="38" t="s">
        <v>67</v>
      </c>
      <c r="B69" s="184" t="s">
        <v>444</v>
      </c>
      <c r="C69" t="s">
        <v>362</v>
      </c>
      <c r="D69">
        <v>33</v>
      </c>
      <c r="E69" s="42" t="b">
        <v>1</v>
      </c>
      <c r="F69" t="b">
        <v>1</v>
      </c>
      <c r="H69" t="s">
        <v>372</v>
      </c>
      <c r="I69" t="b">
        <v>1</v>
      </c>
    </row>
    <row r="70" spans="1:9" x14ac:dyDescent="0.25">
      <c r="A70" s="38" t="s">
        <v>68</v>
      </c>
      <c r="B70" s="184" t="s">
        <v>445</v>
      </c>
      <c r="C70" t="s">
        <v>362</v>
      </c>
      <c r="D70">
        <v>34</v>
      </c>
      <c r="E70" s="42" t="b">
        <v>1</v>
      </c>
      <c r="F70" t="b">
        <v>1</v>
      </c>
      <c r="H70" t="s">
        <v>372</v>
      </c>
      <c r="I70" t="b">
        <v>1</v>
      </c>
    </row>
    <row r="71" spans="1:9" x14ac:dyDescent="0.25">
      <c r="A71" s="4" t="s">
        <v>69</v>
      </c>
      <c r="B71" s="177" t="s">
        <v>446</v>
      </c>
      <c r="C71" t="s">
        <v>344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447</v>
      </c>
      <c r="C72" t="s">
        <v>344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448</v>
      </c>
      <c r="C73" t="s">
        <v>344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449</v>
      </c>
      <c r="C74" t="s">
        <v>344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450</v>
      </c>
      <c r="C75" t="s">
        <v>344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451</v>
      </c>
      <c r="C76" t="s">
        <v>344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452</v>
      </c>
      <c r="C77" t="s">
        <v>344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453</v>
      </c>
      <c r="C78" t="s">
        <v>344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454</v>
      </c>
      <c r="C79" t="s">
        <v>344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455</v>
      </c>
      <c r="C80" t="s">
        <v>344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456</v>
      </c>
      <c r="C81" t="s">
        <v>344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457</v>
      </c>
      <c r="C82" t="s">
        <v>344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458</v>
      </c>
      <c r="C83" t="s">
        <v>361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459</v>
      </c>
      <c r="C84" t="s">
        <v>361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460</v>
      </c>
      <c r="C85" t="s">
        <v>361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516</v>
      </c>
      <c r="B86" s="177" t="s">
        <v>461</v>
      </c>
      <c r="C86" t="s">
        <v>361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519</v>
      </c>
      <c r="C87" t="s">
        <v>361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462</v>
      </c>
      <c r="C88" t="s">
        <v>344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463</v>
      </c>
      <c r="C89" t="s">
        <v>344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464</v>
      </c>
      <c r="C90" t="s">
        <v>344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465</v>
      </c>
      <c r="C91" t="s">
        <v>344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466</v>
      </c>
      <c r="C92" t="s">
        <v>344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467</v>
      </c>
      <c r="C93" t="s">
        <v>344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468</v>
      </c>
      <c r="C94" t="s">
        <v>344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469</v>
      </c>
      <c r="C95" t="s">
        <v>344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470</v>
      </c>
      <c r="C96" t="s">
        <v>344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471</v>
      </c>
      <c r="C97" t="s">
        <v>344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472</v>
      </c>
      <c r="C98" t="s">
        <v>344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473</v>
      </c>
      <c r="C99" t="s">
        <v>362</v>
      </c>
      <c r="D99">
        <v>39</v>
      </c>
      <c r="E99" s="42" t="b">
        <v>1</v>
      </c>
      <c r="F99" t="b">
        <v>1</v>
      </c>
      <c r="H99" t="s">
        <v>372</v>
      </c>
      <c r="I99" t="b">
        <v>0</v>
      </c>
    </row>
    <row r="100" spans="1:9" x14ac:dyDescent="0.25">
      <c r="A100" s="44" t="s">
        <v>83</v>
      </c>
      <c r="B100" s="178" t="s">
        <v>474</v>
      </c>
      <c r="C100" t="s">
        <v>361</v>
      </c>
      <c r="D100">
        <v>40</v>
      </c>
      <c r="E100" s="42" t="b">
        <v>1</v>
      </c>
      <c r="F100" t="b">
        <v>1</v>
      </c>
      <c r="H100" t="s">
        <v>372</v>
      </c>
      <c r="I100" t="b">
        <v>1</v>
      </c>
    </row>
    <row r="101" spans="1:9" x14ac:dyDescent="0.25">
      <c r="A101" s="44" t="s">
        <v>84</v>
      </c>
      <c r="B101" s="178" t="s">
        <v>475</v>
      </c>
      <c r="C101" t="s">
        <v>344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365</v>
      </c>
      <c r="B102" s="178" t="s">
        <v>476</v>
      </c>
      <c r="C102" t="s">
        <v>344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477</v>
      </c>
      <c r="C103" t="s">
        <v>361</v>
      </c>
      <c r="D103">
        <v>42</v>
      </c>
      <c r="E103" s="42" t="b">
        <v>1</v>
      </c>
      <c r="F103" t="b">
        <v>1</v>
      </c>
      <c r="H103" t="s">
        <v>372</v>
      </c>
      <c r="I103" t="b">
        <v>0</v>
      </c>
    </row>
    <row r="104" spans="1:9" x14ac:dyDescent="0.25">
      <c r="A104" s="185" t="s">
        <v>481</v>
      </c>
      <c r="B104" s="187" t="s">
        <v>486</v>
      </c>
      <c r="C104" t="s">
        <v>362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482</v>
      </c>
      <c r="B105" s="187" t="s">
        <v>487</v>
      </c>
      <c r="C105" t="s">
        <v>362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483</v>
      </c>
      <c r="B106" s="187" t="s">
        <v>488</v>
      </c>
      <c r="C106" t="s">
        <v>362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484</v>
      </c>
      <c r="B107" s="187" t="s">
        <v>489</v>
      </c>
      <c r="C107" t="s">
        <v>362</v>
      </c>
      <c r="D107">
        <v>46</v>
      </c>
      <c r="E107" s="42" t="b">
        <v>1</v>
      </c>
      <c r="F107" t="b">
        <v>1</v>
      </c>
      <c r="H107" t="s">
        <v>372</v>
      </c>
      <c r="I107" t="b">
        <v>0</v>
      </c>
    </row>
    <row r="108" spans="1:9" x14ac:dyDescent="0.25">
      <c r="A108" s="186" t="s">
        <v>485</v>
      </c>
      <c r="B108" s="187" t="s">
        <v>490</v>
      </c>
      <c r="C108" t="s">
        <v>361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0" priority="9">
      <formula>LEN(TRIM(A2))=0</formula>
    </cfRule>
  </conditionalFormatting>
  <conditionalFormatting sqref="A10:B10">
    <cfRule type="containsBlanks" dxfId="19" priority="8">
      <formula>LEN(TRIM(A10))=0</formula>
    </cfRule>
  </conditionalFormatting>
  <conditionalFormatting sqref="A5:B5">
    <cfRule type="containsBlanks" dxfId="18" priority="7">
      <formula>LEN(TRIM(A5))=0</formula>
    </cfRule>
  </conditionalFormatting>
  <conditionalFormatting sqref="A15:B24">
    <cfRule type="containsBlanks" dxfId="17" priority="6">
      <formula>LEN(TRIM(A15))=0</formula>
    </cfRule>
  </conditionalFormatting>
  <conditionalFormatting sqref="A41:B70">
    <cfRule type="containsBlanks" dxfId="16" priority="4">
      <formula>LEN(TRIM(A41))=0</formula>
    </cfRule>
  </conditionalFormatting>
  <conditionalFormatting sqref="A71:B99">
    <cfRule type="containsBlanks" dxfId="15" priority="3">
      <formula>LEN(TRIM(A71))=0</formula>
    </cfRule>
  </conditionalFormatting>
  <conditionalFormatting sqref="A100:B103">
    <cfRule type="containsBlanks" dxfId="14" priority="2">
      <formula>LEN(TRIM(A100))=0</formula>
    </cfRule>
  </conditionalFormatting>
  <conditionalFormatting sqref="A104:A108">
    <cfRule type="containsBlanks" dxfId="13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376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369</v>
      </c>
    </row>
    <row r="8" spans="1:8" x14ac:dyDescent="0.25">
      <c r="A8" s="45"/>
      <c r="B8" t="s">
        <v>124</v>
      </c>
      <c r="C8" s="34" t="s">
        <v>120</v>
      </c>
      <c r="H8" t="s">
        <v>375</v>
      </c>
    </row>
    <row r="21" spans="8:8" x14ac:dyDescent="0.25">
      <c r="H21" s="76" t="s">
        <v>370</v>
      </c>
    </row>
    <row r="22" spans="8:8" x14ac:dyDescent="0.25">
      <c r="H22" t="s">
        <v>373</v>
      </c>
    </row>
    <row r="23" spans="8:8" x14ac:dyDescent="0.25">
      <c r="H23" t="s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509"/>
  <sheetViews>
    <sheetView topLeftCell="A491" workbookViewId="0">
      <selection activeCell="A492" sqref="A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332</v>
      </c>
    </row>
    <row r="387" spans="1:17" x14ac:dyDescent="0.25">
      <c r="D387" t="s">
        <v>215</v>
      </c>
      <c r="E387" t="s">
        <v>327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328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326</v>
      </c>
      <c r="D389">
        <v>2</v>
      </c>
      <c r="E389" t="s">
        <v>328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328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326</v>
      </c>
      <c r="D391" s="92">
        <v>2</v>
      </c>
      <c r="E391" s="92" t="s">
        <v>328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328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326</v>
      </c>
      <c r="D393">
        <v>2</v>
      </c>
      <c r="E393" t="s">
        <v>328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328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326</v>
      </c>
      <c r="D395" s="92">
        <v>2</v>
      </c>
      <c r="E395" s="92" t="s">
        <v>328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329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326</v>
      </c>
      <c r="D397">
        <v>2</v>
      </c>
      <c r="E397" s="92" t="s">
        <v>329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329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326</v>
      </c>
      <c r="D399" s="92">
        <v>2</v>
      </c>
      <c r="E399" s="92" t="s">
        <v>329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330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326</v>
      </c>
      <c r="D401">
        <v>2</v>
      </c>
      <c r="E401" s="92" t="s">
        <v>330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331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326</v>
      </c>
      <c r="D403" s="92">
        <v>2</v>
      </c>
      <c r="E403" s="92" t="s">
        <v>331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346</v>
      </c>
    </row>
    <row r="407" spans="1:20" x14ac:dyDescent="0.25">
      <c r="A407" s="76"/>
      <c r="C407" s="76" t="s">
        <v>347</v>
      </c>
    </row>
    <row r="408" spans="1:20" x14ac:dyDescent="0.25">
      <c r="D408" t="s">
        <v>215</v>
      </c>
      <c r="E408" t="s">
        <v>348</v>
      </c>
    </row>
    <row r="409" spans="1:20" x14ac:dyDescent="0.25">
      <c r="C409" t="s">
        <v>349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350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351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352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353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354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355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348</v>
      </c>
      <c r="F418" t="s">
        <v>359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356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357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358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360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356</v>
      </c>
      <c r="D425">
        <v>3</v>
      </c>
      <c r="E425">
        <v>9</v>
      </c>
      <c r="F425" s="70" t="s">
        <v>360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357</v>
      </c>
      <c r="D426">
        <v>3</v>
      </c>
      <c r="E426">
        <v>12</v>
      </c>
      <c r="F426" s="70" t="s">
        <v>360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358</v>
      </c>
      <c r="D427">
        <v>3</v>
      </c>
      <c r="E427">
        <v>12</v>
      </c>
      <c r="F427" s="70" t="s">
        <v>360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360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479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480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480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480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480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480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480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480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480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480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480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480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480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480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480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480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480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480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480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480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480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480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480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480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480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491</v>
      </c>
      <c r="C460" s="70"/>
    </row>
    <row r="461" spans="1:19" x14ac:dyDescent="0.25">
      <c r="C461" s="70"/>
      <c r="D461" t="s">
        <v>215</v>
      </c>
      <c r="E461" t="s">
        <v>496</v>
      </c>
      <c r="F461" t="s">
        <v>497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493</v>
      </c>
      <c r="D462">
        <v>7</v>
      </c>
      <c r="E462">
        <v>7</v>
      </c>
      <c r="F462" t="s">
        <v>498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494</v>
      </c>
      <c r="D463">
        <v>4</v>
      </c>
      <c r="E463">
        <v>11</v>
      </c>
      <c r="F463" t="s">
        <v>498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495</v>
      </c>
      <c r="D464">
        <v>3</v>
      </c>
      <c r="E464">
        <v>14</v>
      </c>
      <c r="F464" t="s">
        <v>498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493</v>
      </c>
      <c r="D465">
        <v>7</v>
      </c>
      <c r="E465">
        <v>7</v>
      </c>
      <c r="F465" t="s">
        <v>499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494</v>
      </c>
      <c r="D466">
        <v>4</v>
      </c>
      <c r="E466">
        <v>11</v>
      </c>
      <c r="F466" t="s">
        <v>499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495</v>
      </c>
      <c r="D467">
        <v>3</v>
      </c>
      <c r="E467">
        <v>14</v>
      </c>
      <c r="F467" t="s">
        <v>499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493</v>
      </c>
      <c r="D468">
        <v>7</v>
      </c>
      <c r="E468">
        <v>7</v>
      </c>
      <c r="F468" t="s">
        <v>500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494</v>
      </c>
      <c r="D469">
        <v>4</v>
      </c>
      <c r="E469">
        <v>11</v>
      </c>
      <c r="F469" t="s">
        <v>500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495</v>
      </c>
      <c r="D470">
        <v>3</v>
      </c>
      <c r="E470">
        <v>14</v>
      </c>
      <c r="F470" t="s">
        <v>500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493</v>
      </c>
      <c r="D471">
        <v>7</v>
      </c>
      <c r="E471">
        <v>7</v>
      </c>
      <c r="F471" t="s">
        <v>498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494</v>
      </c>
      <c r="D472">
        <v>4</v>
      </c>
      <c r="E472">
        <v>11</v>
      </c>
      <c r="F472" t="s">
        <v>498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495</v>
      </c>
      <c r="D473">
        <v>3</v>
      </c>
      <c r="E473">
        <v>14</v>
      </c>
      <c r="F473" t="s">
        <v>498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493</v>
      </c>
      <c r="D474">
        <v>7</v>
      </c>
      <c r="E474">
        <v>7</v>
      </c>
      <c r="F474" t="s">
        <v>499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494</v>
      </c>
      <c r="D475">
        <v>4</v>
      </c>
      <c r="E475">
        <v>11</v>
      </c>
      <c r="F475" t="s">
        <v>499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495</v>
      </c>
      <c r="D476">
        <v>3</v>
      </c>
      <c r="E476">
        <v>14</v>
      </c>
      <c r="F476" t="s">
        <v>499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493</v>
      </c>
      <c r="D477">
        <v>7</v>
      </c>
      <c r="E477">
        <v>7</v>
      </c>
      <c r="F477" t="s">
        <v>500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494</v>
      </c>
      <c r="D478">
        <v>4</v>
      </c>
      <c r="E478">
        <v>11</v>
      </c>
      <c r="F478" t="s">
        <v>500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495</v>
      </c>
      <c r="D479">
        <v>3</v>
      </c>
      <c r="E479">
        <v>14</v>
      </c>
      <c r="F479" t="s">
        <v>500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6" x14ac:dyDescent="0.25">
      <c r="A482" s="75" t="s">
        <v>501</v>
      </c>
      <c r="C482" t="s">
        <v>503</v>
      </c>
      <c r="D482" t="s">
        <v>504</v>
      </c>
      <c r="E482" t="s">
        <v>505</v>
      </c>
      <c r="F482" t="s">
        <v>506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6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6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6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6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6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6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  <row r="492" spans="1:16" x14ac:dyDescent="0.25">
      <c r="A492" s="75" t="s">
        <v>520</v>
      </c>
    </row>
    <row r="494" spans="1:16" x14ac:dyDescent="0.25">
      <c r="C494" t="s">
        <v>215</v>
      </c>
      <c r="D494" t="s">
        <v>359</v>
      </c>
      <c r="E494" t="s">
        <v>154</v>
      </c>
      <c r="F494" t="s">
        <v>159</v>
      </c>
      <c r="H494" t="s">
        <v>160</v>
      </c>
      <c r="I494" t="s">
        <v>162</v>
      </c>
      <c r="J494" t="s">
        <v>228</v>
      </c>
      <c r="N494" t="s">
        <v>160</v>
      </c>
      <c r="O494" t="s">
        <v>159</v>
      </c>
      <c r="P494" t="s">
        <v>161</v>
      </c>
    </row>
    <row r="495" spans="1:16" x14ac:dyDescent="0.25">
      <c r="B495" s="83" t="s">
        <v>522</v>
      </c>
      <c r="C495">
        <v>12</v>
      </c>
      <c r="D495" s="70" t="s">
        <v>193</v>
      </c>
      <c r="E495" s="70">
        <v>0.20699999999999999</v>
      </c>
      <c r="F495" s="70">
        <v>1.7999999999999999E-2</v>
      </c>
      <c r="G495" s="70"/>
      <c r="H495" s="83">
        <f>(EXP(E495)-1)/C495</f>
        <v>1.9165214315062722E-2</v>
      </c>
      <c r="I495">
        <f t="shared" ref="I495:I497" si="224">H495*100</f>
        <v>1.9165214315062722</v>
      </c>
      <c r="J495">
        <f>E495/F495</f>
        <v>11.5</v>
      </c>
      <c r="N495" s="73">
        <f>I495</f>
        <v>1.9165214315062722</v>
      </c>
      <c r="O495" s="73">
        <f t="shared" ref="O495:O497" si="225">N495/P495</f>
        <v>0.16665403752228453</v>
      </c>
      <c r="P495" s="73">
        <f t="shared" ref="P495:P497" si="226">J495</f>
        <v>11.5</v>
      </c>
    </row>
    <row r="496" spans="1:16" x14ac:dyDescent="0.25">
      <c r="B496" s="83" t="s">
        <v>521</v>
      </c>
      <c r="C496">
        <v>14</v>
      </c>
      <c r="D496" s="70" t="s">
        <v>193</v>
      </c>
      <c r="E496">
        <v>9.4E-2</v>
      </c>
      <c r="F496">
        <v>1.6E-2</v>
      </c>
      <c r="H496" s="83">
        <f t="shared" ref="H496:H498" si="227">(EXP(E496)-1)/C496</f>
        <v>7.0399818512266888E-3</v>
      </c>
      <c r="I496">
        <f t="shared" si="224"/>
        <v>0.70399818512266887</v>
      </c>
      <c r="J496">
        <f>E496/F496</f>
        <v>5.875</v>
      </c>
      <c r="N496" s="73">
        <f>I496</f>
        <v>0.70399818512266887</v>
      </c>
      <c r="O496" s="73">
        <f t="shared" si="225"/>
        <v>0.11982947831875215</v>
      </c>
      <c r="P496" s="73">
        <f t="shared" si="226"/>
        <v>5.875</v>
      </c>
    </row>
    <row r="497" spans="2:16" x14ac:dyDescent="0.25">
      <c r="B497" s="83" t="s">
        <v>39</v>
      </c>
      <c r="C497">
        <v>16</v>
      </c>
      <c r="D497" s="70" t="s">
        <v>193</v>
      </c>
      <c r="E497">
        <v>0.29799999999999999</v>
      </c>
      <c r="F497">
        <v>1.6E-2</v>
      </c>
      <c r="H497" s="83">
        <f t="shared" si="227"/>
        <v>2.1697611742472131E-2</v>
      </c>
      <c r="I497">
        <f t="shared" si="224"/>
        <v>2.1697611742472129</v>
      </c>
      <c r="J497">
        <f t="shared" ref="J497:J499" si="228">E497/F497</f>
        <v>18.625</v>
      </c>
      <c r="N497" s="73">
        <f t="shared" ref="N497:N499" si="229">I497</f>
        <v>2.1697611742472129</v>
      </c>
      <c r="O497" s="73">
        <f t="shared" si="225"/>
        <v>0.11649724425488392</v>
      </c>
      <c r="P497" s="73">
        <f t="shared" si="226"/>
        <v>18.625</v>
      </c>
    </row>
    <row r="498" spans="2:16" x14ac:dyDescent="0.25">
      <c r="B498" s="83" t="s">
        <v>522</v>
      </c>
      <c r="C498">
        <v>12</v>
      </c>
      <c r="D498" s="70" t="s">
        <v>523</v>
      </c>
      <c r="E498">
        <v>0.16600000000000001</v>
      </c>
      <c r="F498">
        <v>1.7999999999999999E-2</v>
      </c>
      <c r="H498" s="83">
        <f t="shared" si="227"/>
        <v>1.5047758476939677E-2</v>
      </c>
      <c r="I498">
        <f t="shared" ref="I498:I509" si="230">H498*100</f>
        <v>1.5047758476939677</v>
      </c>
      <c r="J498">
        <f t="shared" si="228"/>
        <v>9.2222222222222232</v>
      </c>
      <c r="N498" s="73">
        <f t="shared" si="229"/>
        <v>1.5047758476939677</v>
      </c>
      <c r="O498" s="73">
        <f t="shared" ref="O498:O509" si="231">N498/P498</f>
        <v>0.16316846541259888</v>
      </c>
      <c r="P498" s="73">
        <f t="shared" ref="P498:P509" si="232">J498</f>
        <v>9.2222222222222232</v>
      </c>
    </row>
    <row r="499" spans="2:16" x14ac:dyDescent="0.25">
      <c r="B499" s="83" t="s">
        <v>521</v>
      </c>
      <c r="C499">
        <v>14</v>
      </c>
      <c r="D499" s="70" t="s">
        <v>523</v>
      </c>
      <c r="E499">
        <v>7.6999999999999999E-2</v>
      </c>
      <c r="F499">
        <v>1.6E-2</v>
      </c>
      <c r="H499" s="83">
        <f t="shared" ref="H499:H509" si="233">(EXP(E499)-1)/C499</f>
        <v>5.7172911709000296E-3</v>
      </c>
      <c r="I499">
        <f t="shared" si="230"/>
        <v>0.57172911709000296</v>
      </c>
      <c r="J499">
        <f t="shared" si="228"/>
        <v>4.8125</v>
      </c>
      <c r="N499" s="73">
        <f t="shared" si="229"/>
        <v>0.57172911709000296</v>
      </c>
      <c r="O499" s="73">
        <f t="shared" si="231"/>
        <v>0.1188008554992214</v>
      </c>
      <c r="P499" s="73">
        <f t="shared" si="232"/>
        <v>4.8125</v>
      </c>
    </row>
    <row r="500" spans="2:16" x14ac:dyDescent="0.25">
      <c r="B500" s="83" t="s">
        <v>39</v>
      </c>
      <c r="C500">
        <v>16</v>
      </c>
      <c r="D500" s="70" t="s">
        <v>523</v>
      </c>
      <c r="E500">
        <v>0.249</v>
      </c>
      <c r="F500">
        <v>1.6E-2</v>
      </c>
      <c r="H500" s="83">
        <f t="shared" si="233"/>
        <v>1.7671377066863211E-2</v>
      </c>
      <c r="I500">
        <f t="shared" si="230"/>
        <v>1.7671377066863212</v>
      </c>
      <c r="J500">
        <f t="shared" ref="J500:J509" si="234">E500/F500</f>
        <v>15.5625</v>
      </c>
      <c r="N500" s="73">
        <f t="shared" ref="N500:N509" si="235">I500</f>
        <v>1.7671377066863212</v>
      </c>
      <c r="O500" s="73">
        <f t="shared" si="231"/>
        <v>0.113551017297113</v>
      </c>
      <c r="P500" s="73">
        <f t="shared" si="232"/>
        <v>15.5625</v>
      </c>
    </row>
    <row r="501" spans="2:16" x14ac:dyDescent="0.25">
      <c r="B501" s="83" t="s">
        <v>522</v>
      </c>
      <c r="C501">
        <v>12</v>
      </c>
      <c r="D501" s="70" t="s">
        <v>524</v>
      </c>
      <c r="E501">
        <v>0.315</v>
      </c>
      <c r="F501">
        <v>5.2999999999999999E-2</v>
      </c>
      <c r="H501" s="83">
        <f t="shared" si="233"/>
        <v>3.0854942579749727E-2</v>
      </c>
      <c r="I501">
        <f t="shared" si="230"/>
        <v>3.0854942579749727</v>
      </c>
      <c r="J501">
        <f t="shared" si="234"/>
        <v>5.9433962264150946</v>
      </c>
      <c r="N501" s="73">
        <f t="shared" si="235"/>
        <v>3.0854942579749727</v>
      </c>
      <c r="O501" s="73">
        <f t="shared" si="231"/>
        <v>0.51914665292912232</v>
      </c>
      <c r="P501" s="73">
        <f t="shared" si="232"/>
        <v>5.9433962264150946</v>
      </c>
    </row>
    <row r="502" spans="2:16" x14ac:dyDescent="0.25">
      <c r="B502" s="83" t="s">
        <v>521</v>
      </c>
      <c r="C502">
        <v>14</v>
      </c>
      <c r="D502" s="70" t="s">
        <v>524</v>
      </c>
      <c r="E502">
        <v>0.17</v>
      </c>
      <c r="F502">
        <v>3.5000000000000003E-2</v>
      </c>
      <c r="H502" s="83">
        <f t="shared" si="233"/>
        <v>1.3236060808597532E-2</v>
      </c>
      <c r="I502">
        <f t="shared" si="230"/>
        <v>1.3236060808597532</v>
      </c>
      <c r="J502">
        <f t="shared" si="234"/>
        <v>4.8571428571428568</v>
      </c>
      <c r="N502" s="73">
        <f t="shared" si="235"/>
        <v>1.3236060808597532</v>
      </c>
      <c r="O502" s="73">
        <f t="shared" si="231"/>
        <v>0.27250713429465506</v>
      </c>
      <c r="P502" s="73">
        <f t="shared" si="232"/>
        <v>4.8571428571428568</v>
      </c>
    </row>
    <row r="503" spans="2:16" x14ac:dyDescent="0.25">
      <c r="B503" s="83" t="s">
        <v>39</v>
      </c>
      <c r="C503">
        <v>16</v>
      </c>
      <c r="D503" s="70" t="s">
        <v>524</v>
      </c>
      <c r="E503">
        <v>0.39300000000000002</v>
      </c>
      <c r="F503">
        <v>2.9000000000000001E-2</v>
      </c>
      <c r="H503" s="83">
        <f t="shared" si="233"/>
        <v>3.0088649333079018E-2</v>
      </c>
      <c r="I503">
        <f t="shared" si="230"/>
        <v>3.0088649333079016</v>
      </c>
      <c r="J503">
        <f t="shared" si="234"/>
        <v>13.551724137931034</v>
      </c>
      <c r="N503" s="73">
        <f t="shared" si="235"/>
        <v>3.0088649333079016</v>
      </c>
      <c r="O503" s="73">
        <f t="shared" si="231"/>
        <v>0.22202820118557035</v>
      </c>
      <c r="P503" s="73">
        <f t="shared" si="232"/>
        <v>13.551724137931034</v>
      </c>
    </row>
    <row r="504" spans="2:16" x14ac:dyDescent="0.25">
      <c r="B504" s="83" t="s">
        <v>522</v>
      </c>
      <c r="C504">
        <v>12</v>
      </c>
      <c r="D504" s="70" t="s">
        <v>525</v>
      </c>
      <c r="E504">
        <v>0.28899999999999998</v>
      </c>
      <c r="F504">
        <v>0.01</v>
      </c>
      <c r="H504" s="83">
        <f t="shared" si="233"/>
        <v>2.7924310710709038E-2</v>
      </c>
      <c r="I504">
        <f t="shared" si="230"/>
        <v>2.7924310710709039</v>
      </c>
      <c r="J504">
        <f t="shared" si="234"/>
        <v>28.9</v>
      </c>
      <c r="N504" s="73">
        <f t="shared" si="235"/>
        <v>2.7924310710709039</v>
      </c>
      <c r="O504" s="73">
        <f t="shared" si="231"/>
        <v>9.6623912493802908E-2</v>
      </c>
      <c r="P504" s="73">
        <f t="shared" si="232"/>
        <v>28.9</v>
      </c>
    </row>
    <row r="505" spans="2:16" x14ac:dyDescent="0.25">
      <c r="B505" s="83" t="s">
        <v>521</v>
      </c>
      <c r="C505">
        <v>14</v>
      </c>
      <c r="D505" s="70" t="s">
        <v>525</v>
      </c>
      <c r="E505">
        <v>0.16600000000000001</v>
      </c>
      <c r="F505">
        <v>6.8000000000000005E-2</v>
      </c>
      <c r="H505" s="83">
        <f t="shared" si="233"/>
        <v>1.2898078694519723E-2</v>
      </c>
      <c r="I505">
        <f t="shared" si="230"/>
        <v>1.2898078694519723</v>
      </c>
      <c r="J505">
        <f t="shared" si="234"/>
        <v>2.4411764705882351</v>
      </c>
      <c r="N505" s="73">
        <f t="shared" si="235"/>
        <v>1.2898078694519723</v>
      </c>
      <c r="O505" s="73">
        <f t="shared" si="231"/>
        <v>0.52835503085984414</v>
      </c>
      <c r="P505" s="73">
        <f t="shared" si="232"/>
        <v>2.4411764705882351</v>
      </c>
    </row>
    <row r="506" spans="2:16" x14ac:dyDescent="0.25">
      <c r="B506" s="83" t="s">
        <v>39</v>
      </c>
      <c r="C506">
        <v>16</v>
      </c>
      <c r="D506" s="70" t="s">
        <v>525</v>
      </c>
      <c r="E506">
        <v>0.373</v>
      </c>
      <c r="F506">
        <v>6.3E-2</v>
      </c>
      <c r="H506" s="83">
        <f t="shared" si="233"/>
        <v>2.8255271239548449E-2</v>
      </c>
      <c r="I506">
        <f t="shared" si="230"/>
        <v>2.8255271239548447</v>
      </c>
      <c r="J506">
        <f t="shared" si="234"/>
        <v>5.9206349206349209</v>
      </c>
      <c r="N506" s="73">
        <f t="shared" si="235"/>
        <v>2.8255271239548447</v>
      </c>
      <c r="O506" s="73">
        <f t="shared" si="231"/>
        <v>0.47723380377789598</v>
      </c>
      <c r="P506" s="73">
        <f t="shared" si="232"/>
        <v>5.9206349206349209</v>
      </c>
    </row>
    <row r="507" spans="2:16" x14ac:dyDescent="0.25">
      <c r="B507" s="83" t="s">
        <v>522</v>
      </c>
      <c r="C507">
        <v>12</v>
      </c>
      <c r="D507" s="70" t="s">
        <v>526</v>
      </c>
      <c r="E507">
        <v>0.221</v>
      </c>
      <c r="F507">
        <v>0.01</v>
      </c>
      <c r="H507" s="83">
        <f t="shared" si="233"/>
        <v>2.0610285880338735E-2</v>
      </c>
      <c r="I507">
        <f t="shared" si="230"/>
        <v>2.0610285880338735</v>
      </c>
      <c r="J507">
        <f t="shared" si="234"/>
        <v>22.1</v>
      </c>
      <c r="N507" s="73">
        <f t="shared" si="235"/>
        <v>2.0610285880338735</v>
      </c>
      <c r="O507" s="73">
        <f t="shared" si="231"/>
        <v>9.325921212822956E-2</v>
      </c>
      <c r="P507" s="73">
        <f t="shared" si="232"/>
        <v>22.1</v>
      </c>
    </row>
    <row r="508" spans="2:16" x14ac:dyDescent="0.25">
      <c r="B508" s="83" t="s">
        <v>521</v>
      </c>
      <c r="C508">
        <v>14</v>
      </c>
      <c r="D508" s="70" t="s">
        <v>526</v>
      </c>
      <c r="E508">
        <v>0.155</v>
      </c>
      <c r="F508">
        <v>0.13700000000000001</v>
      </c>
      <c r="H508" s="83">
        <f t="shared" si="233"/>
        <v>1.1975568650366071E-2</v>
      </c>
      <c r="I508">
        <f t="shared" si="230"/>
        <v>1.1975568650366071</v>
      </c>
      <c r="J508">
        <f t="shared" si="234"/>
        <v>1.1313868613138685</v>
      </c>
      <c r="N508" s="73">
        <f t="shared" si="235"/>
        <v>1.1975568650366071</v>
      </c>
      <c r="O508" s="73">
        <f t="shared" si="231"/>
        <v>1.0584857452259044</v>
      </c>
      <c r="P508" s="73">
        <f t="shared" si="232"/>
        <v>1.1313868613138685</v>
      </c>
    </row>
    <row r="509" spans="2:16" x14ac:dyDescent="0.25">
      <c r="B509" s="83" t="s">
        <v>39</v>
      </c>
      <c r="C509">
        <v>16</v>
      </c>
      <c r="D509" s="70" t="s">
        <v>526</v>
      </c>
      <c r="E509">
        <v>0.33100000000000002</v>
      </c>
      <c r="F509">
        <v>0.153</v>
      </c>
      <c r="H509" s="83">
        <f t="shared" si="233"/>
        <v>2.4522487019262143E-2</v>
      </c>
      <c r="I509">
        <f t="shared" si="230"/>
        <v>2.4522487019262145</v>
      </c>
      <c r="J509">
        <f t="shared" si="234"/>
        <v>2.1633986928104578</v>
      </c>
      <c r="N509" s="73">
        <f t="shared" si="235"/>
        <v>2.4522487019262145</v>
      </c>
      <c r="O509" s="73">
        <f t="shared" si="231"/>
        <v>1.1335167715852288</v>
      </c>
      <c r="P509" s="73">
        <f t="shared" si="232"/>
        <v>2.1633986928104578</v>
      </c>
    </row>
  </sheetData>
  <conditionalFormatting sqref="A3">
    <cfRule type="containsBlanks" dxfId="12" priority="20">
      <formula>LEN(TRIM(A3))=0</formula>
    </cfRule>
  </conditionalFormatting>
  <conditionalFormatting sqref="F64">
    <cfRule type="containsBlanks" dxfId="11" priority="19">
      <formula>LEN(TRIM(F64))=0</formula>
    </cfRule>
  </conditionalFormatting>
  <conditionalFormatting sqref="F89:F92">
    <cfRule type="containsBlanks" dxfId="10" priority="16">
      <formula>LEN(TRIM(F89))=0</formula>
    </cfRule>
  </conditionalFormatting>
  <conditionalFormatting sqref="G100">
    <cfRule type="containsBlanks" dxfId="9" priority="15">
      <formula>LEN(TRIM(G100))=0</formula>
    </cfRule>
  </conditionalFormatting>
  <conditionalFormatting sqref="H120">
    <cfRule type="containsBlanks" dxfId="8" priority="14">
      <formula>LEN(TRIM(H120))=0</formula>
    </cfRule>
  </conditionalFormatting>
  <conditionalFormatting sqref="E183">
    <cfRule type="containsBlanks" dxfId="7" priority="12">
      <formula>LEN(TRIM(E183))=0</formula>
    </cfRule>
  </conditionalFormatting>
  <conditionalFormatting sqref="E200">
    <cfRule type="containsBlanks" dxfId="6" priority="11">
      <formula>LEN(TRIM(E200))=0</formula>
    </cfRule>
  </conditionalFormatting>
  <conditionalFormatting sqref="G219">
    <cfRule type="containsBlanks" dxfId="5" priority="9">
      <formula>LEN(TRIM(G219))=0</formula>
    </cfRule>
  </conditionalFormatting>
  <conditionalFormatting sqref="H257">
    <cfRule type="containsBlanks" dxfId="4" priority="8">
      <formula>LEN(TRIM(H257))=0</formula>
    </cfRule>
  </conditionalFormatting>
  <conditionalFormatting sqref="H275">
    <cfRule type="containsBlanks" dxfId="3" priority="7">
      <formula>LEN(TRIM(H275))=0</formula>
    </cfRule>
  </conditionalFormatting>
  <conditionalFormatting sqref="H306">
    <cfRule type="containsBlanks" dxfId="2" priority="6">
      <formula>LEN(TRIM(H306))=0</formula>
    </cfRule>
  </conditionalFormatting>
  <conditionalFormatting sqref="G387">
    <cfRule type="containsBlanks" dxfId="1" priority="3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2023-03-28T16:23:03Z</dcterms:modified>
</cp:coreProperties>
</file>