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A377C3CF-9459-4151-87C9-393D67EEF7A5}" xr6:coauthVersionLast="47" xr6:coauthVersionMax="47" xr10:uidLastSave="{00000000-0000-0000-0000-000000000000}"/>
  <bookViews>
    <workbookView xWindow="-23148" yWindow="-108" windowWidth="23256" windowHeight="12576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data_set!$A$1:$CY$1685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678" i="10" l="1"/>
  <c r="AQ679" i="10"/>
  <c r="AQ680" i="10"/>
  <c r="AQ681" i="10"/>
  <c r="AQ682" i="10"/>
  <c r="AQ683" i="10"/>
  <c r="AQ684" i="10"/>
  <c r="AQ685" i="10"/>
  <c r="AQ686" i="10"/>
  <c r="AQ687" i="10"/>
  <c r="AQ688" i="10"/>
  <c r="AQ689" i="10"/>
  <c r="AQ690" i="10"/>
  <c r="AQ691" i="10"/>
  <c r="AQ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9" i="10"/>
  <c r="K679" i="10" s="1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R661" i="10" l="1"/>
  <c r="BR662" i="10"/>
  <c r="BR663" i="10"/>
  <c r="BR664" i="10"/>
  <c r="BR665" i="10"/>
  <c r="BR666" i="10"/>
  <c r="BR667" i="10"/>
  <c r="BR668" i="10"/>
  <c r="BR669" i="10"/>
  <c r="BR670" i="10"/>
  <c r="BR671" i="10"/>
  <c r="BR672" i="10"/>
  <c r="BR673" i="10"/>
  <c r="BR674" i="10"/>
  <c r="BR675" i="10"/>
  <c r="BR676" i="10"/>
  <c r="AO661" i="10"/>
  <c r="AO662" i="10"/>
  <c r="AO663" i="10"/>
  <c r="AO664" i="10"/>
  <c r="AO665" i="10"/>
  <c r="AO666" i="10"/>
  <c r="AO667" i="10"/>
  <c r="AO668" i="10"/>
  <c r="AO669" i="10"/>
  <c r="AO670" i="10"/>
  <c r="AO671" i="10"/>
  <c r="AO672" i="10"/>
  <c r="AO673" i="10"/>
  <c r="AO674" i="10"/>
  <c r="AO675" i="10"/>
  <c r="AO676" i="10"/>
  <c r="AO660" i="10"/>
  <c r="BR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I671" i="10" s="1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R651" i="10" s="1"/>
  <c r="Y650" i="10"/>
  <c r="BR650" i="10" s="1"/>
  <c r="BR652" i="10"/>
  <c r="BR653" i="10"/>
  <c r="BR654" i="10"/>
  <c r="BR655" i="10"/>
  <c r="BR656" i="10"/>
  <c r="BR657" i="10"/>
  <c r="BR658" i="10"/>
  <c r="BR659" i="10"/>
  <c r="AX651" i="10"/>
  <c r="AX652" i="10"/>
  <c r="AX653" i="10"/>
  <c r="AX654" i="10"/>
  <c r="AX655" i="10"/>
  <c r="AX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68" i="10" l="1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L675" i="10"/>
  <c r="I664" i="10"/>
  <c r="J664" i="10" s="1"/>
  <c r="K664" i="10" s="1"/>
  <c r="I666" i="10"/>
  <c r="J666" i="10" s="1"/>
  <c r="K666" i="10" s="1"/>
  <c r="L673" i="10"/>
  <c r="J673" i="10"/>
  <c r="M669" i="10"/>
  <c r="L669" i="10"/>
  <c r="M675" i="10"/>
  <c r="J663" i="10"/>
  <c r="K663" i="10" s="1"/>
  <c r="J662" i="10"/>
  <c r="K662" i="10" s="1"/>
  <c r="J661" i="10"/>
  <c r="K661" i="10" s="1"/>
  <c r="L653" i="10"/>
  <c r="K653" i="10"/>
  <c r="M653" i="10"/>
  <c r="J652" i="10"/>
  <c r="M651" i="10"/>
  <c r="K655" i="10" l="1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P601" i="10"/>
  <c r="Y601" i="10" s="1"/>
  <c r="Z601" i="10" s="1"/>
  <c r="AP602" i="10"/>
  <c r="Y602" i="10" s="1"/>
  <c r="Z602" i="10" s="1"/>
  <c r="AP603" i="10"/>
  <c r="Y603" i="10" s="1"/>
  <c r="Z603" i="10" s="1"/>
  <c r="AP604" i="10"/>
  <c r="Y604" i="10" s="1"/>
  <c r="Z604" i="10" s="1"/>
  <c r="AP605" i="10"/>
  <c r="Y605" i="10" s="1"/>
  <c r="Z605" i="10" s="1"/>
  <c r="AP606" i="10"/>
  <c r="Y606" i="10" s="1"/>
  <c r="Z606" i="10" s="1"/>
  <c r="AP607" i="10"/>
  <c r="Y607" i="10" s="1"/>
  <c r="Z607" i="10" s="1"/>
  <c r="AP608" i="10"/>
  <c r="Y608" i="10" s="1"/>
  <c r="Z608" i="10" s="1"/>
  <c r="AP609" i="10"/>
  <c r="Y609" i="10" s="1"/>
  <c r="Z609" i="10" s="1"/>
  <c r="AP610" i="10"/>
  <c r="Y610" i="10" s="1"/>
  <c r="Z610" i="10" s="1"/>
  <c r="AP611" i="10"/>
  <c r="Y611" i="10" s="1"/>
  <c r="Z611" i="10" s="1"/>
  <c r="AP612" i="10"/>
  <c r="Y612" i="10" s="1"/>
  <c r="Z612" i="10" s="1"/>
  <c r="AP613" i="10"/>
  <c r="Y613" i="10" s="1"/>
  <c r="Z613" i="10" s="1"/>
  <c r="AP614" i="10"/>
  <c r="Y614" i="10" s="1"/>
  <c r="Z614" i="10" s="1"/>
  <c r="AP615" i="10"/>
  <c r="Y615" i="10" s="1"/>
  <c r="Z615" i="10" s="1"/>
  <c r="AP616" i="10"/>
  <c r="Y616" i="10" s="1"/>
  <c r="Z616" i="10" s="1"/>
  <c r="AP617" i="10"/>
  <c r="Y617" i="10" s="1"/>
  <c r="Z617" i="10" s="1"/>
  <c r="AP618" i="10"/>
  <c r="Y618" i="10" s="1"/>
  <c r="Z618" i="10" s="1"/>
  <c r="AP619" i="10"/>
  <c r="Y619" i="10" s="1"/>
  <c r="Z619" i="10" s="1"/>
  <c r="AP620" i="10"/>
  <c r="Y620" i="10" s="1"/>
  <c r="Z620" i="10" s="1"/>
  <c r="AP621" i="10"/>
  <c r="Y621" i="10" s="1"/>
  <c r="Z621" i="10" s="1"/>
  <c r="AP622" i="10"/>
  <c r="Y622" i="10" s="1"/>
  <c r="Z622" i="10" s="1"/>
  <c r="AP623" i="10"/>
  <c r="Y623" i="10" s="1"/>
  <c r="Z623" i="10" s="1"/>
  <c r="AP624" i="10"/>
  <c r="Y624" i="10" s="1"/>
  <c r="Z624" i="10" s="1"/>
  <c r="AP625" i="10"/>
  <c r="Y625" i="10" s="1"/>
  <c r="Z625" i="10" s="1"/>
  <c r="AP626" i="10"/>
  <c r="Y626" i="10" s="1"/>
  <c r="Z626" i="10" s="1"/>
  <c r="AP627" i="10"/>
  <c r="Y627" i="10" s="1"/>
  <c r="Z627" i="10" s="1"/>
  <c r="AP628" i="10"/>
  <c r="Y628" i="10" s="1"/>
  <c r="Z628" i="10" s="1"/>
  <c r="AP629" i="10"/>
  <c r="Y629" i="10" s="1"/>
  <c r="Z629" i="10" s="1"/>
  <c r="AP630" i="10"/>
  <c r="Y630" i="10" s="1"/>
  <c r="Z630" i="10" s="1"/>
  <c r="AP631" i="10"/>
  <c r="Y631" i="10" s="1"/>
  <c r="Z631" i="10" s="1"/>
  <c r="AP632" i="10"/>
  <c r="Y632" i="10" s="1"/>
  <c r="Z632" i="10" s="1"/>
  <c r="AP633" i="10"/>
  <c r="Y633" i="10" s="1"/>
  <c r="Z633" i="10" s="1"/>
  <c r="AP634" i="10"/>
  <c r="Y634" i="10" s="1"/>
  <c r="Z634" i="10" s="1"/>
  <c r="AP635" i="10"/>
  <c r="Y635" i="10" s="1"/>
  <c r="Z635" i="10" s="1"/>
  <c r="AP636" i="10"/>
  <c r="Y636" i="10" s="1"/>
  <c r="Z636" i="10" s="1"/>
  <c r="AP637" i="10"/>
  <c r="Y637" i="10" s="1"/>
  <c r="Z637" i="10" s="1"/>
  <c r="AP638" i="10"/>
  <c r="Y638" i="10" s="1"/>
  <c r="Z638" i="10" s="1"/>
  <c r="AP639" i="10"/>
  <c r="Y639" i="10" s="1"/>
  <c r="Z639" i="10" s="1"/>
  <c r="AP640" i="10"/>
  <c r="Y640" i="10" s="1"/>
  <c r="Z640" i="10" s="1"/>
  <c r="AP641" i="10"/>
  <c r="Y641" i="10" s="1"/>
  <c r="Z641" i="10" s="1"/>
  <c r="AP642" i="10"/>
  <c r="Y642" i="10" s="1"/>
  <c r="Z642" i="10" s="1"/>
  <c r="AP643" i="10"/>
  <c r="Y643" i="10" s="1"/>
  <c r="Z643" i="10" s="1"/>
  <c r="AP644" i="10"/>
  <c r="Y644" i="10" s="1"/>
  <c r="Z644" i="10" s="1"/>
  <c r="AP645" i="10"/>
  <c r="Y645" i="10" s="1"/>
  <c r="Z645" i="10" s="1"/>
  <c r="AP646" i="10"/>
  <c r="Y646" i="10" s="1"/>
  <c r="Z646" i="10" s="1"/>
  <c r="AP647" i="10"/>
  <c r="Y647" i="10" s="1"/>
  <c r="Z647" i="10" s="1"/>
  <c r="AP648" i="10"/>
  <c r="Y648" i="10" s="1"/>
  <c r="Z648" i="10" s="1"/>
  <c r="AP649" i="10"/>
  <c r="Y649" i="10" s="1"/>
  <c r="Z649" i="10" s="1"/>
  <c r="AP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R586" i="10"/>
  <c r="AR587" i="10"/>
  <c r="AR588" i="10"/>
  <c r="AR589" i="10"/>
  <c r="AR590" i="10"/>
  <c r="AR591" i="10"/>
  <c r="AR592" i="10"/>
  <c r="AR593" i="10"/>
  <c r="AR594" i="10"/>
  <c r="AR595" i="10"/>
  <c r="AR596" i="10"/>
  <c r="AR597" i="10"/>
  <c r="AR598" i="10"/>
  <c r="AR599" i="10"/>
  <c r="AR585" i="10"/>
  <c r="BR586" i="10"/>
  <c r="BR587" i="10"/>
  <c r="BR588" i="10"/>
  <c r="BR589" i="10"/>
  <c r="BR590" i="10"/>
  <c r="BR591" i="10"/>
  <c r="BR592" i="10"/>
  <c r="BR593" i="10"/>
  <c r="BR594" i="10"/>
  <c r="BR595" i="10"/>
  <c r="BR596" i="10"/>
  <c r="BR597" i="10"/>
  <c r="BR598" i="10"/>
  <c r="BR599" i="10"/>
  <c r="BR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R580" i="10"/>
  <c r="BR581" i="10"/>
  <c r="BR582" i="10"/>
  <c r="BR583" i="10"/>
  <c r="BR584" i="10"/>
  <c r="BR579" i="10"/>
  <c r="AS580" i="10"/>
  <c r="AS581" i="10"/>
  <c r="AS582" i="10"/>
  <c r="AS583" i="10"/>
  <c r="AS584" i="10"/>
  <c r="AS579" i="10"/>
  <c r="BD584" i="10"/>
  <c r="BD583" i="10"/>
  <c r="BD582" i="10"/>
  <c r="BD581" i="10"/>
  <c r="BD580" i="10"/>
  <c r="BD579" i="10"/>
  <c r="AZ580" i="10"/>
  <c r="AZ581" i="10"/>
  <c r="AZ582" i="10"/>
  <c r="AZ583" i="10"/>
  <c r="AZ584" i="10"/>
  <c r="AZ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Z565" i="10"/>
  <c r="AY565" i="10" s="1"/>
  <c r="AZ566" i="10"/>
  <c r="AY566" i="10" s="1"/>
  <c r="AZ574" i="10"/>
  <c r="AY574" i="10" s="1"/>
  <c r="AZ575" i="10"/>
  <c r="AY575" i="10" s="1"/>
  <c r="AZ577" i="10"/>
  <c r="AY577" i="10" s="1"/>
  <c r="AZ578" i="10"/>
  <c r="AY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X576" i="10"/>
  <c r="Z576" i="10" s="1"/>
  <c r="AX573" i="10"/>
  <c r="AZ573" i="10" s="1"/>
  <c r="AY573" i="10" s="1"/>
  <c r="AX572" i="10"/>
  <c r="Z572" i="10" s="1"/>
  <c r="AX571" i="10"/>
  <c r="AZ571" i="10" s="1"/>
  <c r="AY571" i="10" s="1"/>
  <c r="AX570" i="10"/>
  <c r="Z570" i="10" s="1"/>
  <c r="AX569" i="10"/>
  <c r="AZ569" i="10" s="1"/>
  <c r="AY569" i="10" s="1"/>
  <c r="AX568" i="10"/>
  <c r="Z568" i="10" s="1"/>
  <c r="AX567" i="10"/>
  <c r="Y567" i="10" s="1"/>
  <c r="AX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O563" i="10"/>
  <c r="AO562" i="10"/>
  <c r="AO561" i="10"/>
  <c r="AO560" i="10"/>
  <c r="AO559" i="10"/>
  <c r="AO558" i="10"/>
  <c r="AO557" i="10"/>
  <c r="AO556" i="10"/>
  <c r="AO555" i="10"/>
  <c r="AO551" i="10"/>
  <c r="AO550" i="10"/>
  <c r="AO549" i="10"/>
  <c r="AO548" i="10"/>
  <c r="AO547" i="10"/>
  <c r="AO546" i="10"/>
  <c r="AO545" i="10"/>
  <c r="AO544" i="10"/>
  <c r="AO543" i="10"/>
  <c r="BD563" i="10"/>
  <c r="BD562" i="10"/>
  <c r="BD561" i="10"/>
  <c r="BD560" i="10"/>
  <c r="BD559" i="10"/>
  <c r="BD558" i="10"/>
  <c r="BD557" i="10"/>
  <c r="BD556" i="10"/>
  <c r="BD555" i="10"/>
  <c r="BD551" i="10"/>
  <c r="BD550" i="10"/>
  <c r="BD549" i="10"/>
  <c r="BD548" i="10"/>
  <c r="BD547" i="10"/>
  <c r="BD546" i="10"/>
  <c r="BD545" i="10"/>
  <c r="BD544" i="10"/>
  <c r="BD543" i="10"/>
  <c r="AU543" i="10"/>
  <c r="AU544" i="10"/>
  <c r="AU545" i="10"/>
  <c r="AU546" i="10"/>
  <c r="AU547" i="10"/>
  <c r="AU548" i="10"/>
  <c r="AU549" i="10"/>
  <c r="AU550" i="10"/>
  <c r="AU551" i="10"/>
  <c r="AU552" i="10"/>
  <c r="AU553" i="10"/>
  <c r="AU554" i="10"/>
  <c r="AU555" i="10"/>
  <c r="AU556" i="10"/>
  <c r="AU557" i="10"/>
  <c r="AU558" i="10"/>
  <c r="AU559" i="10"/>
  <c r="AU560" i="10"/>
  <c r="AU561" i="10"/>
  <c r="AU562" i="10"/>
  <c r="AU563" i="10"/>
  <c r="AO554" i="10"/>
  <c r="AO553" i="10"/>
  <c r="AO552" i="10"/>
  <c r="AO542" i="10"/>
  <c r="AO541" i="10"/>
  <c r="AO540" i="10"/>
  <c r="BD554" i="10"/>
  <c r="BD553" i="10"/>
  <c r="BD552" i="10"/>
  <c r="BD542" i="10"/>
  <c r="AV542" i="10" s="1"/>
  <c r="AU542" i="10" s="1"/>
  <c r="BD541" i="10"/>
  <c r="AV541" i="10" s="1"/>
  <c r="AU541" i="10" s="1"/>
  <c r="BD540" i="10"/>
  <c r="AV540" i="10" s="1"/>
  <c r="AU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Z526" i="10"/>
  <c r="BC526" i="10"/>
  <c r="AZ527" i="10"/>
  <c r="BC527" i="10"/>
  <c r="AZ528" i="10"/>
  <c r="BC528" i="10"/>
  <c r="AZ529" i="10"/>
  <c r="BC529" i="10"/>
  <c r="AZ530" i="10"/>
  <c r="BC530" i="10"/>
  <c r="AZ531" i="10"/>
  <c r="BC531" i="10"/>
  <c r="AZ532" i="10"/>
  <c r="BC532" i="10"/>
  <c r="AZ533" i="10"/>
  <c r="BC533" i="10"/>
  <c r="AZ534" i="10"/>
  <c r="BC534" i="10"/>
  <c r="AZ535" i="10"/>
  <c r="BC535" i="10"/>
  <c r="AZ536" i="10"/>
  <c r="BC536" i="10"/>
  <c r="AZ537" i="10"/>
  <c r="BC537" i="10"/>
  <c r="AZ538" i="10"/>
  <c r="BC538" i="10"/>
  <c r="AZ539" i="10"/>
  <c r="BC539" i="10"/>
  <c r="BC525" i="10"/>
  <c r="AZ525" i="10"/>
  <c r="AZ524" i="10"/>
  <c r="BC524" i="10"/>
  <c r="AW526" i="10"/>
  <c r="AW527" i="10"/>
  <c r="AW528" i="10"/>
  <c r="AW529" i="10"/>
  <c r="AW530" i="10"/>
  <c r="AW531" i="10"/>
  <c r="AW532" i="10"/>
  <c r="AW533" i="10"/>
  <c r="AW534" i="10"/>
  <c r="AW535" i="10"/>
  <c r="AW525" i="10"/>
  <c r="AW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R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AZ567" i="10"/>
  <c r="AY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BR571" i="10" s="1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H565" i="10"/>
  <c r="BR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R574" i="10"/>
  <c r="I550" i="10"/>
  <c r="J550" i="10" s="1"/>
  <c r="M550" i="10" s="1"/>
  <c r="BR575" i="10"/>
  <c r="AZ576" i="10"/>
  <c r="AY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642" i="10"/>
  <c r="J571" i="10"/>
  <c r="K571" i="10" s="1"/>
  <c r="J647" i="10"/>
  <c r="K647" i="10" s="1"/>
  <c r="I562" i="10"/>
  <c r="H573" i="10"/>
  <c r="I621" i="10"/>
  <c r="J621" i="10" s="1"/>
  <c r="K621" i="10" s="1"/>
  <c r="I613" i="10"/>
  <c r="J613" i="10" s="1"/>
  <c r="K613" i="10" s="1"/>
  <c r="G578" i="10"/>
  <c r="Z569" i="10"/>
  <c r="BR569" i="10" s="1"/>
  <c r="I610" i="10"/>
  <c r="J610" i="10" s="1"/>
  <c r="K610" i="10" s="1"/>
  <c r="I608" i="10"/>
  <c r="I627" i="10"/>
  <c r="J627" i="10" s="1"/>
  <c r="K627" i="10" s="1"/>
  <c r="I619" i="10"/>
  <c r="J619" i="10" s="1"/>
  <c r="K619" i="10" s="1"/>
  <c r="Y576" i="10"/>
  <c r="BR576" i="10" s="1"/>
  <c r="Z567" i="10"/>
  <c r="BR567" i="10" s="1"/>
  <c r="I626" i="10"/>
  <c r="J626" i="10" s="1"/>
  <c r="K626" i="10" s="1"/>
  <c r="I618" i="10"/>
  <c r="J618" i="10" s="1"/>
  <c r="K618" i="10" s="1"/>
  <c r="M605" i="10"/>
  <c r="BR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R577" i="10"/>
  <c r="AZ572" i="10"/>
  <c r="AY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R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M637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L625" i="10"/>
  <c r="M620" i="10"/>
  <c r="L615" i="10"/>
  <c r="M601" i="10"/>
  <c r="L601" i="10"/>
  <c r="K601" i="10"/>
  <c r="J608" i="10"/>
  <c r="K608" i="10" s="1"/>
  <c r="M608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Z570" i="10"/>
  <c r="AY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R564" i="10" s="1"/>
  <c r="AZ564" i="10"/>
  <c r="AY564" i="10" s="1"/>
  <c r="H559" i="10"/>
  <c r="H577" i="10"/>
  <c r="H569" i="10"/>
  <c r="AZ568" i="10"/>
  <c r="AY568" i="10" s="1"/>
  <c r="Y568" i="10"/>
  <c r="BR568" i="10" s="1"/>
  <c r="M555" i="10"/>
  <c r="I593" i="10"/>
  <c r="J593" i="10" s="1"/>
  <c r="J547" i="10"/>
  <c r="K547" i="10" s="1"/>
  <c r="Y570" i="10"/>
  <c r="BR570" i="10" s="1"/>
  <c r="I589" i="10"/>
  <c r="J589" i="10" s="1"/>
  <c r="K589" i="10" s="1"/>
  <c r="I597" i="10"/>
  <c r="J597" i="10" s="1"/>
  <c r="L583" i="10"/>
  <c r="M595" i="10"/>
  <c r="I598" i="10"/>
  <c r="J598" i="10" s="1"/>
  <c r="K598" i="10" s="1"/>
  <c r="L580" i="10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K595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56" i="10"/>
  <c r="M556" i="10"/>
  <c r="K545" i="10"/>
  <c r="L545" i="10"/>
  <c r="M544" i="10"/>
  <c r="K544" i="10"/>
  <c r="L557" i="10"/>
  <c r="M552" i="10"/>
  <c r="J562" i="10"/>
  <c r="K562" i="10" s="1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L543" i="10"/>
  <c r="M549" i="10"/>
  <c r="M535" i="10"/>
  <c r="M526" i="10" l="1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R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R519" i="10"/>
  <c r="AR520" i="10"/>
  <c r="AR521" i="10"/>
  <c r="AR522" i="10"/>
  <c r="AR523" i="10"/>
  <c r="AR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M520" i="10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19" i="10" l="1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C491" i="10"/>
  <c r="CC492" i="10"/>
  <c r="CC493" i="10"/>
  <c r="CC494" i="10"/>
  <c r="CC495" i="10"/>
  <c r="AW492" i="10"/>
  <c r="AY492" i="10"/>
  <c r="AW493" i="10"/>
  <c r="AY493" i="10"/>
  <c r="AW494" i="10"/>
  <c r="AY494" i="10"/>
  <c r="AW495" i="10"/>
  <c r="AY495" i="10"/>
  <c r="AW496" i="10"/>
  <c r="AY496" i="10"/>
  <c r="AW497" i="10"/>
  <c r="AY497" i="10"/>
  <c r="AW498" i="10"/>
  <c r="AY498" i="10"/>
  <c r="AW499" i="10"/>
  <c r="AY499" i="10"/>
  <c r="AW500" i="10"/>
  <c r="AY500" i="10"/>
  <c r="AW501" i="10"/>
  <c r="AY501" i="10"/>
  <c r="CC490" i="10"/>
  <c r="AY491" i="10"/>
  <c r="AY490" i="10"/>
  <c r="AW491" i="10"/>
  <c r="AW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Q489" i="10"/>
  <c r="AQ488" i="10"/>
  <c r="AY482" i="10"/>
  <c r="AY483" i="10"/>
  <c r="AY484" i="10"/>
  <c r="AY485" i="10"/>
  <c r="AY486" i="10"/>
  <c r="AY487" i="10"/>
  <c r="AY488" i="10"/>
  <c r="AY489" i="10"/>
  <c r="AY481" i="10"/>
  <c r="AY480" i="10"/>
  <c r="AQ487" i="10"/>
  <c r="AQ486" i="10"/>
  <c r="AQ485" i="10"/>
  <c r="AQ484" i="10"/>
  <c r="AQ483" i="10"/>
  <c r="AQ482" i="10"/>
  <c r="AQ481" i="10"/>
  <c r="AQ480" i="10"/>
  <c r="W489" i="10"/>
  <c r="W488" i="10"/>
  <c r="W487" i="10"/>
  <c r="W486" i="10"/>
  <c r="F489" i="10"/>
  <c r="I489" i="10" s="1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X483" i="10"/>
  <c r="AX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6" i="10" l="1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5" i="10"/>
  <c r="M481" i="10"/>
  <c r="L481" i="10"/>
  <c r="M487" i="10" l="1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Y463" i="10" l="1"/>
  <c r="AY464" i="10"/>
  <c r="AY462" i="10"/>
  <c r="AY466" i="10"/>
  <c r="AY467" i="10"/>
  <c r="AY465" i="10"/>
  <c r="AY469" i="10"/>
  <c r="AY470" i="10"/>
  <c r="AY468" i="10"/>
  <c r="AY472" i="10"/>
  <c r="AY473" i="10"/>
  <c r="AY471" i="10"/>
  <c r="AY475" i="10"/>
  <c r="AY476" i="10"/>
  <c r="AY474" i="10"/>
  <c r="AY478" i="10"/>
  <c r="AY479" i="10"/>
  <c r="AY477" i="10"/>
  <c r="AY454" i="10"/>
  <c r="AY455" i="10"/>
  <c r="AY456" i="10"/>
  <c r="AY457" i="10"/>
  <c r="AY458" i="10"/>
  <c r="AY459" i="10"/>
  <c r="AY460" i="10"/>
  <c r="AY461" i="10"/>
  <c r="AY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I453" i="10" s="1"/>
  <c r="J453" i="10" s="1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C433" i="10"/>
  <c r="BC432" i="10"/>
  <c r="BC431" i="10"/>
  <c r="BC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C399" i="10"/>
  <c r="BC400" i="10"/>
  <c r="BC401" i="10"/>
  <c r="BC402" i="10"/>
  <c r="BC403" i="10"/>
  <c r="BC404" i="10"/>
  <c r="BC405" i="10"/>
  <c r="BC406" i="10"/>
  <c r="BC407" i="10"/>
  <c r="BC408" i="10"/>
  <c r="BC409" i="10"/>
  <c r="BC410" i="10"/>
  <c r="BC411" i="10"/>
  <c r="BC412" i="10"/>
  <c r="BC413" i="10"/>
  <c r="BC414" i="10"/>
  <c r="BC415" i="10"/>
  <c r="BC416" i="10"/>
  <c r="BC417" i="10"/>
  <c r="BC418" i="10"/>
  <c r="BC419" i="10"/>
  <c r="BC420" i="10"/>
  <c r="BC421" i="10"/>
  <c r="BC422" i="10"/>
  <c r="BC423" i="10"/>
  <c r="BC424" i="10"/>
  <c r="BC425" i="10"/>
  <c r="BC426" i="10"/>
  <c r="BC427" i="10"/>
  <c r="BC428" i="10"/>
  <c r="BC429" i="10"/>
  <c r="BC398" i="10"/>
  <c r="AR429" i="10"/>
  <c r="AR428" i="10"/>
  <c r="AR427" i="10"/>
  <c r="AR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R425" i="10"/>
  <c r="AR424" i="10"/>
  <c r="AR423" i="10"/>
  <c r="AR422" i="10"/>
  <c r="AR421" i="10"/>
  <c r="AR420" i="10"/>
  <c r="AR419" i="10"/>
  <c r="AR418" i="10"/>
  <c r="AR417" i="10"/>
  <c r="AR416" i="10"/>
  <c r="AR415" i="10"/>
  <c r="AR414" i="10"/>
  <c r="AR413" i="10"/>
  <c r="AR412" i="10"/>
  <c r="F419" i="10"/>
  <c r="F412" i="10"/>
  <c r="G412" i="10"/>
  <c r="H412" i="10"/>
  <c r="I459" i="10" l="1"/>
  <c r="I456" i="10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J456" i="10"/>
  <c r="K456" i="10" s="1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R411" i="10"/>
  <c r="AR406" i="10"/>
  <c r="AR407" i="10"/>
  <c r="AR408" i="10"/>
  <c r="AR409" i="10"/>
  <c r="AR410" i="10"/>
  <c r="AR405" i="10"/>
  <c r="AR399" i="10"/>
  <c r="AR400" i="10"/>
  <c r="AR401" i="10"/>
  <c r="AR402" i="10"/>
  <c r="AR403" i="10"/>
  <c r="AR404" i="10"/>
  <c r="AR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R378" i="10" l="1"/>
  <c r="AR377" i="10"/>
  <c r="AR376" i="10"/>
  <c r="AR375" i="10"/>
  <c r="AR364" i="10"/>
  <c r="AR365" i="10"/>
  <c r="AR366" i="10"/>
  <c r="AR367" i="10"/>
  <c r="AR368" i="10"/>
  <c r="AR369" i="10"/>
  <c r="AR370" i="10"/>
  <c r="AR371" i="10"/>
  <c r="AR372" i="10"/>
  <c r="AR373" i="10"/>
  <c r="AR374" i="10"/>
  <c r="AR363" i="10"/>
  <c r="AZ361" i="10"/>
  <c r="AZ362" i="10"/>
  <c r="AZ363" i="10"/>
  <c r="AZ364" i="10"/>
  <c r="AZ365" i="10"/>
  <c r="AZ366" i="10"/>
  <c r="AZ367" i="10"/>
  <c r="AZ368" i="10"/>
  <c r="AZ369" i="10"/>
  <c r="AZ370" i="10"/>
  <c r="AZ371" i="10"/>
  <c r="AZ372" i="10"/>
  <c r="AZ373" i="10"/>
  <c r="AZ374" i="10"/>
  <c r="AZ375" i="10"/>
  <c r="AZ376" i="10"/>
  <c r="AZ377" i="10"/>
  <c r="AZ378" i="10"/>
  <c r="AZ379" i="10"/>
  <c r="AZ380" i="10"/>
  <c r="AZ381" i="10"/>
  <c r="AZ382" i="10"/>
  <c r="AZ360" i="10"/>
  <c r="AZ359" i="10"/>
  <c r="AW380" i="10"/>
  <c r="AW381" i="10"/>
  <c r="AW382" i="10"/>
  <c r="AW379" i="10"/>
  <c r="AW360" i="10"/>
  <c r="AW361" i="10"/>
  <c r="AW362" i="10"/>
  <c r="AW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C348" i="10"/>
  <c r="BC349" i="10"/>
  <c r="BC350" i="10"/>
  <c r="BC351" i="10"/>
  <c r="BC352" i="10"/>
  <c r="BC353" i="10"/>
  <c r="BC354" i="10"/>
  <c r="BC355" i="10"/>
  <c r="BC356" i="10"/>
  <c r="BC357" i="10"/>
  <c r="BC358" i="10"/>
  <c r="BC347" i="10"/>
  <c r="AW354" i="10"/>
  <c r="AW353" i="10"/>
  <c r="AW352" i="10"/>
  <c r="AW351" i="10"/>
  <c r="AW348" i="10"/>
  <c r="AW349" i="10"/>
  <c r="AW350" i="10"/>
  <c r="AW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O316" i="10"/>
  <c r="AX316" i="10"/>
  <c r="AO317" i="10"/>
  <c r="AX317" i="10"/>
  <c r="AO318" i="10"/>
  <c r="AX318" i="10"/>
  <c r="AO319" i="10"/>
  <c r="AX319" i="10"/>
  <c r="AO320" i="10"/>
  <c r="AX320" i="10"/>
  <c r="AO321" i="10"/>
  <c r="AX321" i="10"/>
  <c r="AO322" i="10"/>
  <c r="AX322" i="10"/>
  <c r="AO323" i="10"/>
  <c r="AX323" i="10"/>
  <c r="AO324" i="10"/>
  <c r="AX324" i="10"/>
  <c r="AO325" i="10"/>
  <c r="AX325" i="10"/>
  <c r="AO326" i="10"/>
  <c r="AX326" i="10"/>
  <c r="AO327" i="10"/>
  <c r="AX327" i="10"/>
  <c r="AO328" i="10"/>
  <c r="AX328" i="10"/>
  <c r="AO329" i="10"/>
  <c r="AX329" i="10"/>
  <c r="AO330" i="10"/>
  <c r="AX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D87" i="10"/>
  <c r="BD86" i="10"/>
  <c r="BD85" i="10"/>
  <c r="BD84" i="10"/>
  <c r="BD90" i="10"/>
  <c r="BD91" i="10"/>
  <c r="BD92" i="10"/>
  <c r="BD93" i="10"/>
  <c r="BD94" i="10"/>
  <c r="BD95" i="10"/>
  <c r="BD96" i="10"/>
  <c r="BD97" i="10"/>
  <c r="BD98" i="10"/>
  <c r="BD99" i="10"/>
  <c r="BD89" i="10"/>
  <c r="BD88" i="10"/>
  <c r="BC122" i="10"/>
  <c r="BC123" i="10"/>
  <c r="BC124" i="10"/>
  <c r="BC125" i="10"/>
  <c r="BC126" i="10"/>
  <c r="BC127" i="10"/>
  <c r="BC128" i="10"/>
  <c r="BC129" i="10"/>
  <c r="BC130" i="10"/>
  <c r="BC131" i="10"/>
  <c r="BC132" i="10"/>
  <c r="BC133" i="10"/>
  <c r="BC134" i="10"/>
  <c r="BC135" i="10"/>
  <c r="BC121" i="10"/>
  <c r="BC156" i="10"/>
  <c r="BC157" i="10"/>
  <c r="BC158" i="10"/>
  <c r="BC159" i="10"/>
  <c r="BC160" i="10"/>
  <c r="BC161" i="10"/>
  <c r="BC162" i="10"/>
  <c r="BC163" i="10"/>
  <c r="BC164" i="10"/>
  <c r="BC165" i="10"/>
  <c r="BC166" i="10"/>
  <c r="BC167" i="10"/>
  <c r="BC168" i="10"/>
  <c r="BC169" i="10"/>
  <c r="BC170" i="10"/>
  <c r="BC171" i="10"/>
  <c r="BC172" i="10"/>
  <c r="BC173" i="10"/>
  <c r="BC174" i="10"/>
  <c r="BC175" i="10"/>
  <c r="BC176" i="10"/>
  <c r="BC177" i="10"/>
  <c r="BC178" i="10"/>
  <c r="BC179" i="10"/>
  <c r="BC180" i="10"/>
  <c r="BC181" i="10"/>
  <c r="BC182" i="10"/>
  <c r="BC183" i="10"/>
  <c r="BC184" i="10"/>
  <c r="BC185" i="10"/>
  <c r="BC186" i="10"/>
  <c r="BC187" i="10"/>
  <c r="BC188" i="10"/>
  <c r="BC189" i="10"/>
  <c r="BC190" i="10"/>
  <c r="BC155" i="10"/>
  <c r="BD193" i="10"/>
  <c r="BD194" i="10"/>
  <c r="BD195" i="10"/>
  <c r="BD196" i="10"/>
  <c r="BD197" i="10"/>
  <c r="BD198" i="10"/>
  <c r="BD199" i="10"/>
  <c r="BD200" i="10"/>
  <c r="BD201" i="10"/>
  <c r="BD202" i="10"/>
  <c r="BD203" i="10"/>
  <c r="BD204" i="10"/>
  <c r="BD205" i="10"/>
  <c r="BD206" i="10"/>
  <c r="BD207" i="10"/>
  <c r="BD208" i="10"/>
  <c r="BD209" i="10"/>
  <c r="BD210" i="10"/>
  <c r="BD192" i="10"/>
  <c r="BD191" i="10"/>
  <c r="BC212" i="10"/>
  <c r="BC213" i="10"/>
  <c r="BC214" i="10"/>
  <c r="BC215" i="10"/>
  <c r="BC216" i="10"/>
  <c r="BC217" i="10"/>
  <c r="BC218" i="10"/>
  <c r="BC219" i="10"/>
  <c r="BC220" i="10"/>
  <c r="BC221" i="10"/>
  <c r="BC222" i="10"/>
  <c r="BC223" i="10"/>
  <c r="BC224" i="10"/>
  <c r="BC225" i="10"/>
  <c r="BC226" i="10"/>
  <c r="BC227" i="10"/>
  <c r="BC228" i="10"/>
  <c r="BC229" i="10"/>
  <c r="BC230" i="10"/>
  <c r="BC231" i="10"/>
  <c r="BC232" i="10"/>
  <c r="BC233" i="10"/>
  <c r="BC234" i="10"/>
  <c r="BC235" i="10"/>
  <c r="BC236" i="10"/>
  <c r="BC237" i="10"/>
  <c r="BC238" i="10"/>
  <c r="BC239" i="10"/>
  <c r="BC240" i="10"/>
  <c r="BC241" i="10"/>
  <c r="BC242" i="10"/>
  <c r="BC243" i="10"/>
  <c r="BC244" i="10"/>
  <c r="BC245" i="10"/>
  <c r="BC246" i="10"/>
  <c r="BC247" i="10"/>
  <c r="BC248" i="10"/>
  <c r="BC249" i="10"/>
  <c r="BC250" i="10"/>
  <c r="BC251" i="10"/>
  <c r="BC252" i="10"/>
  <c r="BC253" i="10"/>
  <c r="BC254" i="10"/>
  <c r="BC255" i="10"/>
  <c r="BC256" i="10"/>
  <c r="BC257" i="10"/>
  <c r="BC258" i="10"/>
  <c r="BC211" i="10"/>
  <c r="AX315" i="10"/>
  <c r="AO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X264" i="10"/>
  <c r="AX263" i="10"/>
  <c r="AX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R250" i="10"/>
  <c r="AO250" i="10"/>
  <c r="AR249" i="10"/>
  <c r="AO249" i="10"/>
  <c r="AR248" i="10"/>
  <c r="AO248" i="10"/>
  <c r="AR247" i="10"/>
  <c r="AO247" i="10"/>
  <c r="AR246" i="10"/>
  <c r="AO246" i="10"/>
  <c r="AR245" i="10"/>
  <c r="AO245" i="10"/>
  <c r="AR244" i="10"/>
  <c r="AO244" i="10"/>
  <c r="AR243" i="10"/>
  <c r="AO243" i="10"/>
  <c r="AR242" i="10"/>
  <c r="AO242" i="10"/>
  <c r="AR241" i="10"/>
  <c r="AO241" i="10"/>
  <c r="AR240" i="10"/>
  <c r="AO240" i="10"/>
  <c r="AR239" i="10"/>
  <c r="AO239" i="10"/>
  <c r="AR238" i="10"/>
  <c r="AO238" i="10"/>
  <c r="AR237" i="10"/>
  <c r="AO237" i="10"/>
  <c r="AR236" i="10"/>
  <c r="AO236" i="10"/>
  <c r="AR235" i="10"/>
  <c r="AO235" i="10"/>
  <c r="AR234" i="10"/>
  <c r="AO234" i="10"/>
  <c r="AR233" i="10"/>
  <c r="AO233" i="10"/>
  <c r="AR232" i="10"/>
  <c r="AO232" i="10"/>
  <c r="AR231" i="10"/>
  <c r="AO231" i="10"/>
  <c r="AR230" i="10"/>
  <c r="AO230" i="10"/>
  <c r="AR229" i="10"/>
  <c r="AO229" i="10"/>
  <c r="AR228" i="10"/>
  <c r="AO228" i="10"/>
  <c r="AR227" i="10"/>
  <c r="AO227" i="10"/>
  <c r="AR212" i="10"/>
  <c r="AR213" i="10"/>
  <c r="AR214" i="10"/>
  <c r="AR215" i="10"/>
  <c r="AR216" i="10"/>
  <c r="AR217" i="10"/>
  <c r="AR218" i="10"/>
  <c r="AR219" i="10"/>
  <c r="AR220" i="10"/>
  <c r="AR221" i="10"/>
  <c r="AR222" i="10"/>
  <c r="AR223" i="10"/>
  <c r="AR224" i="10"/>
  <c r="AR225" i="10"/>
  <c r="AR226" i="10"/>
  <c r="AR211" i="10"/>
  <c r="AO226" i="10"/>
  <c r="AO212" i="10"/>
  <c r="AO213" i="10"/>
  <c r="AO214" i="10"/>
  <c r="AO215" i="10"/>
  <c r="AO216" i="10"/>
  <c r="AO217" i="10"/>
  <c r="AO218" i="10"/>
  <c r="AO219" i="10"/>
  <c r="AO220" i="10"/>
  <c r="AO221" i="10"/>
  <c r="AO222" i="10"/>
  <c r="AO223" i="10"/>
  <c r="AO224" i="10"/>
  <c r="AO225" i="10"/>
  <c r="AO211" i="10"/>
  <c r="AX258" i="10"/>
  <c r="AX257" i="10"/>
  <c r="AX256" i="10"/>
  <c r="AX255" i="10"/>
  <c r="AX254" i="10"/>
  <c r="AX253" i="10"/>
  <c r="AX252" i="10"/>
  <c r="AX251" i="10"/>
  <c r="AX250" i="10"/>
  <c r="AX249" i="10"/>
  <c r="AX248" i="10"/>
  <c r="AX247" i="10"/>
  <c r="AX246" i="10"/>
  <c r="AX245" i="10"/>
  <c r="AX244" i="10"/>
  <c r="AX243" i="10"/>
  <c r="AX242" i="10"/>
  <c r="AX241" i="10"/>
  <c r="AX240" i="10"/>
  <c r="AX239" i="10"/>
  <c r="AX238" i="10"/>
  <c r="AX237" i="10"/>
  <c r="AX236" i="10"/>
  <c r="AX235" i="10"/>
  <c r="AX234" i="10"/>
  <c r="AX233" i="10"/>
  <c r="AX232" i="10"/>
  <c r="AX231" i="10"/>
  <c r="AX230" i="10"/>
  <c r="AX229" i="10"/>
  <c r="AX228" i="10"/>
  <c r="AX227" i="10"/>
  <c r="AX226" i="10"/>
  <c r="AX225" i="10"/>
  <c r="AX224" i="10"/>
  <c r="AX223" i="10"/>
  <c r="AX222" i="10"/>
  <c r="AX221" i="10"/>
  <c r="AX220" i="10"/>
  <c r="AX219" i="10"/>
  <c r="AX218" i="10"/>
  <c r="AX217" i="10"/>
  <c r="AX216" i="10"/>
  <c r="AX215" i="10"/>
  <c r="AX214" i="10"/>
  <c r="AX213" i="10"/>
  <c r="AX212" i="10"/>
  <c r="AX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X198" i="10"/>
  <c r="AX199" i="10"/>
  <c r="AX200" i="10"/>
  <c r="AX201" i="10"/>
  <c r="AX202" i="10"/>
  <c r="AX203" i="10"/>
  <c r="AX204" i="10"/>
  <c r="AX205" i="10"/>
  <c r="AX206" i="10"/>
  <c r="AX207" i="10"/>
  <c r="AX208" i="10"/>
  <c r="AX209" i="10"/>
  <c r="AX210" i="10"/>
  <c r="AX197" i="10"/>
  <c r="AX196" i="10"/>
  <c r="AX192" i="10"/>
  <c r="AX193" i="10"/>
  <c r="AX194" i="10"/>
  <c r="AX195" i="10"/>
  <c r="AX191" i="10"/>
  <c r="AR197" i="10"/>
  <c r="AR198" i="10"/>
  <c r="AR199" i="10"/>
  <c r="AR200" i="10"/>
  <c r="AR201" i="10"/>
  <c r="AR202" i="10"/>
  <c r="AR203" i="10"/>
  <c r="AR204" i="10"/>
  <c r="AR205" i="10"/>
  <c r="AR206" i="10"/>
  <c r="AR207" i="10"/>
  <c r="AR208" i="10"/>
  <c r="AR209" i="10"/>
  <c r="AR210" i="10"/>
  <c r="AR196" i="10"/>
  <c r="AR192" i="10"/>
  <c r="AR193" i="10"/>
  <c r="AR194" i="10"/>
  <c r="AR195" i="10"/>
  <c r="AR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U190" i="10"/>
  <c r="AU189" i="10"/>
  <c r="AU186" i="10"/>
  <c r="AU185" i="10"/>
  <c r="AU188" i="10"/>
  <c r="AU187" i="10"/>
  <c r="AU184" i="10"/>
  <c r="AU183" i="10"/>
  <c r="AU182" i="10"/>
  <c r="AU181" i="10"/>
  <c r="AU180" i="10"/>
  <c r="AU179" i="10"/>
  <c r="AU178" i="10"/>
  <c r="AU177" i="10"/>
  <c r="AU170" i="10"/>
  <c r="AU169" i="10"/>
  <c r="AU176" i="10"/>
  <c r="AU175" i="10"/>
  <c r="AU174" i="10"/>
  <c r="AU173" i="10"/>
  <c r="AU172" i="10"/>
  <c r="AU171" i="10"/>
  <c r="AU168" i="10"/>
  <c r="AU167" i="10"/>
  <c r="AU166" i="10"/>
  <c r="AU165" i="10"/>
  <c r="AU164" i="10"/>
  <c r="AU163" i="10"/>
  <c r="AU158" i="10"/>
  <c r="AU159" i="10"/>
  <c r="AU160" i="10"/>
  <c r="AU161" i="10"/>
  <c r="AU162" i="10"/>
  <c r="AU157" i="10"/>
  <c r="AU156" i="10"/>
  <c r="AU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R156" i="10"/>
  <c r="AR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W133" i="10"/>
  <c r="AW130" i="10"/>
  <c r="AW127" i="10"/>
  <c r="AW124" i="10"/>
  <c r="AW121" i="10"/>
  <c r="F123" i="10"/>
  <c r="G123" i="10"/>
  <c r="H123" i="10"/>
  <c r="F122" i="10"/>
  <c r="G122" i="10"/>
  <c r="H122" i="10"/>
  <c r="F121" i="10"/>
  <c r="G121" i="10"/>
  <c r="H121" i="10"/>
  <c r="AU118" i="10"/>
  <c r="AU117" i="10"/>
  <c r="AU120" i="10"/>
  <c r="AU119" i="10"/>
  <c r="AU116" i="10"/>
  <c r="AU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P101" i="10"/>
  <c r="AQ101" i="10"/>
  <c r="AT101" i="10"/>
  <c r="AS101" i="10" s="1"/>
  <c r="AP102" i="10"/>
  <c r="AQ102" i="10"/>
  <c r="AT102" i="10"/>
  <c r="AS102" i="10" s="1"/>
  <c r="AP103" i="10"/>
  <c r="AQ103" i="10"/>
  <c r="AT103" i="10"/>
  <c r="AS103" i="10" s="1"/>
  <c r="AP104" i="10"/>
  <c r="AQ104" i="10"/>
  <c r="AT104" i="10"/>
  <c r="AS104" i="10" s="1"/>
  <c r="AP105" i="10"/>
  <c r="AQ105" i="10"/>
  <c r="AT105" i="10"/>
  <c r="AS105" i="10" s="1"/>
  <c r="AP106" i="10"/>
  <c r="AQ106" i="10"/>
  <c r="AT106" i="10"/>
  <c r="AS106" i="10" s="1"/>
  <c r="AP107" i="10"/>
  <c r="AQ107" i="10"/>
  <c r="AT107" i="10"/>
  <c r="AS107" i="10" s="1"/>
  <c r="AP108" i="10"/>
  <c r="AQ108" i="10"/>
  <c r="AT108" i="10"/>
  <c r="AS108" i="10" s="1"/>
  <c r="AP109" i="10"/>
  <c r="AQ109" i="10"/>
  <c r="AT109" i="10"/>
  <c r="AS109" i="10" s="1"/>
  <c r="AP110" i="10"/>
  <c r="AQ110" i="10"/>
  <c r="AT110" i="10"/>
  <c r="AS110" i="10" s="1"/>
  <c r="AP111" i="10"/>
  <c r="AQ111" i="10"/>
  <c r="AT111" i="10"/>
  <c r="AS111" i="10" s="1"/>
  <c r="AP112" i="10"/>
  <c r="AQ112" i="10"/>
  <c r="AT112" i="10"/>
  <c r="AS112" i="10" s="1"/>
  <c r="AP113" i="10"/>
  <c r="AQ113" i="10"/>
  <c r="AT113" i="10"/>
  <c r="AS113" i="10" s="1"/>
  <c r="AP114" i="10"/>
  <c r="AQ114" i="10"/>
  <c r="AT114" i="10"/>
  <c r="AS114" i="10" s="1"/>
  <c r="AT100" i="10"/>
  <c r="AS100" i="10" s="1"/>
  <c r="AQ100" i="10"/>
  <c r="AP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S91" i="10"/>
  <c r="AX91" i="10"/>
  <c r="AS92" i="10"/>
  <c r="AX92" i="10"/>
  <c r="AS93" i="10"/>
  <c r="AX93" i="10"/>
  <c r="AS94" i="10"/>
  <c r="AX94" i="10"/>
  <c r="AS95" i="10"/>
  <c r="AX95" i="10"/>
  <c r="AS96" i="10"/>
  <c r="AX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S89" i="10"/>
  <c r="AS90" i="10"/>
  <c r="AS97" i="10"/>
  <c r="AS98" i="10"/>
  <c r="AS99" i="10"/>
  <c r="AS88" i="10"/>
  <c r="AX99" i="10"/>
  <c r="AX89" i="10"/>
  <c r="AX90" i="10"/>
  <c r="AX88" i="10"/>
  <c r="F85" i="10"/>
  <c r="F86" i="10"/>
  <c r="F87" i="10"/>
  <c r="F88" i="10"/>
  <c r="F89" i="10"/>
  <c r="F90" i="10"/>
  <c r="F97" i="10"/>
  <c r="F98" i="10"/>
  <c r="F99" i="10"/>
  <c r="F84" i="10"/>
  <c r="I119" i="10" l="1"/>
  <c r="AR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P359" i="10"/>
  <c r="AR359" i="10"/>
  <c r="G360" i="10"/>
  <c r="AO362" i="10"/>
  <c r="H370" i="10"/>
  <c r="G359" i="10"/>
  <c r="AQ361" i="10"/>
  <c r="G369" i="10"/>
  <c r="AO361" i="10"/>
  <c r="H368" i="10"/>
  <c r="AO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Q359" i="10"/>
  <c r="AP361" i="10"/>
  <c r="I341" i="10"/>
  <c r="J341" i="10" s="1"/>
  <c r="K341" i="10" s="1"/>
  <c r="H363" i="10"/>
  <c r="I338" i="10"/>
  <c r="J338" i="10" s="1"/>
  <c r="K338" i="10" s="1"/>
  <c r="AR362" i="10"/>
  <c r="AR360" i="10"/>
  <c r="I343" i="10"/>
  <c r="J343" i="10" s="1"/>
  <c r="K343" i="10" s="1"/>
  <c r="H367" i="10"/>
  <c r="AQ362" i="10"/>
  <c r="AQ360" i="10"/>
  <c r="I335" i="10"/>
  <c r="J335" i="10" s="1"/>
  <c r="H361" i="10"/>
  <c r="AP362" i="10"/>
  <c r="AP360" i="10"/>
  <c r="I333" i="10"/>
  <c r="J333" i="10" s="1"/>
  <c r="G365" i="10"/>
  <c r="AO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7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J92" i="10"/>
  <c r="K92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V86" i="10"/>
  <c r="AV87" i="10"/>
  <c r="AV85" i="10"/>
  <c r="AV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W82" i="10"/>
  <c r="AW83" i="10"/>
  <c r="AW81" i="10"/>
  <c r="W83" i="10"/>
  <c r="W82" i="10"/>
  <c r="F83" i="10"/>
  <c r="F82" i="10"/>
  <c r="D83" i="10"/>
  <c r="D82" i="10"/>
  <c r="D81" i="10"/>
  <c r="W81" i="10"/>
  <c r="F81" i="10"/>
  <c r="AU79" i="10"/>
  <c r="AY79" i="10"/>
  <c r="AU80" i="10"/>
  <c r="AY80" i="10"/>
  <c r="AU78" i="10"/>
  <c r="AY78" i="10"/>
  <c r="AY77" i="10"/>
  <c r="AU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X70" i="10"/>
  <c r="AX71" i="10"/>
  <c r="AX72" i="10"/>
  <c r="AX73" i="10"/>
  <c r="AX74" i="10"/>
  <c r="AX75" i="10"/>
  <c r="AX76" i="10"/>
  <c r="AX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L334" i="10" l="1"/>
  <c r="R18" i="12"/>
  <c r="R42" i="12"/>
  <c r="R46" i="12"/>
  <c r="R54" i="12"/>
  <c r="R26" i="12"/>
  <c r="R10" i="12"/>
  <c r="R30" i="12"/>
  <c r="R50" i="12"/>
  <c r="R38" i="12"/>
  <c r="L346" i="10"/>
  <c r="AO380" i="10"/>
  <c r="L331" i="10"/>
  <c r="M334" i="10"/>
  <c r="M331" i="10"/>
  <c r="L336" i="10"/>
  <c r="L288" i="10"/>
  <c r="M288" i="10"/>
  <c r="AO381" i="10"/>
  <c r="AO382" i="10"/>
  <c r="M183" i="10"/>
  <c r="M332" i="10"/>
  <c r="L357" i="10"/>
  <c r="L355" i="10"/>
  <c r="M355" i="10"/>
  <c r="M189" i="10"/>
  <c r="M357" i="10"/>
  <c r="L189" i="10"/>
  <c r="M348" i="10"/>
  <c r="AO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P380" i="10"/>
  <c r="AP382" i="10"/>
  <c r="AP379" i="10"/>
  <c r="AP381" i="10"/>
  <c r="AR381" i="10"/>
  <c r="AR380" i="10"/>
  <c r="AR382" i="10"/>
  <c r="AR379" i="10"/>
  <c r="L341" i="10"/>
  <c r="AQ380" i="10"/>
  <c r="AQ382" i="10"/>
  <c r="AQ379" i="10"/>
  <c r="AQ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T55" i="10"/>
  <c r="AW55" i="10"/>
  <c r="AY55" i="10"/>
  <c r="AT56" i="10"/>
  <c r="AW56" i="10"/>
  <c r="AY56" i="10"/>
  <c r="AT57" i="10"/>
  <c r="AW57" i="10"/>
  <c r="AY57" i="10"/>
  <c r="AT58" i="10"/>
  <c r="AW58" i="10"/>
  <c r="AY58" i="10"/>
  <c r="AT59" i="10"/>
  <c r="AW59" i="10"/>
  <c r="AY59" i="10"/>
  <c r="AT60" i="10"/>
  <c r="AW60" i="10"/>
  <c r="AY60" i="10"/>
  <c r="AT61" i="10"/>
  <c r="AW61" i="10"/>
  <c r="AY61" i="10"/>
  <c r="AT62" i="10"/>
  <c r="AW62" i="10"/>
  <c r="AY62" i="10"/>
  <c r="AT63" i="10"/>
  <c r="AW63" i="10"/>
  <c r="AY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T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Y54" i="10"/>
  <c r="AW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U42" i="10"/>
  <c r="W42" i="10" s="1"/>
  <c r="U43" i="10"/>
  <c r="W43" i="10" s="1"/>
  <c r="U44" i="10"/>
  <c r="W44" i="10" s="1"/>
  <c r="U45" i="10"/>
  <c r="W45" i="10" s="1"/>
  <c r="U46" i="10"/>
  <c r="W46" i="10" s="1"/>
  <c r="U47" i="10"/>
  <c r="W47" i="10" s="1"/>
  <c r="U48" i="10"/>
  <c r="W48" i="10" s="1"/>
  <c r="U49" i="10"/>
  <c r="W49" i="10" s="1"/>
  <c r="U50" i="10"/>
  <c r="W50" i="10" s="1"/>
  <c r="U51" i="10"/>
  <c r="W51" i="10" s="1"/>
  <c r="U52" i="10"/>
  <c r="W52" i="10" s="1"/>
  <c r="U53" i="10"/>
  <c r="W53" i="10" s="1"/>
  <c r="AW30" i="10"/>
  <c r="U30" i="10" s="1"/>
  <c r="W30" i="10" s="1"/>
  <c r="AW31" i="10"/>
  <c r="U31" i="10" s="1"/>
  <c r="W31" i="10" s="1"/>
  <c r="AW32" i="10"/>
  <c r="U32" i="10" s="1"/>
  <c r="W32" i="10" s="1"/>
  <c r="AW33" i="10"/>
  <c r="U33" i="10" s="1"/>
  <c r="W33" i="10" s="1"/>
  <c r="AW34" i="10"/>
  <c r="U34" i="10" s="1"/>
  <c r="W34" i="10" s="1"/>
  <c r="AW35" i="10"/>
  <c r="U35" i="10" s="1"/>
  <c r="W35" i="10" s="1"/>
  <c r="AW36" i="10"/>
  <c r="U36" i="10" s="1"/>
  <c r="W36" i="10" s="1"/>
  <c r="AW37" i="10"/>
  <c r="U37" i="10" s="1"/>
  <c r="W37" i="10" s="1"/>
  <c r="AW38" i="10"/>
  <c r="U38" i="10" s="1"/>
  <c r="W38" i="10" s="1"/>
  <c r="AW39" i="10"/>
  <c r="U39" i="10" s="1"/>
  <c r="W39" i="10" s="1"/>
  <c r="AW40" i="10"/>
  <c r="U40" i="10" s="1"/>
  <c r="W40" i="10" s="1"/>
  <c r="AW41" i="10"/>
  <c r="U41" i="10" s="1"/>
  <c r="W41" i="10" s="1"/>
  <c r="AW42" i="10"/>
  <c r="AW43" i="10"/>
  <c r="AW44" i="10"/>
  <c r="AW45" i="10"/>
  <c r="AW46" i="10"/>
  <c r="AW47" i="10"/>
  <c r="AW48" i="10"/>
  <c r="AW49" i="10"/>
  <c r="AW50" i="10"/>
  <c r="AW51" i="10"/>
  <c r="AW52" i="10"/>
  <c r="AW53" i="10"/>
  <c r="I67" i="10" l="1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I33" i="10"/>
  <c r="J33" i="10" s="1"/>
  <c r="K33" i="10" s="1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34" i="10"/>
  <c r="J34" i="10" s="1"/>
  <c r="K34" i="10" s="1"/>
  <c r="I42" i="10"/>
  <c r="J42" i="10" s="1"/>
  <c r="K42" i="10" s="1"/>
  <c r="I50" i="10"/>
  <c r="J50" i="10" s="1"/>
  <c r="K50" i="10" s="1"/>
  <c r="I37" i="10"/>
  <c r="J37" i="10" s="1"/>
  <c r="K37" i="10" s="1"/>
  <c r="I45" i="10"/>
  <c r="J45" i="10" s="1"/>
  <c r="K45" i="10" s="1"/>
  <c r="I53" i="10"/>
  <c r="J53" i="10" s="1"/>
  <c r="K53" i="10" s="1"/>
  <c r="H38" i="10"/>
  <c r="H30" i="10"/>
  <c r="I52" i="10"/>
  <c r="J52" i="10" s="1"/>
  <c r="I32" i="10"/>
  <c r="J32" i="10" s="1"/>
  <c r="K32" i="10" s="1"/>
  <c r="I36" i="10"/>
  <c r="J36" i="10" s="1"/>
  <c r="K36" i="10" s="1"/>
  <c r="I40" i="10"/>
  <c r="J40" i="10" s="1"/>
  <c r="K40" i="10" s="1"/>
  <c r="I31" i="10"/>
  <c r="J31" i="10" s="1"/>
  <c r="K31" i="10" s="1"/>
  <c r="I44" i="10"/>
  <c r="I48" i="10"/>
  <c r="J48" i="10" s="1"/>
  <c r="K48" i="10" s="1"/>
  <c r="I39" i="10"/>
  <c r="J39" i="10" s="1"/>
  <c r="K39" i="10" s="1"/>
  <c r="I30" i="10"/>
  <c r="J30" i="10" s="1"/>
  <c r="K30" i="10" s="1"/>
  <c r="I43" i="10"/>
  <c r="J43" i="10" s="1"/>
  <c r="K43" i="10" s="1"/>
  <c r="I47" i="10"/>
  <c r="J47" i="10" s="1"/>
  <c r="K47" i="10" s="1"/>
  <c r="I38" i="10"/>
  <c r="J38" i="10" s="1"/>
  <c r="K38" i="10" s="1"/>
  <c r="I51" i="10"/>
  <c r="J51" i="10" s="1"/>
  <c r="K51" i="10" s="1"/>
  <c r="I35" i="10"/>
  <c r="J35" i="10" s="1"/>
  <c r="K35" i="10" s="1"/>
  <c r="I41" i="10"/>
  <c r="I49" i="10"/>
  <c r="U19" i="10"/>
  <c r="W19" i="10" s="1"/>
  <c r="I19" i="10" s="1"/>
  <c r="J19" i="10" s="1"/>
  <c r="K19" i="10" s="1"/>
  <c r="U20" i="10"/>
  <c r="W20" i="10" s="1"/>
  <c r="U21" i="10"/>
  <c r="W21" i="10" s="1"/>
  <c r="I21" i="10" s="1"/>
  <c r="J21" i="10" s="1"/>
  <c r="U22" i="10"/>
  <c r="W22" i="10" s="1"/>
  <c r="I22" i="10" s="1"/>
  <c r="U23" i="10"/>
  <c r="W23" i="10" s="1"/>
  <c r="I23" i="10" s="1"/>
  <c r="J23" i="10" s="1"/>
  <c r="K23" i="10" s="1"/>
  <c r="U24" i="10"/>
  <c r="W24" i="10" s="1"/>
  <c r="I24" i="10" s="1"/>
  <c r="J24" i="10" s="1"/>
  <c r="K24" i="10" s="1"/>
  <c r="U25" i="10"/>
  <c r="W25" i="10" s="1"/>
  <c r="I25" i="10" s="1"/>
  <c r="J25" i="10" s="1"/>
  <c r="K25" i="10" s="1"/>
  <c r="U26" i="10"/>
  <c r="W26" i="10" s="1"/>
  <c r="U27" i="10"/>
  <c r="W27" i="10" s="1"/>
  <c r="I27" i="10" s="1"/>
  <c r="J27" i="10" s="1"/>
  <c r="K27" i="10" s="1"/>
  <c r="U28" i="10"/>
  <c r="W28" i="10" s="1"/>
  <c r="I28" i="10" s="1"/>
  <c r="U29" i="10"/>
  <c r="W29" i="10" s="1"/>
  <c r="I29" i="10" s="1"/>
  <c r="J29" i="10" s="1"/>
  <c r="M29" i="10" s="1"/>
  <c r="U18" i="10"/>
  <c r="W18" i="10" s="1"/>
  <c r="AW7" i="10"/>
  <c r="U7" i="10" s="1"/>
  <c r="W7" i="10" s="1"/>
  <c r="I7" i="10" s="1"/>
  <c r="J7" i="10" s="1"/>
  <c r="K7" i="10" s="1"/>
  <c r="AW8" i="10"/>
  <c r="U8" i="10" s="1"/>
  <c r="W8" i="10" s="1"/>
  <c r="AW9" i="10"/>
  <c r="U9" i="10" s="1"/>
  <c r="W9" i="10" s="1"/>
  <c r="AW10" i="10"/>
  <c r="U10" i="10" s="1"/>
  <c r="W10" i="10" s="1"/>
  <c r="AW11" i="10"/>
  <c r="U11" i="10" s="1"/>
  <c r="W11" i="10" s="1"/>
  <c r="I11" i="10" s="1"/>
  <c r="AW12" i="10"/>
  <c r="U12" i="10" s="1"/>
  <c r="W12" i="10" s="1"/>
  <c r="AW13" i="10"/>
  <c r="U13" i="10" s="1"/>
  <c r="W13" i="10" s="1"/>
  <c r="AW14" i="10"/>
  <c r="U14" i="10" s="1"/>
  <c r="W14" i="10" s="1"/>
  <c r="AW15" i="10"/>
  <c r="U15" i="10" s="1"/>
  <c r="W15" i="10" s="1"/>
  <c r="I15" i="10" s="1"/>
  <c r="J15" i="10" s="1"/>
  <c r="K15" i="10" s="1"/>
  <c r="AW16" i="10"/>
  <c r="U16" i="10" s="1"/>
  <c r="W16" i="10" s="1"/>
  <c r="I16" i="10" s="1"/>
  <c r="J16" i="10" s="1"/>
  <c r="K16" i="10" s="1"/>
  <c r="AW17" i="10"/>
  <c r="U17" i="10" s="1"/>
  <c r="W17" i="10" s="1"/>
  <c r="AW18" i="10"/>
  <c r="AW19" i="10"/>
  <c r="AW20" i="10"/>
  <c r="AW21" i="10"/>
  <c r="AW22" i="10"/>
  <c r="AW23" i="10"/>
  <c r="AW24" i="10"/>
  <c r="AW25" i="10"/>
  <c r="AW26" i="10"/>
  <c r="AW27" i="10"/>
  <c r="AW28" i="10"/>
  <c r="AW29" i="10"/>
  <c r="AW6" i="10"/>
  <c r="U6" i="10" s="1"/>
  <c r="W6" i="10" s="1"/>
  <c r="AN7" i="10"/>
  <c r="AN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AN3" i="10"/>
  <c r="AN4" i="10"/>
  <c r="AN5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AN2" i="10"/>
  <c r="M65" i="10" l="1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3" i="10"/>
  <c r="J13" i="10" s="1"/>
  <c r="K13" i="10" s="1"/>
  <c r="I18" i="10"/>
  <c r="J18" i="10" s="1"/>
  <c r="M18" i="10" s="1"/>
  <c r="I17" i="10"/>
  <c r="J17" i="10" s="1"/>
  <c r="K17" i="10" s="1"/>
  <c r="I14" i="10"/>
  <c r="J14" i="10" s="1"/>
  <c r="K14" i="10" s="1"/>
  <c r="I10" i="10"/>
  <c r="J10" i="10" s="1"/>
  <c r="M10" i="10" s="1"/>
  <c r="I9" i="10"/>
  <c r="J9" i="10" s="1"/>
  <c r="K9" i="10" s="1"/>
  <c r="J11" i="10"/>
  <c r="K11" i="10" s="1"/>
  <c r="I6" i="10"/>
  <c r="J6" i="10" s="1"/>
  <c r="K6" i="10" s="1"/>
  <c r="I20" i="10"/>
  <c r="J20" i="10" s="1"/>
  <c r="M20" i="10" s="1"/>
  <c r="I8" i="10"/>
  <c r="J8" i="10" s="1"/>
  <c r="K8" i="10" s="1"/>
  <c r="I12" i="10"/>
  <c r="J12" i="10" s="1"/>
  <c r="L12" i="10" s="1"/>
  <c r="M21" i="10"/>
  <c r="L21" i="10"/>
  <c r="K29" i="10"/>
  <c r="M27" i="10"/>
  <c r="L29" i="10"/>
  <c r="J28" i="10"/>
  <c r="K21" i="10"/>
  <c r="L16" i="10"/>
  <c r="L24" i="10"/>
  <c r="L25" i="10"/>
  <c r="M19" i="10"/>
  <c r="J22" i="10"/>
  <c r="K22" i="10" s="1"/>
  <c r="L27" i="10"/>
  <c r="L19" i="10"/>
  <c r="M23" i="10"/>
  <c r="M15" i="10"/>
  <c r="M7" i="10"/>
  <c r="M24" i="10"/>
  <c r="L23" i="10"/>
  <c r="M16" i="10"/>
  <c r="L15" i="10"/>
  <c r="L7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L4" i="10" l="1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D62D4448-99D8-4814-9F86-72E3957F3A4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time-series -&gt; population observed over their working life</t>
        </r>
      </text>
    </comment>
    <comment ref="AL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M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N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O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P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Q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R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S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U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V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Y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Z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BA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B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C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D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F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P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Q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R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T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U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V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X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CA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B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C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D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E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F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G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H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I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J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K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L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M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N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O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P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Q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R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S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T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U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V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W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Y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P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P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P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P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S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B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C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D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E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F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</t>
        </r>
      </text>
    </comment>
    <comment ref="G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
MED = Median</t>
        </r>
      </text>
    </comment>
    <comment ref="H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H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</commentList>
</comments>
</file>

<file path=xl/sharedStrings.xml><?xml version="1.0" encoding="utf-8"?>
<sst xmlns="http://schemas.openxmlformats.org/spreadsheetml/2006/main" count="7907" uniqueCount="380">
  <si>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</si>
  <si>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</si>
  <si>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</si>
  <si>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</si>
  <si>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</si>
  <si>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</si>
  <si>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</si>
  <si>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</si>
  <si>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</si>
  <si>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</si>
  <si>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</si>
  <si>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</si>
  <si>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</si>
  <si>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</si>
  <si>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</si>
  <si>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</si>
  <si>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</si>
  <si>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</si>
  <si>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</si>
  <si>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</si>
  <si>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</si>
  <si>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</si>
  <si>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</si>
  <si>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</si>
  <si>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</si>
  <si>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</si>
  <si>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</si>
  <si>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</si>
  <si>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</si>
  <si>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</si>
  <si>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</si>
  <si>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</si>
  <si>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</si>
  <si>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</si>
  <si>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</si>
  <si>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</si>
  <si>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</si>
  <si>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</si>
  <si>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</si>
  <si>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</si>
  <si>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</si>
  <si>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</si>
  <si>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</si>
  <si>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</si>
  <si>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</si>
  <si>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</si>
  <si>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</si>
  <si>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</si>
  <si>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</si>
  <si>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</si>
  <si>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</si>
  <si>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</si>
  <si>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data_time_series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</si>
  <si>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</si>
  <si>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</si>
  <si>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</si>
  <si>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</si>
  <si>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</si>
  <si>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</si>
  <si>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</si>
  <si>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</si>
  <si>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</si>
  <si>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</si>
  <si>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</si>
  <si>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</si>
  <si>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</si>
  <si>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</si>
  <si>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</si>
  <si>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</si>
  <si>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</si>
  <si>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</si>
  <si>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</si>
  <si>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</si>
  <si>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</si>
  <si>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</si>
  <si>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</si>
  <si>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</si>
  <si>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</si>
  <si>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</si>
  <si>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</si>
  <si>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</si>
  <si>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</si>
  <si>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</si>
  <si>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</si>
  <si>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</si>
  <si>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</si>
  <si>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</si>
  <si>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</si>
  <si>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</si>
  <si>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</si>
  <si>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</si>
  <si>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</si>
  <si>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</si>
  <si>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</si>
  <si>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</si>
  <si>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</si>
  <si>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</si>
  <si>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</si>
  <si>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</si>
  <si>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</si>
  <si>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</si>
  <si>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</si>
  <si>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</si>
  <si>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</si>
  <si>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</si>
  <si>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</si>
  <si>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</si>
  <si>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</si>
  <si>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</si>
  <si>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</si>
  <si>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</si>
  <si>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</si>
  <si>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</si>
  <si>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</si>
  <si>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</si>
  <si>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</si>
  <si>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</si>
  <si>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</si>
  <si>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</si>
  <si>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</si>
  <si>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</si>
  <si>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</si>
  <si>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</si>
  <si>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</si>
  <si>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</si>
  <si>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</si>
  <si>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</si>
  <si>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</si>
  <si>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</si>
  <si>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</si>
  <si>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</si>
  <si>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</si>
  <si>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</si>
  <si>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</si>
  <si>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</si>
  <si>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</si>
  <si>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</si>
  <si>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</si>
  <si>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</si>
  <si>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</si>
  <si>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</si>
  <si>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</si>
  <si>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</si>
  <si>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</si>
  <si>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</si>
  <si>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</si>
  <si>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</si>
  <si>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</si>
  <si>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</si>
  <si>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</si>
  <si>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</si>
  <si>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</si>
  <si>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</si>
  <si>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</si>
  <si>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</si>
  <si>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</si>
  <si>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</si>
  <si>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</si>
  <si>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</si>
  <si>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</si>
  <si>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</si>
  <si>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</si>
  <si>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</si>
  <si>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</si>
  <si>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</si>
  <si>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</si>
  <si>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</si>
  <si>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</si>
  <si>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</si>
  <si>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</si>
  <si>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</si>
  <si>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</si>
  <si>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</si>
  <si>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</si>
  <si>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</si>
  <si>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</si>
  <si>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</si>
  <si>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</si>
  <si>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</si>
  <si>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</si>
  <si>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</si>
  <si>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</si>
  <si>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</si>
  <si>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</si>
  <si>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</si>
  <si>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</si>
  <si>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</si>
  <si>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</si>
  <si>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</si>
  <si>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</si>
  <si>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</si>
  <si>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</si>
  <si>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</si>
  <si>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</si>
  <si>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</si>
  <si>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</si>
  <si>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</si>
  <si>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</si>
  <si>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</si>
  <si>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</si>
  <si>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</si>
  <si>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</si>
  <si>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</si>
  <si>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</si>
  <si>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</si>
  <si>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</si>
  <si>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</si>
  <si>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</si>
  <si>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</si>
  <si>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</si>
  <si>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</si>
  <si>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</si>
  <si>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</si>
  <si>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</si>
  <si>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</si>
  <si>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</si>
  <si>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</si>
  <si>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</si>
  <si>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</si>
  <si>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</si>
  <si>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</si>
  <si>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</si>
  <si>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</si>
  <si>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</si>
  <si>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</si>
  <si>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</si>
  <si>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</si>
  <si>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</si>
  <si>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</si>
  <si>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</si>
  <si>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</si>
  <si>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</si>
  <si>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</si>
  <si>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</si>
  <si>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</si>
  <si>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</si>
  <si>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</si>
  <si>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</si>
  <si>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</si>
  <si>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</si>
  <si>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</si>
  <si>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</si>
  <si>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</si>
  <si>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</si>
  <si>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</si>
  <si>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</si>
  <si>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</si>
  <si>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</si>
  <si>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</si>
  <si>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</si>
  <si>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</si>
  <si>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</si>
  <si>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</si>
  <si>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</si>
  <si>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</si>
  <si>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</si>
  <si>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</si>
  <si>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</si>
  <si>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</si>
  <si>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</si>
  <si>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</si>
  <si>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</si>
  <si>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</si>
  <si>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</si>
  <si>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</si>
  <si>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</si>
  <si>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</si>
  <si>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</si>
  <si>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</si>
  <si>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</si>
  <si>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</si>
  <si>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</si>
  <si>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</si>
  <si>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</si>
  <si>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</si>
  <si>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</si>
  <si>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</si>
  <si>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</si>
  <si>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</si>
  <si>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</si>
  <si>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</si>
  <si>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</si>
  <si>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</si>
  <si>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</si>
  <si>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</si>
  <si>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</si>
  <si>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</si>
  <si>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</si>
  <si>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</si>
  <si>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</si>
  <si>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</si>
  <si>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</si>
  <si>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</si>
  <si>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</si>
  <si>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</si>
  <si>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</si>
  <si>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</si>
  <si>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</si>
  <si>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</si>
  <si>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</si>
  <si>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</si>
  <si>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</si>
  <si>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</si>
  <si>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</si>
  <si>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</si>
  <si>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</si>
  <si>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</si>
  <si>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</si>
  <si>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</si>
  <si>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</si>
  <si>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</si>
  <si>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</si>
  <si>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</si>
  <si>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</si>
  <si>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</si>
  <si>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</si>
  <si>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</si>
  <si>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</si>
  <si>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</si>
  <si>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</si>
  <si>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</si>
  <si>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</si>
  <si>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</si>
  <si>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</si>
  <si>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</si>
  <si>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</si>
  <si>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</si>
  <si>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isntr_marital_status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</si>
  <si>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</si>
  <si>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</si>
  <si>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</si>
  <si>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</si>
  <si>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</si>
  <si>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</si>
  <si>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</si>
  <si>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</si>
  <si>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</si>
  <si>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</si>
  <si>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</si>
  <si>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</si>
  <si>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</si>
  <si>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</si>
  <si>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</si>
  <si>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</si>
  <si>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</si>
  <si>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</si>
  <si>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</si>
  <si>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</si>
  <si>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</si>
  <si>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</si>
  <si>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</si>
  <si>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</si>
  <si>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</si>
  <si>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</si>
  <si>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</si>
  <si>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</si>
  <si>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</si>
  <si>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</si>
  <si>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</si>
  <si>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</si>
  <si>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</si>
  <si>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</si>
  <si>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</si>
  <si>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</si>
  <si>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cat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</si>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</sst>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6" formatCode="0.0000"/>
  </numFmts>
  <fonts count="7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  <border>
      <left style="dotted">
        <color auto="1"/>
      </left>
      <right style="double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</borders>
  <cellStyleXfs count="1">
    <xf numFmtId="0" fontId="0" fillId="0" borderId="0"/>
  </cellStyleXfs>
  <cellXfs count="184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4" fillId="6" borderId="1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6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1" fontId="0" fillId="9" borderId="39" xfId="0" applyNumberFormat="1" applyFill="1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0" fillId="8" borderId="40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CZ1685"/>
  <sheetViews>
    <sheetView tabSelected="1" workbookViewId="0">
      <selection activeCell="Y1" sqref="Y1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8.7109375" style="8" customWidth="1"/>
    <col min="22" max="23" width="8.7109375" style="9" customWidth="1"/>
    <col min="24" max="24" width="8.7109375" style="9" hidden="1" customWidth="1"/>
    <col min="25" max="26" width="8.7109375" style="7" customWidth="1"/>
    <col min="27" max="38" width="8.7109375" style="9" customWidth="1"/>
    <col min="39" max="39" width="8.7109375" style="23" customWidth="1"/>
    <col min="40" max="40" width="8.7109375" style="7" hidden="1" customWidth="1"/>
    <col min="41" max="43" width="8.7109375" style="33" customWidth="1"/>
    <col min="44" max="44" width="8.7109375" style="43" customWidth="1"/>
    <col min="45" max="45" width="8.7109375" style="33" customWidth="1"/>
    <col min="46" max="46" width="8.7109375" style="43" customWidth="1"/>
    <col min="47" max="47" width="8.7109375" style="42" customWidth="1"/>
    <col min="48" max="48" width="8.7109375" style="18" customWidth="1"/>
    <col min="49" max="49" width="8.7109375" customWidth="1"/>
    <col min="50" max="50" width="8.7109375" style="39" customWidth="1"/>
    <col min="51" max="51" width="8.7109375" customWidth="1"/>
    <col min="52" max="52" width="8.7109375" style="39" customWidth="1"/>
    <col min="53" max="54" width="8.7109375" hidden="1" customWidth="1"/>
    <col min="55" max="57" width="8.7109375" customWidth="1"/>
    <col min="58" max="69" width="8.7109375" hidden="1" customWidth="1"/>
    <col min="70" max="70" width="8.7109375" style="25" customWidth="1"/>
    <col min="71" max="78" width="8.7109375" customWidth="1"/>
    <col min="79" max="79" width="8.5703125" customWidth="1"/>
    <col min="80" max="98" width="8.7109375" customWidth="1"/>
    <col min="99" max="102" width="8.7109375" hidden="1" customWidth="1"/>
    <col min="103" max="103" width="8.7109375" style="25" hidden="1" customWidth="1"/>
    <col min="104" max="104" width="8.85546875" style="34"/>
  </cols>
  <sheetData>
    <row r="1" spans="1:104" x14ac:dyDescent="0.25">
      <c r="A1" s="1" t="s">
        <v>0</v>
      </c>
      <c r="B1" s="1" t="s">
        <v>1</v>
      </c>
      <c r="C1" s="27" t="s">
        <v>341</v>
      </c>
      <c r="D1" s="10" t="s">
        <v>91</v>
      </c>
      <c r="E1" s="28" t="s">
        <v>92</v>
      </c>
      <c r="F1" s="29" t="s">
        <v>88</v>
      </c>
      <c r="G1" s="29" t="s">
        <v>89</v>
      </c>
      <c r="H1" s="31" t="s">
        <v>90</v>
      </c>
      <c r="I1" s="10" t="s">
        <v>93</v>
      </c>
      <c r="J1" s="29" t="s">
        <v>94</v>
      </c>
      <c r="K1" s="29" t="s">
        <v>95</v>
      </c>
      <c r="L1" s="29" t="s">
        <v>96</v>
      </c>
      <c r="M1" s="29" t="s">
        <v>97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289</v>
      </c>
      <c r="U1" s="5" t="s">
        <v>99</v>
      </c>
      <c r="V1" s="6" t="s">
        <v>100</v>
      </c>
      <c r="W1" s="6" t="s">
        <v>98</v>
      </c>
      <c r="X1" s="6" t="s">
        <v>148</v>
      </c>
      <c r="Y1" s="2" t="s">
        <v>31</v>
      </c>
      <c r="Z1" s="2" t="s">
        <v>46</v>
      </c>
      <c r="AA1" s="2" t="s">
        <v>206</v>
      </c>
      <c r="AB1" s="2" t="s">
        <v>207</v>
      </c>
      <c r="AC1" s="2" t="s">
        <v>132</v>
      </c>
      <c r="AD1" s="2" t="s">
        <v>131</v>
      </c>
      <c r="AE1" s="2" t="s">
        <v>146</v>
      </c>
      <c r="AF1" s="2" t="s">
        <v>141</v>
      </c>
      <c r="AG1" s="13" t="s">
        <v>47</v>
      </c>
      <c r="AH1" s="2" t="s">
        <v>48</v>
      </c>
      <c r="AI1" s="15" t="s">
        <v>49</v>
      </c>
      <c r="AJ1" s="2" t="s">
        <v>50</v>
      </c>
      <c r="AK1" s="2" t="s">
        <v>52</v>
      </c>
      <c r="AL1" s="15" t="s">
        <v>51</v>
      </c>
      <c r="AM1" s="22" t="s">
        <v>66</v>
      </c>
      <c r="AN1" s="51" t="s">
        <v>65</v>
      </c>
      <c r="AO1" s="3" t="s">
        <v>112</v>
      </c>
      <c r="AP1" s="38" t="s">
        <v>108</v>
      </c>
      <c r="AQ1" s="3" t="s">
        <v>109</v>
      </c>
      <c r="AR1" s="17" t="s">
        <v>110</v>
      </c>
      <c r="AS1" s="3" t="s">
        <v>113</v>
      </c>
      <c r="AT1" s="17" t="s">
        <v>114</v>
      </c>
      <c r="AU1" s="41" t="s">
        <v>102</v>
      </c>
      <c r="AV1" s="17" t="s">
        <v>101</v>
      </c>
      <c r="AW1" s="3" t="s">
        <v>32</v>
      </c>
      <c r="AX1" s="17" t="s">
        <v>33</v>
      </c>
      <c r="AY1" s="3" t="s">
        <v>34</v>
      </c>
      <c r="AZ1" s="17" t="s">
        <v>35</v>
      </c>
      <c r="BA1" s="3" t="s">
        <v>53</v>
      </c>
      <c r="BB1" s="17" t="s">
        <v>54</v>
      </c>
      <c r="BC1" s="3" t="s">
        <v>237</v>
      </c>
      <c r="BD1" s="17" t="s">
        <v>236</v>
      </c>
      <c r="BE1" s="17" t="s">
        <v>36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3" t="s">
        <v>63</v>
      </c>
      <c r="BL1" s="17" t="s">
        <v>64</v>
      </c>
      <c r="BM1" s="3" t="s">
        <v>57</v>
      </c>
      <c r="BN1" s="3" t="s">
        <v>56</v>
      </c>
      <c r="BO1" s="17" t="s">
        <v>55</v>
      </c>
      <c r="BP1" s="3" t="s">
        <v>67</v>
      </c>
      <c r="BQ1" s="3" t="s">
        <v>68</v>
      </c>
      <c r="BR1" s="24" t="s">
        <v>69</v>
      </c>
      <c r="BS1" s="4" t="s">
        <v>70</v>
      </c>
      <c r="BT1" s="4" t="s">
        <v>244</v>
      </c>
      <c r="BU1" s="4" t="s">
        <v>275</v>
      </c>
      <c r="BV1" s="4" t="s">
        <v>164</v>
      </c>
      <c r="BW1" s="4" t="s">
        <v>134</v>
      </c>
      <c r="BX1" s="4" t="s">
        <v>144</v>
      </c>
      <c r="BY1" s="4" t="s">
        <v>143</v>
      </c>
      <c r="BZ1" s="19" t="s">
        <v>71</v>
      </c>
      <c r="CA1" s="49" t="s">
        <v>72</v>
      </c>
      <c r="CB1" s="49" t="s">
        <v>73</v>
      </c>
      <c r="CC1" s="49" t="s">
        <v>128</v>
      </c>
      <c r="CD1" s="50" t="s">
        <v>129</v>
      </c>
      <c r="CE1" s="4" t="s">
        <v>137</v>
      </c>
      <c r="CF1" s="4" t="s">
        <v>147</v>
      </c>
      <c r="CG1" s="4" t="s">
        <v>165</v>
      </c>
      <c r="CH1" s="4" t="s">
        <v>327</v>
      </c>
      <c r="CI1" s="19" t="s">
        <v>138</v>
      </c>
      <c r="CJ1" s="4" t="s">
        <v>74</v>
      </c>
      <c r="CK1" s="4" t="s">
        <v>75</v>
      </c>
      <c r="CL1" s="4" t="s">
        <v>76</v>
      </c>
      <c r="CM1" s="4" t="s">
        <v>111</v>
      </c>
      <c r="CN1" s="4" t="s">
        <v>77</v>
      </c>
      <c r="CO1" s="4" t="s">
        <v>78</v>
      </c>
      <c r="CP1" s="4" t="s">
        <v>79</v>
      </c>
      <c r="CQ1" s="4" t="s">
        <v>80</v>
      </c>
      <c r="CR1" s="4" t="s">
        <v>82</v>
      </c>
      <c r="CS1" s="4" t="s">
        <v>145</v>
      </c>
      <c r="CT1" s="19" t="s">
        <v>81</v>
      </c>
      <c r="CU1" s="44" t="s">
        <v>83</v>
      </c>
      <c r="CV1" s="44" t="s">
        <v>84</v>
      </c>
      <c r="CW1" s="44" t="s">
        <v>85</v>
      </c>
      <c r="CX1" s="44" t="s">
        <v>368</v>
      </c>
      <c r="CY1" s="45" t="s">
        <v>86</v>
      </c>
    </row>
    <row r="2" spans="1:104" ht="14.45" customHeight="1" x14ac:dyDescent="0.25">
      <c r="A2">
        <v>1</v>
      </c>
      <c r="B2">
        <v>1</v>
      </c>
      <c r="C2" s="25" t="s">
        <v>130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Y2" s="7">
        <v>15</v>
      </c>
      <c r="Z2" s="7">
        <f>BR2-Y2-6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9">
        <v>0</v>
      </c>
      <c r="AL2" s="30">
        <v>0</v>
      </c>
      <c r="AM2" s="21">
        <v>2003</v>
      </c>
      <c r="AN2" s="23">
        <f>LN(AM2)</f>
        <v>7.6024013356658182</v>
      </c>
      <c r="AO2" s="33">
        <v>0</v>
      </c>
      <c r="AP2" s="33">
        <v>0</v>
      </c>
      <c r="AQ2" s="33">
        <v>0</v>
      </c>
      <c r="AR2" s="43">
        <v>1</v>
      </c>
      <c r="AS2" s="33" t="s">
        <v>107</v>
      </c>
      <c r="AT2" s="43" t="s">
        <v>107</v>
      </c>
      <c r="AU2" s="42" t="s">
        <v>107</v>
      </c>
      <c r="AV2" s="18" t="s">
        <v>107</v>
      </c>
      <c r="AW2" s="33" t="s">
        <v>107</v>
      </c>
      <c r="AX2" s="40" t="s">
        <v>107</v>
      </c>
      <c r="AY2" t="s">
        <v>107</v>
      </c>
      <c r="AZ2" s="40" t="s">
        <v>107</v>
      </c>
      <c r="BB2" s="18"/>
      <c r="BC2" t="s">
        <v>107</v>
      </c>
      <c r="BD2" s="18" t="s">
        <v>107</v>
      </c>
      <c r="BE2" s="18" t="s">
        <v>2</v>
      </c>
      <c r="BL2" s="18"/>
      <c r="BO2" s="18"/>
      <c r="BR2" s="25">
        <v>44.5</v>
      </c>
      <c r="BS2">
        <v>1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 s="18">
        <v>0</v>
      </c>
      <c r="CA2">
        <v>0</v>
      </c>
      <c r="CB2">
        <v>1</v>
      </c>
      <c r="CC2">
        <v>0</v>
      </c>
      <c r="CD2" s="18">
        <v>0</v>
      </c>
      <c r="CE2">
        <v>0</v>
      </c>
      <c r="CF2">
        <v>0</v>
      </c>
      <c r="CG2">
        <v>0</v>
      </c>
      <c r="CH2">
        <v>0</v>
      </c>
      <c r="CI2" s="18">
        <v>0</v>
      </c>
      <c r="CJ2">
        <v>0</v>
      </c>
      <c r="CK2">
        <v>0</v>
      </c>
      <c r="CL2">
        <v>1</v>
      </c>
      <c r="CM2">
        <v>0</v>
      </c>
      <c r="CN2">
        <v>0</v>
      </c>
      <c r="CO2">
        <v>0</v>
      </c>
      <c r="CP2">
        <v>1</v>
      </c>
      <c r="CQ2">
        <v>0</v>
      </c>
      <c r="CR2">
        <v>0</v>
      </c>
      <c r="CS2">
        <v>0</v>
      </c>
      <c r="CT2" s="18">
        <v>0</v>
      </c>
      <c r="CZ2" s="34" t="s">
        <v>87</v>
      </c>
    </row>
    <row r="3" spans="1:104" ht="14.45" customHeight="1" x14ac:dyDescent="0.25">
      <c r="A3">
        <v>2</v>
      </c>
      <c r="B3">
        <v>1</v>
      </c>
      <c r="C3" s="25" t="s">
        <v>130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Y3" s="7">
        <v>15</v>
      </c>
      <c r="Z3" s="7">
        <f>BR3-Y3-6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9">
        <v>0</v>
      </c>
      <c r="AL3" s="30">
        <v>0</v>
      </c>
      <c r="AM3" s="21">
        <v>2003</v>
      </c>
      <c r="AN3" s="23">
        <f t="shared" ref="AN3:AN7" si="4">LN(AM3)</f>
        <v>7.6024013356658182</v>
      </c>
      <c r="AO3" s="33">
        <v>0</v>
      </c>
      <c r="AP3" s="33">
        <v>0</v>
      </c>
      <c r="AQ3" s="33">
        <v>0</v>
      </c>
      <c r="AR3" s="43">
        <v>1</v>
      </c>
      <c r="AS3" s="33" t="s">
        <v>107</v>
      </c>
      <c r="AT3" s="43" t="s">
        <v>107</v>
      </c>
      <c r="AU3" s="42" t="s">
        <v>107</v>
      </c>
      <c r="AV3" s="18" t="s">
        <v>107</v>
      </c>
      <c r="AW3" s="33" t="s">
        <v>107</v>
      </c>
      <c r="AX3" s="40" t="s">
        <v>107</v>
      </c>
      <c r="AY3" t="s">
        <v>107</v>
      </c>
      <c r="AZ3" s="40" t="s">
        <v>107</v>
      </c>
      <c r="BB3" s="18"/>
      <c r="BC3" t="s">
        <v>107</v>
      </c>
      <c r="BD3" s="18" t="s">
        <v>107</v>
      </c>
      <c r="BE3" s="18" t="s">
        <v>2</v>
      </c>
      <c r="BL3" s="18"/>
      <c r="BO3" s="18"/>
      <c r="BR3" s="25">
        <v>44.5</v>
      </c>
      <c r="BS3">
        <v>1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 s="18">
        <v>0</v>
      </c>
      <c r="CA3">
        <v>0</v>
      </c>
      <c r="CB3">
        <v>1</v>
      </c>
      <c r="CC3">
        <v>0</v>
      </c>
      <c r="CD3" s="18">
        <v>0</v>
      </c>
      <c r="CE3">
        <v>0</v>
      </c>
      <c r="CF3">
        <v>0</v>
      </c>
      <c r="CG3">
        <v>0</v>
      </c>
      <c r="CH3">
        <v>0</v>
      </c>
      <c r="CI3" s="18">
        <v>0</v>
      </c>
      <c r="CJ3">
        <v>0</v>
      </c>
      <c r="CK3">
        <v>0</v>
      </c>
      <c r="CL3">
        <v>1</v>
      </c>
      <c r="CM3">
        <v>0</v>
      </c>
      <c r="CN3">
        <v>0</v>
      </c>
      <c r="CO3">
        <v>0</v>
      </c>
      <c r="CP3">
        <v>1</v>
      </c>
      <c r="CQ3">
        <v>0</v>
      </c>
      <c r="CR3">
        <v>0</v>
      </c>
      <c r="CS3">
        <v>0</v>
      </c>
      <c r="CT3" s="18">
        <v>0</v>
      </c>
      <c r="CZ3" s="34" t="s">
        <v>87</v>
      </c>
    </row>
    <row r="4" spans="1:104" ht="14.45" customHeight="1" x14ac:dyDescent="0.25">
      <c r="A4">
        <v>3</v>
      </c>
      <c r="B4">
        <v>1</v>
      </c>
      <c r="C4" s="25" t="s">
        <v>130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5">IFERROR(1/J4, "X")</f>
        <v>107.34325639683917</v>
      </c>
      <c r="L4" s="33">
        <f t="shared" ref="L4:L5" si="6">IFERROR(I4-J4, "X")</f>
        <v>8.9965063305338863E-2</v>
      </c>
      <c r="M4" s="33">
        <f t="shared" ref="M4:M5" si="7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Y4" s="7">
        <v>17</v>
      </c>
      <c r="Z4" s="7">
        <f>BR4-Y4-6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9">
        <v>0</v>
      </c>
      <c r="AL4" s="30">
        <v>0</v>
      </c>
      <c r="AM4" s="21">
        <v>2003</v>
      </c>
      <c r="AN4" s="23">
        <f t="shared" si="4"/>
        <v>7.6024013356658182</v>
      </c>
      <c r="AO4" s="33">
        <v>0</v>
      </c>
      <c r="AP4" s="33">
        <v>0</v>
      </c>
      <c r="AQ4" s="33">
        <v>0</v>
      </c>
      <c r="AR4" s="43">
        <v>1</v>
      </c>
      <c r="AS4" s="33" t="s">
        <v>107</v>
      </c>
      <c r="AT4" s="43" t="s">
        <v>107</v>
      </c>
      <c r="AU4" s="42" t="s">
        <v>107</v>
      </c>
      <c r="AV4" s="18" t="s">
        <v>107</v>
      </c>
      <c r="AW4" s="33" t="s">
        <v>107</v>
      </c>
      <c r="AX4" s="40" t="s">
        <v>107</v>
      </c>
      <c r="AY4" t="s">
        <v>107</v>
      </c>
      <c r="AZ4" s="40" t="s">
        <v>107</v>
      </c>
      <c r="BB4" s="18"/>
      <c r="BC4" t="s">
        <v>107</v>
      </c>
      <c r="BD4" s="18" t="s">
        <v>107</v>
      </c>
      <c r="BE4" s="18" t="s">
        <v>2</v>
      </c>
      <c r="BL4" s="18"/>
      <c r="BO4" s="18"/>
      <c r="BR4" s="25">
        <v>44.5</v>
      </c>
      <c r="BS4">
        <v>1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 s="18">
        <v>0</v>
      </c>
      <c r="CA4">
        <v>0</v>
      </c>
      <c r="CB4">
        <v>1</v>
      </c>
      <c r="CC4">
        <v>0</v>
      </c>
      <c r="CD4" s="18">
        <v>0</v>
      </c>
      <c r="CE4">
        <v>0</v>
      </c>
      <c r="CF4">
        <v>0</v>
      </c>
      <c r="CG4">
        <v>0</v>
      </c>
      <c r="CH4">
        <v>0</v>
      </c>
      <c r="CI4" s="18">
        <v>0</v>
      </c>
      <c r="CJ4">
        <v>0</v>
      </c>
      <c r="CK4">
        <v>0</v>
      </c>
      <c r="CL4">
        <v>1</v>
      </c>
      <c r="CM4">
        <v>0</v>
      </c>
      <c r="CN4">
        <v>0</v>
      </c>
      <c r="CO4">
        <v>0</v>
      </c>
      <c r="CP4">
        <v>1</v>
      </c>
      <c r="CQ4">
        <v>0</v>
      </c>
      <c r="CR4">
        <v>0</v>
      </c>
      <c r="CS4">
        <v>0</v>
      </c>
      <c r="CT4" s="18">
        <v>0</v>
      </c>
      <c r="CZ4" s="34" t="s">
        <v>87</v>
      </c>
    </row>
    <row r="5" spans="1:104" s="52" customFormat="1" ht="14.45" customHeight="1" x14ac:dyDescent="0.25">
      <c r="A5" s="52">
        <v>4</v>
      </c>
      <c r="B5" s="52">
        <v>1</v>
      </c>
      <c r="C5" s="53" t="s">
        <v>130</v>
      </c>
      <c r="D5" s="54">
        <v>13</v>
      </c>
      <c r="E5" s="55">
        <f t="shared" si="3"/>
        <v>1.2224231464737794</v>
      </c>
      <c r="F5" s="56">
        <f>553/52</f>
        <v>10.634615384615385</v>
      </c>
      <c r="G5" s="56">
        <f>D5-E5</f>
        <v>11.77757685352622</v>
      </c>
      <c r="H5" s="57">
        <f>D5+E5</f>
        <v>14.22242314647378</v>
      </c>
      <c r="I5" s="58">
        <f t="shared" si="0"/>
        <v>9.5574549348597881E-2</v>
      </c>
      <c r="J5" s="59">
        <f t="shared" si="1"/>
        <v>8.9871185644251183E-3</v>
      </c>
      <c r="K5" s="59">
        <f t="shared" si="5"/>
        <v>111.27036912124763</v>
      </c>
      <c r="L5" s="59">
        <f t="shared" si="6"/>
        <v>8.6587430784172761E-2</v>
      </c>
      <c r="M5" s="59">
        <f t="shared" si="7"/>
        <v>0.104561667913023</v>
      </c>
      <c r="N5" s="60">
        <v>1</v>
      </c>
      <c r="O5" s="61">
        <v>0</v>
      </c>
      <c r="P5" s="60">
        <v>0</v>
      </c>
      <c r="Q5" s="61">
        <v>0</v>
      </c>
      <c r="R5" s="61">
        <v>0</v>
      </c>
      <c r="S5" s="61">
        <v>1</v>
      </c>
      <c r="T5" s="61">
        <v>0</v>
      </c>
      <c r="U5" s="60">
        <v>12273</v>
      </c>
      <c r="V5" s="61">
        <v>4</v>
      </c>
      <c r="W5" s="61">
        <f t="shared" si="2"/>
        <v>12268</v>
      </c>
      <c r="X5" s="61"/>
      <c r="Y5" s="56">
        <v>17</v>
      </c>
      <c r="Z5" s="56">
        <f>BR5-Y5-6</f>
        <v>21.5</v>
      </c>
      <c r="AA5" s="61">
        <v>0</v>
      </c>
      <c r="AB5" s="61">
        <v>1</v>
      </c>
      <c r="AC5" s="61">
        <v>1</v>
      </c>
      <c r="AD5" s="61">
        <v>0</v>
      </c>
      <c r="AE5" s="61">
        <v>0</v>
      </c>
      <c r="AF5" s="61">
        <v>0</v>
      </c>
      <c r="AG5" s="60">
        <v>0</v>
      </c>
      <c r="AH5" s="61">
        <v>1</v>
      </c>
      <c r="AI5" s="62">
        <v>0</v>
      </c>
      <c r="AJ5" s="61">
        <v>1</v>
      </c>
      <c r="AK5" s="61">
        <v>0</v>
      </c>
      <c r="AL5" s="62">
        <v>0</v>
      </c>
      <c r="AM5" s="63">
        <v>2003</v>
      </c>
      <c r="AN5" s="64">
        <f t="shared" si="4"/>
        <v>7.6024013356658182</v>
      </c>
      <c r="AO5" s="59">
        <v>0</v>
      </c>
      <c r="AP5" s="59">
        <v>0</v>
      </c>
      <c r="AQ5" s="59">
        <v>0</v>
      </c>
      <c r="AR5" s="65">
        <v>1</v>
      </c>
      <c r="AS5" s="59" t="s">
        <v>107</v>
      </c>
      <c r="AT5" s="65" t="s">
        <v>107</v>
      </c>
      <c r="AU5" s="66" t="s">
        <v>107</v>
      </c>
      <c r="AV5" s="67" t="s">
        <v>107</v>
      </c>
      <c r="AW5" s="59" t="s">
        <v>107</v>
      </c>
      <c r="AX5" s="68" t="s">
        <v>107</v>
      </c>
      <c r="AY5" s="52" t="s">
        <v>107</v>
      </c>
      <c r="AZ5" s="68" t="s">
        <v>107</v>
      </c>
      <c r="BB5" s="67"/>
      <c r="BC5" s="52" t="s">
        <v>107</v>
      </c>
      <c r="BD5" s="67" t="s">
        <v>107</v>
      </c>
      <c r="BE5" s="67" t="s">
        <v>2</v>
      </c>
      <c r="BL5" s="67"/>
      <c r="BO5" s="67"/>
      <c r="BR5" s="53">
        <v>44.5</v>
      </c>
      <c r="BS5" s="52">
        <v>1</v>
      </c>
      <c r="BT5" s="52">
        <v>0</v>
      </c>
      <c r="BU5" s="52">
        <v>0</v>
      </c>
      <c r="BV5" s="52">
        <v>0</v>
      </c>
      <c r="BW5" s="52">
        <v>0</v>
      </c>
      <c r="BX5" s="52">
        <v>0</v>
      </c>
      <c r="BY5" s="52">
        <v>0</v>
      </c>
      <c r="BZ5" s="67">
        <v>0</v>
      </c>
      <c r="CA5" s="52">
        <v>0</v>
      </c>
      <c r="CB5" s="52">
        <v>1</v>
      </c>
      <c r="CC5" s="52">
        <v>0</v>
      </c>
      <c r="CD5" s="67">
        <v>0</v>
      </c>
      <c r="CE5" s="52">
        <v>0</v>
      </c>
      <c r="CF5" s="52">
        <v>0</v>
      </c>
      <c r="CG5" s="52">
        <v>0</v>
      </c>
      <c r="CH5" s="52">
        <v>0</v>
      </c>
      <c r="CI5" s="67">
        <v>0</v>
      </c>
      <c r="CJ5" s="52">
        <v>0</v>
      </c>
      <c r="CK5" s="52">
        <v>0</v>
      </c>
      <c r="CL5" s="52">
        <v>1</v>
      </c>
      <c r="CM5" s="52">
        <v>0</v>
      </c>
      <c r="CN5" s="52">
        <v>0</v>
      </c>
      <c r="CO5" s="52">
        <v>0</v>
      </c>
      <c r="CP5" s="52">
        <v>1</v>
      </c>
      <c r="CQ5" s="52">
        <v>0</v>
      </c>
      <c r="CR5" s="52">
        <v>0</v>
      </c>
      <c r="CS5" s="52">
        <v>0</v>
      </c>
      <c r="CT5" s="67">
        <v>0</v>
      </c>
      <c r="CY5" s="53"/>
      <c r="CZ5" s="69" t="s">
        <v>87</v>
      </c>
    </row>
    <row r="6" spans="1:104" ht="14.45" customHeight="1" x14ac:dyDescent="0.25">
      <c r="A6">
        <v>5</v>
      </c>
      <c r="B6">
        <v>2</v>
      </c>
      <c r="C6" s="25" t="s">
        <v>133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8">D6-E6</f>
        <v>8.331714974113785</v>
      </c>
      <c r="H6" s="16">
        <f t="shared" ref="H6:H54" si="9">D6+E6</f>
        <v>11.833450253089145</v>
      </c>
      <c r="I6" s="11">
        <f t="shared" si="0"/>
        <v>3.5306280470906153E-3</v>
      </c>
      <c r="J6" s="33">
        <f t="shared" si="1"/>
        <v>6.1310307404567577E-4</v>
      </c>
      <c r="K6" s="33">
        <f t="shared" si="5"/>
        <v>1631.0471148045503</v>
      </c>
      <c r="L6" s="33">
        <f t="shared" ref="L6:L53" si="10">IFERROR(I6-J6, "X")</f>
        <v>2.9175249730449397E-3</v>
      </c>
      <c r="M6" s="33">
        <f t="shared" ref="M6:M53" si="11">IFERROR(I6+J6, "X")</f>
        <v>4.1437311211362914E-3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5194050*AW6</f>
        <v>2660288.5290000006</v>
      </c>
      <c r="V6" s="9">
        <v>6</v>
      </c>
      <c r="W6" s="9">
        <f t="shared" si="2"/>
        <v>2660281.5290000006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9">
        <v>0</v>
      </c>
      <c r="AL6" s="30">
        <v>1</v>
      </c>
      <c r="AM6" s="21">
        <v>2004</v>
      </c>
      <c r="AN6" s="23">
        <f t="shared" si="4"/>
        <v>7.6029004622047553</v>
      </c>
      <c r="AO6" s="33">
        <v>0</v>
      </c>
      <c r="AP6" s="33">
        <v>0</v>
      </c>
      <c r="AQ6" s="33">
        <v>0</v>
      </c>
      <c r="AR6" s="43">
        <v>1</v>
      </c>
      <c r="AS6" s="33" t="s">
        <v>107</v>
      </c>
      <c r="AT6" s="43" t="s">
        <v>107</v>
      </c>
      <c r="AU6" s="42" t="s">
        <v>107</v>
      </c>
      <c r="AV6" s="18" t="s">
        <v>107</v>
      </c>
      <c r="AW6" s="39">
        <f>1-AX6</f>
        <v>0.51218000000000008</v>
      </c>
      <c r="AX6" s="40">
        <v>0.48781999999999998</v>
      </c>
      <c r="AY6">
        <v>0.52400000000000002</v>
      </c>
      <c r="AZ6" s="40">
        <v>0.47599999999999998</v>
      </c>
      <c r="BB6" s="18"/>
      <c r="BC6" t="s">
        <v>107</v>
      </c>
      <c r="BD6" s="18" t="s">
        <v>107</v>
      </c>
      <c r="BE6" s="18" t="s">
        <v>24</v>
      </c>
      <c r="BL6" s="18"/>
      <c r="BO6" s="18"/>
      <c r="BR6" s="25">
        <v>38.43</v>
      </c>
      <c r="BS6">
        <v>1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 s="18">
        <v>0</v>
      </c>
      <c r="CA6">
        <v>0</v>
      </c>
      <c r="CB6">
        <v>0</v>
      </c>
      <c r="CC6">
        <v>1</v>
      </c>
      <c r="CD6" s="18">
        <v>0</v>
      </c>
      <c r="CE6">
        <v>0</v>
      </c>
      <c r="CF6">
        <v>0</v>
      </c>
      <c r="CG6">
        <v>0</v>
      </c>
      <c r="CH6">
        <v>0</v>
      </c>
      <c r="CI6" s="18">
        <v>0</v>
      </c>
      <c r="CJ6">
        <v>0</v>
      </c>
      <c r="CK6">
        <v>0</v>
      </c>
      <c r="CL6">
        <v>1</v>
      </c>
      <c r="CM6">
        <v>1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 s="18">
        <v>0</v>
      </c>
      <c r="CZ6" s="34" t="s">
        <v>87</v>
      </c>
    </row>
    <row r="7" spans="1:104" ht="14.45" customHeight="1" x14ac:dyDescent="0.25">
      <c r="A7">
        <v>6</v>
      </c>
      <c r="B7">
        <v>2</v>
      </c>
      <c r="C7" s="25" t="s">
        <v>133</v>
      </c>
      <c r="D7" s="12">
        <v>9.4270241253097353</v>
      </c>
      <c r="E7" s="14">
        <v>0.34792180427329433</v>
      </c>
      <c r="F7" s="7">
        <v>27.095238095238091</v>
      </c>
      <c r="G7" s="7">
        <f t="shared" si="8"/>
        <v>9.0791023210364408</v>
      </c>
      <c r="H7" s="16">
        <f t="shared" si="9"/>
        <v>9.7749459295830299</v>
      </c>
      <c r="I7" s="11">
        <f t="shared" si="0"/>
        <v>1.6609985555178588E-2</v>
      </c>
      <c r="J7" s="33">
        <f t="shared" si="1"/>
        <v>6.1302231398725911E-4</v>
      </c>
      <c r="K7" s="33">
        <f t="shared" si="5"/>
        <v>1631.2619902785198</v>
      </c>
      <c r="L7" s="33">
        <f t="shared" si="10"/>
        <v>1.599696324119133E-2</v>
      </c>
      <c r="M7" s="33">
        <f t="shared" si="11"/>
        <v>1.7223007869165845E-2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2">5194050*AW7</f>
        <v>2660288.5290000006</v>
      </c>
      <c r="V7" s="9">
        <v>6</v>
      </c>
      <c r="W7" s="9">
        <f t="shared" si="2"/>
        <v>2660281.5290000006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9">
        <v>0</v>
      </c>
      <c r="AL7" s="30">
        <v>1</v>
      </c>
      <c r="AM7" s="21">
        <v>2004</v>
      </c>
      <c r="AN7" s="23">
        <f t="shared" si="4"/>
        <v>7.6029004622047553</v>
      </c>
      <c r="AO7" s="33">
        <v>0</v>
      </c>
      <c r="AP7" s="33">
        <v>0</v>
      </c>
      <c r="AQ7" s="33">
        <v>0</v>
      </c>
      <c r="AR7" s="43">
        <v>1</v>
      </c>
      <c r="AS7" s="33" t="s">
        <v>107</v>
      </c>
      <c r="AT7" s="43" t="s">
        <v>107</v>
      </c>
      <c r="AU7" s="42" t="s">
        <v>107</v>
      </c>
      <c r="AV7" s="18" t="s">
        <v>107</v>
      </c>
      <c r="AW7" s="39">
        <f t="shared" ref="AW7:AW54" si="13">1-AX7</f>
        <v>0.51218000000000008</v>
      </c>
      <c r="AX7" s="40">
        <v>0.48781999999999998</v>
      </c>
      <c r="AY7">
        <v>0.52400000000000002</v>
      </c>
      <c r="AZ7" s="40">
        <v>0.47599999999999998</v>
      </c>
      <c r="BB7" s="18"/>
      <c r="BC7" t="s">
        <v>107</v>
      </c>
      <c r="BD7" s="18" t="s">
        <v>107</v>
      </c>
      <c r="BE7" s="18" t="s">
        <v>24</v>
      </c>
      <c r="BL7" s="18"/>
      <c r="BO7" s="18"/>
      <c r="BR7" s="25">
        <v>38.43</v>
      </c>
      <c r="BS7">
        <v>1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 s="18">
        <v>0</v>
      </c>
      <c r="CA7">
        <v>0</v>
      </c>
      <c r="CB7">
        <v>0</v>
      </c>
      <c r="CC7">
        <v>1</v>
      </c>
      <c r="CD7" s="18">
        <v>0</v>
      </c>
      <c r="CE7">
        <v>0</v>
      </c>
      <c r="CF7">
        <v>0</v>
      </c>
      <c r="CG7">
        <v>0</v>
      </c>
      <c r="CH7">
        <v>0</v>
      </c>
      <c r="CI7" s="18">
        <v>0</v>
      </c>
      <c r="CJ7">
        <v>0</v>
      </c>
      <c r="CK7">
        <v>0</v>
      </c>
      <c r="CL7">
        <v>1</v>
      </c>
      <c r="CM7">
        <v>1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 s="18">
        <v>0</v>
      </c>
      <c r="CZ7" s="34" t="s">
        <v>87</v>
      </c>
    </row>
    <row r="8" spans="1:104" ht="14.45" customHeight="1" x14ac:dyDescent="0.25">
      <c r="A8">
        <v>7</v>
      </c>
      <c r="B8">
        <v>2</v>
      </c>
      <c r="C8" s="25" t="s">
        <v>133</v>
      </c>
      <c r="D8" s="12">
        <v>21.983605455815258</v>
      </c>
      <c r="E8" s="14">
        <v>1.8302339452334369</v>
      </c>
      <c r="F8" s="7">
        <v>12.011363636363637</v>
      </c>
      <c r="G8" s="7">
        <f t="shared" si="8"/>
        <v>20.15337151058182</v>
      </c>
      <c r="H8" s="16">
        <f t="shared" si="9"/>
        <v>23.813839401048696</v>
      </c>
      <c r="I8" s="11">
        <f t="shared" si="0"/>
        <v>7.364050186470586E-3</v>
      </c>
      <c r="J8" s="33">
        <f t="shared" si="1"/>
        <v>6.1309027096443855E-4</v>
      </c>
      <c r="K8" s="33">
        <f t="shared" si="5"/>
        <v>1631.0811757409272</v>
      </c>
      <c r="L8" s="33">
        <f t="shared" si="10"/>
        <v>6.7509599155061474E-3</v>
      </c>
      <c r="M8" s="33">
        <f t="shared" si="11"/>
        <v>7.9771404574350245E-3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2"/>
        <v>2660288.5290000006</v>
      </c>
      <c r="V8" s="9">
        <v>6</v>
      </c>
      <c r="W8" s="9">
        <f t="shared" si="2"/>
        <v>2660281.5290000006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9">
        <v>0</v>
      </c>
      <c r="AL8" s="30">
        <v>1</v>
      </c>
      <c r="AM8" s="21">
        <v>2004</v>
      </c>
      <c r="AN8" s="23"/>
      <c r="AO8" s="33">
        <v>0</v>
      </c>
      <c r="AP8" s="33">
        <v>0</v>
      </c>
      <c r="AQ8" s="33">
        <v>0</v>
      </c>
      <c r="AR8" s="43">
        <v>1</v>
      </c>
      <c r="AS8" s="33" t="s">
        <v>107</v>
      </c>
      <c r="AT8" s="43" t="s">
        <v>107</v>
      </c>
      <c r="AU8" s="42" t="s">
        <v>107</v>
      </c>
      <c r="AV8" s="18" t="s">
        <v>107</v>
      </c>
      <c r="AW8" s="39">
        <f t="shared" si="13"/>
        <v>0.51218000000000008</v>
      </c>
      <c r="AX8" s="40">
        <v>0.48781999999999998</v>
      </c>
      <c r="AY8">
        <v>0.52400000000000002</v>
      </c>
      <c r="AZ8" s="40">
        <v>0.47599999999999998</v>
      </c>
      <c r="BB8" s="18"/>
      <c r="BC8" t="s">
        <v>107</v>
      </c>
      <c r="BD8" s="18" t="s">
        <v>107</v>
      </c>
      <c r="BE8" s="18" t="s">
        <v>24</v>
      </c>
      <c r="BL8" s="18"/>
      <c r="BO8" s="18"/>
      <c r="BR8" s="25">
        <v>38.43</v>
      </c>
      <c r="BS8">
        <v>1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 s="18">
        <v>0</v>
      </c>
      <c r="CA8">
        <v>0</v>
      </c>
      <c r="CB8">
        <v>0</v>
      </c>
      <c r="CC8">
        <v>1</v>
      </c>
      <c r="CD8" s="18">
        <v>0</v>
      </c>
      <c r="CE8">
        <v>0</v>
      </c>
      <c r="CF8">
        <v>0</v>
      </c>
      <c r="CG8">
        <v>0</v>
      </c>
      <c r="CH8">
        <v>0</v>
      </c>
      <c r="CI8" s="18">
        <v>0</v>
      </c>
      <c r="CJ8">
        <v>0</v>
      </c>
      <c r="CK8">
        <v>0</v>
      </c>
      <c r="CL8">
        <v>1</v>
      </c>
      <c r="CM8">
        <v>1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 s="18">
        <v>0</v>
      </c>
      <c r="CZ8" s="34" t="s">
        <v>87</v>
      </c>
    </row>
    <row r="9" spans="1:104" ht="14.45" customHeight="1" x14ac:dyDescent="0.25">
      <c r="A9">
        <v>8</v>
      </c>
      <c r="B9">
        <v>2</v>
      </c>
      <c r="C9" s="25" t="s">
        <v>133</v>
      </c>
      <c r="D9" s="12">
        <v>9.3160555453772211</v>
      </c>
      <c r="E9" s="14">
        <v>2.0983447793900765</v>
      </c>
      <c r="F9" s="7">
        <v>4.4397163120567384</v>
      </c>
      <c r="G9" s="7">
        <f t="shared" si="8"/>
        <v>7.2177107659871442</v>
      </c>
      <c r="H9" s="16">
        <f t="shared" si="9"/>
        <v>11.414400324767298</v>
      </c>
      <c r="I9" s="11">
        <f t="shared" si="0"/>
        <v>2.7220106001052619E-3</v>
      </c>
      <c r="J9" s="33">
        <f t="shared" si="1"/>
        <v>6.1310462398537048E-4</v>
      </c>
      <c r="K9" s="33">
        <f t="shared" si="5"/>
        <v>1631.0429914876345</v>
      </c>
      <c r="L9" s="33">
        <f t="shared" si="10"/>
        <v>2.1089059761198914E-3</v>
      </c>
      <c r="M9" s="33">
        <f t="shared" si="11"/>
        <v>3.3351152240906324E-3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2"/>
        <v>2660288.5290000006</v>
      </c>
      <c r="V9" s="9">
        <v>6</v>
      </c>
      <c r="W9" s="9">
        <f t="shared" si="2"/>
        <v>2660281.5290000006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9">
        <v>0</v>
      </c>
      <c r="AL9" s="30">
        <v>1</v>
      </c>
      <c r="AM9" s="21">
        <v>2004</v>
      </c>
      <c r="AN9" s="23"/>
      <c r="AO9" s="33">
        <v>0</v>
      </c>
      <c r="AP9" s="33">
        <v>0</v>
      </c>
      <c r="AQ9" s="33">
        <v>0</v>
      </c>
      <c r="AR9" s="43">
        <v>1</v>
      </c>
      <c r="AS9" s="33" t="s">
        <v>107</v>
      </c>
      <c r="AT9" s="43" t="s">
        <v>107</v>
      </c>
      <c r="AU9" s="42" t="s">
        <v>107</v>
      </c>
      <c r="AV9" s="18" t="s">
        <v>107</v>
      </c>
      <c r="AW9" s="39">
        <f t="shared" si="13"/>
        <v>0.51218000000000008</v>
      </c>
      <c r="AX9" s="40">
        <v>0.48781999999999998</v>
      </c>
      <c r="AY9">
        <v>0.52400000000000002</v>
      </c>
      <c r="AZ9" s="40">
        <v>0.47599999999999998</v>
      </c>
      <c r="BB9" s="18"/>
      <c r="BC9" t="s">
        <v>107</v>
      </c>
      <c r="BD9" s="18" t="s">
        <v>107</v>
      </c>
      <c r="BE9" s="18" t="s">
        <v>24</v>
      </c>
      <c r="BL9" s="18"/>
      <c r="BO9" s="18"/>
      <c r="BR9" s="25">
        <v>38.43</v>
      </c>
      <c r="BS9">
        <v>1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 s="18">
        <v>0</v>
      </c>
      <c r="CA9">
        <v>0</v>
      </c>
      <c r="CB9">
        <v>0</v>
      </c>
      <c r="CC9">
        <v>1</v>
      </c>
      <c r="CD9" s="18">
        <v>0</v>
      </c>
      <c r="CE9">
        <v>0</v>
      </c>
      <c r="CF9">
        <v>0</v>
      </c>
      <c r="CG9">
        <v>0</v>
      </c>
      <c r="CH9">
        <v>0</v>
      </c>
      <c r="CI9" s="18">
        <v>0</v>
      </c>
      <c r="CJ9">
        <v>0</v>
      </c>
      <c r="CK9">
        <v>0</v>
      </c>
      <c r="CL9">
        <v>1</v>
      </c>
      <c r="CM9">
        <v>1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 s="18">
        <v>0</v>
      </c>
      <c r="CZ9" s="34" t="s">
        <v>87</v>
      </c>
    </row>
    <row r="10" spans="1:104" x14ac:dyDescent="0.25">
      <c r="A10">
        <v>9</v>
      </c>
      <c r="B10">
        <v>2</v>
      </c>
      <c r="C10" s="25" t="s">
        <v>133</v>
      </c>
      <c r="D10" s="12">
        <v>10.055068845243875</v>
      </c>
      <c r="E10" s="14">
        <v>1.2682068813821104</v>
      </c>
      <c r="F10" s="7">
        <v>7.9285714285714288</v>
      </c>
      <c r="G10" s="7">
        <f t="shared" si="8"/>
        <v>8.7868619638617655</v>
      </c>
      <c r="H10" s="16">
        <f t="shared" si="9"/>
        <v>11.323275726625985</v>
      </c>
      <c r="I10" s="11">
        <f t="shared" si="0"/>
        <v>4.8610043808850279E-3</v>
      </c>
      <c r="J10" s="33">
        <f t="shared" si="1"/>
        <v>6.1309965164315662E-4</v>
      </c>
      <c r="K10" s="33">
        <f t="shared" si="5"/>
        <v>1631.056219523073</v>
      </c>
      <c r="L10" s="33">
        <f t="shared" si="10"/>
        <v>4.2479047292418711E-3</v>
      </c>
      <c r="M10" s="33">
        <f t="shared" si="11"/>
        <v>5.4741040325281846E-3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2"/>
        <v>2660288.5290000006</v>
      </c>
      <c r="V10" s="9">
        <v>6</v>
      </c>
      <c r="W10" s="9">
        <f t="shared" si="2"/>
        <v>2660281.5290000006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9">
        <v>0</v>
      </c>
      <c r="AL10" s="30">
        <v>1</v>
      </c>
      <c r="AM10" s="21">
        <v>2006</v>
      </c>
      <c r="AN10" s="23"/>
      <c r="AO10" s="33">
        <v>0</v>
      </c>
      <c r="AP10" s="33">
        <v>0</v>
      </c>
      <c r="AQ10" s="33">
        <v>0</v>
      </c>
      <c r="AR10" s="43">
        <v>1</v>
      </c>
      <c r="AS10" s="33" t="s">
        <v>107</v>
      </c>
      <c r="AT10" s="43" t="s">
        <v>107</v>
      </c>
      <c r="AU10" s="42" t="s">
        <v>107</v>
      </c>
      <c r="AV10" s="18" t="s">
        <v>107</v>
      </c>
      <c r="AW10" s="39">
        <f t="shared" si="13"/>
        <v>0.51218000000000008</v>
      </c>
      <c r="AX10" s="40">
        <v>0.48781999999999998</v>
      </c>
      <c r="AY10">
        <v>0.52400000000000002</v>
      </c>
      <c r="AZ10" s="40">
        <v>0.47599999999999998</v>
      </c>
      <c r="BB10" s="18"/>
      <c r="BC10" t="s">
        <v>107</v>
      </c>
      <c r="BD10" s="18" t="s">
        <v>107</v>
      </c>
      <c r="BE10" s="18" t="s">
        <v>24</v>
      </c>
      <c r="BL10" s="18"/>
      <c r="BO10" s="18"/>
      <c r="BR10" s="25">
        <v>38.43</v>
      </c>
      <c r="BS10">
        <v>1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 s="18">
        <v>0</v>
      </c>
      <c r="CA10">
        <v>0</v>
      </c>
      <c r="CB10">
        <v>0</v>
      </c>
      <c r="CC10">
        <v>1</v>
      </c>
      <c r="CD10" s="18">
        <v>0</v>
      </c>
      <c r="CE10">
        <v>0</v>
      </c>
      <c r="CF10">
        <v>0</v>
      </c>
      <c r="CG10">
        <v>0</v>
      </c>
      <c r="CH10">
        <v>0</v>
      </c>
      <c r="CI10" s="18">
        <v>0</v>
      </c>
      <c r="CJ10">
        <v>0</v>
      </c>
      <c r="CK10">
        <v>0</v>
      </c>
      <c r="CL10">
        <v>1</v>
      </c>
      <c r="CM10">
        <v>1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 s="18">
        <v>0</v>
      </c>
      <c r="CZ10" s="34" t="s">
        <v>87</v>
      </c>
    </row>
    <row r="11" spans="1:104" x14ac:dyDescent="0.25">
      <c r="A11">
        <v>10</v>
      </c>
      <c r="B11">
        <v>2</v>
      </c>
      <c r="C11" s="25" t="s">
        <v>133</v>
      </c>
      <c r="D11" s="12">
        <v>9.3011973943858628</v>
      </c>
      <c r="E11" s="14">
        <v>0.23252993485964657</v>
      </c>
      <c r="F11" s="7">
        <v>40</v>
      </c>
      <c r="G11" s="7">
        <f t="shared" si="8"/>
        <v>9.0686674595262158</v>
      </c>
      <c r="H11" s="16">
        <f t="shared" si="9"/>
        <v>9.5337273292455098</v>
      </c>
      <c r="I11" s="11">
        <f t="shared" si="0"/>
        <v>2.4516904197475181E-2</v>
      </c>
      <c r="J11" s="33">
        <f t="shared" si="1"/>
        <v>6.1292260493687946E-4</v>
      </c>
      <c r="K11" s="33">
        <f t="shared" si="5"/>
        <v>1631.5273607880442</v>
      </c>
      <c r="L11" s="33">
        <f t="shared" si="10"/>
        <v>2.3903981592538301E-2</v>
      </c>
      <c r="M11" s="33">
        <f t="shared" si="11"/>
        <v>2.5129826802412061E-2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2"/>
        <v>2660288.5290000006</v>
      </c>
      <c r="V11" s="9">
        <v>6</v>
      </c>
      <c r="W11" s="9">
        <f t="shared" si="2"/>
        <v>2660281.5290000006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9">
        <v>0</v>
      </c>
      <c r="AL11" s="30">
        <v>1</v>
      </c>
      <c r="AM11" s="21">
        <v>2006</v>
      </c>
      <c r="AN11" s="23"/>
      <c r="AO11" s="33">
        <v>0</v>
      </c>
      <c r="AP11" s="33">
        <v>0</v>
      </c>
      <c r="AQ11" s="33">
        <v>0</v>
      </c>
      <c r="AR11" s="43">
        <v>1</v>
      </c>
      <c r="AS11" s="33" t="s">
        <v>107</v>
      </c>
      <c r="AT11" s="43" t="s">
        <v>107</v>
      </c>
      <c r="AU11" s="42" t="s">
        <v>107</v>
      </c>
      <c r="AV11" s="18" t="s">
        <v>107</v>
      </c>
      <c r="AW11" s="39">
        <f t="shared" si="13"/>
        <v>0.51218000000000008</v>
      </c>
      <c r="AX11" s="40">
        <v>0.48781999999999998</v>
      </c>
      <c r="AY11">
        <v>0.52400000000000002</v>
      </c>
      <c r="AZ11" s="40">
        <v>0.47599999999999998</v>
      </c>
      <c r="BB11" s="18"/>
      <c r="BC11" t="s">
        <v>107</v>
      </c>
      <c r="BD11" s="18" t="s">
        <v>107</v>
      </c>
      <c r="BE11" s="18" t="s">
        <v>24</v>
      </c>
      <c r="BL11" s="18"/>
      <c r="BO11" s="18"/>
      <c r="BR11" s="25">
        <v>38.43</v>
      </c>
      <c r="BS11">
        <v>1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 s="18">
        <v>0</v>
      </c>
      <c r="CA11">
        <v>0</v>
      </c>
      <c r="CB11">
        <v>0</v>
      </c>
      <c r="CC11">
        <v>1</v>
      </c>
      <c r="CD11" s="18">
        <v>0</v>
      </c>
      <c r="CE11">
        <v>0</v>
      </c>
      <c r="CF11">
        <v>0</v>
      </c>
      <c r="CG11">
        <v>0</v>
      </c>
      <c r="CH11">
        <v>0</v>
      </c>
      <c r="CI11" s="18">
        <v>0</v>
      </c>
      <c r="CJ11">
        <v>0</v>
      </c>
      <c r="CK11">
        <v>0</v>
      </c>
      <c r="CL11">
        <v>1</v>
      </c>
      <c r="CM11">
        <v>1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 s="18">
        <v>0</v>
      </c>
      <c r="CZ11" s="34" t="s">
        <v>87</v>
      </c>
    </row>
    <row r="12" spans="1:104" x14ac:dyDescent="0.25">
      <c r="A12">
        <v>11</v>
      </c>
      <c r="B12">
        <v>2</v>
      </c>
      <c r="C12" s="25" t="s">
        <v>133</v>
      </c>
      <c r="D12" s="12">
        <v>16.017240098185415</v>
      </c>
      <c r="E12" s="14">
        <v>0.81323735597850888</v>
      </c>
      <c r="F12" s="7">
        <v>19.695652173913043</v>
      </c>
      <c r="G12" s="7">
        <f t="shared" si="8"/>
        <v>15.204002742206907</v>
      </c>
      <c r="H12" s="16">
        <f t="shared" si="9"/>
        <v>16.830477454163923</v>
      </c>
      <c r="I12" s="11">
        <f t="shared" si="0"/>
        <v>1.2074659832889693E-2</v>
      </c>
      <c r="J12" s="33">
        <f t="shared" si="1"/>
        <v>6.1306219902088944E-4</v>
      </c>
      <c r="K12" s="33">
        <f t="shared" si="5"/>
        <v>1631.1558624835816</v>
      </c>
      <c r="L12" s="33">
        <f t="shared" si="10"/>
        <v>1.1461597633868803E-2</v>
      </c>
      <c r="M12" s="33">
        <f t="shared" si="11"/>
        <v>1.2687722031910582E-2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2"/>
        <v>2660288.5290000006</v>
      </c>
      <c r="V12" s="9">
        <v>6</v>
      </c>
      <c r="W12" s="9">
        <f t="shared" si="2"/>
        <v>2660281.5290000006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9">
        <v>0</v>
      </c>
      <c r="AL12" s="30">
        <v>1</v>
      </c>
      <c r="AM12" s="21">
        <v>2006</v>
      </c>
      <c r="AN12" s="23"/>
      <c r="AO12" s="33">
        <v>0</v>
      </c>
      <c r="AP12" s="33">
        <v>0</v>
      </c>
      <c r="AQ12" s="33">
        <v>0</v>
      </c>
      <c r="AR12" s="43">
        <v>1</v>
      </c>
      <c r="AS12" s="33" t="s">
        <v>107</v>
      </c>
      <c r="AT12" s="43" t="s">
        <v>107</v>
      </c>
      <c r="AU12" s="42" t="s">
        <v>107</v>
      </c>
      <c r="AV12" s="18" t="s">
        <v>107</v>
      </c>
      <c r="AW12" s="39">
        <f t="shared" si="13"/>
        <v>0.51218000000000008</v>
      </c>
      <c r="AX12" s="40">
        <v>0.48781999999999998</v>
      </c>
      <c r="AY12">
        <v>0.52400000000000002</v>
      </c>
      <c r="AZ12" s="40">
        <v>0.47599999999999998</v>
      </c>
      <c r="BB12" s="18"/>
      <c r="BC12" t="s">
        <v>107</v>
      </c>
      <c r="BD12" s="18" t="s">
        <v>107</v>
      </c>
      <c r="BE12" s="18" t="s">
        <v>24</v>
      </c>
      <c r="BL12" s="18"/>
      <c r="BO12" s="18"/>
      <c r="BR12" s="25">
        <v>38.43</v>
      </c>
      <c r="BS12">
        <v>1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 s="18">
        <v>0</v>
      </c>
      <c r="CA12">
        <v>0</v>
      </c>
      <c r="CB12">
        <v>0</v>
      </c>
      <c r="CC12">
        <v>1</v>
      </c>
      <c r="CD12" s="18">
        <v>0</v>
      </c>
      <c r="CE12">
        <v>0</v>
      </c>
      <c r="CF12">
        <v>0</v>
      </c>
      <c r="CG12">
        <v>0</v>
      </c>
      <c r="CH12">
        <v>0</v>
      </c>
      <c r="CI12" s="18">
        <v>0</v>
      </c>
      <c r="CJ12">
        <v>0</v>
      </c>
      <c r="CK12">
        <v>0</v>
      </c>
      <c r="CL12">
        <v>1</v>
      </c>
      <c r="CM12">
        <v>1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 s="18">
        <v>0</v>
      </c>
      <c r="CZ12" s="34" t="s">
        <v>87</v>
      </c>
    </row>
    <row r="13" spans="1:104" x14ac:dyDescent="0.25">
      <c r="A13">
        <v>12</v>
      </c>
      <c r="B13">
        <v>2</v>
      </c>
      <c r="C13" s="25" t="s">
        <v>133</v>
      </c>
      <c r="D13" s="12">
        <v>4.690018626419179</v>
      </c>
      <c r="E13" s="14">
        <v>0.40253652881442054</v>
      </c>
      <c r="F13" s="7">
        <v>11.651162790697676</v>
      </c>
      <c r="G13" s="7">
        <f t="shared" si="8"/>
        <v>4.2874820976047587</v>
      </c>
      <c r="H13" s="16">
        <f t="shared" si="9"/>
        <v>5.0925551552335993</v>
      </c>
      <c r="I13" s="11">
        <f t="shared" si="0"/>
        <v>7.1432259948603759E-3</v>
      </c>
      <c r="J13" s="33">
        <f t="shared" si="1"/>
        <v>6.1309125305188843E-4</v>
      </c>
      <c r="K13" s="33">
        <f t="shared" si="5"/>
        <v>1631.0785629743211</v>
      </c>
      <c r="L13" s="33">
        <f t="shared" si="10"/>
        <v>6.5301347418084878E-3</v>
      </c>
      <c r="M13" s="33">
        <f t="shared" si="11"/>
        <v>7.7563172479122641E-3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2"/>
        <v>2660288.5290000006</v>
      </c>
      <c r="V13" s="9">
        <v>6</v>
      </c>
      <c r="W13" s="9">
        <f t="shared" si="2"/>
        <v>2660281.5290000006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9">
        <v>0</v>
      </c>
      <c r="AL13" s="30">
        <v>1</v>
      </c>
      <c r="AM13" s="21">
        <v>2006</v>
      </c>
      <c r="AN13" s="23"/>
      <c r="AO13" s="33">
        <v>0</v>
      </c>
      <c r="AP13" s="33">
        <v>0</v>
      </c>
      <c r="AQ13" s="33">
        <v>0</v>
      </c>
      <c r="AR13" s="43">
        <v>1</v>
      </c>
      <c r="AS13" s="33" t="s">
        <v>107</v>
      </c>
      <c r="AT13" s="43" t="s">
        <v>107</v>
      </c>
      <c r="AU13" s="42" t="s">
        <v>107</v>
      </c>
      <c r="AV13" s="18" t="s">
        <v>107</v>
      </c>
      <c r="AW13" s="39">
        <f t="shared" si="13"/>
        <v>0.51218000000000008</v>
      </c>
      <c r="AX13" s="40">
        <v>0.48781999999999998</v>
      </c>
      <c r="AY13">
        <v>0.52400000000000002</v>
      </c>
      <c r="AZ13" s="40">
        <v>0.47599999999999998</v>
      </c>
      <c r="BB13" s="18"/>
      <c r="BC13" t="s">
        <v>107</v>
      </c>
      <c r="BD13" s="18" t="s">
        <v>107</v>
      </c>
      <c r="BE13" s="18" t="s">
        <v>24</v>
      </c>
      <c r="BL13" s="18"/>
      <c r="BO13" s="18"/>
      <c r="BR13" s="25">
        <v>38.43</v>
      </c>
      <c r="BS13">
        <v>1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 s="18">
        <v>0</v>
      </c>
      <c r="CA13">
        <v>0</v>
      </c>
      <c r="CB13">
        <v>0</v>
      </c>
      <c r="CC13">
        <v>1</v>
      </c>
      <c r="CD13" s="18">
        <v>0</v>
      </c>
      <c r="CE13">
        <v>0</v>
      </c>
      <c r="CF13">
        <v>0</v>
      </c>
      <c r="CG13">
        <v>0</v>
      </c>
      <c r="CH13">
        <v>0</v>
      </c>
      <c r="CI13" s="18">
        <v>0</v>
      </c>
      <c r="CJ13">
        <v>0</v>
      </c>
      <c r="CK13">
        <v>0</v>
      </c>
      <c r="CL13">
        <v>1</v>
      </c>
      <c r="CM13">
        <v>1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 s="18">
        <v>0</v>
      </c>
      <c r="CZ13" s="34" t="s">
        <v>87</v>
      </c>
    </row>
    <row r="14" spans="1:104" x14ac:dyDescent="0.25">
      <c r="A14">
        <v>13</v>
      </c>
      <c r="B14">
        <v>2</v>
      </c>
      <c r="C14" s="25" t="s">
        <v>133</v>
      </c>
      <c r="D14" s="12">
        <v>6.0884511510989503</v>
      </c>
      <c r="E14" s="14">
        <v>1.0042806022431259</v>
      </c>
      <c r="F14" s="7">
        <v>6.0625</v>
      </c>
      <c r="G14" s="7">
        <f t="shared" si="8"/>
        <v>5.0841705488558242</v>
      </c>
      <c r="H14" s="16">
        <f t="shared" si="9"/>
        <v>7.0927317533420764</v>
      </c>
      <c r="I14" s="11">
        <f t="shared" si="0"/>
        <v>3.71693487693438E-3</v>
      </c>
      <c r="J14" s="33">
        <f t="shared" si="1"/>
        <v>6.1310266011288745E-4</v>
      </c>
      <c r="K14" s="33">
        <f t="shared" si="5"/>
        <v>1631.0482159967714</v>
      </c>
      <c r="L14" s="33">
        <f t="shared" si="10"/>
        <v>3.1038322168214926E-3</v>
      </c>
      <c r="M14" s="33">
        <f t="shared" si="11"/>
        <v>4.3300375370472679E-3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2"/>
        <v>2660288.5290000006</v>
      </c>
      <c r="V14" s="9">
        <v>6</v>
      </c>
      <c r="W14" s="9">
        <f t="shared" si="2"/>
        <v>2660281.5290000006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9">
        <v>0</v>
      </c>
      <c r="AL14" s="30">
        <v>1</v>
      </c>
      <c r="AM14" s="21">
        <v>2008</v>
      </c>
      <c r="AN14" s="23"/>
      <c r="AO14" s="33">
        <v>0</v>
      </c>
      <c r="AP14" s="33">
        <v>0</v>
      </c>
      <c r="AQ14" s="33">
        <v>0</v>
      </c>
      <c r="AR14" s="43">
        <v>1</v>
      </c>
      <c r="AS14" s="33" t="s">
        <v>107</v>
      </c>
      <c r="AT14" s="43" t="s">
        <v>107</v>
      </c>
      <c r="AU14" s="42" t="s">
        <v>107</v>
      </c>
      <c r="AV14" s="18" t="s">
        <v>107</v>
      </c>
      <c r="AW14" s="39">
        <f t="shared" si="13"/>
        <v>0.51218000000000008</v>
      </c>
      <c r="AX14" s="40">
        <v>0.48781999999999998</v>
      </c>
      <c r="AY14">
        <v>0.52400000000000002</v>
      </c>
      <c r="AZ14" s="40">
        <v>0.47599999999999998</v>
      </c>
      <c r="BB14" s="18"/>
      <c r="BC14" t="s">
        <v>107</v>
      </c>
      <c r="BD14" s="18" t="s">
        <v>107</v>
      </c>
      <c r="BE14" s="18" t="s">
        <v>24</v>
      </c>
      <c r="BL14" s="18"/>
      <c r="BO14" s="18"/>
      <c r="BR14" s="25">
        <v>38.43</v>
      </c>
      <c r="BS14">
        <v>1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 s="18">
        <v>0</v>
      </c>
      <c r="CA14">
        <v>0</v>
      </c>
      <c r="CB14">
        <v>0</v>
      </c>
      <c r="CC14">
        <v>1</v>
      </c>
      <c r="CD14" s="18">
        <v>0</v>
      </c>
      <c r="CE14">
        <v>0</v>
      </c>
      <c r="CF14">
        <v>0</v>
      </c>
      <c r="CG14">
        <v>0</v>
      </c>
      <c r="CH14">
        <v>0</v>
      </c>
      <c r="CI14" s="18">
        <v>0</v>
      </c>
      <c r="CJ14">
        <v>0</v>
      </c>
      <c r="CK14">
        <v>0</v>
      </c>
      <c r="CL14">
        <v>1</v>
      </c>
      <c r="CM14">
        <v>1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 s="18">
        <v>0</v>
      </c>
      <c r="CZ14" s="34" t="s">
        <v>87</v>
      </c>
    </row>
    <row r="15" spans="1:104" x14ac:dyDescent="0.25">
      <c r="A15">
        <v>14</v>
      </c>
      <c r="B15">
        <v>2</v>
      </c>
      <c r="C15" s="25" t="s">
        <v>133</v>
      </c>
      <c r="D15" s="12">
        <v>8.8490569773641781</v>
      </c>
      <c r="E15" s="14">
        <v>0.16759577608644274</v>
      </c>
      <c r="F15" s="7">
        <v>52.800000000000004</v>
      </c>
      <c r="G15" s="7">
        <f t="shared" si="8"/>
        <v>8.6814612012777346</v>
      </c>
      <c r="H15" s="16">
        <f t="shared" si="9"/>
        <v>9.0166527534506216</v>
      </c>
      <c r="I15" s="11">
        <f t="shared" si="0"/>
        <v>3.2355095264921183E-2</v>
      </c>
      <c r="J15" s="33">
        <f t="shared" si="1"/>
        <v>6.1278589516896177E-4</v>
      </c>
      <c r="K15" s="33">
        <f t="shared" si="5"/>
        <v>1631.8913471797075</v>
      </c>
      <c r="L15" s="33">
        <f t="shared" si="10"/>
        <v>3.1742309369752218E-2</v>
      </c>
      <c r="M15" s="33">
        <f t="shared" si="11"/>
        <v>3.2967881160090147E-2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2"/>
        <v>2660288.5290000006</v>
      </c>
      <c r="V15" s="9">
        <v>6</v>
      </c>
      <c r="W15" s="9">
        <f t="shared" si="2"/>
        <v>2660281.5290000006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9">
        <v>0</v>
      </c>
      <c r="AL15" s="30">
        <v>1</v>
      </c>
      <c r="AM15" s="21">
        <v>2008</v>
      </c>
      <c r="AN15" s="23"/>
      <c r="AO15" s="33">
        <v>0</v>
      </c>
      <c r="AP15" s="33">
        <v>0</v>
      </c>
      <c r="AQ15" s="33">
        <v>0</v>
      </c>
      <c r="AR15" s="43">
        <v>1</v>
      </c>
      <c r="AS15" s="33" t="s">
        <v>107</v>
      </c>
      <c r="AT15" s="43" t="s">
        <v>107</v>
      </c>
      <c r="AU15" s="42" t="s">
        <v>107</v>
      </c>
      <c r="AV15" s="18" t="s">
        <v>107</v>
      </c>
      <c r="AW15" s="39">
        <f t="shared" si="13"/>
        <v>0.51218000000000008</v>
      </c>
      <c r="AX15" s="40">
        <v>0.48781999999999998</v>
      </c>
      <c r="AY15">
        <v>0.52400000000000002</v>
      </c>
      <c r="AZ15" s="40">
        <v>0.47599999999999998</v>
      </c>
      <c r="BB15" s="18"/>
      <c r="BC15" t="s">
        <v>107</v>
      </c>
      <c r="BD15" s="18" t="s">
        <v>107</v>
      </c>
      <c r="BE15" s="18" t="s">
        <v>24</v>
      </c>
      <c r="BL15" s="18"/>
      <c r="BO15" s="18"/>
      <c r="BR15" s="25">
        <v>38.43</v>
      </c>
      <c r="BS15">
        <v>1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 s="18">
        <v>0</v>
      </c>
      <c r="CA15">
        <v>0</v>
      </c>
      <c r="CB15">
        <v>0</v>
      </c>
      <c r="CC15">
        <v>1</v>
      </c>
      <c r="CD15" s="18">
        <v>0</v>
      </c>
      <c r="CE15">
        <v>0</v>
      </c>
      <c r="CF15">
        <v>0</v>
      </c>
      <c r="CG15">
        <v>0</v>
      </c>
      <c r="CH15">
        <v>0</v>
      </c>
      <c r="CI15" s="18">
        <v>0</v>
      </c>
      <c r="CJ15">
        <v>0</v>
      </c>
      <c r="CK15">
        <v>0</v>
      </c>
      <c r="CL15">
        <v>1</v>
      </c>
      <c r="CM15">
        <v>1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 s="18">
        <v>0</v>
      </c>
      <c r="CZ15" s="34" t="s">
        <v>87</v>
      </c>
    </row>
    <row r="16" spans="1:104" x14ac:dyDescent="0.25">
      <c r="A16">
        <v>15</v>
      </c>
      <c r="B16">
        <v>2</v>
      </c>
      <c r="C16" s="25" t="s">
        <v>133</v>
      </c>
      <c r="D16" s="12">
        <v>15.758369027902241</v>
      </c>
      <c r="E16" s="14">
        <v>0.56279889385365145</v>
      </c>
      <c r="F16" s="7">
        <v>28</v>
      </c>
      <c r="G16" s="7">
        <f t="shared" si="8"/>
        <v>15.195570134048589</v>
      </c>
      <c r="H16" s="16">
        <f t="shared" si="9"/>
        <v>16.321167921755894</v>
      </c>
      <c r="I16" s="11">
        <f t="shared" si="0"/>
        <v>1.7164464023811759E-2</v>
      </c>
      <c r="J16" s="33">
        <f t="shared" si="1"/>
        <v>6.1301657227899142E-4</v>
      </c>
      <c r="K16" s="33">
        <f t="shared" si="5"/>
        <v>1631.2772691973614</v>
      </c>
      <c r="L16" s="33">
        <f t="shared" si="10"/>
        <v>1.6551447451532766E-2</v>
      </c>
      <c r="M16" s="33">
        <f t="shared" si="11"/>
        <v>1.7777480596090751E-2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2"/>
        <v>2660288.5290000006</v>
      </c>
      <c r="V16" s="9">
        <v>6</v>
      </c>
      <c r="W16" s="9">
        <f t="shared" si="2"/>
        <v>2660281.5290000006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9">
        <v>0</v>
      </c>
      <c r="AL16" s="30">
        <v>1</v>
      </c>
      <c r="AM16" s="21">
        <v>2008</v>
      </c>
      <c r="AN16" s="23"/>
      <c r="AO16" s="33">
        <v>0</v>
      </c>
      <c r="AP16" s="33">
        <v>0</v>
      </c>
      <c r="AQ16" s="33">
        <v>0</v>
      </c>
      <c r="AR16" s="43">
        <v>1</v>
      </c>
      <c r="AS16" s="33" t="s">
        <v>107</v>
      </c>
      <c r="AT16" s="43" t="s">
        <v>107</v>
      </c>
      <c r="AU16" s="42" t="s">
        <v>107</v>
      </c>
      <c r="AV16" s="18" t="s">
        <v>107</v>
      </c>
      <c r="AW16" s="39">
        <f t="shared" si="13"/>
        <v>0.51218000000000008</v>
      </c>
      <c r="AX16" s="40">
        <v>0.48781999999999998</v>
      </c>
      <c r="AY16">
        <v>0.52400000000000002</v>
      </c>
      <c r="AZ16" s="40">
        <v>0.47599999999999998</v>
      </c>
      <c r="BB16" s="18"/>
      <c r="BC16" t="s">
        <v>107</v>
      </c>
      <c r="BD16" s="18" t="s">
        <v>107</v>
      </c>
      <c r="BE16" s="18" t="s">
        <v>24</v>
      </c>
      <c r="BL16" s="18"/>
      <c r="BO16" s="18"/>
      <c r="BR16" s="25">
        <v>38.43</v>
      </c>
      <c r="BS16">
        <v>1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 s="18">
        <v>0</v>
      </c>
      <c r="CA16">
        <v>0</v>
      </c>
      <c r="CB16">
        <v>0</v>
      </c>
      <c r="CC16">
        <v>1</v>
      </c>
      <c r="CD16" s="18">
        <v>0</v>
      </c>
      <c r="CE16">
        <v>0</v>
      </c>
      <c r="CF16">
        <v>0</v>
      </c>
      <c r="CG16">
        <v>0</v>
      </c>
      <c r="CH16">
        <v>0</v>
      </c>
      <c r="CI16" s="18">
        <v>0</v>
      </c>
      <c r="CJ16">
        <v>0</v>
      </c>
      <c r="CK16">
        <v>0</v>
      </c>
      <c r="CL16">
        <v>1</v>
      </c>
      <c r="CM16">
        <v>1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 s="18">
        <v>0</v>
      </c>
      <c r="CZ16" s="34" t="s">
        <v>87</v>
      </c>
    </row>
    <row r="17" spans="1:104" x14ac:dyDescent="0.25">
      <c r="A17">
        <v>16</v>
      </c>
      <c r="B17">
        <v>2</v>
      </c>
      <c r="C17" s="25" t="s">
        <v>133</v>
      </c>
      <c r="D17" s="12">
        <v>4.5466403094810204</v>
      </c>
      <c r="E17" s="14">
        <v>0.20817083623014038</v>
      </c>
      <c r="F17" s="7">
        <v>21.84090909090909</v>
      </c>
      <c r="G17" s="7">
        <f t="shared" si="8"/>
        <v>4.3384694732508802</v>
      </c>
      <c r="H17" s="16">
        <f t="shared" si="9"/>
        <v>4.7548111457111606</v>
      </c>
      <c r="I17" s="11">
        <f t="shared" si="0"/>
        <v>1.3389611546768437E-2</v>
      </c>
      <c r="J17" s="33">
        <f t="shared" si="1"/>
        <v>6.1305193346286287E-4</v>
      </c>
      <c r="K17" s="33">
        <f t="shared" si="5"/>
        <v>1631.1831761975473</v>
      </c>
      <c r="L17" s="33">
        <f t="shared" si="10"/>
        <v>1.2776559613305575E-2</v>
      </c>
      <c r="M17" s="33">
        <f t="shared" si="11"/>
        <v>1.4002663480231299E-2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2"/>
        <v>2660288.5290000006</v>
      </c>
      <c r="V17" s="9">
        <v>6</v>
      </c>
      <c r="W17" s="9">
        <f t="shared" si="2"/>
        <v>2660281.5290000006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9">
        <v>0</v>
      </c>
      <c r="AL17" s="30">
        <v>1</v>
      </c>
      <c r="AM17" s="21">
        <v>2008</v>
      </c>
      <c r="AN17" s="23"/>
      <c r="AO17" s="33">
        <v>0</v>
      </c>
      <c r="AP17" s="33">
        <v>0</v>
      </c>
      <c r="AQ17" s="33">
        <v>0</v>
      </c>
      <c r="AR17" s="43">
        <v>1</v>
      </c>
      <c r="AS17" s="33" t="s">
        <v>107</v>
      </c>
      <c r="AT17" s="43" t="s">
        <v>107</v>
      </c>
      <c r="AU17" s="42" t="s">
        <v>107</v>
      </c>
      <c r="AV17" s="18" t="s">
        <v>107</v>
      </c>
      <c r="AW17" s="39">
        <f t="shared" si="13"/>
        <v>0.51218000000000008</v>
      </c>
      <c r="AX17" s="40">
        <v>0.48781999999999998</v>
      </c>
      <c r="AY17">
        <v>0.52400000000000002</v>
      </c>
      <c r="AZ17" s="40">
        <v>0.47599999999999998</v>
      </c>
      <c r="BB17" s="18"/>
      <c r="BC17" t="s">
        <v>107</v>
      </c>
      <c r="BD17" s="18" t="s">
        <v>107</v>
      </c>
      <c r="BE17" s="18" t="s">
        <v>24</v>
      </c>
      <c r="BL17" s="18"/>
      <c r="BO17" s="18"/>
      <c r="BQ17" s="18"/>
      <c r="BR17" s="25">
        <v>38.43</v>
      </c>
      <c r="BS17">
        <v>1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 s="18">
        <v>0</v>
      </c>
      <c r="CA17">
        <v>0</v>
      </c>
      <c r="CB17">
        <v>0</v>
      </c>
      <c r="CC17">
        <v>1</v>
      </c>
      <c r="CD17" s="18">
        <v>0</v>
      </c>
      <c r="CE17">
        <v>0</v>
      </c>
      <c r="CF17">
        <v>0</v>
      </c>
      <c r="CG17">
        <v>0</v>
      </c>
      <c r="CH17">
        <v>0</v>
      </c>
      <c r="CI17" s="18">
        <v>0</v>
      </c>
      <c r="CJ17">
        <v>0</v>
      </c>
      <c r="CK17">
        <v>0</v>
      </c>
      <c r="CL17">
        <v>1</v>
      </c>
      <c r="CM17">
        <v>1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 s="18">
        <v>0</v>
      </c>
      <c r="CZ17" s="34" t="s">
        <v>87</v>
      </c>
    </row>
    <row r="18" spans="1:104" x14ac:dyDescent="0.25">
      <c r="A18">
        <v>17</v>
      </c>
      <c r="B18">
        <v>2</v>
      </c>
      <c r="C18" s="25" t="s">
        <v>133</v>
      </c>
      <c r="D18" s="12">
        <v>4.9811001507905184</v>
      </c>
      <c r="E18" s="14">
        <v>1.7766981429571278</v>
      </c>
      <c r="F18" s="7">
        <v>2.8035714285714284</v>
      </c>
      <c r="G18" s="7">
        <f t="shared" si="8"/>
        <v>3.2044020078333908</v>
      </c>
      <c r="H18" s="16">
        <f t="shared" si="9"/>
        <v>6.757798293747646</v>
      </c>
      <c r="I18" s="11">
        <f t="shared" si="0"/>
        <v>1.7612811526384949E-3</v>
      </c>
      <c r="J18" s="33">
        <f t="shared" si="1"/>
        <v>6.2822767227869883E-4</v>
      </c>
      <c r="K18" s="33">
        <f t="shared" si="5"/>
        <v>1591.7796113195932</v>
      </c>
      <c r="L18" s="33">
        <f t="shared" si="10"/>
        <v>1.133053480359796E-3</v>
      </c>
      <c r="M18" s="33">
        <f t="shared" si="11"/>
        <v>2.3895088249171938E-3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5194050*AX18</f>
        <v>2533761.4709999999</v>
      </c>
      <c r="V18" s="9">
        <v>6</v>
      </c>
      <c r="W18" s="9">
        <f t="shared" si="2"/>
        <v>2533754.4709999999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9">
        <v>0</v>
      </c>
      <c r="AL18" s="30">
        <v>1</v>
      </c>
      <c r="AM18" s="21">
        <v>2004</v>
      </c>
      <c r="AN18" s="23"/>
      <c r="AO18" s="33">
        <v>0</v>
      </c>
      <c r="AP18" s="33">
        <v>0</v>
      </c>
      <c r="AQ18" s="33">
        <v>0</v>
      </c>
      <c r="AR18" s="43">
        <v>1</v>
      </c>
      <c r="AS18" s="33" t="s">
        <v>107</v>
      </c>
      <c r="AT18" s="43" t="s">
        <v>107</v>
      </c>
      <c r="AU18" s="42" t="s">
        <v>107</v>
      </c>
      <c r="AV18" s="18" t="s">
        <v>107</v>
      </c>
      <c r="AW18" s="39">
        <f t="shared" si="13"/>
        <v>0.51218000000000008</v>
      </c>
      <c r="AX18" s="40">
        <v>0.48781999999999998</v>
      </c>
      <c r="AY18">
        <v>0.52400000000000002</v>
      </c>
      <c r="AZ18" s="40">
        <v>0.47599999999999998</v>
      </c>
      <c r="BB18" s="18"/>
      <c r="BC18" t="s">
        <v>107</v>
      </c>
      <c r="BD18" s="18" t="s">
        <v>107</v>
      </c>
      <c r="BE18" s="18" t="s">
        <v>24</v>
      </c>
      <c r="BL18" s="18"/>
      <c r="BO18" s="18"/>
      <c r="BR18" s="25">
        <v>38.43</v>
      </c>
      <c r="BS18">
        <v>1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 s="18">
        <v>0</v>
      </c>
      <c r="CA18">
        <v>0</v>
      </c>
      <c r="CB18">
        <v>0</v>
      </c>
      <c r="CC18">
        <v>1</v>
      </c>
      <c r="CD18" s="18">
        <v>0</v>
      </c>
      <c r="CE18">
        <v>0</v>
      </c>
      <c r="CF18">
        <v>0</v>
      </c>
      <c r="CG18">
        <v>0</v>
      </c>
      <c r="CH18">
        <v>0</v>
      </c>
      <c r="CI18" s="18">
        <v>0</v>
      </c>
      <c r="CJ18">
        <v>0</v>
      </c>
      <c r="CK18">
        <v>0</v>
      </c>
      <c r="CL18">
        <v>1</v>
      </c>
      <c r="CM18">
        <v>1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 s="18">
        <v>0</v>
      </c>
      <c r="CZ18" s="34" t="s">
        <v>87</v>
      </c>
    </row>
    <row r="19" spans="1:104" x14ac:dyDescent="0.25">
      <c r="A19">
        <v>18</v>
      </c>
      <c r="B19">
        <v>2</v>
      </c>
      <c r="C19" s="25" t="s">
        <v>133</v>
      </c>
      <c r="D19" s="12">
        <v>8.3312525606173082</v>
      </c>
      <c r="E19" s="14">
        <v>0.3386688032771264</v>
      </c>
      <c r="F19" s="7">
        <v>24.599999999999998</v>
      </c>
      <c r="G19" s="7">
        <f t="shared" si="8"/>
        <v>7.9925837573401814</v>
      </c>
      <c r="H19" s="16">
        <f t="shared" si="9"/>
        <v>8.669921363894435</v>
      </c>
      <c r="I19" s="11">
        <f t="shared" si="0"/>
        <v>1.5452579477726115E-2</v>
      </c>
      <c r="J19" s="33">
        <f t="shared" si="1"/>
        <v>6.2815363730593968E-4</v>
      </c>
      <c r="K19" s="33">
        <f t="shared" si="5"/>
        <v>1591.9672204539891</v>
      </c>
      <c r="L19" s="33">
        <f t="shared" si="10"/>
        <v>1.4824425840420175E-2</v>
      </c>
      <c r="M19" s="33">
        <f t="shared" si="11"/>
        <v>1.6080733115032053E-2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4">5194050*AX19</f>
        <v>2533761.4709999999</v>
      </c>
      <c r="V19" s="9">
        <v>6</v>
      </c>
      <c r="W19" s="9">
        <f t="shared" si="2"/>
        <v>2533754.4709999999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9">
        <v>0</v>
      </c>
      <c r="AL19" s="30">
        <v>1</v>
      </c>
      <c r="AM19" s="21">
        <v>2004</v>
      </c>
      <c r="AN19" s="23"/>
      <c r="AO19" s="33">
        <v>0</v>
      </c>
      <c r="AP19" s="33">
        <v>0</v>
      </c>
      <c r="AQ19" s="33">
        <v>0</v>
      </c>
      <c r="AR19" s="43">
        <v>1</v>
      </c>
      <c r="AS19" s="33" t="s">
        <v>107</v>
      </c>
      <c r="AT19" s="43" t="s">
        <v>107</v>
      </c>
      <c r="AU19" s="42" t="s">
        <v>107</v>
      </c>
      <c r="AV19" s="18" t="s">
        <v>107</v>
      </c>
      <c r="AW19" s="39">
        <f t="shared" si="13"/>
        <v>0.51218000000000008</v>
      </c>
      <c r="AX19" s="40">
        <v>0.48781999999999998</v>
      </c>
      <c r="AY19">
        <v>0.52400000000000002</v>
      </c>
      <c r="AZ19" s="40">
        <v>0.47599999999999998</v>
      </c>
      <c r="BB19" s="18"/>
      <c r="BC19" t="s">
        <v>107</v>
      </c>
      <c r="BD19" s="18" t="s">
        <v>107</v>
      </c>
      <c r="BE19" s="18" t="s">
        <v>24</v>
      </c>
      <c r="BL19" s="18"/>
      <c r="BO19" s="18"/>
      <c r="BR19" s="25">
        <v>38.43</v>
      </c>
      <c r="BS19">
        <v>1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 s="18">
        <v>0</v>
      </c>
      <c r="CA19">
        <v>0</v>
      </c>
      <c r="CB19">
        <v>0</v>
      </c>
      <c r="CC19">
        <v>1</v>
      </c>
      <c r="CD19" s="18">
        <v>0</v>
      </c>
      <c r="CE19">
        <v>0</v>
      </c>
      <c r="CF19">
        <v>0</v>
      </c>
      <c r="CG19">
        <v>0</v>
      </c>
      <c r="CH19">
        <v>0</v>
      </c>
      <c r="CI19" s="18">
        <v>0</v>
      </c>
      <c r="CJ19">
        <v>0</v>
      </c>
      <c r="CK19">
        <v>0</v>
      </c>
      <c r="CL19">
        <v>1</v>
      </c>
      <c r="CM19">
        <v>1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 s="18">
        <v>0</v>
      </c>
      <c r="CZ19" s="34" t="s">
        <v>87</v>
      </c>
    </row>
    <row r="20" spans="1:104" x14ac:dyDescent="0.25">
      <c r="A20">
        <v>19</v>
      </c>
      <c r="B20">
        <v>2</v>
      </c>
      <c r="C20" s="25" t="s">
        <v>133</v>
      </c>
      <c r="D20" s="12">
        <v>23.004064973479643</v>
      </c>
      <c r="E20" s="14">
        <v>2.1974032213473094</v>
      </c>
      <c r="F20" s="7">
        <v>10.46875</v>
      </c>
      <c r="G20" s="7">
        <f t="shared" si="8"/>
        <v>20.806661752132335</v>
      </c>
      <c r="H20" s="16">
        <f t="shared" si="9"/>
        <v>25.201468194826951</v>
      </c>
      <c r="I20" s="11">
        <f t="shared" si="0"/>
        <v>6.576626414323718E-3</v>
      </c>
      <c r="J20" s="33">
        <f t="shared" si="1"/>
        <v>6.2821506047271343E-4</v>
      </c>
      <c r="K20" s="33">
        <f t="shared" si="5"/>
        <v>1591.8115672800479</v>
      </c>
      <c r="L20" s="33">
        <f t="shared" si="10"/>
        <v>5.9484113538510047E-3</v>
      </c>
      <c r="M20" s="33">
        <f t="shared" si="11"/>
        <v>7.2048414747964314E-3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4"/>
        <v>2533761.4709999999</v>
      </c>
      <c r="V20" s="9">
        <v>6</v>
      </c>
      <c r="W20" s="9">
        <f t="shared" si="2"/>
        <v>2533754.4709999999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9">
        <v>0</v>
      </c>
      <c r="AL20" s="30">
        <v>1</v>
      </c>
      <c r="AM20" s="21">
        <v>2004</v>
      </c>
      <c r="AN20" s="23"/>
      <c r="AO20" s="33">
        <v>0</v>
      </c>
      <c r="AP20" s="33">
        <v>0</v>
      </c>
      <c r="AQ20" s="33">
        <v>0</v>
      </c>
      <c r="AR20" s="43">
        <v>1</v>
      </c>
      <c r="AS20" s="33" t="s">
        <v>107</v>
      </c>
      <c r="AT20" s="43" t="s">
        <v>107</v>
      </c>
      <c r="AU20" s="42" t="s">
        <v>107</v>
      </c>
      <c r="AV20" s="18" t="s">
        <v>107</v>
      </c>
      <c r="AW20" s="39">
        <f t="shared" si="13"/>
        <v>0.51218000000000008</v>
      </c>
      <c r="AX20" s="40">
        <v>0.48781999999999998</v>
      </c>
      <c r="AY20">
        <v>0.52400000000000002</v>
      </c>
      <c r="AZ20" s="40">
        <v>0.47599999999999998</v>
      </c>
      <c r="BB20" s="18"/>
      <c r="BC20" t="s">
        <v>107</v>
      </c>
      <c r="BD20" s="18" t="s">
        <v>107</v>
      </c>
      <c r="BE20" s="18" t="s">
        <v>24</v>
      </c>
      <c r="BL20" s="18"/>
      <c r="BO20" s="18"/>
      <c r="BR20" s="25">
        <v>38.43</v>
      </c>
      <c r="BS20">
        <v>1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 s="18">
        <v>0</v>
      </c>
      <c r="CA20">
        <v>0</v>
      </c>
      <c r="CB20">
        <v>0</v>
      </c>
      <c r="CC20">
        <v>1</v>
      </c>
      <c r="CD20" s="18">
        <v>0</v>
      </c>
      <c r="CE20">
        <v>0</v>
      </c>
      <c r="CF20">
        <v>0</v>
      </c>
      <c r="CG20">
        <v>0</v>
      </c>
      <c r="CH20">
        <v>0</v>
      </c>
      <c r="CI20" s="18">
        <v>0</v>
      </c>
      <c r="CJ20">
        <v>0</v>
      </c>
      <c r="CK20">
        <v>0</v>
      </c>
      <c r="CL20">
        <v>1</v>
      </c>
      <c r="CM20">
        <v>1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 s="18">
        <v>0</v>
      </c>
      <c r="CZ20" s="34" t="s">
        <v>87</v>
      </c>
    </row>
    <row r="21" spans="1:104" x14ac:dyDescent="0.25">
      <c r="A21">
        <v>20</v>
      </c>
      <c r="B21">
        <v>2</v>
      </c>
      <c r="C21" s="25" t="s">
        <v>133</v>
      </c>
      <c r="D21" s="12">
        <v>-2.7888895238820988</v>
      </c>
      <c r="E21" s="14">
        <v>2.052035554940618</v>
      </c>
      <c r="F21" s="7">
        <v>-1.3590844062947067</v>
      </c>
      <c r="G21" s="7">
        <f t="shared" si="8"/>
        <v>-4.8409250788227167</v>
      </c>
      <c r="H21" s="16">
        <f t="shared" si="9"/>
        <v>-0.73685396894148081</v>
      </c>
      <c r="I21" s="11">
        <f t="shared" si="0"/>
        <v>-8.5381544609733329E-4</v>
      </c>
      <c r="J21" s="33">
        <f t="shared" si="1"/>
        <v>6.2822841770740631E-4</v>
      </c>
      <c r="K21" s="33">
        <f t="shared" si="5"/>
        <v>1591.7777225826549</v>
      </c>
      <c r="L21" s="33">
        <f t="shared" si="10"/>
        <v>-1.4820438638047397E-3</v>
      </c>
      <c r="M21" s="33">
        <f t="shared" si="11"/>
        <v>-2.2558702838992699E-4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4"/>
        <v>2533761.4709999999</v>
      </c>
      <c r="V21" s="9">
        <v>6</v>
      </c>
      <c r="W21" s="9">
        <f t="shared" si="2"/>
        <v>2533754.4709999999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9">
        <v>0</v>
      </c>
      <c r="AL21" s="30">
        <v>1</v>
      </c>
      <c r="AM21" s="21">
        <v>2004</v>
      </c>
      <c r="AN21" s="23"/>
      <c r="AO21" s="33">
        <v>0</v>
      </c>
      <c r="AP21" s="33">
        <v>0</v>
      </c>
      <c r="AQ21" s="33">
        <v>0</v>
      </c>
      <c r="AR21" s="43">
        <v>1</v>
      </c>
      <c r="AS21" s="33" t="s">
        <v>107</v>
      </c>
      <c r="AT21" s="43" t="s">
        <v>107</v>
      </c>
      <c r="AU21" s="42" t="s">
        <v>107</v>
      </c>
      <c r="AV21" s="18" t="s">
        <v>107</v>
      </c>
      <c r="AW21" s="39">
        <f t="shared" si="13"/>
        <v>0.51218000000000008</v>
      </c>
      <c r="AX21" s="40">
        <v>0.48781999999999998</v>
      </c>
      <c r="AY21">
        <v>0.52400000000000002</v>
      </c>
      <c r="AZ21" s="40">
        <v>0.47599999999999998</v>
      </c>
      <c r="BB21" s="18"/>
      <c r="BC21" t="s">
        <v>107</v>
      </c>
      <c r="BD21" s="18" t="s">
        <v>107</v>
      </c>
      <c r="BE21" s="18" t="s">
        <v>24</v>
      </c>
      <c r="BL21" s="18"/>
      <c r="BO21" s="18"/>
      <c r="BR21" s="25">
        <v>38.43</v>
      </c>
      <c r="BS21">
        <v>1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 s="18">
        <v>0</v>
      </c>
      <c r="CA21">
        <v>0</v>
      </c>
      <c r="CB21">
        <v>0</v>
      </c>
      <c r="CC21">
        <v>1</v>
      </c>
      <c r="CD21" s="18">
        <v>0</v>
      </c>
      <c r="CE21">
        <v>0</v>
      </c>
      <c r="CF21">
        <v>0</v>
      </c>
      <c r="CG21">
        <v>0</v>
      </c>
      <c r="CH21">
        <v>0</v>
      </c>
      <c r="CI21" s="18">
        <v>0</v>
      </c>
      <c r="CJ21">
        <v>0</v>
      </c>
      <c r="CK21">
        <v>0</v>
      </c>
      <c r="CL21">
        <v>1</v>
      </c>
      <c r="CM21">
        <v>1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 s="18">
        <v>0</v>
      </c>
      <c r="CZ21" s="34" t="s">
        <v>87</v>
      </c>
    </row>
    <row r="22" spans="1:104" x14ac:dyDescent="0.25">
      <c r="A22">
        <v>21</v>
      </c>
      <c r="B22">
        <v>2</v>
      </c>
      <c r="C22" s="25" t="s">
        <v>133</v>
      </c>
      <c r="D22" s="12">
        <v>5.8807249810217455</v>
      </c>
      <c r="E22" s="14">
        <v>1.3208045411920499</v>
      </c>
      <c r="F22" s="7">
        <v>4.4523809523809517</v>
      </c>
      <c r="G22" s="7">
        <f t="shared" si="8"/>
        <v>4.5599204398296953</v>
      </c>
      <c r="H22" s="16">
        <f t="shared" si="9"/>
        <v>7.2015295222137956</v>
      </c>
      <c r="I22" s="11">
        <f t="shared" si="0"/>
        <v>2.7971023182712679E-3</v>
      </c>
      <c r="J22" s="33">
        <f t="shared" si="1"/>
        <v>6.2822618913044531E-4</v>
      </c>
      <c r="K22" s="33">
        <f t="shared" si="5"/>
        <v>1591.7833692736413</v>
      </c>
      <c r="L22" s="33">
        <f t="shared" si="10"/>
        <v>2.1688761291408227E-3</v>
      </c>
      <c r="M22" s="33">
        <f t="shared" si="11"/>
        <v>3.4253285074017131E-3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4"/>
        <v>2533761.4709999999</v>
      </c>
      <c r="V22" s="9">
        <v>6</v>
      </c>
      <c r="W22" s="9">
        <f t="shared" si="2"/>
        <v>2533754.4709999999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9">
        <v>0</v>
      </c>
      <c r="AL22" s="30">
        <v>1</v>
      </c>
      <c r="AM22" s="21">
        <v>2006</v>
      </c>
      <c r="AN22" s="23"/>
      <c r="AO22" s="33">
        <v>0</v>
      </c>
      <c r="AP22" s="33">
        <v>0</v>
      </c>
      <c r="AQ22" s="33">
        <v>0</v>
      </c>
      <c r="AR22" s="43">
        <v>1</v>
      </c>
      <c r="AS22" s="33" t="s">
        <v>107</v>
      </c>
      <c r="AT22" s="43" t="s">
        <v>107</v>
      </c>
      <c r="AU22" s="42" t="s">
        <v>107</v>
      </c>
      <c r="AV22" s="18" t="s">
        <v>107</v>
      </c>
      <c r="AW22" s="39">
        <f t="shared" si="13"/>
        <v>0.51218000000000008</v>
      </c>
      <c r="AX22" s="40">
        <v>0.48781999999999998</v>
      </c>
      <c r="AY22">
        <v>0.52400000000000002</v>
      </c>
      <c r="AZ22" s="40">
        <v>0.47599999999999998</v>
      </c>
      <c r="BB22" s="18"/>
      <c r="BC22" t="s">
        <v>107</v>
      </c>
      <c r="BD22" s="18" t="s">
        <v>107</v>
      </c>
      <c r="BE22" s="18" t="s">
        <v>24</v>
      </c>
      <c r="BL22" s="18"/>
      <c r="BO22" s="18"/>
      <c r="BR22" s="25">
        <v>38.43</v>
      </c>
      <c r="BS22">
        <v>1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 s="18">
        <v>0</v>
      </c>
      <c r="CA22">
        <v>0</v>
      </c>
      <c r="CB22">
        <v>0</v>
      </c>
      <c r="CC22">
        <v>1</v>
      </c>
      <c r="CD22" s="18">
        <v>0</v>
      </c>
      <c r="CE22">
        <v>0</v>
      </c>
      <c r="CF22">
        <v>0</v>
      </c>
      <c r="CG22">
        <v>0</v>
      </c>
      <c r="CH22">
        <v>0</v>
      </c>
      <c r="CI22" s="18">
        <v>0</v>
      </c>
      <c r="CJ22">
        <v>0</v>
      </c>
      <c r="CK22">
        <v>0</v>
      </c>
      <c r="CL22">
        <v>1</v>
      </c>
      <c r="CM22">
        <v>1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 s="18">
        <v>0</v>
      </c>
      <c r="CZ22" s="34" t="s">
        <v>87</v>
      </c>
    </row>
    <row r="23" spans="1:104" x14ac:dyDescent="0.25">
      <c r="A23">
        <v>22</v>
      </c>
      <c r="B23">
        <v>2</v>
      </c>
      <c r="C23" s="25" t="s">
        <v>133</v>
      </c>
      <c r="D23" s="12">
        <v>7.4305815657685015</v>
      </c>
      <c r="E23" s="14">
        <v>0.25860492688289449</v>
      </c>
      <c r="F23" s="7">
        <v>28.733333333333331</v>
      </c>
      <c r="G23" s="7">
        <f t="shared" si="8"/>
        <v>7.1719766388856065</v>
      </c>
      <c r="H23" s="16">
        <f t="shared" si="9"/>
        <v>7.6891864926513964</v>
      </c>
      <c r="I23" s="11">
        <f t="shared" si="0"/>
        <v>1.8048162926911995E-2</v>
      </c>
      <c r="J23" s="33">
        <f t="shared" si="1"/>
        <v>6.2812631996213449E-4</v>
      </c>
      <c r="K23" s="33">
        <f t="shared" si="5"/>
        <v>1592.0364554382679</v>
      </c>
      <c r="L23" s="33">
        <f t="shared" si="10"/>
        <v>1.7420036606949862E-2</v>
      </c>
      <c r="M23" s="33">
        <f t="shared" si="11"/>
        <v>1.8676289246874127E-2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4"/>
        <v>2533761.4709999999</v>
      </c>
      <c r="V23" s="9">
        <v>6</v>
      </c>
      <c r="W23" s="9">
        <f t="shared" si="2"/>
        <v>2533754.4709999999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9">
        <v>0</v>
      </c>
      <c r="AL23" s="30">
        <v>1</v>
      </c>
      <c r="AM23" s="21">
        <v>2006</v>
      </c>
      <c r="AN23" s="23"/>
      <c r="AO23" s="33">
        <v>0</v>
      </c>
      <c r="AP23" s="33">
        <v>0</v>
      </c>
      <c r="AQ23" s="33">
        <v>0</v>
      </c>
      <c r="AR23" s="43">
        <v>1</v>
      </c>
      <c r="AS23" s="33" t="s">
        <v>107</v>
      </c>
      <c r="AT23" s="43" t="s">
        <v>107</v>
      </c>
      <c r="AU23" s="42" t="s">
        <v>107</v>
      </c>
      <c r="AV23" s="18" t="s">
        <v>107</v>
      </c>
      <c r="AW23" s="39">
        <f t="shared" si="13"/>
        <v>0.51218000000000008</v>
      </c>
      <c r="AX23" s="40">
        <v>0.48781999999999998</v>
      </c>
      <c r="AY23">
        <v>0.52400000000000002</v>
      </c>
      <c r="AZ23" s="40">
        <v>0.47599999999999998</v>
      </c>
      <c r="BB23" s="18"/>
      <c r="BC23" t="s">
        <v>107</v>
      </c>
      <c r="BD23" s="18" t="s">
        <v>107</v>
      </c>
      <c r="BE23" s="18" t="s">
        <v>24</v>
      </c>
      <c r="BL23" s="18"/>
      <c r="BO23" s="18"/>
      <c r="BR23" s="25">
        <v>38.43</v>
      </c>
      <c r="BS23">
        <v>1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 s="18">
        <v>0</v>
      </c>
      <c r="CA23">
        <v>0</v>
      </c>
      <c r="CB23">
        <v>0</v>
      </c>
      <c r="CC23">
        <v>1</v>
      </c>
      <c r="CD23" s="18">
        <v>0</v>
      </c>
      <c r="CE23">
        <v>0</v>
      </c>
      <c r="CF23">
        <v>0</v>
      </c>
      <c r="CG23">
        <v>0</v>
      </c>
      <c r="CH23">
        <v>0</v>
      </c>
      <c r="CI23" s="18">
        <v>0</v>
      </c>
      <c r="CJ23">
        <v>0</v>
      </c>
      <c r="CK23">
        <v>0</v>
      </c>
      <c r="CL23">
        <v>1</v>
      </c>
      <c r="CM23">
        <v>1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 s="18">
        <v>0</v>
      </c>
      <c r="CZ23" s="34" t="s">
        <v>87</v>
      </c>
    </row>
    <row r="24" spans="1:104" x14ac:dyDescent="0.25">
      <c r="A24">
        <v>23</v>
      </c>
      <c r="B24">
        <v>2</v>
      </c>
      <c r="C24" s="25" t="s">
        <v>133</v>
      </c>
      <c r="D24" s="12">
        <v>11.758668567588092</v>
      </c>
      <c r="E24" s="14">
        <v>0.88190014256910676</v>
      </c>
      <c r="F24" s="7">
        <v>13.333333333333336</v>
      </c>
      <c r="G24" s="7">
        <f t="shared" si="8"/>
        <v>10.876768425018986</v>
      </c>
      <c r="H24" s="16">
        <f t="shared" si="9"/>
        <v>12.640568710157199</v>
      </c>
      <c r="I24" s="11">
        <f t="shared" si="0"/>
        <v>8.3760881121353568E-3</v>
      </c>
      <c r="J24" s="33">
        <f t="shared" si="1"/>
        <v>6.2820660841015165E-4</v>
      </c>
      <c r="K24" s="33">
        <f t="shared" si="5"/>
        <v>1591.8329839457961</v>
      </c>
      <c r="L24" s="33">
        <f t="shared" si="10"/>
        <v>7.7478815037252055E-3</v>
      </c>
      <c r="M24" s="33">
        <f t="shared" si="11"/>
        <v>9.0042947205455082E-3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4"/>
        <v>2533761.4709999999</v>
      </c>
      <c r="V24" s="9">
        <v>6</v>
      </c>
      <c r="W24" s="9">
        <f t="shared" si="2"/>
        <v>2533754.4709999999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9">
        <v>0</v>
      </c>
      <c r="AL24" s="30">
        <v>1</v>
      </c>
      <c r="AM24" s="21">
        <v>2006</v>
      </c>
      <c r="AN24" s="23"/>
      <c r="AO24" s="33">
        <v>0</v>
      </c>
      <c r="AP24" s="33">
        <v>0</v>
      </c>
      <c r="AQ24" s="33">
        <v>0</v>
      </c>
      <c r="AR24" s="43">
        <v>1</v>
      </c>
      <c r="AS24" s="33" t="s">
        <v>107</v>
      </c>
      <c r="AT24" s="43" t="s">
        <v>107</v>
      </c>
      <c r="AU24" s="42" t="s">
        <v>107</v>
      </c>
      <c r="AV24" s="18" t="s">
        <v>107</v>
      </c>
      <c r="AW24" s="39">
        <f t="shared" si="13"/>
        <v>0.51218000000000008</v>
      </c>
      <c r="AX24" s="40">
        <v>0.48781999999999998</v>
      </c>
      <c r="AY24">
        <v>0.52400000000000002</v>
      </c>
      <c r="AZ24" s="40">
        <v>0.47599999999999998</v>
      </c>
      <c r="BB24" s="18"/>
      <c r="BC24" t="s">
        <v>107</v>
      </c>
      <c r="BD24" s="18" t="s">
        <v>107</v>
      </c>
      <c r="BE24" s="18" t="s">
        <v>24</v>
      </c>
      <c r="BL24" s="18"/>
      <c r="BO24" s="18"/>
      <c r="BR24" s="25">
        <v>38.43</v>
      </c>
      <c r="BS24">
        <v>1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 s="18">
        <v>0</v>
      </c>
      <c r="CA24">
        <v>0</v>
      </c>
      <c r="CB24">
        <v>0</v>
      </c>
      <c r="CC24">
        <v>1</v>
      </c>
      <c r="CD24" s="18">
        <v>0</v>
      </c>
      <c r="CE24">
        <v>0</v>
      </c>
      <c r="CF24">
        <v>0</v>
      </c>
      <c r="CG24">
        <v>0</v>
      </c>
      <c r="CH24">
        <v>0</v>
      </c>
      <c r="CI24" s="18">
        <v>0</v>
      </c>
      <c r="CJ24">
        <v>0</v>
      </c>
      <c r="CK24">
        <v>0</v>
      </c>
      <c r="CL24">
        <v>1</v>
      </c>
      <c r="CM24">
        <v>1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 s="18">
        <v>0</v>
      </c>
      <c r="CZ24" s="34" t="s">
        <v>87</v>
      </c>
    </row>
    <row r="25" spans="1:104" x14ac:dyDescent="0.25">
      <c r="A25">
        <v>24</v>
      </c>
      <c r="B25">
        <v>2</v>
      </c>
      <c r="C25" s="25" t="s">
        <v>133</v>
      </c>
      <c r="D25" s="12">
        <v>12.383272776690379</v>
      </c>
      <c r="E25" s="14">
        <v>1.8515816134818064</v>
      </c>
      <c r="F25" s="7">
        <v>6.6879432624113475</v>
      </c>
      <c r="G25" s="7">
        <f t="shared" si="8"/>
        <v>10.531691163208572</v>
      </c>
      <c r="H25" s="16">
        <f t="shared" si="9"/>
        <v>14.234854390172186</v>
      </c>
      <c r="I25" s="11">
        <f t="shared" si="0"/>
        <v>4.2015204601943785E-3</v>
      </c>
      <c r="J25" s="33">
        <f t="shared" si="1"/>
        <v>6.282231016833588E-4</v>
      </c>
      <c r="K25" s="33">
        <f t="shared" si="5"/>
        <v>1591.7911922061514</v>
      </c>
      <c r="L25" s="33">
        <f t="shared" si="10"/>
        <v>3.5732973585110199E-3</v>
      </c>
      <c r="M25" s="33">
        <f t="shared" si="11"/>
        <v>4.8297435618777371E-3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4"/>
        <v>2533761.4709999999</v>
      </c>
      <c r="V25" s="9">
        <v>6</v>
      </c>
      <c r="W25" s="9">
        <f t="shared" si="2"/>
        <v>2533754.4709999999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9">
        <v>0</v>
      </c>
      <c r="AL25" s="30">
        <v>1</v>
      </c>
      <c r="AM25" s="21">
        <v>2006</v>
      </c>
      <c r="AN25" s="23"/>
      <c r="AO25" s="33">
        <v>0</v>
      </c>
      <c r="AP25" s="33">
        <v>0</v>
      </c>
      <c r="AQ25" s="33">
        <v>0</v>
      </c>
      <c r="AR25" s="43">
        <v>1</v>
      </c>
      <c r="AS25" s="33" t="s">
        <v>107</v>
      </c>
      <c r="AT25" s="43" t="s">
        <v>107</v>
      </c>
      <c r="AU25" s="42" t="s">
        <v>107</v>
      </c>
      <c r="AV25" s="18" t="s">
        <v>107</v>
      </c>
      <c r="AW25" s="39">
        <f t="shared" si="13"/>
        <v>0.51218000000000008</v>
      </c>
      <c r="AX25" s="40">
        <v>0.48781999999999998</v>
      </c>
      <c r="AY25">
        <v>0.52400000000000002</v>
      </c>
      <c r="AZ25" s="40">
        <v>0.47599999999999998</v>
      </c>
      <c r="BB25" s="18"/>
      <c r="BC25" t="s">
        <v>107</v>
      </c>
      <c r="BD25" s="18" t="s">
        <v>107</v>
      </c>
      <c r="BE25" s="18" t="s">
        <v>24</v>
      </c>
      <c r="BL25" s="18"/>
      <c r="BO25" s="18"/>
      <c r="BR25" s="25">
        <v>38.43</v>
      </c>
      <c r="BS25">
        <v>1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 s="18">
        <v>0</v>
      </c>
      <c r="CA25">
        <v>0</v>
      </c>
      <c r="CB25">
        <v>0</v>
      </c>
      <c r="CC25">
        <v>1</v>
      </c>
      <c r="CD25" s="18">
        <v>0</v>
      </c>
      <c r="CE25">
        <v>0</v>
      </c>
      <c r="CF25">
        <v>0</v>
      </c>
      <c r="CG25">
        <v>0</v>
      </c>
      <c r="CH25">
        <v>0</v>
      </c>
      <c r="CI25" s="18">
        <v>0</v>
      </c>
      <c r="CJ25">
        <v>0</v>
      </c>
      <c r="CK25">
        <v>0</v>
      </c>
      <c r="CL25">
        <v>1</v>
      </c>
      <c r="CM25">
        <v>1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 s="18">
        <v>0</v>
      </c>
      <c r="CZ25" s="34" t="s">
        <v>87</v>
      </c>
    </row>
    <row r="26" spans="1:104" x14ac:dyDescent="0.25">
      <c r="A26">
        <v>25</v>
      </c>
      <c r="B26">
        <v>2</v>
      </c>
      <c r="C26" s="25" t="s">
        <v>133</v>
      </c>
      <c r="D26" s="12">
        <v>4.3114431330610214</v>
      </c>
      <c r="E26" s="14">
        <v>1.0539083214149163</v>
      </c>
      <c r="F26" s="7">
        <v>4.0909090909090908</v>
      </c>
      <c r="G26" s="7">
        <f t="shared" si="8"/>
        <v>3.2575348116461051</v>
      </c>
      <c r="H26" s="16">
        <f t="shared" si="9"/>
        <v>5.3653514544759382</v>
      </c>
      <c r="I26" s="11">
        <f t="shared" si="0"/>
        <v>2.5700177944276191E-3</v>
      </c>
      <c r="J26" s="33">
        <f t="shared" si="1"/>
        <v>6.2822657197119584E-4</v>
      </c>
      <c r="K26" s="33">
        <f t="shared" si="5"/>
        <v>1591.7823992421797</v>
      </c>
      <c r="L26" s="33">
        <f t="shared" si="10"/>
        <v>1.9417912224564233E-3</v>
      </c>
      <c r="M26" s="33">
        <f t="shared" si="11"/>
        <v>3.1982443663988152E-3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4"/>
        <v>2533761.4709999999</v>
      </c>
      <c r="V26" s="9">
        <v>6</v>
      </c>
      <c r="W26" s="9">
        <f t="shared" si="2"/>
        <v>2533754.4709999999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9">
        <v>0</v>
      </c>
      <c r="AL26" s="30">
        <v>1</v>
      </c>
      <c r="AM26" s="21">
        <v>2008</v>
      </c>
      <c r="AN26" s="23"/>
      <c r="AO26" s="33">
        <v>0</v>
      </c>
      <c r="AP26" s="33">
        <v>0</v>
      </c>
      <c r="AQ26" s="33">
        <v>0</v>
      </c>
      <c r="AR26" s="43">
        <v>1</v>
      </c>
      <c r="AS26" s="33" t="s">
        <v>107</v>
      </c>
      <c r="AT26" s="43" t="s">
        <v>107</v>
      </c>
      <c r="AU26" s="42" t="s">
        <v>107</v>
      </c>
      <c r="AV26" s="18" t="s">
        <v>107</v>
      </c>
      <c r="AW26" s="39">
        <f t="shared" si="13"/>
        <v>0.51218000000000008</v>
      </c>
      <c r="AX26" s="40">
        <v>0.48781999999999998</v>
      </c>
      <c r="AY26">
        <v>0.52400000000000002</v>
      </c>
      <c r="AZ26" s="40">
        <v>0.47599999999999998</v>
      </c>
      <c r="BB26" s="18"/>
      <c r="BC26" t="s">
        <v>107</v>
      </c>
      <c r="BD26" s="18" t="s">
        <v>107</v>
      </c>
      <c r="BE26" s="18" t="s">
        <v>24</v>
      </c>
      <c r="BL26" s="18"/>
      <c r="BO26" s="18"/>
      <c r="BR26" s="25">
        <v>38.43</v>
      </c>
      <c r="BS26">
        <v>1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 s="18">
        <v>0</v>
      </c>
      <c r="CA26">
        <v>0</v>
      </c>
      <c r="CB26">
        <v>0</v>
      </c>
      <c r="CC26">
        <v>1</v>
      </c>
      <c r="CD26" s="18">
        <v>0</v>
      </c>
      <c r="CE26">
        <v>0</v>
      </c>
      <c r="CF26">
        <v>0</v>
      </c>
      <c r="CG26">
        <v>0</v>
      </c>
      <c r="CH26">
        <v>0</v>
      </c>
      <c r="CI26" s="18">
        <v>0</v>
      </c>
      <c r="CJ26">
        <v>0</v>
      </c>
      <c r="CK26">
        <v>0</v>
      </c>
      <c r="CL26">
        <v>1</v>
      </c>
      <c r="CM26">
        <v>1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 s="18">
        <v>0</v>
      </c>
      <c r="CZ26" s="34" t="s">
        <v>87</v>
      </c>
    </row>
    <row r="27" spans="1:104" x14ac:dyDescent="0.25">
      <c r="A27">
        <v>26</v>
      </c>
      <c r="B27">
        <v>2</v>
      </c>
      <c r="C27" s="25" t="s">
        <v>133</v>
      </c>
      <c r="D27" s="12">
        <v>6.8385160164647019</v>
      </c>
      <c r="E27" s="14">
        <v>0.19189713311508089</v>
      </c>
      <c r="F27" s="7">
        <v>35.63636363636364</v>
      </c>
      <c r="G27" s="7">
        <f t="shared" si="8"/>
        <v>6.6466188833496211</v>
      </c>
      <c r="H27" s="16">
        <f t="shared" si="9"/>
        <v>7.0304131495797826</v>
      </c>
      <c r="I27" s="11">
        <f t="shared" si="0"/>
        <v>2.2382176085506678E-2</v>
      </c>
      <c r="J27" s="33">
        <f t="shared" si="1"/>
        <v>6.2807126770554448E-4</v>
      </c>
      <c r="K27" s="33">
        <f t="shared" si="5"/>
        <v>1592.1760020215174</v>
      </c>
      <c r="L27" s="33">
        <f t="shared" si="10"/>
        <v>2.1754104817801132E-2</v>
      </c>
      <c r="M27" s="33">
        <f t="shared" si="11"/>
        <v>2.3010247353212224E-2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4"/>
        <v>2533761.4709999999</v>
      </c>
      <c r="V27" s="9">
        <v>6</v>
      </c>
      <c r="W27" s="9">
        <f t="shared" si="2"/>
        <v>2533754.4709999999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9">
        <v>0</v>
      </c>
      <c r="AL27" s="30">
        <v>1</v>
      </c>
      <c r="AM27" s="21">
        <v>2008</v>
      </c>
      <c r="AN27" s="23"/>
      <c r="AO27" s="33">
        <v>0</v>
      </c>
      <c r="AP27" s="33">
        <v>0</v>
      </c>
      <c r="AQ27" s="33">
        <v>0</v>
      </c>
      <c r="AR27" s="43">
        <v>1</v>
      </c>
      <c r="AS27" s="33" t="s">
        <v>107</v>
      </c>
      <c r="AT27" s="43" t="s">
        <v>107</v>
      </c>
      <c r="AU27" s="42" t="s">
        <v>107</v>
      </c>
      <c r="AV27" s="18" t="s">
        <v>107</v>
      </c>
      <c r="AW27" s="39">
        <f t="shared" si="13"/>
        <v>0.51218000000000008</v>
      </c>
      <c r="AX27" s="40">
        <v>0.48781999999999998</v>
      </c>
      <c r="AY27">
        <v>0.52400000000000002</v>
      </c>
      <c r="AZ27" s="40">
        <v>0.47599999999999998</v>
      </c>
      <c r="BB27" s="18"/>
      <c r="BC27" t="s">
        <v>107</v>
      </c>
      <c r="BD27" s="18" t="s">
        <v>107</v>
      </c>
      <c r="BE27" s="18" t="s">
        <v>24</v>
      </c>
      <c r="BL27" s="18"/>
      <c r="BO27" s="18"/>
      <c r="BR27" s="25">
        <v>38.43</v>
      </c>
      <c r="BS27">
        <v>1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 s="18">
        <v>0</v>
      </c>
      <c r="CA27">
        <v>0</v>
      </c>
      <c r="CB27">
        <v>0</v>
      </c>
      <c r="CC27">
        <v>1</v>
      </c>
      <c r="CD27" s="18">
        <v>0</v>
      </c>
      <c r="CE27">
        <v>0</v>
      </c>
      <c r="CF27">
        <v>0</v>
      </c>
      <c r="CG27">
        <v>0</v>
      </c>
      <c r="CH27">
        <v>0</v>
      </c>
      <c r="CI27" s="18">
        <v>0</v>
      </c>
      <c r="CJ27">
        <v>0</v>
      </c>
      <c r="CK27">
        <v>0</v>
      </c>
      <c r="CL27">
        <v>1</v>
      </c>
      <c r="CM27">
        <v>1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 s="18">
        <v>0</v>
      </c>
      <c r="CZ27" s="34" t="s">
        <v>87</v>
      </c>
    </row>
    <row r="28" spans="1:104" x14ac:dyDescent="0.25">
      <c r="A28">
        <v>27</v>
      </c>
      <c r="B28">
        <v>2</v>
      </c>
      <c r="C28" s="25" t="s">
        <v>133</v>
      </c>
      <c r="D28" s="12">
        <v>11.579568022107001</v>
      </c>
      <c r="E28" s="14">
        <v>0.58170514396769868</v>
      </c>
      <c r="F28" s="7">
        <v>19.906249999999996</v>
      </c>
      <c r="G28" s="7">
        <f t="shared" si="8"/>
        <v>10.997862878139301</v>
      </c>
      <c r="H28" s="16">
        <f t="shared" si="9"/>
        <v>12.1612731660747</v>
      </c>
      <c r="I28" s="11">
        <f t="shared" si="0"/>
        <v>1.250469871946557E-2</v>
      </c>
      <c r="J28" s="33">
        <f t="shared" si="1"/>
        <v>6.281795275084746E-4</v>
      </c>
      <c r="K28" s="33">
        <f t="shared" si="5"/>
        <v>1591.9016080741492</v>
      </c>
      <c r="L28" s="33">
        <f t="shared" si="10"/>
        <v>1.1876519191957096E-2</v>
      </c>
      <c r="M28" s="33">
        <f t="shared" si="11"/>
        <v>1.3132878246974044E-2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4"/>
        <v>2533761.4709999999</v>
      </c>
      <c r="V28" s="9">
        <v>6</v>
      </c>
      <c r="W28" s="9">
        <f t="shared" si="2"/>
        <v>2533754.4709999999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9">
        <v>0</v>
      </c>
      <c r="AL28" s="30">
        <v>1</v>
      </c>
      <c r="AM28" s="21">
        <v>2008</v>
      </c>
      <c r="AN28" s="23"/>
      <c r="AO28" s="33">
        <v>0</v>
      </c>
      <c r="AP28" s="33">
        <v>0</v>
      </c>
      <c r="AQ28" s="33">
        <v>0</v>
      </c>
      <c r="AR28" s="43">
        <v>1</v>
      </c>
      <c r="AS28" s="33" t="s">
        <v>107</v>
      </c>
      <c r="AT28" s="43" t="s">
        <v>107</v>
      </c>
      <c r="AU28" s="42" t="s">
        <v>107</v>
      </c>
      <c r="AV28" s="18" t="s">
        <v>107</v>
      </c>
      <c r="AW28" s="39">
        <f t="shared" si="13"/>
        <v>0.51218000000000008</v>
      </c>
      <c r="AX28" s="40">
        <v>0.48781999999999998</v>
      </c>
      <c r="AY28">
        <v>0.52400000000000002</v>
      </c>
      <c r="AZ28" s="40">
        <v>0.47599999999999998</v>
      </c>
      <c r="BB28" s="18"/>
      <c r="BC28" t="s">
        <v>107</v>
      </c>
      <c r="BD28" s="18" t="s">
        <v>107</v>
      </c>
      <c r="BE28" s="18" t="s">
        <v>24</v>
      </c>
      <c r="BL28" s="18"/>
      <c r="BO28" s="18"/>
      <c r="BR28" s="25">
        <v>38.43</v>
      </c>
      <c r="BS28">
        <v>1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 s="18">
        <v>0</v>
      </c>
      <c r="CA28">
        <v>0</v>
      </c>
      <c r="CB28">
        <v>0</v>
      </c>
      <c r="CC28">
        <v>1</v>
      </c>
      <c r="CD28" s="18">
        <v>0</v>
      </c>
      <c r="CE28">
        <v>0</v>
      </c>
      <c r="CF28">
        <v>0</v>
      </c>
      <c r="CG28">
        <v>0</v>
      </c>
      <c r="CH28">
        <v>0</v>
      </c>
      <c r="CI28" s="18">
        <v>0</v>
      </c>
      <c r="CJ28">
        <v>0</v>
      </c>
      <c r="CK28">
        <v>0</v>
      </c>
      <c r="CL28">
        <v>1</v>
      </c>
      <c r="CM28">
        <v>1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 s="18">
        <v>0</v>
      </c>
      <c r="CZ28" s="34" t="s">
        <v>87</v>
      </c>
    </row>
    <row r="29" spans="1:104" x14ac:dyDescent="0.25">
      <c r="A29">
        <v>28</v>
      </c>
      <c r="B29">
        <v>2</v>
      </c>
      <c r="C29" s="25" t="s">
        <v>133</v>
      </c>
      <c r="D29" s="12">
        <v>3.8749247893831162</v>
      </c>
      <c r="E29" s="14">
        <v>0.36800961686878764</v>
      </c>
      <c r="F29" s="7">
        <v>10.52941176470588</v>
      </c>
      <c r="G29" s="7">
        <f t="shared" si="8"/>
        <v>3.5069151725143284</v>
      </c>
      <c r="H29" s="16">
        <f t="shared" si="9"/>
        <v>4.2429344062519041</v>
      </c>
      <c r="I29" s="11">
        <f t="shared" si="0"/>
        <v>6.6147333858780069E-3</v>
      </c>
      <c r="J29" s="33">
        <f t="shared" si="1"/>
        <v>6.2821490256941969E-4</v>
      </c>
      <c r="K29" s="33">
        <f t="shared" si="5"/>
        <v>1591.8119673856304</v>
      </c>
      <c r="L29" s="33">
        <f t="shared" si="10"/>
        <v>5.9865184833085873E-3</v>
      </c>
      <c r="M29" s="33">
        <f t="shared" si="11"/>
        <v>7.2429482884474265E-3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4"/>
        <v>2533761.4709999999</v>
      </c>
      <c r="V29" s="9">
        <v>6</v>
      </c>
      <c r="W29" s="9">
        <f t="shared" si="2"/>
        <v>2533754.4709999999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9">
        <v>0</v>
      </c>
      <c r="AL29" s="30">
        <v>1</v>
      </c>
      <c r="AM29" s="21">
        <v>2008</v>
      </c>
      <c r="AN29" s="23"/>
      <c r="AO29" s="33">
        <v>0</v>
      </c>
      <c r="AP29" s="33">
        <v>0</v>
      </c>
      <c r="AQ29" s="33">
        <v>0</v>
      </c>
      <c r="AR29" s="43">
        <v>1</v>
      </c>
      <c r="AS29" s="33" t="s">
        <v>107</v>
      </c>
      <c r="AT29" s="43" t="s">
        <v>107</v>
      </c>
      <c r="AU29" s="42" t="s">
        <v>107</v>
      </c>
      <c r="AV29" s="18" t="s">
        <v>107</v>
      </c>
      <c r="AW29" s="39">
        <f t="shared" si="13"/>
        <v>0.51218000000000008</v>
      </c>
      <c r="AX29" s="40">
        <v>0.48781999999999998</v>
      </c>
      <c r="AY29">
        <v>0.52400000000000002</v>
      </c>
      <c r="AZ29" s="40">
        <v>0.47599999999999998</v>
      </c>
      <c r="BB29" s="18"/>
      <c r="BC29" t="s">
        <v>107</v>
      </c>
      <c r="BD29" s="18" t="s">
        <v>107</v>
      </c>
      <c r="BE29" s="18" t="s">
        <v>24</v>
      </c>
      <c r="BL29" s="18"/>
      <c r="BO29" s="18"/>
      <c r="BR29" s="25">
        <v>38.43</v>
      </c>
      <c r="BS29">
        <v>1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 s="18">
        <v>0</v>
      </c>
      <c r="CA29">
        <v>0</v>
      </c>
      <c r="CB29">
        <v>0</v>
      </c>
      <c r="CC29">
        <v>1</v>
      </c>
      <c r="CD29" s="18">
        <v>0</v>
      </c>
      <c r="CE29">
        <v>0</v>
      </c>
      <c r="CF29">
        <v>0</v>
      </c>
      <c r="CG29">
        <v>0</v>
      </c>
      <c r="CH29">
        <v>0</v>
      </c>
      <c r="CI29" s="18">
        <v>0</v>
      </c>
      <c r="CJ29">
        <v>0</v>
      </c>
      <c r="CK29">
        <v>0</v>
      </c>
      <c r="CL29">
        <v>1</v>
      </c>
      <c r="CM29">
        <v>1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 s="18">
        <v>0</v>
      </c>
      <c r="CZ29" s="34" t="s">
        <v>87</v>
      </c>
    </row>
    <row r="30" spans="1:104" x14ac:dyDescent="0.25">
      <c r="A30">
        <v>29</v>
      </c>
      <c r="B30">
        <v>2</v>
      </c>
      <c r="C30" s="25" t="s">
        <v>133</v>
      </c>
      <c r="D30" s="12">
        <v>10.520944959211608</v>
      </c>
      <c r="E30" s="14">
        <v>1.9839496208799032</v>
      </c>
      <c r="F30" s="7">
        <v>5.3030303030303028</v>
      </c>
      <c r="G30" s="7">
        <f t="shared" si="8"/>
        <v>8.536995338331705</v>
      </c>
      <c r="H30" s="16">
        <f t="shared" si="9"/>
        <v>12.504894580091511</v>
      </c>
      <c r="I30" s="11">
        <f t="shared" si="0"/>
        <v>1.866683906815433E-2</v>
      </c>
      <c r="J30" s="33">
        <f t="shared" si="1"/>
        <v>3.5200325099948165E-3</v>
      </c>
      <c r="K30" s="33">
        <f t="shared" si="5"/>
        <v>284.08828531003326</v>
      </c>
      <c r="L30" s="33">
        <f t="shared" si="10"/>
        <v>1.5146806558159514E-2</v>
      </c>
      <c r="M30" s="33">
        <f t="shared" si="11"/>
        <v>2.2186871578149147E-2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174751*AW30</f>
        <v>80686.031719999999</v>
      </c>
      <c r="V30" s="9">
        <v>7</v>
      </c>
      <c r="W30" s="9">
        <f t="shared" si="2"/>
        <v>80678.031719999999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9">
        <v>0</v>
      </c>
      <c r="AL30" s="30">
        <v>1</v>
      </c>
      <c r="AM30" s="21">
        <v>2004</v>
      </c>
      <c r="AN30" s="23"/>
      <c r="AO30" s="33">
        <v>0</v>
      </c>
      <c r="AP30" s="33">
        <v>0</v>
      </c>
      <c r="AQ30" s="33">
        <v>0</v>
      </c>
      <c r="AR30" s="43">
        <v>1</v>
      </c>
      <c r="AS30" s="33" t="s">
        <v>107</v>
      </c>
      <c r="AT30" s="43" t="s">
        <v>107</v>
      </c>
      <c r="AU30" s="42" t="s">
        <v>107</v>
      </c>
      <c r="AV30" s="18" t="s">
        <v>107</v>
      </c>
      <c r="AW30" s="39">
        <f t="shared" si="13"/>
        <v>0.46172000000000002</v>
      </c>
      <c r="AX30" s="40">
        <v>0.53827999999999998</v>
      </c>
      <c r="AY30">
        <v>0.52400000000000002</v>
      </c>
      <c r="AZ30" s="40">
        <v>0.47599999999999998</v>
      </c>
      <c r="BB30" s="18"/>
      <c r="BC30" t="s">
        <v>107</v>
      </c>
      <c r="BD30" s="18" t="s">
        <v>107</v>
      </c>
      <c r="BE30" s="18" t="s">
        <v>24</v>
      </c>
      <c r="BL30" s="18"/>
      <c r="BO30" s="18"/>
      <c r="BR30" s="25">
        <v>27.56</v>
      </c>
      <c r="BS30">
        <v>1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 s="18">
        <v>0</v>
      </c>
      <c r="CA30">
        <v>1</v>
      </c>
      <c r="CB30">
        <v>0</v>
      </c>
      <c r="CC30">
        <v>0</v>
      </c>
      <c r="CD30" s="18">
        <v>0</v>
      </c>
      <c r="CE30">
        <v>0</v>
      </c>
      <c r="CF30">
        <v>0</v>
      </c>
      <c r="CG30">
        <v>0</v>
      </c>
      <c r="CH30">
        <v>0</v>
      </c>
      <c r="CI30" s="18">
        <v>0</v>
      </c>
      <c r="CJ30">
        <v>0</v>
      </c>
      <c r="CK30">
        <v>0</v>
      </c>
      <c r="CL30">
        <v>1</v>
      </c>
      <c r="CM30">
        <v>1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 s="18">
        <v>0</v>
      </c>
      <c r="CZ30" s="34" t="s">
        <v>87</v>
      </c>
    </row>
    <row r="31" spans="1:104" x14ac:dyDescent="0.25">
      <c r="A31">
        <v>30</v>
      </c>
      <c r="B31">
        <v>2</v>
      </c>
      <c r="C31" s="25" t="s">
        <v>133</v>
      </c>
      <c r="D31" s="12">
        <v>8.8775365880074055</v>
      </c>
      <c r="E31" s="14">
        <v>0.40200165681542965</v>
      </c>
      <c r="F31" s="7">
        <v>22.083333333333336</v>
      </c>
      <c r="G31" s="7">
        <f t="shared" si="8"/>
        <v>8.4755349311919765</v>
      </c>
      <c r="H31" s="16">
        <f t="shared" si="9"/>
        <v>9.2795382448228345</v>
      </c>
      <c r="I31" s="11">
        <f t="shared" si="0"/>
        <v>7.7513677974632711E-2</v>
      </c>
      <c r="J31" s="33">
        <f t="shared" si="1"/>
        <v>3.5100533422475189E-3</v>
      </c>
      <c r="K31" s="33">
        <f t="shared" si="5"/>
        <v>284.89595527334376</v>
      </c>
      <c r="L31" s="33">
        <f t="shared" si="10"/>
        <v>7.400362463238519E-2</v>
      </c>
      <c r="M31" s="33">
        <f t="shared" si="11"/>
        <v>8.1023731316880232E-2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39" si="15">174751*AW31</f>
        <v>80686.031719999999</v>
      </c>
      <c r="V31" s="9">
        <v>7</v>
      </c>
      <c r="W31" s="9">
        <f t="shared" si="2"/>
        <v>80678.031719999999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9">
        <v>0</v>
      </c>
      <c r="AL31" s="30">
        <v>1</v>
      </c>
      <c r="AM31" s="21">
        <v>2004</v>
      </c>
      <c r="AN31" s="23"/>
      <c r="AO31" s="33">
        <v>0</v>
      </c>
      <c r="AP31" s="33">
        <v>0</v>
      </c>
      <c r="AQ31" s="33">
        <v>0</v>
      </c>
      <c r="AR31" s="43">
        <v>1</v>
      </c>
      <c r="AS31" s="33" t="s">
        <v>107</v>
      </c>
      <c r="AT31" s="43" t="s">
        <v>107</v>
      </c>
      <c r="AU31" s="42" t="s">
        <v>107</v>
      </c>
      <c r="AV31" s="18" t="s">
        <v>107</v>
      </c>
      <c r="AW31" s="39">
        <f t="shared" si="13"/>
        <v>0.46172000000000002</v>
      </c>
      <c r="AX31" s="40">
        <v>0.53827999999999998</v>
      </c>
      <c r="AY31">
        <v>0.52400000000000002</v>
      </c>
      <c r="AZ31" s="40">
        <v>0.47599999999999998</v>
      </c>
      <c r="BB31" s="18"/>
      <c r="BC31" t="s">
        <v>107</v>
      </c>
      <c r="BD31" s="18" t="s">
        <v>107</v>
      </c>
      <c r="BE31" s="18" t="s">
        <v>24</v>
      </c>
      <c r="BL31" s="18"/>
      <c r="BO31" s="18"/>
      <c r="BR31" s="25">
        <v>27.56</v>
      </c>
      <c r="BS31">
        <v>1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 s="18">
        <v>0</v>
      </c>
      <c r="CA31">
        <v>1</v>
      </c>
      <c r="CB31">
        <v>0</v>
      </c>
      <c r="CC31">
        <v>0</v>
      </c>
      <c r="CD31" s="18">
        <v>0</v>
      </c>
      <c r="CE31">
        <v>0</v>
      </c>
      <c r="CF31">
        <v>0</v>
      </c>
      <c r="CG31">
        <v>0</v>
      </c>
      <c r="CH31">
        <v>0</v>
      </c>
      <c r="CI31" s="18">
        <v>0</v>
      </c>
      <c r="CJ31">
        <v>0</v>
      </c>
      <c r="CK31">
        <v>0</v>
      </c>
      <c r="CL31">
        <v>1</v>
      </c>
      <c r="CM31">
        <v>1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 s="18">
        <v>0</v>
      </c>
      <c r="CZ31" s="34" t="s">
        <v>87</v>
      </c>
    </row>
    <row r="32" spans="1:104" x14ac:dyDescent="0.25">
      <c r="A32">
        <v>31</v>
      </c>
      <c r="B32">
        <v>2</v>
      </c>
      <c r="C32" s="25" t="s">
        <v>133</v>
      </c>
      <c r="D32" s="12">
        <v>19.999999999999996</v>
      </c>
      <c r="E32" s="14">
        <v>1.8969072164948451</v>
      </c>
      <c r="F32" s="7">
        <v>10.543478260869565</v>
      </c>
      <c r="G32" s="7">
        <f t="shared" si="8"/>
        <v>18.103092783505151</v>
      </c>
      <c r="H32" s="16">
        <f t="shared" si="9"/>
        <v>21.896907216494842</v>
      </c>
      <c r="I32" s="11">
        <f t="shared" si="0"/>
        <v>3.709430701228749E-2</v>
      </c>
      <c r="J32" s="33">
        <f t="shared" si="1"/>
        <v>3.5182229331241748E-3</v>
      </c>
      <c r="K32" s="33">
        <f t="shared" si="5"/>
        <v>284.23440441620966</v>
      </c>
      <c r="L32" s="33">
        <f t="shared" si="10"/>
        <v>3.3576084079163314E-2</v>
      </c>
      <c r="M32" s="33">
        <f t="shared" si="11"/>
        <v>4.0612529945411667E-2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5"/>
        <v>80686.031719999999</v>
      </c>
      <c r="V32" s="9">
        <v>7</v>
      </c>
      <c r="W32" s="9">
        <f t="shared" si="2"/>
        <v>80678.031719999999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9">
        <v>0</v>
      </c>
      <c r="AL32" s="30">
        <v>1</v>
      </c>
      <c r="AM32" s="21">
        <v>2004</v>
      </c>
      <c r="AN32" s="23"/>
      <c r="AO32" s="33">
        <v>0</v>
      </c>
      <c r="AP32" s="33">
        <v>0</v>
      </c>
      <c r="AQ32" s="33">
        <v>0</v>
      </c>
      <c r="AR32" s="43">
        <v>1</v>
      </c>
      <c r="AS32" s="33" t="s">
        <v>107</v>
      </c>
      <c r="AT32" s="43" t="s">
        <v>107</v>
      </c>
      <c r="AU32" s="42" t="s">
        <v>107</v>
      </c>
      <c r="AV32" s="18" t="s">
        <v>107</v>
      </c>
      <c r="AW32" s="39">
        <f t="shared" si="13"/>
        <v>0.46172000000000002</v>
      </c>
      <c r="AX32" s="40">
        <v>0.53827999999999998</v>
      </c>
      <c r="AY32">
        <v>0.52400000000000002</v>
      </c>
      <c r="AZ32" s="40">
        <v>0.47599999999999998</v>
      </c>
      <c r="BB32" s="18"/>
      <c r="BC32" t="s">
        <v>107</v>
      </c>
      <c r="BD32" s="18" t="s">
        <v>107</v>
      </c>
      <c r="BE32" s="18" t="s">
        <v>24</v>
      </c>
      <c r="BL32" s="18"/>
      <c r="BO32" s="18"/>
      <c r="BR32" s="25">
        <v>27.56</v>
      </c>
      <c r="BS32">
        <v>1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 s="18">
        <v>0</v>
      </c>
      <c r="CA32">
        <v>1</v>
      </c>
      <c r="CB32">
        <v>0</v>
      </c>
      <c r="CC32">
        <v>0</v>
      </c>
      <c r="CD32" s="18">
        <v>0</v>
      </c>
      <c r="CE32">
        <v>0</v>
      </c>
      <c r="CF32">
        <v>0</v>
      </c>
      <c r="CG32">
        <v>0</v>
      </c>
      <c r="CH32">
        <v>0</v>
      </c>
      <c r="CI32" s="18">
        <v>0</v>
      </c>
      <c r="CJ32">
        <v>0</v>
      </c>
      <c r="CK32">
        <v>0</v>
      </c>
      <c r="CL32">
        <v>1</v>
      </c>
      <c r="CM32">
        <v>1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 s="18">
        <v>0</v>
      </c>
      <c r="CZ32" s="34" t="s">
        <v>87</v>
      </c>
    </row>
    <row r="33" spans="1:104" x14ac:dyDescent="0.25">
      <c r="A33">
        <v>32</v>
      </c>
      <c r="B33">
        <v>2</v>
      </c>
      <c r="C33" s="25" t="s">
        <v>133</v>
      </c>
      <c r="D33" s="12">
        <v>8.5357084097210656</v>
      </c>
      <c r="E33" s="14">
        <v>2.1264918163590809</v>
      </c>
      <c r="F33" s="7">
        <v>4.0139860139860142</v>
      </c>
      <c r="G33" s="7">
        <f t="shared" si="8"/>
        <v>6.4092165933619842</v>
      </c>
      <c r="H33" s="16">
        <f t="shared" si="9"/>
        <v>10.662200226080147</v>
      </c>
      <c r="I33" s="11">
        <f t="shared" si="0"/>
        <v>1.4130412690719161E-2</v>
      </c>
      <c r="J33" s="33">
        <f t="shared" si="1"/>
        <v>3.5202944508237631E-3</v>
      </c>
      <c r="K33" s="33">
        <f t="shared" si="5"/>
        <v>284.06714664621194</v>
      </c>
      <c r="L33" s="33">
        <f t="shared" si="10"/>
        <v>1.0610118239895397E-2</v>
      </c>
      <c r="M33" s="33">
        <f t="shared" si="11"/>
        <v>1.7650707141542925E-2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5"/>
        <v>80686.031719999999</v>
      </c>
      <c r="V33" s="9">
        <v>7</v>
      </c>
      <c r="W33" s="9">
        <f t="shared" si="2"/>
        <v>80678.031719999999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9">
        <v>0</v>
      </c>
      <c r="AL33" s="30">
        <v>1</v>
      </c>
      <c r="AM33" s="21">
        <v>2004</v>
      </c>
      <c r="AN33" s="23"/>
      <c r="AO33" s="33">
        <v>0</v>
      </c>
      <c r="AP33" s="33">
        <v>0</v>
      </c>
      <c r="AQ33" s="33">
        <v>0</v>
      </c>
      <c r="AR33" s="43">
        <v>1</v>
      </c>
      <c r="AS33" s="33" t="s">
        <v>107</v>
      </c>
      <c r="AT33" s="43" t="s">
        <v>107</v>
      </c>
      <c r="AU33" s="42" t="s">
        <v>107</v>
      </c>
      <c r="AV33" s="18" t="s">
        <v>107</v>
      </c>
      <c r="AW33" s="39">
        <f t="shared" si="13"/>
        <v>0.46172000000000002</v>
      </c>
      <c r="AX33" s="40">
        <v>0.53827999999999998</v>
      </c>
      <c r="AY33">
        <v>0.52400000000000002</v>
      </c>
      <c r="AZ33" s="40">
        <v>0.47599999999999998</v>
      </c>
      <c r="BB33" s="18"/>
      <c r="BC33" t="s">
        <v>107</v>
      </c>
      <c r="BD33" s="18" t="s">
        <v>107</v>
      </c>
      <c r="BE33" s="18" t="s">
        <v>24</v>
      </c>
      <c r="BL33" s="18"/>
      <c r="BO33" s="18"/>
      <c r="BR33" s="25">
        <v>27.56</v>
      </c>
      <c r="BS33">
        <v>1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 s="18">
        <v>0</v>
      </c>
      <c r="CA33">
        <v>1</v>
      </c>
      <c r="CB33">
        <v>0</v>
      </c>
      <c r="CC33">
        <v>0</v>
      </c>
      <c r="CD33" s="18">
        <v>0</v>
      </c>
      <c r="CE33">
        <v>0</v>
      </c>
      <c r="CF33">
        <v>0</v>
      </c>
      <c r="CG33">
        <v>0</v>
      </c>
      <c r="CH33">
        <v>0</v>
      </c>
      <c r="CI33" s="18">
        <v>0</v>
      </c>
      <c r="CJ33">
        <v>0</v>
      </c>
      <c r="CK33">
        <v>0</v>
      </c>
      <c r="CL33">
        <v>1</v>
      </c>
      <c r="CM33">
        <v>1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 s="18">
        <v>0</v>
      </c>
      <c r="CZ33" s="34" t="s">
        <v>87</v>
      </c>
    </row>
    <row r="34" spans="1:104" x14ac:dyDescent="0.25">
      <c r="A34">
        <v>33</v>
      </c>
      <c r="B34">
        <v>2</v>
      </c>
      <c r="C34" s="25" t="s">
        <v>133</v>
      </c>
      <c r="D34" s="12">
        <v>10.302199320664297</v>
      </c>
      <c r="E34" s="14">
        <v>1.3856759320191743</v>
      </c>
      <c r="F34" s="7">
        <v>7.4347826086956532</v>
      </c>
      <c r="G34" s="7">
        <f t="shared" si="8"/>
        <v>8.9165233886451229</v>
      </c>
      <c r="H34" s="16">
        <f t="shared" si="9"/>
        <v>11.687875252683471</v>
      </c>
      <c r="I34" s="11">
        <f t="shared" si="0"/>
        <v>2.6166274991099851E-2</v>
      </c>
      <c r="J34" s="33">
        <f t="shared" si="1"/>
        <v>3.5194404958789264E-3</v>
      </c>
      <c r="K34" s="33">
        <f t="shared" si="5"/>
        <v>284.13607252941074</v>
      </c>
      <c r="L34" s="33">
        <f t="shared" si="10"/>
        <v>2.2646834495220924E-2</v>
      </c>
      <c r="M34" s="33">
        <f t="shared" si="11"/>
        <v>2.9685715486978778E-2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5"/>
        <v>80686.031719999999</v>
      </c>
      <c r="V34" s="9">
        <v>7</v>
      </c>
      <c r="W34" s="9">
        <f t="shared" si="2"/>
        <v>80678.031719999999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9">
        <v>0</v>
      </c>
      <c r="AL34" s="30">
        <v>1</v>
      </c>
      <c r="AM34" s="21">
        <v>2006</v>
      </c>
      <c r="AN34" s="23"/>
      <c r="AO34" s="33">
        <v>0</v>
      </c>
      <c r="AP34" s="33">
        <v>0</v>
      </c>
      <c r="AQ34" s="33">
        <v>0</v>
      </c>
      <c r="AR34" s="43">
        <v>1</v>
      </c>
      <c r="AS34" s="33" t="s">
        <v>107</v>
      </c>
      <c r="AT34" s="43" t="s">
        <v>107</v>
      </c>
      <c r="AU34" s="42" t="s">
        <v>107</v>
      </c>
      <c r="AV34" s="18" t="s">
        <v>107</v>
      </c>
      <c r="AW34" s="39">
        <f t="shared" si="13"/>
        <v>0.46172000000000002</v>
      </c>
      <c r="AX34" s="40">
        <v>0.53827999999999998</v>
      </c>
      <c r="AY34">
        <v>0.52400000000000002</v>
      </c>
      <c r="AZ34" s="40">
        <v>0.47599999999999998</v>
      </c>
      <c r="BB34" s="18"/>
      <c r="BC34" t="s">
        <v>107</v>
      </c>
      <c r="BD34" s="18" t="s">
        <v>107</v>
      </c>
      <c r="BE34" s="18" t="s">
        <v>24</v>
      </c>
      <c r="BL34" s="18"/>
      <c r="BO34" s="18"/>
      <c r="BR34" s="25">
        <v>27.56</v>
      </c>
      <c r="BS34">
        <v>1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 s="18">
        <v>0</v>
      </c>
      <c r="CA34">
        <v>1</v>
      </c>
      <c r="CB34">
        <v>0</v>
      </c>
      <c r="CC34">
        <v>0</v>
      </c>
      <c r="CD34" s="18">
        <v>0</v>
      </c>
      <c r="CE34">
        <v>0</v>
      </c>
      <c r="CF34">
        <v>0</v>
      </c>
      <c r="CG34">
        <v>0</v>
      </c>
      <c r="CH34">
        <v>0</v>
      </c>
      <c r="CI34" s="18">
        <v>0</v>
      </c>
      <c r="CJ34">
        <v>0</v>
      </c>
      <c r="CK34">
        <v>0</v>
      </c>
      <c r="CL34">
        <v>1</v>
      </c>
      <c r="CM34">
        <v>1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 s="18">
        <v>0</v>
      </c>
      <c r="CZ34" s="34" t="s">
        <v>87</v>
      </c>
    </row>
    <row r="35" spans="1:104" x14ac:dyDescent="0.25">
      <c r="A35">
        <v>34</v>
      </c>
      <c r="B35">
        <v>2</v>
      </c>
      <c r="C35" s="25" t="s">
        <v>133</v>
      </c>
      <c r="D35" s="12">
        <v>8.7920081740137324</v>
      </c>
      <c r="E35" s="14">
        <v>0.25167962330191979</v>
      </c>
      <c r="F35" s="7">
        <v>34.933333333333337</v>
      </c>
      <c r="G35" s="7">
        <f t="shared" si="8"/>
        <v>8.5403285507118127</v>
      </c>
      <c r="H35" s="16">
        <f t="shared" si="9"/>
        <v>9.043687797315652</v>
      </c>
      <c r="I35" s="11">
        <f t="shared" si="0"/>
        <v>0.12206816053172656</v>
      </c>
      <c r="J35" s="33">
        <f t="shared" si="1"/>
        <v>3.4943175724730879E-3</v>
      </c>
      <c r="K35" s="33">
        <f t="shared" si="5"/>
        <v>286.17891169297883</v>
      </c>
      <c r="L35" s="33">
        <f t="shared" si="10"/>
        <v>0.11857384295925347</v>
      </c>
      <c r="M35" s="33">
        <f t="shared" si="11"/>
        <v>0.12556247810419965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5"/>
        <v>80686.031719999999</v>
      </c>
      <c r="V35" s="9">
        <v>7</v>
      </c>
      <c r="W35" s="9">
        <f t="shared" si="2"/>
        <v>80678.031719999999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9">
        <v>0</v>
      </c>
      <c r="AL35" s="30">
        <v>1</v>
      </c>
      <c r="AM35" s="21">
        <v>2006</v>
      </c>
      <c r="AN35" s="23"/>
      <c r="AO35" s="33">
        <v>0</v>
      </c>
      <c r="AP35" s="33">
        <v>0</v>
      </c>
      <c r="AQ35" s="33">
        <v>0</v>
      </c>
      <c r="AR35" s="43">
        <v>1</v>
      </c>
      <c r="AS35" s="33" t="s">
        <v>107</v>
      </c>
      <c r="AT35" s="43" t="s">
        <v>107</v>
      </c>
      <c r="AU35" s="42" t="s">
        <v>107</v>
      </c>
      <c r="AV35" s="18" t="s">
        <v>107</v>
      </c>
      <c r="AW35" s="39">
        <f t="shared" si="13"/>
        <v>0.46172000000000002</v>
      </c>
      <c r="AX35" s="40">
        <v>0.53827999999999998</v>
      </c>
      <c r="AY35">
        <v>0.52400000000000002</v>
      </c>
      <c r="AZ35" s="40">
        <v>0.47599999999999998</v>
      </c>
      <c r="BB35" s="18"/>
      <c r="BC35" t="s">
        <v>107</v>
      </c>
      <c r="BD35" s="18" t="s">
        <v>107</v>
      </c>
      <c r="BE35" s="18" t="s">
        <v>24</v>
      </c>
      <c r="BL35" s="18"/>
      <c r="BO35" s="18"/>
      <c r="BR35" s="25">
        <v>27.56</v>
      </c>
      <c r="BS35">
        <v>1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 s="18">
        <v>0</v>
      </c>
      <c r="CA35">
        <v>1</v>
      </c>
      <c r="CB35">
        <v>0</v>
      </c>
      <c r="CC35">
        <v>0</v>
      </c>
      <c r="CD35" s="18">
        <v>0</v>
      </c>
      <c r="CE35">
        <v>0</v>
      </c>
      <c r="CF35">
        <v>0</v>
      </c>
      <c r="CG35">
        <v>0</v>
      </c>
      <c r="CH35">
        <v>0</v>
      </c>
      <c r="CI35" s="18">
        <v>0</v>
      </c>
      <c r="CJ35">
        <v>0</v>
      </c>
      <c r="CK35">
        <v>0</v>
      </c>
      <c r="CL35">
        <v>1</v>
      </c>
      <c r="CM35">
        <v>1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 s="18">
        <v>0</v>
      </c>
      <c r="CZ35" s="34" t="s">
        <v>87</v>
      </c>
    </row>
    <row r="36" spans="1:104" x14ac:dyDescent="0.25">
      <c r="A36">
        <v>35</v>
      </c>
      <c r="B36">
        <v>2</v>
      </c>
      <c r="C36" s="25" t="s">
        <v>133</v>
      </c>
      <c r="D36" s="12">
        <v>15.108644332213373</v>
      </c>
      <c r="E36" s="14">
        <v>0.83640316091169442</v>
      </c>
      <c r="F36" s="7">
        <v>18.063829787234042</v>
      </c>
      <c r="G36" s="7">
        <f t="shared" si="8"/>
        <v>14.27224117130168</v>
      </c>
      <c r="H36" s="16">
        <f t="shared" si="9"/>
        <v>15.945047493125067</v>
      </c>
      <c r="I36" s="11">
        <f t="shared" si="0"/>
        <v>6.3468130399684367E-2</v>
      </c>
      <c r="J36" s="33">
        <f t="shared" si="1"/>
        <v>3.513547854870631E-3</v>
      </c>
      <c r="K36" s="33">
        <f t="shared" si="5"/>
        <v>284.61260278944457</v>
      </c>
      <c r="L36" s="33">
        <f t="shared" si="10"/>
        <v>5.9954582544813735E-2</v>
      </c>
      <c r="M36" s="33">
        <f t="shared" si="11"/>
        <v>6.6981678254554991E-2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5"/>
        <v>80686.031719999999</v>
      </c>
      <c r="V36" s="9">
        <v>7</v>
      </c>
      <c r="W36" s="9">
        <f t="shared" si="2"/>
        <v>80678.031719999999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9">
        <v>0</v>
      </c>
      <c r="AL36" s="30">
        <v>1</v>
      </c>
      <c r="AM36" s="21">
        <v>2006</v>
      </c>
      <c r="AN36" s="23"/>
      <c r="AO36" s="33">
        <v>0</v>
      </c>
      <c r="AP36" s="33">
        <v>0</v>
      </c>
      <c r="AQ36" s="33">
        <v>0</v>
      </c>
      <c r="AR36" s="43">
        <v>1</v>
      </c>
      <c r="AS36" s="33" t="s">
        <v>107</v>
      </c>
      <c r="AT36" s="43" t="s">
        <v>107</v>
      </c>
      <c r="AU36" s="42" t="s">
        <v>107</v>
      </c>
      <c r="AV36" s="18" t="s">
        <v>107</v>
      </c>
      <c r="AW36" s="39">
        <f t="shared" si="13"/>
        <v>0.46172000000000002</v>
      </c>
      <c r="AX36" s="40">
        <v>0.53827999999999998</v>
      </c>
      <c r="AY36">
        <v>0.52400000000000002</v>
      </c>
      <c r="AZ36" s="40">
        <v>0.47599999999999998</v>
      </c>
      <c r="BB36" s="18"/>
      <c r="BC36" t="s">
        <v>107</v>
      </c>
      <c r="BD36" s="18" t="s">
        <v>107</v>
      </c>
      <c r="BE36" s="18" t="s">
        <v>24</v>
      </c>
      <c r="BL36" s="18"/>
      <c r="BO36" s="18"/>
      <c r="BR36" s="25">
        <v>27.56</v>
      </c>
      <c r="BS36">
        <v>1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 s="18">
        <v>0</v>
      </c>
      <c r="CA36">
        <v>1</v>
      </c>
      <c r="CB36">
        <v>0</v>
      </c>
      <c r="CC36">
        <v>0</v>
      </c>
      <c r="CD36" s="18">
        <v>0</v>
      </c>
      <c r="CE36">
        <v>0</v>
      </c>
      <c r="CF36">
        <v>0</v>
      </c>
      <c r="CG36">
        <v>0</v>
      </c>
      <c r="CH36">
        <v>0</v>
      </c>
      <c r="CI36" s="18">
        <v>0</v>
      </c>
      <c r="CJ36">
        <v>0</v>
      </c>
      <c r="CK36">
        <v>0</v>
      </c>
      <c r="CL36">
        <v>1</v>
      </c>
      <c r="CM36">
        <v>1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 s="18">
        <v>0</v>
      </c>
      <c r="CZ36" s="34" t="s">
        <v>87</v>
      </c>
    </row>
    <row r="37" spans="1:104" x14ac:dyDescent="0.25">
      <c r="A37">
        <v>36</v>
      </c>
      <c r="B37">
        <v>2</v>
      </c>
      <c r="C37" s="25" t="s">
        <v>133</v>
      </c>
      <c r="D37" s="12">
        <v>3.6339712642529332</v>
      </c>
      <c r="E37" s="14">
        <v>0.33859320555336098</v>
      </c>
      <c r="F37" s="7">
        <v>10.732558139534886</v>
      </c>
      <c r="G37" s="7">
        <f t="shared" si="8"/>
        <v>3.2953780586995722</v>
      </c>
      <c r="H37" s="16">
        <f t="shared" si="9"/>
        <v>3.9725644698062941</v>
      </c>
      <c r="I37" s="11">
        <f t="shared" si="0"/>
        <v>3.7758592101221095E-2</v>
      </c>
      <c r="J37" s="33">
        <f t="shared" si="1"/>
        <v>3.5181353420422681E-3</v>
      </c>
      <c r="K37" s="33">
        <f t="shared" si="5"/>
        <v>284.24148100553253</v>
      </c>
      <c r="L37" s="33">
        <f t="shared" si="10"/>
        <v>3.4240456759178826E-2</v>
      </c>
      <c r="M37" s="33">
        <f t="shared" si="11"/>
        <v>4.1276727443263363E-2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5"/>
        <v>80686.031719999999</v>
      </c>
      <c r="V37" s="9">
        <v>7</v>
      </c>
      <c r="W37" s="9">
        <f t="shared" si="2"/>
        <v>80678.031719999999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9">
        <v>0</v>
      </c>
      <c r="AL37" s="30">
        <v>1</v>
      </c>
      <c r="AM37" s="21">
        <v>2006</v>
      </c>
      <c r="AN37" s="23"/>
      <c r="AO37" s="33">
        <v>0</v>
      </c>
      <c r="AP37" s="33">
        <v>0</v>
      </c>
      <c r="AQ37" s="33">
        <v>0</v>
      </c>
      <c r="AR37" s="43">
        <v>1</v>
      </c>
      <c r="AS37" s="33" t="s">
        <v>107</v>
      </c>
      <c r="AT37" s="43" t="s">
        <v>107</v>
      </c>
      <c r="AU37" s="42" t="s">
        <v>107</v>
      </c>
      <c r="AV37" s="18" t="s">
        <v>107</v>
      </c>
      <c r="AW37" s="39">
        <f t="shared" si="13"/>
        <v>0.46172000000000002</v>
      </c>
      <c r="AX37" s="40">
        <v>0.53827999999999998</v>
      </c>
      <c r="AY37">
        <v>0.52400000000000002</v>
      </c>
      <c r="AZ37" s="40">
        <v>0.47599999999999998</v>
      </c>
      <c r="BB37" s="18"/>
      <c r="BC37" t="s">
        <v>107</v>
      </c>
      <c r="BD37" s="18" t="s">
        <v>107</v>
      </c>
      <c r="BE37" s="18" t="s">
        <v>24</v>
      </c>
      <c r="BL37" s="18"/>
      <c r="BO37" s="18"/>
      <c r="BR37" s="25">
        <v>27.56</v>
      </c>
      <c r="BS37">
        <v>1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 s="18">
        <v>0</v>
      </c>
      <c r="CA37">
        <v>1</v>
      </c>
      <c r="CB37">
        <v>0</v>
      </c>
      <c r="CC37">
        <v>0</v>
      </c>
      <c r="CD37" s="18">
        <v>0</v>
      </c>
      <c r="CE37">
        <v>0</v>
      </c>
      <c r="CF37">
        <v>0</v>
      </c>
      <c r="CG37">
        <v>0</v>
      </c>
      <c r="CH37">
        <v>0</v>
      </c>
      <c r="CI37" s="18">
        <v>0</v>
      </c>
      <c r="CJ37">
        <v>0</v>
      </c>
      <c r="CK37">
        <v>0</v>
      </c>
      <c r="CL37">
        <v>1</v>
      </c>
      <c r="CM37">
        <v>1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 s="18">
        <v>0</v>
      </c>
      <c r="CZ37" s="34" t="s">
        <v>87</v>
      </c>
    </row>
    <row r="38" spans="1:104" x14ac:dyDescent="0.25">
      <c r="A38">
        <v>37</v>
      </c>
      <c r="B38">
        <v>2</v>
      </c>
      <c r="C38" s="25" t="s">
        <v>133</v>
      </c>
      <c r="D38" s="12">
        <v>5.9401584624788173</v>
      </c>
      <c r="E38" s="14">
        <v>1.0685999350490993</v>
      </c>
      <c r="F38" s="7">
        <v>5.5588235294117654</v>
      </c>
      <c r="G38" s="7">
        <f t="shared" si="8"/>
        <v>4.871558527429718</v>
      </c>
      <c r="H38" s="16">
        <f t="shared" si="9"/>
        <v>7.0087583975279166</v>
      </c>
      <c r="I38" s="11">
        <f t="shared" si="0"/>
        <v>1.9566902738827035E-2</v>
      </c>
      <c r="J38" s="33">
        <f t="shared" si="1"/>
        <v>3.5199719212704707E-3</v>
      </c>
      <c r="K38" s="33">
        <f t="shared" si="5"/>
        <v>284.09317527711073</v>
      </c>
      <c r="L38" s="33">
        <f t="shared" si="10"/>
        <v>1.6046930817556565E-2</v>
      </c>
      <c r="M38" s="33">
        <f t="shared" si="11"/>
        <v>2.3086874660097505E-2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5"/>
        <v>80686.031719999999</v>
      </c>
      <c r="V38" s="9">
        <v>7</v>
      </c>
      <c r="W38" s="9">
        <f t="shared" si="2"/>
        <v>80678.031719999999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9">
        <v>0</v>
      </c>
      <c r="AL38" s="30">
        <v>1</v>
      </c>
      <c r="AM38" s="21">
        <v>2008</v>
      </c>
      <c r="AN38" s="23"/>
      <c r="AO38" s="33">
        <v>0</v>
      </c>
      <c r="AP38" s="33">
        <v>0</v>
      </c>
      <c r="AQ38" s="33">
        <v>0</v>
      </c>
      <c r="AR38" s="43">
        <v>1</v>
      </c>
      <c r="AS38" s="33" t="s">
        <v>107</v>
      </c>
      <c r="AT38" s="43" t="s">
        <v>107</v>
      </c>
      <c r="AU38" s="42" t="s">
        <v>107</v>
      </c>
      <c r="AV38" s="18" t="s">
        <v>107</v>
      </c>
      <c r="AW38" s="39">
        <f t="shared" si="13"/>
        <v>0.46172000000000002</v>
      </c>
      <c r="AX38" s="40">
        <v>0.53827999999999998</v>
      </c>
      <c r="AY38">
        <v>0.52400000000000002</v>
      </c>
      <c r="AZ38" s="40">
        <v>0.47599999999999998</v>
      </c>
      <c r="BB38" s="18"/>
      <c r="BC38" t="s">
        <v>107</v>
      </c>
      <c r="BD38" s="18" t="s">
        <v>107</v>
      </c>
      <c r="BE38" s="18" t="s">
        <v>24</v>
      </c>
      <c r="BL38" s="18"/>
      <c r="BO38" s="18"/>
      <c r="BR38" s="25">
        <v>27.56</v>
      </c>
      <c r="BS38">
        <v>1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 s="18">
        <v>0</v>
      </c>
      <c r="CA38">
        <v>1</v>
      </c>
      <c r="CB38">
        <v>0</v>
      </c>
      <c r="CC38">
        <v>0</v>
      </c>
      <c r="CD38" s="18">
        <v>0</v>
      </c>
      <c r="CE38">
        <v>0</v>
      </c>
      <c r="CF38">
        <v>0</v>
      </c>
      <c r="CG38">
        <v>0</v>
      </c>
      <c r="CH38">
        <v>0</v>
      </c>
      <c r="CI38" s="18">
        <v>0</v>
      </c>
      <c r="CJ38">
        <v>0</v>
      </c>
      <c r="CK38">
        <v>0</v>
      </c>
      <c r="CL38">
        <v>1</v>
      </c>
      <c r="CM38">
        <v>1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 s="18">
        <v>0</v>
      </c>
      <c r="CZ38" s="34" t="s">
        <v>87</v>
      </c>
    </row>
    <row r="39" spans="1:104" x14ac:dyDescent="0.25">
      <c r="A39">
        <v>38</v>
      </c>
      <c r="B39">
        <v>2</v>
      </c>
      <c r="C39" s="25" t="s">
        <v>133</v>
      </c>
      <c r="D39" s="12">
        <v>8.476080955730648</v>
      </c>
      <c r="E39" s="14">
        <v>0.18573085759569147</v>
      </c>
      <c r="F39" s="7">
        <v>45.63636363636364</v>
      </c>
      <c r="G39" s="7">
        <f t="shared" si="8"/>
        <v>8.2903500981349563</v>
      </c>
      <c r="H39" s="16">
        <f t="shared" si="9"/>
        <v>8.6618118133263398</v>
      </c>
      <c r="I39" s="11">
        <f t="shared" si="0"/>
        <v>0.15863496957834702</v>
      </c>
      <c r="J39" s="33">
        <f t="shared" si="1"/>
        <v>3.4760650704418667E-3</v>
      </c>
      <c r="K39" s="33">
        <f t="shared" si="5"/>
        <v>287.68161117101386</v>
      </c>
      <c r="L39" s="33">
        <f t="shared" si="10"/>
        <v>0.15515890450790515</v>
      </c>
      <c r="M39" s="33">
        <f t="shared" si="11"/>
        <v>0.1621110346487889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5"/>
        <v>80686.031719999999</v>
      </c>
      <c r="V39" s="9">
        <v>7</v>
      </c>
      <c r="W39" s="9">
        <f t="shared" si="2"/>
        <v>80678.031719999999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9">
        <v>0</v>
      </c>
      <c r="AL39" s="30">
        <v>1</v>
      </c>
      <c r="AM39" s="21">
        <v>2008</v>
      </c>
      <c r="AN39" s="23"/>
      <c r="AO39" s="33">
        <v>0</v>
      </c>
      <c r="AP39" s="33">
        <v>0</v>
      </c>
      <c r="AQ39" s="33">
        <v>0</v>
      </c>
      <c r="AR39" s="43">
        <v>1</v>
      </c>
      <c r="AS39" s="33" t="s">
        <v>107</v>
      </c>
      <c r="AT39" s="43" t="s">
        <v>107</v>
      </c>
      <c r="AU39" s="42" t="s">
        <v>107</v>
      </c>
      <c r="AV39" s="18" t="s">
        <v>107</v>
      </c>
      <c r="AW39" s="39">
        <f t="shared" si="13"/>
        <v>0.46172000000000002</v>
      </c>
      <c r="AX39" s="40">
        <v>0.53827999999999998</v>
      </c>
      <c r="AY39">
        <v>0.52400000000000002</v>
      </c>
      <c r="AZ39" s="40">
        <v>0.47599999999999998</v>
      </c>
      <c r="BB39" s="18"/>
      <c r="BC39" t="s">
        <v>107</v>
      </c>
      <c r="BD39" s="18" t="s">
        <v>107</v>
      </c>
      <c r="BE39" s="18" t="s">
        <v>24</v>
      </c>
      <c r="BL39" s="18"/>
      <c r="BO39" s="18"/>
      <c r="BR39" s="25">
        <v>27.56</v>
      </c>
      <c r="BS39">
        <v>1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 s="18">
        <v>0</v>
      </c>
      <c r="CA39">
        <v>1</v>
      </c>
      <c r="CB39">
        <v>0</v>
      </c>
      <c r="CC39">
        <v>0</v>
      </c>
      <c r="CD39" s="18">
        <v>0</v>
      </c>
      <c r="CE39">
        <v>0</v>
      </c>
      <c r="CF39">
        <v>0</v>
      </c>
      <c r="CG39">
        <v>0</v>
      </c>
      <c r="CH39">
        <v>0</v>
      </c>
      <c r="CI39" s="18">
        <v>0</v>
      </c>
      <c r="CJ39">
        <v>0</v>
      </c>
      <c r="CK39">
        <v>0</v>
      </c>
      <c r="CL39">
        <v>1</v>
      </c>
      <c r="CM39">
        <v>1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 s="18">
        <v>0</v>
      </c>
      <c r="CZ39" s="34" t="s">
        <v>87</v>
      </c>
    </row>
    <row r="40" spans="1:104" x14ac:dyDescent="0.25">
      <c r="A40">
        <v>39</v>
      </c>
      <c r="B40">
        <v>2</v>
      </c>
      <c r="C40" s="25" t="s">
        <v>133</v>
      </c>
      <c r="D40" s="12">
        <v>15.108644332213373</v>
      </c>
      <c r="E40" s="14">
        <v>0.56634579721718814</v>
      </c>
      <c r="F40" s="7">
        <v>26.677419354838708</v>
      </c>
      <c r="G40" s="7">
        <f t="shared" si="8"/>
        <v>14.542298534996185</v>
      </c>
      <c r="H40" s="16">
        <f t="shared" si="9"/>
        <v>15.674990129430562</v>
      </c>
      <c r="I40" s="11">
        <f t="shared" si="0"/>
        <v>9.351021339012261E-2</v>
      </c>
      <c r="J40" s="33">
        <f t="shared" si="1"/>
        <v>3.5052196071267243E-3</v>
      </c>
      <c r="K40" s="33">
        <f t="shared" si="5"/>
        <v>285.28882982590454</v>
      </c>
      <c r="L40" s="33">
        <f t="shared" si="10"/>
        <v>9.0004993782995882E-2</v>
      </c>
      <c r="M40" s="33">
        <f t="shared" si="11"/>
        <v>9.7015432997249337E-2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>174751*AW40</f>
        <v>80686.031719999999</v>
      </c>
      <c r="V40" s="9">
        <v>7</v>
      </c>
      <c r="W40" s="9">
        <f t="shared" si="2"/>
        <v>80678.031719999999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9">
        <v>0</v>
      </c>
      <c r="AL40" s="30">
        <v>1</v>
      </c>
      <c r="AM40" s="21">
        <v>2008</v>
      </c>
      <c r="AN40" s="23"/>
      <c r="AO40" s="33">
        <v>0</v>
      </c>
      <c r="AP40" s="33">
        <v>0</v>
      </c>
      <c r="AQ40" s="33">
        <v>0</v>
      </c>
      <c r="AR40" s="43">
        <v>1</v>
      </c>
      <c r="AS40" s="33" t="s">
        <v>107</v>
      </c>
      <c r="AT40" s="43" t="s">
        <v>107</v>
      </c>
      <c r="AU40" s="42" t="s">
        <v>107</v>
      </c>
      <c r="AV40" s="18" t="s">
        <v>107</v>
      </c>
      <c r="AW40" s="39">
        <f t="shared" si="13"/>
        <v>0.46172000000000002</v>
      </c>
      <c r="AX40" s="40">
        <v>0.53827999999999998</v>
      </c>
      <c r="AY40">
        <v>0.52400000000000002</v>
      </c>
      <c r="AZ40" s="40">
        <v>0.47599999999999998</v>
      </c>
      <c r="BB40" s="18"/>
      <c r="BC40" t="s">
        <v>107</v>
      </c>
      <c r="BD40" s="18" t="s">
        <v>107</v>
      </c>
      <c r="BE40" s="18" t="s">
        <v>24</v>
      </c>
      <c r="BL40" s="18"/>
      <c r="BO40" s="18"/>
      <c r="BR40" s="25">
        <v>27.56</v>
      </c>
      <c r="BS40">
        <v>1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 s="18">
        <v>0</v>
      </c>
      <c r="CA40">
        <v>1</v>
      </c>
      <c r="CB40">
        <v>0</v>
      </c>
      <c r="CC40">
        <v>0</v>
      </c>
      <c r="CD40" s="18">
        <v>0</v>
      </c>
      <c r="CE40">
        <v>0</v>
      </c>
      <c r="CF40">
        <v>0</v>
      </c>
      <c r="CG40">
        <v>0</v>
      </c>
      <c r="CH40">
        <v>0</v>
      </c>
      <c r="CI40" s="18">
        <v>0</v>
      </c>
      <c r="CJ40">
        <v>0</v>
      </c>
      <c r="CK40">
        <v>0</v>
      </c>
      <c r="CL40">
        <v>1</v>
      </c>
      <c r="CM40">
        <v>1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 s="18">
        <v>0</v>
      </c>
      <c r="CZ40" s="34" t="s">
        <v>87</v>
      </c>
    </row>
    <row r="41" spans="1:104" x14ac:dyDescent="0.25">
      <c r="A41">
        <v>40</v>
      </c>
      <c r="B41">
        <v>2</v>
      </c>
      <c r="C41" s="25" t="s">
        <v>133</v>
      </c>
      <c r="D41" s="12">
        <v>3.2472759931224449</v>
      </c>
      <c r="E41" s="14">
        <v>0.16000016091532762</v>
      </c>
      <c r="F41" s="7">
        <v>20.295454545454547</v>
      </c>
      <c r="G41" s="7">
        <f t="shared" si="8"/>
        <v>3.0872758322071174</v>
      </c>
      <c r="H41" s="16">
        <f t="shared" si="9"/>
        <v>3.4072761540377723</v>
      </c>
      <c r="I41" s="11">
        <f t="shared" si="0"/>
        <v>7.1271401731552483E-2</v>
      </c>
      <c r="J41" s="33">
        <f t="shared" si="1"/>
        <v>3.5116928064818694E-3</v>
      </c>
      <c r="K41" s="33">
        <f t="shared" si="5"/>
        <v>284.76294912647364</v>
      </c>
      <c r="L41" s="33">
        <f t="shared" si="10"/>
        <v>6.7759708925070619E-2</v>
      </c>
      <c r="M41" s="33">
        <f t="shared" si="11"/>
        <v>7.4783094538034348E-2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>174751*AW41</f>
        <v>80686.031719999999</v>
      </c>
      <c r="V41" s="9">
        <v>7</v>
      </c>
      <c r="W41" s="9">
        <f t="shared" si="2"/>
        <v>80678.031719999999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9">
        <v>0</v>
      </c>
      <c r="AL41" s="30">
        <v>1</v>
      </c>
      <c r="AM41" s="21">
        <v>2008</v>
      </c>
      <c r="AN41" s="23"/>
      <c r="AO41" s="33">
        <v>0</v>
      </c>
      <c r="AP41" s="33">
        <v>0</v>
      </c>
      <c r="AQ41" s="33">
        <v>0</v>
      </c>
      <c r="AR41" s="43">
        <v>1</v>
      </c>
      <c r="AS41" s="33" t="s">
        <v>107</v>
      </c>
      <c r="AT41" s="43" t="s">
        <v>107</v>
      </c>
      <c r="AU41" s="42" t="s">
        <v>107</v>
      </c>
      <c r="AV41" s="18" t="s">
        <v>107</v>
      </c>
      <c r="AW41" s="39">
        <f t="shared" si="13"/>
        <v>0.46172000000000002</v>
      </c>
      <c r="AX41" s="40">
        <v>0.53827999999999998</v>
      </c>
      <c r="AY41">
        <v>0.52400000000000002</v>
      </c>
      <c r="AZ41" s="40">
        <v>0.47599999999999998</v>
      </c>
      <c r="BB41" s="18"/>
      <c r="BC41" t="s">
        <v>107</v>
      </c>
      <c r="BD41" s="18" t="s">
        <v>107</v>
      </c>
      <c r="BE41" s="18" t="s">
        <v>24</v>
      </c>
      <c r="BL41" s="18"/>
      <c r="BO41" s="18"/>
      <c r="BR41" s="25">
        <v>27.56</v>
      </c>
      <c r="BS41">
        <v>1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 s="18">
        <v>0</v>
      </c>
      <c r="CA41">
        <v>1</v>
      </c>
      <c r="CB41">
        <v>0</v>
      </c>
      <c r="CC41">
        <v>0</v>
      </c>
      <c r="CD41" s="18">
        <v>0</v>
      </c>
      <c r="CE41">
        <v>0</v>
      </c>
      <c r="CF41">
        <v>0</v>
      </c>
      <c r="CG41">
        <v>0</v>
      </c>
      <c r="CH41">
        <v>0</v>
      </c>
      <c r="CI41" s="18">
        <v>0</v>
      </c>
      <c r="CJ41">
        <v>0</v>
      </c>
      <c r="CK41">
        <v>0</v>
      </c>
      <c r="CL41">
        <v>1</v>
      </c>
      <c r="CM41">
        <v>1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 s="18">
        <v>0</v>
      </c>
      <c r="CZ41" s="34" t="s">
        <v>87</v>
      </c>
    </row>
    <row r="42" spans="1:104" x14ac:dyDescent="0.25">
      <c r="A42">
        <v>41</v>
      </c>
      <c r="B42">
        <v>2</v>
      </c>
      <c r="C42" s="25" t="s">
        <v>133</v>
      </c>
      <c r="D42" s="12">
        <v>4.5254472798147649</v>
      </c>
      <c r="E42" s="14">
        <v>1.9440301694978921</v>
      </c>
      <c r="F42" s="7">
        <v>2.3278688524590163</v>
      </c>
      <c r="G42" s="7">
        <f t="shared" si="8"/>
        <v>2.581417110316873</v>
      </c>
      <c r="H42" s="16">
        <f t="shared" si="9"/>
        <v>6.4694774493126568</v>
      </c>
      <c r="I42" s="11">
        <f t="shared" si="0"/>
        <v>7.5901526619205654E-3</v>
      </c>
      <c r="J42" s="33">
        <f t="shared" si="1"/>
        <v>3.2605585378672852E-3</v>
      </c>
      <c r="K42" s="33">
        <f t="shared" si="5"/>
        <v>306.6959198512335</v>
      </c>
      <c r="L42" s="33">
        <f t="shared" si="10"/>
        <v>4.3295941240532806E-3</v>
      </c>
      <c r="M42" s="33">
        <f t="shared" si="11"/>
        <v>1.085071119978785E-2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 t="shared" ref="U42:U53" si="16">174751*AX42</f>
        <v>94064.968280000001</v>
      </c>
      <c r="V42" s="9">
        <v>7</v>
      </c>
      <c r="W42" s="9">
        <f t="shared" si="2"/>
        <v>94056.968280000001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9">
        <v>0</v>
      </c>
      <c r="AL42" s="30">
        <v>1</v>
      </c>
      <c r="AM42" s="21">
        <v>2004</v>
      </c>
      <c r="AN42" s="23"/>
      <c r="AO42" s="33">
        <v>0</v>
      </c>
      <c r="AP42" s="33">
        <v>0</v>
      </c>
      <c r="AQ42" s="33">
        <v>0</v>
      </c>
      <c r="AR42" s="43">
        <v>1</v>
      </c>
      <c r="AS42" s="33" t="s">
        <v>107</v>
      </c>
      <c r="AT42" s="43" t="s">
        <v>107</v>
      </c>
      <c r="AU42" s="42" t="s">
        <v>107</v>
      </c>
      <c r="AV42" s="18" t="s">
        <v>107</v>
      </c>
      <c r="AW42" s="39">
        <f t="shared" si="13"/>
        <v>0.46172000000000002</v>
      </c>
      <c r="AX42" s="40">
        <v>0.53827999999999998</v>
      </c>
      <c r="AY42">
        <v>0.52400000000000002</v>
      </c>
      <c r="AZ42" s="40">
        <v>0.47599999999999998</v>
      </c>
      <c r="BB42" s="18"/>
      <c r="BC42" t="s">
        <v>107</v>
      </c>
      <c r="BD42" s="18" t="s">
        <v>107</v>
      </c>
      <c r="BE42" s="18" t="s">
        <v>24</v>
      </c>
      <c r="BL42" s="18"/>
      <c r="BO42" s="18"/>
      <c r="BR42" s="25">
        <v>27.56</v>
      </c>
      <c r="BS42">
        <v>1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 s="18">
        <v>0</v>
      </c>
      <c r="CA42">
        <v>1</v>
      </c>
      <c r="CB42">
        <v>0</v>
      </c>
      <c r="CC42">
        <v>0</v>
      </c>
      <c r="CD42" s="18">
        <v>0</v>
      </c>
      <c r="CE42">
        <v>0</v>
      </c>
      <c r="CF42">
        <v>0</v>
      </c>
      <c r="CG42">
        <v>0</v>
      </c>
      <c r="CH42">
        <v>0</v>
      </c>
      <c r="CI42" s="18">
        <v>0</v>
      </c>
      <c r="CJ42">
        <v>0</v>
      </c>
      <c r="CK42">
        <v>0</v>
      </c>
      <c r="CL42">
        <v>1</v>
      </c>
      <c r="CM42">
        <v>1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 s="18">
        <v>0</v>
      </c>
      <c r="CZ42" s="34" t="s">
        <v>87</v>
      </c>
    </row>
    <row r="43" spans="1:104" x14ac:dyDescent="0.25">
      <c r="A43">
        <v>42</v>
      </c>
      <c r="B43">
        <v>2</v>
      </c>
      <c r="C43" s="25" t="s">
        <v>133</v>
      </c>
      <c r="D43" s="12">
        <v>7.4005352510223332</v>
      </c>
      <c r="E43" s="14">
        <v>0.37951462825755555</v>
      </c>
      <c r="F43" s="7">
        <v>19.5</v>
      </c>
      <c r="G43" s="7">
        <f t="shared" si="8"/>
        <v>7.0210206227647776</v>
      </c>
      <c r="H43" s="16">
        <f t="shared" si="9"/>
        <v>7.7800498792798889</v>
      </c>
      <c r="I43" s="11">
        <f t="shared" si="0"/>
        <v>6.3454586487504697E-2</v>
      </c>
      <c r="J43" s="33">
        <f t="shared" si="1"/>
        <v>3.254081358333574E-3</v>
      </c>
      <c r="K43" s="33">
        <f t="shared" si="5"/>
        <v>307.30639153782664</v>
      </c>
      <c r="L43" s="33">
        <f t="shared" si="10"/>
        <v>6.020050512917112E-2</v>
      </c>
      <c r="M43" s="33">
        <f t="shared" si="11"/>
        <v>6.6708667845838274E-2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si="16"/>
        <v>94064.968280000001</v>
      </c>
      <c r="V43" s="9">
        <v>7</v>
      </c>
      <c r="W43" s="9">
        <f t="shared" si="2"/>
        <v>94056.968280000001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9">
        <v>0</v>
      </c>
      <c r="AL43" s="30">
        <v>1</v>
      </c>
      <c r="AM43" s="21">
        <v>2004</v>
      </c>
      <c r="AN43" s="23"/>
      <c r="AO43" s="33">
        <v>0</v>
      </c>
      <c r="AP43" s="33">
        <v>0</v>
      </c>
      <c r="AQ43" s="33">
        <v>0</v>
      </c>
      <c r="AR43" s="43">
        <v>1</v>
      </c>
      <c r="AS43" s="33" t="s">
        <v>107</v>
      </c>
      <c r="AT43" s="43" t="s">
        <v>107</v>
      </c>
      <c r="AU43" s="42" t="s">
        <v>107</v>
      </c>
      <c r="AV43" s="18" t="s">
        <v>107</v>
      </c>
      <c r="AW43" s="39">
        <f t="shared" si="13"/>
        <v>0.46172000000000002</v>
      </c>
      <c r="AX43" s="40">
        <v>0.53827999999999998</v>
      </c>
      <c r="AY43">
        <v>0.52400000000000002</v>
      </c>
      <c r="AZ43" s="40">
        <v>0.47599999999999998</v>
      </c>
      <c r="BB43" s="18"/>
      <c r="BC43" t="s">
        <v>107</v>
      </c>
      <c r="BD43" s="18" t="s">
        <v>107</v>
      </c>
      <c r="BE43" s="18" t="s">
        <v>24</v>
      </c>
      <c r="BL43" s="18"/>
      <c r="BO43" s="18"/>
      <c r="BR43" s="25">
        <v>27.56</v>
      </c>
      <c r="BS43">
        <v>1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 s="18">
        <v>0</v>
      </c>
      <c r="CA43">
        <v>1</v>
      </c>
      <c r="CB43">
        <v>0</v>
      </c>
      <c r="CC43">
        <v>0</v>
      </c>
      <c r="CD43" s="18">
        <v>0</v>
      </c>
      <c r="CE43">
        <v>0</v>
      </c>
      <c r="CF43">
        <v>0</v>
      </c>
      <c r="CG43">
        <v>0</v>
      </c>
      <c r="CH43">
        <v>0</v>
      </c>
      <c r="CI43" s="18">
        <v>0</v>
      </c>
      <c r="CJ43">
        <v>0</v>
      </c>
      <c r="CK43">
        <v>0</v>
      </c>
      <c r="CL43">
        <v>1</v>
      </c>
      <c r="CM43">
        <v>1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 s="18">
        <v>0</v>
      </c>
      <c r="CZ43" s="34" t="s">
        <v>87</v>
      </c>
    </row>
    <row r="44" spans="1:104" x14ac:dyDescent="0.25">
      <c r="A44">
        <v>43</v>
      </c>
      <c r="B44">
        <v>2</v>
      </c>
      <c r="C44" s="25" t="s">
        <v>133</v>
      </c>
      <c r="D44" s="12">
        <v>21.819538662728476</v>
      </c>
      <c r="E44" s="14">
        <v>2.2703791598676943</v>
      </c>
      <c r="F44" s="7">
        <v>9.6105263157894747</v>
      </c>
      <c r="G44" s="7">
        <f t="shared" si="8"/>
        <v>19.549159502860782</v>
      </c>
      <c r="H44" s="16">
        <f t="shared" si="9"/>
        <v>24.089917822596171</v>
      </c>
      <c r="I44" s="11">
        <f t="shared" si="0"/>
        <v>3.1321211648328781E-2</v>
      </c>
      <c r="J44" s="33">
        <f t="shared" si="1"/>
        <v>3.2590526906804314E-3</v>
      </c>
      <c r="K44" s="33">
        <f t="shared" si="5"/>
        <v>306.83762887896665</v>
      </c>
      <c r="L44" s="33">
        <f t="shared" si="10"/>
        <v>2.806215895764835E-2</v>
      </c>
      <c r="M44" s="33">
        <f t="shared" si="11"/>
        <v>3.4580264339009209E-2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6"/>
        <v>94064.968280000001</v>
      </c>
      <c r="V44" s="9">
        <v>7</v>
      </c>
      <c r="W44" s="9">
        <f t="shared" si="2"/>
        <v>94056.968280000001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9">
        <v>0</v>
      </c>
      <c r="AL44" s="30">
        <v>1</v>
      </c>
      <c r="AM44" s="21">
        <v>2004</v>
      </c>
      <c r="AN44" s="23"/>
      <c r="AO44" s="33">
        <v>0</v>
      </c>
      <c r="AP44" s="33">
        <v>0</v>
      </c>
      <c r="AQ44" s="33">
        <v>0</v>
      </c>
      <c r="AR44" s="43">
        <v>1</v>
      </c>
      <c r="AS44" s="33" t="s">
        <v>107</v>
      </c>
      <c r="AT44" s="43" t="s">
        <v>107</v>
      </c>
      <c r="AU44" s="42" t="s">
        <v>107</v>
      </c>
      <c r="AV44" s="18" t="s">
        <v>107</v>
      </c>
      <c r="AW44" s="39">
        <f t="shared" si="13"/>
        <v>0.46172000000000002</v>
      </c>
      <c r="AX44" s="40">
        <v>0.53827999999999998</v>
      </c>
      <c r="AY44">
        <v>0.52400000000000002</v>
      </c>
      <c r="AZ44" s="40">
        <v>0.47599999999999998</v>
      </c>
      <c r="BB44" s="18"/>
      <c r="BC44" t="s">
        <v>107</v>
      </c>
      <c r="BD44" s="18" t="s">
        <v>107</v>
      </c>
      <c r="BE44" s="18" t="s">
        <v>24</v>
      </c>
      <c r="BL44" s="18"/>
      <c r="BO44" s="18"/>
      <c r="BR44" s="25">
        <v>27.56</v>
      </c>
      <c r="BS44">
        <v>1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 s="18">
        <v>0</v>
      </c>
      <c r="CA44">
        <v>1</v>
      </c>
      <c r="CB44">
        <v>0</v>
      </c>
      <c r="CC44">
        <v>0</v>
      </c>
      <c r="CD44" s="18">
        <v>0</v>
      </c>
      <c r="CE44">
        <v>0</v>
      </c>
      <c r="CF44">
        <v>0</v>
      </c>
      <c r="CG44">
        <v>0</v>
      </c>
      <c r="CH44">
        <v>0</v>
      </c>
      <c r="CI44" s="18">
        <v>0</v>
      </c>
      <c r="CJ44">
        <v>0</v>
      </c>
      <c r="CK44">
        <v>0</v>
      </c>
      <c r="CL44">
        <v>1</v>
      </c>
      <c r="CM44">
        <v>1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 s="18">
        <v>0</v>
      </c>
      <c r="CZ44" s="34" t="s">
        <v>87</v>
      </c>
    </row>
    <row r="45" spans="1:104" x14ac:dyDescent="0.25">
      <c r="A45">
        <v>44</v>
      </c>
      <c r="B45">
        <v>2</v>
      </c>
      <c r="C45" s="25" t="s">
        <v>133</v>
      </c>
      <c r="D45" s="12">
        <v>-1.4606677513999022</v>
      </c>
      <c r="E45" s="14">
        <v>1.1268952561705128</v>
      </c>
      <c r="F45" s="7">
        <v>-1.2961876832844574</v>
      </c>
      <c r="G45" s="7">
        <f t="shared" si="8"/>
        <v>-2.5875630075704148</v>
      </c>
      <c r="H45" s="16">
        <f t="shared" si="9"/>
        <v>-0.33377249522938945</v>
      </c>
      <c r="I45" s="11">
        <f t="shared" si="0"/>
        <v>-4.2263798150961032E-3</v>
      </c>
      <c r="J45" s="33">
        <f t="shared" si="1"/>
        <v>3.2606233415107952E-3</v>
      </c>
      <c r="K45" s="33">
        <f t="shared" si="5"/>
        <v>306.68982438696969</v>
      </c>
      <c r="L45" s="33">
        <f t="shared" si="10"/>
        <v>-7.4870031566068983E-3</v>
      </c>
      <c r="M45" s="33">
        <f t="shared" si="11"/>
        <v>-9.6575647358530803E-4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6"/>
        <v>94064.968280000001</v>
      </c>
      <c r="V45" s="9">
        <v>7</v>
      </c>
      <c r="W45" s="9">
        <f t="shared" si="2"/>
        <v>94056.968280000001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9">
        <v>0</v>
      </c>
      <c r="AL45" s="30">
        <v>1</v>
      </c>
      <c r="AM45" s="21">
        <v>2004</v>
      </c>
      <c r="AN45" s="23"/>
      <c r="AO45" s="33">
        <v>0</v>
      </c>
      <c r="AP45" s="33">
        <v>0</v>
      </c>
      <c r="AQ45" s="33">
        <v>0</v>
      </c>
      <c r="AR45" s="43">
        <v>1</v>
      </c>
      <c r="AS45" s="33" t="s">
        <v>107</v>
      </c>
      <c r="AT45" s="43" t="s">
        <v>107</v>
      </c>
      <c r="AU45" s="42" t="s">
        <v>107</v>
      </c>
      <c r="AV45" s="18" t="s">
        <v>107</v>
      </c>
      <c r="AW45" s="39">
        <f t="shared" si="13"/>
        <v>0.46172000000000002</v>
      </c>
      <c r="AX45" s="40">
        <v>0.53827999999999998</v>
      </c>
      <c r="AY45">
        <v>0.52400000000000002</v>
      </c>
      <c r="AZ45" s="40">
        <v>0.47599999999999998</v>
      </c>
      <c r="BB45" s="18"/>
      <c r="BC45" t="s">
        <v>107</v>
      </c>
      <c r="BD45" s="18" t="s">
        <v>107</v>
      </c>
      <c r="BE45" s="18" t="s">
        <v>24</v>
      </c>
      <c r="BL45" s="18"/>
      <c r="BO45" s="18"/>
      <c r="BR45" s="25">
        <v>27.56</v>
      </c>
      <c r="BS45">
        <v>1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 s="18">
        <v>0</v>
      </c>
      <c r="CA45">
        <v>1</v>
      </c>
      <c r="CB45">
        <v>0</v>
      </c>
      <c r="CC45">
        <v>0</v>
      </c>
      <c r="CD45" s="18">
        <v>0</v>
      </c>
      <c r="CE45">
        <v>0</v>
      </c>
      <c r="CF45">
        <v>0</v>
      </c>
      <c r="CG45">
        <v>0</v>
      </c>
      <c r="CH45">
        <v>0</v>
      </c>
      <c r="CI45" s="18">
        <v>0</v>
      </c>
      <c r="CJ45">
        <v>0</v>
      </c>
      <c r="CK45">
        <v>0</v>
      </c>
      <c r="CL45">
        <v>1</v>
      </c>
      <c r="CM45">
        <v>1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 s="18">
        <v>0</v>
      </c>
      <c r="CZ45" s="34" t="s">
        <v>87</v>
      </c>
    </row>
    <row r="46" spans="1:104" x14ac:dyDescent="0.25">
      <c r="A46">
        <v>45</v>
      </c>
      <c r="B46">
        <v>2</v>
      </c>
      <c r="C46" s="25" t="s">
        <v>133</v>
      </c>
      <c r="D46" s="12">
        <v>5.7318486246754397</v>
      </c>
      <c r="E46" s="14">
        <v>1.4172153192878836</v>
      </c>
      <c r="F46" s="7">
        <v>4.0444444444444443</v>
      </c>
      <c r="G46" s="7">
        <f t="shared" si="8"/>
        <v>4.3146333053875559</v>
      </c>
      <c r="H46" s="16">
        <f t="shared" si="9"/>
        <v>7.1490639439633235</v>
      </c>
      <c r="I46" s="11">
        <f t="shared" si="0"/>
        <v>1.3186381161444095E-2</v>
      </c>
      <c r="J46" s="33">
        <f t="shared" si="1"/>
        <v>3.2603689684889249E-3</v>
      </c>
      <c r="K46" s="33">
        <f t="shared" si="5"/>
        <v>306.71375223628985</v>
      </c>
      <c r="L46" s="33">
        <f t="shared" si="10"/>
        <v>9.9260121929551706E-3</v>
      </c>
      <c r="M46" s="33">
        <f t="shared" si="11"/>
        <v>1.6446750129933019E-2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6"/>
        <v>94064.968280000001</v>
      </c>
      <c r="V46" s="9">
        <v>7</v>
      </c>
      <c r="W46" s="9">
        <f t="shared" si="2"/>
        <v>94056.968280000001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9">
        <v>0</v>
      </c>
      <c r="AL46" s="30">
        <v>1</v>
      </c>
      <c r="AM46" s="21">
        <v>2006</v>
      </c>
      <c r="AN46" s="23"/>
      <c r="AO46" s="33">
        <v>0</v>
      </c>
      <c r="AP46" s="33">
        <v>0</v>
      </c>
      <c r="AQ46" s="33">
        <v>0</v>
      </c>
      <c r="AR46" s="43">
        <v>1</v>
      </c>
      <c r="AS46" s="33" t="s">
        <v>107</v>
      </c>
      <c r="AT46" s="43" t="s">
        <v>107</v>
      </c>
      <c r="AU46" s="42" t="s">
        <v>107</v>
      </c>
      <c r="AV46" s="18" t="s">
        <v>107</v>
      </c>
      <c r="AW46" s="39">
        <f t="shared" si="13"/>
        <v>0.46172000000000002</v>
      </c>
      <c r="AX46" s="40">
        <v>0.53827999999999998</v>
      </c>
      <c r="AY46">
        <v>0.52400000000000002</v>
      </c>
      <c r="AZ46" s="40">
        <v>0.47599999999999998</v>
      </c>
      <c r="BB46" s="18"/>
      <c r="BC46" t="s">
        <v>107</v>
      </c>
      <c r="BD46" s="18" t="s">
        <v>107</v>
      </c>
      <c r="BE46" s="18" t="s">
        <v>24</v>
      </c>
      <c r="BL46" s="18"/>
      <c r="BO46" s="18"/>
      <c r="BR46" s="25">
        <v>27.56</v>
      </c>
      <c r="BS46">
        <v>1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 s="18">
        <v>0</v>
      </c>
      <c r="CA46">
        <v>1</v>
      </c>
      <c r="CB46">
        <v>0</v>
      </c>
      <c r="CC46">
        <v>0</v>
      </c>
      <c r="CD46" s="18">
        <v>0</v>
      </c>
      <c r="CE46">
        <v>0</v>
      </c>
      <c r="CF46">
        <v>0</v>
      </c>
      <c r="CG46">
        <v>0</v>
      </c>
      <c r="CH46">
        <v>0</v>
      </c>
      <c r="CI46" s="18">
        <v>0</v>
      </c>
      <c r="CJ46">
        <v>0</v>
      </c>
      <c r="CK46">
        <v>0</v>
      </c>
      <c r="CL46">
        <v>1</v>
      </c>
      <c r="CM46">
        <v>1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 s="18">
        <v>0</v>
      </c>
      <c r="CZ46" s="34" t="s">
        <v>87</v>
      </c>
    </row>
    <row r="47" spans="1:104" x14ac:dyDescent="0.25">
      <c r="A47">
        <v>46</v>
      </c>
      <c r="B47">
        <v>2</v>
      </c>
      <c r="C47" s="25" t="s">
        <v>133</v>
      </c>
      <c r="D47" s="12">
        <v>6.498652656427617</v>
      </c>
      <c r="E47" s="14">
        <v>0.28102281757524833</v>
      </c>
      <c r="F47" s="7">
        <v>23.124999999999996</v>
      </c>
      <c r="G47" s="7">
        <f t="shared" si="8"/>
        <v>6.2176298388523685</v>
      </c>
      <c r="H47" s="16">
        <f t="shared" si="9"/>
        <v>6.7796754740028655</v>
      </c>
      <c r="I47" s="11">
        <f t="shared" si="0"/>
        <v>7.5189145327607496E-2</v>
      </c>
      <c r="J47" s="33">
        <f t="shared" si="1"/>
        <v>3.2514225006532982E-3</v>
      </c>
      <c r="K47" s="33">
        <f t="shared" si="5"/>
        <v>307.55769199452641</v>
      </c>
      <c r="L47" s="33">
        <f t="shared" si="10"/>
        <v>7.1937722826954195E-2</v>
      </c>
      <c r="M47" s="33">
        <f t="shared" si="11"/>
        <v>7.8440567828260796E-2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6"/>
        <v>94064.968280000001</v>
      </c>
      <c r="V47" s="9">
        <v>7</v>
      </c>
      <c r="W47" s="9">
        <f t="shared" si="2"/>
        <v>94056.968280000001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9">
        <v>0</v>
      </c>
      <c r="AL47" s="30">
        <v>1</v>
      </c>
      <c r="AM47" s="21">
        <v>2006</v>
      </c>
      <c r="AN47" s="23"/>
      <c r="AO47" s="33">
        <v>0</v>
      </c>
      <c r="AP47" s="33">
        <v>0</v>
      </c>
      <c r="AQ47" s="33">
        <v>0</v>
      </c>
      <c r="AR47" s="43">
        <v>1</v>
      </c>
      <c r="AS47" s="33" t="s">
        <v>107</v>
      </c>
      <c r="AT47" s="43" t="s">
        <v>107</v>
      </c>
      <c r="AU47" s="42" t="s">
        <v>107</v>
      </c>
      <c r="AV47" s="18" t="s">
        <v>107</v>
      </c>
      <c r="AW47" s="39">
        <f t="shared" si="13"/>
        <v>0.46172000000000002</v>
      </c>
      <c r="AX47" s="40">
        <v>0.53827999999999998</v>
      </c>
      <c r="AY47">
        <v>0.52400000000000002</v>
      </c>
      <c r="AZ47" s="40">
        <v>0.47599999999999998</v>
      </c>
      <c r="BB47" s="18"/>
      <c r="BC47" t="s">
        <v>107</v>
      </c>
      <c r="BD47" s="18" t="s">
        <v>107</v>
      </c>
      <c r="BE47" s="18" t="s">
        <v>24</v>
      </c>
      <c r="BL47" s="18"/>
      <c r="BO47" s="18"/>
      <c r="BR47" s="25">
        <v>27.56</v>
      </c>
      <c r="BS47">
        <v>1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 s="18">
        <v>0</v>
      </c>
      <c r="CA47">
        <v>1</v>
      </c>
      <c r="CB47">
        <v>0</v>
      </c>
      <c r="CC47">
        <v>0</v>
      </c>
      <c r="CD47" s="18">
        <v>0</v>
      </c>
      <c r="CE47">
        <v>0</v>
      </c>
      <c r="CF47">
        <v>0</v>
      </c>
      <c r="CG47">
        <v>0</v>
      </c>
      <c r="CH47">
        <v>0</v>
      </c>
      <c r="CI47" s="18">
        <v>0</v>
      </c>
      <c r="CJ47">
        <v>0</v>
      </c>
      <c r="CK47">
        <v>0</v>
      </c>
      <c r="CL47">
        <v>1</v>
      </c>
      <c r="CM47">
        <v>1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 s="18">
        <v>0</v>
      </c>
      <c r="CZ47" s="34" t="s">
        <v>87</v>
      </c>
    </row>
    <row r="48" spans="1:104" x14ac:dyDescent="0.25">
      <c r="A48">
        <v>47</v>
      </c>
      <c r="B48">
        <v>2</v>
      </c>
      <c r="C48" s="25" t="s">
        <v>133</v>
      </c>
      <c r="D48" s="12">
        <v>10.000000000000009</v>
      </c>
      <c r="E48" s="14">
        <v>0.87931034482758696</v>
      </c>
      <c r="F48" s="7">
        <v>11.372549019607844</v>
      </c>
      <c r="G48" s="7">
        <f t="shared" si="8"/>
        <v>9.1206896551724217</v>
      </c>
      <c r="H48" s="16">
        <f t="shared" si="9"/>
        <v>10.879310344827596</v>
      </c>
      <c r="I48" s="11">
        <f t="shared" si="0"/>
        <v>3.7056461118372665E-2</v>
      </c>
      <c r="J48" s="33">
        <f t="shared" si="1"/>
        <v>3.2584129604086307E-3</v>
      </c>
      <c r="K48" s="33">
        <f t="shared" si="5"/>
        <v>306.89787088085734</v>
      </c>
      <c r="L48" s="33">
        <f t="shared" si="10"/>
        <v>3.3798048157964035E-2</v>
      </c>
      <c r="M48" s="33">
        <f t="shared" si="11"/>
        <v>4.0314874078781295E-2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6"/>
        <v>94064.968280000001</v>
      </c>
      <c r="V48" s="9">
        <v>7</v>
      </c>
      <c r="W48" s="9">
        <f t="shared" si="2"/>
        <v>94056.968280000001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9">
        <v>0</v>
      </c>
      <c r="AL48" s="30">
        <v>1</v>
      </c>
      <c r="AM48" s="21">
        <v>2006</v>
      </c>
      <c r="AN48" s="23"/>
      <c r="AO48" s="33">
        <v>0</v>
      </c>
      <c r="AP48" s="33">
        <v>0</v>
      </c>
      <c r="AQ48" s="33">
        <v>0</v>
      </c>
      <c r="AR48" s="43">
        <v>1</v>
      </c>
      <c r="AS48" s="33" t="s">
        <v>107</v>
      </c>
      <c r="AT48" s="43" t="s">
        <v>107</v>
      </c>
      <c r="AU48" s="42" t="s">
        <v>107</v>
      </c>
      <c r="AV48" s="18" t="s">
        <v>107</v>
      </c>
      <c r="AW48" s="39">
        <f t="shared" si="13"/>
        <v>0.46172000000000002</v>
      </c>
      <c r="AX48" s="40">
        <v>0.53827999999999998</v>
      </c>
      <c r="AY48">
        <v>0.52400000000000002</v>
      </c>
      <c r="AZ48" s="40">
        <v>0.47599999999999998</v>
      </c>
      <c r="BB48" s="18"/>
      <c r="BC48" t="s">
        <v>107</v>
      </c>
      <c r="BD48" s="18" t="s">
        <v>107</v>
      </c>
      <c r="BE48" s="18" t="s">
        <v>24</v>
      </c>
      <c r="BL48" s="18"/>
      <c r="BO48" s="18"/>
      <c r="BR48" s="25">
        <v>27.56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 s="18">
        <v>0</v>
      </c>
      <c r="CA48">
        <v>1</v>
      </c>
      <c r="CB48">
        <v>0</v>
      </c>
      <c r="CC48">
        <v>0</v>
      </c>
      <c r="CD48" s="18">
        <v>0</v>
      </c>
      <c r="CE48">
        <v>0</v>
      </c>
      <c r="CF48">
        <v>0</v>
      </c>
      <c r="CG48">
        <v>0</v>
      </c>
      <c r="CH48">
        <v>0</v>
      </c>
      <c r="CI48" s="18">
        <v>0</v>
      </c>
      <c r="CJ48">
        <v>0</v>
      </c>
      <c r="CK48">
        <v>0</v>
      </c>
      <c r="CL48">
        <v>1</v>
      </c>
      <c r="CM48">
        <v>1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 s="18">
        <v>0</v>
      </c>
      <c r="CZ48" s="34" t="s">
        <v>87</v>
      </c>
    </row>
    <row r="49" spans="1:104" x14ac:dyDescent="0.25">
      <c r="A49">
        <v>48</v>
      </c>
      <c r="B49">
        <v>2</v>
      </c>
      <c r="C49" s="25" t="s">
        <v>133</v>
      </c>
      <c r="D49" s="12">
        <v>11.937482551645772</v>
      </c>
      <c r="E49" s="14">
        <v>0.19633074544723539</v>
      </c>
      <c r="F49" s="7">
        <v>60.802919708029194</v>
      </c>
      <c r="G49" s="7">
        <f t="shared" si="8"/>
        <v>11.741151806198536</v>
      </c>
      <c r="H49" s="16">
        <f t="shared" si="9"/>
        <v>12.133813297093008</v>
      </c>
      <c r="I49" s="11">
        <f t="shared" si="0"/>
        <v>0.19447207452426696</v>
      </c>
      <c r="J49" s="33">
        <f t="shared" si="1"/>
        <v>3.1984002652850627E-3</v>
      </c>
      <c r="K49" s="33">
        <f t="shared" si="5"/>
        <v>312.65630223141358</v>
      </c>
      <c r="L49" s="33">
        <f t="shared" si="10"/>
        <v>0.1912736742589819</v>
      </c>
      <c r="M49" s="33">
        <f t="shared" si="11"/>
        <v>0.19767047478955202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6"/>
        <v>94064.968280000001</v>
      </c>
      <c r="V49" s="9">
        <v>7</v>
      </c>
      <c r="W49" s="9">
        <f t="shared" si="2"/>
        <v>94056.968280000001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9">
        <v>0</v>
      </c>
      <c r="AL49" s="30">
        <v>1</v>
      </c>
      <c r="AM49" s="21">
        <v>2006</v>
      </c>
      <c r="AN49" s="23"/>
      <c r="AO49" s="33">
        <v>0</v>
      </c>
      <c r="AP49" s="33">
        <v>0</v>
      </c>
      <c r="AQ49" s="33">
        <v>0</v>
      </c>
      <c r="AR49" s="43">
        <v>1</v>
      </c>
      <c r="AS49" s="33" t="s">
        <v>107</v>
      </c>
      <c r="AT49" s="43" t="s">
        <v>107</v>
      </c>
      <c r="AU49" s="42" t="s">
        <v>107</v>
      </c>
      <c r="AV49" s="18" t="s">
        <v>107</v>
      </c>
      <c r="AW49" s="39">
        <f t="shared" si="13"/>
        <v>0.46172000000000002</v>
      </c>
      <c r="AX49" s="40">
        <v>0.53827999999999998</v>
      </c>
      <c r="AY49">
        <v>0.52400000000000002</v>
      </c>
      <c r="AZ49" s="40">
        <v>0.47599999999999998</v>
      </c>
      <c r="BB49" s="18"/>
      <c r="BC49" t="s">
        <v>107</v>
      </c>
      <c r="BD49" s="18" t="s">
        <v>107</v>
      </c>
      <c r="BE49" s="18" t="s">
        <v>24</v>
      </c>
      <c r="BL49" s="18"/>
      <c r="BO49" s="18"/>
      <c r="BR49" s="25">
        <v>27.56</v>
      </c>
      <c r="BS49">
        <v>1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 s="18">
        <v>0</v>
      </c>
      <c r="CA49">
        <v>1</v>
      </c>
      <c r="CB49">
        <v>0</v>
      </c>
      <c r="CC49">
        <v>0</v>
      </c>
      <c r="CD49" s="18">
        <v>0</v>
      </c>
      <c r="CE49">
        <v>0</v>
      </c>
      <c r="CF49">
        <v>0</v>
      </c>
      <c r="CG49">
        <v>0</v>
      </c>
      <c r="CH49">
        <v>0</v>
      </c>
      <c r="CI49" s="18">
        <v>0</v>
      </c>
      <c r="CJ49">
        <v>0</v>
      </c>
      <c r="CK49">
        <v>0</v>
      </c>
      <c r="CL49">
        <v>1</v>
      </c>
      <c r="CM49">
        <v>1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 s="18">
        <v>0</v>
      </c>
      <c r="CZ49" s="34" t="s">
        <v>87</v>
      </c>
    </row>
    <row r="50" spans="1:104" x14ac:dyDescent="0.25">
      <c r="A50">
        <v>49</v>
      </c>
      <c r="B50">
        <v>2</v>
      </c>
      <c r="C50" s="25" t="s">
        <v>133</v>
      </c>
      <c r="D50" s="12">
        <v>4.5254472798147649</v>
      </c>
      <c r="E50" s="14">
        <v>1.1472964934741658</v>
      </c>
      <c r="F50" s="7">
        <v>3.9444444444444442</v>
      </c>
      <c r="G50" s="7">
        <f t="shared" si="8"/>
        <v>3.3781507863405991</v>
      </c>
      <c r="H50" s="16">
        <f t="shared" si="9"/>
        <v>5.6727437732889303</v>
      </c>
      <c r="I50" s="11">
        <f t="shared" si="0"/>
        <v>1.2860398871209185E-2</v>
      </c>
      <c r="J50" s="33">
        <f t="shared" si="1"/>
        <v>3.2603828124192305E-3</v>
      </c>
      <c r="K50" s="33">
        <f t="shared" si="5"/>
        <v>306.71244989725358</v>
      </c>
      <c r="L50" s="33">
        <f t="shared" si="10"/>
        <v>9.600016058789955E-3</v>
      </c>
      <c r="M50" s="33">
        <f t="shared" si="11"/>
        <v>1.6120781683628415E-2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6"/>
        <v>94064.968280000001</v>
      </c>
      <c r="V50" s="9">
        <v>7</v>
      </c>
      <c r="W50" s="9">
        <f t="shared" si="2"/>
        <v>94056.968280000001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9">
        <v>0</v>
      </c>
      <c r="AL50" s="30">
        <v>1</v>
      </c>
      <c r="AM50" s="21">
        <v>2008</v>
      </c>
      <c r="AN50" s="23"/>
      <c r="AO50" s="33">
        <v>0</v>
      </c>
      <c r="AP50" s="33">
        <v>0</v>
      </c>
      <c r="AQ50" s="33">
        <v>0</v>
      </c>
      <c r="AR50" s="43">
        <v>1</v>
      </c>
      <c r="AS50" s="33" t="s">
        <v>107</v>
      </c>
      <c r="AT50" s="43" t="s">
        <v>107</v>
      </c>
      <c r="AU50" s="42" t="s">
        <v>107</v>
      </c>
      <c r="AV50" s="18" t="s">
        <v>107</v>
      </c>
      <c r="AW50" s="39">
        <f t="shared" si="13"/>
        <v>0.46172000000000002</v>
      </c>
      <c r="AX50" s="40">
        <v>0.53827999999999998</v>
      </c>
      <c r="AY50">
        <v>0.52400000000000002</v>
      </c>
      <c r="AZ50" s="40">
        <v>0.47599999999999998</v>
      </c>
      <c r="BB50" s="18"/>
      <c r="BC50" t="s">
        <v>107</v>
      </c>
      <c r="BD50" s="18" t="s">
        <v>107</v>
      </c>
      <c r="BE50" s="18" t="s">
        <v>24</v>
      </c>
      <c r="BL50" s="18"/>
      <c r="BO50" s="18"/>
      <c r="BR50" s="25">
        <v>27.56</v>
      </c>
      <c r="BS50">
        <v>1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 s="18">
        <v>0</v>
      </c>
      <c r="CA50">
        <v>1</v>
      </c>
      <c r="CB50">
        <v>0</v>
      </c>
      <c r="CC50">
        <v>0</v>
      </c>
      <c r="CD50" s="18">
        <v>0</v>
      </c>
      <c r="CE50">
        <v>0</v>
      </c>
      <c r="CF50">
        <v>0</v>
      </c>
      <c r="CG50">
        <v>0</v>
      </c>
      <c r="CH50">
        <v>0</v>
      </c>
      <c r="CI50" s="18">
        <v>0</v>
      </c>
      <c r="CJ50">
        <v>0</v>
      </c>
      <c r="CK50">
        <v>0</v>
      </c>
      <c r="CL50">
        <v>1</v>
      </c>
      <c r="CM50">
        <v>1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 s="18">
        <v>0</v>
      </c>
      <c r="CZ50" s="34" t="s">
        <v>87</v>
      </c>
    </row>
    <row r="51" spans="1:104" x14ac:dyDescent="0.25">
      <c r="A51">
        <v>50</v>
      </c>
      <c r="B51">
        <v>2</v>
      </c>
      <c r="C51" s="25" t="s">
        <v>133</v>
      </c>
      <c r="D51" s="12">
        <v>6.3895988043532581</v>
      </c>
      <c r="E51" s="14">
        <v>0.22882860731843624</v>
      </c>
      <c r="F51" s="7">
        <v>27.923076923076923</v>
      </c>
      <c r="G51" s="7">
        <f t="shared" si="8"/>
        <v>6.1607701970348216</v>
      </c>
      <c r="H51" s="16">
        <f t="shared" si="9"/>
        <v>6.6184274116716946</v>
      </c>
      <c r="I51" s="11">
        <f t="shared" si="0"/>
        <v>9.06724044784957E-2</v>
      </c>
      <c r="J51" s="33">
        <f t="shared" si="1"/>
        <v>3.2472210970260163E-3</v>
      </c>
      <c r="K51" s="33">
        <f t="shared" si="5"/>
        <v>307.95562424617623</v>
      </c>
      <c r="L51" s="33">
        <f t="shared" si="10"/>
        <v>8.7425183381469679E-2</v>
      </c>
      <c r="M51" s="33">
        <f t="shared" si="11"/>
        <v>9.391962557552172E-2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6"/>
        <v>94064.968280000001</v>
      </c>
      <c r="V51" s="9">
        <v>7</v>
      </c>
      <c r="W51" s="9">
        <f t="shared" si="2"/>
        <v>94056.968280000001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9">
        <v>0</v>
      </c>
      <c r="AL51" s="30">
        <v>1</v>
      </c>
      <c r="AM51" s="21">
        <v>2008</v>
      </c>
      <c r="AN51" s="23"/>
      <c r="AO51" s="33">
        <v>0</v>
      </c>
      <c r="AP51" s="33">
        <v>0</v>
      </c>
      <c r="AQ51" s="33">
        <v>0</v>
      </c>
      <c r="AR51" s="43">
        <v>1</v>
      </c>
      <c r="AS51" s="33" t="s">
        <v>107</v>
      </c>
      <c r="AT51" s="43" t="s">
        <v>107</v>
      </c>
      <c r="AU51" s="42" t="s">
        <v>107</v>
      </c>
      <c r="AV51" s="18" t="s">
        <v>107</v>
      </c>
      <c r="AW51" s="39">
        <f t="shared" si="13"/>
        <v>0.46172000000000002</v>
      </c>
      <c r="AX51" s="40">
        <v>0.53827999999999998</v>
      </c>
      <c r="AY51">
        <v>0.52400000000000002</v>
      </c>
      <c r="AZ51" s="40">
        <v>0.47599999999999998</v>
      </c>
      <c r="BB51" s="18"/>
      <c r="BC51" t="s">
        <v>107</v>
      </c>
      <c r="BD51" s="18" t="s">
        <v>107</v>
      </c>
      <c r="BE51" s="18" t="s">
        <v>24</v>
      </c>
      <c r="BL51" s="18"/>
      <c r="BO51" s="18"/>
      <c r="BR51" s="25">
        <v>27.56</v>
      </c>
      <c r="BS51">
        <v>1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 s="18">
        <v>0</v>
      </c>
      <c r="CA51">
        <v>1</v>
      </c>
      <c r="CB51">
        <v>0</v>
      </c>
      <c r="CC51">
        <v>0</v>
      </c>
      <c r="CD51" s="18">
        <v>0</v>
      </c>
      <c r="CE51">
        <v>0</v>
      </c>
      <c r="CF51">
        <v>0</v>
      </c>
      <c r="CG51">
        <v>0</v>
      </c>
      <c r="CH51">
        <v>0</v>
      </c>
      <c r="CI51" s="18">
        <v>0</v>
      </c>
      <c r="CJ51">
        <v>0</v>
      </c>
      <c r="CK51">
        <v>0</v>
      </c>
      <c r="CL51">
        <v>1</v>
      </c>
      <c r="CM51">
        <v>1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 s="18">
        <v>0</v>
      </c>
      <c r="CZ51" s="34" t="s">
        <v>87</v>
      </c>
    </row>
    <row r="52" spans="1:104" x14ac:dyDescent="0.25">
      <c r="A52">
        <v>51</v>
      </c>
      <c r="B52">
        <v>2</v>
      </c>
      <c r="C52" s="25" t="s">
        <v>133</v>
      </c>
      <c r="D52" s="12">
        <v>10.408333018844186</v>
      </c>
      <c r="E52" s="14">
        <v>0.59016321240869107</v>
      </c>
      <c r="F52" s="7">
        <v>17.636363636363633</v>
      </c>
      <c r="G52" s="7">
        <f t="shared" si="8"/>
        <v>9.8181698064354954</v>
      </c>
      <c r="H52" s="16">
        <f t="shared" si="9"/>
        <v>10.998496231252876</v>
      </c>
      <c r="I52" s="11">
        <f t="shared" si="0"/>
        <v>5.7411203003737227E-2</v>
      </c>
      <c r="J52" s="33">
        <f t="shared" si="1"/>
        <v>3.2552743971191217E-3</v>
      </c>
      <c r="K52" s="33">
        <f t="shared" si="5"/>
        <v>307.19376556550435</v>
      </c>
      <c r="L52" s="33">
        <f t="shared" si="10"/>
        <v>5.4155928606618102E-2</v>
      </c>
      <c r="M52" s="33">
        <f t="shared" si="11"/>
        <v>6.0666477400856351E-2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6"/>
        <v>94064.968280000001</v>
      </c>
      <c r="V52" s="9">
        <v>7</v>
      </c>
      <c r="W52" s="9">
        <f t="shared" si="2"/>
        <v>94056.968280000001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9">
        <v>0</v>
      </c>
      <c r="AL52" s="30">
        <v>1</v>
      </c>
      <c r="AM52" s="21">
        <v>2008</v>
      </c>
      <c r="AN52" s="23"/>
      <c r="AO52" s="33">
        <v>0</v>
      </c>
      <c r="AP52" s="33">
        <v>0</v>
      </c>
      <c r="AQ52" s="33">
        <v>0</v>
      </c>
      <c r="AR52" s="43">
        <v>1</v>
      </c>
      <c r="AS52" s="33" t="s">
        <v>107</v>
      </c>
      <c r="AT52" s="43" t="s">
        <v>107</v>
      </c>
      <c r="AU52" s="42" t="s">
        <v>107</v>
      </c>
      <c r="AV52" s="18" t="s">
        <v>107</v>
      </c>
      <c r="AW52" s="39">
        <f t="shared" si="13"/>
        <v>0.46172000000000002</v>
      </c>
      <c r="AX52" s="40">
        <v>0.53827999999999998</v>
      </c>
      <c r="AY52">
        <v>0.52400000000000002</v>
      </c>
      <c r="AZ52" s="40">
        <v>0.47599999999999998</v>
      </c>
      <c r="BB52" s="18"/>
      <c r="BC52" t="s">
        <v>107</v>
      </c>
      <c r="BD52" s="18" t="s">
        <v>107</v>
      </c>
      <c r="BE52" s="18" t="s">
        <v>24</v>
      </c>
      <c r="BL52" s="18"/>
      <c r="BO52" s="18"/>
      <c r="BR52" s="25">
        <v>27.56</v>
      </c>
      <c r="BS52">
        <v>1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 s="18">
        <v>0</v>
      </c>
      <c r="CA52">
        <v>1</v>
      </c>
      <c r="CB52">
        <v>0</v>
      </c>
      <c r="CC52">
        <v>0</v>
      </c>
      <c r="CD52" s="18">
        <v>0</v>
      </c>
      <c r="CE52">
        <v>0</v>
      </c>
      <c r="CF52">
        <v>0</v>
      </c>
      <c r="CG52">
        <v>0</v>
      </c>
      <c r="CH52">
        <v>0</v>
      </c>
      <c r="CI52" s="18">
        <v>0</v>
      </c>
      <c r="CJ52">
        <v>0</v>
      </c>
      <c r="CK52">
        <v>0</v>
      </c>
      <c r="CL52">
        <v>1</v>
      </c>
      <c r="CM52">
        <v>1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 s="18">
        <v>0</v>
      </c>
      <c r="CZ52" s="34" t="s">
        <v>87</v>
      </c>
    </row>
    <row r="53" spans="1:104" s="52" customFormat="1" x14ac:dyDescent="0.25">
      <c r="A53" s="52">
        <v>52</v>
      </c>
      <c r="B53" s="52">
        <v>2</v>
      </c>
      <c r="C53" s="53" t="s">
        <v>133</v>
      </c>
      <c r="D53" s="54">
        <v>3.0533842239060194</v>
      </c>
      <c r="E53" s="55">
        <v>0.32240702985343062</v>
      </c>
      <c r="F53" s="56">
        <v>9.4705882352941178</v>
      </c>
      <c r="G53" s="56">
        <f t="shared" si="8"/>
        <v>2.7309771940525889</v>
      </c>
      <c r="H53" s="57">
        <f t="shared" si="9"/>
        <v>3.3757912537594499</v>
      </c>
      <c r="I53" s="58">
        <f t="shared" si="0"/>
        <v>3.0865583763957854E-2</v>
      </c>
      <c r="J53" s="59">
        <f t="shared" si="1"/>
        <v>3.2590989067533141E-3</v>
      </c>
      <c r="K53" s="59">
        <f t="shared" si="5"/>
        <v>306.83327772834951</v>
      </c>
      <c r="L53" s="59">
        <f t="shared" si="10"/>
        <v>2.7606484857204541E-2</v>
      </c>
      <c r="M53" s="59">
        <f t="shared" si="11"/>
        <v>3.4124682670711171E-2</v>
      </c>
      <c r="N53" s="60">
        <v>1</v>
      </c>
      <c r="O53" s="61">
        <v>0</v>
      </c>
      <c r="P53" s="60">
        <v>0</v>
      </c>
      <c r="Q53" s="61">
        <v>0</v>
      </c>
      <c r="R53" s="61">
        <v>0</v>
      </c>
      <c r="S53" s="61">
        <v>1</v>
      </c>
      <c r="T53" s="61">
        <v>0</v>
      </c>
      <c r="U53" s="60">
        <f t="shared" si="16"/>
        <v>94064.968280000001</v>
      </c>
      <c r="V53" s="61">
        <v>7</v>
      </c>
      <c r="W53" s="61">
        <f t="shared" si="2"/>
        <v>94056.968280000001</v>
      </c>
      <c r="X53" s="61"/>
      <c r="Y53" s="56">
        <v>22</v>
      </c>
      <c r="Z53" s="56">
        <v>6.28</v>
      </c>
      <c r="AA53" s="61">
        <v>0</v>
      </c>
      <c r="AB53" s="61">
        <v>1</v>
      </c>
      <c r="AC53" s="61">
        <v>1</v>
      </c>
      <c r="AD53" s="61">
        <v>0</v>
      </c>
      <c r="AE53" s="61">
        <v>0</v>
      </c>
      <c r="AF53" s="61">
        <v>0</v>
      </c>
      <c r="AG53" s="60">
        <v>0</v>
      </c>
      <c r="AH53" s="61">
        <v>0</v>
      </c>
      <c r="AI53" s="62">
        <v>1</v>
      </c>
      <c r="AJ53" s="61">
        <v>0</v>
      </c>
      <c r="AK53" s="61">
        <v>0</v>
      </c>
      <c r="AL53" s="62">
        <v>1</v>
      </c>
      <c r="AM53" s="63">
        <v>2008</v>
      </c>
      <c r="AN53" s="64"/>
      <c r="AO53" s="59">
        <v>0</v>
      </c>
      <c r="AP53" s="59">
        <v>0</v>
      </c>
      <c r="AQ53" s="59">
        <v>0</v>
      </c>
      <c r="AR53" s="65">
        <v>1</v>
      </c>
      <c r="AS53" s="59" t="s">
        <v>107</v>
      </c>
      <c r="AT53" s="65" t="s">
        <v>107</v>
      </c>
      <c r="AU53" s="66" t="s">
        <v>107</v>
      </c>
      <c r="AV53" s="67" t="s">
        <v>107</v>
      </c>
      <c r="AW53" s="70">
        <f t="shared" si="13"/>
        <v>0.46172000000000002</v>
      </c>
      <c r="AX53" s="68">
        <v>0.53827999999999998</v>
      </c>
      <c r="AY53" s="52">
        <v>0.52400000000000002</v>
      </c>
      <c r="AZ53" s="68">
        <v>0.47599999999999998</v>
      </c>
      <c r="BB53" s="67"/>
      <c r="BC53" s="52" t="s">
        <v>107</v>
      </c>
      <c r="BD53" s="67" t="s">
        <v>107</v>
      </c>
      <c r="BE53" s="67" t="s">
        <v>24</v>
      </c>
      <c r="BL53" s="67"/>
      <c r="BO53" s="67"/>
      <c r="BR53" s="53">
        <v>27.56</v>
      </c>
      <c r="BS53" s="52">
        <v>1</v>
      </c>
      <c r="BT53" s="52">
        <v>0</v>
      </c>
      <c r="BU53" s="52">
        <v>0</v>
      </c>
      <c r="BV53" s="52">
        <v>0</v>
      </c>
      <c r="BW53" s="52">
        <v>0</v>
      </c>
      <c r="BX53" s="52">
        <v>0</v>
      </c>
      <c r="BY53" s="52">
        <v>0</v>
      </c>
      <c r="BZ53" s="67">
        <v>0</v>
      </c>
      <c r="CA53" s="52">
        <v>1</v>
      </c>
      <c r="CB53" s="52">
        <v>0</v>
      </c>
      <c r="CC53" s="52">
        <v>0</v>
      </c>
      <c r="CD53" s="67">
        <v>0</v>
      </c>
      <c r="CE53" s="52">
        <v>0</v>
      </c>
      <c r="CF53" s="52">
        <v>0</v>
      </c>
      <c r="CG53" s="52">
        <v>0</v>
      </c>
      <c r="CH53" s="52">
        <v>0</v>
      </c>
      <c r="CI53" s="67">
        <v>0</v>
      </c>
      <c r="CJ53" s="52">
        <v>0</v>
      </c>
      <c r="CK53" s="52">
        <v>0</v>
      </c>
      <c r="CL53" s="52">
        <v>1</v>
      </c>
      <c r="CM53" s="52">
        <v>1</v>
      </c>
      <c r="CN53" s="52">
        <v>0</v>
      </c>
      <c r="CO53" s="52">
        <v>0</v>
      </c>
      <c r="CP53" s="52">
        <v>0</v>
      </c>
      <c r="CQ53" s="52">
        <v>0</v>
      </c>
      <c r="CR53" s="52">
        <v>0</v>
      </c>
      <c r="CS53" s="52">
        <v>0</v>
      </c>
      <c r="CT53" s="67">
        <v>0</v>
      </c>
      <c r="CY53" s="53"/>
      <c r="CZ53" s="69" t="s">
        <v>87</v>
      </c>
    </row>
    <row r="54" spans="1:104" x14ac:dyDescent="0.25">
      <c r="A54">
        <v>53</v>
      </c>
      <c r="B54">
        <v>3</v>
      </c>
      <c r="C54" s="25" t="s">
        <v>135</v>
      </c>
      <c r="D54" s="12">
        <v>7.75</v>
      </c>
      <c r="E54" s="14">
        <f>D54/F54</f>
        <v>0.59237178017274328</v>
      </c>
      <c r="F54" s="7">
        <v>13.083</v>
      </c>
      <c r="G54" s="7">
        <f t="shared" si="8"/>
        <v>7.1576282198272567</v>
      </c>
      <c r="H54" s="16">
        <f t="shared" si="9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7">IFERROR(1/J54, "X")</f>
        <v>38.576740258865833</v>
      </c>
      <c r="L54" s="33">
        <f t="shared" ref="L54:L63" si="18">IFERROR(I54-J54, "X")</f>
        <v>0.3132198293302671</v>
      </c>
      <c r="M54" s="33">
        <f t="shared" ref="M54:M63" si="19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9">
        <v>0</v>
      </c>
      <c r="AL54" s="30">
        <v>0</v>
      </c>
      <c r="AM54" s="21">
        <v>1997</v>
      </c>
      <c r="AN54" s="23"/>
      <c r="AO54" s="33">
        <v>0</v>
      </c>
      <c r="AP54" s="33">
        <v>0</v>
      </c>
      <c r="AQ54" s="33">
        <v>0</v>
      </c>
      <c r="AR54" s="43">
        <v>1</v>
      </c>
      <c r="AS54" s="33">
        <v>0.72460000000000002</v>
      </c>
      <c r="AT54" s="43">
        <f>1-AS54</f>
        <v>0.27539999999999998</v>
      </c>
      <c r="AU54" s="42">
        <v>1</v>
      </c>
      <c r="AV54" s="18">
        <v>0</v>
      </c>
      <c r="AW54" s="39">
        <f t="shared" si="13"/>
        <v>0.52160000000000006</v>
      </c>
      <c r="AX54" s="40">
        <v>0.47839999999999999</v>
      </c>
      <c r="AY54">
        <f t="shared" ref="AY54:AY63" si="20">1-AZ54</f>
        <v>0.1552</v>
      </c>
      <c r="AZ54" s="40">
        <v>0.8448</v>
      </c>
      <c r="BB54" s="18"/>
      <c r="BC54" t="s">
        <v>107</v>
      </c>
      <c r="BD54" s="18" t="s">
        <v>107</v>
      </c>
      <c r="BE54" s="18" t="s">
        <v>26</v>
      </c>
      <c r="BL54" s="18"/>
      <c r="BO54" s="18"/>
      <c r="BR54" s="25" t="s">
        <v>107</v>
      </c>
      <c r="BS54">
        <v>1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 s="18">
        <v>0</v>
      </c>
      <c r="CA54">
        <v>0</v>
      </c>
      <c r="CB54">
        <v>0</v>
      </c>
      <c r="CC54">
        <v>1</v>
      </c>
      <c r="CD54" s="18">
        <v>0</v>
      </c>
      <c r="CE54">
        <v>0</v>
      </c>
      <c r="CF54">
        <v>0</v>
      </c>
      <c r="CG54">
        <v>0</v>
      </c>
      <c r="CH54">
        <v>0</v>
      </c>
      <c r="CI54" s="18">
        <v>0</v>
      </c>
      <c r="CJ54">
        <v>0</v>
      </c>
      <c r="CK54">
        <v>0</v>
      </c>
      <c r="CL54">
        <v>1</v>
      </c>
      <c r="CM54">
        <v>1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 s="18">
        <v>0</v>
      </c>
      <c r="CZ54" s="34" t="s">
        <v>87</v>
      </c>
    </row>
    <row r="55" spans="1:104" x14ac:dyDescent="0.25">
      <c r="A55">
        <v>54</v>
      </c>
      <c r="B55">
        <v>3</v>
      </c>
      <c r="C55" s="25" t="s">
        <v>135</v>
      </c>
      <c r="D55" s="12">
        <v>13.07</v>
      </c>
      <c r="E55" s="14">
        <f t="shared" ref="E55:E63" si="21">D55/F55</f>
        <v>1.8607630979498861</v>
      </c>
      <c r="F55" s="7">
        <v>7.024</v>
      </c>
      <c r="G55" s="7">
        <f t="shared" ref="G55:G63" si="22">D55-E55</f>
        <v>11.209236902050113</v>
      </c>
      <c r="H55" s="16">
        <f t="shared" ref="H55:H63" si="23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7"/>
        <v>36.963990260793004</v>
      </c>
      <c r="L55" s="33">
        <f t="shared" si="18"/>
        <v>0.16296941854758418</v>
      </c>
      <c r="M55" s="33">
        <f t="shared" si="19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9">
        <v>0</v>
      </c>
      <c r="AL55" s="30">
        <v>0</v>
      </c>
      <c r="AM55" s="21">
        <v>1997</v>
      </c>
      <c r="AN55" s="23"/>
      <c r="AO55" s="33">
        <v>0</v>
      </c>
      <c r="AP55" s="33">
        <v>0</v>
      </c>
      <c r="AQ55" s="33">
        <v>0</v>
      </c>
      <c r="AR55" s="43">
        <v>1</v>
      </c>
      <c r="AS55" s="33">
        <v>0.72460000000000002</v>
      </c>
      <c r="AT55" s="43">
        <f t="shared" ref="AT55:AT63" si="24">1-AS55</f>
        <v>0.27539999999999998</v>
      </c>
      <c r="AU55" s="42">
        <v>1</v>
      </c>
      <c r="AV55" s="18">
        <v>0</v>
      </c>
      <c r="AW55" s="39">
        <f t="shared" ref="AW55:AW63" si="25">1-AX55</f>
        <v>0.52160000000000006</v>
      </c>
      <c r="AX55" s="40">
        <v>0.47839999999999999</v>
      </c>
      <c r="AY55">
        <f t="shared" si="20"/>
        <v>0.1552</v>
      </c>
      <c r="AZ55" s="40">
        <v>0.8448</v>
      </c>
      <c r="BB55" s="18"/>
      <c r="BC55" t="s">
        <v>107</v>
      </c>
      <c r="BD55" s="18" t="s">
        <v>107</v>
      </c>
      <c r="BE55" s="18" t="s">
        <v>26</v>
      </c>
      <c r="BL55" s="18"/>
      <c r="BO55" s="18"/>
      <c r="BR55" s="25" t="s">
        <v>107</v>
      </c>
      <c r="BS55">
        <v>0</v>
      </c>
      <c r="BT55">
        <v>0</v>
      </c>
      <c r="BU55">
        <v>0</v>
      </c>
      <c r="BV55">
        <v>0</v>
      </c>
      <c r="BW55">
        <v>1</v>
      </c>
      <c r="BX55">
        <v>0</v>
      </c>
      <c r="BY55">
        <v>0</v>
      </c>
      <c r="BZ55" s="18">
        <v>0</v>
      </c>
      <c r="CA55">
        <v>0</v>
      </c>
      <c r="CB55">
        <v>0</v>
      </c>
      <c r="CC55">
        <v>1</v>
      </c>
      <c r="CD55" s="18">
        <v>0</v>
      </c>
      <c r="CE55">
        <v>1</v>
      </c>
      <c r="CF55">
        <v>0</v>
      </c>
      <c r="CG55">
        <v>0</v>
      </c>
      <c r="CH55">
        <v>0</v>
      </c>
      <c r="CI55" s="18">
        <v>0</v>
      </c>
      <c r="CJ55">
        <v>0</v>
      </c>
      <c r="CK55">
        <v>0</v>
      </c>
      <c r="CL55">
        <v>1</v>
      </c>
      <c r="CM55">
        <v>1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 s="18">
        <v>0</v>
      </c>
      <c r="CZ55" s="34" t="s">
        <v>87</v>
      </c>
    </row>
    <row r="56" spans="1:104" x14ac:dyDescent="0.25">
      <c r="A56">
        <v>55</v>
      </c>
      <c r="B56">
        <v>3</v>
      </c>
      <c r="C56" s="25" t="s">
        <v>135</v>
      </c>
      <c r="D56" s="12">
        <v>7.2</v>
      </c>
      <c r="E56" s="14">
        <f t="shared" si="21"/>
        <v>0.59990001666388937</v>
      </c>
      <c r="F56" s="7">
        <v>12.002000000000001</v>
      </c>
      <c r="G56" s="7">
        <f t="shared" si="22"/>
        <v>6.6000999833361105</v>
      </c>
      <c r="H56" s="16">
        <f t="shared" si="23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7"/>
        <v>38.092624010430157</v>
      </c>
      <c r="L56" s="33">
        <f t="shared" si="18"/>
        <v>0.2888223189084464</v>
      </c>
      <c r="M56" s="33">
        <f t="shared" si="19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9">
        <v>0</v>
      </c>
      <c r="AL56" s="30">
        <v>0</v>
      </c>
      <c r="AM56" s="21">
        <v>1997</v>
      </c>
      <c r="AN56" s="23"/>
      <c r="AO56" s="33">
        <v>0</v>
      </c>
      <c r="AP56" s="33">
        <v>0</v>
      </c>
      <c r="AQ56" s="33">
        <v>0</v>
      </c>
      <c r="AR56" s="43">
        <v>1</v>
      </c>
      <c r="AS56" s="33">
        <v>0.72460000000000002</v>
      </c>
      <c r="AT56" s="43">
        <f t="shared" si="24"/>
        <v>0.27539999999999998</v>
      </c>
      <c r="AU56" s="42">
        <v>1</v>
      </c>
      <c r="AV56" s="18">
        <v>0</v>
      </c>
      <c r="AW56" s="39">
        <f t="shared" si="25"/>
        <v>0.52160000000000006</v>
      </c>
      <c r="AX56" s="40">
        <v>0.47839999999999999</v>
      </c>
      <c r="AY56">
        <f t="shared" si="20"/>
        <v>0.1552</v>
      </c>
      <c r="AZ56" s="40">
        <v>0.8448</v>
      </c>
      <c r="BB56" s="18"/>
      <c r="BC56" t="s">
        <v>107</v>
      </c>
      <c r="BD56" s="18" t="s">
        <v>107</v>
      </c>
      <c r="BE56" s="18" t="s">
        <v>26</v>
      </c>
      <c r="BL56" s="18"/>
      <c r="BO56" s="18"/>
      <c r="BR56" s="25" t="s">
        <v>107</v>
      </c>
      <c r="BS56">
        <v>1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 s="18">
        <v>0</v>
      </c>
      <c r="CA56">
        <v>0</v>
      </c>
      <c r="CB56">
        <v>0</v>
      </c>
      <c r="CC56">
        <v>1</v>
      </c>
      <c r="CD56" s="18">
        <v>0</v>
      </c>
      <c r="CE56">
        <v>0</v>
      </c>
      <c r="CF56">
        <v>0</v>
      </c>
      <c r="CG56">
        <v>0</v>
      </c>
      <c r="CH56">
        <v>0</v>
      </c>
      <c r="CI56" s="18">
        <v>0</v>
      </c>
      <c r="CJ56">
        <v>0</v>
      </c>
      <c r="CK56">
        <v>0</v>
      </c>
      <c r="CL56">
        <v>1</v>
      </c>
      <c r="CM56">
        <v>1</v>
      </c>
      <c r="CN56">
        <v>0</v>
      </c>
      <c r="CO56">
        <v>0</v>
      </c>
      <c r="CP56">
        <v>0</v>
      </c>
      <c r="CQ56">
        <v>1</v>
      </c>
      <c r="CR56">
        <v>1</v>
      </c>
      <c r="CS56">
        <v>0</v>
      </c>
      <c r="CT56" s="18">
        <v>1</v>
      </c>
      <c r="CZ56" s="34" t="s">
        <v>87</v>
      </c>
    </row>
    <row r="57" spans="1:104" x14ac:dyDescent="0.25">
      <c r="A57">
        <v>56</v>
      </c>
      <c r="B57">
        <v>3</v>
      </c>
      <c r="C57" s="25" t="s">
        <v>135</v>
      </c>
      <c r="D57" s="12">
        <v>12.06</v>
      </c>
      <c r="E57" s="14">
        <f t="shared" si="21"/>
        <v>1.8116268589454709</v>
      </c>
      <c r="F57" s="7">
        <v>6.657</v>
      </c>
      <c r="G57" s="7">
        <f t="shared" si="22"/>
        <v>10.248373141054529</v>
      </c>
      <c r="H57" s="16">
        <f t="shared" si="23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7"/>
        <v>36.760245497003964</v>
      </c>
      <c r="L57" s="33">
        <f t="shared" si="18"/>
        <v>0.15388907020387169</v>
      </c>
      <c r="M57" s="33">
        <f t="shared" si="19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9">
        <v>0</v>
      </c>
      <c r="AL57" s="30">
        <v>0</v>
      </c>
      <c r="AM57" s="21">
        <v>1997</v>
      </c>
      <c r="AN57" s="23"/>
      <c r="AO57" s="33">
        <v>0</v>
      </c>
      <c r="AP57" s="33">
        <v>0</v>
      </c>
      <c r="AQ57" s="33">
        <v>0</v>
      </c>
      <c r="AR57" s="43">
        <v>1</v>
      </c>
      <c r="AS57" s="33">
        <v>0.72460000000000002</v>
      </c>
      <c r="AT57" s="43">
        <f t="shared" si="24"/>
        <v>0.27539999999999998</v>
      </c>
      <c r="AU57" s="42">
        <v>1</v>
      </c>
      <c r="AV57" s="18">
        <v>0</v>
      </c>
      <c r="AW57" s="39">
        <f t="shared" si="25"/>
        <v>0.52160000000000006</v>
      </c>
      <c r="AX57" s="40">
        <v>0.47839999999999999</v>
      </c>
      <c r="AY57">
        <f t="shared" si="20"/>
        <v>0.1552</v>
      </c>
      <c r="AZ57" s="40">
        <v>0.8448</v>
      </c>
      <c r="BB57" s="18"/>
      <c r="BC57" t="s">
        <v>107</v>
      </c>
      <c r="BD57" s="18" t="s">
        <v>107</v>
      </c>
      <c r="BE57" s="18" t="s">
        <v>26</v>
      </c>
      <c r="BL57" s="18"/>
      <c r="BO57" s="18"/>
      <c r="BR57" s="25" t="s">
        <v>107</v>
      </c>
      <c r="BS57">
        <v>0</v>
      </c>
      <c r="BT57">
        <v>0</v>
      </c>
      <c r="BU57">
        <v>0</v>
      </c>
      <c r="BV57">
        <v>0</v>
      </c>
      <c r="BW57">
        <v>1</v>
      </c>
      <c r="BX57">
        <v>0</v>
      </c>
      <c r="BY57">
        <v>0</v>
      </c>
      <c r="BZ57" s="18">
        <v>0</v>
      </c>
      <c r="CA57">
        <v>0</v>
      </c>
      <c r="CB57">
        <v>0</v>
      </c>
      <c r="CC57">
        <v>1</v>
      </c>
      <c r="CD57" s="18">
        <v>0</v>
      </c>
      <c r="CE57">
        <v>1</v>
      </c>
      <c r="CF57">
        <v>0</v>
      </c>
      <c r="CG57">
        <v>0</v>
      </c>
      <c r="CH57">
        <v>0</v>
      </c>
      <c r="CI57" s="18">
        <v>0</v>
      </c>
      <c r="CJ57">
        <v>0</v>
      </c>
      <c r="CK57">
        <v>0</v>
      </c>
      <c r="CL57">
        <v>1</v>
      </c>
      <c r="CM57">
        <v>1</v>
      </c>
      <c r="CN57">
        <v>0</v>
      </c>
      <c r="CO57">
        <v>0</v>
      </c>
      <c r="CP57">
        <v>0</v>
      </c>
      <c r="CQ57">
        <v>1</v>
      </c>
      <c r="CR57">
        <v>1</v>
      </c>
      <c r="CS57">
        <v>0</v>
      </c>
      <c r="CT57" s="18">
        <v>1</v>
      </c>
      <c r="CZ57" s="34" t="s">
        <v>87</v>
      </c>
    </row>
    <row r="58" spans="1:104" x14ac:dyDescent="0.25">
      <c r="A58">
        <v>57</v>
      </c>
      <c r="B58">
        <v>3</v>
      </c>
      <c r="C58" s="25" t="s">
        <v>135</v>
      </c>
      <c r="D58" s="12">
        <v>7.87</v>
      </c>
      <c r="E58" s="14">
        <f t="shared" si="21"/>
        <v>0.58240213128098872</v>
      </c>
      <c r="F58" s="7">
        <v>13.513</v>
      </c>
      <c r="G58" s="7">
        <f t="shared" si="22"/>
        <v>7.2875978687190113</v>
      </c>
      <c r="H58" s="16">
        <f t="shared" si="23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7"/>
        <v>38.711770419344042</v>
      </c>
      <c r="L58" s="33">
        <f t="shared" si="18"/>
        <v>0.32323502295176171</v>
      </c>
      <c r="M58" s="33">
        <f t="shared" si="19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6">U58-V58-1</f>
        <v>1316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9">
        <v>0</v>
      </c>
      <c r="AL58" s="30">
        <v>0</v>
      </c>
      <c r="AM58" s="21">
        <v>1997</v>
      </c>
      <c r="AN58" s="23"/>
      <c r="AO58" s="33">
        <v>0</v>
      </c>
      <c r="AP58" s="33">
        <v>0</v>
      </c>
      <c r="AQ58" s="33">
        <v>0</v>
      </c>
      <c r="AR58" s="43">
        <v>1</v>
      </c>
      <c r="AS58" s="33">
        <v>0.72460000000000002</v>
      </c>
      <c r="AT58" s="43">
        <f t="shared" si="24"/>
        <v>0.27539999999999998</v>
      </c>
      <c r="AU58" s="42">
        <v>1</v>
      </c>
      <c r="AV58" s="18">
        <v>0</v>
      </c>
      <c r="AW58" s="39">
        <f t="shared" si="25"/>
        <v>0.52160000000000006</v>
      </c>
      <c r="AX58" s="40">
        <v>0.47839999999999999</v>
      </c>
      <c r="AY58">
        <f t="shared" si="20"/>
        <v>0.1552</v>
      </c>
      <c r="AZ58" s="40">
        <v>0.8448</v>
      </c>
      <c r="BB58" s="18"/>
      <c r="BC58" t="s">
        <v>107</v>
      </c>
      <c r="BD58" s="18" t="s">
        <v>107</v>
      </c>
      <c r="BE58" s="18" t="s">
        <v>26</v>
      </c>
      <c r="BL58" s="18"/>
      <c r="BO58" s="18"/>
      <c r="BR58" s="25" t="s">
        <v>107</v>
      </c>
      <c r="BS58">
        <v>1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 s="18">
        <v>0</v>
      </c>
      <c r="CA58">
        <v>0</v>
      </c>
      <c r="CB58">
        <v>0</v>
      </c>
      <c r="CC58">
        <v>0</v>
      </c>
      <c r="CD58" s="18">
        <v>0</v>
      </c>
      <c r="CE58">
        <v>0</v>
      </c>
      <c r="CF58">
        <v>0</v>
      </c>
      <c r="CG58">
        <v>0</v>
      </c>
      <c r="CH58">
        <v>0</v>
      </c>
      <c r="CI58" s="18">
        <v>0</v>
      </c>
      <c r="CJ58">
        <v>0</v>
      </c>
      <c r="CK58">
        <v>0</v>
      </c>
      <c r="CL58">
        <v>1</v>
      </c>
      <c r="CM58">
        <v>1</v>
      </c>
      <c r="CN58">
        <v>0</v>
      </c>
      <c r="CO58">
        <v>0</v>
      </c>
      <c r="CP58">
        <v>1</v>
      </c>
      <c r="CQ58">
        <v>1</v>
      </c>
      <c r="CR58">
        <v>1</v>
      </c>
      <c r="CS58">
        <v>0</v>
      </c>
      <c r="CT58" s="18">
        <v>1</v>
      </c>
      <c r="CZ58" s="34" t="s">
        <v>87</v>
      </c>
    </row>
    <row r="59" spans="1:104" x14ac:dyDescent="0.25">
      <c r="A59">
        <v>58</v>
      </c>
      <c r="B59">
        <v>3</v>
      </c>
      <c r="C59" s="25" t="s">
        <v>135</v>
      </c>
      <c r="D59" s="12">
        <v>7.27</v>
      </c>
      <c r="E59" s="14">
        <f t="shared" si="21"/>
        <v>0.59187494911666527</v>
      </c>
      <c r="F59" s="7">
        <v>12.282999999999999</v>
      </c>
      <c r="G59" s="7">
        <f t="shared" si="22"/>
        <v>6.6781250508833345</v>
      </c>
      <c r="H59" s="16">
        <f t="shared" si="23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7"/>
        <v>38.168993816971387</v>
      </c>
      <c r="L59" s="33">
        <f t="shared" si="18"/>
        <v>0.29560643002811221</v>
      </c>
      <c r="M59" s="33">
        <f t="shared" si="19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6"/>
        <v>1306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9">
        <v>0</v>
      </c>
      <c r="AL59" s="30">
        <v>0</v>
      </c>
      <c r="AM59" s="21">
        <v>1997</v>
      </c>
      <c r="AN59" s="23"/>
      <c r="AO59" s="33">
        <v>0</v>
      </c>
      <c r="AP59" s="33">
        <v>0</v>
      </c>
      <c r="AQ59" s="33">
        <v>0</v>
      </c>
      <c r="AR59" s="43">
        <v>1</v>
      </c>
      <c r="AS59" s="33">
        <v>0.72460000000000002</v>
      </c>
      <c r="AT59" s="43">
        <f t="shared" si="24"/>
        <v>0.27539999999999998</v>
      </c>
      <c r="AU59" s="42">
        <v>1</v>
      </c>
      <c r="AV59" s="18">
        <v>0</v>
      </c>
      <c r="AW59" s="39">
        <f t="shared" si="25"/>
        <v>0.52160000000000006</v>
      </c>
      <c r="AX59" s="40">
        <v>0.47839999999999999</v>
      </c>
      <c r="AY59">
        <f t="shared" si="20"/>
        <v>0.1552</v>
      </c>
      <c r="AZ59" s="40">
        <v>0.8448</v>
      </c>
      <c r="BB59" s="18"/>
      <c r="BC59" t="s">
        <v>107</v>
      </c>
      <c r="BD59" s="18" t="s">
        <v>107</v>
      </c>
      <c r="BE59" s="18" t="s">
        <v>26</v>
      </c>
      <c r="BL59" s="18"/>
      <c r="BO59" s="18"/>
      <c r="BR59" s="25" t="s">
        <v>107</v>
      </c>
      <c r="BS59">
        <v>1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 s="18">
        <v>0</v>
      </c>
      <c r="CA59">
        <v>0</v>
      </c>
      <c r="CB59">
        <v>0</v>
      </c>
      <c r="CC59">
        <v>0</v>
      </c>
      <c r="CD59" s="18">
        <v>0</v>
      </c>
      <c r="CE59">
        <v>0</v>
      </c>
      <c r="CF59">
        <v>0</v>
      </c>
      <c r="CG59">
        <v>0</v>
      </c>
      <c r="CH59">
        <v>0</v>
      </c>
      <c r="CI59" s="18">
        <v>0</v>
      </c>
      <c r="CJ59">
        <v>0</v>
      </c>
      <c r="CK59">
        <v>0</v>
      </c>
      <c r="CL59">
        <v>1</v>
      </c>
      <c r="CM59">
        <v>1</v>
      </c>
      <c r="CN59">
        <v>0</v>
      </c>
      <c r="CO59">
        <v>0</v>
      </c>
      <c r="CP59">
        <v>1</v>
      </c>
      <c r="CQ59">
        <v>1</v>
      </c>
      <c r="CR59">
        <v>1</v>
      </c>
      <c r="CS59">
        <v>0</v>
      </c>
      <c r="CT59" s="18">
        <v>1</v>
      </c>
      <c r="CZ59" s="34" t="s">
        <v>87</v>
      </c>
    </row>
    <row r="60" spans="1:104" x14ac:dyDescent="0.25">
      <c r="A60">
        <v>59</v>
      </c>
      <c r="B60">
        <v>3</v>
      </c>
      <c r="C60" s="25" t="s">
        <v>135</v>
      </c>
      <c r="D60" s="12">
        <v>7.7720000000000002</v>
      </c>
      <c r="E60" s="14">
        <f t="shared" si="21"/>
        <v>0.60047902341033765</v>
      </c>
      <c r="F60" s="7">
        <v>12.943</v>
      </c>
      <c r="G60" s="7">
        <f t="shared" si="22"/>
        <v>7.1715209765896626</v>
      </c>
      <c r="H60" s="16">
        <f t="shared" si="23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7"/>
        <v>38.516506188905552</v>
      </c>
      <c r="L60" s="33">
        <f t="shared" si="18"/>
        <v>0.31007485314023914</v>
      </c>
      <c r="M60" s="33">
        <f t="shared" si="19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6"/>
        <v>1316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9">
        <v>0</v>
      </c>
      <c r="AL60" s="30">
        <v>0</v>
      </c>
      <c r="AM60" s="21">
        <v>1997</v>
      </c>
      <c r="AN60" s="23"/>
      <c r="AO60" s="33">
        <v>0</v>
      </c>
      <c r="AP60" s="33">
        <v>0</v>
      </c>
      <c r="AQ60" s="33">
        <v>0</v>
      </c>
      <c r="AR60" s="43">
        <v>1</v>
      </c>
      <c r="AS60" s="33">
        <v>0.72460000000000002</v>
      </c>
      <c r="AT60" s="43">
        <f t="shared" si="24"/>
        <v>0.27539999999999998</v>
      </c>
      <c r="AU60" s="42">
        <v>1</v>
      </c>
      <c r="AV60" s="18">
        <v>0</v>
      </c>
      <c r="AW60" s="39">
        <f t="shared" si="25"/>
        <v>0.52160000000000006</v>
      </c>
      <c r="AX60" s="40">
        <v>0.47839999999999999</v>
      </c>
      <c r="AY60">
        <f t="shared" si="20"/>
        <v>0.1552</v>
      </c>
      <c r="AZ60" s="40">
        <v>0.8448</v>
      </c>
      <c r="BB60" s="18"/>
      <c r="BC60" t="s">
        <v>107</v>
      </c>
      <c r="BD60" s="18" t="s">
        <v>107</v>
      </c>
      <c r="BE60" s="18" t="s">
        <v>26</v>
      </c>
      <c r="BL60" s="18"/>
      <c r="BO60" s="18"/>
      <c r="BR60" s="25" t="s">
        <v>107</v>
      </c>
      <c r="BS60">
        <v>1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 s="18">
        <v>0</v>
      </c>
      <c r="CA60">
        <v>0</v>
      </c>
      <c r="CB60">
        <v>1</v>
      </c>
      <c r="CC60">
        <v>0</v>
      </c>
      <c r="CD60" s="18">
        <v>0</v>
      </c>
      <c r="CE60">
        <v>0</v>
      </c>
      <c r="CF60">
        <v>0</v>
      </c>
      <c r="CG60">
        <v>0</v>
      </c>
      <c r="CH60">
        <v>0</v>
      </c>
      <c r="CI60" s="18">
        <v>0</v>
      </c>
      <c r="CJ60">
        <v>0</v>
      </c>
      <c r="CK60">
        <v>0</v>
      </c>
      <c r="CL60">
        <v>1</v>
      </c>
      <c r="CM60">
        <v>1</v>
      </c>
      <c r="CN60">
        <v>0</v>
      </c>
      <c r="CO60">
        <v>0</v>
      </c>
      <c r="CP60">
        <v>0</v>
      </c>
      <c r="CQ60">
        <v>1</v>
      </c>
      <c r="CR60">
        <v>1</v>
      </c>
      <c r="CS60">
        <v>0</v>
      </c>
      <c r="CT60" s="18">
        <v>1</v>
      </c>
      <c r="CZ60" s="34" t="s">
        <v>87</v>
      </c>
    </row>
    <row r="61" spans="1:104" x14ac:dyDescent="0.25">
      <c r="A61">
        <v>60</v>
      </c>
      <c r="B61">
        <v>3</v>
      </c>
      <c r="C61" s="25" t="s">
        <v>135</v>
      </c>
      <c r="D61" s="12">
        <v>12.96</v>
      </c>
      <c r="E61" s="14">
        <f t="shared" si="21"/>
        <v>1.8861883277543299</v>
      </c>
      <c r="F61" s="7">
        <v>6.8710000000000004</v>
      </c>
      <c r="G61" s="7">
        <f t="shared" si="22"/>
        <v>11.073811672245672</v>
      </c>
      <c r="H61" s="16">
        <f t="shared" si="23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7"/>
        <v>36.786011485345895</v>
      </c>
      <c r="L61" s="33">
        <f t="shared" si="18"/>
        <v>0.15959871056797709</v>
      </c>
      <c r="M61" s="33">
        <f t="shared" si="19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6"/>
        <v>1306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9">
        <v>0</v>
      </c>
      <c r="AL61" s="30">
        <v>0</v>
      </c>
      <c r="AM61" s="21">
        <v>1997</v>
      </c>
      <c r="AN61" s="23"/>
      <c r="AO61" s="33">
        <v>0</v>
      </c>
      <c r="AP61" s="33">
        <v>0</v>
      </c>
      <c r="AQ61" s="33">
        <v>0</v>
      </c>
      <c r="AR61" s="43">
        <v>1</v>
      </c>
      <c r="AS61" s="33">
        <v>0.72460000000000002</v>
      </c>
      <c r="AT61" s="43">
        <f t="shared" si="24"/>
        <v>0.27539999999999998</v>
      </c>
      <c r="AU61" s="42">
        <v>1</v>
      </c>
      <c r="AV61" s="18">
        <v>0</v>
      </c>
      <c r="AW61" s="39">
        <f t="shared" si="25"/>
        <v>0.52160000000000006</v>
      </c>
      <c r="AX61" s="40">
        <v>0.47839999999999999</v>
      </c>
      <c r="AY61">
        <f t="shared" si="20"/>
        <v>0.1552</v>
      </c>
      <c r="AZ61" s="40">
        <v>0.8448</v>
      </c>
      <c r="BB61" s="18"/>
      <c r="BC61" t="s">
        <v>107</v>
      </c>
      <c r="BD61" s="18" t="s">
        <v>107</v>
      </c>
      <c r="BE61" s="18" t="s">
        <v>26</v>
      </c>
      <c r="BL61" s="18"/>
      <c r="BO61" s="18"/>
      <c r="BR61" s="25" t="s">
        <v>107</v>
      </c>
      <c r="BS61">
        <v>0</v>
      </c>
      <c r="BT61">
        <v>0</v>
      </c>
      <c r="BU61">
        <v>0</v>
      </c>
      <c r="BV61">
        <v>0</v>
      </c>
      <c r="BW61">
        <v>1</v>
      </c>
      <c r="BX61">
        <v>0</v>
      </c>
      <c r="BY61">
        <v>0</v>
      </c>
      <c r="BZ61" s="18">
        <v>0</v>
      </c>
      <c r="CA61">
        <v>0</v>
      </c>
      <c r="CB61">
        <v>1</v>
      </c>
      <c r="CC61">
        <v>0</v>
      </c>
      <c r="CD61" s="18">
        <v>0</v>
      </c>
      <c r="CE61">
        <v>1</v>
      </c>
      <c r="CF61">
        <v>0</v>
      </c>
      <c r="CG61">
        <v>0</v>
      </c>
      <c r="CH61">
        <v>0</v>
      </c>
      <c r="CI61" s="18">
        <v>0</v>
      </c>
      <c r="CJ61">
        <v>0</v>
      </c>
      <c r="CK61">
        <v>0</v>
      </c>
      <c r="CL61">
        <v>1</v>
      </c>
      <c r="CM61">
        <v>1</v>
      </c>
      <c r="CN61">
        <v>0</v>
      </c>
      <c r="CO61">
        <v>0</v>
      </c>
      <c r="CP61">
        <v>0</v>
      </c>
      <c r="CQ61">
        <v>1</v>
      </c>
      <c r="CR61">
        <v>1</v>
      </c>
      <c r="CS61">
        <v>0</v>
      </c>
      <c r="CT61" s="18">
        <v>1</v>
      </c>
      <c r="CZ61" s="34" t="s">
        <v>87</v>
      </c>
    </row>
    <row r="62" spans="1:104" x14ac:dyDescent="0.25">
      <c r="A62">
        <v>61</v>
      </c>
      <c r="B62">
        <v>3</v>
      </c>
      <c r="C62" s="25" t="s">
        <v>135</v>
      </c>
      <c r="D62" s="12">
        <v>7.18</v>
      </c>
      <c r="E62" s="14">
        <f t="shared" si="21"/>
        <v>0.60224794497567513</v>
      </c>
      <c r="F62" s="7">
        <v>11.922000000000001</v>
      </c>
      <c r="G62" s="7">
        <f t="shared" si="22"/>
        <v>6.5777520550243249</v>
      </c>
      <c r="H62" s="16">
        <f t="shared" si="23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7"/>
        <v>38.185521916035142</v>
      </c>
      <c r="L62" s="33">
        <f t="shared" si="18"/>
        <v>0.28602463582967436</v>
      </c>
      <c r="M62" s="33">
        <f t="shared" si="19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6"/>
        <v>1316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9">
        <v>0</v>
      </c>
      <c r="AL62" s="30">
        <v>0</v>
      </c>
      <c r="AM62" s="21">
        <v>1997</v>
      </c>
      <c r="AN62" s="23"/>
      <c r="AO62" s="33">
        <v>0</v>
      </c>
      <c r="AP62" s="33">
        <v>0</v>
      </c>
      <c r="AQ62" s="33">
        <v>0</v>
      </c>
      <c r="AR62" s="43">
        <v>1</v>
      </c>
      <c r="AS62" s="33">
        <v>0.72460000000000002</v>
      </c>
      <c r="AT62" s="43">
        <f t="shared" si="24"/>
        <v>0.27539999999999998</v>
      </c>
      <c r="AU62" s="42">
        <v>1</v>
      </c>
      <c r="AV62" s="18">
        <v>0</v>
      </c>
      <c r="AW62" s="39">
        <f t="shared" si="25"/>
        <v>0.52160000000000006</v>
      </c>
      <c r="AX62" s="40">
        <v>0.47839999999999999</v>
      </c>
      <c r="AY62">
        <f t="shared" si="20"/>
        <v>0.1552</v>
      </c>
      <c r="AZ62" s="40">
        <v>0.8448</v>
      </c>
      <c r="BB62" s="18"/>
      <c r="BC62" t="s">
        <v>107</v>
      </c>
      <c r="BD62" s="18" t="s">
        <v>107</v>
      </c>
      <c r="BE62" s="18" t="s">
        <v>26</v>
      </c>
      <c r="BL62" s="18"/>
      <c r="BO62" s="18"/>
      <c r="BR62" s="25" t="s">
        <v>107</v>
      </c>
      <c r="BS62">
        <v>1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 s="18">
        <v>0</v>
      </c>
      <c r="CA62">
        <v>0</v>
      </c>
      <c r="CB62">
        <v>1</v>
      </c>
      <c r="CC62">
        <v>0</v>
      </c>
      <c r="CD62" s="18">
        <v>0</v>
      </c>
      <c r="CE62">
        <v>0</v>
      </c>
      <c r="CF62">
        <v>0</v>
      </c>
      <c r="CG62">
        <v>0</v>
      </c>
      <c r="CH62">
        <v>0</v>
      </c>
      <c r="CI62" s="18">
        <v>0</v>
      </c>
      <c r="CJ62">
        <v>0</v>
      </c>
      <c r="CK62">
        <v>0</v>
      </c>
      <c r="CL62">
        <v>1</v>
      </c>
      <c r="CM62">
        <v>1</v>
      </c>
      <c r="CN62">
        <v>0</v>
      </c>
      <c r="CO62">
        <v>0</v>
      </c>
      <c r="CP62">
        <v>0</v>
      </c>
      <c r="CQ62">
        <v>1</v>
      </c>
      <c r="CR62">
        <v>1</v>
      </c>
      <c r="CS62">
        <v>0</v>
      </c>
      <c r="CT62" s="18">
        <v>1</v>
      </c>
      <c r="CZ62" s="34" t="s">
        <v>87</v>
      </c>
    </row>
    <row r="63" spans="1:104" s="52" customFormat="1" x14ac:dyDescent="0.25">
      <c r="A63" s="52">
        <v>62</v>
      </c>
      <c r="B63" s="52">
        <v>3</v>
      </c>
      <c r="C63" s="53" t="s">
        <v>135</v>
      </c>
      <c r="D63" s="54">
        <v>11.97</v>
      </c>
      <c r="E63" s="55">
        <f t="shared" si="21"/>
        <v>1.8274809160305345</v>
      </c>
      <c r="F63" s="56">
        <v>6.55</v>
      </c>
      <c r="G63" s="56">
        <f t="shared" si="22"/>
        <v>10.142519083969466</v>
      </c>
      <c r="H63" s="57">
        <f t="shared" si="23"/>
        <v>13.797480916030535</v>
      </c>
      <c r="I63" s="58">
        <f t="shared" si="0"/>
        <v>0.17834092719289177</v>
      </c>
      <c r="J63" s="59">
        <f t="shared" si="1"/>
        <v>2.7227622472197219E-2</v>
      </c>
      <c r="K63" s="59">
        <f t="shared" si="17"/>
        <v>36.727408021803008</v>
      </c>
      <c r="L63" s="59">
        <f t="shared" si="18"/>
        <v>0.15111330472069456</v>
      </c>
      <c r="M63" s="59">
        <f t="shared" si="19"/>
        <v>0.20556854966508897</v>
      </c>
      <c r="N63" s="60">
        <v>1</v>
      </c>
      <c r="O63" s="61">
        <v>0</v>
      </c>
      <c r="P63" s="60">
        <v>0</v>
      </c>
      <c r="Q63" s="61">
        <v>0</v>
      </c>
      <c r="R63" s="61">
        <v>0</v>
      </c>
      <c r="S63" s="61">
        <v>1</v>
      </c>
      <c r="T63" s="61">
        <v>0</v>
      </c>
      <c r="U63" s="60">
        <v>1321</v>
      </c>
      <c r="V63" s="61">
        <v>14</v>
      </c>
      <c r="W63" s="61">
        <f t="shared" si="26"/>
        <v>1306</v>
      </c>
      <c r="X63" s="61"/>
      <c r="Y63" s="56">
        <v>16.529900000000001</v>
      </c>
      <c r="Z63" s="56">
        <v>12.6426</v>
      </c>
      <c r="AA63" s="61">
        <v>1</v>
      </c>
      <c r="AB63" s="61">
        <v>0</v>
      </c>
      <c r="AC63" s="61">
        <v>0</v>
      </c>
      <c r="AD63" s="61">
        <v>1</v>
      </c>
      <c r="AE63" s="61">
        <v>0</v>
      </c>
      <c r="AF63" s="61">
        <v>0</v>
      </c>
      <c r="AG63" s="60">
        <v>0</v>
      </c>
      <c r="AH63" s="61">
        <v>1</v>
      </c>
      <c r="AI63" s="62">
        <v>0</v>
      </c>
      <c r="AJ63" s="61">
        <v>1</v>
      </c>
      <c r="AK63" s="61">
        <v>0</v>
      </c>
      <c r="AL63" s="62">
        <v>0</v>
      </c>
      <c r="AM63" s="63">
        <v>1997</v>
      </c>
      <c r="AN63" s="64"/>
      <c r="AO63" s="59">
        <v>0</v>
      </c>
      <c r="AP63" s="59">
        <v>0</v>
      </c>
      <c r="AQ63" s="59">
        <v>0</v>
      </c>
      <c r="AR63" s="65">
        <v>1</v>
      </c>
      <c r="AS63" s="59">
        <v>0.72460000000000002</v>
      </c>
      <c r="AT63" s="65">
        <f t="shared" si="24"/>
        <v>0.27539999999999998</v>
      </c>
      <c r="AU63" s="66">
        <v>1</v>
      </c>
      <c r="AV63" s="67">
        <v>0</v>
      </c>
      <c r="AW63" s="70">
        <f t="shared" si="25"/>
        <v>0.52160000000000006</v>
      </c>
      <c r="AX63" s="68">
        <v>0.47839999999999999</v>
      </c>
      <c r="AY63" s="52">
        <f t="shared" si="20"/>
        <v>0.1552</v>
      </c>
      <c r="AZ63" s="68">
        <v>0.8448</v>
      </c>
      <c r="BB63" s="67"/>
      <c r="BC63" s="52" t="s">
        <v>107</v>
      </c>
      <c r="BD63" s="67" t="s">
        <v>107</v>
      </c>
      <c r="BE63" s="67" t="s">
        <v>26</v>
      </c>
      <c r="BL63" s="67"/>
      <c r="BO63" s="67"/>
      <c r="BR63" s="53" t="s">
        <v>107</v>
      </c>
      <c r="BS63" s="52">
        <v>0</v>
      </c>
      <c r="BT63" s="52">
        <v>0</v>
      </c>
      <c r="BU63" s="52">
        <v>0</v>
      </c>
      <c r="BV63" s="52">
        <v>0</v>
      </c>
      <c r="BW63" s="52">
        <v>1</v>
      </c>
      <c r="BX63" s="52">
        <v>0</v>
      </c>
      <c r="BY63" s="52">
        <v>0</v>
      </c>
      <c r="BZ63" s="67">
        <v>0</v>
      </c>
      <c r="CA63" s="52">
        <v>0</v>
      </c>
      <c r="CB63" s="52">
        <v>1</v>
      </c>
      <c r="CC63" s="52">
        <v>0</v>
      </c>
      <c r="CD63" s="67">
        <v>0</v>
      </c>
      <c r="CE63" s="52">
        <v>1</v>
      </c>
      <c r="CF63" s="52">
        <v>0</v>
      </c>
      <c r="CG63" s="52">
        <v>0</v>
      </c>
      <c r="CH63" s="52">
        <v>0</v>
      </c>
      <c r="CI63" s="67">
        <v>0</v>
      </c>
      <c r="CJ63" s="52">
        <v>0</v>
      </c>
      <c r="CK63" s="52">
        <v>0</v>
      </c>
      <c r="CL63" s="52">
        <v>1</v>
      </c>
      <c r="CM63" s="52">
        <v>1</v>
      </c>
      <c r="CN63" s="52">
        <v>0</v>
      </c>
      <c r="CO63" s="52">
        <v>0</v>
      </c>
      <c r="CP63" s="52">
        <v>0</v>
      </c>
      <c r="CQ63" s="52">
        <v>1</v>
      </c>
      <c r="CR63" s="52">
        <v>1</v>
      </c>
      <c r="CS63" s="52">
        <v>0</v>
      </c>
      <c r="CT63" s="67">
        <v>1</v>
      </c>
      <c r="CY63" s="53"/>
      <c r="CZ63" s="69" t="s">
        <v>87</v>
      </c>
    </row>
    <row r="64" spans="1:104" x14ac:dyDescent="0.25">
      <c r="A64">
        <v>63</v>
      </c>
      <c r="B64">
        <v>4</v>
      </c>
      <c r="C64" s="25" t="s">
        <v>136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7">D64-E64</f>
        <v>6.62</v>
      </c>
      <c r="H64" s="16">
        <f t="shared" ref="H64:H72" si="28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29">IFERROR(1/J64, "X")</f>
        <v>141.58446416830895</v>
      </c>
      <c r="L64" s="33">
        <f t="shared" ref="L64:L68" si="30">IFERROR(I64-J64, "X")</f>
        <v>0.25975856880779014</v>
      </c>
      <c r="M64" s="33">
        <f t="shared" ref="M64:M68" si="31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6"/>
        <v>18619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9">
        <v>0</v>
      </c>
      <c r="AL64" s="30">
        <v>1</v>
      </c>
      <c r="AM64" s="21">
        <v>2001</v>
      </c>
      <c r="AN64" s="23"/>
      <c r="AO64" s="33" t="s">
        <v>107</v>
      </c>
      <c r="AP64" s="33" t="s">
        <v>107</v>
      </c>
      <c r="AQ64" s="33" t="s">
        <v>107</v>
      </c>
      <c r="AR64" s="43" t="s">
        <v>107</v>
      </c>
      <c r="AS64" s="33" t="s">
        <v>107</v>
      </c>
      <c r="AT64" s="43" t="s">
        <v>107</v>
      </c>
      <c r="AU64" s="42">
        <v>1</v>
      </c>
      <c r="AV64" s="18">
        <v>0</v>
      </c>
      <c r="AW64" s="33" t="s">
        <v>107</v>
      </c>
      <c r="AX64" s="40" t="s">
        <v>107</v>
      </c>
      <c r="AY64">
        <v>0.5</v>
      </c>
      <c r="AZ64" s="40">
        <v>0.5</v>
      </c>
      <c r="BB64" s="18"/>
      <c r="BC64" t="s">
        <v>107</v>
      </c>
      <c r="BD64" s="18" t="s">
        <v>107</v>
      </c>
      <c r="BE64" s="18" t="s">
        <v>26</v>
      </c>
      <c r="BL64" s="18"/>
      <c r="BO64" s="18"/>
      <c r="BR64" s="25" t="s">
        <v>107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 s="18">
        <v>1</v>
      </c>
      <c r="CA64">
        <v>0</v>
      </c>
      <c r="CB64">
        <v>0</v>
      </c>
      <c r="CC64">
        <v>1</v>
      </c>
      <c r="CD64" s="18">
        <v>0</v>
      </c>
      <c r="CE64">
        <v>1</v>
      </c>
      <c r="CF64">
        <v>0</v>
      </c>
      <c r="CG64">
        <v>0</v>
      </c>
      <c r="CH64">
        <v>0</v>
      </c>
      <c r="CI64" s="18">
        <v>0</v>
      </c>
      <c r="CJ64">
        <v>0</v>
      </c>
      <c r="CK64">
        <v>0</v>
      </c>
      <c r="CL64">
        <v>1</v>
      </c>
      <c r="CM64">
        <v>1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 s="18">
        <v>0</v>
      </c>
      <c r="CZ64" s="34" t="s">
        <v>87</v>
      </c>
    </row>
    <row r="65" spans="1:104" x14ac:dyDescent="0.25">
      <c r="A65">
        <v>64</v>
      </c>
      <c r="B65">
        <v>4</v>
      </c>
      <c r="C65" s="25" t="s">
        <v>136</v>
      </c>
      <c r="D65" s="12">
        <v>7.23</v>
      </c>
      <c r="E65" s="14">
        <v>0.23</v>
      </c>
      <c r="F65" s="7">
        <f t="shared" ref="F65:F72" si="32">D65/E65</f>
        <v>31.434782608695652</v>
      </c>
      <c r="G65" s="7">
        <f t="shared" si="27"/>
        <v>7</v>
      </c>
      <c r="H65" s="16">
        <f t="shared" si="28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29"/>
        <v>99.091601852306113</v>
      </c>
      <c r="L65" s="33">
        <f t="shared" si="30"/>
        <v>0.30713786072464588</v>
      </c>
      <c r="M65" s="33">
        <f t="shared" si="31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6"/>
        <v>8831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9">
        <v>0</v>
      </c>
      <c r="AL65" s="30">
        <v>1</v>
      </c>
      <c r="AM65" s="21">
        <v>2001</v>
      </c>
      <c r="AN65" s="23"/>
      <c r="AO65" s="33" t="s">
        <v>107</v>
      </c>
      <c r="AP65" s="33" t="s">
        <v>107</v>
      </c>
      <c r="AQ65" s="33" t="s">
        <v>107</v>
      </c>
      <c r="AR65" s="43" t="s">
        <v>107</v>
      </c>
      <c r="AS65" s="33" t="s">
        <v>107</v>
      </c>
      <c r="AT65" s="43" t="s">
        <v>107</v>
      </c>
      <c r="AU65" s="42">
        <v>1</v>
      </c>
      <c r="AV65" s="18">
        <v>0</v>
      </c>
      <c r="AW65" t="s">
        <v>107</v>
      </c>
      <c r="AX65" s="40" t="s">
        <v>107</v>
      </c>
      <c r="AY65">
        <v>0.5</v>
      </c>
      <c r="AZ65" s="40">
        <v>0.5</v>
      </c>
      <c r="BB65" s="18"/>
      <c r="BC65" t="s">
        <v>107</v>
      </c>
      <c r="BD65" s="18" t="s">
        <v>107</v>
      </c>
      <c r="BE65" s="18" t="s">
        <v>26</v>
      </c>
      <c r="BL65" s="18"/>
      <c r="BO65" s="18"/>
      <c r="BR65" s="25" t="s">
        <v>107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 s="18">
        <v>1</v>
      </c>
      <c r="CA65">
        <v>0</v>
      </c>
      <c r="CB65">
        <v>0</v>
      </c>
      <c r="CC65">
        <v>1</v>
      </c>
      <c r="CD65" s="18">
        <v>0</v>
      </c>
      <c r="CE65">
        <v>1</v>
      </c>
      <c r="CF65">
        <v>0</v>
      </c>
      <c r="CG65">
        <v>0</v>
      </c>
      <c r="CH65">
        <v>0</v>
      </c>
      <c r="CI65" s="18">
        <v>0</v>
      </c>
      <c r="CJ65">
        <v>0</v>
      </c>
      <c r="CK65">
        <v>0</v>
      </c>
      <c r="CL65">
        <v>1</v>
      </c>
      <c r="CM65">
        <v>1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 s="18">
        <v>0</v>
      </c>
      <c r="CZ65" s="34" t="s">
        <v>87</v>
      </c>
    </row>
    <row r="66" spans="1:104" x14ac:dyDescent="0.25">
      <c r="A66">
        <v>65</v>
      </c>
      <c r="B66">
        <v>4</v>
      </c>
      <c r="C66" s="25" t="s">
        <v>136</v>
      </c>
      <c r="D66" s="12">
        <v>6.4</v>
      </c>
      <c r="E66" s="14">
        <v>0.27</v>
      </c>
      <c r="F66" s="7">
        <f t="shared" si="32"/>
        <v>23.703703703703702</v>
      </c>
      <c r="G66" s="7">
        <f t="shared" si="27"/>
        <v>6.1300000000000008</v>
      </c>
      <c r="H66" s="16">
        <f t="shared" si="28"/>
        <v>6.67</v>
      </c>
      <c r="I66" s="11">
        <f t="shared" ref="I66:I129" si="33">IFERROR(F66/SQRT(F66^2+W66), "X")</f>
        <v>0.23315395335818478</v>
      </c>
      <c r="J66" s="33">
        <f t="shared" ref="J66:J129" si="34">IFERROR(SQRT((1-I66^2)/W66), "X")</f>
        <v>9.8361824072984213E-3</v>
      </c>
      <c r="K66" s="33">
        <f t="shared" si="29"/>
        <v>101.66545907668433</v>
      </c>
      <c r="L66" s="33">
        <f t="shared" si="30"/>
        <v>0.22331777095088637</v>
      </c>
      <c r="M66" s="33">
        <f t="shared" si="31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6"/>
        <v>9774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9">
        <v>0</v>
      </c>
      <c r="AL66" s="30">
        <v>1</v>
      </c>
      <c r="AM66" s="21">
        <v>2001</v>
      </c>
      <c r="AN66" s="23"/>
      <c r="AO66" s="33" t="s">
        <v>107</v>
      </c>
      <c r="AP66" s="33" t="s">
        <v>107</v>
      </c>
      <c r="AQ66" s="33" t="s">
        <v>107</v>
      </c>
      <c r="AR66" s="43" t="s">
        <v>107</v>
      </c>
      <c r="AS66" s="33" t="s">
        <v>107</v>
      </c>
      <c r="AT66" s="43" t="s">
        <v>107</v>
      </c>
      <c r="AU66" s="42">
        <v>1</v>
      </c>
      <c r="AV66" s="18">
        <v>0</v>
      </c>
      <c r="AW66" t="s">
        <v>107</v>
      </c>
      <c r="AX66" s="40" t="s">
        <v>107</v>
      </c>
      <c r="AY66">
        <v>0.5</v>
      </c>
      <c r="AZ66" s="40">
        <v>0.5</v>
      </c>
      <c r="BB66" s="18"/>
      <c r="BC66" t="s">
        <v>107</v>
      </c>
      <c r="BD66" s="18" t="s">
        <v>107</v>
      </c>
      <c r="BE66" s="18" t="s">
        <v>26</v>
      </c>
      <c r="BL66" s="18"/>
      <c r="BO66" s="18"/>
      <c r="BR66" s="25" t="s">
        <v>107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 s="18">
        <v>1</v>
      </c>
      <c r="CA66">
        <v>0</v>
      </c>
      <c r="CB66">
        <v>0</v>
      </c>
      <c r="CC66">
        <v>1</v>
      </c>
      <c r="CD66" s="18">
        <v>0</v>
      </c>
      <c r="CE66">
        <v>1</v>
      </c>
      <c r="CF66">
        <v>0</v>
      </c>
      <c r="CG66">
        <v>0</v>
      </c>
      <c r="CH66">
        <v>0</v>
      </c>
      <c r="CI66" s="18">
        <v>0</v>
      </c>
      <c r="CJ66">
        <v>0</v>
      </c>
      <c r="CK66">
        <v>0</v>
      </c>
      <c r="CL66">
        <v>1</v>
      </c>
      <c r="CM66">
        <v>1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 s="18">
        <v>0</v>
      </c>
      <c r="CZ66" s="34" t="s">
        <v>87</v>
      </c>
    </row>
    <row r="67" spans="1:104" x14ac:dyDescent="0.25">
      <c r="A67">
        <v>66</v>
      </c>
      <c r="B67">
        <v>4</v>
      </c>
      <c r="C67" s="25" t="s">
        <v>136</v>
      </c>
      <c r="D67" s="12">
        <v>7.51</v>
      </c>
      <c r="E67" s="14">
        <v>0.22</v>
      </c>
      <c r="F67" s="7">
        <f t="shared" si="32"/>
        <v>34.136363636363633</v>
      </c>
      <c r="G67" s="7">
        <f t="shared" si="27"/>
        <v>7.29</v>
      </c>
      <c r="H67" s="16">
        <f t="shared" si="28"/>
        <v>7.7299999999999995</v>
      </c>
      <c r="I67" s="11">
        <f t="shared" si="33"/>
        <v>0.30012044195995219</v>
      </c>
      <c r="J67" s="33">
        <f t="shared" si="34"/>
        <v>8.7918105500918095E-3</v>
      </c>
      <c r="K67" s="33">
        <f t="shared" si="29"/>
        <v>113.74221433713188</v>
      </c>
      <c r="L67" s="33">
        <f t="shared" si="30"/>
        <v>0.29132863140986037</v>
      </c>
      <c r="M67" s="33">
        <f t="shared" si="31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6"/>
        <v>11772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9">
        <v>0</v>
      </c>
      <c r="AL67" s="30">
        <v>1</v>
      </c>
      <c r="AM67" s="21">
        <v>2001</v>
      </c>
      <c r="AN67" s="23"/>
      <c r="AO67" s="33" t="s">
        <v>107</v>
      </c>
      <c r="AP67" s="33" t="s">
        <v>107</v>
      </c>
      <c r="AQ67" s="33" t="s">
        <v>107</v>
      </c>
      <c r="AR67" s="43" t="s">
        <v>107</v>
      </c>
      <c r="AS67" s="33" t="s">
        <v>107</v>
      </c>
      <c r="AT67" s="43" t="s">
        <v>107</v>
      </c>
      <c r="AU67" s="42">
        <v>1</v>
      </c>
      <c r="AV67" s="18">
        <v>0</v>
      </c>
      <c r="AW67">
        <v>1</v>
      </c>
      <c r="AX67" s="40">
        <v>0</v>
      </c>
      <c r="AY67">
        <v>0.5</v>
      </c>
      <c r="AZ67" s="40">
        <v>0.5</v>
      </c>
      <c r="BB67" s="18"/>
      <c r="BC67" t="s">
        <v>107</v>
      </c>
      <c r="BD67" s="18" t="s">
        <v>107</v>
      </c>
      <c r="BE67" s="18" t="s">
        <v>26</v>
      </c>
      <c r="BL67" s="18"/>
      <c r="BO67" s="18"/>
      <c r="BR67" s="25" t="s">
        <v>107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 s="18">
        <v>1</v>
      </c>
      <c r="CA67">
        <v>0</v>
      </c>
      <c r="CB67">
        <v>0</v>
      </c>
      <c r="CC67">
        <v>1</v>
      </c>
      <c r="CD67" s="18">
        <v>0</v>
      </c>
      <c r="CE67">
        <v>1</v>
      </c>
      <c r="CF67">
        <v>0</v>
      </c>
      <c r="CG67">
        <v>0</v>
      </c>
      <c r="CH67">
        <v>0</v>
      </c>
      <c r="CI67" s="18">
        <v>0</v>
      </c>
      <c r="CJ67">
        <v>0</v>
      </c>
      <c r="CK67">
        <v>0</v>
      </c>
      <c r="CL67">
        <v>1</v>
      </c>
      <c r="CM67">
        <v>1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 s="18">
        <v>0</v>
      </c>
      <c r="CZ67" s="34" t="s">
        <v>87</v>
      </c>
    </row>
    <row r="68" spans="1:104" s="52" customFormat="1" x14ac:dyDescent="0.25">
      <c r="A68" s="52">
        <v>67</v>
      </c>
      <c r="B68" s="52">
        <v>4</v>
      </c>
      <c r="C68" s="53" t="s">
        <v>136</v>
      </c>
      <c r="D68" s="54">
        <v>6.4</v>
      </c>
      <c r="E68" s="55">
        <v>0.31</v>
      </c>
      <c r="F68" s="56">
        <f t="shared" si="32"/>
        <v>20.645161290322584</v>
      </c>
      <c r="G68" s="56">
        <f t="shared" si="27"/>
        <v>6.0900000000000007</v>
      </c>
      <c r="H68" s="57">
        <f t="shared" si="28"/>
        <v>6.71</v>
      </c>
      <c r="I68" s="58">
        <f t="shared" si="33"/>
        <v>0.24231105060910629</v>
      </c>
      <c r="J68" s="59">
        <f t="shared" si="34"/>
        <v>1.1736941513878585E-2</v>
      </c>
      <c r="K68" s="59">
        <f t="shared" si="29"/>
        <v>85.201072086584887</v>
      </c>
      <c r="L68" s="59">
        <f t="shared" si="30"/>
        <v>0.23057410909522771</v>
      </c>
      <c r="M68" s="59">
        <f t="shared" si="31"/>
        <v>0.2540479921229849</v>
      </c>
      <c r="N68" s="60">
        <v>1</v>
      </c>
      <c r="O68" s="61">
        <v>0</v>
      </c>
      <c r="P68" s="60">
        <v>0</v>
      </c>
      <c r="Q68" s="61">
        <v>0</v>
      </c>
      <c r="R68" s="61">
        <v>0</v>
      </c>
      <c r="S68" s="61">
        <v>1</v>
      </c>
      <c r="T68" s="61">
        <v>0</v>
      </c>
      <c r="U68" s="60">
        <v>6842</v>
      </c>
      <c r="V68" s="61">
        <v>8</v>
      </c>
      <c r="W68" s="61">
        <f t="shared" si="26"/>
        <v>6833</v>
      </c>
      <c r="X68" s="61"/>
      <c r="Y68" s="56">
        <v>11.21</v>
      </c>
      <c r="Z68" s="56">
        <v>18</v>
      </c>
      <c r="AA68" s="61">
        <v>1</v>
      </c>
      <c r="AB68" s="61">
        <v>0</v>
      </c>
      <c r="AC68" s="61">
        <v>0</v>
      </c>
      <c r="AD68" s="61">
        <v>1</v>
      </c>
      <c r="AE68" s="61">
        <v>0</v>
      </c>
      <c r="AF68" s="61">
        <v>0</v>
      </c>
      <c r="AG68" s="60">
        <v>0</v>
      </c>
      <c r="AH68" s="61">
        <v>1</v>
      </c>
      <c r="AI68" s="62">
        <v>0</v>
      </c>
      <c r="AJ68" s="61">
        <v>0</v>
      </c>
      <c r="AK68" s="61">
        <v>0</v>
      </c>
      <c r="AL68" s="62">
        <v>1</v>
      </c>
      <c r="AM68" s="63">
        <v>2001</v>
      </c>
      <c r="AN68" s="64"/>
      <c r="AO68" s="59" t="s">
        <v>107</v>
      </c>
      <c r="AP68" s="59" t="s">
        <v>107</v>
      </c>
      <c r="AQ68" s="59" t="s">
        <v>107</v>
      </c>
      <c r="AR68" s="65" t="s">
        <v>107</v>
      </c>
      <c r="AS68" s="59" t="s">
        <v>107</v>
      </c>
      <c r="AT68" s="65" t="s">
        <v>107</v>
      </c>
      <c r="AU68" s="66">
        <v>1</v>
      </c>
      <c r="AV68" s="67">
        <v>0</v>
      </c>
      <c r="AW68" s="52">
        <v>0</v>
      </c>
      <c r="AX68" s="68">
        <v>1</v>
      </c>
      <c r="AY68" s="52">
        <v>0.5</v>
      </c>
      <c r="AZ68" s="68">
        <v>0.5</v>
      </c>
      <c r="BB68" s="67"/>
      <c r="BC68" s="52" t="s">
        <v>107</v>
      </c>
      <c r="BD68" s="67" t="s">
        <v>107</v>
      </c>
      <c r="BE68" s="67" t="s">
        <v>26</v>
      </c>
      <c r="BL68" s="67"/>
      <c r="BO68" s="67"/>
      <c r="BR68" s="53" t="s">
        <v>107</v>
      </c>
      <c r="BS68" s="52">
        <v>0</v>
      </c>
      <c r="BT68" s="52">
        <v>0</v>
      </c>
      <c r="BU68" s="52">
        <v>0</v>
      </c>
      <c r="BV68" s="52">
        <v>0</v>
      </c>
      <c r="BW68" s="52">
        <v>0</v>
      </c>
      <c r="BX68" s="52">
        <v>0</v>
      </c>
      <c r="BY68" s="52">
        <v>0</v>
      </c>
      <c r="BZ68" s="67">
        <v>1</v>
      </c>
      <c r="CA68" s="52">
        <v>0</v>
      </c>
      <c r="CB68" s="52">
        <v>0</v>
      </c>
      <c r="CC68" s="52">
        <v>1</v>
      </c>
      <c r="CD68" s="67">
        <v>0</v>
      </c>
      <c r="CE68" s="52">
        <v>1</v>
      </c>
      <c r="CF68" s="52">
        <v>0</v>
      </c>
      <c r="CG68" s="52">
        <v>0</v>
      </c>
      <c r="CH68" s="52">
        <v>0</v>
      </c>
      <c r="CI68" s="67">
        <v>0</v>
      </c>
      <c r="CJ68" s="52">
        <v>0</v>
      </c>
      <c r="CK68" s="52">
        <v>0</v>
      </c>
      <c r="CL68" s="52">
        <v>1</v>
      </c>
      <c r="CM68" s="52">
        <v>1</v>
      </c>
      <c r="CN68" s="52">
        <v>0</v>
      </c>
      <c r="CO68" s="52">
        <v>0</v>
      </c>
      <c r="CP68" s="52">
        <v>0</v>
      </c>
      <c r="CQ68" s="52">
        <v>0</v>
      </c>
      <c r="CR68" s="52">
        <v>0</v>
      </c>
      <c r="CS68" s="52">
        <v>0</v>
      </c>
      <c r="CT68" s="67">
        <v>0</v>
      </c>
      <c r="CY68" s="53"/>
      <c r="CZ68" s="69" t="s">
        <v>87</v>
      </c>
    </row>
    <row r="69" spans="1:104" x14ac:dyDescent="0.25">
      <c r="A69">
        <v>68</v>
      </c>
      <c r="B69">
        <v>5</v>
      </c>
      <c r="C69" s="25" t="s">
        <v>139</v>
      </c>
      <c r="D69" s="12">
        <v>8.1199999999999992</v>
      </c>
      <c r="E69" s="14">
        <v>7.0000000000000007E-2</v>
      </c>
      <c r="F69" s="7">
        <f t="shared" si="32"/>
        <v>115.99999999999997</v>
      </c>
      <c r="G69" s="7">
        <f t="shared" si="27"/>
        <v>8.0499999999999989</v>
      </c>
      <c r="H69" s="16">
        <f t="shared" si="28"/>
        <v>8.19</v>
      </c>
      <c r="I69" s="11">
        <f t="shared" si="33"/>
        <v>0.11732222220965668</v>
      </c>
      <c r="J69" s="33">
        <f t="shared" si="34"/>
        <v>1.0113984673246269E-3</v>
      </c>
      <c r="K69" s="33">
        <f t="shared" ref="K69:K72" si="35">IFERROR(1/J69, "X")</f>
        <v>988.72999347647988</v>
      </c>
      <c r="L69" s="33">
        <f t="shared" ref="L69:L72" si="36">IFERROR(I69-J69, "X")</f>
        <v>0.11631082374233206</v>
      </c>
      <c r="M69" s="33">
        <f t="shared" ref="M69:M72" si="37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6"/>
        <v>964131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9">
        <v>0</v>
      </c>
      <c r="AL69" s="30">
        <v>1</v>
      </c>
      <c r="AM69" s="21">
        <v>2006</v>
      </c>
      <c r="AN69" s="23"/>
      <c r="AO69" s="33" t="s">
        <v>107</v>
      </c>
      <c r="AP69" s="33" t="s">
        <v>107</v>
      </c>
      <c r="AQ69" s="33" t="s">
        <v>107</v>
      </c>
      <c r="AR69" s="43" t="s">
        <v>107</v>
      </c>
      <c r="AS69" s="33" t="s">
        <v>107</v>
      </c>
      <c r="AT69" s="43" t="s">
        <v>107</v>
      </c>
      <c r="AU69" s="42" t="s">
        <v>107</v>
      </c>
      <c r="AV69" s="18" t="s">
        <v>107</v>
      </c>
      <c r="AW69">
        <v>0.47708695652173899</v>
      </c>
      <c r="AX69" s="40">
        <f>1-AW69</f>
        <v>0.52291304347826095</v>
      </c>
      <c r="AY69">
        <v>0.4</v>
      </c>
      <c r="AZ69" s="40">
        <v>0.6</v>
      </c>
      <c r="BB69" s="18"/>
      <c r="BC69" t="s">
        <v>107</v>
      </c>
      <c r="BD69" s="18" t="s">
        <v>107</v>
      </c>
      <c r="BE69" s="18" t="s">
        <v>23</v>
      </c>
      <c r="BL69" s="18"/>
      <c r="BO69" s="18"/>
      <c r="BR69" s="25" t="s">
        <v>107</v>
      </c>
      <c r="BS69">
        <v>1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 s="18">
        <v>0</v>
      </c>
      <c r="CA69">
        <v>0</v>
      </c>
      <c r="CB69">
        <v>0</v>
      </c>
      <c r="CC69">
        <v>1</v>
      </c>
      <c r="CD69" s="18">
        <v>0</v>
      </c>
      <c r="CE69">
        <v>0</v>
      </c>
      <c r="CF69">
        <v>0</v>
      </c>
      <c r="CG69">
        <v>0</v>
      </c>
      <c r="CH69">
        <v>0</v>
      </c>
      <c r="CI69" s="18">
        <v>0</v>
      </c>
      <c r="CJ69">
        <v>0</v>
      </c>
      <c r="CK69">
        <v>0</v>
      </c>
      <c r="CL69">
        <v>1</v>
      </c>
      <c r="CM69">
        <v>1</v>
      </c>
      <c r="CN69">
        <v>0</v>
      </c>
      <c r="CO69">
        <v>0</v>
      </c>
      <c r="CP69">
        <v>1</v>
      </c>
      <c r="CQ69">
        <v>1</v>
      </c>
      <c r="CR69">
        <v>1</v>
      </c>
      <c r="CS69">
        <v>0</v>
      </c>
      <c r="CT69" s="18">
        <v>1</v>
      </c>
      <c r="CZ69" s="34" t="s">
        <v>87</v>
      </c>
    </row>
    <row r="70" spans="1:104" x14ac:dyDescent="0.25">
      <c r="A70">
        <v>69</v>
      </c>
      <c r="B70">
        <v>5</v>
      </c>
      <c r="C70" s="25" t="s">
        <v>139</v>
      </c>
      <c r="D70" s="12">
        <v>7.19</v>
      </c>
      <c r="E70" s="14">
        <v>0.1</v>
      </c>
      <c r="F70" s="7">
        <f t="shared" si="32"/>
        <v>71.900000000000006</v>
      </c>
      <c r="G70" s="7">
        <f t="shared" si="27"/>
        <v>7.0900000000000007</v>
      </c>
      <c r="H70" s="16">
        <f t="shared" si="28"/>
        <v>7.29</v>
      </c>
      <c r="I70" s="11">
        <f t="shared" si="33"/>
        <v>7.3029759659608812E-2</v>
      </c>
      <c r="J70" s="33">
        <f t="shared" si="34"/>
        <v>1.0157129298972018E-3</v>
      </c>
      <c r="K70" s="33">
        <f t="shared" si="35"/>
        <v>984.53014682131493</v>
      </c>
      <c r="L70" s="33">
        <f t="shared" si="36"/>
        <v>7.2014046729711609E-2</v>
      </c>
      <c r="M70" s="33">
        <f t="shared" si="37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6"/>
        <v>964130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9">
        <v>0</v>
      </c>
      <c r="AL70" s="30">
        <v>1</v>
      </c>
      <c r="AM70" s="21">
        <v>2006</v>
      </c>
      <c r="AN70" s="23"/>
      <c r="AO70" s="33" t="s">
        <v>107</v>
      </c>
      <c r="AP70" s="33" t="s">
        <v>107</v>
      </c>
      <c r="AQ70" s="33" t="s">
        <v>107</v>
      </c>
      <c r="AR70" s="43" t="s">
        <v>107</v>
      </c>
      <c r="AS70" s="33" t="s">
        <v>107</v>
      </c>
      <c r="AT70" s="43" t="s">
        <v>107</v>
      </c>
      <c r="AU70" s="42" t="s">
        <v>107</v>
      </c>
      <c r="AV70" s="18" t="s">
        <v>107</v>
      </c>
      <c r="AW70">
        <v>0.47708695652173899</v>
      </c>
      <c r="AX70" s="40">
        <f t="shared" ref="AX70:AX76" si="38">1-AW70</f>
        <v>0.52291304347826095</v>
      </c>
      <c r="AY70">
        <v>0.4</v>
      </c>
      <c r="AZ70" s="40">
        <v>0.6</v>
      </c>
      <c r="BB70" s="18"/>
      <c r="BC70" t="s">
        <v>107</v>
      </c>
      <c r="BD70" s="18" t="s">
        <v>107</v>
      </c>
      <c r="BE70" s="18" t="s">
        <v>23</v>
      </c>
      <c r="BL70" s="18"/>
      <c r="BO70" s="18"/>
      <c r="BR70" s="25" t="s">
        <v>107</v>
      </c>
      <c r="BS70">
        <v>1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 s="18">
        <v>0</v>
      </c>
      <c r="CA70">
        <v>0</v>
      </c>
      <c r="CB70">
        <v>0</v>
      </c>
      <c r="CC70">
        <v>1</v>
      </c>
      <c r="CD70" s="18">
        <v>0</v>
      </c>
      <c r="CE70">
        <v>0</v>
      </c>
      <c r="CF70">
        <v>0</v>
      </c>
      <c r="CG70">
        <v>0</v>
      </c>
      <c r="CH70">
        <v>0</v>
      </c>
      <c r="CI70" s="18">
        <v>0</v>
      </c>
      <c r="CJ70">
        <v>0</v>
      </c>
      <c r="CK70">
        <v>0</v>
      </c>
      <c r="CL70">
        <v>1</v>
      </c>
      <c r="CM70">
        <v>1</v>
      </c>
      <c r="CN70">
        <v>0</v>
      </c>
      <c r="CO70">
        <v>0</v>
      </c>
      <c r="CP70">
        <v>1</v>
      </c>
      <c r="CQ70">
        <v>1</v>
      </c>
      <c r="CR70">
        <v>1</v>
      </c>
      <c r="CS70">
        <v>0</v>
      </c>
      <c r="CT70" s="18">
        <v>1</v>
      </c>
      <c r="CZ70" s="34" t="s">
        <v>87</v>
      </c>
    </row>
    <row r="71" spans="1:104" x14ac:dyDescent="0.25">
      <c r="A71">
        <v>70</v>
      </c>
      <c r="B71">
        <v>5</v>
      </c>
      <c r="C71" s="25" t="s">
        <v>139</v>
      </c>
      <c r="D71" s="12">
        <v>7.4</v>
      </c>
      <c r="E71" s="14">
        <v>7.0000000000000007E-2</v>
      </c>
      <c r="F71" s="7">
        <f t="shared" si="32"/>
        <v>105.71428571428571</v>
      </c>
      <c r="G71" s="7">
        <f t="shared" si="27"/>
        <v>7.33</v>
      </c>
      <c r="H71" s="16">
        <f t="shared" si="28"/>
        <v>7.4700000000000006</v>
      </c>
      <c r="I71" s="11">
        <f t="shared" si="33"/>
        <v>0.1070442492936699</v>
      </c>
      <c r="J71" s="33">
        <f t="shared" si="34"/>
        <v>1.0125807365617423E-3</v>
      </c>
      <c r="K71" s="33">
        <f t="shared" si="35"/>
        <v>987.57557189517479</v>
      </c>
      <c r="L71" s="33">
        <f t="shared" si="36"/>
        <v>0.10603166855710816</v>
      </c>
      <c r="M71" s="33">
        <f t="shared" si="37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6"/>
        <v>964130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9">
        <v>0</v>
      </c>
      <c r="AL71" s="30">
        <v>1</v>
      </c>
      <c r="AM71" s="21">
        <v>2006</v>
      </c>
      <c r="AN71" s="23"/>
      <c r="AO71" s="33" t="s">
        <v>107</v>
      </c>
      <c r="AP71" s="33" t="s">
        <v>107</v>
      </c>
      <c r="AQ71" s="33" t="s">
        <v>107</v>
      </c>
      <c r="AR71" s="43" t="s">
        <v>107</v>
      </c>
      <c r="AS71" s="33" t="s">
        <v>107</v>
      </c>
      <c r="AT71" s="43" t="s">
        <v>107</v>
      </c>
      <c r="AU71" s="42" t="s">
        <v>107</v>
      </c>
      <c r="AV71" s="18" t="s">
        <v>107</v>
      </c>
      <c r="AW71">
        <v>0.47708695652173899</v>
      </c>
      <c r="AX71" s="40">
        <f t="shared" si="38"/>
        <v>0.52291304347826095</v>
      </c>
      <c r="AY71">
        <v>0.4</v>
      </c>
      <c r="AZ71" s="40">
        <v>0.6</v>
      </c>
      <c r="BB71" s="18"/>
      <c r="BC71" t="s">
        <v>107</v>
      </c>
      <c r="BD71" s="18" t="s">
        <v>107</v>
      </c>
      <c r="BE71" s="18" t="s">
        <v>23</v>
      </c>
      <c r="BL71" s="18"/>
      <c r="BO71" s="18"/>
      <c r="BR71" s="25" t="s">
        <v>107</v>
      </c>
      <c r="BS71">
        <v>1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 s="18">
        <v>0</v>
      </c>
      <c r="CA71">
        <v>0</v>
      </c>
      <c r="CB71">
        <v>0</v>
      </c>
      <c r="CC71">
        <v>1</v>
      </c>
      <c r="CD71" s="18">
        <v>0</v>
      </c>
      <c r="CE71">
        <v>0</v>
      </c>
      <c r="CF71">
        <v>0</v>
      </c>
      <c r="CG71">
        <v>0</v>
      </c>
      <c r="CH71">
        <v>0</v>
      </c>
      <c r="CI71" s="18">
        <v>0</v>
      </c>
      <c r="CJ71">
        <v>0</v>
      </c>
      <c r="CK71">
        <v>0</v>
      </c>
      <c r="CL71">
        <v>1</v>
      </c>
      <c r="CM71">
        <v>1</v>
      </c>
      <c r="CN71">
        <v>0</v>
      </c>
      <c r="CO71">
        <v>0</v>
      </c>
      <c r="CP71">
        <v>1</v>
      </c>
      <c r="CQ71">
        <v>1</v>
      </c>
      <c r="CR71">
        <v>1</v>
      </c>
      <c r="CS71">
        <v>0</v>
      </c>
      <c r="CT71" s="18">
        <v>0</v>
      </c>
      <c r="CZ71" s="34" t="s">
        <v>87</v>
      </c>
    </row>
    <row r="72" spans="1:104" x14ac:dyDescent="0.25">
      <c r="A72">
        <v>71</v>
      </c>
      <c r="B72">
        <v>5</v>
      </c>
      <c r="C72" s="25" t="s">
        <v>139</v>
      </c>
      <c r="D72" s="12">
        <v>6.45</v>
      </c>
      <c r="E72" s="14">
        <v>0.1</v>
      </c>
      <c r="F72" s="7">
        <f t="shared" si="32"/>
        <v>64.5</v>
      </c>
      <c r="G72" s="7">
        <f t="shared" si="27"/>
        <v>6.3500000000000005</v>
      </c>
      <c r="H72" s="16">
        <f t="shared" si="28"/>
        <v>6.55</v>
      </c>
      <c r="I72" s="11">
        <f t="shared" si="33"/>
        <v>6.554765504121858E-2</v>
      </c>
      <c r="J72" s="33">
        <f t="shared" si="34"/>
        <v>1.0162427138173424E-3</v>
      </c>
      <c r="K72" s="33">
        <f t="shared" si="35"/>
        <v>984.01689518015894</v>
      </c>
      <c r="L72" s="33">
        <f t="shared" si="36"/>
        <v>6.4531412327401241E-2</v>
      </c>
      <c r="M72" s="33">
        <f t="shared" si="37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6"/>
        <v>964129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9">
        <v>0</v>
      </c>
      <c r="AL72" s="30">
        <v>1</v>
      </c>
      <c r="AM72" s="21">
        <v>2006</v>
      </c>
      <c r="AN72" s="23"/>
      <c r="AO72" s="33" t="s">
        <v>107</v>
      </c>
      <c r="AP72" s="33" t="s">
        <v>107</v>
      </c>
      <c r="AQ72" s="33" t="s">
        <v>107</v>
      </c>
      <c r="AR72" s="43" t="s">
        <v>107</v>
      </c>
      <c r="AS72" s="33" t="s">
        <v>107</v>
      </c>
      <c r="AT72" s="43" t="s">
        <v>107</v>
      </c>
      <c r="AU72" s="42" t="s">
        <v>107</v>
      </c>
      <c r="AV72" s="18" t="s">
        <v>107</v>
      </c>
      <c r="AW72">
        <v>0.47708695652173899</v>
      </c>
      <c r="AX72" s="40">
        <f t="shared" si="38"/>
        <v>0.52291304347826095</v>
      </c>
      <c r="AY72">
        <v>0.4</v>
      </c>
      <c r="AZ72" s="40">
        <v>0.6</v>
      </c>
      <c r="BB72" s="18"/>
      <c r="BC72" t="s">
        <v>107</v>
      </c>
      <c r="BD72" s="18" t="s">
        <v>107</v>
      </c>
      <c r="BE72" s="18" t="s">
        <v>23</v>
      </c>
      <c r="BL72" s="18"/>
      <c r="BO72" s="18"/>
      <c r="BR72" s="25" t="s">
        <v>107</v>
      </c>
      <c r="BS72">
        <v>1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 s="18">
        <v>0</v>
      </c>
      <c r="CA72">
        <v>0</v>
      </c>
      <c r="CB72">
        <v>0</v>
      </c>
      <c r="CC72">
        <v>1</v>
      </c>
      <c r="CD72" s="18">
        <v>0</v>
      </c>
      <c r="CE72">
        <v>0</v>
      </c>
      <c r="CF72">
        <v>0</v>
      </c>
      <c r="CG72">
        <v>0</v>
      </c>
      <c r="CH72">
        <v>0</v>
      </c>
      <c r="CI72" s="18">
        <v>0</v>
      </c>
      <c r="CJ72">
        <v>0</v>
      </c>
      <c r="CK72">
        <v>0</v>
      </c>
      <c r="CL72">
        <v>1</v>
      </c>
      <c r="CM72">
        <v>1</v>
      </c>
      <c r="CN72">
        <v>0</v>
      </c>
      <c r="CO72">
        <v>0</v>
      </c>
      <c r="CP72">
        <v>1</v>
      </c>
      <c r="CQ72">
        <v>1</v>
      </c>
      <c r="CR72">
        <v>1</v>
      </c>
      <c r="CS72">
        <v>0</v>
      </c>
      <c r="CT72" s="18">
        <v>0</v>
      </c>
      <c r="CZ72" s="34" t="s">
        <v>87</v>
      </c>
    </row>
    <row r="73" spans="1:104" x14ac:dyDescent="0.25">
      <c r="A73">
        <v>72</v>
      </c>
      <c r="B73">
        <v>5</v>
      </c>
      <c r="C73" s="25" t="s">
        <v>139</v>
      </c>
      <c r="D73" s="12">
        <v>8.01</v>
      </c>
      <c r="E73" s="14">
        <v>1.17</v>
      </c>
      <c r="F73" s="7">
        <f t="shared" ref="F73:F76" si="39">D73/E73</f>
        <v>6.8461538461538467</v>
      </c>
      <c r="G73" s="7">
        <f t="shared" ref="G73:G76" si="40">D73-E73</f>
        <v>6.84</v>
      </c>
      <c r="H73" s="16">
        <f t="shared" ref="H73:H76" si="41">D73+E73</f>
        <v>9.18</v>
      </c>
      <c r="I73" s="11">
        <f t="shared" si="33"/>
        <v>6.9447151564347356E-3</v>
      </c>
      <c r="J73" s="33">
        <f t="shared" si="34"/>
        <v>1.0143965958837253E-3</v>
      </c>
      <c r="K73" s="33">
        <f t="shared" ref="K73:K76" si="42">IFERROR(1/J73, "X")</f>
        <v>985.8077245703065</v>
      </c>
      <c r="L73" s="33">
        <f t="shared" ref="L73:L76" si="43">IFERROR(I73-J73, "X")</f>
        <v>5.9303185605510105E-3</v>
      </c>
      <c r="M73" s="33">
        <f t="shared" ref="M73:M76" si="44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6"/>
        <v>971770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9">
        <v>0</v>
      </c>
      <c r="AL73" s="30">
        <v>1</v>
      </c>
      <c r="AM73" s="21">
        <v>2006</v>
      </c>
      <c r="AN73" s="23"/>
      <c r="AO73" s="33" t="s">
        <v>107</v>
      </c>
      <c r="AP73" s="33" t="s">
        <v>107</v>
      </c>
      <c r="AQ73" s="33" t="s">
        <v>107</v>
      </c>
      <c r="AR73" s="43" t="s">
        <v>107</v>
      </c>
      <c r="AS73" s="33" t="s">
        <v>107</v>
      </c>
      <c r="AT73" s="43" t="s">
        <v>107</v>
      </c>
      <c r="AU73" s="42" t="s">
        <v>107</v>
      </c>
      <c r="AV73" s="18" t="s">
        <v>107</v>
      </c>
      <c r="AW73">
        <v>0.47708695652173899</v>
      </c>
      <c r="AX73" s="40">
        <f t="shared" si="38"/>
        <v>0.52291304347826095</v>
      </c>
      <c r="AY73">
        <v>0.4</v>
      </c>
      <c r="AZ73" s="40">
        <v>0.6</v>
      </c>
      <c r="BB73" s="18"/>
      <c r="BC73" t="s">
        <v>107</v>
      </c>
      <c r="BD73" s="18" t="s">
        <v>107</v>
      </c>
      <c r="BE73" s="18" t="s">
        <v>23</v>
      </c>
      <c r="BL73" s="18"/>
      <c r="BO73" s="18"/>
      <c r="BR73" s="25" t="s">
        <v>107</v>
      </c>
      <c r="BS73">
        <v>1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 s="18">
        <v>0</v>
      </c>
      <c r="CA73">
        <v>0</v>
      </c>
      <c r="CB73">
        <v>0</v>
      </c>
      <c r="CC73">
        <v>1</v>
      </c>
      <c r="CD73" s="18">
        <v>0</v>
      </c>
      <c r="CE73">
        <v>0</v>
      </c>
      <c r="CF73">
        <v>0</v>
      </c>
      <c r="CG73">
        <v>0</v>
      </c>
      <c r="CH73">
        <v>0</v>
      </c>
      <c r="CI73" s="18">
        <v>0</v>
      </c>
      <c r="CJ73">
        <v>0</v>
      </c>
      <c r="CK73">
        <v>0</v>
      </c>
      <c r="CL73">
        <v>1</v>
      </c>
      <c r="CM73">
        <v>1</v>
      </c>
      <c r="CN73">
        <v>0</v>
      </c>
      <c r="CO73">
        <v>0</v>
      </c>
      <c r="CP73">
        <v>1</v>
      </c>
      <c r="CQ73">
        <v>0</v>
      </c>
      <c r="CR73">
        <v>0</v>
      </c>
      <c r="CS73">
        <v>0</v>
      </c>
      <c r="CT73" s="18">
        <v>0</v>
      </c>
      <c r="CZ73" s="34" t="s">
        <v>87</v>
      </c>
    </row>
    <row r="74" spans="1:104" x14ac:dyDescent="0.25">
      <c r="A74">
        <v>73</v>
      </c>
      <c r="B74">
        <v>5</v>
      </c>
      <c r="C74" s="25" t="s">
        <v>139</v>
      </c>
      <c r="D74" s="12">
        <v>7.09</v>
      </c>
      <c r="E74" s="14">
        <v>0.85</v>
      </c>
      <c r="F74" s="7">
        <f t="shared" si="39"/>
        <v>8.3411764705882359</v>
      </c>
      <c r="G74" s="7">
        <f t="shared" si="40"/>
        <v>6.24</v>
      </c>
      <c r="H74" s="16">
        <f t="shared" si="41"/>
        <v>7.9399999999999995</v>
      </c>
      <c r="I74" s="11">
        <f t="shared" si="33"/>
        <v>8.4946221700158073E-3</v>
      </c>
      <c r="J74" s="33">
        <f t="shared" si="34"/>
        <v>1.01839616988906E-3</v>
      </c>
      <c r="K74" s="33">
        <f t="shared" si="42"/>
        <v>981.93613602154062</v>
      </c>
      <c r="L74" s="33">
        <f t="shared" si="43"/>
        <v>7.4762260001267474E-3</v>
      </c>
      <c r="M74" s="33">
        <f t="shared" si="44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6"/>
        <v>964129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9">
        <v>0</v>
      </c>
      <c r="AL74" s="30">
        <v>1</v>
      </c>
      <c r="AM74" s="21">
        <v>2006</v>
      </c>
      <c r="AN74" s="23"/>
      <c r="AO74" s="33" t="s">
        <v>107</v>
      </c>
      <c r="AP74" s="33" t="s">
        <v>107</v>
      </c>
      <c r="AQ74" s="33" t="s">
        <v>107</v>
      </c>
      <c r="AR74" s="43" t="s">
        <v>107</v>
      </c>
      <c r="AS74" s="33" t="s">
        <v>107</v>
      </c>
      <c r="AT74" s="43" t="s">
        <v>107</v>
      </c>
      <c r="AU74" s="42" t="s">
        <v>107</v>
      </c>
      <c r="AV74" s="18" t="s">
        <v>107</v>
      </c>
      <c r="AW74">
        <v>0.47708695652173899</v>
      </c>
      <c r="AX74" s="40">
        <f t="shared" si="38"/>
        <v>0.52291304347826095</v>
      </c>
      <c r="AY74">
        <v>0.4</v>
      </c>
      <c r="AZ74" s="40">
        <v>0.6</v>
      </c>
      <c r="BB74" s="18"/>
      <c r="BC74" t="s">
        <v>107</v>
      </c>
      <c r="BD74" s="18" t="s">
        <v>107</v>
      </c>
      <c r="BE74" s="18" t="s">
        <v>23</v>
      </c>
      <c r="BL74" s="18"/>
      <c r="BO74" s="18"/>
      <c r="BR74" s="25" t="s">
        <v>107</v>
      </c>
      <c r="BS74">
        <v>1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 s="18">
        <v>0</v>
      </c>
      <c r="CA74">
        <v>0</v>
      </c>
      <c r="CB74">
        <v>0</v>
      </c>
      <c r="CC74">
        <v>1</v>
      </c>
      <c r="CD74" s="18">
        <v>0</v>
      </c>
      <c r="CE74">
        <v>0</v>
      </c>
      <c r="CF74">
        <v>0</v>
      </c>
      <c r="CG74">
        <v>0</v>
      </c>
      <c r="CH74">
        <v>0</v>
      </c>
      <c r="CI74" s="18">
        <v>0</v>
      </c>
      <c r="CJ74">
        <v>0</v>
      </c>
      <c r="CK74">
        <v>0</v>
      </c>
      <c r="CL74">
        <v>1</v>
      </c>
      <c r="CM74">
        <v>1</v>
      </c>
      <c r="CN74">
        <v>0</v>
      </c>
      <c r="CO74">
        <v>0</v>
      </c>
      <c r="CP74">
        <v>1</v>
      </c>
      <c r="CQ74">
        <v>1</v>
      </c>
      <c r="CR74">
        <v>1</v>
      </c>
      <c r="CS74">
        <v>0</v>
      </c>
      <c r="CT74" s="18">
        <v>0</v>
      </c>
      <c r="CZ74" s="34" t="s">
        <v>87</v>
      </c>
    </row>
    <row r="75" spans="1:104" x14ac:dyDescent="0.25">
      <c r="A75">
        <v>74</v>
      </c>
      <c r="B75">
        <v>5</v>
      </c>
      <c r="C75" s="25" t="s">
        <v>139</v>
      </c>
      <c r="D75" s="12">
        <v>7.08</v>
      </c>
      <c r="E75" s="14">
        <v>0.85</v>
      </c>
      <c r="F75" s="7">
        <f t="shared" si="39"/>
        <v>8.329411764705883</v>
      </c>
      <c r="G75" s="7">
        <f t="shared" si="40"/>
        <v>6.23</v>
      </c>
      <c r="H75" s="16">
        <f t="shared" si="41"/>
        <v>7.93</v>
      </c>
      <c r="I75" s="11">
        <f t="shared" si="33"/>
        <v>8.4826463001277368E-3</v>
      </c>
      <c r="J75" s="33">
        <f t="shared" si="34"/>
        <v>1.018396801569008E-3</v>
      </c>
      <c r="K75" s="33">
        <f t="shared" si="42"/>
        <v>981.9355269570126</v>
      </c>
      <c r="L75" s="33">
        <f t="shared" si="43"/>
        <v>7.4642494985587291E-3</v>
      </c>
      <c r="M75" s="33">
        <f t="shared" si="44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6"/>
        <v>964128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9">
        <v>0</v>
      </c>
      <c r="AL75" s="30">
        <v>1</v>
      </c>
      <c r="AM75" s="21">
        <v>2006</v>
      </c>
      <c r="AN75" s="23"/>
      <c r="AO75" s="33" t="s">
        <v>107</v>
      </c>
      <c r="AP75" s="33" t="s">
        <v>107</v>
      </c>
      <c r="AQ75" s="33" t="s">
        <v>107</v>
      </c>
      <c r="AR75" s="43" t="s">
        <v>107</v>
      </c>
      <c r="AS75" s="33" t="s">
        <v>107</v>
      </c>
      <c r="AT75" s="43" t="s">
        <v>107</v>
      </c>
      <c r="AU75" s="42" t="s">
        <v>107</v>
      </c>
      <c r="AV75" s="18" t="s">
        <v>107</v>
      </c>
      <c r="AW75">
        <v>0.47708695652173899</v>
      </c>
      <c r="AX75" s="40">
        <f t="shared" si="38"/>
        <v>0.52291304347826095</v>
      </c>
      <c r="AY75">
        <v>0.4</v>
      </c>
      <c r="AZ75" s="40">
        <v>0.6</v>
      </c>
      <c r="BB75" s="18"/>
      <c r="BC75" t="s">
        <v>107</v>
      </c>
      <c r="BD75" s="18" t="s">
        <v>107</v>
      </c>
      <c r="BE75" s="18" t="s">
        <v>23</v>
      </c>
      <c r="BL75" s="18"/>
      <c r="BO75" s="18"/>
      <c r="BR75" s="25" t="s">
        <v>107</v>
      </c>
      <c r="BS75">
        <v>1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 s="18">
        <v>0</v>
      </c>
      <c r="CA75">
        <v>0</v>
      </c>
      <c r="CB75">
        <v>0</v>
      </c>
      <c r="CC75">
        <v>1</v>
      </c>
      <c r="CD75" s="18">
        <v>0</v>
      </c>
      <c r="CE75">
        <v>0</v>
      </c>
      <c r="CF75">
        <v>0</v>
      </c>
      <c r="CG75">
        <v>0</v>
      </c>
      <c r="CH75">
        <v>0</v>
      </c>
      <c r="CI75" s="18">
        <v>0</v>
      </c>
      <c r="CJ75">
        <v>0</v>
      </c>
      <c r="CK75">
        <v>0</v>
      </c>
      <c r="CL75">
        <v>1</v>
      </c>
      <c r="CM75">
        <v>1</v>
      </c>
      <c r="CN75">
        <v>0</v>
      </c>
      <c r="CO75">
        <v>0</v>
      </c>
      <c r="CP75">
        <v>1</v>
      </c>
      <c r="CQ75">
        <v>1</v>
      </c>
      <c r="CR75">
        <v>1</v>
      </c>
      <c r="CS75">
        <v>0</v>
      </c>
      <c r="CT75" s="18">
        <v>0</v>
      </c>
      <c r="CZ75" s="34" t="s">
        <v>87</v>
      </c>
    </row>
    <row r="76" spans="1:104" s="52" customFormat="1" x14ac:dyDescent="0.25">
      <c r="A76" s="52">
        <v>75</v>
      </c>
      <c r="B76" s="52">
        <v>5</v>
      </c>
      <c r="C76" s="53" t="s">
        <v>139</v>
      </c>
      <c r="D76" s="54">
        <v>6.22</v>
      </c>
      <c r="E76" s="55">
        <v>0.9</v>
      </c>
      <c r="F76" s="56">
        <f t="shared" si="39"/>
        <v>6.9111111111111105</v>
      </c>
      <c r="G76" s="56">
        <f t="shared" si="40"/>
        <v>5.3199999999999994</v>
      </c>
      <c r="H76" s="57">
        <f t="shared" si="41"/>
        <v>7.12</v>
      </c>
      <c r="I76" s="58">
        <f t="shared" si="33"/>
        <v>7.0383359948511404E-3</v>
      </c>
      <c r="J76" s="59">
        <f t="shared" si="34"/>
        <v>1.0184087452356956E-3</v>
      </c>
      <c r="K76" s="59">
        <f t="shared" si="42"/>
        <v>981.92401103995314</v>
      </c>
      <c r="L76" s="59">
        <f t="shared" si="43"/>
        <v>6.0199272496154451E-3</v>
      </c>
      <c r="M76" s="59">
        <f t="shared" si="44"/>
        <v>8.0567447400868367E-3</v>
      </c>
      <c r="N76" s="60">
        <v>0</v>
      </c>
      <c r="O76" s="61">
        <v>1</v>
      </c>
      <c r="P76" s="60">
        <v>0</v>
      </c>
      <c r="Q76" s="61">
        <v>0</v>
      </c>
      <c r="R76" s="61">
        <v>1</v>
      </c>
      <c r="S76" s="61">
        <v>0</v>
      </c>
      <c r="T76" s="61">
        <v>0</v>
      </c>
      <c r="U76" s="60">
        <v>964279</v>
      </c>
      <c r="V76" s="61">
        <f>12+23+92+16+5+1+1+1</f>
        <v>151</v>
      </c>
      <c r="W76" s="61">
        <f t="shared" si="26"/>
        <v>964127</v>
      </c>
      <c r="X76" s="61"/>
      <c r="Y76" s="56">
        <v>11.239434782608695</v>
      </c>
      <c r="Z76" s="56">
        <v>27.966043478260868</v>
      </c>
      <c r="AA76" s="61">
        <v>1</v>
      </c>
      <c r="AB76" s="61">
        <v>0</v>
      </c>
      <c r="AC76" s="61">
        <v>0</v>
      </c>
      <c r="AD76" s="61">
        <v>1</v>
      </c>
      <c r="AE76" s="61">
        <v>0</v>
      </c>
      <c r="AF76" s="61">
        <v>0</v>
      </c>
      <c r="AG76" s="60">
        <v>1</v>
      </c>
      <c r="AH76" s="61">
        <v>0</v>
      </c>
      <c r="AI76" s="62">
        <v>0</v>
      </c>
      <c r="AJ76" s="61">
        <v>0</v>
      </c>
      <c r="AK76" s="61">
        <v>0</v>
      </c>
      <c r="AL76" s="62">
        <v>1</v>
      </c>
      <c r="AM76" s="63">
        <v>2006</v>
      </c>
      <c r="AN76" s="64"/>
      <c r="AO76" s="59" t="s">
        <v>107</v>
      </c>
      <c r="AP76" s="59" t="s">
        <v>107</v>
      </c>
      <c r="AQ76" s="59" t="s">
        <v>107</v>
      </c>
      <c r="AR76" s="65" t="s">
        <v>107</v>
      </c>
      <c r="AS76" s="59" t="s">
        <v>107</v>
      </c>
      <c r="AT76" s="65" t="s">
        <v>107</v>
      </c>
      <c r="AU76" s="66" t="s">
        <v>107</v>
      </c>
      <c r="AV76" s="67" t="s">
        <v>107</v>
      </c>
      <c r="AW76" s="52">
        <v>0.47708695652173899</v>
      </c>
      <c r="AX76" s="68">
        <f t="shared" si="38"/>
        <v>0.52291304347826095</v>
      </c>
      <c r="AY76" s="52">
        <v>0.4</v>
      </c>
      <c r="AZ76" s="68">
        <v>0.6</v>
      </c>
      <c r="BB76" s="67"/>
      <c r="BC76" s="52" t="s">
        <v>107</v>
      </c>
      <c r="BD76" s="67" t="s">
        <v>107</v>
      </c>
      <c r="BE76" s="67" t="s">
        <v>23</v>
      </c>
      <c r="BL76" s="67"/>
      <c r="BO76" s="67"/>
      <c r="BR76" s="53" t="s">
        <v>107</v>
      </c>
      <c r="BS76" s="52">
        <v>1</v>
      </c>
      <c r="BT76" s="52">
        <v>0</v>
      </c>
      <c r="BU76" s="52">
        <v>0</v>
      </c>
      <c r="BV76" s="52">
        <v>0</v>
      </c>
      <c r="BW76" s="52">
        <v>0</v>
      </c>
      <c r="BX76" s="52">
        <v>0</v>
      </c>
      <c r="BY76" s="52">
        <v>0</v>
      </c>
      <c r="BZ76" s="67">
        <v>0</v>
      </c>
      <c r="CA76" s="52">
        <v>0</v>
      </c>
      <c r="CB76" s="52">
        <v>0</v>
      </c>
      <c r="CC76" s="52">
        <v>1</v>
      </c>
      <c r="CD76" s="67">
        <v>0</v>
      </c>
      <c r="CE76" s="52">
        <v>0</v>
      </c>
      <c r="CF76" s="52">
        <v>0</v>
      </c>
      <c r="CG76" s="52">
        <v>0</v>
      </c>
      <c r="CH76" s="52">
        <v>0</v>
      </c>
      <c r="CI76" s="67">
        <v>0</v>
      </c>
      <c r="CJ76" s="52">
        <v>0</v>
      </c>
      <c r="CK76" s="52">
        <v>0</v>
      </c>
      <c r="CL76" s="52">
        <v>1</v>
      </c>
      <c r="CM76" s="52">
        <v>1</v>
      </c>
      <c r="CN76" s="52">
        <v>0</v>
      </c>
      <c r="CO76" s="52">
        <v>0</v>
      </c>
      <c r="CP76" s="52">
        <v>1</v>
      </c>
      <c r="CQ76" s="52">
        <v>1</v>
      </c>
      <c r="CR76" s="52">
        <v>1</v>
      </c>
      <c r="CS76" s="52">
        <v>0</v>
      </c>
      <c r="CT76" s="67">
        <v>1</v>
      </c>
      <c r="CY76" s="53"/>
      <c r="CZ76" s="69" t="s">
        <v>87</v>
      </c>
    </row>
    <row r="77" spans="1:104" x14ac:dyDescent="0.25">
      <c r="A77">
        <v>76</v>
      </c>
      <c r="B77">
        <v>6</v>
      </c>
      <c r="C77" s="25" t="s">
        <v>140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5">D77-E77</f>
        <v>-0.93300826393946101</v>
      </c>
      <c r="H77" s="16">
        <f t="shared" ref="H77:H80" si="46">D77+E77</f>
        <v>4.1330082639394607</v>
      </c>
      <c r="I77" s="11">
        <f t="shared" si="33"/>
        <v>2.1204298527480476E-2</v>
      </c>
      <c r="J77" s="33">
        <f t="shared" si="34"/>
        <v>3.3569164625717123E-2</v>
      </c>
      <c r="K77" s="33">
        <f t="shared" ref="K77:K80" si="47">IFERROR(1/J77, "X")</f>
        <v>29.789242930218954</v>
      </c>
      <c r="L77" s="33">
        <f t="shared" ref="L77:L80" si="48">IFERROR(I77-J77, "X")</f>
        <v>-1.2364866098236647E-2</v>
      </c>
      <c r="M77" s="33">
        <f t="shared" ref="M77:M80" si="49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6"/>
        <v>887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9">
        <v>0</v>
      </c>
      <c r="AL77" s="30">
        <v>0</v>
      </c>
      <c r="AM77" s="21">
        <v>1995</v>
      </c>
      <c r="AN77" s="23"/>
      <c r="AO77" s="33">
        <v>0</v>
      </c>
      <c r="AP77" s="33">
        <v>0</v>
      </c>
      <c r="AQ77" s="33">
        <v>1</v>
      </c>
      <c r="AR77" s="43">
        <v>0</v>
      </c>
      <c r="AS77" s="33" t="s">
        <v>107</v>
      </c>
      <c r="AT77" s="43" t="s">
        <v>107</v>
      </c>
      <c r="AU77" s="42">
        <f>1-AV77</f>
        <v>0.76400000000000001</v>
      </c>
      <c r="AV77" s="18">
        <v>0.23599999999999999</v>
      </c>
      <c r="AW77">
        <v>0.67300000000000004</v>
      </c>
      <c r="AX77" s="40">
        <v>0.32700000000000001</v>
      </c>
      <c r="AY77" s="39">
        <f>1-AZ77</f>
        <v>0.30230000000000001</v>
      </c>
      <c r="AZ77" s="40">
        <v>0.69769999999999999</v>
      </c>
      <c r="BB77" s="18"/>
      <c r="BC77" t="s">
        <v>107</v>
      </c>
      <c r="BD77" s="18" t="s">
        <v>107</v>
      </c>
      <c r="BE77" s="18" t="s">
        <v>19</v>
      </c>
      <c r="BL77" s="18"/>
      <c r="BO77" s="18"/>
      <c r="BR77" s="25">
        <v>30</v>
      </c>
      <c r="BS77">
        <v>1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 s="18">
        <v>0</v>
      </c>
      <c r="CA77">
        <v>0</v>
      </c>
      <c r="CB77">
        <v>0</v>
      </c>
      <c r="CC77">
        <v>0</v>
      </c>
      <c r="CD77" s="18">
        <v>1</v>
      </c>
      <c r="CE77">
        <v>0</v>
      </c>
      <c r="CF77">
        <v>0</v>
      </c>
      <c r="CG77">
        <v>0</v>
      </c>
      <c r="CH77">
        <v>0</v>
      </c>
      <c r="CI77" s="18">
        <v>0</v>
      </c>
      <c r="CJ77">
        <v>0</v>
      </c>
      <c r="CK77">
        <v>0</v>
      </c>
      <c r="CL77">
        <v>1</v>
      </c>
      <c r="CM77">
        <v>1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 s="18">
        <v>0</v>
      </c>
      <c r="CZ77" s="34" t="s">
        <v>87</v>
      </c>
    </row>
    <row r="78" spans="1:104" x14ac:dyDescent="0.25">
      <c r="A78">
        <v>77</v>
      </c>
      <c r="B78">
        <v>6</v>
      </c>
      <c r="C78" s="25" t="s">
        <v>140</v>
      </c>
      <c r="D78" s="12">
        <v>12.7</v>
      </c>
      <c r="E78" s="14">
        <f t="shared" ref="E78:E80" si="50">D78/F78</f>
        <v>2.2898561177022105</v>
      </c>
      <c r="F78" s="7">
        <v>5.5461999999999998</v>
      </c>
      <c r="G78" s="7">
        <f t="shared" si="45"/>
        <v>10.410143882297788</v>
      </c>
      <c r="H78" s="16">
        <f t="shared" si="46"/>
        <v>14.98985611770221</v>
      </c>
      <c r="I78" s="11">
        <f t="shared" si="33"/>
        <v>0.18307577644744008</v>
      </c>
      <c r="J78" s="33">
        <f t="shared" si="34"/>
        <v>3.3009227299311251E-2</v>
      </c>
      <c r="K78" s="33">
        <f t="shared" si="47"/>
        <v>30.294559485821875</v>
      </c>
      <c r="L78" s="33">
        <f t="shared" si="48"/>
        <v>0.15006654914812884</v>
      </c>
      <c r="M78" s="33">
        <f t="shared" si="49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6"/>
        <v>887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9">
        <v>0</v>
      </c>
      <c r="AL78" s="30">
        <v>0</v>
      </c>
      <c r="AM78" s="21">
        <v>1995</v>
      </c>
      <c r="AN78" s="23"/>
      <c r="AO78" s="33">
        <v>0</v>
      </c>
      <c r="AP78" s="33">
        <v>0</v>
      </c>
      <c r="AQ78" s="33">
        <v>0</v>
      </c>
      <c r="AR78" s="43">
        <v>1</v>
      </c>
      <c r="AS78" s="33" t="s">
        <v>107</v>
      </c>
      <c r="AT78" s="43" t="s">
        <v>107</v>
      </c>
      <c r="AU78" s="42">
        <f>1-AV78</f>
        <v>0.75600000000000001</v>
      </c>
      <c r="AV78" s="18">
        <v>0.24399999999999999</v>
      </c>
      <c r="AW78">
        <v>0.68300000000000005</v>
      </c>
      <c r="AX78" s="40">
        <v>0.317</v>
      </c>
      <c r="AY78" s="39">
        <f>1-AZ78</f>
        <v>0.41139999999999999</v>
      </c>
      <c r="AZ78" s="40">
        <v>0.58860000000000001</v>
      </c>
      <c r="BB78" s="18"/>
      <c r="BC78" t="s">
        <v>107</v>
      </c>
      <c r="BD78" s="18" t="s">
        <v>107</v>
      </c>
      <c r="BE78" s="18" t="s">
        <v>19</v>
      </c>
      <c r="BL78" s="18"/>
      <c r="BO78" s="18"/>
      <c r="BR78" s="25">
        <v>37.799999999999997</v>
      </c>
      <c r="BS78">
        <v>1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 s="18">
        <v>0</v>
      </c>
      <c r="CA78">
        <v>0</v>
      </c>
      <c r="CB78">
        <v>0</v>
      </c>
      <c r="CC78">
        <v>0</v>
      </c>
      <c r="CD78" s="18">
        <v>1</v>
      </c>
      <c r="CE78">
        <v>0</v>
      </c>
      <c r="CF78">
        <v>0</v>
      </c>
      <c r="CG78">
        <v>0</v>
      </c>
      <c r="CH78">
        <v>0</v>
      </c>
      <c r="CI78" s="18">
        <v>0</v>
      </c>
      <c r="CJ78">
        <v>0</v>
      </c>
      <c r="CK78">
        <v>0</v>
      </c>
      <c r="CL78">
        <v>1</v>
      </c>
      <c r="CM78">
        <v>1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 s="18">
        <v>0</v>
      </c>
      <c r="CZ78" s="34" t="s">
        <v>87</v>
      </c>
    </row>
    <row r="79" spans="1:104" x14ac:dyDescent="0.25">
      <c r="A79">
        <v>78</v>
      </c>
      <c r="B79">
        <v>6</v>
      </c>
      <c r="C79" s="25" t="s">
        <v>140</v>
      </c>
      <c r="D79" s="12">
        <v>10.7</v>
      </c>
      <c r="E79" s="14">
        <f t="shared" si="50"/>
        <v>0.82090468299269626</v>
      </c>
      <c r="F79" s="7">
        <v>13.0344</v>
      </c>
      <c r="G79" s="7">
        <f t="shared" si="45"/>
        <v>9.8790953170073035</v>
      </c>
      <c r="H79" s="16">
        <f t="shared" si="46"/>
        <v>11.520904682992695</v>
      </c>
      <c r="I79" s="11">
        <f t="shared" si="33"/>
        <v>0.40093595358979528</v>
      </c>
      <c r="J79" s="33">
        <f t="shared" si="34"/>
        <v>3.0759831951589284E-2</v>
      </c>
      <c r="K79" s="33">
        <f t="shared" si="47"/>
        <v>32.509930534530518</v>
      </c>
      <c r="L79" s="33">
        <f t="shared" si="48"/>
        <v>0.37017612163820601</v>
      </c>
      <c r="M79" s="33">
        <f t="shared" si="49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6"/>
        <v>887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9">
        <v>0</v>
      </c>
      <c r="AL79" s="30">
        <v>0</v>
      </c>
      <c r="AM79" s="21">
        <v>1995</v>
      </c>
      <c r="AN79" s="23"/>
      <c r="AO79" s="33">
        <v>0</v>
      </c>
      <c r="AP79" s="33">
        <v>0</v>
      </c>
      <c r="AQ79" s="33">
        <v>0</v>
      </c>
      <c r="AR79" s="43">
        <v>1</v>
      </c>
      <c r="AS79" s="33" t="s">
        <v>107</v>
      </c>
      <c r="AT79" s="43" t="s">
        <v>107</v>
      </c>
      <c r="AU79" s="42">
        <f t="shared" ref="AU79:AU80" si="51">1-AV79</f>
        <v>0.75600000000000001</v>
      </c>
      <c r="AV79" s="18">
        <v>0.24399999999999999</v>
      </c>
      <c r="AW79">
        <v>0.68300000000000005</v>
      </c>
      <c r="AX79" s="40">
        <v>0.317</v>
      </c>
      <c r="AY79" s="39">
        <f t="shared" ref="AY79:AY80" si="52">1-AZ79</f>
        <v>0.41139999999999999</v>
      </c>
      <c r="AZ79" s="40">
        <v>0.58860000000000001</v>
      </c>
      <c r="BB79" s="18"/>
      <c r="BC79" t="s">
        <v>107</v>
      </c>
      <c r="BD79" s="18" t="s">
        <v>107</v>
      </c>
      <c r="BE79" s="18" t="s">
        <v>19</v>
      </c>
      <c r="BL79" s="18"/>
      <c r="BO79" s="18"/>
      <c r="BR79" s="25">
        <v>37.799999999999997</v>
      </c>
      <c r="BS79">
        <v>1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 s="18">
        <v>0</v>
      </c>
      <c r="CA79">
        <v>0</v>
      </c>
      <c r="CB79">
        <v>0</v>
      </c>
      <c r="CC79">
        <v>0</v>
      </c>
      <c r="CD79" s="18">
        <v>1</v>
      </c>
      <c r="CE79">
        <v>0</v>
      </c>
      <c r="CF79">
        <v>0</v>
      </c>
      <c r="CG79">
        <v>0</v>
      </c>
      <c r="CH79">
        <v>0</v>
      </c>
      <c r="CI79" s="18">
        <v>0</v>
      </c>
      <c r="CJ79">
        <v>0</v>
      </c>
      <c r="CK79">
        <v>0</v>
      </c>
      <c r="CL79">
        <v>1</v>
      </c>
      <c r="CM79">
        <v>1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 s="18">
        <v>0</v>
      </c>
      <c r="CZ79" s="34" t="s">
        <v>87</v>
      </c>
    </row>
    <row r="80" spans="1:104" s="52" customFormat="1" x14ac:dyDescent="0.25">
      <c r="A80" s="52">
        <v>79</v>
      </c>
      <c r="B80" s="52">
        <v>6</v>
      </c>
      <c r="C80" s="53" t="s">
        <v>140</v>
      </c>
      <c r="D80" s="54">
        <v>16.7</v>
      </c>
      <c r="E80" s="55">
        <f t="shared" si="50"/>
        <v>0.82927798192471935</v>
      </c>
      <c r="F80" s="56">
        <v>20.138000000000002</v>
      </c>
      <c r="G80" s="56">
        <f t="shared" si="45"/>
        <v>15.870722018075281</v>
      </c>
      <c r="H80" s="57">
        <f t="shared" si="46"/>
        <v>17.529277981924718</v>
      </c>
      <c r="I80" s="58">
        <f t="shared" si="33"/>
        <v>0.56013730963505137</v>
      </c>
      <c r="J80" s="59">
        <f t="shared" si="34"/>
        <v>2.7814942379335152E-2</v>
      </c>
      <c r="K80" s="59">
        <f t="shared" si="47"/>
        <v>35.951899031900943</v>
      </c>
      <c r="L80" s="59">
        <f t="shared" si="48"/>
        <v>0.53232236725571624</v>
      </c>
      <c r="M80" s="59">
        <f t="shared" si="49"/>
        <v>0.5879522520143865</v>
      </c>
      <c r="N80" s="60">
        <v>1</v>
      </c>
      <c r="O80" s="61">
        <v>0</v>
      </c>
      <c r="P80" s="60">
        <v>0</v>
      </c>
      <c r="Q80" s="61">
        <v>1</v>
      </c>
      <c r="R80" s="61">
        <v>0</v>
      </c>
      <c r="S80" s="61">
        <v>0</v>
      </c>
      <c r="T80" s="61">
        <v>0</v>
      </c>
      <c r="U80" s="60">
        <v>894</v>
      </c>
      <c r="V80" s="61">
        <v>6</v>
      </c>
      <c r="W80" s="61">
        <f t="shared" si="26"/>
        <v>887</v>
      </c>
      <c r="X80" s="61"/>
      <c r="Y80" s="56">
        <v>18</v>
      </c>
      <c r="Z80" s="56">
        <v>17.32</v>
      </c>
      <c r="AA80" s="61">
        <v>0</v>
      </c>
      <c r="AB80" s="61">
        <v>1</v>
      </c>
      <c r="AC80" s="61">
        <v>0</v>
      </c>
      <c r="AD80" s="61">
        <v>0</v>
      </c>
      <c r="AE80" s="61">
        <v>0</v>
      </c>
      <c r="AF80" s="61">
        <v>1</v>
      </c>
      <c r="AG80" s="60">
        <v>0</v>
      </c>
      <c r="AH80" s="61">
        <v>1</v>
      </c>
      <c r="AI80" s="62">
        <v>0</v>
      </c>
      <c r="AJ80" s="61">
        <v>1</v>
      </c>
      <c r="AK80" s="61">
        <v>0</v>
      </c>
      <c r="AL80" s="62">
        <v>0</v>
      </c>
      <c r="AM80" s="63">
        <v>1995</v>
      </c>
      <c r="AN80" s="64"/>
      <c r="AO80" s="59">
        <v>0</v>
      </c>
      <c r="AP80" s="59">
        <v>0</v>
      </c>
      <c r="AQ80" s="59">
        <v>0</v>
      </c>
      <c r="AR80" s="65">
        <v>1</v>
      </c>
      <c r="AS80" s="59" t="s">
        <v>107</v>
      </c>
      <c r="AT80" s="65" t="s">
        <v>107</v>
      </c>
      <c r="AU80" s="66">
        <f t="shared" si="51"/>
        <v>0.75600000000000001</v>
      </c>
      <c r="AV80" s="67">
        <v>0.24399999999999999</v>
      </c>
      <c r="AW80" s="52">
        <v>0.68300000000000005</v>
      </c>
      <c r="AX80" s="68">
        <v>0.317</v>
      </c>
      <c r="AY80" s="70">
        <f t="shared" si="52"/>
        <v>0.41139999999999999</v>
      </c>
      <c r="AZ80" s="68">
        <v>0.58860000000000001</v>
      </c>
      <c r="BB80" s="67"/>
      <c r="BC80" s="52" t="s">
        <v>107</v>
      </c>
      <c r="BD80" s="67" t="s">
        <v>107</v>
      </c>
      <c r="BE80" s="67" t="s">
        <v>19</v>
      </c>
      <c r="BL80" s="67"/>
      <c r="BO80" s="67"/>
      <c r="BR80" s="53">
        <v>37.799999999999997</v>
      </c>
      <c r="BS80" s="52">
        <v>1</v>
      </c>
      <c r="BT80" s="52">
        <v>0</v>
      </c>
      <c r="BU80" s="52">
        <v>0</v>
      </c>
      <c r="BV80" s="52">
        <v>0</v>
      </c>
      <c r="BW80" s="52">
        <v>0</v>
      </c>
      <c r="BX80" s="52">
        <v>0</v>
      </c>
      <c r="BY80" s="52">
        <v>0</v>
      </c>
      <c r="BZ80" s="67">
        <v>0</v>
      </c>
      <c r="CA80" s="52">
        <v>0</v>
      </c>
      <c r="CB80" s="52">
        <v>0</v>
      </c>
      <c r="CC80" s="52">
        <v>0</v>
      </c>
      <c r="CD80" s="67">
        <v>1</v>
      </c>
      <c r="CE80" s="52">
        <v>0</v>
      </c>
      <c r="CF80" s="52">
        <v>0</v>
      </c>
      <c r="CG80" s="52">
        <v>0</v>
      </c>
      <c r="CH80" s="52">
        <v>0</v>
      </c>
      <c r="CI80" s="67">
        <v>0</v>
      </c>
      <c r="CJ80" s="52">
        <v>0</v>
      </c>
      <c r="CK80" s="52">
        <v>0</v>
      </c>
      <c r="CL80" s="52">
        <v>1</v>
      </c>
      <c r="CM80" s="52">
        <v>1</v>
      </c>
      <c r="CN80" s="52">
        <v>0</v>
      </c>
      <c r="CO80" s="52">
        <v>0</v>
      </c>
      <c r="CP80" s="52">
        <v>0</v>
      </c>
      <c r="CQ80" s="52">
        <v>0</v>
      </c>
      <c r="CR80" s="52">
        <v>0</v>
      </c>
      <c r="CS80" s="52">
        <v>0</v>
      </c>
      <c r="CT80" s="67">
        <v>0</v>
      </c>
      <c r="CY80" s="53"/>
      <c r="CZ80" s="69" t="s">
        <v>87</v>
      </c>
    </row>
    <row r="81" spans="1:104" x14ac:dyDescent="0.25">
      <c r="A81">
        <v>80</v>
      </c>
      <c r="B81">
        <v>7</v>
      </c>
      <c r="C81" s="25" t="s">
        <v>142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3"/>
        <v>0.30269848814334432</v>
      </c>
      <c r="J81" s="33">
        <f t="shared" si="34"/>
        <v>3.783429501129591E-3</v>
      </c>
      <c r="K81" s="33">
        <f t="shared" ref="K81" si="53">IFERROR(1/J81, "X")</f>
        <v>264.3104621617602</v>
      </c>
      <c r="L81" s="33">
        <f t="shared" ref="L81" si="54">IFERROR(I81-J81, "X")</f>
        <v>0.29891505864221474</v>
      </c>
      <c r="M81" s="33">
        <f t="shared" ref="M81" si="55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6"/>
        <v>63459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9">
        <v>0</v>
      </c>
      <c r="AL81" s="30">
        <v>0</v>
      </c>
      <c r="AM81" s="21">
        <v>1997</v>
      </c>
      <c r="AN81" s="23"/>
      <c r="AO81" s="33">
        <v>0</v>
      </c>
      <c r="AP81" s="33">
        <v>0</v>
      </c>
      <c r="AQ81" s="33">
        <v>0</v>
      </c>
      <c r="AR81" s="43">
        <v>1</v>
      </c>
      <c r="AS81" s="33" t="s">
        <v>107</v>
      </c>
      <c r="AT81" s="43" t="s">
        <v>107</v>
      </c>
      <c r="AU81" s="42">
        <v>1</v>
      </c>
      <c r="AV81" s="18">
        <v>0</v>
      </c>
      <c r="AW81" s="39">
        <f>1-AX81</f>
        <v>0.66725000000000001</v>
      </c>
      <c r="AX81" s="40">
        <v>0.33274999999999999</v>
      </c>
      <c r="AY81" t="s">
        <v>107</v>
      </c>
      <c r="AZ81" s="40" t="s">
        <v>107</v>
      </c>
      <c r="BB81" s="18"/>
      <c r="BC81" t="s">
        <v>107</v>
      </c>
      <c r="BD81" s="18" t="s">
        <v>107</v>
      </c>
      <c r="BE81" s="18" t="s">
        <v>18</v>
      </c>
      <c r="BL81" s="18"/>
      <c r="BO81" s="18"/>
      <c r="BR81" s="25">
        <v>34.975000000000001</v>
      </c>
      <c r="BS81">
        <v>1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 s="18">
        <v>0</v>
      </c>
      <c r="CA81">
        <v>0</v>
      </c>
      <c r="CB81">
        <v>0</v>
      </c>
      <c r="CC81">
        <v>1</v>
      </c>
      <c r="CD81" s="18">
        <v>0</v>
      </c>
      <c r="CE81">
        <v>0</v>
      </c>
      <c r="CF81">
        <v>0</v>
      </c>
      <c r="CG81">
        <v>0</v>
      </c>
      <c r="CH81">
        <v>0</v>
      </c>
      <c r="CI81" s="18">
        <v>0</v>
      </c>
      <c r="CJ81">
        <v>1</v>
      </c>
      <c r="CK81">
        <v>1</v>
      </c>
      <c r="CL81">
        <v>1</v>
      </c>
      <c r="CM81">
        <v>1</v>
      </c>
      <c r="CN81">
        <v>0</v>
      </c>
      <c r="CO81">
        <v>0</v>
      </c>
      <c r="CP81">
        <v>1</v>
      </c>
      <c r="CQ81">
        <v>0</v>
      </c>
      <c r="CR81">
        <v>0</v>
      </c>
      <c r="CS81">
        <v>0</v>
      </c>
      <c r="CT81" s="18">
        <v>0</v>
      </c>
      <c r="CZ81" s="34" t="s">
        <v>87</v>
      </c>
    </row>
    <row r="82" spans="1:104" x14ac:dyDescent="0.25">
      <c r="A82">
        <v>81</v>
      </c>
      <c r="B82">
        <v>7</v>
      </c>
      <c r="C82" s="25" t="s">
        <v>142</v>
      </c>
      <c r="D82" s="12">
        <f>(EXP(0.592)-EXP(-0.203))/13*100</f>
        <v>7.6255520091261113</v>
      </c>
      <c r="E82" s="14">
        <f t="shared" ref="E82:E83" si="56">D82/F82</f>
        <v>0.12184549320891738</v>
      </c>
      <c r="F82" s="7">
        <f>SQRT((-0.203/0.01)^2 + (0.592/0.01)^2)</f>
        <v>62.583783842142367</v>
      </c>
      <c r="G82" s="7">
        <f t="shared" ref="G82:G83" si="57">D82-E82</f>
        <v>7.5037065159171936</v>
      </c>
      <c r="H82" s="16">
        <f t="shared" ref="H82:H83" si="58">D82+E82</f>
        <v>7.747397502335029</v>
      </c>
      <c r="I82" s="11">
        <f t="shared" si="33"/>
        <v>0.29593259931080851</v>
      </c>
      <c r="J82" s="33">
        <f t="shared" si="34"/>
        <v>4.7285827277118849E-3</v>
      </c>
      <c r="K82" s="33">
        <f t="shared" ref="K82:K83" si="59">IFERROR(1/J82, "X")</f>
        <v>211.47985719684982</v>
      </c>
      <c r="L82" s="33">
        <f t="shared" ref="L82:L83" si="60">IFERROR(I82-J82, "X")</f>
        <v>0.29120401658309664</v>
      </c>
      <c r="M82" s="33">
        <f t="shared" ref="M82:M83" si="61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6"/>
        <v>40807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9">
        <v>0</v>
      </c>
      <c r="AL82" s="30">
        <v>0</v>
      </c>
      <c r="AM82" s="21">
        <v>1997</v>
      </c>
      <c r="AN82" s="23"/>
      <c r="AO82" s="33">
        <v>0</v>
      </c>
      <c r="AP82" s="33">
        <v>0</v>
      </c>
      <c r="AQ82" s="33">
        <v>0</v>
      </c>
      <c r="AR82" s="43">
        <v>1</v>
      </c>
      <c r="AS82" s="33" t="s">
        <v>107</v>
      </c>
      <c r="AT82" s="43" t="s">
        <v>107</v>
      </c>
      <c r="AU82" s="42">
        <v>1</v>
      </c>
      <c r="AV82" s="18">
        <v>0</v>
      </c>
      <c r="AW82" s="39">
        <f>1-AX82</f>
        <v>0.66725000000000001</v>
      </c>
      <c r="AX82" s="40">
        <v>0.33274999999999999</v>
      </c>
      <c r="AY82" t="s">
        <v>107</v>
      </c>
      <c r="AZ82" s="40" t="s">
        <v>107</v>
      </c>
      <c r="BB82" s="18"/>
      <c r="BC82" t="s">
        <v>107</v>
      </c>
      <c r="BD82" s="18" t="s">
        <v>107</v>
      </c>
      <c r="BE82" s="18" t="s">
        <v>18</v>
      </c>
      <c r="BL82" s="18"/>
      <c r="BO82" s="18"/>
      <c r="BR82" s="25">
        <v>34.975000000000001</v>
      </c>
      <c r="BS82">
        <v>1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 s="18">
        <v>0</v>
      </c>
      <c r="CA82">
        <v>0</v>
      </c>
      <c r="CB82">
        <v>0</v>
      </c>
      <c r="CC82">
        <v>1</v>
      </c>
      <c r="CD82" s="18">
        <v>0</v>
      </c>
      <c r="CE82">
        <v>0</v>
      </c>
      <c r="CF82">
        <v>0</v>
      </c>
      <c r="CG82">
        <v>0</v>
      </c>
      <c r="CH82">
        <v>0</v>
      </c>
      <c r="CI82" s="18">
        <v>0</v>
      </c>
      <c r="CJ82">
        <v>1</v>
      </c>
      <c r="CK82">
        <v>1</v>
      </c>
      <c r="CL82">
        <v>1</v>
      </c>
      <c r="CM82">
        <v>1</v>
      </c>
      <c r="CN82">
        <v>0</v>
      </c>
      <c r="CO82">
        <v>0</v>
      </c>
      <c r="CP82">
        <v>1</v>
      </c>
      <c r="CQ82">
        <v>0</v>
      </c>
      <c r="CR82">
        <v>0</v>
      </c>
      <c r="CS82">
        <v>0</v>
      </c>
      <c r="CT82" s="18">
        <v>0</v>
      </c>
      <c r="CZ82" s="34" t="s">
        <v>87</v>
      </c>
    </row>
    <row r="83" spans="1:104" s="52" customFormat="1" x14ac:dyDescent="0.25">
      <c r="A83" s="52">
        <v>82</v>
      </c>
      <c r="B83" s="52">
        <v>7</v>
      </c>
      <c r="C83" s="53" t="s">
        <v>142</v>
      </c>
      <c r="D83" s="54">
        <f>(EXP(0.599)-EXP(-0.196))/13*100</f>
        <v>7.6791181359055507</v>
      </c>
      <c r="E83" s="55">
        <f t="shared" si="56"/>
        <v>0.14488486386832816</v>
      </c>
      <c r="F83" s="56">
        <f>SQRT((-0.196/0.011)^2 + (0.599/0.012)^2)</f>
        <v>53.001520868904279</v>
      </c>
      <c r="G83" s="56">
        <f t="shared" si="57"/>
        <v>7.5342332720372225</v>
      </c>
      <c r="H83" s="57">
        <f t="shared" si="58"/>
        <v>7.8240029997738789</v>
      </c>
      <c r="I83" s="58">
        <f t="shared" si="33"/>
        <v>0.33223975308266634</v>
      </c>
      <c r="J83" s="59">
        <f t="shared" si="34"/>
        <v>6.2684947079997798E-3</v>
      </c>
      <c r="K83" s="59">
        <f t="shared" si="59"/>
        <v>159.52793239560555</v>
      </c>
      <c r="L83" s="59">
        <f t="shared" si="60"/>
        <v>0.32597125837466656</v>
      </c>
      <c r="M83" s="59">
        <f t="shared" si="61"/>
        <v>0.33850824779066613</v>
      </c>
      <c r="N83" s="60">
        <v>1</v>
      </c>
      <c r="O83" s="61">
        <v>0</v>
      </c>
      <c r="P83" s="60">
        <v>0</v>
      </c>
      <c r="Q83" s="61">
        <v>0</v>
      </c>
      <c r="R83" s="61">
        <v>0</v>
      </c>
      <c r="S83" s="61">
        <v>0</v>
      </c>
      <c r="T83" s="61">
        <v>1</v>
      </c>
      <c r="U83" s="60">
        <v>22652</v>
      </c>
      <c r="V83" s="61">
        <v>11</v>
      </c>
      <c r="W83" s="61">
        <f t="shared" si="26"/>
        <v>22640</v>
      </c>
      <c r="X83" s="61"/>
      <c r="Y83" s="56">
        <v>17</v>
      </c>
      <c r="Z83" s="56">
        <v>9.6750000000000007</v>
      </c>
      <c r="AA83" s="61">
        <v>0</v>
      </c>
      <c r="AB83" s="61">
        <v>1</v>
      </c>
      <c r="AC83" s="61">
        <v>0</v>
      </c>
      <c r="AD83" s="61">
        <v>0</v>
      </c>
      <c r="AE83" s="61">
        <v>0</v>
      </c>
      <c r="AF83" s="61">
        <v>1</v>
      </c>
      <c r="AG83" s="60">
        <v>0</v>
      </c>
      <c r="AH83" s="61">
        <v>1</v>
      </c>
      <c r="AI83" s="62">
        <v>0</v>
      </c>
      <c r="AJ83" s="61">
        <v>1</v>
      </c>
      <c r="AK83" s="61">
        <v>0</v>
      </c>
      <c r="AL83" s="62">
        <v>0</v>
      </c>
      <c r="AM83" s="63">
        <v>1997</v>
      </c>
      <c r="AN83" s="64"/>
      <c r="AO83" s="59">
        <v>0</v>
      </c>
      <c r="AP83" s="59">
        <v>0</v>
      </c>
      <c r="AQ83" s="59">
        <v>0</v>
      </c>
      <c r="AR83" s="65">
        <v>1</v>
      </c>
      <c r="AS83" s="59" t="s">
        <v>107</v>
      </c>
      <c r="AT83" s="65" t="s">
        <v>107</v>
      </c>
      <c r="AU83" s="66">
        <v>1</v>
      </c>
      <c r="AV83" s="67">
        <v>0</v>
      </c>
      <c r="AW83" s="70">
        <f>1-AX83</f>
        <v>0.66725000000000001</v>
      </c>
      <c r="AX83" s="68">
        <v>0.33274999999999999</v>
      </c>
      <c r="AY83" s="52" t="s">
        <v>107</v>
      </c>
      <c r="AZ83" s="68" t="s">
        <v>107</v>
      </c>
      <c r="BB83" s="67"/>
      <c r="BC83" s="52" t="s">
        <v>107</v>
      </c>
      <c r="BD83" s="67" t="s">
        <v>107</v>
      </c>
      <c r="BE83" s="67" t="s">
        <v>18</v>
      </c>
      <c r="BL83" s="67"/>
      <c r="BO83" s="67"/>
      <c r="BR83" s="53">
        <v>34.975000000000001</v>
      </c>
      <c r="BS83" s="52">
        <v>1</v>
      </c>
      <c r="BT83" s="52">
        <v>0</v>
      </c>
      <c r="BU83" s="52">
        <v>0</v>
      </c>
      <c r="BV83" s="52">
        <v>0</v>
      </c>
      <c r="BW83" s="52">
        <v>0</v>
      </c>
      <c r="BX83" s="52">
        <v>0</v>
      </c>
      <c r="BY83" s="52">
        <v>0</v>
      </c>
      <c r="BZ83" s="67">
        <v>0</v>
      </c>
      <c r="CA83" s="52">
        <v>0</v>
      </c>
      <c r="CB83" s="52">
        <v>0</v>
      </c>
      <c r="CC83" s="52">
        <v>1</v>
      </c>
      <c r="CD83" s="67">
        <v>0</v>
      </c>
      <c r="CE83" s="52">
        <v>0</v>
      </c>
      <c r="CF83" s="52">
        <v>0</v>
      </c>
      <c r="CG83" s="52">
        <v>0</v>
      </c>
      <c r="CH83" s="52">
        <v>0</v>
      </c>
      <c r="CI83" s="67">
        <v>0</v>
      </c>
      <c r="CJ83" s="52">
        <v>1</v>
      </c>
      <c r="CK83" s="52">
        <v>1</v>
      </c>
      <c r="CL83" s="52">
        <v>1</v>
      </c>
      <c r="CM83" s="52">
        <v>1</v>
      </c>
      <c r="CN83" s="52">
        <v>0</v>
      </c>
      <c r="CO83" s="52">
        <v>0</v>
      </c>
      <c r="CP83" s="52">
        <v>1</v>
      </c>
      <c r="CQ83" s="52">
        <v>0</v>
      </c>
      <c r="CR83" s="52">
        <v>0</v>
      </c>
      <c r="CS83" s="52">
        <v>0</v>
      </c>
      <c r="CT83" s="67">
        <v>0</v>
      </c>
      <c r="CY83" s="53"/>
      <c r="CZ83" s="69" t="s">
        <v>87</v>
      </c>
    </row>
    <row r="84" spans="1:104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2">D84-E84</f>
        <v>12</v>
      </c>
      <c r="H84" s="16">
        <f t="shared" ref="H84:H100" si="63">D84+E84</f>
        <v>12.2</v>
      </c>
      <c r="I84" s="11">
        <f t="shared" si="33"/>
        <v>0.53580225874082865</v>
      </c>
      <c r="J84" s="33">
        <f t="shared" si="34"/>
        <v>4.428117840833295E-3</v>
      </c>
      <c r="K84" s="33">
        <f t="shared" ref="K84:K87" si="64">IFERROR(1/J84, "X")</f>
        <v>225.82958176465723</v>
      </c>
      <c r="L84" s="33">
        <f t="shared" ref="L84:L87" si="65">IFERROR(I84-J84, "X")</f>
        <v>0.53137414089999535</v>
      </c>
      <c r="M84" s="33">
        <f t="shared" ref="M84:M87" si="66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6"/>
        <v>36358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9">
        <v>0</v>
      </c>
      <c r="AL84" s="30">
        <v>0</v>
      </c>
      <c r="AM84" s="21">
        <v>2007</v>
      </c>
      <c r="AN84" s="23"/>
      <c r="AO84" s="33">
        <v>7.0999999999999994E-2</v>
      </c>
      <c r="AP84" s="33">
        <v>0.13150000000000001</v>
      </c>
      <c r="AQ84" s="33">
        <v>0.6623</v>
      </c>
      <c r="AR84" s="43">
        <v>0.13519999999999999</v>
      </c>
      <c r="AS84" s="33" t="s">
        <v>107</v>
      </c>
      <c r="AT84" s="43" t="s">
        <v>107</v>
      </c>
      <c r="AU84" s="42">
        <v>0.75800000000000001</v>
      </c>
      <c r="AV84" s="18">
        <f>1-AU84</f>
        <v>0.24199999999999999</v>
      </c>
      <c r="AW84">
        <v>1</v>
      </c>
      <c r="AX84" s="40">
        <v>0</v>
      </c>
      <c r="AY84" t="s">
        <v>107</v>
      </c>
      <c r="AZ84" s="40" t="s">
        <v>107</v>
      </c>
      <c r="BB84" s="18"/>
      <c r="BC84">
        <v>0.58150000000000002</v>
      </c>
      <c r="BD84" s="18">
        <f t="shared" ref="BD84:BD89" si="67">1-BC84</f>
        <v>0.41849999999999998</v>
      </c>
      <c r="BE84" s="18" t="s">
        <v>16</v>
      </c>
      <c r="BL84" s="18"/>
      <c r="BO84" s="18"/>
      <c r="BR84" s="25">
        <v>37</v>
      </c>
      <c r="BS84">
        <v>1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 s="18">
        <v>0</v>
      </c>
      <c r="CA84">
        <v>0</v>
      </c>
      <c r="CB84">
        <v>0</v>
      </c>
      <c r="CC84">
        <v>1</v>
      </c>
      <c r="CD84" s="18">
        <v>0</v>
      </c>
      <c r="CE84">
        <v>0</v>
      </c>
      <c r="CF84">
        <v>0</v>
      </c>
      <c r="CG84">
        <v>0</v>
      </c>
      <c r="CH84">
        <v>0</v>
      </c>
      <c r="CI84" s="18">
        <v>0</v>
      </c>
      <c r="CJ84">
        <v>0</v>
      </c>
      <c r="CK84">
        <v>0</v>
      </c>
      <c r="CL84">
        <v>1</v>
      </c>
      <c r="CM84">
        <v>1</v>
      </c>
      <c r="CN84">
        <v>1</v>
      </c>
      <c r="CO84">
        <v>0</v>
      </c>
      <c r="CP84">
        <v>1</v>
      </c>
      <c r="CQ84">
        <v>0</v>
      </c>
      <c r="CR84">
        <v>0</v>
      </c>
      <c r="CS84">
        <v>0</v>
      </c>
      <c r="CT84" s="18">
        <v>1</v>
      </c>
      <c r="CZ84" s="34" t="s">
        <v>87</v>
      </c>
    </row>
    <row r="85" spans="1:104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68">D85/E85</f>
        <v>72.5</v>
      </c>
      <c r="G85" s="7">
        <f t="shared" si="62"/>
        <v>14.3</v>
      </c>
      <c r="H85" s="16">
        <f t="shared" si="63"/>
        <v>14.7</v>
      </c>
      <c r="I85" s="11">
        <f t="shared" si="33"/>
        <v>0.46997485226817143</v>
      </c>
      <c r="J85" s="33">
        <f t="shared" si="34"/>
        <v>6.4824117554230553E-3</v>
      </c>
      <c r="K85" s="33">
        <f t="shared" si="64"/>
        <v>154.26357314674127</v>
      </c>
      <c r="L85" s="33">
        <f t="shared" si="65"/>
        <v>0.46349244051274835</v>
      </c>
      <c r="M85" s="33">
        <f t="shared" si="66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6"/>
        <v>18541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9">
        <v>0</v>
      </c>
      <c r="AL85" s="30">
        <v>0</v>
      </c>
      <c r="AM85" s="21">
        <v>2007</v>
      </c>
      <c r="AN85" s="23"/>
      <c r="AO85" s="33">
        <v>7.0999999999999994E-2</v>
      </c>
      <c r="AP85" s="33">
        <v>0.13150000000000001</v>
      </c>
      <c r="AQ85" s="33">
        <v>0.6623</v>
      </c>
      <c r="AR85" s="43">
        <v>0.13519999999999999</v>
      </c>
      <c r="AS85" s="33" t="s">
        <v>107</v>
      </c>
      <c r="AT85" s="43" t="s">
        <v>107</v>
      </c>
      <c r="AU85" s="42">
        <v>0.84099999999999997</v>
      </c>
      <c r="AV85" s="18">
        <f>1-AU85</f>
        <v>0.15900000000000003</v>
      </c>
      <c r="AW85">
        <v>0</v>
      </c>
      <c r="AX85" s="40">
        <v>1</v>
      </c>
      <c r="AY85" t="s">
        <v>107</v>
      </c>
      <c r="AZ85" s="40" t="s">
        <v>107</v>
      </c>
      <c r="BB85" s="18"/>
      <c r="BC85">
        <v>0.58150000000000002</v>
      </c>
      <c r="BD85" s="18">
        <f t="shared" si="67"/>
        <v>0.41849999999999998</v>
      </c>
      <c r="BE85" s="18" t="s">
        <v>16</v>
      </c>
      <c r="BL85" s="18"/>
      <c r="BO85" s="18"/>
      <c r="BR85" s="25">
        <v>37</v>
      </c>
      <c r="BS85">
        <v>1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 s="18">
        <v>0</v>
      </c>
      <c r="CA85">
        <v>0</v>
      </c>
      <c r="CB85">
        <v>0</v>
      </c>
      <c r="CC85">
        <v>1</v>
      </c>
      <c r="CD85" s="18">
        <v>0</v>
      </c>
      <c r="CE85">
        <v>0</v>
      </c>
      <c r="CF85">
        <v>0</v>
      </c>
      <c r="CG85">
        <v>0</v>
      </c>
      <c r="CH85">
        <v>0</v>
      </c>
      <c r="CI85" s="18">
        <v>0</v>
      </c>
      <c r="CJ85">
        <v>0</v>
      </c>
      <c r="CK85">
        <v>0</v>
      </c>
      <c r="CL85">
        <v>1</v>
      </c>
      <c r="CM85">
        <v>1</v>
      </c>
      <c r="CN85">
        <v>1</v>
      </c>
      <c r="CO85">
        <v>0</v>
      </c>
      <c r="CP85">
        <v>1</v>
      </c>
      <c r="CQ85">
        <v>0</v>
      </c>
      <c r="CR85">
        <v>0</v>
      </c>
      <c r="CS85">
        <v>0</v>
      </c>
      <c r="CT85" s="18">
        <v>1</v>
      </c>
      <c r="CZ85" s="34" t="s">
        <v>87</v>
      </c>
    </row>
    <row r="86" spans="1:104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68"/>
        <v>77</v>
      </c>
      <c r="G86" s="7">
        <f t="shared" si="62"/>
        <v>15.200000000000001</v>
      </c>
      <c r="H86" s="16">
        <f t="shared" si="63"/>
        <v>15.6</v>
      </c>
      <c r="I86" s="11">
        <f t="shared" si="33"/>
        <v>0.49224647486232498</v>
      </c>
      <c r="J86" s="33">
        <f t="shared" si="34"/>
        <v>6.3928113618483759E-3</v>
      </c>
      <c r="K86" s="33">
        <f t="shared" si="64"/>
        <v>156.42570121306795</v>
      </c>
      <c r="L86" s="33">
        <f t="shared" si="65"/>
        <v>0.4858536635004766</v>
      </c>
      <c r="M86" s="33">
        <f t="shared" si="66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6"/>
        <v>18540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9">
        <v>0</v>
      </c>
      <c r="AL86" s="30">
        <v>0</v>
      </c>
      <c r="AM86" s="21">
        <v>2007</v>
      </c>
      <c r="AN86" s="23"/>
      <c r="AO86" s="33">
        <v>7.0999999999999994E-2</v>
      </c>
      <c r="AP86" s="33">
        <v>0.13150000000000001</v>
      </c>
      <c r="AQ86" s="33">
        <v>0.6623</v>
      </c>
      <c r="AR86" s="43">
        <v>0.13519999999999999</v>
      </c>
      <c r="AS86" s="33" t="s">
        <v>107</v>
      </c>
      <c r="AT86" s="43" t="s">
        <v>107</v>
      </c>
      <c r="AU86" s="42">
        <v>0.84099999999999997</v>
      </c>
      <c r="AV86" s="18">
        <f t="shared" ref="AV86:AV87" si="69">1-AU86</f>
        <v>0.15900000000000003</v>
      </c>
      <c r="AW86">
        <v>0</v>
      </c>
      <c r="AX86" s="40">
        <v>1</v>
      </c>
      <c r="AY86" t="s">
        <v>107</v>
      </c>
      <c r="AZ86" s="40" t="s">
        <v>107</v>
      </c>
      <c r="BB86" s="18"/>
      <c r="BC86">
        <v>0.58150000000000002</v>
      </c>
      <c r="BD86" s="18">
        <f t="shared" si="67"/>
        <v>0.41849999999999998</v>
      </c>
      <c r="BE86" s="18" t="s">
        <v>16</v>
      </c>
      <c r="BL86" s="18"/>
      <c r="BO86" s="18"/>
      <c r="BR86" s="25">
        <v>37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1</v>
      </c>
      <c r="BY86">
        <v>0</v>
      </c>
      <c r="BZ86" s="18">
        <v>0</v>
      </c>
      <c r="CA86">
        <v>0</v>
      </c>
      <c r="CB86">
        <v>0</v>
      </c>
      <c r="CC86">
        <v>1</v>
      </c>
      <c r="CD86" s="18">
        <v>0</v>
      </c>
      <c r="CE86">
        <v>0</v>
      </c>
      <c r="CF86">
        <v>0</v>
      </c>
      <c r="CG86">
        <v>0</v>
      </c>
      <c r="CH86">
        <v>0</v>
      </c>
      <c r="CI86" s="18">
        <v>0</v>
      </c>
      <c r="CJ86">
        <v>0</v>
      </c>
      <c r="CK86">
        <v>0</v>
      </c>
      <c r="CL86">
        <v>1</v>
      </c>
      <c r="CM86">
        <v>1</v>
      </c>
      <c r="CN86">
        <v>1</v>
      </c>
      <c r="CO86">
        <v>0</v>
      </c>
      <c r="CP86">
        <v>1</v>
      </c>
      <c r="CQ86">
        <v>0</v>
      </c>
      <c r="CR86">
        <v>0</v>
      </c>
      <c r="CS86">
        <v>0</v>
      </c>
      <c r="CT86" s="18">
        <v>1</v>
      </c>
      <c r="CZ86" s="34" t="s">
        <v>87</v>
      </c>
    </row>
    <row r="87" spans="1:104" s="52" customFormat="1" x14ac:dyDescent="0.25">
      <c r="A87" s="52">
        <v>86</v>
      </c>
      <c r="B87" s="52">
        <v>8</v>
      </c>
      <c r="C87" s="53" t="s">
        <v>17</v>
      </c>
      <c r="D87" s="54">
        <v>7.1</v>
      </c>
      <c r="E87" s="55">
        <v>0.4</v>
      </c>
      <c r="F87" s="56">
        <f t="shared" si="68"/>
        <v>17.749999999999996</v>
      </c>
      <c r="G87" s="56">
        <f t="shared" si="62"/>
        <v>6.6999999999999993</v>
      </c>
      <c r="H87" s="57">
        <f t="shared" si="63"/>
        <v>7.5</v>
      </c>
      <c r="I87" s="58">
        <f t="shared" si="33"/>
        <v>0.12250395627520262</v>
      </c>
      <c r="J87" s="59">
        <f t="shared" si="34"/>
        <v>6.9016313394480366E-3</v>
      </c>
      <c r="K87" s="59">
        <f t="shared" si="64"/>
        <v>144.89327969233079</v>
      </c>
      <c r="L87" s="59">
        <f t="shared" si="65"/>
        <v>0.11560232493575459</v>
      </c>
      <c r="M87" s="59">
        <f t="shared" si="66"/>
        <v>0.12940558761465065</v>
      </c>
      <c r="N87" s="60">
        <v>1</v>
      </c>
      <c r="O87" s="61">
        <v>0</v>
      </c>
      <c r="P87" s="60">
        <v>0</v>
      </c>
      <c r="Q87" s="61">
        <v>0</v>
      </c>
      <c r="R87" s="61">
        <v>0</v>
      </c>
      <c r="S87" s="61">
        <v>1</v>
      </c>
      <c r="T87" s="61">
        <v>0</v>
      </c>
      <c r="U87" s="60">
        <v>20690</v>
      </c>
      <c r="V87" s="61">
        <v>10</v>
      </c>
      <c r="W87" s="61">
        <f t="shared" si="26"/>
        <v>20679</v>
      </c>
      <c r="X87" s="61"/>
      <c r="Y87" s="56">
        <v>11.016999999999999</v>
      </c>
      <c r="Z87" s="56">
        <v>17.402999999999999</v>
      </c>
      <c r="AA87" s="61">
        <v>1</v>
      </c>
      <c r="AB87" s="61">
        <v>0</v>
      </c>
      <c r="AC87" s="61">
        <v>1</v>
      </c>
      <c r="AD87" s="61">
        <v>0</v>
      </c>
      <c r="AE87" s="61">
        <v>0</v>
      </c>
      <c r="AF87" s="61">
        <v>0</v>
      </c>
      <c r="AG87" s="60">
        <v>0</v>
      </c>
      <c r="AH87" s="61">
        <v>1</v>
      </c>
      <c r="AI87" s="62">
        <v>0</v>
      </c>
      <c r="AJ87" s="61">
        <v>1</v>
      </c>
      <c r="AK87" s="61">
        <v>0</v>
      </c>
      <c r="AL87" s="62">
        <v>0</v>
      </c>
      <c r="AM87" s="63">
        <v>2007</v>
      </c>
      <c r="AN87" s="64"/>
      <c r="AO87" s="59">
        <v>7.0999999999999994E-2</v>
      </c>
      <c r="AP87" s="59">
        <v>0.13150000000000001</v>
      </c>
      <c r="AQ87" s="59">
        <v>0.6623</v>
      </c>
      <c r="AR87" s="65">
        <v>0.13519999999999999</v>
      </c>
      <c r="AS87" s="59" t="s">
        <v>107</v>
      </c>
      <c r="AT87" s="65" t="s">
        <v>107</v>
      </c>
      <c r="AU87" s="66">
        <v>0.84099999999999997</v>
      </c>
      <c r="AV87" s="67">
        <f t="shared" si="69"/>
        <v>0.15900000000000003</v>
      </c>
      <c r="AW87" s="70">
        <v>0</v>
      </c>
      <c r="AX87" s="68">
        <v>1</v>
      </c>
      <c r="AY87" s="52" t="s">
        <v>107</v>
      </c>
      <c r="AZ87" s="68" t="s">
        <v>107</v>
      </c>
      <c r="BB87" s="67"/>
      <c r="BC87" s="52">
        <v>0.58150000000000002</v>
      </c>
      <c r="BD87" s="67">
        <f t="shared" si="67"/>
        <v>0.41849999999999998</v>
      </c>
      <c r="BE87" s="67" t="s">
        <v>16</v>
      </c>
      <c r="BL87" s="67"/>
      <c r="BO87" s="67"/>
      <c r="BR87" s="53">
        <v>37</v>
      </c>
      <c r="BS87" s="52">
        <v>0</v>
      </c>
      <c r="BT87" s="52">
        <v>0</v>
      </c>
      <c r="BU87" s="52">
        <v>0</v>
      </c>
      <c r="BV87" s="52">
        <v>0</v>
      </c>
      <c r="BW87" s="52">
        <v>0</v>
      </c>
      <c r="BX87" s="52">
        <v>0</v>
      </c>
      <c r="BY87" s="52">
        <v>1</v>
      </c>
      <c r="BZ87" s="67">
        <v>0</v>
      </c>
      <c r="CA87" s="52">
        <v>0</v>
      </c>
      <c r="CB87" s="52">
        <v>0</v>
      </c>
      <c r="CC87" s="52">
        <v>1</v>
      </c>
      <c r="CD87" s="67">
        <v>0</v>
      </c>
      <c r="CE87" s="52">
        <v>0</v>
      </c>
      <c r="CF87" s="52">
        <v>0</v>
      </c>
      <c r="CG87" s="52">
        <v>0</v>
      </c>
      <c r="CH87" s="52">
        <v>0</v>
      </c>
      <c r="CI87" s="67">
        <v>0</v>
      </c>
      <c r="CJ87" s="52">
        <v>0</v>
      </c>
      <c r="CK87" s="52">
        <v>0</v>
      </c>
      <c r="CL87" s="52">
        <v>1</v>
      </c>
      <c r="CM87" s="52">
        <v>1</v>
      </c>
      <c r="CN87" s="52">
        <v>1</v>
      </c>
      <c r="CO87" s="52">
        <v>0</v>
      </c>
      <c r="CP87" s="52">
        <v>1</v>
      </c>
      <c r="CQ87" s="52">
        <v>0</v>
      </c>
      <c r="CR87" s="52">
        <v>0</v>
      </c>
      <c r="CS87" s="52">
        <v>0</v>
      </c>
      <c r="CT87" s="67">
        <v>1</v>
      </c>
      <c r="CY87" s="53"/>
      <c r="CZ87" s="69" t="s">
        <v>87</v>
      </c>
    </row>
    <row r="88" spans="1:104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68"/>
        <v>35.499999999999993</v>
      </c>
      <c r="G88" s="7">
        <f t="shared" si="62"/>
        <v>6.8999999999999995</v>
      </c>
      <c r="H88" s="16">
        <f t="shared" si="63"/>
        <v>7.3</v>
      </c>
      <c r="I88" s="11">
        <f t="shared" si="33"/>
        <v>0.42671320708183785</v>
      </c>
      <c r="J88" s="33">
        <f t="shared" si="34"/>
        <v>1.2020090340333465E-2</v>
      </c>
      <c r="K88" s="33">
        <f t="shared" ref="K88:K100" si="70">IFERROR(1/J88, "X")</f>
        <v>83.194050268032981</v>
      </c>
      <c r="L88" s="33">
        <f t="shared" ref="L88:L100" si="71">IFERROR(I88-J88, "X")</f>
        <v>0.41469311674150439</v>
      </c>
      <c r="M88" s="33">
        <f t="shared" ref="M88:M100" si="72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6"/>
        <v>5661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9">
        <v>0</v>
      </c>
      <c r="AL88" s="30">
        <v>0</v>
      </c>
      <c r="AM88" s="21">
        <v>2000</v>
      </c>
      <c r="AN88" s="23"/>
      <c r="AO88" s="33">
        <v>0.57299999999999995</v>
      </c>
      <c r="AP88" s="33">
        <v>0.13100000000000001</v>
      </c>
      <c r="AQ88" s="33">
        <v>0.22800000000000001</v>
      </c>
      <c r="AR88" s="43">
        <v>6.8000000000000005E-2</v>
      </c>
      <c r="AS88" s="33">
        <f>1-AT88</f>
        <v>0.47391786903440625</v>
      </c>
      <c r="AT88" s="43">
        <v>0.52608213096559375</v>
      </c>
      <c r="AU88" s="42">
        <v>0.48</v>
      </c>
      <c r="AV88" s="18">
        <v>0.52</v>
      </c>
      <c r="AW88">
        <v>0.54410000000000003</v>
      </c>
      <c r="AX88" s="40">
        <f>1-AW88</f>
        <v>0.45589999999999997</v>
      </c>
      <c r="AY88" t="s">
        <v>107</v>
      </c>
      <c r="AZ88" s="40" t="s">
        <v>107</v>
      </c>
      <c r="BB88" s="18"/>
      <c r="BC88">
        <v>0.58699999999999997</v>
      </c>
      <c r="BD88" s="18">
        <f t="shared" si="67"/>
        <v>0.41300000000000003</v>
      </c>
      <c r="BE88" s="18" t="s">
        <v>3</v>
      </c>
      <c r="BL88" s="18"/>
      <c r="BO88" s="18"/>
      <c r="BR88" s="25">
        <v>42</v>
      </c>
      <c r="BS88">
        <v>1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 s="18">
        <v>0</v>
      </c>
      <c r="CA88">
        <v>0</v>
      </c>
      <c r="CB88">
        <v>0</v>
      </c>
      <c r="CC88">
        <v>0</v>
      </c>
      <c r="CD88" s="18">
        <v>1</v>
      </c>
      <c r="CE88">
        <v>0</v>
      </c>
      <c r="CF88">
        <v>0</v>
      </c>
      <c r="CG88">
        <v>0</v>
      </c>
      <c r="CH88">
        <v>0</v>
      </c>
      <c r="CI88" s="18">
        <v>0</v>
      </c>
      <c r="CJ88">
        <v>0</v>
      </c>
      <c r="CK88">
        <v>0</v>
      </c>
      <c r="CL88">
        <v>1</v>
      </c>
      <c r="CM88">
        <v>1</v>
      </c>
      <c r="CN88">
        <v>1</v>
      </c>
      <c r="CO88">
        <v>0</v>
      </c>
      <c r="CP88">
        <v>1</v>
      </c>
      <c r="CQ88">
        <v>0</v>
      </c>
      <c r="CR88">
        <v>0</v>
      </c>
      <c r="CS88">
        <v>1</v>
      </c>
      <c r="CT88" s="18">
        <v>0</v>
      </c>
      <c r="CZ88" s="34" t="s">
        <v>87</v>
      </c>
    </row>
    <row r="89" spans="1:104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68"/>
        <v>35.499999999999993</v>
      </c>
      <c r="G89" s="7">
        <f t="shared" si="62"/>
        <v>6.8999999999999995</v>
      </c>
      <c r="H89" s="16">
        <f t="shared" si="63"/>
        <v>7.3</v>
      </c>
      <c r="I89" s="11">
        <f t="shared" si="33"/>
        <v>0.42674403673342659</v>
      </c>
      <c r="J89" s="33">
        <f t="shared" si="34"/>
        <v>1.2020958781223286E-2</v>
      </c>
      <c r="K89" s="33">
        <f t="shared" si="70"/>
        <v>83.188040005760442</v>
      </c>
      <c r="L89" s="33">
        <f t="shared" si="71"/>
        <v>0.41472307795220331</v>
      </c>
      <c r="M89" s="33">
        <f t="shared" si="72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6"/>
        <v>5660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9">
        <v>0</v>
      </c>
      <c r="AL89" s="30">
        <v>0</v>
      </c>
      <c r="AM89" s="21">
        <v>2000</v>
      </c>
      <c r="AN89" s="23"/>
      <c r="AO89" s="33">
        <v>0.57299999999999995</v>
      </c>
      <c r="AP89" s="33">
        <v>0.13100000000000001</v>
      </c>
      <c r="AQ89" s="33">
        <v>0.22800000000000001</v>
      </c>
      <c r="AR89" s="43">
        <v>6.8000000000000005E-2</v>
      </c>
      <c r="AS89" s="33">
        <f>1-AT89</f>
        <v>0.47391786903440625</v>
      </c>
      <c r="AT89" s="43">
        <v>0.52608213096559375</v>
      </c>
      <c r="AU89" s="42">
        <v>0.48</v>
      </c>
      <c r="AV89" s="18">
        <v>0.52</v>
      </c>
      <c r="AW89">
        <v>0.54410000000000003</v>
      </c>
      <c r="AX89" s="40">
        <f t="shared" ref="AX89:AX90" si="73">1-AW89</f>
        <v>0.45589999999999997</v>
      </c>
      <c r="AY89" t="s">
        <v>107</v>
      </c>
      <c r="AZ89" s="40" t="s">
        <v>107</v>
      </c>
      <c r="BB89" s="18"/>
      <c r="BC89">
        <v>0.58699999999999997</v>
      </c>
      <c r="BD89" s="18">
        <f t="shared" si="67"/>
        <v>0.41300000000000003</v>
      </c>
      <c r="BE89" s="18" t="s">
        <v>3</v>
      </c>
      <c r="BL89" s="18"/>
      <c r="BO89" s="18"/>
      <c r="BR89" s="25">
        <v>42</v>
      </c>
      <c r="BS89">
        <v>1</v>
      </c>
      <c r="BT89">
        <v>0</v>
      </c>
      <c r="BU89">
        <v>0</v>
      </c>
      <c r="BV89">
        <v>0</v>
      </c>
      <c r="BW89">
        <v>0</v>
      </c>
      <c r="BX89">
        <v>1</v>
      </c>
      <c r="BY89">
        <v>0</v>
      </c>
      <c r="BZ89" s="18">
        <v>0</v>
      </c>
      <c r="CA89">
        <v>0</v>
      </c>
      <c r="CB89">
        <v>0</v>
      </c>
      <c r="CC89">
        <v>0</v>
      </c>
      <c r="CD89" s="18">
        <v>1</v>
      </c>
      <c r="CE89">
        <v>0</v>
      </c>
      <c r="CF89">
        <v>0</v>
      </c>
      <c r="CG89">
        <v>0</v>
      </c>
      <c r="CH89">
        <v>0</v>
      </c>
      <c r="CI89" s="18">
        <v>0</v>
      </c>
      <c r="CJ89">
        <v>0</v>
      </c>
      <c r="CK89">
        <v>0</v>
      </c>
      <c r="CL89">
        <v>1</v>
      </c>
      <c r="CM89">
        <v>1</v>
      </c>
      <c r="CN89">
        <v>1</v>
      </c>
      <c r="CO89">
        <v>0</v>
      </c>
      <c r="CP89">
        <v>1</v>
      </c>
      <c r="CQ89">
        <v>0</v>
      </c>
      <c r="CR89">
        <v>0</v>
      </c>
      <c r="CS89">
        <v>1</v>
      </c>
      <c r="CT89" s="18">
        <v>0</v>
      </c>
      <c r="CZ89" s="34" t="s">
        <v>87</v>
      </c>
    </row>
    <row r="90" spans="1:104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68"/>
        <v>-2.3333333333333335</v>
      </c>
      <c r="G90" s="7">
        <f t="shared" si="62"/>
        <v>-1</v>
      </c>
      <c r="H90" s="16">
        <f t="shared" si="63"/>
        <v>-0.39999999999999997</v>
      </c>
      <c r="I90" s="11">
        <f t="shared" si="33"/>
        <v>-1.625929627638574E-2</v>
      </c>
      <c r="J90" s="33">
        <f t="shared" si="34"/>
        <v>6.9682698327367442E-3</v>
      </c>
      <c r="K90" s="33">
        <f t="shared" si="70"/>
        <v>143.50764594419505</v>
      </c>
      <c r="L90" s="33">
        <f t="shared" si="71"/>
        <v>-2.3227566109122483E-2</v>
      </c>
      <c r="M90" s="33">
        <f t="shared" si="72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6"/>
        <v>20589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9">
        <v>0</v>
      </c>
      <c r="AL90" s="30">
        <v>0</v>
      </c>
      <c r="AM90" s="21">
        <v>2000</v>
      </c>
      <c r="AN90" s="23"/>
      <c r="AO90" s="33">
        <v>0.57299999999999995</v>
      </c>
      <c r="AP90" s="33">
        <v>0.13100000000000001</v>
      </c>
      <c r="AQ90" s="33">
        <v>0.22800000000000001</v>
      </c>
      <c r="AR90" s="43">
        <v>6.8000000000000005E-2</v>
      </c>
      <c r="AS90" s="33">
        <f t="shared" ref="AS90:AS99" si="74">1-AT90</f>
        <v>0.47391786903440625</v>
      </c>
      <c r="AT90" s="43">
        <v>0.52608213096559375</v>
      </c>
      <c r="AU90" s="42">
        <v>0.48</v>
      </c>
      <c r="AV90" s="18">
        <v>0.52</v>
      </c>
      <c r="AW90">
        <v>0.54410000000000003</v>
      </c>
      <c r="AX90" s="40">
        <f t="shared" si="73"/>
        <v>0.45589999999999997</v>
      </c>
      <c r="AY90" t="s">
        <v>107</v>
      </c>
      <c r="AZ90" s="40" t="s">
        <v>107</v>
      </c>
      <c r="BB90" s="18"/>
      <c r="BC90">
        <v>0.58699999999999997</v>
      </c>
      <c r="BD90" s="18">
        <f t="shared" ref="BD90:BD99" si="75">1-BC90</f>
        <v>0.41300000000000003</v>
      </c>
      <c r="BE90" s="18" t="s">
        <v>3</v>
      </c>
      <c r="BL90" s="18"/>
      <c r="BO90" s="18"/>
      <c r="BR90" s="25">
        <v>42</v>
      </c>
      <c r="BS90">
        <v>1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1</v>
      </c>
      <c r="BZ90" s="18">
        <v>0</v>
      </c>
      <c r="CA90">
        <v>0</v>
      </c>
      <c r="CB90">
        <v>0</v>
      </c>
      <c r="CC90">
        <v>0</v>
      </c>
      <c r="CD90" s="18">
        <v>1</v>
      </c>
      <c r="CE90">
        <v>0</v>
      </c>
      <c r="CF90">
        <v>0</v>
      </c>
      <c r="CG90">
        <v>0</v>
      </c>
      <c r="CH90">
        <v>0</v>
      </c>
      <c r="CI90" s="18">
        <v>0</v>
      </c>
      <c r="CJ90">
        <v>0</v>
      </c>
      <c r="CK90">
        <v>0</v>
      </c>
      <c r="CL90">
        <v>1</v>
      </c>
      <c r="CM90">
        <v>1</v>
      </c>
      <c r="CN90">
        <v>1</v>
      </c>
      <c r="CO90">
        <v>0</v>
      </c>
      <c r="CP90">
        <v>1</v>
      </c>
      <c r="CQ90">
        <v>0</v>
      </c>
      <c r="CR90">
        <v>0</v>
      </c>
      <c r="CS90">
        <v>1</v>
      </c>
      <c r="CT90" s="18">
        <v>1</v>
      </c>
      <c r="CZ90" s="34" t="s">
        <v>87</v>
      </c>
    </row>
    <row r="91" spans="1:104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68"/>
        <v>27</v>
      </c>
      <c r="G91" s="7">
        <f t="shared" si="62"/>
        <v>7.8</v>
      </c>
      <c r="H91" s="16">
        <f t="shared" si="63"/>
        <v>8.4</v>
      </c>
      <c r="I91" s="11">
        <f t="shared" si="33"/>
        <v>0.48769524889134491</v>
      </c>
      <c r="J91" s="33">
        <f t="shared" si="34"/>
        <v>1.8062786995975737E-2</v>
      </c>
      <c r="K91" s="33">
        <f t="shared" si="70"/>
        <v>55.362442142665635</v>
      </c>
      <c r="L91" s="33">
        <f t="shared" si="71"/>
        <v>0.46963246189536917</v>
      </c>
      <c r="M91" s="33">
        <f t="shared" si="72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6"/>
        <v>2336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9">
        <v>0</v>
      </c>
      <c r="AL91" s="30">
        <v>0</v>
      </c>
      <c r="AM91" s="21">
        <v>2000</v>
      </c>
      <c r="AN91" s="23"/>
      <c r="AO91" s="33">
        <v>0.57299999999999995</v>
      </c>
      <c r="AP91" s="33">
        <v>0.13100000000000001</v>
      </c>
      <c r="AQ91" s="33">
        <v>0.22800000000000001</v>
      </c>
      <c r="AR91" s="43">
        <v>6.8000000000000005E-2</v>
      </c>
      <c r="AS91" s="33">
        <f t="shared" si="74"/>
        <v>0.47391786903440603</v>
      </c>
      <c r="AT91" s="43">
        <v>0.52608213096559397</v>
      </c>
      <c r="AU91" s="42">
        <v>0.48</v>
      </c>
      <c r="AV91" s="18">
        <v>0.52</v>
      </c>
      <c r="AW91">
        <v>0.54410000000000003</v>
      </c>
      <c r="AX91" s="40">
        <f t="shared" ref="AX91:AX96" si="76">1-AW91</f>
        <v>0.45589999999999997</v>
      </c>
      <c r="AY91" t="s">
        <v>107</v>
      </c>
      <c r="AZ91" s="40" t="s">
        <v>107</v>
      </c>
      <c r="BB91" s="18"/>
      <c r="BC91">
        <v>0.58699999999999997</v>
      </c>
      <c r="BD91" s="18">
        <f t="shared" si="75"/>
        <v>0.41300000000000003</v>
      </c>
      <c r="BE91" s="18" t="s">
        <v>3</v>
      </c>
      <c r="BL91" s="18"/>
      <c r="BO91" s="18"/>
      <c r="BR91" s="25">
        <v>42</v>
      </c>
      <c r="BS91">
        <v>1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 s="18">
        <v>0</v>
      </c>
      <c r="CA91">
        <v>0</v>
      </c>
      <c r="CB91">
        <v>0</v>
      </c>
      <c r="CC91">
        <v>0</v>
      </c>
      <c r="CD91" s="18">
        <v>1</v>
      </c>
      <c r="CE91">
        <v>0</v>
      </c>
      <c r="CF91">
        <v>0</v>
      </c>
      <c r="CG91">
        <v>0</v>
      </c>
      <c r="CH91">
        <v>0</v>
      </c>
      <c r="CI91" s="18">
        <v>0</v>
      </c>
      <c r="CJ91">
        <v>0</v>
      </c>
      <c r="CK91">
        <v>0</v>
      </c>
      <c r="CL91">
        <v>1</v>
      </c>
      <c r="CM91">
        <v>1</v>
      </c>
      <c r="CN91">
        <v>1</v>
      </c>
      <c r="CO91">
        <v>0</v>
      </c>
      <c r="CP91">
        <v>1</v>
      </c>
      <c r="CQ91">
        <v>0</v>
      </c>
      <c r="CR91">
        <v>0</v>
      </c>
      <c r="CS91">
        <v>1</v>
      </c>
      <c r="CT91" s="18">
        <v>0</v>
      </c>
      <c r="CZ91" s="34" t="s">
        <v>87</v>
      </c>
    </row>
    <row r="92" spans="1:104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68"/>
        <v>27</v>
      </c>
      <c r="G92" s="7">
        <f t="shared" si="62"/>
        <v>7.8</v>
      </c>
      <c r="H92" s="16">
        <f t="shared" si="63"/>
        <v>8.4</v>
      </c>
      <c r="I92" s="11">
        <f t="shared" si="33"/>
        <v>0.48777482713269882</v>
      </c>
      <c r="J92" s="33">
        <f t="shared" si="34"/>
        <v>1.8065734338248103E-2</v>
      </c>
      <c r="K92" s="33">
        <f t="shared" si="70"/>
        <v>55.353410012392196</v>
      </c>
      <c r="L92" s="33">
        <f t="shared" si="71"/>
        <v>0.46970909279445072</v>
      </c>
      <c r="M92" s="33">
        <f t="shared" si="72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6"/>
        <v>2335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9">
        <v>0</v>
      </c>
      <c r="AL92" s="30">
        <v>0</v>
      </c>
      <c r="AM92" s="21">
        <v>2000</v>
      </c>
      <c r="AN92" s="23"/>
      <c r="AO92" s="33">
        <v>0.57299999999999995</v>
      </c>
      <c r="AP92" s="33">
        <v>0.13100000000000001</v>
      </c>
      <c r="AQ92" s="33">
        <v>0.22800000000000001</v>
      </c>
      <c r="AR92" s="43">
        <v>6.8000000000000005E-2</v>
      </c>
      <c r="AS92" s="33">
        <f t="shared" ref="AS92:AS96" si="77">1-AT92</f>
        <v>0.47391786903440603</v>
      </c>
      <c r="AT92" s="43">
        <v>0.52608213096559397</v>
      </c>
      <c r="AU92" s="42">
        <v>0.48</v>
      </c>
      <c r="AV92" s="18">
        <v>0.52</v>
      </c>
      <c r="AW92">
        <v>0.54410000000000003</v>
      </c>
      <c r="AX92" s="40">
        <f t="shared" si="76"/>
        <v>0.45589999999999997</v>
      </c>
      <c r="AY92" t="s">
        <v>107</v>
      </c>
      <c r="AZ92" s="40" t="s">
        <v>107</v>
      </c>
      <c r="BB92" s="18"/>
      <c r="BC92">
        <v>0.58699999999999997</v>
      </c>
      <c r="BD92" s="18">
        <f t="shared" si="75"/>
        <v>0.41300000000000003</v>
      </c>
      <c r="BE92" s="18" t="s">
        <v>3</v>
      </c>
      <c r="BL92" s="18"/>
      <c r="BO92" s="18"/>
      <c r="BR92" s="25">
        <v>42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1</v>
      </c>
      <c r="BY92">
        <v>0</v>
      </c>
      <c r="BZ92" s="18">
        <v>0</v>
      </c>
      <c r="CA92">
        <v>0</v>
      </c>
      <c r="CB92">
        <v>0</v>
      </c>
      <c r="CC92">
        <v>0</v>
      </c>
      <c r="CD92" s="18">
        <v>1</v>
      </c>
      <c r="CE92">
        <v>0</v>
      </c>
      <c r="CF92">
        <v>0</v>
      </c>
      <c r="CG92">
        <v>0</v>
      </c>
      <c r="CH92">
        <v>0</v>
      </c>
      <c r="CI92" s="18">
        <v>0</v>
      </c>
      <c r="CJ92">
        <v>0</v>
      </c>
      <c r="CK92">
        <v>0</v>
      </c>
      <c r="CL92">
        <v>1</v>
      </c>
      <c r="CM92">
        <v>1</v>
      </c>
      <c r="CN92">
        <v>1</v>
      </c>
      <c r="CO92">
        <v>0</v>
      </c>
      <c r="CP92">
        <v>1</v>
      </c>
      <c r="CQ92">
        <v>0</v>
      </c>
      <c r="CR92">
        <v>0</v>
      </c>
      <c r="CS92">
        <v>1</v>
      </c>
      <c r="CT92" s="18">
        <v>0</v>
      </c>
      <c r="CZ92" s="34" t="s">
        <v>87</v>
      </c>
    </row>
    <row r="93" spans="1:104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68"/>
        <v>-2.2000000000000002</v>
      </c>
      <c r="G93" s="7">
        <f t="shared" si="62"/>
        <v>-1.6</v>
      </c>
      <c r="H93" s="16">
        <f t="shared" si="63"/>
        <v>-0.60000000000000009</v>
      </c>
      <c r="I93" s="11">
        <f t="shared" si="33"/>
        <v>-2.7244002328770587E-2</v>
      </c>
      <c r="J93" s="33">
        <f t="shared" si="34"/>
        <v>1.2383637422168447E-2</v>
      </c>
      <c r="K93" s="33">
        <f t="shared" si="70"/>
        <v>80.751718247972903</v>
      </c>
      <c r="L93" s="33">
        <f t="shared" si="71"/>
        <v>-3.9627639750939032E-2</v>
      </c>
      <c r="M93" s="33">
        <f t="shared" si="72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6"/>
        <v>6516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9">
        <v>0</v>
      </c>
      <c r="AL93" s="30">
        <v>0</v>
      </c>
      <c r="AM93" s="21">
        <v>2000</v>
      </c>
      <c r="AN93" s="23"/>
      <c r="AO93" s="33">
        <v>0.57299999999999995</v>
      </c>
      <c r="AP93" s="33">
        <v>0.13100000000000001</v>
      </c>
      <c r="AQ93" s="33">
        <v>0.22800000000000001</v>
      </c>
      <c r="AR93" s="43">
        <v>6.8000000000000005E-2</v>
      </c>
      <c r="AS93" s="33">
        <f t="shared" si="77"/>
        <v>0.47391786903440603</v>
      </c>
      <c r="AT93" s="43">
        <v>0.52608213096559397</v>
      </c>
      <c r="AU93" s="42">
        <v>0.48</v>
      </c>
      <c r="AV93" s="18">
        <v>0.52</v>
      </c>
      <c r="AW93">
        <v>0.54410000000000003</v>
      </c>
      <c r="AX93" s="40">
        <f t="shared" si="76"/>
        <v>0.45589999999999997</v>
      </c>
      <c r="AY93" t="s">
        <v>107</v>
      </c>
      <c r="AZ93" s="40" t="s">
        <v>107</v>
      </c>
      <c r="BB93" s="18"/>
      <c r="BC93">
        <v>0.58699999999999997</v>
      </c>
      <c r="BD93" s="18">
        <f t="shared" si="75"/>
        <v>0.41300000000000003</v>
      </c>
      <c r="BE93" s="18" t="s">
        <v>3</v>
      </c>
      <c r="BL93" s="18"/>
      <c r="BO93" s="18"/>
      <c r="BR93" s="25">
        <v>42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1</v>
      </c>
      <c r="BZ93" s="18">
        <v>0</v>
      </c>
      <c r="CA93">
        <v>0</v>
      </c>
      <c r="CB93">
        <v>0</v>
      </c>
      <c r="CC93">
        <v>0</v>
      </c>
      <c r="CD93" s="18">
        <v>1</v>
      </c>
      <c r="CE93">
        <v>0</v>
      </c>
      <c r="CF93">
        <v>0</v>
      </c>
      <c r="CG93">
        <v>0</v>
      </c>
      <c r="CH93">
        <v>0</v>
      </c>
      <c r="CI93" s="18">
        <v>0</v>
      </c>
      <c r="CJ93">
        <v>0</v>
      </c>
      <c r="CK93">
        <v>0</v>
      </c>
      <c r="CL93">
        <v>1</v>
      </c>
      <c r="CM93">
        <v>1</v>
      </c>
      <c r="CN93">
        <v>1</v>
      </c>
      <c r="CO93">
        <v>0</v>
      </c>
      <c r="CP93">
        <v>1</v>
      </c>
      <c r="CQ93">
        <v>0</v>
      </c>
      <c r="CR93">
        <v>0</v>
      </c>
      <c r="CS93">
        <v>1</v>
      </c>
      <c r="CT93" s="18">
        <v>1</v>
      </c>
      <c r="CZ93" s="34" t="s">
        <v>87</v>
      </c>
    </row>
    <row r="94" spans="1:104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68"/>
        <v>14.25</v>
      </c>
      <c r="G94" s="7">
        <f t="shared" si="62"/>
        <v>5.3</v>
      </c>
      <c r="H94" s="16">
        <f t="shared" si="63"/>
        <v>6.1000000000000005</v>
      </c>
      <c r="I94" s="11">
        <f t="shared" si="33"/>
        <v>0.24014745989109584</v>
      </c>
      <c r="J94" s="33">
        <f t="shared" si="34"/>
        <v>1.6852453325690936E-2</v>
      </c>
      <c r="K94" s="33">
        <f t="shared" si="70"/>
        <v>59.338541438090637</v>
      </c>
      <c r="L94" s="33">
        <f t="shared" si="71"/>
        <v>0.22329500656540491</v>
      </c>
      <c r="M94" s="33">
        <f t="shared" si="72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6"/>
        <v>3318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9">
        <v>0</v>
      </c>
      <c r="AL94" s="30">
        <v>0</v>
      </c>
      <c r="AM94" s="21">
        <v>2000</v>
      </c>
      <c r="AN94" s="23"/>
      <c r="AO94" s="33">
        <v>0.57299999999999995</v>
      </c>
      <c r="AP94" s="33">
        <v>0.13100000000000001</v>
      </c>
      <c r="AQ94" s="33">
        <v>0.22800000000000001</v>
      </c>
      <c r="AR94" s="43">
        <v>6.8000000000000005E-2</v>
      </c>
      <c r="AS94" s="33">
        <f t="shared" si="77"/>
        <v>0.47391786903440603</v>
      </c>
      <c r="AT94" s="43">
        <v>0.52608213096559397</v>
      </c>
      <c r="AU94" s="42">
        <v>0.48</v>
      </c>
      <c r="AV94" s="18">
        <v>0.52</v>
      </c>
      <c r="AW94">
        <v>0.54410000000000003</v>
      </c>
      <c r="AX94" s="40">
        <f t="shared" si="76"/>
        <v>0.45589999999999997</v>
      </c>
      <c r="AY94" t="s">
        <v>107</v>
      </c>
      <c r="AZ94" s="40" t="s">
        <v>107</v>
      </c>
      <c r="BB94" s="18"/>
      <c r="BC94">
        <v>0.58699999999999997</v>
      </c>
      <c r="BD94" s="18">
        <f t="shared" si="75"/>
        <v>0.41300000000000003</v>
      </c>
      <c r="BE94" s="18" t="s">
        <v>3</v>
      </c>
      <c r="BL94" s="18"/>
      <c r="BO94" s="18"/>
      <c r="BR94" s="25">
        <v>42</v>
      </c>
      <c r="BS94">
        <v>1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 s="18">
        <v>0</v>
      </c>
      <c r="CA94">
        <v>0</v>
      </c>
      <c r="CB94">
        <v>0</v>
      </c>
      <c r="CC94">
        <v>0</v>
      </c>
      <c r="CD94" s="18">
        <v>1</v>
      </c>
      <c r="CE94">
        <v>0</v>
      </c>
      <c r="CF94">
        <v>0</v>
      </c>
      <c r="CG94">
        <v>0</v>
      </c>
      <c r="CH94">
        <v>0</v>
      </c>
      <c r="CI94" s="18">
        <v>0</v>
      </c>
      <c r="CJ94">
        <v>0</v>
      </c>
      <c r="CK94">
        <v>0</v>
      </c>
      <c r="CL94">
        <v>1</v>
      </c>
      <c r="CM94">
        <v>1</v>
      </c>
      <c r="CN94">
        <v>1</v>
      </c>
      <c r="CO94">
        <v>0</v>
      </c>
      <c r="CP94">
        <v>1</v>
      </c>
      <c r="CQ94">
        <v>0</v>
      </c>
      <c r="CR94">
        <v>0</v>
      </c>
      <c r="CS94">
        <v>1</v>
      </c>
      <c r="CT94" s="18">
        <v>0</v>
      </c>
      <c r="CZ94" s="34" t="s">
        <v>87</v>
      </c>
    </row>
    <row r="95" spans="1:104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68"/>
        <v>19</v>
      </c>
      <c r="G95" s="7">
        <f t="shared" si="62"/>
        <v>5.4</v>
      </c>
      <c r="H95" s="16">
        <f t="shared" si="63"/>
        <v>6</v>
      </c>
      <c r="I95" s="11">
        <f t="shared" si="33"/>
        <v>0.31329086982171811</v>
      </c>
      <c r="J95" s="33">
        <f t="shared" si="34"/>
        <v>1.6488993148511478E-2</v>
      </c>
      <c r="K95" s="33">
        <f t="shared" si="70"/>
        <v>60.646516800225228</v>
      </c>
      <c r="L95" s="33">
        <f t="shared" si="71"/>
        <v>0.29680187667320662</v>
      </c>
      <c r="M95" s="33">
        <f t="shared" si="72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6"/>
        <v>3317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9">
        <v>0</v>
      </c>
      <c r="AL95" s="30">
        <v>0</v>
      </c>
      <c r="AM95" s="21">
        <v>2000</v>
      </c>
      <c r="AN95" s="23"/>
      <c r="AO95" s="33">
        <v>0.57299999999999995</v>
      </c>
      <c r="AP95" s="33">
        <v>0.13100000000000001</v>
      </c>
      <c r="AQ95" s="33">
        <v>0.22800000000000001</v>
      </c>
      <c r="AR95" s="43">
        <v>6.8000000000000005E-2</v>
      </c>
      <c r="AS95" s="33">
        <f t="shared" si="77"/>
        <v>0.47391786903440603</v>
      </c>
      <c r="AT95" s="43">
        <v>0.52608213096559397</v>
      </c>
      <c r="AU95" s="42">
        <v>0.48</v>
      </c>
      <c r="AV95" s="18">
        <v>0.52</v>
      </c>
      <c r="AW95">
        <v>0.54410000000000003</v>
      </c>
      <c r="AX95" s="40">
        <f t="shared" si="76"/>
        <v>0.45589999999999997</v>
      </c>
      <c r="AY95" t="s">
        <v>107</v>
      </c>
      <c r="AZ95" s="40" t="s">
        <v>107</v>
      </c>
      <c r="BB95" s="18"/>
      <c r="BC95">
        <v>0.58699999999999997</v>
      </c>
      <c r="BD95" s="18">
        <f t="shared" si="75"/>
        <v>0.41300000000000003</v>
      </c>
      <c r="BE95" s="18" t="s">
        <v>3</v>
      </c>
      <c r="BL95" s="18"/>
      <c r="BO95" s="18"/>
      <c r="BR95" s="25">
        <v>42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1</v>
      </c>
      <c r="BY95">
        <v>0</v>
      </c>
      <c r="BZ95" s="18">
        <v>0</v>
      </c>
      <c r="CA95">
        <v>0</v>
      </c>
      <c r="CB95">
        <v>0</v>
      </c>
      <c r="CC95">
        <v>0</v>
      </c>
      <c r="CD95" s="18">
        <v>1</v>
      </c>
      <c r="CE95">
        <v>0</v>
      </c>
      <c r="CF95">
        <v>0</v>
      </c>
      <c r="CG95">
        <v>0</v>
      </c>
      <c r="CH95">
        <v>0</v>
      </c>
      <c r="CI95" s="18">
        <v>0</v>
      </c>
      <c r="CJ95">
        <v>0</v>
      </c>
      <c r="CK95">
        <v>0</v>
      </c>
      <c r="CL95">
        <v>1</v>
      </c>
      <c r="CM95">
        <v>1</v>
      </c>
      <c r="CN95">
        <v>1</v>
      </c>
      <c r="CO95">
        <v>0</v>
      </c>
      <c r="CP95">
        <v>1</v>
      </c>
      <c r="CQ95">
        <v>0</v>
      </c>
      <c r="CR95">
        <v>0</v>
      </c>
      <c r="CS95">
        <v>1</v>
      </c>
      <c r="CT95" s="18">
        <v>0</v>
      </c>
      <c r="CZ95" s="34" t="s">
        <v>87</v>
      </c>
    </row>
    <row r="96" spans="1:104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68"/>
        <v>-2.75</v>
      </c>
      <c r="G96" s="7">
        <f t="shared" si="62"/>
        <v>-1.5</v>
      </c>
      <c r="H96" s="16">
        <f t="shared" si="63"/>
        <v>-0.70000000000000007</v>
      </c>
      <c r="I96" s="11">
        <f t="shared" si="33"/>
        <v>-2.3185863094754445E-2</v>
      </c>
      <c r="J96" s="33">
        <f t="shared" si="34"/>
        <v>8.4312229435470724E-3</v>
      </c>
      <c r="K96" s="33">
        <f t="shared" si="70"/>
        <v>118.60675570978239</v>
      </c>
      <c r="L96" s="33">
        <f t="shared" si="71"/>
        <v>-3.1617086038301517E-2</v>
      </c>
      <c r="M96" s="33">
        <f t="shared" si="72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6"/>
        <v>14060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9">
        <v>0</v>
      </c>
      <c r="AL96" s="30">
        <v>0</v>
      </c>
      <c r="AM96" s="21">
        <v>2000</v>
      </c>
      <c r="AN96" s="23"/>
      <c r="AO96" s="33">
        <v>0.57299999999999995</v>
      </c>
      <c r="AP96" s="33">
        <v>0.13100000000000001</v>
      </c>
      <c r="AQ96" s="33">
        <v>0.22800000000000001</v>
      </c>
      <c r="AR96" s="43">
        <v>6.8000000000000005E-2</v>
      </c>
      <c r="AS96" s="33">
        <f t="shared" si="77"/>
        <v>0.47391786903440603</v>
      </c>
      <c r="AT96" s="43">
        <v>0.52608213096559397</v>
      </c>
      <c r="AU96" s="42">
        <v>0.48</v>
      </c>
      <c r="AV96" s="18">
        <v>0.52</v>
      </c>
      <c r="AW96">
        <v>0.54410000000000003</v>
      </c>
      <c r="AX96" s="40">
        <f t="shared" si="76"/>
        <v>0.45589999999999997</v>
      </c>
      <c r="AY96" t="s">
        <v>107</v>
      </c>
      <c r="AZ96" s="40" t="s">
        <v>107</v>
      </c>
      <c r="BB96" s="18"/>
      <c r="BC96">
        <v>0.58699999999999997</v>
      </c>
      <c r="BD96" s="18">
        <f t="shared" si="75"/>
        <v>0.41300000000000003</v>
      </c>
      <c r="BE96" s="18" t="s">
        <v>3</v>
      </c>
      <c r="BL96" s="18"/>
      <c r="BO96" s="18"/>
      <c r="BR96" s="25">
        <v>42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1</v>
      </c>
      <c r="BZ96" s="18">
        <v>0</v>
      </c>
      <c r="CA96">
        <v>0</v>
      </c>
      <c r="CB96">
        <v>0</v>
      </c>
      <c r="CC96">
        <v>0</v>
      </c>
      <c r="CD96" s="18">
        <v>1</v>
      </c>
      <c r="CE96">
        <v>0</v>
      </c>
      <c r="CF96">
        <v>0</v>
      </c>
      <c r="CG96">
        <v>0</v>
      </c>
      <c r="CH96">
        <v>0</v>
      </c>
      <c r="CI96" s="18">
        <v>0</v>
      </c>
      <c r="CJ96">
        <v>0</v>
      </c>
      <c r="CK96">
        <v>0</v>
      </c>
      <c r="CL96">
        <v>1</v>
      </c>
      <c r="CM96">
        <v>1</v>
      </c>
      <c r="CN96">
        <v>1</v>
      </c>
      <c r="CO96">
        <v>0</v>
      </c>
      <c r="CP96">
        <v>1</v>
      </c>
      <c r="CQ96">
        <v>0</v>
      </c>
      <c r="CR96">
        <v>0</v>
      </c>
      <c r="CS96">
        <v>1</v>
      </c>
      <c r="CT96" s="18">
        <v>1</v>
      </c>
      <c r="CZ96" s="34" t="s">
        <v>87</v>
      </c>
    </row>
    <row r="97" spans="1:104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68"/>
        <v>31</v>
      </c>
      <c r="G97" s="7">
        <f t="shared" si="62"/>
        <v>6</v>
      </c>
      <c r="H97" s="16">
        <f t="shared" si="63"/>
        <v>6.4</v>
      </c>
      <c r="I97" s="11">
        <f t="shared" si="33"/>
        <v>0.40655956227172746</v>
      </c>
      <c r="J97" s="33">
        <f t="shared" si="34"/>
        <v>1.3114824589410561E-2</v>
      </c>
      <c r="K97" s="33">
        <f t="shared" si="70"/>
        <v>76.249590162833016</v>
      </c>
      <c r="L97" s="33">
        <f t="shared" si="71"/>
        <v>0.39344473768231691</v>
      </c>
      <c r="M97" s="33">
        <f t="shared" si="72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6"/>
        <v>4853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9">
        <v>0</v>
      </c>
      <c r="AL97" s="30">
        <v>0</v>
      </c>
      <c r="AM97" s="21">
        <v>2000</v>
      </c>
      <c r="AN97" s="23"/>
      <c r="AO97" s="33">
        <v>0.57299999999999995</v>
      </c>
      <c r="AP97" s="33">
        <v>0.13100000000000001</v>
      </c>
      <c r="AQ97" s="33">
        <v>0.22800000000000001</v>
      </c>
      <c r="AR97" s="43">
        <v>6.8000000000000005E-2</v>
      </c>
      <c r="AS97" s="33">
        <f t="shared" si="74"/>
        <v>0.47391786903440625</v>
      </c>
      <c r="AT97" s="43">
        <v>0.52608213096559375</v>
      </c>
      <c r="AU97" s="42">
        <v>0.48</v>
      </c>
      <c r="AV97" s="18">
        <v>0.52</v>
      </c>
      <c r="AW97">
        <v>1</v>
      </c>
      <c r="AX97" s="40">
        <v>0</v>
      </c>
      <c r="AY97" t="s">
        <v>107</v>
      </c>
      <c r="AZ97" s="40" t="s">
        <v>107</v>
      </c>
      <c r="BB97" s="18"/>
      <c r="BC97">
        <v>0.58699999999999997</v>
      </c>
      <c r="BD97" s="18">
        <f t="shared" si="75"/>
        <v>0.41300000000000003</v>
      </c>
      <c r="BE97" s="18" t="s">
        <v>3</v>
      </c>
      <c r="BL97" s="18"/>
      <c r="BO97" s="18"/>
      <c r="BR97" s="25">
        <v>42</v>
      </c>
      <c r="BS97">
        <v>1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1</v>
      </c>
      <c r="BZ97" s="18">
        <v>0</v>
      </c>
      <c r="CA97">
        <v>0</v>
      </c>
      <c r="CB97">
        <v>0</v>
      </c>
      <c r="CC97">
        <v>0</v>
      </c>
      <c r="CD97" s="18">
        <v>1</v>
      </c>
      <c r="CE97">
        <v>0</v>
      </c>
      <c r="CF97">
        <v>0</v>
      </c>
      <c r="CG97">
        <v>0</v>
      </c>
      <c r="CH97">
        <v>0</v>
      </c>
      <c r="CI97" s="18">
        <v>0</v>
      </c>
      <c r="CJ97">
        <v>0</v>
      </c>
      <c r="CK97">
        <v>0</v>
      </c>
      <c r="CL97">
        <v>1</v>
      </c>
      <c r="CM97">
        <v>1</v>
      </c>
      <c r="CN97">
        <v>1</v>
      </c>
      <c r="CO97">
        <v>0</v>
      </c>
      <c r="CP97">
        <v>1</v>
      </c>
      <c r="CQ97">
        <v>0</v>
      </c>
      <c r="CR97">
        <v>0</v>
      </c>
      <c r="CS97">
        <v>1</v>
      </c>
      <c r="CT97" s="18">
        <v>0</v>
      </c>
      <c r="CZ97" s="34" t="s">
        <v>87</v>
      </c>
    </row>
    <row r="98" spans="1:104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68"/>
        <v>16.499999999999996</v>
      </c>
      <c r="G98" s="7">
        <f t="shared" si="62"/>
        <v>12.399999999999999</v>
      </c>
      <c r="H98" s="16">
        <f t="shared" si="63"/>
        <v>14</v>
      </c>
      <c r="I98" s="11">
        <f t="shared" si="33"/>
        <v>0.50318677540878542</v>
      </c>
      <c r="J98" s="33">
        <f t="shared" si="34"/>
        <v>3.0496168206593063E-2</v>
      </c>
      <c r="K98" s="33">
        <f t="shared" si="70"/>
        <v>32.79100486413919</v>
      </c>
      <c r="L98" s="33">
        <f t="shared" si="71"/>
        <v>0.47269060720219236</v>
      </c>
      <c r="M98" s="33">
        <f t="shared" si="72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6"/>
        <v>803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9">
        <v>0</v>
      </c>
      <c r="AL98" s="30">
        <v>0</v>
      </c>
      <c r="AM98" s="21">
        <v>2000</v>
      </c>
      <c r="AN98" s="23"/>
      <c r="AO98" s="33">
        <v>0.57299999999999995</v>
      </c>
      <c r="AP98" s="33">
        <v>0.13100000000000001</v>
      </c>
      <c r="AQ98" s="33">
        <v>0.22800000000000001</v>
      </c>
      <c r="AR98" s="43">
        <v>6.8000000000000005E-2</v>
      </c>
      <c r="AS98" s="33">
        <f t="shared" si="74"/>
        <v>0.47391786903440625</v>
      </c>
      <c r="AT98" s="43">
        <v>0.52608213096559375</v>
      </c>
      <c r="AU98" s="42">
        <v>0.48</v>
      </c>
      <c r="AV98" s="18">
        <v>0.52</v>
      </c>
      <c r="AW98">
        <v>0</v>
      </c>
      <c r="AX98" s="40">
        <v>1</v>
      </c>
      <c r="AY98" t="s">
        <v>107</v>
      </c>
      <c r="AZ98" s="40" t="s">
        <v>107</v>
      </c>
      <c r="BB98" s="18"/>
      <c r="BC98">
        <v>0.58699999999999997</v>
      </c>
      <c r="BD98" s="18">
        <f t="shared" si="75"/>
        <v>0.41300000000000003</v>
      </c>
      <c r="BE98" s="18" t="s">
        <v>3</v>
      </c>
      <c r="BL98" s="18"/>
      <c r="BO98" s="18"/>
      <c r="BR98" s="25">
        <v>42</v>
      </c>
      <c r="BS98">
        <v>1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1</v>
      </c>
      <c r="BZ98" s="18">
        <v>0</v>
      </c>
      <c r="CA98">
        <v>0</v>
      </c>
      <c r="CB98">
        <v>0</v>
      </c>
      <c r="CC98">
        <v>0</v>
      </c>
      <c r="CD98" s="18">
        <v>1</v>
      </c>
      <c r="CE98">
        <v>0</v>
      </c>
      <c r="CF98">
        <v>0</v>
      </c>
      <c r="CG98">
        <v>0</v>
      </c>
      <c r="CH98">
        <v>0</v>
      </c>
      <c r="CI98" s="18">
        <v>0</v>
      </c>
      <c r="CJ98">
        <v>0</v>
      </c>
      <c r="CK98">
        <v>0</v>
      </c>
      <c r="CL98">
        <v>1</v>
      </c>
      <c r="CM98">
        <v>1</v>
      </c>
      <c r="CN98">
        <v>1</v>
      </c>
      <c r="CO98">
        <v>0</v>
      </c>
      <c r="CP98">
        <v>1</v>
      </c>
      <c r="CQ98">
        <v>0</v>
      </c>
      <c r="CR98">
        <v>0</v>
      </c>
      <c r="CS98">
        <v>1</v>
      </c>
      <c r="CT98" s="18">
        <v>0</v>
      </c>
      <c r="CZ98" s="34" t="s">
        <v>87</v>
      </c>
    </row>
    <row r="99" spans="1:104" s="52" customFormat="1" x14ac:dyDescent="0.25">
      <c r="A99">
        <v>98</v>
      </c>
      <c r="B99" s="52">
        <v>9</v>
      </c>
      <c r="C99" s="53" t="s">
        <v>4</v>
      </c>
      <c r="D99" s="54">
        <v>5.7</v>
      </c>
      <c r="E99" s="55">
        <v>0.3</v>
      </c>
      <c r="F99" s="56">
        <f t="shared" si="68"/>
        <v>19</v>
      </c>
      <c r="G99" s="56">
        <f t="shared" si="62"/>
        <v>5.4</v>
      </c>
      <c r="H99" s="57">
        <f t="shared" si="63"/>
        <v>6</v>
      </c>
      <c r="I99" s="58">
        <f t="shared" si="33"/>
        <v>0.25526937707771807</v>
      </c>
      <c r="J99" s="59">
        <f t="shared" si="34"/>
        <v>1.3435230372511476E-2</v>
      </c>
      <c r="K99" s="59">
        <f t="shared" si="70"/>
        <v>74.431176263713581</v>
      </c>
      <c r="L99" s="59">
        <f t="shared" si="71"/>
        <v>0.24183414670520659</v>
      </c>
      <c r="M99" s="59">
        <f t="shared" si="72"/>
        <v>0.26870460745022956</v>
      </c>
      <c r="N99" s="60">
        <v>1</v>
      </c>
      <c r="O99" s="61">
        <v>0</v>
      </c>
      <c r="P99" s="60">
        <v>0</v>
      </c>
      <c r="Q99" s="61">
        <v>0</v>
      </c>
      <c r="R99" s="61">
        <v>0</v>
      </c>
      <c r="S99" s="61">
        <v>1</v>
      </c>
      <c r="T99" s="61">
        <v>0</v>
      </c>
      <c r="U99" s="60">
        <v>5186</v>
      </c>
      <c r="V99" s="61">
        <v>6</v>
      </c>
      <c r="W99" s="61">
        <f t="shared" si="26"/>
        <v>5179</v>
      </c>
      <c r="X99" s="61"/>
      <c r="Y99" s="56">
        <v>3.5219999999999998</v>
      </c>
      <c r="Z99" s="56">
        <v>27.109000000000002</v>
      </c>
      <c r="AA99" s="61">
        <v>1</v>
      </c>
      <c r="AB99" s="61">
        <v>0</v>
      </c>
      <c r="AC99" s="61">
        <v>0</v>
      </c>
      <c r="AD99" s="61">
        <v>1</v>
      </c>
      <c r="AE99" s="61">
        <v>0</v>
      </c>
      <c r="AF99" s="61">
        <v>0</v>
      </c>
      <c r="AG99" s="60">
        <v>0</v>
      </c>
      <c r="AH99" s="61">
        <v>1</v>
      </c>
      <c r="AI99" s="62">
        <v>0</v>
      </c>
      <c r="AJ99" s="61">
        <v>1</v>
      </c>
      <c r="AK99" s="61">
        <v>0</v>
      </c>
      <c r="AL99" s="62">
        <v>0</v>
      </c>
      <c r="AM99" s="63">
        <v>2000</v>
      </c>
      <c r="AN99" s="64"/>
      <c r="AO99" s="59">
        <v>0.57299999999999995</v>
      </c>
      <c r="AP99" s="59">
        <v>0.13100000000000001</v>
      </c>
      <c r="AQ99" s="59">
        <v>0.22800000000000001</v>
      </c>
      <c r="AR99" s="65">
        <v>6.8000000000000005E-2</v>
      </c>
      <c r="AS99" s="59">
        <f t="shared" si="74"/>
        <v>0.47391786903440625</v>
      </c>
      <c r="AT99" s="65">
        <v>0.52608213096559375</v>
      </c>
      <c r="AU99" s="66">
        <v>0.48</v>
      </c>
      <c r="AV99" s="67">
        <v>0.52</v>
      </c>
      <c r="AW99" s="52">
        <v>0.54410000000000003</v>
      </c>
      <c r="AX99" s="68">
        <f t="shared" ref="AX99" si="78">1-AW99</f>
        <v>0.45589999999999997</v>
      </c>
      <c r="AY99" s="52">
        <v>1</v>
      </c>
      <c r="AZ99" s="68">
        <v>0</v>
      </c>
      <c r="BB99" s="67"/>
      <c r="BC99" s="52">
        <v>0.58699999999999997</v>
      </c>
      <c r="BD99" s="67">
        <f t="shared" si="75"/>
        <v>0.41300000000000003</v>
      </c>
      <c r="BE99" s="67" t="s">
        <v>3</v>
      </c>
      <c r="BL99" s="67"/>
      <c r="BO99" s="67"/>
      <c r="BR99" s="53">
        <v>42</v>
      </c>
      <c r="BS99" s="52">
        <v>1</v>
      </c>
      <c r="BT99" s="52">
        <v>0</v>
      </c>
      <c r="BU99" s="52">
        <v>0</v>
      </c>
      <c r="BV99" s="52">
        <v>0</v>
      </c>
      <c r="BW99" s="52">
        <v>0</v>
      </c>
      <c r="BX99" s="52">
        <v>0</v>
      </c>
      <c r="BY99" s="52">
        <v>1</v>
      </c>
      <c r="BZ99" s="67">
        <v>0</v>
      </c>
      <c r="CA99" s="52">
        <v>0</v>
      </c>
      <c r="CB99" s="52">
        <v>0</v>
      </c>
      <c r="CC99" s="52">
        <v>0</v>
      </c>
      <c r="CD99" s="67">
        <v>1</v>
      </c>
      <c r="CE99" s="52">
        <v>0</v>
      </c>
      <c r="CF99" s="52">
        <v>0</v>
      </c>
      <c r="CG99" s="52">
        <v>0</v>
      </c>
      <c r="CH99" s="52">
        <v>0</v>
      </c>
      <c r="CI99" s="67">
        <v>0</v>
      </c>
      <c r="CJ99" s="52">
        <v>0</v>
      </c>
      <c r="CK99" s="52">
        <v>0</v>
      </c>
      <c r="CL99" s="52">
        <v>1</v>
      </c>
      <c r="CM99" s="52">
        <v>1</v>
      </c>
      <c r="CN99" s="52">
        <v>1</v>
      </c>
      <c r="CO99" s="52">
        <v>0</v>
      </c>
      <c r="CP99" s="52">
        <v>1</v>
      </c>
      <c r="CQ99" s="52">
        <v>0</v>
      </c>
      <c r="CR99" s="52">
        <v>0</v>
      </c>
      <c r="CS99" s="52">
        <v>1</v>
      </c>
      <c r="CT99" s="67">
        <v>0</v>
      </c>
      <c r="CY99" s="53"/>
      <c r="CZ99" s="69" t="s">
        <v>87</v>
      </c>
    </row>
    <row r="100" spans="1:104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2"/>
        <v>6.1611544461778465</v>
      </c>
      <c r="H100" s="16">
        <f t="shared" si="63"/>
        <v>8.4388455538221532</v>
      </c>
      <c r="I100" s="11">
        <f t="shared" si="33"/>
        <v>0.38030453864855263</v>
      </c>
      <c r="J100" s="33">
        <f t="shared" si="34"/>
        <v>5.9329881224423182E-2</v>
      </c>
      <c r="K100" s="33">
        <f t="shared" si="70"/>
        <v>16.854913230272057</v>
      </c>
      <c r="L100" s="33">
        <f t="shared" si="71"/>
        <v>0.32097465742412945</v>
      </c>
      <c r="M100" s="33">
        <f t="shared" si="72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6"/>
        <v>243</v>
      </c>
      <c r="Y100" s="7">
        <v>8.9</v>
      </c>
      <c r="Z100" s="7">
        <f t="shared" ref="Z100:Z120" si="79">BR100-Y100-6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9">
        <v>0</v>
      </c>
      <c r="AL100" s="30">
        <v>1</v>
      </c>
      <c r="AM100" s="21">
        <v>1985</v>
      </c>
      <c r="AN100" s="23"/>
      <c r="AO100" s="33">
        <v>0.42799999999999999</v>
      </c>
      <c r="AP100" s="33">
        <f>(1-$AO$100-$AR$100)/2</f>
        <v>0.16000000000000003</v>
      </c>
      <c r="AQ100" s="33">
        <f>(1-$AO$100-$AR$100)/2</f>
        <v>0.16000000000000003</v>
      </c>
      <c r="AR100" s="43">
        <v>0.252</v>
      </c>
      <c r="AS100" s="33">
        <f>1-AT100</f>
        <v>0.36</v>
      </c>
      <c r="AT100" s="43">
        <f>(0.43+0.85)/2</f>
        <v>0.64</v>
      </c>
      <c r="AU100" s="42" t="s">
        <v>107</v>
      </c>
      <c r="AV100" s="18" t="s">
        <v>107</v>
      </c>
      <c r="AW100">
        <v>0.66400000000000003</v>
      </c>
      <c r="AX100" s="40">
        <v>0.33600000000000002</v>
      </c>
      <c r="AY100" t="s">
        <v>107</v>
      </c>
      <c r="AZ100" s="40" t="s">
        <v>107</v>
      </c>
      <c r="BB100" s="18"/>
      <c r="BC100">
        <v>0.66800000000000004</v>
      </c>
      <c r="BD100" s="18">
        <v>0.33200000000000002</v>
      </c>
      <c r="BE100" s="18" t="s">
        <v>149</v>
      </c>
      <c r="BL100" s="18"/>
      <c r="BO100" s="18"/>
      <c r="BR100" s="25">
        <v>27.3</v>
      </c>
      <c r="BS100">
        <v>1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 s="18">
        <v>0</v>
      </c>
      <c r="CA100">
        <v>0</v>
      </c>
      <c r="CB100">
        <v>0</v>
      </c>
      <c r="CC100">
        <v>1</v>
      </c>
      <c r="CD100" s="18">
        <v>0</v>
      </c>
      <c r="CE100">
        <v>0</v>
      </c>
      <c r="CF100">
        <v>0</v>
      </c>
      <c r="CG100">
        <v>0</v>
      </c>
      <c r="CH100">
        <v>0</v>
      </c>
      <c r="CI100" s="18">
        <v>0</v>
      </c>
      <c r="CJ100">
        <v>1</v>
      </c>
      <c r="CK100">
        <v>1</v>
      </c>
      <c r="CL100">
        <v>0</v>
      </c>
      <c r="CM100">
        <v>0</v>
      </c>
      <c r="CN100">
        <v>0</v>
      </c>
      <c r="CO100">
        <v>0</v>
      </c>
      <c r="CP100">
        <v>1</v>
      </c>
      <c r="CQ100">
        <v>0</v>
      </c>
      <c r="CR100">
        <v>0</v>
      </c>
      <c r="CS100">
        <v>1</v>
      </c>
      <c r="CT100" s="18">
        <v>0</v>
      </c>
      <c r="CZ100" s="34" t="s">
        <v>87</v>
      </c>
    </row>
    <row r="101" spans="1:104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0">D101/F101</f>
        <v>4.0530726256983236</v>
      </c>
      <c r="F101" s="7">
        <v>3.58</v>
      </c>
      <c r="G101" s="7">
        <f t="shared" ref="G101:G111" si="81">D101-E101</f>
        <v>10.456927374301676</v>
      </c>
      <c r="H101" s="16">
        <f t="shared" ref="H101:H111" si="82">D101+E101</f>
        <v>18.563072625698325</v>
      </c>
      <c r="I101" s="11">
        <f t="shared" si="33"/>
        <v>0.22383027853521564</v>
      </c>
      <c r="J101" s="33">
        <f t="shared" si="34"/>
        <v>6.2522424171847946E-2</v>
      </c>
      <c r="K101" s="33">
        <f t="shared" ref="K101:K104" si="83">IFERROR(1/J101, "X")</f>
        <v>15.994261470915124</v>
      </c>
      <c r="L101" s="33">
        <f t="shared" ref="L101:L104" si="84">IFERROR(I101-J101, "X")</f>
        <v>0.1613078543633677</v>
      </c>
      <c r="M101" s="33">
        <f t="shared" ref="M101:M104" si="85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6"/>
        <v>243</v>
      </c>
      <c r="Y101" s="7">
        <v>8.9</v>
      </c>
      <c r="Z101" s="7">
        <f t="shared" si="79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9">
        <v>0</v>
      </c>
      <c r="AL101" s="30">
        <v>1</v>
      </c>
      <c r="AM101" s="21">
        <v>1985</v>
      </c>
      <c r="AN101" s="23"/>
      <c r="AO101" s="33">
        <v>0.42799999999999999</v>
      </c>
      <c r="AP101" s="33">
        <f t="shared" ref="AP101:AQ114" si="86">(1-$AO$100-$AR$100)/2</f>
        <v>0.16000000000000003</v>
      </c>
      <c r="AQ101" s="33">
        <f t="shared" si="86"/>
        <v>0.16000000000000003</v>
      </c>
      <c r="AR101" s="43">
        <v>0.252</v>
      </c>
      <c r="AS101" s="33">
        <f t="shared" ref="AS101:AS114" si="87">1-AT101</f>
        <v>0.36</v>
      </c>
      <c r="AT101" s="43">
        <f t="shared" ref="AT101:AT114" si="88">(0.43+0.85)/2</f>
        <v>0.64</v>
      </c>
      <c r="AU101" s="42" t="s">
        <v>107</v>
      </c>
      <c r="AV101" s="18" t="s">
        <v>107</v>
      </c>
      <c r="AW101">
        <v>0.66400000000000003</v>
      </c>
      <c r="AX101" s="40">
        <v>0.33600000000000002</v>
      </c>
      <c r="AY101" t="s">
        <v>107</v>
      </c>
      <c r="AZ101" s="40" t="s">
        <v>107</v>
      </c>
      <c r="BB101" s="18"/>
      <c r="BC101">
        <v>0.66800000000000004</v>
      </c>
      <c r="BD101" s="18">
        <v>0.33200000000000002</v>
      </c>
      <c r="BE101" s="18" t="s">
        <v>149</v>
      </c>
      <c r="BL101" s="18"/>
      <c r="BO101" s="18"/>
      <c r="BR101" s="25">
        <v>28.3</v>
      </c>
      <c r="BS101">
        <v>0</v>
      </c>
      <c r="BT101">
        <v>0</v>
      </c>
      <c r="BU101">
        <v>0</v>
      </c>
      <c r="BV101">
        <v>0</v>
      </c>
      <c r="BW101">
        <v>1</v>
      </c>
      <c r="BX101">
        <v>0</v>
      </c>
      <c r="BY101">
        <v>0</v>
      </c>
      <c r="BZ101" s="18">
        <v>0</v>
      </c>
      <c r="CA101">
        <v>0</v>
      </c>
      <c r="CB101">
        <v>0</v>
      </c>
      <c r="CC101">
        <v>1</v>
      </c>
      <c r="CD101" s="18">
        <v>0</v>
      </c>
      <c r="CE101">
        <v>1</v>
      </c>
      <c r="CF101">
        <v>1</v>
      </c>
      <c r="CG101">
        <v>0</v>
      </c>
      <c r="CH101">
        <v>0</v>
      </c>
      <c r="CI101" s="18">
        <v>1</v>
      </c>
      <c r="CJ101">
        <v>1</v>
      </c>
      <c r="CK101">
        <v>1</v>
      </c>
      <c r="CL101">
        <v>0</v>
      </c>
      <c r="CM101">
        <v>0</v>
      </c>
      <c r="CN101">
        <v>0</v>
      </c>
      <c r="CO101">
        <v>0</v>
      </c>
      <c r="CP101">
        <v>1</v>
      </c>
      <c r="CQ101">
        <v>0</v>
      </c>
      <c r="CR101">
        <v>0</v>
      </c>
      <c r="CS101">
        <v>1</v>
      </c>
      <c r="CT101" s="18">
        <v>0</v>
      </c>
      <c r="CZ101" s="34" t="s">
        <v>87</v>
      </c>
    </row>
    <row r="102" spans="1:104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0"/>
        <v>2.4377431906614788</v>
      </c>
      <c r="F102" s="7">
        <v>5.14</v>
      </c>
      <c r="G102" s="7">
        <f t="shared" si="81"/>
        <v>10.092256809338521</v>
      </c>
      <c r="H102" s="16">
        <f t="shared" si="82"/>
        <v>14.967743190661478</v>
      </c>
      <c r="I102" s="11">
        <f t="shared" si="33"/>
        <v>0.31314719471419267</v>
      </c>
      <c r="J102" s="33">
        <f t="shared" si="34"/>
        <v>6.0923578738169781E-2</v>
      </c>
      <c r="K102" s="33">
        <f t="shared" si="83"/>
        <v>16.414006214206207</v>
      </c>
      <c r="L102" s="33">
        <f t="shared" si="84"/>
        <v>0.25222361597602289</v>
      </c>
      <c r="M102" s="33">
        <f t="shared" si="85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6"/>
        <v>243</v>
      </c>
      <c r="Y102" s="7">
        <v>8.9</v>
      </c>
      <c r="Z102" s="7">
        <f t="shared" si="79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9">
        <v>0</v>
      </c>
      <c r="AL102" s="30">
        <v>1</v>
      </c>
      <c r="AM102" s="21">
        <v>1985</v>
      </c>
      <c r="AN102" s="23"/>
      <c r="AO102" s="33">
        <v>0.42799999999999999</v>
      </c>
      <c r="AP102" s="33">
        <f t="shared" si="86"/>
        <v>0.16000000000000003</v>
      </c>
      <c r="AQ102" s="33">
        <f t="shared" si="86"/>
        <v>0.16000000000000003</v>
      </c>
      <c r="AR102" s="43">
        <v>0.252</v>
      </c>
      <c r="AS102" s="33">
        <f t="shared" si="87"/>
        <v>0.36</v>
      </c>
      <c r="AT102" s="43">
        <f t="shared" si="88"/>
        <v>0.64</v>
      </c>
      <c r="AU102" s="42" t="s">
        <v>107</v>
      </c>
      <c r="AV102" s="18" t="s">
        <v>107</v>
      </c>
      <c r="AW102">
        <v>0.66400000000000003</v>
      </c>
      <c r="AX102" s="40">
        <v>0.33600000000000002</v>
      </c>
      <c r="AY102" t="s">
        <v>107</v>
      </c>
      <c r="AZ102" s="40" t="s">
        <v>107</v>
      </c>
      <c r="BB102" s="18"/>
      <c r="BC102">
        <v>0.66800000000000004</v>
      </c>
      <c r="BD102" s="18">
        <v>0.33200000000000002</v>
      </c>
      <c r="BE102" s="18" t="s">
        <v>149</v>
      </c>
      <c r="BL102" s="18"/>
      <c r="BO102" s="18"/>
      <c r="BR102" s="25">
        <v>29.3</v>
      </c>
      <c r="BS102">
        <v>0</v>
      </c>
      <c r="BT102">
        <v>0</v>
      </c>
      <c r="BU102">
        <v>0</v>
      </c>
      <c r="BV102">
        <v>0</v>
      </c>
      <c r="BW102">
        <v>1</v>
      </c>
      <c r="BX102">
        <v>0</v>
      </c>
      <c r="BY102">
        <v>0</v>
      </c>
      <c r="BZ102" s="18">
        <v>0</v>
      </c>
      <c r="CA102">
        <v>0</v>
      </c>
      <c r="CB102">
        <v>0</v>
      </c>
      <c r="CC102">
        <v>1</v>
      </c>
      <c r="CD102" s="18">
        <v>0</v>
      </c>
      <c r="CE102">
        <v>1</v>
      </c>
      <c r="CF102">
        <v>1</v>
      </c>
      <c r="CG102">
        <v>0</v>
      </c>
      <c r="CH102">
        <v>0</v>
      </c>
      <c r="CI102" s="18">
        <v>1</v>
      </c>
      <c r="CJ102">
        <v>1</v>
      </c>
      <c r="CK102">
        <v>1</v>
      </c>
      <c r="CL102">
        <v>0</v>
      </c>
      <c r="CM102">
        <v>0</v>
      </c>
      <c r="CN102">
        <v>0</v>
      </c>
      <c r="CO102">
        <v>0</v>
      </c>
      <c r="CP102">
        <v>1</v>
      </c>
      <c r="CQ102">
        <v>0</v>
      </c>
      <c r="CR102">
        <v>0</v>
      </c>
      <c r="CS102">
        <v>1</v>
      </c>
      <c r="CT102" s="18">
        <v>0</v>
      </c>
      <c r="CZ102" s="34" t="s">
        <v>87</v>
      </c>
    </row>
    <row r="103" spans="1:104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0"/>
        <v>2.1113013698630136</v>
      </c>
      <c r="F103" s="7">
        <v>5.84</v>
      </c>
      <c r="G103" s="7">
        <f t="shared" si="81"/>
        <v>10.218698630136986</v>
      </c>
      <c r="H103" s="16">
        <f t="shared" si="82"/>
        <v>14.441301369863014</v>
      </c>
      <c r="I103" s="11">
        <f t="shared" si="33"/>
        <v>0.35082472695207928</v>
      </c>
      <c r="J103" s="33">
        <f t="shared" si="34"/>
        <v>6.0072727217821795E-2</v>
      </c>
      <c r="K103" s="33">
        <f t="shared" si="83"/>
        <v>16.646489119330838</v>
      </c>
      <c r="L103" s="33">
        <f t="shared" si="84"/>
        <v>0.29075199973425747</v>
      </c>
      <c r="M103" s="33">
        <f t="shared" si="85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6"/>
        <v>243</v>
      </c>
      <c r="Y103" s="7">
        <v>8.9</v>
      </c>
      <c r="Z103" s="7">
        <f t="shared" si="79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9">
        <v>0</v>
      </c>
      <c r="AL103" s="30">
        <v>1</v>
      </c>
      <c r="AM103" s="21">
        <v>1985</v>
      </c>
      <c r="AN103" s="23"/>
      <c r="AO103" s="33">
        <v>0.42799999999999999</v>
      </c>
      <c r="AP103" s="33">
        <f t="shared" si="86"/>
        <v>0.16000000000000003</v>
      </c>
      <c r="AQ103" s="33">
        <f t="shared" si="86"/>
        <v>0.16000000000000003</v>
      </c>
      <c r="AR103" s="43">
        <v>0.252</v>
      </c>
      <c r="AS103" s="33">
        <f t="shared" si="87"/>
        <v>0.36</v>
      </c>
      <c r="AT103" s="43">
        <f t="shared" si="88"/>
        <v>0.64</v>
      </c>
      <c r="AU103" s="42" t="s">
        <v>107</v>
      </c>
      <c r="AV103" s="18" t="s">
        <v>107</v>
      </c>
      <c r="AW103">
        <v>0.66400000000000003</v>
      </c>
      <c r="AX103" s="40">
        <v>0.33600000000000002</v>
      </c>
      <c r="AY103" t="s">
        <v>107</v>
      </c>
      <c r="AZ103" s="40" t="s">
        <v>107</v>
      </c>
      <c r="BB103" s="18"/>
      <c r="BC103">
        <v>0.66800000000000004</v>
      </c>
      <c r="BD103" s="18">
        <v>0.33200000000000002</v>
      </c>
      <c r="BE103" s="18" t="s">
        <v>149</v>
      </c>
      <c r="BL103" s="18"/>
      <c r="BO103" s="18"/>
      <c r="BR103" s="25">
        <v>30.3</v>
      </c>
      <c r="BS103">
        <v>0</v>
      </c>
      <c r="BT103">
        <v>0</v>
      </c>
      <c r="BU103">
        <v>0</v>
      </c>
      <c r="BV103">
        <v>0</v>
      </c>
      <c r="BW103">
        <v>1</v>
      </c>
      <c r="BX103">
        <v>0</v>
      </c>
      <c r="BY103">
        <v>0</v>
      </c>
      <c r="BZ103" s="18">
        <v>0</v>
      </c>
      <c r="CA103">
        <v>0</v>
      </c>
      <c r="CB103">
        <v>0</v>
      </c>
      <c r="CC103">
        <v>1</v>
      </c>
      <c r="CD103" s="18">
        <v>0</v>
      </c>
      <c r="CE103">
        <v>1</v>
      </c>
      <c r="CF103">
        <v>1</v>
      </c>
      <c r="CG103">
        <v>0</v>
      </c>
      <c r="CH103">
        <v>0</v>
      </c>
      <c r="CI103" s="18">
        <v>1</v>
      </c>
      <c r="CJ103">
        <v>1</v>
      </c>
      <c r="CK103">
        <v>1</v>
      </c>
      <c r="CL103">
        <v>0</v>
      </c>
      <c r="CM103">
        <v>0</v>
      </c>
      <c r="CN103">
        <v>0</v>
      </c>
      <c r="CO103">
        <v>0</v>
      </c>
      <c r="CP103">
        <v>1</v>
      </c>
      <c r="CQ103">
        <v>0</v>
      </c>
      <c r="CR103">
        <v>0</v>
      </c>
      <c r="CS103">
        <v>1</v>
      </c>
      <c r="CT103" s="18">
        <v>0</v>
      </c>
      <c r="CZ103" s="34" t="s">
        <v>87</v>
      </c>
    </row>
    <row r="104" spans="1:104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0"/>
        <v>0.55897435897435899</v>
      </c>
      <c r="F104" s="7">
        <v>11.7</v>
      </c>
      <c r="G104" s="7">
        <f t="shared" si="81"/>
        <v>5.9810256410256413</v>
      </c>
      <c r="H104" s="16">
        <f t="shared" si="82"/>
        <v>7.0989743589743588</v>
      </c>
      <c r="I104" s="11">
        <f t="shared" si="33"/>
        <v>0.60107586511526123</v>
      </c>
      <c r="J104" s="33">
        <f t="shared" si="34"/>
        <v>5.1374005565406944E-2</v>
      </c>
      <c r="K104" s="33">
        <f t="shared" si="83"/>
        <v>19.465096968677038</v>
      </c>
      <c r="L104" s="33">
        <f t="shared" si="84"/>
        <v>0.54970185954985429</v>
      </c>
      <c r="M104" s="33">
        <f t="shared" si="85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6"/>
        <v>242</v>
      </c>
      <c r="Y104" s="7">
        <v>8.9</v>
      </c>
      <c r="Z104" s="7">
        <f t="shared" si="79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9">
        <v>0</v>
      </c>
      <c r="AL104" s="30">
        <v>1</v>
      </c>
      <c r="AM104" s="21">
        <v>1985</v>
      </c>
      <c r="AN104" s="23"/>
      <c r="AO104" s="33">
        <v>0.42799999999999999</v>
      </c>
      <c r="AP104" s="33">
        <f t="shared" si="86"/>
        <v>0.16000000000000003</v>
      </c>
      <c r="AQ104" s="33">
        <f t="shared" si="86"/>
        <v>0.16000000000000003</v>
      </c>
      <c r="AR104" s="43">
        <v>0.252</v>
      </c>
      <c r="AS104" s="33">
        <f t="shared" si="87"/>
        <v>0.36</v>
      </c>
      <c r="AT104" s="43">
        <f t="shared" si="88"/>
        <v>0.64</v>
      </c>
      <c r="AU104" s="42" t="s">
        <v>107</v>
      </c>
      <c r="AV104" s="18" t="s">
        <v>107</v>
      </c>
      <c r="AW104">
        <v>0.66400000000000003</v>
      </c>
      <c r="AX104" s="40">
        <v>0.33600000000000002</v>
      </c>
      <c r="AY104" t="s">
        <v>107</v>
      </c>
      <c r="AZ104" s="40" t="s">
        <v>107</v>
      </c>
      <c r="BB104" s="18"/>
      <c r="BC104">
        <v>0.66800000000000004</v>
      </c>
      <c r="BD104" s="18">
        <v>0.33200000000000002</v>
      </c>
      <c r="BE104" s="18" t="s">
        <v>149</v>
      </c>
      <c r="BL104" s="18"/>
      <c r="BO104" s="18"/>
      <c r="BR104" s="25">
        <v>31.3</v>
      </c>
      <c r="BS104">
        <v>1</v>
      </c>
      <c r="BT104">
        <v>0</v>
      </c>
      <c r="BU104">
        <v>0</v>
      </c>
      <c r="BV104">
        <v>0</v>
      </c>
      <c r="BW104">
        <v>1</v>
      </c>
      <c r="BX104">
        <v>0</v>
      </c>
      <c r="BY104">
        <v>0</v>
      </c>
      <c r="BZ104" s="18">
        <v>0</v>
      </c>
      <c r="CA104">
        <v>0</v>
      </c>
      <c r="CB104">
        <v>0</v>
      </c>
      <c r="CC104">
        <v>1</v>
      </c>
      <c r="CD104" s="18">
        <v>0</v>
      </c>
      <c r="CE104">
        <v>0</v>
      </c>
      <c r="CF104">
        <v>0</v>
      </c>
      <c r="CG104">
        <v>0</v>
      </c>
      <c r="CH104">
        <v>0</v>
      </c>
      <c r="CI104" s="18">
        <v>0</v>
      </c>
      <c r="CJ104">
        <v>1</v>
      </c>
      <c r="CK104">
        <v>1</v>
      </c>
      <c r="CL104">
        <v>0</v>
      </c>
      <c r="CM104">
        <v>0</v>
      </c>
      <c r="CN104">
        <v>0</v>
      </c>
      <c r="CO104">
        <v>0</v>
      </c>
      <c r="CP104">
        <v>1</v>
      </c>
      <c r="CQ104">
        <v>0</v>
      </c>
      <c r="CR104">
        <v>0</v>
      </c>
      <c r="CS104">
        <v>1</v>
      </c>
      <c r="CT104" s="18">
        <v>1</v>
      </c>
      <c r="CZ104" s="34" t="s">
        <v>87</v>
      </c>
    </row>
    <row r="105" spans="1:104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0"/>
        <v>3.981012658227848</v>
      </c>
      <c r="F105" s="7">
        <v>3.16</v>
      </c>
      <c r="G105" s="7">
        <f t="shared" si="81"/>
        <v>8.5989873417721512</v>
      </c>
      <c r="H105" s="16">
        <f t="shared" si="82"/>
        <v>16.561012658227849</v>
      </c>
      <c r="I105" s="11">
        <f t="shared" si="33"/>
        <v>0.19906697682735652</v>
      </c>
      <c r="J105" s="33">
        <f t="shared" si="34"/>
        <v>6.2995878742834341E-2</v>
      </c>
      <c r="K105" s="33">
        <f t="shared" ref="K105:K111" si="89">IFERROR(1/J105, "X")</f>
        <v>15.874054302540356</v>
      </c>
      <c r="L105" s="33">
        <f t="shared" ref="L105:L111" si="90">IFERROR(I105-J105, "X")</f>
        <v>0.13607109808452217</v>
      </c>
      <c r="M105" s="33">
        <f t="shared" ref="M105:M111" si="91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6"/>
        <v>242</v>
      </c>
      <c r="Y105" s="7">
        <v>8.9</v>
      </c>
      <c r="Z105" s="7">
        <f t="shared" si="79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9">
        <v>0</v>
      </c>
      <c r="AL105" s="30">
        <v>1</v>
      </c>
      <c r="AM105" s="21">
        <v>1985</v>
      </c>
      <c r="AN105" s="23"/>
      <c r="AO105" s="33">
        <v>0.42799999999999999</v>
      </c>
      <c r="AP105" s="33">
        <f t="shared" si="86"/>
        <v>0.16000000000000003</v>
      </c>
      <c r="AQ105" s="33">
        <f t="shared" si="86"/>
        <v>0.16000000000000003</v>
      </c>
      <c r="AR105" s="43">
        <v>0.252</v>
      </c>
      <c r="AS105" s="33">
        <f t="shared" si="87"/>
        <v>0.36</v>
      </c>
      <c r="AT105" s="43">
        <f t="shared" si="88"/>
        <v>0.64</v>
      </c>
      <c r="AU105" s="42" t="s">
        <v>107</v>
      </c>
      <c r="AV105" s="18" t="s">
        <v>107</v>
      </c>
      <c r="AW105">
        <v>0.66400000000000003</v>
      </c>
      <c r="AX105" s="40">
        <v>0.33600000000000002</v>
      </c>
      <c r="AY105" t="s">
        <v>107</v>
      </c>
      <c r="AZ105" s="40" t="s">
        <v>107</v>
      </c>
      <c r="BB105" s="18"/>
      <c r="BC105">
        <v>0.66800000000000004</v>
      </c>
      <c r="BD105" s="18">
        <v>0.33200000000000002</v>
      </c>
      <c r="BE105" s="18" t="s">
        <v>149</v>
      </c>
      <c r="BL105" s="18"/>
      <c r="BO105" s="18"/>
      <c r="BR105" s="25">
        <v>32.299999999999997</v>
      </c>
      <c r="BS105">
        <v>1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 s="18">
        <v>0</v>
      </c>
      <c r="CA105">
        <v>0</v>
      </c>
      <c r="CB105">
        <v>0</v>
      </c>
      <c r="CC105">
        <v>1</v>
      </c>
      <c r="CD105" s="18">
        <v>0</v>
      </c>
      <c r="CE105">
        <v>1</v>
      </c>
      <c r="CF105">
        <v>1</v>
      </c>
      <c r="CG105">
        <v>0</v>
      </c>
      <c r="CH105">
        <v>0</v>
      </c>
      <c r="CI105" s="18">
        <v>1</v>
      </c>
      <c r="CJ105">
        <v>1</v>
      </c>
      <c r="CK105">
        <v>1</v>
      </c>
      <c r="CL105">
        <v>0</v>
      </c>
      <c r="CM105">
        <v>0</v>
      </c>
      <c r="CN105">
        <v>0</v>
      </c>
      <c r="CO105">
        <v>0</v>
      </c>
      <c r="CP105">
        <v>1</v>
      </c>
      <c r="CQ105">
        <v>0</v>
      </c>
      <c r="CR105">
        <v>0</v>
      </c>
      <c r="CS105">
        <v>1</v>
      </c>
      <c r="CT105" s="18">
        <v>1</v>
      </c>
      <c r="CZ105" s="34" t="s">
        <v>87</v>
      </c>
    </row>
    <row r="106" spans="1:104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0"/>
        <v>2.9325513196480939</v>
      </c>
      <c r="F106" s="7">
        <v>3.41</v>
      </c>
      <c r="G106" s="7">
        <f t="shared" si="81"/>
        <v>7.0674486803519061</v>
      </c>
      <c r="H106" s="16">
        <f t="shared" si="82"/>
        <v>12.932551319648095</v>
      </c>
      <c r="I106" s="11">
        <f t="shared" si="33"/>
        <v>0.21411924080287578</v>
      </c>
      <c r="J106" s="33">
        <f t="shared" si="34"/>
        <v>6.2791566217852132E-2</v>
      </c>
      <c r="K106" s="33">
        <f t="shared" si="89"/>
        <v>15.925705635858025</v>
      </c>
      <c r="L106" s="33">
        <f t="shared" si="90"/>
        <v>0.15132767458502366</v>
      </c>
      <c r="M106" s="33">
        <f t="shared" si="91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6"/>
        <v>242</v>
      </c>
      <c r="Y106" s="7">
        <v>8.9</v>
      </c>
      <c r="Z106" s="7">
        <f t="shared" si="79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9">
        <v>0</v>
      </c>
      <c r="AL106" s="30">
        <v>1</v>
      </c>
      <c r="AM106" s="21">
        <v>1985</v>
      </c>
      <c r="AN106" s="23"/>
      <c r="AO106" s="33">
        <v>0.42799999999999999</v>
      </c>
      <c r="AP106" s="33">
        <f t="shared" si="86"/>
        <v>0.16000000000000003</v>
      </c>
      <c r="AQ106" s="33">
        <f t="shared" si="86"/>
        <v>0.16000000000000003</v>
      </c>
      <c r="AR106" s="43">
        <v>0.252</v>
      </c>
      <c r="AS106" s="33">
        <f t="shared" si="87"/>
        <v>0.36</v>
      </c>
      <c r="AT106" s="43">
        <f t="shared" si="88"/>
        <v>0.64</v>
      </c>
      <c r="AU106" s="42" t="s">
        <v>107</v>
      </c>
      <c r="AV106" s="18" t="s">
        <v>107</v>
      </c>
      <c r="AW106">
        <v>0.66400000000000003</v>
      </c>
      <c r="AX106" s="40">
        <v>0.33600000000000002</v>
      </c>
      <c r="AY106" t="s">
        <v>107</v>
      </c>
      <c r="AZ106" s="40" t="s">
        <v>107</v>
      </c>
      <c r="BB106" s="18"/>
      <c r="BC106">
        <v>0.66800000000000004</v>
      </c>
      <c r="BD106" s="18">
        <v>0.33200000000000002</v>
      </c>
      <c r="BE106" s="18" t="s">
        <v>149</v>
      </c>
      <c r="BL106" s="18"/>
      <c r="BO106" s="18"/>
      <c r="BR106" s="25">
        <v>33.299999999999997</v>
      </c>
      <c r="BS106">
        <v>1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 s="18">
        <v>0</v>
      </c>
      <c r="CA106">
        <v>0</v>
      </c>
      <c r="CB106">
        <v>0</v>
      </c>
      <c r="CC106">
        <v>1</v>
      </c>
      <c r="CD106" s="18">
        <v>0</v>
      </c>
      <c r="CE106">
        <v>1</v>
      </c>
      <c r="CF106">
        <v>1</v>
      </c>
      <c r="CG106">
        <v>0</v>
      </c>
      <c r="CH106">
        <v>0</v>
      </c>
      <c r="CI106" s="18">
        <v>1</v>
      </c>
      <c r="CJ106">
        <v>1</v>
      </c>
      <c r="CK106">
        <v>1</v>
      </c>
      <c r="CL106">
        <v>0</v>
      </c>
      <c r="CM106">
        <v>0</v>
      </c>
      <c r="CN106">
        <v>0</v>
      </c>
      <c r="CO106">
        <v>0</v>
      </c>
      <c r="CP106">
        <v>1</v>
      </c>
      <c r="CQ106">
        <v>0</v>
      </c>
      <c r="CR106">
        <v>0</v>
      </c>
      <c r="CS106">
        <v>1</v>
      </c>
      <c r="CT106" s="18">
        <v>1</v>
      </c>
      <c r="CZ106" s="34" t="s">
        <v>87</v>
      </c>
    </row>
    <row r="107" spans="1:104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0"/>
        <v>1.6153846153846156</v>
      </c>
      <c r="F107" s="7">
        <v>6.89</v>
      </c>
      <c r="G107" s="7">
        <f t="shared" si="81"/>
        <v>9.5146153846153858</v>
      </c>
      <c r="H107" s="16">
        <f t="shared" si="82"/>
        <v>12.745384615384616</v>
      </c>
      <c r="I107" s="11">
        <f t="shared" si="33"/>
        <v>0.40496348573045571</v>
      </c>
      <c r="J107" s="33">
        <f t="shared" si="34"/>
        <v>5.8775542196002291E-2</v>
      </c>
      <c r="K107" s="33">
        <f t="shared" si="89"/>
        <v>17.013879628115394</v>
      </c>
      <c r="L107" s="33">
        <f t="shared" si="90"/>
        <v>0.34618794353445342</v>
      </c>
      <c r="M107" s="33">
        <f t="shared" si="91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6"/>
        <v>242</v>
      </c>
      <c r="Y107" s="7">
        <v>8.9</v>
      </c>
      <c r="Z107" s="7">
        <f t="shared" si="79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9">
        <v>0</v>
      </c>
      <c r="AL107" s="30">
        <v>1</v>
      </c>
      <c r="AM107" s="21">
        <v>1985</v>
      </c>
      <c r="AN107" s="23"/>
      <c r="AO107" s="33">
        <v>0.42799999999999999</v>
      </c>
      <c r="AP107" s="33">
        <f t="shared" si="86"/>
        <v>0.16000000000000003</v>
      </c>
      <c r="AQ107" s="33">
        <f t="shared" si="86"/>
        <v>0.16000000000000003</v>
      </c>
      <c r="AR107" s="43">
        <v>0.252</v>
      </c>
      <c r="AS107" s="33">
        <f t="shared" si="87"/>
        <v>0.36</v>
      </c>
      <c r="AT107" s="43">
        <f t="shared" si="88"/>
        <v>0.64</v>
      </c>
      <c r="AU107" s="42" t="s">
        <v>107</v>
      </c>
      <c r="AV107" s="18" t="s">
        <v>107</v>
      </c>
      <c r="AW107">
        <v>0.66400000000000003</v>
      </c>
      <c r="AX107" s="40">
        <v>0.33600000000000002</v>
      </c>
      <c r="AY107" t="s">
        <v>107</v>
      </c>
      <c r="AZ107" s="40" t="s">
        <v>107</v>
      </c>
      <c r="BB107" s="18"/>
      <c r="BC107">
        <v>0.66800000000000004</v>
      </c>
      <c r="BD107" s="18">
        <v>0.33200000000000002</v>
      </c>
      <c r="BE107" s="18" t="s">
        <v>149</v>
      </c>
      <c r="BL107" s="18"/>
      <c r="BO107" s="18"/>
      <c r="BR107" s="25">
        <v>34.299999999999997</v>
      </c>
      <c r="BS107">
        <v>1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 s="18">
        <v>0</v>
      </c>
      <c r="CA107">
        <v>0</v>
      </c>
      <c r="CB107">
        <v>0</v>
      </c>
      <c r="CC107">
        <v>1</v>
      </c>
      <c r="CD107" s="18">
        <v>0</v>
      </c>
      <c r="CE107">
        <v>1</v>
      </c>
      <c r="CF107">
        <v>1</v>
      </c>
      <c r="CG107">
        <v>0</v>
      </c>
      <c r="CH107">
        <v>0</v>
      </c>
      <c r="CI107" s="18">
        <v>1</v>
      </c>
      <c r="CJ107">
        <v>1</v>
      </c>
      <c r="CK107">
        <v>1</v>
      </c>
      <c r="CL107">
        <v>0</v>
      </c>
      <c r="CM107">
        <v>0</v>
      </c>
      <c r="CN107">
        <v>0</v>
      </c>
      <c r="CO107">
        <v>0</v>
      </c>
      <c r="CP107">
        <v>1</v>
      </c>
      <c r="CQ107">
        <v>0</v>
      </c>
      <c r="CR107">
        <v>0</v>
      </c>
      <c r="CS107">
        <v>1</v>
      </c>
      <c r="CT107" s="18">
        <v>1</v>
      </c>
      <c r="CZ107" s="34" t="s">
        <v>87</v>
      </c>
    </row>
    <row r="108" spans="1:104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0"/>
        <v>1.7179487179487181</v>
      </c>
      <c r="F108" s="7">
        <v>3.51</v>
      </c>
      <c r="G108" s="7">
        <f t="shared" si="81"/>
        <v>4.3120512820512822</v>
      </c>
      <c r="H108" s="16">
        <f t="shared" si="82"/>
        <v>7.7479487179487183</v>
      </c>
      <c r="I108" s="11">
        <f t="shared" si="33"/>
        <v>0.29631059031872276</v>
      </c>
      <c r="J108" s="33">
        <f t="shared" si="34"/>
        <v>8.441897160077573E-2</v>
      </c>
      <c r="K108" s="33">
        <f t="shared" si="89"/>
        <v>11.845678536918008</v>
      </c>
      <c r="L108" s="33">
        <f t="shared" si="90"/>
        <v>0.21189161871794704</v>
      </c>
      <c r="M108" s="33">
        <f t="shared" si="91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6"/>
        <v>128</v>
      </c>
      <c r="Y108" s="7">
        <v>8.9</v>
      </c>
      <c r="Z108" s="7">
        <f t="shared" si="79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9">
        <v>0</v>
      </c>
      <c r="AL108" s="30">
        <v>1</v>
      </c>
      <c r="AM108" s="21">
        <v>1985</v>
      </c>
      <c r="AN108" s="23"/>
      <c r="AO108" s="33">
        <v>0.42799999999999999</v>
      </c>
      <c r="AP108" s="33">
        <f t="shared" si="86"/>
        <v>0.16000000000000003</v>
      </c>
      <c r="AQ108" s="33">
        <f t="shared" si="86"/>
        <v>0.16000000000000003</v>
      </c>
      <c r="AR108" s="43">
        <v>0.252</v>
      </c>
      <c r="AS108" s="33">
        <f t="shared" si="87"/>
        <v>0.36</v>
      </c>
      <c r="AT108" s="43">
        <f t="shared" si="88"/>
        <v>0.64</v>
      </c>
      <c r="AU108" s="42" t="s">
        <v>107</v>
      </c>
      <c r="AV108" s="18" t="s">
        <v>107</v>
      </c>
      <c r="AW108">
        <v>0.66400000000000003</v>
      </c>
      <c r="AX108" s="40">
        <v>0.33600000000000002</v>
      </c>
      <c r="AY108" t="s">
        <v>107</v>
      </c>
      <c r="AZ108" s="40" t="s">
        <v>107</v>
      </c>
      <c r="BB108" s="18"/>
      <c r="BC108">
        <v>0.66800000000000004</v>
      </c>
      <c r="BD108" s="18">
        <v>0.33200000000000002</v>
      </c>
      <c r="BE108" s="18" t="s">
        <v>149</v>
      </c>
      <c r="BL108" s="18"/>
      <c r="BO108" s="18"/>
      <c r="BR108" s="25">
        <v>35.299999999999997</v>
      </c>
      <c r="BS108">
        <v>1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 s="18">
        <v>0</v>
      </c>
      <c r="CA108">
        <v>0</v>
      </c>
      <c r="CB108">
        <v>0</v>
      </c>
      <c r="CC108">
        <v>1</v>
      </c>
      <c r="CD108" s="18">
        <v>0</v>
      </c>
      <c r="CE108">
        <v>0</v>
      </c>
      <c r="CF108">
        <v>0</v>
      </c>
      <c r="CG108">
        <v>0</v>
      </c>
      <c r="CH108">
        <v>0</v>
      </c>
      <c r="CI108" s="18">
        <v>0</v>
      </c>
      <c r="CJ108">
        <v>1</v>
      </c>
      <c r="CK108">
        <v>1</v>
      </c>
      <c r="CL108">
        <v>0</v>
      </c>
      <c r="CM108">
        <v>0</v>
      </c>
      <c r="CN108">
        <v>0</v>
      </c>
      <c r="CO108">
        <v>0</v>
      </c>
      <c r="CP108">
        <v>1</v>
      </c>
      <c r="CQ108">
        <v>0</v>
      </c>
      <c r="CR108">
        <v>0</v>
      </c>
      <c r="CS108">
        <v>1</v>
      </c>
      <c r="CT108" s="18">
        <v>0</v>
      </c>
      <c r="CZ108" s="34" t="s">
        <v>87</v>
      </c>
    </row>
    <row r="109" spans="1:104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0"/>
        <v>1.68733153638814</v>
      </c>
      <c r="F109" s="7">
        <v>3.71</v>
      </c>
      <c r="G109" s="7">
        <f t="shared" si="81"/>
        <v>4.5726684636118602</v>
      </c>
      <c r="H109" s="16">
        <f t="shared" si="82"/>
        <v>7.9473315363881394</v>
      </c>
      <c r="I109" s="11">
        <f t="shared" si="33"/>
        <v>0.31270005357381991</v>
      </c>
      <c r="J109" s="33">
        <f t="shared" si="34"/>
        <v>8.4285728726097006E-2</v>
      </c>
      <c r="K109" s="33">
        <f t="shared" si="89"/>
        <v>11.864404746973191</v>
      </c>
      <c r="L109" s="33">
        <f t="shared" si="90"/>
        <v>0.22841432484772289</v>
      </c>
      <c r="M109" s="33">
        <f t="shared" si="91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6"/>
        <v>127</v>
      </c>
      <c r="Y109" s="7">
        <v>8.9</v>
      </c>
      <c r="Z109" s="7">
        <f t="shared" si="79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9">
        <v>0</v>
      </c>
      <c r="AL109" s="30">
        <v>1</v>
      </c>
      <c r="AM109" s="21">
        <v>1985</v>
      </c>
      <c r="AN109" s="23"/>
      <c r="AO109" s="33">
        <v>0.42799999999999999</v>
      </c>
      <c r="AP109" s="33">
        <f t="shared" si="86"/>
        <v>0.16000000000000003</v>
      </c>
      <c r="AQ109" s="33">
        <f t="shared" si="86"/>
        <v>0.16000000000000003</v>
      </c>
      <c r="AR109" s="43">
        <v>0.252</v>
      </c>
      <c r="AS109" s="33">
        <f t="shared" si="87"/>
        <v>0.36</v>
      </c>
      <c r="AT109" s="43">
        <f t="shared" si="88"/>
        <v>0.64</v>
      </c>
      <c r="AU109" s="42" t="s">
        <v>107</v>
      </c>
      <c r="AV109" s="18" t="s">
        <v>107</v>
      </c>
      <c r="AW109">
        <v>0.66400000000000003</v>
      </c>
      <c r="AX109" s="40">
        <v>0.33600000000000002</v>
      </c>
      <c r="AY109" t="s">
        <v>107</v>
      </c>
      <c r="AZ109" s="40" t="s">
        <v>107</v>
      </c>
      <c r="BB109" s="18"/>
      <c r="BC109">
        <v>0.66800000000000004</v>
      </c>
      <c r="BD109" s="18">
        <v>0.33200000000000002</v>
      </c>
      <c r="BE109" s="18" t="s">
        <v>149</v>
      </c>
      <c r="BL109" s="18"/>
      <c r="BO109" s="18"/>
      <c r="BR109" s="25">
        <v>36.299999999999997</v>
      </c>
      <c r="BS109">
        <v>1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 s="18">
        <v>0</v>
      </c>
      <c r="CA109">
        <v>0</v>
      </c>
      <c r="CB109">
        <v>0</v>
      </c>
      <c r="CC109">
        <v>1</v>
      </c>
      <c r="CD109" s="18">
        <v>0</v>
      </c>
      <c r="CE109">
        <v>0</v>
      </c>
      <c r="CF109">
        <v>0</v>
      </c>
      <c r="CG109">
        <v>0</v>
      </c>
      <c r="CH109">
        <v>0</v>
      </c>
      <c r="CI109" s="18">
        <v>0</v>
      </c>
      <c r="CJ109">
        <v>1</v>
      </c>
      <c r="CK109">
        <v>1</v>
      </c>
      <c r="CL109">
        <v>0</v>
      </c>
      <c r="CM109">
        <v>0</v>
      </c>
      <c r="CN109">
        <v>0</v>
      </c>
      <c r="CO109">
        <v>1</v>
      </c>
      <c r="CP109">
        <v>1</v>
      </c>
      <c r="CQ109">
        <v>0</v>
      </c>
      <c r="CR109">
        <v>0</v>
      </c>
      <c r="CS109">
        <v>1</v>
      </c>
      <c r="CT109" s="18">
        <v>0</v>
      </c>
      <c r="CZ109" s="34" t="s">
        <v>87</v>
      </c>
    </row>
    <row r="110" spans="1:104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0"/>
        <v>3.2675000000000001</v>
      </c>
      <c r="F110" s="7">
        <v>4</v>
      </c>
      <c r="G110" s="7">
        <f t="shared" si="81"/>
        <v>9.8025000000000002</v>
      </c>
      <c r="H110" s="16">
        <f t="shared" si="82"/>
        <v>16.337499999999999</v>
      </c>
      <c r="I110" s="11">
        <f t="shared" si="33"/>
        <v>0.33333333333333331</v>
      </c>
      <c r="J110" s="33">
        <f t="shared" si="34"/>
        <v>8.3333333333333329E-2</v>
      </c>
      <c r="K110" s="33">
        <f t="shared" si="89"/>
        <v>12</v>
      </c>
      <c r="L110" s="33">
        <f t="shared" si="90"/>
        <v>0.25</v>
      </c>
      <c r="M110" s="33">
        <f t="shared" si="91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6"/>
        <v>128</v>
      </c>
      <c r="Y110" s="7">
        <v>8.9</v>
      </c>
      <c r="Z110" s="7">
        <f t="shared" si="79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9">
        <v>0</v>
      </c>
      <c r="AL110" s="30">
        <v>1</v>
      </c>
      <c r="AM110" s="21">
        <v>1985</v>
      </c>
      <c r="AN110" s="23"/>
      <c r="AO110" s="33">
        <v>0.42799999999999999</v>
      </c>
      <c r="AP110" s="33">
        <f t="shared" si="86"/>
        <v>0.16000000000000003</v>
      </c>
      <c r="AQ110" s="33">
        <f t="shared" si="86"/>
        <v>0.16000000000000003</v>
      </c>
      <c r="AR110" s="43">
        <v>0.252</v>
      </c>
      <c r="AS110" s="33">
        <f t="shared" si="87"/>
        <v>0.36</v>
      </c>
      <c r="AT110" s="43">
        <f t="shared" si="88"/>
        <v>0.64</v>
      </c>
      <c r="AU110" s="42" t="s">
        <v>107</v>
      </c>
      <c r="AV110" s="18" t="s">
        <v>107</v>
      </c>
      <c r="AW110">
        <v>0.66400000000000003</v>
      </c>
      <c r="AX110" s="40">
        <v>0.33600000000000002</v>
      </c>
      <c r="AY110" t="s">
        <v>107</v>
      </c>
      <c r="AZ110" s="40" t="s">
        <v>107</v>
      </c>
      <c r="BB110" s="18"/>
      <c r="BC110">
        <v>0.66800000000000004</v>
      </c>
      <c r="BD110" s="18">
        <v>0.33200000000000002</v>
      </c>
      <c r="BE110" s="18" t="s">
        <v>149</v>
      </c>
      <c r="BL110" s="18"/>
      <c r="BO110" s="18"/>
      <c r="BR110" s="25">
        <v>37.299999999999997</v>
      </c>
      <c r="BS110">
        <v>0</v>
      </c>
      <c r="BT110">
        <v>0</v>
      </c>
      <c r="BU110">
        <v>0</v>
      </c>
      <c r="BV110">
        <v>0</v>
      </c>
      <c r="BW110">
        <v>1</v>
      </c>
      <c r="BX110">
        <v>0</v>
      </c>
      <c r="BY110">
        <v>0</v>
      </c>
      <c r="BZ110" s="18">
        <v>0</v>
      </c>
      <c r="CA110">
        <v>0</v>
      </c>
      <c r="CB110">
        <v>0</v>
      </c>
      <c r="CC110">
        <v>1</v>
      </c>
      <c r="CD110" s="18">
        <v>0</v>
      </c>
      <c r="CE110">
        <v>1</v>
      </c>
      <c r="CF110">
        <v>1</v>
      </c>
      <c r="CG110">
        <v>0</v>
      </c>
      <c r="CH110">
        <v>0</v>
      </c>
      <c r="CI110" s="18">
        <v>1</v>
      </c>
      <c r="CJ110">
        <v>1</v>
      </c>
      <c r="CK110">
        <v>1</v>
      </c>
      <c r="CL110">
        <v>0</v>
      </c>
      <c r="CM110">
        <v>0</v>
      </c>
      <c r="CN110">
        <v>0</v>
      </c>
      <c r="CO110">
        <v>0</v>
      </c>
      <c r="CP110">
        <v>1</v>
      </c>
      <c r="CQ110">
        <v>0</v>
      </c>
      <c r="CR110">
        <v>0</v>
      </c>
      <c r="CS110">
        <v>1</v>
      </c>
      <c r="CT110" s="18">
        <v>0</v>
      </c>
      <c r="CZ110" s="34" t="s">
        <v>87</v>
      </c>
    </row>
    <row r="111" spans="1:104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0"/>
        <v>1.2256410256410257</v>
      </c>
      <c r="F111" s="7">
        <v>11.7</v>
      </c>
      <c r="G111" s="7">
        <f t="shared" si="81"/>
        <v>13.114358974358975</v>
      </c>
      <c r="H111" s="16">
        <f t="shared" si="82"/>
        <v>15.565641025641025</v>
      </c>
      <c r="I111" s="11">
        <f t="shared" si="33"/>
        <v>0.72023528688055971</v>
      </c>
      <c r="J111" s="33">
        <f t="shared" si="34"/>
        <v>6.1558571528252976E-2</v>
      </c>
      <c r="K111" s="33">
        <f t="shared" si="89"/>
        <v>16.244691440590675</v>
      </c>
      <c r="L111" s="33">
        <f t="shared" si="90"/>
        <v>0.65867671535230676</v>
      </c>
      <c r="M111" s="33">
        <f t="shared" si="91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6"/>
        <v>127</v>
      </c>
      <c r="Y111" s="7">
        <v>8.9</v>
      </c>
      <c r="Z111" s="7">
        <f t="shared" si="79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9">
        <v>0</v>
      </c>
      <c r="AL111" s="30">
        <v>1</v>
      </c>
      <c r="AM111" s="21">
        <v>1985</v>
      </c>
      <c r="AN111" s="23"/>
      <c r="AO111" s="33">
        <v>0.42799999999999999</v>
      </c>
      <c r="AP111" s="33">
        <f t="shared" si="86"/>
        <v>0.16000000000000003</v>
      </c>
      <c r="AQ111" s="33">
        <f t="shared" si="86"/>
        <v>0.16000000000000003</v>
      </c>
      <c r="AR111" s="43">
        <v>0.252</v>
      </c>
      <c r="AS111" s="33">
        <f t="shared" si="87"/>
        <v>0.36</v>
      </c>
      <c r="AT111" s="43">
        <f t="shared" si="88"/>
        <v>0.64</v>
      </c>
      <c r="AU111" s="42" t="s">
        <v>107</v>
      </c>
      <c r="AV111" s="18" t="s">
        <v>107</v>
      </c>
      <c r="AW111">
        <v>0.66400000000000003</v>
      </c>
      <c r="AX111" s="40">
        <v>0.33600000000000002</v>
      </c>
      <c r="AY111" t="s">
        <v>107</v>
      </c>
      <c r="AZ111" s="40" t="s">
        <v>107</v>
      </c>
      <c r="BB111" s="18"/>
      <c r="BC111">
        <v>0.66800000000000004</v>
      </c>
      <c r="BD111" s="18">
        <v>0.33200000000000002</v>
      </c>
      <c r="BE111" s="18" t="s">
        <v>149</v>
      </c>
      <c r="BL111" s="18"/>
      <c r="BO111" s="18"/>
      <c r="BR111" s="25">
        <v>38.299999999999997</v>
      </c>
      <c r="BS111">
        <v>0</v>
      </c>
      <c r="BT111">
        <v>0</v>
      </c>
      <c r="BU111">
        <v>0</v>
      </c>
      <c r="BV111">
        <v>0</v>
      </c>
      <c r="BW111">
        <v>1</v>
      </c>
      <c r="BX111">
        <v>0</v>
      </c>
      <c r="BY111">
        <v>0</v>
      </c>
      <c r="BZ111" s="18">
        <v>0</v>
      </c>
      <c r="CA111">
        <v>0</v>
      </c>
      <c r="CB111">
        <v>0</v>
      </c>
      <c r="CC111">
        <v>1</v>
      </c>
      <c r="CD111" s="18">
        <v>0</v>
      </c>
      <c r="CE111">
        <v>1</v>
      </c>
      <c r="CF111">
        <v>1</v>
      </c>
      <c r="CG111">
        <v>0</v>
      </c>
      <c r="CH111">
        <v>0</v>
      </c>
      <c r="CI111" s="18">
        <v>1</v>
      </c>
      <c r="CJ111">
        <v>1</v>
      </c>
      <c r="CK111">
        <v>1</v>
      </c>
      <c r="CL111">
        <v>0</v>
      </c>
      <c r="CM111">
        <v>0</v>
      </c>
      <c r="CN111">
        <v>0</v>
      </c>
      <c r="CO111">
        <v>1</v>
      </c>
      <c r="CP111">
        <v>1</v>
      </c>
      <c r="CQ111">
        <v>0</v>
      </c>
      <c r="CR111">
        <v>0</v>
      </c>
      <c r="CS111">
        <v>1</v>
      </c>
      <c r="CT111" s="18">
        <v>0</v>
      </c>
      <c r="CZ111" s="34" t="s">
        <v>87</v>
      </c>
    </row>
    <row r="112" spans="1:104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0"/>
        <v>3.9770491803278691</v>
      </c>
      <c r="F112" s="7">
        <v>3.05</v>
      </c>
      <c r="G112" s="7">
        <f t="shared" ref="G112:G114" si="92">D112-E112</f>
        <v>8.1529508196721316</v>
      </c>
      <c r="H112" s="16">
        <f t="shared" ref="H112:H114" si="93">D112+E112</f>
        <v>16.10704918032787</v>
      </c>
      <c r="I112" s="11">
        <f t="shared" si="33"/>
        <v>0.19239839057790684</v>
      </c>
      <c r="J112" s="33">
        <f t="shared" si="34"/>
        <v>6.3081439533739944E-2</v>
      </c>
      <c r="K112" s="33">
        <f t="shared" ref="K112:K114" si="94">IFERROR(1/J112, "X")</f>
        <v>15.852523458427685</v>
      </c>
      <c r="L112" s="33">
        <f t="shared" ref="L112:L114" si="95">IFERROR(I112-J112, "X")</f>
        <v>0.12931695104416691</v>
      </c>
      <c r="M112" s="33">
        <f t="shared" ref="M112:M114" si="96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97">U112-V112-1</f>
        <v>242</v>
      </c>
      <c r="Y112" s="7">
        <v>8.9</v>
      </c>
      <c r="Z112" s="7">
        <f t="shared" si="79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9">
        <v>0</v>
      </c>
      <c r="AL112" s="30">
        <v>1</v>
      </c>
      <c r="AM112" s="21">
        <v>1985</v>
      </c>
      <c r="AN112" s="23"/>
      <c r="AO112" s="33">
        <v>0.42799999999999999</v>
      </c>
      <c r="AP112" s="33">
        <f t="shared" si="86"/>
        <v>0.16000000000000003</v>
      </c>
      <c r="AQ112" s="33">
        <f t="shared" si="86"/>
        <v>0.16000000000000003</v>
      </c>
      <c r="AR112" s="43">
        <v>0.252</v>
      </c>
      <c r="AS112" s="33">
        <f t="shared" si="87"/>
        <v>0.36</v>
      </c>
      <c r="AT112" s="43">
        <f t="shared" si="88"/>
        <v>0.64</v>
      </c>
      <c r="AU112" s="42" t="s">
        <v>107</v>
      </c>
      <c r="AV112" s="18" t="s">
        <v>107</v>
      </c>
      <c r="AW112">
        <v>0.66400000000000003</v>
      </c>
      <c r="AX112" s="40">
        <v>0.33600000000000002</v>
      </c>
      <c r="AY112" t="s">
        <v>107</v>
      </c>
      <c r="AZ112" s="40" t="s">
        <v>107</v>
      </c>
      <c r="BB112" s="18"/>
      <c r="BC112">
        <v>0.66800000000000004</v>
      </c>
      <c r="BD112" s="18">
        <v>0.33200000000000002</v>
      </c>
      <c r="BE112" s="18" t="s">
        <v>149</v>
      </c>
      <c r="BL112" s="18"/>
      <c r="BO112" s="18"/>
      <c r="BR112" s="25">
        <v>39.299999999999997</v>
      </c>
      <c r="BS112">
        <v>1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 s="18">
        <v>0</v>
      </c>
      <c r="CA112">
        <v>0</v>
      </c>
      <c r="CB112">
        <v>0</v>
      </c>
      <c r="CC112">
        <v>1</v>
      </c>
      <c r="CD112" s="18">
        <v>0</v>
      </c>
      <c r="CE112">
        <v>1</v>
      </c>
      <c r="CF112">
        <v>1</v>
      </c>
      <c r="CG112">
        <v>0</v>
      </c>
      <c r="CH112">
        <v>0</v>
      </c>
      <c r="CI112" s="18">
        <v>1</v>
      </c>
      <c r="CJ112">
        <v>1</v>
      </c>
      <c r="CK112">
        <v>1</v>
      </c>
      <c r="CL112">
        <v>0</v>
      </c>
      <c r="CM112">
        <v>0</v>
      </c>
      <c r="CN112">
        <v>0</v>
      </c>
      <c r="CO112">
        <v>0</v>
      </c>
      <c r="CP112">
        <v>1</v>
      </c>
      <c r="CQ112">
        <v>0</v>
      </c>
      <c r="CR112">
        <v>0</v>
      </c>
      <c r="CS112">
        <v>1</v>
      </c>
      <c r="CT112" s="18">
        <v>1</v>
      </c>
      <c r="CZ112" s="34" t="s">
        <v>87</v>
      </c>
    </row>
    <row r="113" spans="1:104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0"/>
        <v>2.9323076923076923</v>
      </c>
      <c r="F113" s="7">
        <v>3.25</v>
      </c>
      <c r="G113" s="7">
        <f t="shared" si="92"/>
        <v>6.5976923076923075</v>
      </c>
      <c r="H113" s="16">
        <f t="shared" si="93"/>
        <v>12.462307692307691</v>
      </c>
      <c r="I113" s="11">
        <f t="shared" si="33"/>
        <v>0.20450264387930378</v>
      </c>
      <c r="J113" s="33">
        <f t="shared" si="34"/>
        <v>6.2923890424401163E-2</v>
      </c>
      <c r="K113" s="33">
        <f t="shared" si="94"/>
        <v>15.892215075312818</v>
      </c>
      <c r="L113" s="33">
        <f t="shared" si="95"/>
        <v>0.14157875345490262</v>
      </c>
      <c r="M113" s="33">
        <f t="shared" si="96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97"/>
        <v>242</v>
      </c>
      <c r="Y113" s="7">
        <v>8.9</v>
      </c>
      <c r="Z113" s="7">
        <f t="shared" si="79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9">
        <v>0</v>
      </c>
      <c r="AL113" s="30">
        <v>1</v>
      </c>
      <c r="AM113" s="21">
        <v>1985</v>
      </c>
      <c r="AN113" s="23"/>
      <c r="AO113" s="33">
        <v>0.42799999999999999</v>
      </c>
      <c r="AP113" s="33">
        <f t="shared" si="86"/>
        <v>0.16000000000000003</v>
      </c>
      <c r="AQ113" s="33">
        <f t="shared" si="86"/>
        <v>0.16000000000000003</v>
      </c>
      <c r="AR113" s="43">
        <v>0.252</v>
      </c>
      <c r="AS113" s="33">
        <f t="shared" si="87"/>
        <v>0.36</v>
      </c>
      <c r="AT113" s="43">
        <f t="shared" si="88"/>
        <v>0.64</v>
      </c>
      <c r="AU113" s="42" t="s">
        <v>107</v>
      </c>
      <c r="AV113" s="18" t="s">
        <v>107</v>
      </c>
      <c r="AW113">
        <v>0.66400000000000003</v>
      </c>
      <c r="AX113" s="40">
        <v>0.33600000000000002</v>
      </c>
      <c r="AY113" t="s">
        <v>107</v>
      </c>
      <c r="AZ113" s="40" t="s">
        <v>107</v>
      </c>
      <c r="BB113" s="18"/>
      <c r="BC113">
        <v>0.66800000000000004</v>
      </c>
      <c r="BD113" s="18">
        <v>0.33200000000000002</v>
      </c>
      <c r="BE113" s="18" t="s">
        <v>149</v>
      </c>
      <c r="BL113" s="18"/>
      <c r="BO113" s="18"/>
      <c r="BR113" s="25">
        <v>40.299999999999997</v>
      </c>
      <c r="BS113">
        <v>1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 s="18">
        <v>0</v>
      </c>
      <c r="CA113">
        <v>0</v>
      </c>
      <c r="CB113">
        <v>0</v>
      </c>
      <c r="CC113">
        <v>1</v>
      </c>
      <c r="CD113" s="18">
        <v>0</v>
      </c>
      <c r="CE113">
        <v>1</v>
      </c>
      <c r="CF113">
        <v>1</v>
      </c>
      <c r="CG113">
        <v>0</v>
      </c>
      <c r="CH113">
        <v>0</v>
      </c>
      <c r="CI113" s="18">
        <v>1</v>
      </c>
      <c r="CJ113">
        <v>1</v>
      </c>
      <c r="CK113">
        <v>1</v>
      </c>
      <c r="CL113">
        <v>0</v>
      </c>
      <c r="CM113">
        <v>0</v>
      </c>
      <c r="CN113">
        <v>0</v>
      </c>
      <c r="CO113">
        <v>0</v>
      </c>
      <c r="CP113">
        <v>1</v>
      </c>
      <c r="CQ113">
        <v>0</v>
      </c>
      <c r="CR113">
        <v>0</v>
      </c>
      <c r="CS113">
        <v>1</v>
      </c>
      <c r="CT113" s="18">
        <v>1</v>
      </c>
      <c r="CZ113" s="34" t="s">
        <v>87</v>
      </c>
    </row>
    <row r="114" spans="1:104" s="52" customFormat="1" x14ac:dyDescent="0.25">
      <c r="A114" s="52">
        <v>113</v>
      </c>
      <c r="B114" s="52">
        <v>10</v>
      </c>
      <c r="C114" s="53" t="s">
        <v>22</v>
      </c>
      <c r="D114" s="54">
        <v>10.99</v>
      </c>
      <c r="E114" s="55">
        <f t="shared" si="80"/>
        <v>1.6138032305433188</v>
      </c>
      <c r="F114" s="56">
        <v>6.81</v>
      </c>
      <c r="G114" s="56">
        <f t="shared" si="92"/>
        <v>9.3761967694566817</v>
      </c>
      <c r="H114" s="57">
        <f t="shared" si="93"/>
        <v>12.603803230543319</v>
      </c>
      <c r="I114" s="58">
        <f t="shared" si="33"/>
        <v>0.40102133631589526</v>
      </c>
      <c r="J114" s="59">
        <f t="shared" si="34"/>
        <v>5.8887127212319423E-2</v>
      </c>
      <c r="K114" s="59">
        <f t="shared" si="94"/>
        <v>16.981640085692547</v>
      </c>
      <c r="L114" s="59">
        <f t="shared" si="95"/>
        <v>0.34213420910357584</v>
      </c>
      <c r="M114" s="59">
        <f t="shared" si="96"/>
        <v>0.45990846352821468</v>
      </c>
      <c r="N114" s="60">
        <v>0</v>
      </c>
      <c r="O114" s="61">
        <v>1</v>
      </c>
      <c r="P114" s="60">
        <v>0</v>
      </c>
      <c r="Q114" s="61">
        <v>0</v>
      </c>
      <c r="R114" s="61">
        <v>1</v>
      </c>
      <c r="S114" s="61">
        <v>0</v>
      </c>
      <c r="T114" s="61">
        <v>0</v>
      </c>
      <c r="U114" s="60">
        <v>250</v>
      </c>
      <c r="V114" s="61">
        <v>7</v>
      </c>
      <c r="W114" s="61">
        <f t="shared" si="97"/>
        <v>242</v>
      </c>
      <c r="X114" s="61"/>
      <c r="Y114" s="56">
        <v>8.9</v>
      </c>
      <c r="Z114" s="56">
        <f t="shared" si="79"/>
        <v>26.4</v>
      </c>
      <c r="AA114" s="61">
        <v>1</v>
      </c>
      <c r="AB114" s="61">
        <v>0</v>
      </c>
      <c r="AC114" s="61">
        <v>0</v>
      </c>
      <c r="AD114" s="61">
        <v>0</v>
      </c>
      <c r="AE114" s="61">
        <v>1</v>
      </c>
      <c r="AF114" s="61">
        <v>0</v>
      </c>
      <c r="AG114" s="60">
        <v>0</v>
      </c>
      <c r="AH114" s="61">
        <v>1</v>
      </c>
      <c r="AI114" s="62">
        <v>0</v>
      </c>
      <c r="AJ114" s="61">
        <v>0</v>
      </c>
      <c r="AK114" s="61">
        <v>0</v>
      </c>
      <c r="AL114" s="62">
        <v>1</v>
      </c>
      <c r="AM114" s="63">
        <v>1985</v>
      </c>
      <c r="AN114" s="64"/>
      <c r="AO114" s="59">
        <v>0.42799999999999999</v>
      </c>
      <c r="AP114" s="59">
        <f t="shared" si="86"/>
        <v>0.16000000000000003</v>
      </c>
      <c r="AQ114" s="59">
        <f t="shared" si="86"/>
        <v>0.16000000000000003</v>
      </c>
      <c r="AR114" s="65">
        <v>0.252</v>
      </c>
      <c r="AS114" s="59">
        <f t="shared" si="87"/>
        <v>0.36</v>
      </c>
      <c r="AT114" s="65">
        <f t="shared" si="88"/>
        <v>0.64</v>
      </c>
      <c r="AU114" s="66" t="s">
        <v>107</v>
      </c>
      <c r="AV114" s="67" t="s">
        <v>107</v>
      </c>
      <c r="AW114" s="52">
        <v>0.66400000000000003</v>
      </c>
      <c r="AX114" s="68">
        <v>0.33600000000000002</v>
      </c>
      <c r="AY114" s="52" t="s">
        <v>107</v>
      </c>
      <c r="AZ114" s="68" t="s">
        <v>107</v>
      </c>
      <c r="BB114" s="67"/>
      <c r="BC114" s="52">
        <v>0.66800000000000004</v>
      </c>
      <c r="BD114" s="67">
        <v>0.33200000000000002</v>
      </c>
      <c r="BE114" s="67" t="s">
        <v>149</v>
      </c>
      <c r="BL114" s="67"/>
      <c r="BO114" s="67"/>
      <c r="BR114" s="53">
        <v>41.3</v>
      </c>
      <c r="BS114" s="52">
        <v>1</v>
      </c>
      <c r="BT114" s="52">
        <v>0</v>
      </c>
      <c r="BU114" s="52">
        <v>0</v>
      </c>
      <c r="BV114" s="52">
        <v>0</v>
      </c>
      <c r="BW114" s="52">
        <v>0</v>
      </c>
      <c r="BX114" s="52">
        <v>0</v>
      </c>
      <c r="BY114" s="52">
        <v>0</v>
      </c>
      <c r="BZ114" s="67">
        <v>0</v>
      </c>
      <c r="CA114" s="52">
        <v>0</v>
      </c>
      <c r="CB114" s="52">
        <v>0</v>
      </c>
      <c r="CC114" s="52">
        <v>1</v>
      </c>
      <c r="CD114" s="67">
        <v>0</v>
      </c>
      <c r="CE114" s="52">
        <v>1</v>
      </c>
      <c r="CF114" s="52">
        <v>1</v>
      </c>
      <c r="CG114" s="52">
        <v>0</v>
      </c>
      <c r="CH114" s="52">
        <v>0</v>
      </c>
      <c r="CI114" s="67">
        <v>1</v>
      </c>
      <c r="CJ114" s="52">
        <v>1</v>
      </c>
      <c r="CK114" s="52">
        <v>1</v>
      </c>
      <c r="CL114" s="52">
        <v>0</v>
      </c>
      <c r="CM114" s="52">
        <v>0</v>
      </c>
      <c r="CN114" s="52">
        <v>0</v>
      </c>
      <c r="CO114" s="52">
        <v>0</v>
      </c>
      <c r="CP114" s="52">
        <v>1</v>
      </c>
      <c r="CQ114" s="52">
        <v>0</v>
      </c>
      <c r="CR114" s="52">
        <v>0</v>
      </c>
      <c r="CS114" s="52">
        <v>1</v>
      </c>
      <c r="CT114" s="67">
        <v>1</v>
      </c>
      <c r="CY114" s="53"/>
      <c r="CZ114" s="69" t="s">
        <v>87</v>
      </c>
    </row>
    <row r="115" spans="1:104" x14ac:dyDescent="0.25">
      <c r="A115">
        <v>114</v>
      </c>
      <c r="B115">
        <v>11</v>
      </c>
      <c r="C115" s="25" t="s">
        <v>150</v>
      </c>
      <c r="D115" s="12">
        <v>11.3</v>
      </c>
      <c r="E115" s="14">
        <v>0.5</v>
      </c>
      <c r="F115" s="7">
        <f>D115/E115</f>
        <v>22.6</v>
      </c>
      <c r="G115" s="7">
        <f t="shared" ref="G115:G116" si="98">D115-E115</f>
        <v>10.8</v>
      </c>
      <c r="H115" s="16">
        <f t="shared" ref="H115:H116" si="99">D115+E115</f>
        <v>11.8</v>
      </c>
      <c r="I115" s="11">
        <f t="shared" si="33"/>
        <v>0.32038983361101409</v>
      </c>
      <c r="J115" s="33">
        <f t="shared" si="34"/>
        <v>1.4176541310221863E-2</v>
      </c>
      <c r="K115" s="33">
        <f t="shared" ref="K115:K116" si="100">IFERROR(1/J115, "X")</f>
        <v>70.539067189749545</v>
      </c>
      <c r="L115" s="33">
        <f t="shared" ref="L115:L116" si="101">IFERROR(I115-J115, "X")</f>
        <v>0.30621329230079219</v>
      </c>
      <c r="M115" s="33">
        <f t="shared" ref="M115:M116" si="102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97"/>
        <v>4465</v>
      </c>
      <c r="Y115" s="7">
        <v>9.15</v>
      </c>
      <c r="Z115" s="7">
        <f t="shared" si="79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9">
        <v>0</v>
      </c>
      <c r="AL115" s="30">
        <v>1</v>
      </c>
      <c r="AM115" s="21">
        <v>2011</v>
      </c>
      <c r="AN115" s="23"/>
      <c r="AO115" s="33" t="s">
        <v>107</v>
      </c>
      <c r="AP115" s="33" t="s">
        <v>107</v>
      </c>
      <c r="AQ115" s="33" t="s">
        <v>107</v>
      </c>
      <c r="AR115" s="43" t="s">
        <v>107</v>
      </c>
      <c r="AS115" s="33" t="s">
        <v>107</v>
      </c>
      <c r="AT115" s="43" t="s">
        <v>107</v>
      </c>
      <c r="AU115" s="42">
        <f t="shared" ref="AU115:AU120" si="103">1-AV115</f>
        <v>0.86599999999999999</v>
      </c>
      <c r="AV115" s="18">
        <v>0.13400000000000001</v>
      </c>
      <c r="AW115">
        <v>0.49099999999999999</v>
      </c>
      <c r="AX115" s="40">
        <v>0.50900000000000001</v>
      </c>
      <c r="AY115" t="s">
        <v>107</v>
      </c>
      <c r="AZ115" s="40" t="s">
        <v>107</v>
      </c>
      <c r="BB115" s="18"/>
      <c r="BC115">
        <v>0.41399999999999998</v>
      </c>
      <c r="BD115" s="18">
        <v>0.58599999999999997</v>
      </c>
      <c r="BE115" s="18" t="s">
        <v>25</v>
      </c>
      <c r="BL115" s="18"/>
      <c r="BO115" s="18"/>
      <c r="BR115" s="25">
        <v>42.68</v>
      </c>
      <c r="BS115">
        <v>1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 s="18">
        <v>0</v>
      </c>
      <c r="CA115">
        <v>0</v>
      </c>
      <c r="CB115">
        <v>0</v>
      </c>
      <c r="CC115">
        <v>0</v>
      </c>
      <c r="CD115" s="18">
        <v>0</v>
      </c>
      <c r="CE115">
        <v>1</v>
      </c>
      <c r="CF115">
        <v>0</v>
      </c>
      <c r="CG115">
        <v>0</v>
      </c>
      <c r="CH115">
        <v>0</v>
      </c>
      <c r="CI115" s="18">
        <v>0</v>
      </c>
      <c r="CJ115">
        <v>1</v>
      </c>
      <c r="CK115">
        <v>1</v>
      </c>
      <c r="CL115">
        <v>0</v>
      </c>
      <c r="CM115">
        <v>0</v>
      </c>
      <c r="CN115">
        <v>1</v>
      </c>
      <c r="CO115">
        <v>0</v>
      </c>
      <c r="CP115">
        <v>1</v>
      </c>
      <c r="CQ115">
        <v>0</v>
      </c>
      <c r="CR115">
        <v>0</v>
      </c>
      <c r="CS115">
        <v>1</v>
      </c>
      <c r="CT115" s="18">
        <v>1</v>
      </c>
      <c r="CZ115" s="34" t="s">
        <v>87</v>
      </c>
    </row>
    <row r="116" spans="1:104" x14ac:dyDescent="0.25">
      <c r="A116">
        <v>115</v>
      </c>
      <c r="B116">
        <v>11</v>
      </c>
      <c r="C116" s="25" t="s">
        <v>150</v>
      </c>
      <c r="D116" s="12">
        <v>18</v>
      </c>
      <c r="E116" s="14">
        <v>1.4</v>
      </c>
      <c r="F116" s="7">
        <f>D116/E116</f>
        <v>12.857142857142858</v>
      </c>
      <c r="G116" s="7">
        <f t="shared" si="98"/>
        <v>16.600000000000001</v>
      </c>
      <c r="H116" s="16">
        <f t="shared" si="99"/>
        <v>19.399999999999999</v>
      </c>
      <c r="I116" s="11">
        <f t="shared" si="33"/>
        <v>0.18894683311768237</v>
      </c>
      <c r="J116" s="33">
        <f t="shared" si="34"/>
        <v>1.4695864798041962E-2</v>
      </c>
      <c r="K116" s="33">
        <f t="shared" si="100"/>
        <v>68.04635274905614</v>
      </c>
      <c r="L116" s="33">
        <f t="shared" si="101"/>
        <v>0.1742509683196404</v>
      </c>
      <c r="M116" s="33">
        <f t="shared" si="102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97"/>
        <v>4465</v>
      </c>
      <c r="Y116" s="7">
        <v>9.15</v>
      </c>
      <c r="Z116" s="7">
        <f t="shared" si="79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9">
        <v>0</v>
      </c>
      <c r="AL116" s="30">
        <v>1</v>
      </c>
      <c r="AM116" s="21">
        <v>2011</v>
      </c>
      <c r="AN116" s="23"/>
      <c r="AO116" s="33" t="s">
        <v>107</v>
      </c>
      <c r="AP116" s="33" t="s">
        <v>107</v>
      </c>
      <c r="AQ116" s="33" t="s">
        <v>107</v>
      </c>
      <c r="AR116" s="43" t="s">
        <v>107</v>
      </c>
      <c r="AS116" s="33" t="s">
        <v>107</v>
      </c>
      <c r="AT116" s="43" t="s">
        <v>107</v>
      </c>
      <c r="AU116" s="42">
        <f t="shared" si="103"/>
        <v>0.86599999999999999</v>
      </c>
      <c r="AV116" s="18">
        <v>0.13400000000000001</v>
      </c>
      <c r="AW116">
        <v>0.49099999999999999</v>
      </c>
      <c r="AX116" s="40">
        <v>0.50900000000000001</v>
      </c>
      <c r="AY116" t="s">
        <v>107</v>
      </c>
      <c r="AZ116" s="40" t="s">
        <v>107</v>
      </c>
      <c r="BB116" s="18"/>
      <c r="BC116">
        <v>0.41399999999999998</v>
      </c>
      <c r="BD116" s="18">
        <v>0.58599999999999997</v>
      </c>
      <c r="BE116" s="18" t="s">
        <v>25</v>
      </c>
      <c r="BL116" s="18"/>
      <c r="BO116" s="18"/>
      <c r="BR116" s="25">
        <v>42.68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 s="18">
        <v>1</v>
      </c>
      <c r="CA116">
        <v>0</v>
      </c>
      <c r="CB116">
        <v>1</v>
      </c>
      <c r="CC116">
        <v>0</v>
      </c>
      <c r="CD116" s="18">
        <v>0</v>
      </c>
      <c r="CE116">
        <v>1</v>
      </c>
      <c r="CF116">
        <v>0</v>
      </c>
      <c r="CG116">
        <v>0</v>
      </c>
      <c r="CH116">
        <v>0</v>
      </c>
      <c r="CI116" s="18">
        <v>0</v>
      </c>
      <c r="CJ116">
        <v>1</v>
      </c>
      <c r="CK116">
        <v>1</v>
      </c>
      <c r="CL116">
        <v>0</v>
      </c>
      <c r="CM116">
        <v>0</v>
      </c>
      <c r="CN116">
        <v>1</v>
      </c>
      <c r="CO116">
        <v>0</v>
      </c>
      <c r="CP116">
        <v>1</v>
      </c>
      <c r="CQ116">
        <v>0</v>
      </c>
      <c r="CR116">
        <v>0</v>
      </c>
      <c r="CS116">
        <v>1</v>
      </c>
      <c r="CT116" s="18">
        <v>1</v>
      </c>
      <c r="CZ116" s="34" t="s">
        <v>87</v>
      </c>
    </row>
    <row r="117" spans="1:104" x14ac:dyDescent="0.25">
      <c r="A117">
        <v>116</v>
      </c>
      <c r="B117">
        <v>11</v>
      </c>
      <c r="C117" s="25" t="s">
        <v>150</v>
      </c>
      <c r="D117" s="12">
        <v>21.2</v>
      </c>
      <c r="E117" s="14">
        <v>1.7</v>
      </c>
      <c r="F117" s="7">
        <f t="shared" ref="F117:F136" si="104">D117/E117</f>
        <v>12.470588235294118</v>
      </c>
      <c r="G117" s="7">
        <f t="shared" ref="G117:G136" si="105">D117-E117</f>
        <v>19.5</v>
      </c>
      <c r="H117" s="16">
        <f t="shared" ref="H117:H136" si="106">D117+E117</f>
        <v>22.9</v>
      </c>
      <c r="I117" s="11">
        <f t="shared" si="33"/>
        <v>0.25336910128038576</v>
      </c>
      <c r="J117" s="33">
        <f t="shared" si="34"/>
        <v>2.0317333593238476E-2</v>
      </c>
      <c r="K117" s="33">
        <f t="shared" ref="K117:K136" si="107">IFERROR(1/J117, "X")</f>
        <v>49.219056989485857</v>
      </c>
      <c r="L117" s="33">
        <f t="shared" ref="L117:L136" si="108">IFERROR(I117-J117, "X")</f>
        <v>0.23305176768714728</v>
      </c>
      <c r="M117" s="33">
        <f t="shared" ref="M117:M136" si="109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97"/>
        <v>2267</v>
      </c>
      <c r="Y117" s="7">
        <v>9.15</v>
      </c>
      <c r="Z117" s="7">
        <f t="shared" si="79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9">
        <v>0</v>
      </c>
      <c r="AL117" s="30">
        <v>1</v>
      </c>
      <c r="AM117" s="21">
        <v>2011</v>
      </c>
      <c r="AN117" s="23"/>
      <c r="AO117" s="33" t="s">
        <v>107</v>
      </c>
      <c r="AP117" s="33" t="s">
        <v>107</v>
      </c>
      <c r="AQ117" s="33" t="s">
        <v>107</v>
      </c>
      <c r="AR117" s="43" t="s">
        <v>107</v>
      </c>
      <c r="AS117" s="33" t="s">
        <v>107</v>
      </c>
      <c r="AT117" s="43" t="s">
        <v>107</v>
      </c>
      <c r="AU117" s="42">
        <f t="shared" si="103"/>
        <v>0.86599999999999999</v>
      </c>
      <c r="AV117" s="18">
        <v>0.13400000000000001</v>
      </c>
      <c r="AW117">
        <v>0</v>
      </c>
      <c r="AX117" s="40">
        <v>1</v>
      </c>
      <c r="AY117" t="s">
        <v>107</v>
      </c>
      <c r="AZ117" s="40" t="s">
        <v>107</v>
      </c>
      <c r="BB117" s="18"/>
      <c r="BC117">
        <v>0.41399999999999998</v>
      </c>
      <c r="BD117" s="18">
        <v>0.58599999999999997</v>
      </c>
      <c r="BE117" s="18" t="s">
        <v>25</v>
      </c>
      <c r="BL117" s="18"/>
      <c r="BO117" s="18"/>
      <c r="BR117" s="25">
        <v>42.68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 s="18">
        <v>1</v>
      </c>
      <c r="CA117">
        <v>0</v>
      </c>
      <c r="CB117">
        <v>1</v>
      </c>
      <c r="CC117">
        <v>0</v>
      </c>
      <c r="CD117" s="18">
        <v>0</v>
      </c>
      <c r="CE117">
        <v>1</v>
      </c>
      <c r="CF117">
        <v>0</v>
      </c>
      <c r="CG117">
        <v>0</v>
      </c>
      <c r="CH117">
        <v>0</v>
      </c>
      <c r="CI117" s="18">
        <v>0</v>
      </c>
      <c r="CJ117">
        <v>1</v>
      </c>
      <c r="CK117">
        <v>1</v>
      </c>
      <c r="CL117">
        <v>0</v>
      </c>
      <c r="CM117">
        <v>0</v>
      </c>
      <c r="CN117">
        <v>1</v>
      </c>
      <c r="CO117">
        <v>0</v>
      </c>
      <c r="CP117">
        <v>1</v>
      </c>
      <c r="CQ117">
        <v>0</v>
      </c>
      <c r="CR117">
        <v>0</v>
      </c>
      <c r="CS117">
        <v>1</v>
      </c>
      <c r="CT117" s="18">
        <v>1</v>
      </c>
      <c r="CZ117" s="34" t="s">
        <v>87</v>
      </c>
    </row>
    <row r="118" spans="1:104" x14ac:dyDescent="0.25">
      <c r="A118">
        <v>117</v>
      </c>
      <c r="B118">
        <v>11</v>
      </c>
      <c r="C118" s="25" t="s">
        <v>150</v>
      </c>
      <c r="D118" s="12">
        <v>15</v>
      </c>
      <c r="E118" s="14">
        <v>2.2999999999999998</v>
      </c>
      <c r="F118" s="7">
        <f t="shared" si="104"/>
        <v>6.5217391304347831</v>
      </c>
      <c r="G118" s="7">
        <f t="shared" si="105"/>
        <v>12.7</v>
      </c>
      <c r="H118" s="16">
        <f t="shared" si="106"/>
        <v>17.3</v>
      </c>
      <c r="I118" s="11">
        <f t="shared" si="33"/>
        <v>0.13821298512211169</v>
      </c>
      <c r="J118" s="33">
        <f t="shared" si="34"/>
        <v>2.1192657718723789E-2</v>
      </c>
      <c r="K118" s="33">
        <f t="shared" si="107"/>
        <v>47.186153491097834</v>
      </c>
      <c r="L118" s="33">
        <f t="shared" si="108"/>
        <v>0.1170203274033879</v>
      </c>
      <c r="M118" s="33">
        <f t="shared" si="109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97"/>
        <v>2184</v>
      </c>
      <c r="Y118" s="7">
        <v>9.15</v>
      </c>
      <c r="Z118" s="7">
        <f t="shared" si="79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9">
        <v>0</v>
      </c>
      <c r="AL118" s="30">
        <v>1</v>
      </c>
      <c r="AM118" s="21">
        <v>2011</v>
      </c>
      <c r="AN118" s="23"/>
      <c r="AO118" s="33" t="s">
        <v>107</v>
      </c>
      <c r="AP118" s="33" t="s">
        <v>107</v>
      </c>
      <c r="AQ118" s="33" t="s">
        <v>107</v>
      </c>
      <c r="AR118" s="43" t="s">
        <v>107</v>
      </c>
      <c r="AS118" s="33" t="s">
        <v>107</v>
      </c>
      <c r="AT118" s="43" t="s">
        <v>107</v>
      </c>
      <c r="AU118" s="42">
        <f t="shared" si="103"/>
        <v>0.86599999999999999</v>
      </c>
      <c r="AV118" s="18">
        <v>0.13400000000000001</v>
      </c>
      <c r="AW118">
        <v>1</v>
      </c>
      <c r="AX118" s="40">
        <v>0</v>
      </c>
      <c r="AY118" t="s">
        <v>107</v>
      </c>
      <c r="AZ118" s="40" t="s">
        <v>107</v>
      </c>
      <c r="BB118" s="18"/>
      <c r="BC118">
        <v>0.41399999999999998</v>
      </c>
      <c r="BD118" s="18">
        <v>0.58599999999999997</v>
      </c>
      <c r="BE118" s="18" t="s">
        <v>25</v>
      </c>
      <c r="BL118" s="18"/>
      <c r="BO118" s="18"/>
      <c r="BR118" s="25">
        <v>42.68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 s="18">
        <v>1</v>
      </c>
      <c r="CA118">
        <v>0</v>
      </c>
      <c r="CB118">
        <v>1</v>
      </c>
      <c r="CC118">
        <v>0</v>
      </c>
      <c r="CD118" s="18">
        <v>0</v>
      </c>
      <c r="CE118">
        <v>1</v>
      </c>
      <c r="CF118">
        <v>0</v>
      </c>
      <c r="CG118">
        <v>0</v>
      </c>
      <c r="CH118">
        <v>0</v>
      </c>
      <c r="CI118" s="18">
        <v>0</v>
      </c>
      <c r="CJ118">
        <v>1</v>
      </c>
      <c r="CK118">
        <v>1</v>
      </c>
      <c r="CL118">
        <v>0</v>
      </c>
      <c r="CM118">
        <v>0</v>
      </c>
      <c r="CN118">
        <v>1</v>
      </c>
      <c r="CO118">
        <v>0</v>
      </c>
      <c r="CP118">
        <v>1</v>
      </c>
      <c r="CQ118">
        <v>0</v>
      </c>
      <c r="CR118">
        <v>0</v>
      </c>
      <c r="CS118">
        <v>1</v>
      </c>
      <c r="CT118" s="18">
        <v>1</v>
      </c>
      <c r="CZ118" s="34" t="s">
        <v>87</v>
      </c>
    </row>
    <row r="119" spans="1:104" x14ac:dyDescent="0.25">
      <c r="A119">
        <v>118</v>
      </c>
      <c r="B119">
        <v>11</v>
      </c>
      <c r="C119" s="25" t="s">
        <v>150</v>
      </c>
      <c r="D119" s="12">
        <v>21.4</v>
      </c>
      <c r="E119" s="14">
        <v>1.8</v>
      </c>
      <c r="F119" s="7">
        <f t="shared" si="104"/>
        <v>11.888888888888888</v>
      </c>
      <c r="G119" s="7">
        <f t="shared" si="105"/>
        <v>19.599999999999998</v>
      </c>
      <c r="H119" s="16">
        <f t="shared" si="106"/>
        <v>23.2</v>
      </c>
      <c r="I119" s="11">
        <f t="shared" si="33"/>
        <v>0.22661558764273609</v>
      </c>
      <c r="J119" s="33">
        <f t="shared" si="34"/>
        <v>1.9061124194248831E-2</v>
      </c>
      <c r="K119" s="33">
        <f t="shared" si="107"/>
        <v>52.46280281315844</v>
      </c>
      <c r="L119" s="33">
        <f t="shared" si="108"/>
        <v>0.20755446344848727</v>
      </c>
      <c r="M119" s="33">
        <f t="shared" si="109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97"/>
        <v>2611</v>
      </c>
      <c r="Y119" s="7">
        <v>9.15</v>
      </c>
      <c r="Z119" s="7">
        <f t="shared" si="79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9">
        <v>0</v>
      </c>
      <c r="AL119" s="30">
        <v>1</v>
      </c>
      <c r="AM119" s="21">
        <v>2011</v>
      </c>
      <c r="AN119" s="23"/>
      <c r="AO119" s="33" t="s">
        <v>107</v>
      </c>
      <c r="AP119" s="33" t="s">
        <v>107</v>
      </c>
      <c r="AQ119" s="33" t="s">
        <v>107</v>
      </c>
      <c r="AR119" s="43" t="s">
        <v>107</v>
      </c>
      <c r="AS119" s="33" t="s">
        <v>107</v>
      </c>
      <c r="AT119" s="43" t="s">
        <v>107</v>
      </c>
      <c r="AU119" s="42">
        <f t="shared" si="103"/>
        <v>0.86599999999999999</v>
      </c>
      <c r="AV119" s="18">
        <v>0.13400000000000001</v>
      </c>
      <c r="AW119">
        <v>0.49099999999999999</v>
      </c>
      <c r="AX119" s="40">
        <v>0.50900000000000001</v>
      </c>
      <c r="AY119" t="s">
        <v>107</v>
      </c>
      <c r="AZ119" s="40" t="s">
        <v>107</v>
      </c>
      <c r="BB119" s="18"/>
      <c r="BC119">
        <v>0.41399999999999998</v>
      </c>
      <c r="BD119" s="18">
        <v>0.58599999999999997</v>
      </c>
      <c r="BE119" s="18" t="s">
        <v>25</v>
      </c>
      <c r="BL119" s="18"/>
      <c r="BO119" s="18"/>
      <c r="BR119" s="25">
        <v>42.68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 s="18">
        <v>1</v>
      </c>
      <c r="CA119">
        <v>0</v>
      </c>
      <c r="CB119">
        <v>1</v>
      </c>
      <c r="CC119">
        <v>0</v>
      </c>
      <c r="CD119" s="18">
        <v>0</v>
      </c>
      <c r="CE119">
        <v>1</v>
      </c>
      <c r="CF119">
        <v>0</v>
      </c>
      <c r="CG119">
        <v>0</v>
      </c>
      <c r="CH119">
        <v>0</v>
      </c>
      <c r="CI119" s="18">
        <v>0</v>
      </c>
      <c r="CJ119">
        <v>1</v>
      </c>
      <c r="CK119">
        <v>1</v>
      </c>
      <c r="CL119">
        <v>0</v>
      </c>
      <c r="CM119">
        <v>0</v>
      </c>
      <c r="CN119">
        <v>1</v>
      </c>
      <c r="CO119">
        <v>0</v>
      </c>
      <c r="CP119">
        <v>1</v>
      </c>
      <c r="CQ119">
        <v>0</v>
      </c>
      <c r="CR119">
        <v>0</v>
      </c>
      <c r="CS119">
        <v>1</v>
      </c>
      <c r="CT119" s="18">
        <v>1</v>
      </c>
      <c r="CZ119" s="34" t="s">
        <v>87</v>
      </c>
    </row>
    <row r="120" spans="1:104" s="52" customFormat="1" x14ac:dyDescent="0.25">
      <c r="A120" s="52">
        <v>119</v>
      </c>
      <c r="B120" s="52">
        <v>11</v>
      </c>
      <c r="C120" s="53" t="s">
        <v>150</v>
      </c>
      <c r="D120" s="54">
        <v>13.8</v>
      </c>
      <c r="E120" s="55">
        <v>2.1</v>
      </c>
      <c r="F120" s="56">
        <f t="shared" si="104"/>
        <v>6.5714285714285712</v>
      </c>
      <c r="G120" s="56">
        <f t="shared" si="105"/>
        <v>11.700000000000001</v>
      </c>
      <c r="H120" s="57">
        <f t="shared" si="106"/>
        <v>15.9</v>
      </c>
      <c r="I120" s="58">
        <f t="shared" si="33"/>
        <v>0.15143053318554164</v>
      </c>
      <c r="J120" s="59">
        <f t="shared" si="34"/>
        <v>2.3043776789104162E-2</v>
      </c>
      <c r="K120" s="59">
        <f t="shared" si="107"/>
        <v>43.395664224313791</v>
      </c>
      <c r="L120" s="59">
        <f t="shared" si="108"/>
        <v>0.12838675639643748</v>
      </c>
      <c r="M120" s="59">
        <f t="shared" si="109"/>
        <v>0.1744743099746458</v>
      </c>
      <c r="N120" s="60">
        <v>0</v>
      </c>
      <c r="O120" s="61">
        <v>1</v>
      </c>
      <c r="P120" s="60">
        <v>0</v>
      </c>
      <c r="Q120" s="61">
        <v>1</v>
      </c>
      <c r="R120" s="61">
        <v>0</v>
      </c>
      <c r="S120" s="61">
        <v>0</v>
      </c>
      <c r="T120" s="61">
        <v>0</v>
      </c>
      <c r="U120" s="60">
        <v>1855</v>
      </c>
      <c r="V120" s="61">
        <v>14</v>
      </c>
      <c r="W120" s="61">
        <f t="shared" si="97"/>
        <v>1840</v>
      </c>
      <c r="X120" s="61"/>
      <c r="Y120" s="56">
        <v>9.15</v>
      </c>
      <c r="Z120" s="56">
        <f t="shared" si="79"/>
        <v>27.53</v>
      </c>
      <c r="AA120" s="61">
        <v>1</v>
      </c>
      <c r="AB120" s="61">
        <v>0</v>
      </c>
      <c r="AC120" s="61">
        <v>0</v>
      </c>
      <c r="AD120" s="61">
        <v>0</v>
      </c>
      <c r="AE120" s="61">
        <v>0</v>
      </c>
      <c r="AF120" s="61">
        <v>1</v>
      </c>
      <c r="AG120" s="60">
        <v>0</v>
      </c>
      <c r="AH120" s="61">
        <v>0</v>
      </c>
      <c r="AI120" s="62">
        <v>1</v>
      </c>
      <c r="AJ120" s="61">
        <v>0</v>
      </c>
      <c r="AK120" s="61">
        <v>0</v>
      </c>
      <c r="AL120" s="62">
        <v>1</v>
      </c>
      <c r="AM120" s="63">
        <v>2011</v>
      </c>
      <c r="AN120" s="64"/>
      <c r="AO120" s="59" t="s">
        <v>107</v>
      </c>
      <c r="AP120" s="59" t="s">
        <v>107</v>
      </c>
      <c r="AQ120" s="59" t="s">
        <v>107</v>
      </c>
      <c r="AR120" s="65" t="s">
        <v>107</v>
      </c>
      <c r="AS120" s="59" t="s">
        <v>107</v>
      </c>
      <c r="AT120" s="65" t="s">
        <v>107</v>
      </c>
      <c r="AU120" s="66">
        <f t="shared" si="103"/>
        <v>0.86599999999999999</v>
      </c>
      <c r="AV120" s="67">
        <v>0.13400000000000001</v>
      </c>
      <c r="AW120" s="52">
        <v>0.49099999999999999</v>
      </c>
      <c r="AX120" s="68">
        <v>0.50900000000000001</v>
      </c>
      <c r="AY120" s="52" t="s">
        <v>107</v>
      </c>
      <c r="AZ120" s="68" t="s">
        <v>107</v>
      </c>
      <c r="BB120" s="67"/>
      <c r="BC120" s="52">
        <v>0.41399999999999998</v>
      </c>
      <c r="BD120" s="67">
        <v>0.58599999999999997</v>
      </c>
      <c r="BE120" s="67" t="s">
        <v>25</v>
      </c>
      <c r="BL120" s="67"/>
      <c r="BO120" s="67"/>
      <c r="BR120" s="53">
        <v>42.68</v>
      </c>
      <c r="BS120" s="52">
        <v>0</v>
      </c>
      <c r="BT120" s="52">
        <v>0</v>
      </c>
      <c r="BU120" s="52">
        <v>0</v>
      </c>
      <c r="BV120" s="52">
        <v>0</v>
      </c>
      <c r="BW120" s="52">
        <v>0</v>
      </c>
      <c r="BX120" s="52">
        <v>0</v>
      </c>
      <c r="BY120" s="52">
        <v>0</v>
      </c>
      <c r="BZ120" s="67">
        <v>1</v>
      </c>
      <c r="CA120" s="52">
        <v>0</v>
      </c>
      <c r="CB120" s="52">
        <v>1</v>
      </c>
      <c r="CC120" s="52">
        <v>0</v>
      </c>
      <c r="CD120" s="67">
        <v>0</v>
      </c>
      <c r="CE120" s="52">
        <v>1</v>
      </c>
      <c r="CF120" s="52">
        <v>0</v>
      </c>
      <c r="CG120" s="52">
        <v>0</v>
      </c>
      <c r="CH120" s="52">
        <v>0</v>
      </c>
      <c r="CI120" s="67">
        <v>0</v>
      </c>
      <c r="CJ120" s="52">
        <v>1</v>
      </c>
      <c r="CK120" s="52">
        <v>1</v>
      </c>
      <c r="CL120" s="52">
        <v>0</v>
      </c>
      <c r="CM120" s="52">
        <v>0</v>
      </c>
      <c r="CN120" s="52">
        <v>1</v>
      </c>
      <c r="CO120" s="52">
        <v>0</v>
      </c>
      <c r="CP120" s="52">
        <v>1</v>
      </c>
      <c r="CQ120" s="52">
        <v>0</v>
      </c>
      <c r="CR120" s="52">
        <v>0</v>
      </c>
      <c r="CS120" s="52">
        <v>1</v>
      </c>
      <c r="CT120" s="67">
        <v>1</v>
      </c>
      <c r="CY120" s="53"/>
      <c r="CZ120" s="69" t="s">
        <v>87</v>
      </c>
    </row>
    <row r="121" spans="1:104" x14ac:dyDescent="0.25">
      <c r="A121">
        <v>120</v>
      </c>
      <c r="B121">
        <v>12</v>
      </c>
      <c r="C121" s="25" t="s">
        <v>151</v>
      </c>
      <c r="D121" s="12">
        <v>4.7</v>
      </c>
      <c r="E121" s="14">
        <v>0.1</v>
      </c>
      <c r="F121" s="7">
        <f t="shared" si="104"/>
        <v>47</v>
      </c>
      <c r="G121" s="7">
        <f t="shared" si="105"/>
        <v>4.6000000000000005</v>
      </c>
      <c r="H121" s="16">
        <f t="shared" si="106"/>
        <v>4.8</v>
      </c>
      <c r="I121" s="11">
        <f t="shared" si="33"/>
        <v>0.57012642774554001</v>
      </c>
      <c r="J121" s="33">
        <f t="shared" si="34"/>
        <v>1.2130349526500854E-2</v>
      </c>
      <c r="K121" s="33">
        <f t="shared" si="107"/>
        <v>82.437855382099784</v>
      </c>
      <c r="L121" s="33">
        <f t="shared" si="108"/>
        <v>0.55799607821903918</v>
      </c>
      <c r="M121" s="33">
        <f t="shared" si="109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97"/>
        <v>4587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9">
        <v>0</v>
      </c>
      <c r="AL121" s="30">
        <v>0</v>
      </c>
      <c r="AM121" s="21">
        <v>2008</v>
      </c>
      <c r="AN121" s="23"/>
      <c r="AO121" s="33" t="s">
        <v>107</v>
      </c>
      <c r="AP121" s="33" t="s">
        <v>107</v>
      </c>
      <c r="AQ121" s="33" t="s">
        <v>107</v>
      </c>
      <c r="AR121" s="43" t="s">
        <v>107</v>
      </c>
      <c r="AS121" s="33" t="s">
        <v>107</v>
      </c>
      <c r="AT121" s="43" t="s">
        <v>107</v>
      </c>
      <c r="AU121" s="42" t="s">
        <v>107</v>
      </c>
      <c r="AV121" s="18" t="s">
        <v>107</v>
      </c>
      <c r="AW121" s="39">
        <f>1-AX121</f>
        <v>0.66700000000000004</v>
      </c>
      <c r="AX121" s="40">
        <v>0.33300000000000002</v>
      </c>
      <c r="AY121" t="s">
        <v>107</v>
      </c>
      <c r="AZ121" s="40" t="s">
        <v>107</v>
      </c>
      <c r="BB121" s="18"/>
      <c r="BC121">
        <f>1-BD121</f>
        <v>0.32399999999999995</v>
      </c>
      <c r="BD121" s="18">
        <v>0.67600000000000005</v>
      </c>
      <c r="BE121" s="18" t="s">
        <v>13</v>
      </c>
      <c r="BL121" s="18"/>
      <c r="BO121" s="18"/>
      <c r="BR121" s="25">
        <v>35.192</v>
      </c>
      <c r="BS121">
        <v>1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 s="18">
        <v>0</v>
      </c>
      <c r="CA121">
        <v>0</v>
      </c>
      <c r="CB121">
        <v>0</v>
      </c>
      <c r="CC121">
        <v>1</v>
      </c>
      <c r="CD121" s="18">
        <v>0</v>
      </c>
      <c r="CE121">
        <v>0</v>
      </c>
      <c r="CF121">
        <v>0</v>
      </c>
      <c r="CG121">
        <v>0</v>
      </c>
      <c r="CH121">
        <v>0</v>
      </c>
      <c r="CI121" s="18">
        <v>0</v>
      </c>
      <c r="CJ121">
        <v>1</v>
      </c>
      <c r="CK121">
        <v>1</v>
      </c>
      <c r="CL121">
        <v>1</v>
      </c>
      <c r="CM121">
        <v>1</v>
      </c>
      <c r="CN121">
        <v>0</v>
      </c>
      <c r="CO121">
        <v>0</v>
      </c>
      <c r="CP121">
        <v>1</v>
      </c>
      <c r="CQ121">
        <v>0</v>
      </c>
      <c r="CR121">
        <v>0</v>
      </c>
      <c r="CS121">
        <v>1</v>
      </c>
      <c r="CT121" s="18">
        <v>0</v>
      </c>
      <c r="CZ121" s="34" t="s">
        <v>87</v>
      </c>
    </row>
    <row r="122" spans="1:104" x14ac:dyDescent="0.25">
      <c r="A122">
        <v>121</v>
      </c>
      <c r="B122">
        <v>12</v>
      </c>
      <c r="C122" s="25" t="s">
        <v>151</v>
      </c>
      <c r="D122" s="12">
        <v>4.4000000000000004</v>
      </c>
      <c r="E122" s="14">
        <v>0.2</v>
      </c>
      <c r="F122" s="7">
        <f t="shared" si="104"/>
        <v>22</v>
      </c>
      <c r="G122" s="7">
        <f t="shared" si="105"/>
        <v>4.2</v>
      </c>
      <c r="H122" s="16">
        <f t="shared" si="106"/>
        <v>4.6000000000000005</v>
      </c>
      <c r="I122" s="11">
        <f t="shared" si="33"/>
        <v>0.36970873993771308</v>
      </c>
      <c r="J122" s="33">
        <f t="shared" si="34"/>
        <v>1.6804942724441503E-2</v>
      </c>
      <c r="K122" s="33">
        <f t="shared" si="107"/>
        <v>59.506302187247357</v>
      </c>
      <c r="L122" s="33">
        <f t="shared" si="108"/>
        <v>0.35290379721327159</v>
      </c>
      <c r="M122" s="33">
        <f t="shared" si="109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97"/>
        <v>3057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9">
        <v>0</v>
      </c>
      <c r="AL122" s="30">
        <v>0</v>
      </c>
      <c r="AM122" s="21">
        <v>2008</v>
      </c>
      <c r="AN122" s="23"/>
      <c r="AO122" s="33" t="s">
        <v>107</v>
      </c>
      <c r="AP122" s="33" t="s">
        <v>107</v>
      </c>
      <c r="AQ122" s="33" t="s">
        <v>107</v>
      </c>
      <c r="AR122" s="43" t="s">
        <v>107</v>
      </c>
      <c r="AS122" s="33" t="s">
        <v>107</v>
      </c>
      <c r="AT122" s="43" t="s">
        <v>107</v>
      </c>
      <c r="AU122" s="42" t="s">
        <v>107</v>
      </c>
      <c r="AV122" s="18" t="s">
        <v>107</v>
      </c>
      <c r="AW122">
        <v>1</v>
      </c>
      <c r="AX122" s="40">
        <v>0</v>
      </c>
      <c r="AY122" t="s">
        <v>107</v>
      </c>
      <c r="AZ122" s="40" t="s">
        <v>107</v>
      </c>
      <c r="BB122" s="18"/>
      <c r="BC122">
        <f t="shared" ref="BC122:BC135" si="110">1-BD122</f>
        <v>0.35099999999999998</v>
      </c>
      <c r="BD122" s="18">
        <v>0.64900000000000002</v>
      </c>
      <c r="BE122" s="18" t="s">
        <v>13</v>
      </c>
      <c r="BL122" s="18"/>
      <c r="BO122" s="18"/>
      <c r="BR122" s="25">
        <v>35.417000000000002</v>
      </c>
      <c r="BS122">
        <v>1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 s="18">
        <v>0</v>
      </c>
      <c r="CA122">
        <v>0</v>
      </c>
      <c r="CB122">
        <v>0</v>
      </c>
      <c r="CC122">
        <v>1</v>
      </c>
      <c r="CD122" s="18">
        <v>0</v>
      </c>
      <c r="CE122">
        <v>0</v>
      </c>
      <c r="CF122">
        <v>0</v>
      </c>
      <c r="CG122">
        <v>0</v>
      </c>
      <c r="CH122">
        <v>0</v>
      </c>
      <c r="CI122" s="18">
        <v>0</v>
      </c>
      <c r="CJ122">
        <v>1</v>
      </c>
      <c r="CK122">
        <v>1</v>
      </c>
      <c r="CL122">
        <v>1</v>
      </c>
      <c r="CM122">
        <v>1</v>
      </c>
      <c r="CN122">
        <v>0</v>
      </c>
      <c r="CO122">
        <v>0</v>
      </c>
      <c r="CP122">
        <v>1</v>
      </c>
      <c r="CQ122">
        <v>0</v>
      </c>
      <c r="CR122">
        <v>0</v>
      </c>
      <c r="CS122">
        <v>1</v>
      </c>
      <c r="CT122" s="18">
        <v>0</v>
      </c>
      <c r="CZ122" s="34" t="s">
        <v>87</v>
      </c>
    </row>
    <row r="123" spans="1:104" x14ac:dyDescent="0.25">
      <c r="A123">
        <v>122</v>
      </c>
      <c r="B123">
        <v>12</v>
      </c>
      <c r="C123" s="25" t="s">
        <v>151</v>
      </c>
      <c r="D123" s="12">
        <v>5.3</v>
      </c>
      <c r="E123" s="14">
        <v>0.3</v>
      </c>
      <c r="F123" s="7">
        <f t="shared" si="104"/>
        <v>17.666666666666668</v>
      </c>
      <c r="G123" s="7">
        <f t="shared" si="105"/>
        <v>5</v>
      </c>
      <c r="H123" s="16">
        <f t="shared" si="106"/>
        <v>5.6</v>
      </c>
      <c r="I123" s="11">
        <f t="shared" si="33"/>
        <v>0.41240453514173858</v>
      </c>
      <c r="J123" s="33">
        <f t="shared" si="34"/>
        <v>2.3343652932551237E-2</v>
      </c>
      <c r="K123" s="33">
        <f t="shared" si="107"/>
        <v>42.838196870446261</v>
      </c>
      <c r="L123" s="33">
        <f t="shared" si="108"/>
        <v>0.38906088220918733</v>
      </c>
      <c r="M123" s="33">
        <f t="shared" si="109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97"/>
        <v>1523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9">
        <v>0</v>
      </c>
      <c r="AL123" s="30">
        <v>0</v>
      </c>
      <c r="AM123" s="21">
        <v>2008</v>
      </c>
      <c r="AN123" s="23"/>
      <c r="AO123" s="33" t="s">
        <v>107</v>
      </c>
      <c r="AP123" s="33" t="s">
        <v>107</v>
      </c>
      <c r="AQ123" s="33" t="s">
        <v>107</v>
      </c>
      <c r="AR123" s="43" t="s">
        <v>107</v>
      </c>
      <c r="AS123" s="33" t="s">
        <v>107</v>
      </c>
      <c r="AT123" s="43" t="s">
        <v>107</v>
      </c>
      <c r="AU123" s="42" t="s">
        <v>107</v>
      </c>
      <c r="AV123" s="18" t="s">
        <v>107</v>
      </c>
      <c r="AW123">
        <v>0</v>
      </c>
      <c r="AX123" s="40">
        <v>1</v>
      </c>
      <c r="AY123" t="s">
        <v>107</v>
      </c>
      <c r="AZ123" s="40" t="s">
        <v>107</v>
      </c>
      <c r="BB123" s="18"/>
      <c r="BC123">
        <f t="shared" si="110"/>
        <v>0.27</v>
      </c>
      <c r="BD123" s="18">
        <v>0.73</v>
      </c>
      <c r="BE123" s="18" t="s">
        <v>13</v>
      </c>
      <c r="BL123" s="18"/>
      <c r="BO123" s="18"/>
      <c r="BR123" s="25">
        <v>34.741</v>
      </c>
      <c r="BS123">
        <v>1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 s="18">
        <v>0</v>
      </c>
      <c r="CA123">
        <v>0</v>
      </c>
      <c r="CB123">
        <v>0</v>
      </c>
      <c r="CC123">
        <v>1</v>
      </c>
      <c r="CD123" s="18">
        <v>0</v>
      </c>
      <c r="CE123">
        <v>0</v>
      </c>
      <c r="CF123">
        <v>0</v>
      </c>
      <c r="CG123">
        <v>0</v>
      </c>
      <c r="CH123">
        <v>0</v>
      </c>
      <c r="CI123" s="18">
        <v>0</v>
      </c>
      <c r="CJ123">
        <v>1</v>
      </c>
      <c r="CK123">
        <v>1</v>
      </c>
      <c r="CL123">
        <v>1</v>
      </c>
      <c r="CM123">
        <v>1</v>
      </c>
      <c r="CN123">
        <v>0</v>
      </c>
      <c r="CO123">
        <v>0</v>
      </c>
      <c r="CP123">
        <v>1</v>
      </c>
      <c r="CQ123">
        <v>0</v>
      </c>
      <c r="CR123">
        <v>0</v>
      </c>
      <c r="CS123">
        <v>1</v>
      </c>
      <c r="CT123" s="18">
        <v>0</v>
      </c>
      <c r="CZ123" s="34" t="s">
        <v>87</v>
      </c>
    </row>
    <row r="124" spans="1:104" x14ac:dyDescent="0.25">
      <c r="A124">
        <v>123</v>
      </c>
      <c r="B124">
        <v>12</v>
      </c>
      <c r="C124" s="25" t="s">
        <v>151</v>
      </c>
      <c r="D124" s="12">
        <v>-4.3</v>
      </c>
      <c r="E124" s="14">
        <v>3.6</v>
      </c>
      <c r="F124" s="7">
        <f t="shared" si="104"/>
        <v>-1.1944444444444444</v>
      </c>
      <c r="G124" s="7">
        <f t="shared" si="105"/>
        <v>-7.9</v>
      </c>
      <c r="H124" s="16">
        <f t="shared" si="106"/>
        <v>-0.69999999999999973</v>
      </c>
      <c r="I124" s="11">
        <f t="shared" si="33"/>
        <v>-1.7633318655114288E-2</v>
      </c>
      <c r="J124" s="33">
        <f t="shared" si="34"/>
        <v>1.476277840893289E-2</v>
      </c>
      <c r="K124" s="33">
        <f t="shared" si="107"/>
        <v>67.737926581279893</v>
      </c>
      <c r="L124" s="33">
        <f t="shared" si="108"/>
        <v>-3.2396097064047176E-2</v>
      </c>
      <c r="M124" s="33">
        <f t="shared" si="109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97"/>
        <v>4587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9">
        <v>0</v>
      </c>
      <c r="AL124" s="30">
        <v>0</v>
      </c>
      <c r="AM124" s="21">
        <v>2008</v>
      </c>
      <c r="AN124" s="23"/>
      <c r="AO124" s="33" t="s">
        <v>107</v>
      </c>
      <c r="AP124" s="33" t="s">
        <v>107</v>
      </c>
      <c r="AQ124" s="33" t="s">
        <v>107</v>
      </c>
      <c r="AR124" s="43" t="s">
        <v>107</v>
      </c>
      <c r="AS124" s="33" t="s">
        <v>107</v>
      </c>
      <c r="AT124" s="43" t="s">
        <v>107</v>
      </c>
      <c r="AU124" s="42" t="s">
        <v>107</v>
      </c>
      <c r="AV124" s="18" t="s">
        <v>107</v>
      </c>
      <c r="AW124">
        <f>1-AX124</f>
        <v>0.66700000000000004</v>
      </c>
      <c r="AX124" s="40">
        <v>0.33300000000000002</v>
      </c>
      <c r="AY124" t="s">
        <v>107</v>
      </c>
      <c r="AZ124" s="40" t="s">
        <v>107</v>
      </c>
      <c r="BB124" s="18"/>
      <c r="BC124">
        <f t="shared" si="110"/>
        <v>0.32399999999999995</v>
      </c>
      <c r="BD124" s="18">
        <v>0.67600000000000005</v>
      </c>
      <c r="BE124" s="18" t="s">
        <v>13</v>
      </c>
      <c r="BL124" s="18"/>
      <c r="BO124" s="18"/>
      <c r="BR124" s="25">
        <v>35.192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 s="18">
        <v>1</v>
      </c>
      <c r="CA124">
        <v>0</v>
      </c>
      <c r="CB124">
        <v>1</v>
      </c>
      <c r="CC124">
        <v>0</v>
      </c>
      <c r="CD124" s="18">
        <v>0</v>
      </c>
      <c r="CE124">
        <v>0</v>
      </c>
      <c r="CF124">
        <v>0</v>
      </c>
      <c r="CG124">
        <v>0</v>
      </c>
      <c r="CH124">
        <v>0</v>
      </c>
      <c r="CI124" s="18">
        <v>1</v>
      </c>
      <c r="CJ124">
        <v>1</v>
      </c>
      <c r="CK124">
        <v>1</v>
      </c>
      <c r="CL124">
        <v>1</v>
      </c>
      <c r="CM124">
        <v>1</v>
      </c>
      <c r="CN124">
        <v>0</v>
      </c>
      <c r="CO124">
        <v>0</v>
      </c>
      <c r="CP124">
        <v>1</v>
      </c>
      <c r="CQ124">
        <v>0</v>
      </c>
      <c r="CR124">
        <v>0</v>
      </c>
      <c r="CS124">
        <v>1</v>
      </c>
      <c r="CT124" s="18">
        <v>0</v>
      </c>
      <c r="CZ124" s="34" t="s">
        <v>87</v>
      </c>
    </row>
    <row r="125" spans="1:104" x14ac:dyDescent="0.25">
      <c r="A125">
        <v>124</v>
      </c>
      <c r="B125">
        <v>12</v>
      </c>
      <c r="C125" s="25" t="s">
        <v>151</v>
      </c>
      <c r="D125" s="12">
        <v>-19.5</v>
      </c>
      <c r="E125" s="14">
        <v>12.6</v>
      </c>
      <c r="F125" s="7">
        <f t="shared" si="104"/>
        <v>-1.5476190476190477</v>
      </c>
      <c r="G125" s="7">
        <f t="shared" si="105"/>
        <v>-32.1</v>
      </c>
      <c r="H125" s="16">
        <f t="shared" si="106"/>
        <v>-6.9</v>
      </c>
      <c r="I125" s="11">
        <f t="shared" si="33"/>
        <v>-2.7979907931522052E-2</v>
      </c>
      <c r="J125" s="33">
        <f t="shared" si="34"/>
        <v>1.8079325124983479E-2</v>
      </c>
      <c r="K125" s="33">
        <f t="shared" si="107"/>
        <v>55.311799145539943</v>
      </c>
      <c r="L125" s="33">
        <f t="shared" si="108"/>
        <v>-4.6059233056505527E-2</v>
      </c>
      <c r="M125" s="33">
        <f t="shared" si="109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97"/>
        <v>3057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9">
        <v>0</v>
      </c>
      <c r="AL125" s="30">
        <v>0</v>
      </c>
      <c r="AM125" s="21">
        <v>2008</v>
      </c>
      <c r="AN125" s="23"/>
      <c r="AO125" s="33" t="s">
        <v>107</v>
      </c>
      <c r="AP125" s="33" t="s">
        <v>107</v>
      </c>
      <c r="AQ125" s="33" t="s">
        <v>107</v>
      </c>
      <c r="AR125" s="43" t="s">
        <v>107</v>
      </c>
      <c r="AS125" s="33" t="s">
        <v>107</v>
      </c>
      <c r="AT125" s="43" t="s">
        <v>107</v>
      </c>
      <c r="AU125" s="42" t="s">
        <v>107</v>
      </c>
      <c r="AV125" s="18" t="s">
        <v>107</v>
      </c>
      <c r="AW125">
        <v>1</v>
      </c>
      <c r="AX125" s="40">
        <v>0</v>
      </c>
      <c r="AY125" t="s">
        <v>107</v>
      </c>
      <c r="AZ125" s="40" t="s">
        <v>107</v>
      </c>
      <c r="BB125" s="18"/>
      <c r="BC125">
        <f t="shared" si="110"/>
        <v>0.35099999999999998</v>
      </c>
      <c r="BD125" s="18">
        <v>0.64900000000000002</v>
      </c>
      <c r="BE125" s="18" t="s">
        <v>13</v>
      </c>
      <c r="BL125" s="18"/>
      <c r="BO125" s="18"/>
      <c r="BR125" s="25">
        <v>35.417000000000002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 s="18">
        <v>1</v>
      </c>
      <c r="CA125">
        <v>0</v>
      </c>
      <c r="CB125">
        <v>1</v>
      </c>
      <c r="CC125">
        <v>0</v>
      </c>
      <c r="CD125" s="18">
        <v>0</v>
      </c>
      <c r="CE125">
        <v>0</v>
      </c>
      <c r="CF125">
        <v>0</v>
      </c>
      <c r="CG125">
        <v>0</v>
      </c>
      <c r="CH125">
        <v>0</v>
      </c>
      <c r="CI125" s="18">
        <v>1</v>
      </c>
      <c r="CJ125">
        <v>1</v>
      </c>
      <c r="CK125">
        <v>1</v>
      </c>
      <c r="CL125">
        <v>1</v>
      </c>
      <c r="CM125">
        <v>1</v>
      </c>
      <c r="CN125">
        <v>0</v>
      </c>
      <c r="CO125">
        <v>0</v>
      </c>
      <c r="CP125">
        <v>1</v>
      </c>
      <c r="CQ125">
        <v>0</v>
      </c>
      <c r="CR125">
        <v>0</v>
      </c>
      <c r="CS125">
        <v>1</v>
      </c>
      <c r="CT125" s="18">
        <v>0</v>
      </c>
      <c r="CZ125" s="34" t="s">
        <v>87</v>
      </c>
    </row>
    <row r="126" spans="1:104" x14ac:dyDescent="0.25">
      <c r="A126">
        <v>125</v>
      </c>
      <c r="B126">
        <v>12</v>
      </c>
      <c r="C126" s="25" t="s">
        <v>151</v>
      </c>
      <c r="D126" s="12">
        <v>6.4</v>
      </c>
      <c r="E126" s="14">
        <v>2.6</v>
      </c>
      <c r="F126" s="7">
        <f t="shared" si="104"/>
        <v>2.4615384615384617</v>
      </c>
      <c r="G126" s="7">
        <f t="shared" si="105"/>
        <v>3.8000000000000003</v>
      </c>
      <c r="H126" s="16">
        <f t="shared" si="106"/>
        <v>9</v>
      </c>
      <c r="I126" s="11">
        <f t="shared" si="33"/>
        <v>6.2949818167269231E-2</v>
      </c>
      <c r="J126" s="33">
        <f t="shared" si="34"/>
        <v>2.5573363630453125E-2</v>
      </c>
      <c r="K126" s="33">
        <f t="shared" si="107"/>
        <v>39.103186207745694</v>
      </c>
      <c r="L126" s="33">
        <f t="shared" si="108"/>
        <v>3.7376454536816109E-2</v>
      </c>
      <c r="M126" s="33">
        <f t="shared" si="109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97"/>
        <v>1523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9">
        <v>0</v>
      </c>
      <c r="AL126" s="30">
        <v>0</v>
      </c>
      <c r="AM126" s="21">
        <v>2008</v>
      </c>
      <c r="AN126" s="23"/>
      <c r="AO126" s="33" t="s">
        <v>107</v>
      </c>
      <c r="AP126" s="33" t="s">
        <v>107</v>
      </c>
      <c r="AQ126" s="33" t="s">
        <v>107</v>
      </c>
      <c r="AR126" s="43" t="s">
        <v>107</v>
      </c>
      <c r="AS126" s="33" t="s">
        <v>107</v>
      </c>
      <c r="AT126" s="43" t="s">
        <v>107</v>
      </c>
      <c r="AU126" s="42" t="s">
        <v>107</v>
      </c>
      <c r="AV126" s="18" t="s">
        <v>107</v>
      </c>
      <c r="AW126">
        <v>0</v>
      </c>
      <c r="AX126" s="40">
        <v>1</v>
      </c>
      <c r="AY126" t="s">
        <v>107</v>
      </c>
      <c r="AZ126" s="40" t="s">
        <v>107</v>
      </c>
      <c r="BB126" s="18"/>
      <c r="BC126">
        <f t="shared" si="110"/>
        <v>0.27</v>
      </c>
      <c r="BD126" s="18">
        <v>0.73</v>
      </c>
      <c r="BE126" s="18" t="s">
        <v>13</v>
      </c>
      <c r="BL126" s="18"/>
      <c r="BO126" s="18"/>
      <c r="BR126" s="25">
        <v>34.741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 s="18">
        <v>1</v>
      </c>
      <c r="CA126">
        <v>0</v>
      </c>
      <c r="CB126">
        <v>1</v>
      </c>
      <c r="CC126">
        <v>0</v>
      </c>
      <c r="CD126" s="18">
        <v>0</v>
      </c>
      <c r="CE126">
        <v>0</v>
      </c>
      <c r="CF126">
        <v>0</v>
      </c>
      <c r="CG126">
        <v>0</v>
      </c>
      <c r="CH126">
        <v>0</v>
      </c>
      <c r="CI126" s="18">
        <v>1</v>
      </c>
      <c r="CJ126">
        <v>1</v>
      </c>
      <c r="CK126">
        <v>1</v>
      </c>
      <c r="CL126">
        <v>1</v>
      </c>
      <c r="CM126">
        <v>1</v>
      </c>
      <c r="CN126">
        <v>0</v>
      </c>
      <c r="CO126">
        <v>0</v>
      </c>
      <c r="CP126">
        <v>1</v>
      </c>
      <c r="CQ126">
        <v>0</v>
      </c>
      <c r="CR126">
        <v>0</v>
      </c>
      <c r="CS126">
        <v>1</v>
      </c>
      <c r="CT126" s="18">
        <v>0</v>
      </c>
      <c r="CZ126" s="34" t="s">
        <v>87</v>
      </c>
    </row>
    <row r="127" spans="1:104" x14ac:dyDescent="0.25">
      <c r="A127">
        <v>126</v>
      </c>
      <c r="B127">
        <v>12</v>
      </c>
      <c r="C127" s="25" t="s">
        <v>151</v>
      </c>
      <c r="D127" s="12">
        <v>6.2</v>
      </c>
      <c r="E127" s="14">
        <v>5</v>
      </c>
      <c r="F127" s="7">
        <f t="shared" si="104"/>
        <v>1.24</v>
      </c>
      <c r="G127" s="7">
        <f t="shared" si="105"/>
        <v>1.2000000000000002</v>
      </c>
      <c r="H127" s="16">
        <f t="shared" si="106"/>
        <v>11.2</v>
      </c>
      <c r="I127" s="11">
        <f t="shared" si="33"/>
        <v>1.8305624004556733E-2</v>
      </c>
      <c r="J127" s="33">
        <f t="shared" si="34"/>
        <v>1.4762600003674785E-2</v>
      </c>
      <c r="K127" s="33">
        <f t="shared" si="107"/>
        <v>67.738745190621884</v>
      </c>
      <c r="L127" s="33">
        <f t="shared" si="108"/>
        <v>3.5430240008819478E-3</v>
      </c>
      <c r="M127" s="33">
        <f t="shared" si="109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97"/>
        <v>4587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9">
        <v>0</v>
      </c>
      <c r="AL127" s="30">
        <v>0</v>
      </c>
      <c r="AM127" s="21">
        <v>2008</v>
      </c>
      <c r="AN127" s="23"/>
      <c r="AO127" s="33" t="s">
        <v>107</v>
      </c>
      <c r="AP127" s="33" t="s">
        <v>107</v>
      </c>
      <c r="AQ127" s="33" t="s">
        <v>107</v>
      </c>
      <c r="AR127" s="43" t="s">
        <v>107</v>
      </c>
      <c r="AS127" s="33" t="s">
        <v>107</v>
      </c>
      <c r="AT127" s="43" t="s">
        <v>107</v>
      </c>
      <c r="AU127" s="42" t="s">
        <v>107</v>
      </c>
      <c r="AV127" s="18" t="s">
        <v>107</v>
      </c>
      <c r="AW127">
        <f>1-AX127</f>
        <v>0.66700000000000004</v>
      </c>
      <c r="AX127" s="40">
        <v>0.33300000000000002</v>
      </c>
      <c r="AY127" t="s">
        <v>107</v>
      </c>
      <c r="AZ127" s="40" t="s">
        <v>107</v>
      </c>
      <c r="BB127" s="18"/>
      <c r="BC127">
        <f t="shared" si="110"/>
        <v>0.32399999999999995</v>
      </c>
      <c r="BD127" s="18">
        <v>0.67600000000000005</v>
      </c>
      <c r="BE127" s="18" t="s">
        <v>13</v>
      </c>
      <c r="BL127" s="18"/>
      <c r="BO127" s="18"/>
      <c r="BR127" s="25">
        <v>35.192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 s="18">
        <v>1</v>
      </c>
      <c r="CA127">
        <v>0</v>
      </c>
      <c r="CB127">
        <v>1</v>
      </c>
      <c r="CC127">
        <v>0</v>
      </c>
      <c r="CD127" s="18">
        <v>0</v>
      </c>
      <c r="CE127">
        <v>0</v>
      </c>
      <c r="CF127">
        <v>0</v>
      </c>
      <c r="CG127">
        <v>0</v>
      </c>
      <c r="CH127">
        <v>0</v>
      </c>
      <c r="CI127" s="18">
        <v>1</v>
      </c>
      <c r="CJ127">
        <v>1</v>
      </c>
      <c r="CK127">
        <v>1</v>
      </c>
      <c r="CL127">
        <v>1</v>
      </c>
      <c r="CM127">
        <v>1</v>
      </c>
      <c r="CN127">
        <v>0</v>
      </c>
      <c r="CO127">
        <v>0</v>
      </c>
      <c r="CP127">
        <v>1</v>
      </c>
      <c r="CQ127">
        <v>0</v>
      </c>
      <c r="CR127">
        <v>0</v>
      </c>
      <c r="CS127">
        <v>1</v>
      </c>
      <c r="CT127" s="18">
        <v>1</v>
      </c>
      <c r="CZ127" s="34" t="s">
        <v>87</v>
      </c>
    </row>
    <row r="128" spans="1:104" x14ac:dyDescent="0.25">
      <c r="A128">
        <v>127</v>
      </c>
      <c r="B128">
        <v>12</v>
      </c>
      <c r="C128" s="25" t="s">
        <v>151</v>
      </c>
      <c r="D128" s="12">
        <v>22.1</v>
      </c>
      <c r="E128" s="14">
        <v>17.7</v>
      </c>
      <c r="F128" s="7">
        <f t="shared" si="104"/>
        <v>1.2485875706214691</v>
      </c>
      <c r="G128" s="7">
        <f t="shared" si="105"/>
        <v>4.4000000000000021</v>
      </c>
      <c r="H128" s="16">
        <f t="shared" si="106"/>
        <v>39.799999999999997</v>
      </c>
      <c r="I128" s="11">
        <f t="shared" si="33"/>
        <v>2.257670603186834E-2</v>
      </c>
      <c r="J128" s="33">
        <f t="shared" si="34"/>
        <v>1.8081796233668308E-2</v>
      </c>
      <c r="K128" s="33">
        <f t="shared" si="107"/>
        <v>55.304240080860986</v>
      </c>
      <c r="L128" s="33">
        <f t="shared" si="108"/>
        <v>4.4949097982000322E-3</v>
      </c>
      <c r="M128" s="33">
        <f t="shared" si="109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97"/>
        <v>3057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9">
        <v>0</v>
      </c>
      <c r="AL128" s="30">
        <v>0</v>
      </c>
      <c r="AM128" s="21">
        <v>2008</v>
      </c>
      <c r="AN128" s="23"/>
      <c r="AO128" s="33" t="s">
        <v>107</v>
      </c>
      <c r="AP128" s="33" t="s">
        <v>107</v>
      </c>
      <c r="AQ128" s="33" t="s">
        <v>107</v>
      </c>
      <c r="AR128" s="43" t="s">
        <v>107</v>
      </c>
      <c r="AS128" s="33" t="s">
        <v>107</v>
      </c>
      <c r="AT128" s="43" t="s">
        <v>107</v>
      </c>
      <c r="AU128" s="42" t="s">
        <v>107</v>
      </c>
      <c r="AV128" s="18" t="s">
        <v>107</v>
      </c>
      <c r="AW128">
        <v>1</v>
      </c>
      <c r="AX128" s="40">
        <v>0</v>
      </c>
      <c r="AY128" t="s">
        <v>107</v>
      </c>
      <c r="AZ128" s="40" t="s">
        <v>107</v>
      </c>
      <c r="BB128" s="18"/>
      <c r="BC128">
        <f t="shared" si="110"/>
        <v>0.35099999999999998</v>
      </c>
      <c r="BD128" s="18">
        <v>0.64900000000000002</v>
      </c>
      <c r="BE128" s="18" t="s">
        <v>13</v>
      </c>
      <c r="BL128" s="18"/>
      <c r="BO128" s="18"/>
      <c r="BR128" s="25">
        <v>35.417000000000002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 s="18">
        <v>1</v>
      </c>
      <c r="CA128">
        <v>0</v>
      </c>
      <c r="CB128">
        <v>1</v>
      </c>
      <c r="CC128">
        <v>0</v>
      </c>
      <c r="CD128" s="18">
        <v>0</v>
      </c>
      <c r="CE128">
        <v>0</v>
      </c>
      <c r="CF128">
        <v>0</v>
      </c>
      <c r="CG128">
        <v>0</v>
      </c>
      <c r="CH128">
        <v>0</v>
      </c>
      <c r="CI128" s="18">
        <v>1</v>
      </c>
      <c r="CJ128">
        <v>1</v>
      </c>
      <c r="CK128">
        <v>1</v>
      </c>
      <c r="CL128">
        <v>1</v>
      </c>
      <c r="CM128">
        <v>1</v>
      </c>
      <c r="CN128">
        <v>0</v>
      </c>
      <c r="CO128">
        <v>0</v>
      </c>
      <c r="CP128">
        <v>1</v>
      </c>
      <c r="CQ128">
        <v>0</v>
      </c>
      <c r="CR128">
        <v>0</v>
      </c>
      <c r="CS128">
        <v>1</v>
      </c>
      <c r="CT128" s="18">
        <v>1</v>
      </c>
      <c r="CZ128" s="34" t="s">
        <v>87</v>
      </c>
    </row>
    <row r="129" spans="1:104" x14ac:dyDescent="0.25">
      <c r="A129">
        <v>128</v>
      </c>
      <c r="B129">
        <v>12</v>
      </c>
      <c r="C129" s="25" t="s">
        <v>151</v>
      </c>
      <c r="D129" s="12">
        <v>-6.4</v>
      </c>
      <c r="E129" s="14">
        <v>6.5</v>
      </c>
      <c r="F129" s="7">
        <f t="shared" si="104"/>
        <v>-0.98461538461538467</v>
      </c>
      <c r="G129" s="7">
        <f t="shared" si="105"/>
        <v>-12.9</v>
      </c>
      <c r="H129" s="16">
        <f t="shared" si="106"/>
        <v>9.9999999999999645E-2</v>
      </c>
      <c r="I129" s="11">
        <f t="shared" si="33"/>
        <v>-2.5221939773177167E-2</v>
      </c>
      <c r="J129" s="33">
        <f t="shared" si="34"/>
        <v>2.5616032582133057E-2</v>
      </c>
      <c r="K129" s="33">
        <f t="shared" si="107"/>
        <v>39.038051532519155</v>
      </c>
      <c r="L129" s="33">
        <f t="shared" si="108"/>
        <v>-5.0837972355310221E-2</v>
      </c>
      <c r="M129" s="33">
        <f t="shared" si="109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97"/>
        <v>1523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9">
        <v>0</v>
      </c>
      <c r="AL129" s="30">
        <v>0</v>
      </c>
      <c r="AM129" s="21">
        <v>2008</v>
      </c>
      <c r="AN129" s="23"/>
      <c r="AO129" s="33" t="s">
        <v>107</v>
      </c>
      <c r="AP129" s="33" t="s">
        <v>107</v>
      </c>
      <c r="AQ129" s="33" t="s">
        <v>107</v>
      </c>
      <c r="AR129" s="43" t="s">
        <v>107</v>
      </c>
      <c r="AS129" s="33" t="s">
        <v>107</v>
      </c>
      <c r="AT129" s="43" t="s">
        <v>107</v>
      </c>
      <c r="AU129" s="42" t="s">
        <v>107</v>
      </c>
      <c r="AV129" s="18" t="s">
        <v>107</v>
      </c>
      <c r="AW129">
        <v>0</v>
      </c>
      <c r="AX129" s="40">
        <v>1</v>
      </c>
      <c r="AY129" t="s">
        <v>107</v>
      </c>
      <c r="AZ129" s="40" t="s">
        <v>107</v>
      </c>
      <c r="BB129" s="18"/>
      <c r="BC129">
        <f t="shared" si="110"/>
        <v>0.27</v>
      </c>
      <c r="BD129" s="18">
        <v>0.73</v>
      </c>
      <c r="BE129" s="18" t="s">
        <v>13</v>
      </c>
      <c r="BL129" s="18"/>
      <c r="BO129" s="18"/>
      <c r="BR129" s="25">
        <v>34.741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 s="18">
        <v>1</v>
      </c>
      <c r="CA129">
        <v>0</v>
      </c>
      <c r="CB129">
        <v>1</v>
      </c>
      <c r="CC129">
        <v>0</v>
      </c>
      <c r="CD129" s="18">
        <v>0</v>
      </c>
      <c r="CE129">
        <v>0</v>
      </c>
      <c r="CF129">
        <v>0</v>
      </c>
      <c r="CG129">
        <v>0</v>
      </c>
      <c r="CH129">
        <v>0</v>
      </c>
      <c r="CI129" s="18">
        <v>1</v>
      </c>
      <c r="CJ129">
        <v>1</v>
      </c>
      <c r="CK129">
        <v>1</v>
      </c>
      <c r="CL129">
        <v>1</v>
      </c>
      <c r="CM129">
        <v>1</v>
      </c>
      <c r="CN129">
        <v>0</v>
      </c>
      <c r="CO129">
        <v>0</v>
      </c>
      <c r="CP129">
        <v>1</v>
      </c>
      <c r="CQ129">
        <v>0</v>
      </c>
      <c r="CR129">
        <v>0</v>
      </c>
      <c r="CS129">
        <v>1</v>
      </c>
      <c r="CT129" s="18">
        <v>1</v>
      </c>
      <c r="CZ129" s="34" t="s">
        <v>87</v>
      </c>
    </row>
    <row r="130" spans="1:104" x14ac:dyDescent="0.25">
      <c r="A130">
        <v>129</v>
      </c>
      <c r="B130">
        <v>12</v>
      </c>
      <c r="C130" s="25" t="s">
        <v>151</v>
      </c>
      <c r="D130" s="12">
        <v>6.9</v>
      </c>
      <c r="E130" s="14">
        <v>0.4</v>
      </c>
      <c r="F130" s="7">
        <f t="shared" si="104"/>
        <v>17.25</v>
      </c>
      <c r="G130" s="7">
        <f t="shared" si="105"/>
        <v>6.5</v>
      </c>
      <c r="H130" s="16">
        <f t="shared" si="106"/>
        <v>7.3000000000000007</v>
      </c>
      <c r="I130" s="11">
        <f t="shared" ref="I130:I193" si="111">IFERROR(F130/SQRT(F130^2+W130), "X")</f>
        <v>0.24681767895018253</v>
      </c>
      <c r="J130" s="33">
        <f t="shared" ref="J130:J193" si="112">IFERROR(SQRT((1-I130^2)/W130), "X")</f>
        <v>1.4308271243488843E-2</v>
      </c>
      <c r="K130" s="33">
        <f t="shared" si="107"/>
        <v>69.889645155773977</v>
      </c>
      <c r="L130" s="33">
        <f t="shared" si="108"/>
        <v>0.23250940770669368</v>
      </c>
      <c r="M130" s="33">
        <f t="shared" si="109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97"/>
        <v>4587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9">
        <v>0</v>
      </c>
      <c r="AL130" s="30">
        <v>0</v>
      </c>
      <c r="AM130" s="21">
        <v>2008</v>
      </c>
      <c r="AN130" s="23"/>
      <c r="AO130" s="33" t="s">
        <v>107</v>
      </c>
      <c r="AP130" s="33" t="s">
        <v>107</v>
      </c>
      <c r="AQ130" s="33" t="s">
        <v>107</v>
      </c>
      <c r="AR130" s="43" t="s">
        <v>107</v>
      </c>
      <c r="AS130" s="33" t="s">
        <v>107</v>
      </c>
      <c r="AT130" s="43" t="s">
        <v>107</v>
      </c>
      <c r="AU130" s="42" t="s">
        <v>107</v>
      </c>
      <c r="AV130" s="18" t="s">
        <v>107</v>
      </c>
      <c r="AW130">
        <f>1-AX130</f>
        <v>0.66700000000000004</v>
      </c>
      <c r="AX130" s="40">
        <v>0.33300000000000002</v>
      </c>
      <c r="AY130" t="s">
        <v>107</v>
      </c>
      <c r="AZ130" s="40" t="s">
        <v>107</v>
      </c>
      <c r="BB130" s="18"/>
      <c r="BC130">
        <f t="shared" si="110"/>
        <v>0.32399999999999995</v>
      </c>
      <c r="BD130" s="18">
        <v>0.67600000000000005</v>
      </c>
      <c r="BE130" s="18" t="s">
        <v>13</v>
      </c>
      <c r="BL130" s="18"/>
      <c r="BO130" s="18"/>
      <c r="BR130" s="25">
        <v>35.192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 s="18">
        <v>1</v>
      </c>
      <c r="CA130">
        <v>0</v>
      </c>
      <c r="CB130">
        <v>1</v>
      </c>
      <c r="CC130">
        <v>0</v>
      </c>
      <c r="CD130" s="18">
        <v>0</v>
      </c>
      <c r="CE130">
        <v>1</v>
      </c>
      <c r="CF130">
        <v>0</v>
      </c>
      <c r="CG130">
        <v>0</v>
      </c>
      <c r="CH130">
        <v>0</v>
      </c>
      <c r="CI130" s="18">
        <v>0</v>
      </c>
      <c r="CJ130">
        <v>1</v>
      </c>
      <c r="CK130">
        <v>1</v>
      </c>
      <c r="CL130">
        <v>1</v>
      </c>
      <c r="CM130">
        <v>1</v>
      </c>
      <c r="CN130">
        <v>0</v>
      </c>
      <c r="CO130">
        <v>0</v>
      </c>
      <c r="CP130">
        <v>1</v>
      </c>
      <c r="CQ130">
        <v>0</v>
      </c>
      <c r="CR130">
        <v>0</v>
      </c>
      <c r="CS130">
        <v>1</v>
      </c>
      <c r="CT130" s="18">
        <v>0</v>
      </c>
      <c r="CZ130" s="34" t="s">
        <v>87</v>
      </c>
    </row>
    <row r="131" spans="1:104" x14ac:dyDescent="0.25">
      <c r="A131">
        <v>130</v>
      </c>
      <c r="B131">
        <v>12</v>
      </c>
      <c r="C131" s="25" t="s">
        <v>151</v>
      </c>
      <c r="D131" s="12">
        <v>6.6</v>
      </c>
      <c r="E131" s="14">
        <v>0.5</v>
      </c>
      <c r="F131" s="7">
        <f t="shared" si="104"/>
        <v>13.2</v>
      </c>
      <c r="G131" s="7">
        <f t="shared" si="105"/>
        <v>6.1</v>
      </c>
      <c r="H131" s="16">
        <f t="shared" si="106"/>
        <v>7.1</v>
      </c>
      <c r="I131" s="11">
        <f t="shared" si="111"/>
        <v>0.23221449381289103</v>
      </c>
      <c r="J131" s="33">
        <f t="shared" si="112"/>
        <v>1.7592007107037198E-2</v>
      </c>
      <c r="K131" s="33">
        <f t="shared" si="107"/>
        <v>56.843997044542888</v>
      </c>
      <c r="L131" s="33">
        <f t="shared" si="108"/>
        <v>0.21462248670585382</v>
      </c>
      <c r="M131" s="33">
        <f t="shared" si="109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97"/>
        <v>3057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9">
        <v>0</v>
      </c>
      <c r="AL131" s="30">
        <v>0</v>
      </c>
      <c r="AM131" s="21">
        <v>2008</v>
      </c>
      <c r="AN131" s="23"/>
      <c r="AO131" s="33" t="s">
        <v>107</v>
      </c>
      <c r="AP131" s="33" t="s">
        <v>107</v>
      </c>
      <c r="AQ131" s="33" t="s">
        <v>107</v>
      </c>
      <c r="AR131" s="43" t="s">
        <v>107</v>
      </c>
      <c r="AS131" s="33" t="s">
        <v>107</v>
      </c>
      <c r="AT131" s="43" t="s">
        <v>107</v>
      </c>
      <c r="AU131" s="42" t="s">
        <v>107</v>
      </c>
      <c r="AV131" s="18" t="s">
        <v>107</v>
      </c>
      <c r="AW131">
        <v>1</v>
      </c>
      <c r="AX131" s="40">
        <v>0</v>
      </c>
      <c r="AY131" t="s">
        <v>107</v>
      </c>
      <c r="AZ131" s="40" t="s">
        <v>107</v>
      </c>
      <c r="BB131" s="18"/>
      <c r="BC131">
        <f t="shared" si="110"/>
        <v>0.35099999999999998</v>
      </c>
      <c r="BD131" s="18">
        <v>0.64900000000000002</v>
      </c>
      <c r="BE131" s="18" t="s">
        <v>13</v>
      </c>
      <c r="BL131" s="18"/>
      <c r="BO131" s="18"/>
      <c r="BR131" s="25">
        <v>35.417000000000002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 s="18">
        <v>1</v>
      </c>
      <c r="CA131">
        <v>0</v>
      </c>
      <c r="CB131">
        <v>1</v>
      </c>
      <c r="CC131">
        <v>0</v>
      </c>
      <c r="CD131" s="18">
        <v>0</v>
      </c>
      <c r="CE131">
        <v>1</v>
      </c>
      <c r="CF131">
        <v>0</v>
      </c>
      <c r="CG131">
        <v>0</v>
      </c>
      <c r="CH131">
        <v>0</v>
      </c>
      <c r="CI131" s="18">
        <v>0</v>
      </c>
      <c r="CJ131">
        <v>1</v>
      </c>
      <c r="CK131">
        <v>1</v>
      </c>
      <c r="CL131">
        <v>1</v>
      </c>
      <c r="CM131">
        <v>1</v>
      </c>
      <c r="CN131">
        <v>0</v>
      </c>
      <c r="CO131">
        <v>0</v>
      </c>
      <c r="CP131">
        <v>1</v>
      </c>
      <c r="CQ131">
        <v>0</v>
      </c>
      <c r="CR131">
        <v>0</v>
      </c>
      <c r="CS131">
        <v>1</v>
      </c>
      <c r="CT131" s="18">
        <v>0</v>
      </c>
      <c r="CZ131" s="34" t="s">
        <v>87</v>
      </c>
    </row>
    <row r="132" spans="1:104" x14ac:dyDescent="0.25">
      <c r="A132">
        <v>131</v>
      </c>
      <c r="B132">
        <v>12</v>
      </c>
      <c r="C132" s="25" t="s">
        <v>151</v>
      </c>
      <c r="D132" s="12">
        <v>7.4</v>
      </c>
      <c r="E132" s="14">
        <v>0.5</v>
      </c>
      <c r="F132" s="7">
        <f t="shared" si="104"/>
        <v>14.8</v>
      </c>
      <c r="G132" s="7">
        <f t="shared" si="105"/>
        <v>6.9</v>
      </c>
      <c r="H132" s="16">
        <f t="shared" si="106"/>
        <v>7.9</v>
      </c>
      <c r="I132" s="11">
        <f t="shared" si="111"/>
        <v>0.35459503793303371</v>
      </c>
      <c r="J132" s="33">
        <f t="shared" si="112"/>
        <v>2.3959124184664435E-2</v>
      </c>
      <c r="K132" s="33">
        <f t="shared" si="107"/>
        <v>41.737752694652841</v>
      </c>
      <c r="L132" s="33">
        <f t="shared" si="108"/>
        <v>0.33063591374836926</v>
      </c>
      <c r="M132" s="33">
        <f t="shared" si="109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97"/>
        <v>1523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9">
        <v>0</v>
      </c>
      <c r="AL132" s="30">
        <v>0</v>
      </c>
      <c r="AM132" s="21">
        <v>2008</v>
      </c>
      <c r="AN132" s="23"/>
      <c r="AO132" s="33" t="s">
        <v>107</v>
      </c>
      <c r="AP132" s="33" t="s">
        <v>107</v>
      </c>
      <c r="AQ132" s="33" t="s">
        <v>107</v>
      </c>
      <c r="AR132" s="43" t="s">
        <v>107</v>
      </c>
      <c r="AS132" s="33" t="s">
        <v>107</v>
      </c>
      <c r="AT132" s="43" t="s">
        <v>107</v>
      </c>
      <c r="AU132" s="42" t="s">
        <v>107</v>
      </c>
      <c r="AV132" s="18" t="s">
        <v>107</v>
      </c>
      <c r="AW132">
        <v>0</v>
      </c>
      <c r="AX132" s="40">
        <v>1</v>
      </c>
      <c r="AY132" t="s">
        <v>107</v>
      </c>
      <c r="AZ132" s="40" t="s">
        <v>107</v>
      </c>
      <c r="BB132" s="18"/>
      <c r="BC132">
        <f t="shared" si="110"/>
        <v>0.27</v>
      </c>
      <c r="BD132" s="18">
        <v>0.73</v>
      </c>
      <c r="BE132" s="18" t="s">
        <v>13</v>
      </c>
      <c r="BL132" s="18"/>
      <c r="BO132" s="18"/>
      <c r="BR132" s="25">
        <v>34.741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 s="18">
        <v>1</v>
      </c>
      <c r="CA132">
        <v>0</v>
      </c>
      <c r="CB132">
        <v>1</v>
      </c>
      <c r="CC132">
        <v>0</v>
      </c>
      <c r="CD132" s="18">
        <v>0</v>
      </c>
      <c r="CE132">
        <v>1</v>
      </c>
      <c r="CF132">
        <v>0</v>
      </c>
      <c r="CG132">
        <v>0</v>
      </c>
      <c r="CH132">
        <v>0</v>
      </c>
      <c r="CI132" s="18">
        <v>0</v>
      </c>
      <c r="CJ132">
        <v>1</v>
      </c>
      <c r="CK132">
        <v>1</v>
      </c>
      <c r="CL132">
        <v>1</v>
      </c>
      <c r="CM132">
        <v>1</v>
      </c>
      <c r="CN132">
        <v>0</v>
      </c>
      <c r="CO132">
        <v>0</v>
      </c>
      <c r="CP132">
        <v>1</v>
      </c>
      <c r="CQ132">
        <v>0</v>
      </c>
      <c r="CR132">
        <v>0</v>
      </c>
      <c r="CS132">
        <v>1</v>
      </c>
      <c r="CT132" s="18">
        <v>0</v>
      </c>
      <c r="CZ132" s="34" t="s">
        <v>87</v>
      </c>
    </row>
    <row r="133" spans="1:104" x14ac:dyDescent="0.25">
      <c r="A133">
        <v>132</v>
      </c>
      <c r="B133">
        <v>12</v>
      </c>
      <c r="C133" s="25" t="s">
        <v>151</v>
      </c>
      <c r="D133" s="12">
        <v>6.2</v>
      </c>
      <c r="E133" s="14">
        <v>0.6</v>
      </c>
      <c r="F133" s="7">
        <f t="shared" si="104"/>
        <v>10.333333333333334</v>
      </c>
      <c r="G133" s="7">
        <f t="shared" si="105"/>
        <v>5.6000000000000005</v>
      </c>
      <c r="H133" s="16">
        <f t="shared" si="106"/>
        <v>6.8</v>
      </c>
      <c r="I133" s="11">
        <f t="shared" si="111"/>
        <v>0.15082702916904969</v>
      </c>
      <c r="J133" s="33">
        <f t="shared" si="112"/>
        <v>1.4596164113133841E-2</v>
      </c>
      <c r="K133" s="33">
        <f t="shared" si="107"/>
        <v>68.511150755025113</v>
      </c>
      <c r="L133" s="33">
        <f t="shared" si="108"/>
        <v>0.13623086505591586</v>
      </c>
      <c r="M133" s="33">
        <f t="shared" si="109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97"/>
        <v>4587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9">
        <v>0</v>
      </c>
      <c r="AL133" s="30">
        <v>0</v>
      </c>
      <c r="AM133" s="21">
        <v>2008</v>
      </c>
      <c r="AN133" s="23"/>
      <c r="AO133" s="33" t="s">
        <v>107</v>
      </c>
      <c r="AP133" s="33" t="s">
        <v>107</v>
      </c>
      <c r="AQ133" s="33" t="s">
        <v>107</v>
      </c>
      <c r="AR133" s="43" t="s">
        <v>107</v>
      </c>
      <c r="AS133" s="33" t="s">
        <v>107</v>
      </c>
      <c r="AT133" s="43" t="s">
        <v>107</v>
      </c>
      <c r="AU133" s="42" t="s">
        <v>107</v>
      </c>
      <c r="AV133" s="18" t="s">
        <v>107</v>
      </c>
      <c r="AW133">
        <f>1-AX133</f>
        <v>0.66700000000000004</v>
      </c>
      <c r="AX133" s="40">
        <v>0.33300000000000002</v>
      </c>
      <c r="AY133" t="s">
        <v>107</v>
      </c>
      <c r="AZ133" s="40" t="s">
        <v>107</v>
      </c>
      <c r="BB133" s="18"/>
      <c r="BC133">
        <f t="shared" si="110"/>
        <v>0.32399999999999995</v>
      </c>
      <c r="BD133" s="18">
        <v>0.67600000000000005</v>
      </c>
      <c r="BE133" s="18" t="s">
        <v>13</v>
      </c>
      <c r="BL133" s="18"/>
      <c r="BO133" s="18"/>
      <c r="BR133" s="25">
        <v>35.192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 s="18">
        <v>1</v>
      </c>
      <c r="CA133">
        <v>0</v>
      </c>
      <c r="CB133">
        <v>1</v>
      </c>
      <c r="CC133">
        <v>0</v>
      </c>
      <c r="CD133" s="18">
        <v>0</v>
      </c>
      <c r="CE133">
        <v>0</v>
      </c>
      <c r="CF133">
        <v>0</v>
      </c>
      <c r="CG133">
        <v>0</v>
      </c>
      <c r="CH133">
        <v>0</v>
      </c>
      <c r="CI133" s="18">
        <v>1</v>
      </c>
      <c r="CJ133">
        <v>1</v>
      </c>
      <c r="CK133">
        <v>1</v>
      </c>
      <c r="CL133">
        <v>1</v>
      </c>
      <c r="CM133">
        <v>1</v>
      </c>
      <c r="CN133">
        <v>0</v>
      </c>
      <c r="CO133">
        <v>0</v>
      </c>
      <c r="CP133">
        <v>1</v>
      </c>
      <c r="CQ133">
        <v>0</v>
      </c>
      <c r="CR133">
        <v>0</v>
      </c>
      <c r="CS133">
        <v>1</v>
      </c>
      <c r="CT133" s="18">
        <v>0</v>
      </c>
      <c r="CZ133" s="34" t="s">
        <v>87</v>
      </c>
    </row>
    <row r="134" spans="1:104" x14ac:dyDescent="0.25">
      <c r="A134">
        <v>133</v>
      </c>
      <c r="B134">
        <v>12</v>
      </c>
      <c r="C134" s="25" t="s">
        <v>151</v>
      </c>
      <c r="D134" s="12">
        <v>6</v>
      </c>
      <c r="E134" s="14">
        <v>0.7</v>
      </c>
      <c r="F134" s="7">
        <f t="shared" si="104"/>
        <v>8.5714285714285712</v>
      </c>
      <c r="G134" s="7">
        <f t="shared" si="105"/>
        <v>5.3</v>
      </c>
      <c r="H134" s="16">
        <f t="shared" si="106"/>
        <v>6.7</v>
      </c>
      <c r="I134" s="11">
        <f t="shared" si="111"/>
        <v>0.15319637175030965</v>
      </c>
      <c r="J134" s="33">
        <f t="shared" si="112"/>
        <v>1.7872910037536129E-2</v>
      </c>
      <c r="K134" s="33">
        <f t="shared" si="107"/>
        <v>55.950597742607734</v>
      </c>
      <c r="L134" s="33">
        <f t="shared" si="108"/>
        <v>0.13532346171277351</v>
      </c>
      <c r="M134" s="33">
        <f t="shared" si="109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97"/>
        <v>3057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9">
        <v>0</v>
      </c>
      <c r="AL134" s="30">
        <v>0</v>
      </c>
      <c r="AM134" s="21">
        <v>2008</v>
      </c>
      <c r="AN134" s="23"/>
      <c r="AO134" s="33" t="s">
        <v>107</v>
      </c>
      <c r="AP134" s="33" t="s">
        <v>107</v>
      </c>
      <c r="AQ134" s="33" t="s">
        <v>107</v>
      </c>
      <c r="AR134" s="43" t="s">
        <v>107</v>
      </c>
      <c r="AS134" s="33" t="s">
        <v>107</v>
      </c>
      <c r="AT134" s="43" t="s">
        <v>107</v>
      </c>
      <c r="AU134" s="42" t="s">
        <v>107</v>
      </c>
      <c r="AV134" s="18" t="s">
        <v>107</v>
      </c>
      <c r="AW134">
        <v>1</v>
      </c>
      <c r="AX134" s="40">
        <v>0</v>
      </c>
      <c r="AY134" t="s">
        <v>107</v>
      </c>
      <c r="AZ134" s="40" t="s">
        <v>107</v>
      </c>
      <c r="BB134" s="18"/>
      <c r="BC134">
        <f t="shared" si="110"/>
        <v>0.35099999999999998</v>
      </c>
      <c r="BD134" s="18">
        <v>0.64900000000000002</v>
      </c>
      <c r="BE134" s="18" t="s">
        <v>13</v>
      </c>
      <c r="BL134" s="18"/>
      <c r="BO134" s="18"/>
      <c r="BR134" s="25">
        <v>35.417000000000002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 s="18">
        <v>1</v>
      </c>
      <c r="CA134">
        <v>0</v>
      </c>
      <c r="CB134">
        <v>1</v>
      </c>
      <c r="CC134">
        <v>0</v>
      </c>
      <c r="CD134" s="18">
        <v>0</v>
      </c>
      <c r="CE134">
        <v>0</v>
      </c>
      <c r="CF134">
        <v>0</v>
      </c>
      <c r="CG134">
        <v>0</v>
      </c>
      <c r="CH134">
        <v>0</v>
      </c>
      <c r="CI134" s="18">
        <v>1</v>
      </c>
      <c r="CJ134">
        <v>1</v>
      </c>
      <c r="CK134">
        <v>1</v>
      </c>
      <c r="CL134">
        <v>1</v>
      </c>
      <c r="CM134">
        <v>1</v>
      </c>
      <c r="CN134">
        <v>0</v>
      </c>
      <c r="CO134">
        <v>0</v>
      </c>
      <c r="CP134">
        <v>1</v>
      </c>
      <c r="CQ134">
        <v>0</v>
      </c>
      <c r="CR134">
        <v>0</v>
      </c>
      <c r="CS134">
        <v>1</v>
      </c>
      <c r="CT134" s="18">
        <v>0</v>
      </c>
      <c r="CZ134" s="34" t="s">
        <v>87</v>
      </c>
    </row>
    <row r="135" spans="1:104" s="52" customFormat="1" x14ac:dyDescent="0.25">
      <c r="A135" s="52">
        <v>134</v>
      </c>
      <c r="B135" s="52">
        <v>12</v>
      </c>
      <c r="C135" s="53" t="s">
        <v>151</v>
      </c>
      <c r="D135" s="54">
        <v>6.6</v>
      </c>
      <c r="E135" s="55">
        <v>0.8</v>
      </c>
      <c r="F135" s="56">
        <f t="shared" si="104"/>
        <v>8.2499999999999982</v>
      </c>
      <c r="G135" s="56">
        <f t="shared" si="105"/>
        <v>5.8</v>
      </c>
      <c r="H135" s="57">
        <f t="shared" si="106"/>
        <v>7.3999999999999995</v>
      </c>
      <c r="I135" s="58">
        <f t="shared" si="111"/>
        <v>0.20682847442746988</v>
      </c>
      <c r="J135" s="59">
        <f t="shared" si="112"/>
        <v>2.5070118112420596E-2</v>
      </c>
      <c r="K135" s="59">
        <f t="shared" si="107"/>
        <v>39.888124799243194</v>
      </c>
      <c r="L135" s="59">
        <f t="shared" si="108"/>
        <v>0.18175835631504927</v>
      </c>
      <c r="M135" s="59">
        <f t="shared" si="109"/>
        <v>0.23189859253989048</v>
      </c>
      <c r="N135" s="60">
        <v>1</v>
      </c>
      <c r="O135" s="61">
        <v>0</v>
      </c>
      <c r="P135" s="60">
        <v>0</v>
      </c>
      <c r="Q135" s="61">
        <v>0</v>
      </c>
      <c r="R135" s="61">
        <v>1</v>
      </c>
      <c r="S135" s="61">
        <v>0</v>
      </c>
      <c r="T135" s="61">
        <v>0</v>
      </c>
      <c r="U135" s="60">
        <v>1531</v>
      </c>
      <c r="V135" s="61">
        <v>7</v>
      </c>
      <c r="W135" s="61">
        <f t="shared" si="97"/>
        <v>1523</v>
      </c>
      <c r="X135" s="61"/>
      <c r="Y135" s="56">
        <v>10.83</v>
      </c>
      <c r="Z135" s="56">
        <v>7.7789999999999999</v>
      </c>
      <c r="AA135" s="61">
        <v>1</v>
      </c>
      <c r="AB135" s="61">
        <v>0</v>
      </c>
      <c r="AC135" s="61">
        <v>0</v>
      </c>
      <c r="AD135" s="61">
        <v>0</v>
      </c>
      <c r="AE135" s="61">
        <v>0</v>
      </c>
      <c r="AF135" s="61">
        <v>1</v>
      </c>
      <c r="AG135" s="60">
        <v>0</v>
      </c>
      <c r="AH135" s="61">
        <v>1</v>
      </c>
      <c r="AI135" s="62">
        <v>0</v>
      </c>
      <c r="AJ135" s="61">
        <v>1</v>
      </c>
      <c r="AK135" s="61">
        <v>0</v>
      </c>
      <c r="AL135" s="62">
        <v>0</v>
      </c>
      <c r="AM135" s="63">
        <v>2008</v>
      </c>
      <c r="AN135" s="64"/>
      <c r="AO135" s="59" t="s">
        <v>107</v>
      </c>
      <c r="AP135" s="59" t="s">
        <v>107</v>
      </c>
      <c r="AQ135" s="59" t="s">
        <v>107</v>
      </c>
      <c r="AR135" s="65" t="s">
        <v>107</v>
      </c>
      <c r="AS135" s="59" t="s">
        <v>107</v>
      </c>
      <c r="AT135" s="65" t="s">
        <v>107</v>
      </c>
      <c r="AU135" s="66" t="s">
        <v>107</v>
      </c>
      <c r="AV135" s="67" t="s">
        <v>107</v>
      </c>
      <c r="AW135" s="52">
        <v>0</v>
      </c>
      <c r="AX135" s="68">
        <v>1</v>
      </c>
      <c r="AY135" s="52" t="s">
        <v>107</v>
      </c>
      <c r="AZ135" s="68" t="s">
        <v>107</v>
      </c>
      <c r="BB135" s="67"/>
      <c r="BC135" s="52">
        <f t="shared" si="110"/>
        <v>0.27</v>
      </c>
      <c r="BD135" s="67">
        <v>0.73</v>
      </c>
      <c r="BE135" s="67" t="s">
        <v>13</v>
      </c>
      <c r="BL135" s="67"/>
      <c r="BO135" s="67"/>
      <c r="BR135" s="53">
        <v>34.741</v>
      </c>
      <c r="BS135" s="52">
        <v>0</v>
      </c>
      <c r="BT135" s="52">
        <v>0</v>
      </c>
      <c r="BU135" s="52">
        <v>0</v>
      </c>
      <c r="BV135" s="52">
        <v>0</v>
      </c>
      <c r="BW135" s="52">
        <v>0</v>
      </c>
      <c r="BX135" s="52">
        <v>0</v>
      </c>
      <c r="BY135" s="52">
        <v>0</v>
      </c>
      <c r="BZ135" s="67">
        <v>1</v>
      </c>
      <c r="CA135" s="52">
        <v>0</v>
      </c>
      <c r="CB135" s="52">
        <v>1</v>
      </c>
      <c r="CC135" s="52">
        <v>0</v>
      </c>
      <c r="CD135" s="67">
        <v>0</v>
      </c>
      <c r="CE135" s="52">
        <v>0</v>
      </c>
      <c r="CF135" s="52">
        <v>0</v>
      </c>
      <c r="CG135" s="52">
        <v>0</v>
      </c>
      <c r="CH135" s="52">
        <v>0</v>
      </c>
      <c r="CI135" s="67">
        <v>1</v>
      </c>
      <c r="CJ135" s="52">
        <v>1</v>
      </c>
      <c r="CK135" s="52">
        <v>1</v>
      </c>
      <c r="CL135" s="52">
        <v>1</v>
      </c>
      <c r="CM135" s="52">
        <v>1</v>
      </c>
      <c r="CN135" s="52">
        <v>0</v>
      </c>
      <c r="CO135" s="52">
        <v>0</v>
      </c>
      <c r="CP135" s="52">
        <v>1</v>
      </c>
      <c r="CQ135" s="52">
        <v>0</v>
      </c>
      <c r="CR135" s="52">
        <v>0</v>
      </c>
      <c r="CS135" s="52">
        <v>1</v>
      </c>
      <c r="CT135" s="67">
        <v>0</v>
      </c>
      <c r="CY135" s="53"/>
      <c r="CZ135" s="69" t="s">
        <v>87</v>
      </c>
    </row>
    <row r="136" spans="1:104" x14ac:dyDescent="0.25">
      <c r="A136">
        <v>135</v>
      </c>
      <c r="B136">
        <v>13</v>
      </c>
      <c r="C136" s="25" t="s">
        <v>152</v>
      </c>
      <c r="D136" s="12">
        <v>5.51</v>
      </c>
      <c r="E136" s="14">
        <v>0.253</v>
      </c>
      <c r="F136" s="7">
        <f t="shared" si="104"/>
        <v>21.778656126482211</v>
      </c>
      <c r="G136" s="7">
        <f t="shared" si="105"/>
        <v>5.2569999999999997</v>
      </c>
      <c r="H136" s="16">
        <f t="shared" si="106"/>
        <v>5.7629999999999999</v>
      </c>
      <c r="I136" s="11">
        <f t="shared" si="111"/>
        <v>0.295080178546265</v>
      </c>
      <c r="J136" s="33">
        <f t="shared" si="112"/>
        <v>1.354905357027315E-2</v>
      </c>
      <c r="K136" s="33">
        <f t="shared" si="107"/>
        <v>73.805893143268449</v>
      </c>
      <c r="L136" s="33">
        <f t="shared" si="108"/>
        <v>0.28153112497599186</v>
      </c>
      <c r="M136" s="33">
        <f t="shared" si="109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97"/>
        <v>4973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9">
        <v>0</v>
      </c>
      <c r="AL136" s="30">
        <v>0</v>
      </c>
      <c r="AM136" s="21">
        <v>2013</v>
      </c>
      <c r="AN136" s="23"/>
      <c r="AO136" s="33" t="s">
        <v>107</v>
      </c>
      <c r="AP136" s="33" t="s">
        <v>107</v>
      </c>
      <c r="AQ136" s="33" t="s">
        <v>107</v>
      </c>
      <c r="AR136" s="43" t="s">
        <v>107</v>
      </c>
      <c r="AS136" s="33" t="s">
        <v>107</v>
      </c>
      <c r="AT136" s="43" t="s">
        <v>107</v>
      </c>
      <c r="AU136" s="42" t="s">
        <v>107</v>
      </c>
      <c r="AV136" s="18" t="s">
        <v>107</v>
      </c>
      <c r="AW136">
        <v>0.85</v>
      </c>
      <c r="AX136" s="40">
        <v>0.15</v>
      </c>
      <c r="AY136" t="s">
        <v>107</v>
      </c>
      <c r="AZ136" s="40" t="s">
        <v>107</v>
      </c>
      <c r="BB136" s="18"/>
      <c r="BC136">
        <v>0.68</v>
      </c>
      <c r="BD136" s="18">
        <v>0.32</v>
      </c>
      <c r="BE136" s="18" t="s">
        <v>19</v>
      </c>
      <c r="BL136" s="18"/>
      <c r="BO136" s="18"/>
      <c r="BR136" s="25">
        <v>43</v>
      </c>
      <c r="BS136">
        <v>1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 s="18">
        <v>0</v>
      </c>
      <c r="CA136">
        <v>0</v>
      </c>
      <c r="CB136">
        <v>0</v>
      </c>
      <c r="CC136">
        <v>1</v>
      </c>
      <c r="CD136" s="18">
        <v>0</v>
      </c>
      <c r="CE136">
        <v>0</v>
      </c>
      <c r="CF136">
        <v>0</v>
      </c>
      <c r="CG136">
        <v>0</v>
      </c>
      <c r="CH136">
        <v>0</v>
      </c>
      <c r="CI136" s="18">
        <v>0</v>
      </c>
      <c r="CJ136">
        <v>0</v>
      </c>
      <c r="CK136">
        <v>0</v>
      </c>
      <c r="CL136">
        <v>0</v>
      </c>
      <c r="CM136">
        <v>1</v>
      </c>
      <c r="CN136">
        <v>0</v>
      </c>
      <c r="CO136">
        <v>0</v>
      </c>
      <c r="CP136">
        <v>1</v>
      </c>
      <c r="CQ136">
        <v>0</v>
      </c>
      <c r="CR136">
        <v>1</v>
      </c>
      <c r="CS136">
        <v>1</v>
      </c>
      <c r="CT136" s="18">
        <v>0</v>
      </c>
      <c r="CZ136" s="34" t="s">
        <v>87</v>
      </c>
    </row>
    <row r="137" spans="1:104" x14ac:dyDescent="0.25">
      <c r="A137">
        <v>136</v>
      </c>
      <c r="B137">
        <v>13</v>
      </c>
      <c r="C137" s="25" t="s">
        <v>152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3">D137-E137</f>
        <v>3.7358177290675032</v>
      </c>
      <c r="H137" s="16">
        <f t="shared" ref="H137:H139" si="114">D137+E137</f>
        <v>6.0323531629109537</v>
      </c>
      <c r="I137" s="11">
        <f t="shared" si="111"/>
        <v>6.0224455523967213E-2</v>
      </c>
      <c r="J137" s="33">
        <f t="shared" si="112"/>
        <v>1.4159006596444444E-2</v>
      </c>
      <c r="K137" s="33">
        <f t="shared" ref="K137:K142" si="115">IFERROR(1/J137, "X")</f>
        <v>70.626423766983493</v>
      </c>
      <c r="L137" s="33">
        <f t="shared" ref="L137:L142" si="116">IFERROR(I137-J137, "X")</f>
        <v>4.6065448927522769E-2</v>
      </c>
      <c r="M137" s="33">
        <f t="shared" ref="M137:M142" si="117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97"/>
        <v>4970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9">
        <v>0</v>
      </c>
      <c r="AL137" s="30">
        <v>0</v>
      </c>
      <c r="AM137" s="21">
        <v>2013</v>
      </c>
      <c r="AN137" s="23"/>
      <c r="AO137" s="33" t="s">
        <v>107</v>
      </c>
      <c r="AP137" s="33" t="s">
        <v>107</v>
      </c>
      <c r="AQ137" s="33" t="s">
        <v>107</v>
      </c>
      <c r="AR137" s="43" t="s">
        <v>107</v>
      </c>
      <c r="AS137" s="33" t="s">
        <v>107</v>
      </c>
      <c r="AT137" s="43" t="s">
        <v>107</v>
      </c>
      <c r="AU137" s="42" t="s">
        <v>107</v>
      </c>
      <c r="AV137" s="18" t="s">
        <v>107</v>
      </c>
      <c r="AW137">
        <v>0.85</v>
      </c>
      <c r="AX137" s="40">
        <v>0.15</v>
      </c>
      <c r="AY137" t="s">
        <v>107</v>
      </c>
      <c r="AZ137" s="40" t="s">
        <v>107</v>
      </c>
      <c r="BB137" s="18"/>
      <c r="BC137">
        <v>0.68</v>
      </c>
      <c r="BD137" s="18">
        <v>0.32</v>
      </c>
      <c r="BE137" s="18" t="s">
        <v>19</v>
      </c>
      <c r="BL137" s="18"/>
      <c r="BO137" s="18"/>
      <c r="BR137" s="25">
        <v>43</v>
      </c>
      <c r="BS137">
        <v>1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 s="18">
        <v>0</v>
      </c>
      <c r="CA137">
        <v>0</v>
      </c>
      <c r="CB137">
        <v>0</v>
      </c>
      <c r="CC137">
        <v>1</v>
      </c>
      <c r="CD137" s="18">
        <v>0</v>
      </c>
      <c r="CE137">
        <v>0</v>
      </c>
      <c r="CF137">
        <v>0</v>
      </c>
      <c r="CG137">
        <v>0</v>
      </c>
      <c r="CH137">
        <v>0</v>
      </c>
      <c r="CI137" s="18">
        <v>0</v>
      </c>
      <c r="CJ137">
        <v>0</v>
      </c>
      <c r="CK137">
        <v>0</v>
      </c>
      <c r="CL137">
        <v>0</v>
      </c>
      <c r="CM137">
        <v>1</v>
      </c>
      <c r="CN137">
        <v>0</v>
      </c>
      <c r="CO137">
        <v>0</v>
      </c>
      <c r="CP137">
        <v>1</v>
      </c>
      <c r="CQ137">
        <v>0</v>
      </c>
      <c r="CR137">
        <v>1</v>
      </c>
      <c r="CS137">
        <v>1</v>
      </c>
      <c r="CT137" s="18">
        <v>0</v>
      </c>
      <c r="CZ137" s="34" t="s">
        <v>87</v>
      </c>
    </row>
    <row r="138" spans="1:104" x14ac:dyDescent="0.25">
      <c r="A138">
        <v>137</v>
      </c>
      <c r="B138">
        <v>13</v>
      </c>
      <c r="C138" s="25" t="s">
        <v>152</v>
      </c>
      <c r="D138" s="12">
        <v>5.5730247103205288</v>
      </c>
      <c r="E138" s="14">
        <f t="shared" ref="E138:E142" si="118">D138/F138</f>
        <v>0.89784986733651528</v>
      </c>
      <c r="F138" s="7">
        <v>6.2070786142153009</v>
      </c>
      <c r="G138" s="7">
        <f t="shared" si="113"/>
        <v>4.6751748429840134</v>
      </c>
      <c r="H138" s="16">
        <f t="shared" si="114"/>
        <v>6.4708745776570442</v>
      </c>
      <c r="I138" s="11">
        <f t="shared" si="111"/>
        <v>8.7706584814015456E-2</v>
      </c>
      <c r="J138" s="33">
        <f t="shared" si="112"/>
        <v>1.4130090863220576E-2</v>
      </c>
      <c r="K138" s="33">
        <f t="shared" si="115"/>
        <v>70.770953257131197</v>
      </c>
      <c r="L138" s="33">
        <f t="shared" si="116"/>
        <v>7.357649395079488E-2</v>
      </c>
      <c r="M138" s="33">
        <f t="shared" si="117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97"/>
        <v>4970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9">
        <v>0</v>
      </c>
      <c r="AL138" s="30">
        <v>0</v>
      </c>
      <c r="AM138" s="21">
        <v>2013</v>
      </c>
      <c r="AN138" s="23"/>
      <c r="AO138" s="33" t="s">
        <v>107</v>
      </c>
      <c r="AP138" s="33" t="s">
        <v>107</v>
      </c>
      <c r="AQ138" s="33" t="s">
        <v>107</v>
      </c>
      <c r="AR138" s="43" t="s">
        <v>107</v>
      </c>
      <c r="AS138" s="33" t="s">
        <v>107</v>
      </c>
      <c r="AT138" s="43" t="s">
        <v>107</v>
      </c>
      <c r="AU138" s="42" t="s">
        <v>107</v>
      </c>
      <c r="AV138" s="18" t="s">
        <v>107</v>
      </c>
      <c r="AW138">
        <v>0.85</v>
      </c>
      <c r="AX138" s="40">
        <v>0.15</v>
      </c>
      <c r="AY138" t="s">
        <v>107</v>
      </c>
      <c r="AZ138" s="40" t="s">
        <v>107</v>
      </c>
      <c r="BB138" s="18"/>
      <c r="BC138">
        <v>0.68</v>
      </c>
      <c r="BD138" s="18">
        <v>0.32</v>
      </c>
      <c r="BE138" s="18" t="s">
        <v>19</v>
      </c>
      <c r="BL138" s="18"/>
      <c r="BO138" s="18"/>
      <c r="BR138" s="25">
        <v>43</v>
      </c>
      <c r="BS138">
        <v>1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 s="18">
        <v>0</v>
      </c>
      <c r="CA138">
        <v>0</v>
      </c>
      <c r="CB138">
        <v>0</v>
      </c>
      <c r="CC138">
        <v>1</v>
      </c>
      <c r="CD138" s="18">
        <v>0</v>
      </c>
      <c r="CE138">
        <v>0</v>
      </c>
      <c r="CF138">
        <v>0</v>
      </c>
      <c r="CG138">
        <v>0</v>
      </c>
      <c r="CH138">
        <v>0</v>
      </c>
      <c r="CI138" s="18">
        <v>0</v>
      </c>
      <c r="CJ138">
        <v>0</v>
      </c>
      <c r="CK138">
        <v>0</v>
      </c>
      <c r="CL138">
        <v>0</v>
      </c>
      <c r="CM138">
        <v>1</v>
      </c>
      <c r="CN138">
        <v>0</v>
      </c>
      <c r="CO138">
        <v>0</v>
      </c>
      <c r="CP138">
        <v>1</v>
      </c>
      <c r="CQ138">
        <v>0</v>
      </c>
      <c r="CR138">
        <v>1</v>
      </c>
      <c r="CS138">
        <v>1</v>
      </c>
      <c r="CT138" s="18">
        <v>0</v>
      </c>
      <c r="CZ138" s="34" t="s">
        <v>87</v>
      </c>
    </row>
    <row r="139" spans="1:104" x14ac:dyDescent="0.25">
      <c r="A139">
        <v>138</v>
      </c>
      <c r="B139">
        <v>13</v>
      </c>
      <c r="C139" s="25" t="s">
        <v>152</v>
      </c>
      <c r="D139" s="12">
        <v>10.705107156939427</v>
      </c>
      <c r="E139" s="14">
        <f t="shared" si="118"/>
        <v>1.3975793543583501</v>
      </c>
      <c r="F139" s="7">
        <v>7.6597490679549312</v>
      </c>
      <c r="G139" s="7">
        <f t="shared" si="113"/>
        <v>9.3075278025810775</v>
      </c>
      <c r="H139" s="16">
        <f t="shared" si="114"/>
        <v>12.102686511297776</v>
      </c>
      <c r="I139" s="11">
        <f t="shared" si="111"/>
        <v>0.10801595217731309</v>
      </c>
      <c r="J139" s="33">
        <f t="shared" si="112"/>
        <v>1.4101761195964629E-2</v>
      </c>
      <c r="K139" s="33">
        <f t="shared" si="115"/>
        <v>70.913128232958641</v>
      </c>
      <c r="L139" s="33">
        <f t="shared" si="116"/>
        <v>9.3914190981348469E-2</v>
      </c>
      <c r="M139" s="33">
        <f t="shared" si="117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97"/>
        <v>4970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9">
        <v>0</v>
      </c>
      <c r="AL139" s="30">
        <v>0</v>
      </c>
      <c r="AM139" s="21">
        <v>2013</v>
      </c>
      <c r="AN139" s="23"/>
      <c r="AO139" s="33" t="s">
        <v>107</v>
      </c>
      <c r="AP139" s="33" t="s">
        <v>107</v>
      </c>
      <c r="AQ139" s="33" t="s">
        <v>107</v>
      </c>
      <c r="AR139" s="43" t="s">
        <v>107</v>
      </c>
      <c r="AS139" s="33" t="s">
        <v>107</v>
      </c>
      <c r="AT139" s="43" t="s">
        <v>107</v>
      </c>
      <c r="AU139" s="42" t="s">
        <v>107</v>
      </c>
      <c r="AV139" s="18" t="s">
        <v>107</v>
      </c>
      <c r="AW139">
        <v>0.85</v>
      </c>
      <c r="AX139" s="40">
        <v>0.15</v>
      </c>
      <c r="AY139" t="s">
        <v>107</v>
      </c>
      <c r="AZ139" s="40" t="s">
        <v>107</v>
      </c>
      <c r="BB139" s="18"/>
      <c r="BC139">
        <v>0.68</v>
      </c>
      <c r="BD139" s="18">
        <v>0.32</v>
      </c>
      <c r="BE139" s="18" t="s">
        <v>19</v>
      </c>
      <c r="BL139" s="18"/>
      <c r="BO139" s="18"/>
      <c r="BR139" s="25">
        <v>43</v>
      </c>
      <c r="BS139">
        <v>1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 s="18">
        <v>0</v>
      </c>
      <c r="CA139">
        <v>0</v>
      </c>
      <c r="CB139">
        <v>0</v>
      </c>
      <c r="CC139">
        <v>1</v>
      </c>
      <c r="CD139" s="18">
        <v>0</v>
      </c>
      <c r="CE139">
        <v>0</v>
      </c>
      <c r="CF139">
        <v>0</v>
      </c>
      <c r="CG139">
        <v>0</v>
      </c>
      <c r="CH139">
        <v>0</v>
      </c>
      <c r="CI139" s="18">
        <v>0</v>
      </c>
      <c r="CJ139">
        <v>0</v>
      </c>
      <c r="CK139">
        <v>0</v>
      </c>
      <c r="CL139">
        <v>0</v>
      </c>
      <c r="CM139">
        <v>1</v>
      </c>
      <c r="CN139">
        <v>0</v>
      </c>
      <c r="CO139">
        <v>0</v>
      </c>
      <c r="CP139">
        <v>1</v>
      </c>
      <c r="CQ139">
        <v>0</v>
      </c>
      <c r="CR139">
        <v>1</v>
      </c>
      <c r="CS139">
        <v>1</v>
      </c>
      <c r="CT139" s="18">
        <v>0</v>
      </c>
      <c r="CZ139" s="34" t="s">
        <v>87</v>
      </c>
    </row>
    <row r="140" spans="1:104" x14ac:dyDescent="0.25">
      <c r="A140">
        <v>139</v>
      </c>
      <c r="B140">
        <v>13</v>
      </c>
      <c r="C140" s="25" t="s">
        <v>152</v>
      </c>
      <c r="D140" s="12">
        <v>8.6486779067039983</v>
      </c>
      <c r="E140" s="14">
        <f t="shared" si="118"/>
        <v>0.98694243098033674</v>
      </c>
      <c r="F140" s="7">
        <v>8.7631027253668758</v>
      </c>
      <c r="G140" s="7">
        <f t="shared" ref="G140:G142" si="119">D140-E140</f>
        <v>7.6617354757236615</v>
      </c>
      <c r="H140" s="16">
        <f t="shared" ref="H140:H142" si="120">D140+E140</f>
        <v>9.635620337684335</v>
      </c>
      <c r="I140" s="11">
        <f t="shared" si="111"/>
        <v>0.12343877343338963</v>
      </c>
      <c r="J140" s="33">
        <f t="shared" si="112"/>
        <v>1.408619495878633E-2</v>
      </c>
      <c r="K140" s="33">
        <f t="shared" si="115"/>
        <v>70.99149223234663</v>
      </c>
      <c r="L140" s="33">
        <f t="shared" si="116"/>
        <v>0.10935257847460331</v>
      </c>
      <c r="M140" s="33">
        <f t="shared" si="117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97"/>
        <v>4963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9">
        <v>0</v>
      </c>
      <c r="AL140" s="30">
        <v>0</v>
      </c>
      <c r="AM140" s="21">
        <v>2013</v>
      </c>
      <c r="AN140" s="23"/>
      <c r="AO140" s="33" t="s">
        <v>107</v>
      </c>
      <c r="AP140" s="33" t="s">
        <v>107</v>
      </c>
      <c r="AQ140" s="33" t="s">
        <v>107</v>
      </c>
      <c r="AR140" s="43" t="s">
        <v>107</v>
      </c>
      <c r="AS140" s="33" t="s">
        <v>107</v>
      </c>
      <c r="AT140" s="43" t="s">
        <v>107</v>
      </c>
      <c r="AU140" s="42" t="s">
        <v>107</v>
      </c>
      <c r="AV140" s="18" t="s">
        <v>107</v>
      </c>
      <c r="AW140">
        <v>0.85</v>
      </c>
      <c r="AX140" s="40">
        <v>0.15</v>
      </c>
      <c r="AY140" t="s">
        <v>107</v>
      </c>
      <c r="AZ140" s="40" t="s">
        <v>107</v>
      </c>
      <c r="BB140" s="18"/>
      <c r="BC140">
        <v>0.68</v>
      </c>
      <c r="BD140" s="18">
        <v>0.32</v>
      </c>
      <c r="BE140" s="18" t="s">
        <v>19</v>
      </c>
      <c r="BL140" s="18"/>
      <c r="BO140" s="18"/>
      <c r="BR140" s="25">
        <v>43</v>
      </c>
      <c r="BS140">
        <v>1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 s="18">
        <v>0</v>
      </c>
      <c r="CA140">
        <v>0</v>
      </c>
      <c r="CB140">
        <v>0</v>
      </c>
      <c r="CC140">
        <v>1</v>
      </c>
      <c r="CD140" s="18">
        <v>0</v>
      </c>
      <c r="CE140">
        <v>0</v>
      </c>
      <c r="CF140">
        <v>0</v>
      </c>
      <c r="CG140">
        <v>0</v>
      </c>
      <c r="CH140">
        <v>0</v>
      </c>
      <c r="CI140" s="18">
        <v>0</v>
      </c>
      <c r="CJ140">
        <v>0</v>
      </c>
      <c r="CK140">
        <v>0</v>
      </c>
      <c r="CL140">
        <v>0</v>
      </c>
      <c r="CM140">
        <v>1</v>
      </c>
      <c r="CN140">
        <v>0</v>
      </c>
      <c r="CO140">
        <v>0</v>
      </c>
      <c r="CP140">
        <v>1</v>
      </c>
      <c r="CQ140">
        <v>0</v>
      </c>
      <c r="CR140">
        <v>1</v>
      </c>
      <c r="CS140">
        <v>1</v>
      </c>
      <c r="CT140" s="18">
        <v>0</v>
      </c>
      <c r="CZ140" s="34" t="s">
        <v>87</v>
      </c>
    </row>
    <row r="141" spans="1:104" x14ac:dyDescent="0.25">
      <c r="A141">
        <v>140</v>
      </c>
      <c r="B141">
        <v>13</v>
      </c>
      <c r="C141" s="25" t="s">
        <v>152</v>
      </c>
      <c r="D141" s="12">
        <v>6.2610778657974198</v>
      </c>
      <c r="E141" s="14">
        <f t="shared" si="118"/>
        <v>0.41588918524663998</v>
      </c>
      <c r="F141" s="7">
        <v>15.054678236185282</v>
      </c>
      <c r="G141" s="7">
        <f t="shared" si="119"/>
        <v>5.8451886805507796</v>
      </c>
      <c r="H141" s="16">
        <f t="shared" si="120"/>
        <v>6.67696705104406</v>
      </c>
      <c r="I141" s="11">
        <f t="shared" si="111"/>
        <v>0.2089790362375184</v>
      </c>
      <c r="J141" s="33">
        <f t="shared" si="112"/>
        <v>1.3881335287207825E-2</v>
      </c>
      <c r="K141" s="33">
        <f t="shared" si="115"/>
        <v>72.03917917907637</v>
      </c>
      <c r="L141" s="33">
        <f t="shared" si="116"/>
        <v>0.19509770095031057</v>
      </c>
      <c r="M141" s="33">
        <f t="shared" si="117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97"/>
        <v>4963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9">
        <v>0</v>
      </c>
      <c r="AL141" s="30">
        <v>0</v>
      </c>
      <c r="AM141" s="21">
        <v>2013</v>
      </c>
      <c r="AN141" s="23"/>
      <c r="AO141" s="33" t="s">
        <v>107</v>
      </c>
      <c r="AP141" s="33" t="s">
        <v>107</v>
      </c>
      <c r="AQ141" s="33" t="s">
        <v>107</v>
      </c>
      <c r="AR141" s="43" t="s">
        <v>107</v>
      </c>
      <c r="AS141" s="33" t="s">
        <v>107</v>
      </c>
      <c r="AT141" s="43" t="s">
        <v>107</v>
      </c>
      <c r="AU141" s="42" t="s">
        <v>107</v>
      </c>
      <c r="AV141" s="18" t="s">
        <v>107</v>
      </c>
      <c r="AW141">
        <v>0.85</v>
      </c>
      <c r="AX141" s="40">
        <v>0.15</v>
      </c>
      <c r="AY141" t="s">
        <v>107</v>
      </c>
      <c r="AZ141" s="40" t="s">
        <v>107</v>
      </c>
      <c r="BB141" s="18"/>
      <c r="BC141">
        <v>0.68</v>
      </c>
      <c r="BD141" s="18">
        <v>0.32</v>
      </c>
      <c r="BE141" s="18" t="s">
        <v>19</v>
      </c>
      <c r="BL141" s="18"/>
      <c r="BO141" s="18"/>
      <c r="BR141" s="25">
        <v>43</v>
      </c>
      <c r="BS141">
        <v>1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 s="18">
        <v>0</v>
      </c>
      <c r="CA141">
        <v>0</v>
      </c>
      <c r="CB141">
        <v>0</v>
      </c>
      <c r="CC141">
        <v>1</v>
      </c>
      <c r="CD141" s="18">
        <v>0</v>
      </c>
      <c r="CE141">
        <v>0</v>
      </c>
      <c r="CF141">
        <v>0</v>
      </c>
      <c r="CG141">
        <v>0</v>
      </c>
      <c r="CH141">
        <v>0</v>
      </c>
      <c r="CI141" s="18">
        <v>0</v>
      </c>
      <c r="CJ141">
        <v>0</v>
      </c>
      <c r="CK141">
        <v>0</v>
      </c>
      <c r="CL141">
        <v>0</v>
      </c>
      <c r="CM141">
        <v>1</v>
      </c>
      <c r="CN141">
        <v>0</v>
      </c>
      <c r="CO141">
        <v>0</v>
      </c>
      <c r="CP141">
        <v>1</v>
      </c>
      <c r="CQ141">
        <v>0</v>
      </c>
      <c r="CR141">
        <v>1</v>
      </c>
      <c r="CS141">
        <v>1</v>
      </c>
      <c r="CT141" s="18">
        <v>0</v>
      </c>
      <c r="CZ141" s="34" t="s">
        <v>87</v>
      </c>
    </row>
    <row r="142" spans="1:104" s="52" customFormat="1" x14ac:dyDescent="0.25">
      <c r="A142" s="52">
        <v>141</v>
      </c>
      <c r="B142" s="52">
        <v>13</v>
      </c>
      <c r="C142" s="53" t="s">
        <v>152</v>
      </c>
      <c r="D142" s="54">
        <v>10.732498357034391</v>
      </c>
      <c r="E142" s="55">
        <f t="shared" si="118"/>
        <v>0.51814326001821853</v>
      </c>
      <c r="F142" s="56">
        <v>20.713380227424022</v>
      </c>
      <c r="G142" s="56">
        <f t="shared" si="119"/>
        <v>10.214355097016172</v>
      </c>
      <c r="H142" s="57">
        <f t="shared" si="120"/>
        <v>11.25064161705261</v>
      </c>
      <c r="I142" s="58">
        <f t="shared" si="111"/>
        <v>0.28208127557332185</v>
      </c>
      <c r="J142" s="59">
        <f t="shared" si="112"/>
        <v>1.3618312051253372E-2</v>
      </c>
      <c r="K142" s="59">
        <f t="shared" si="115"/>
        <v>73.430539426357484</v>
      </c>
      <c r="L142" s="59">
        <f t="shared" si="116"/>
        <v>0.2684629635220685</v>
      </c>
      <c r="M142" s="59">
        <f t="shared" si="117"/>
        <v>0.29569958762457521</v>
      </c>
      <c r="N142" s="60">
        <v>1</v>
      </c>
      <c r="O142" s="61">
        <v>0</v>
      </c>
      <c r="P142" s="60">
        <v>0</v>
      </c>
      <c r="Q142" s="61">
        <v>0</v>
      </c>
      <c r="R142" s="61">
        <v>1</v>
      </c>
      <c r="S142" s="61">
        <v>0</v>
      </c>
      <c r="T142" s="61">
        <v>0</v>
      </c>
      <c r="U142" s="60">
        <v>4979</v>
      </c>
      <c r="V142" s="61">
        <v>15</v>
      </c>
      <c r="W142" s="61">
        <f t="shared" si="97"/>
        <v>4963</v>
      </c>
      <c r="X142" s="61"/>
      <c r="Y142" s="56">
        <v>5.87</v>
      </c>
      <c r="Z142" s="56">
        <v>29.5</v>
      </c>
      <c r="AA142" s="61">
        <v>1</v>
      </c>
      <c r="AB142" s="61">
        <v>0</v>
      </c>
      <c r="AC142" s="61">
        <v>1</v>
      </c>
      <c r="AD142" s="61">
        <v>0</v>
      </c>
      <c r="AE142" s="61">
        <v>0</v>
      </c>
      <c r="AF142" s="61">
        <v>0</v>
      </c>
      <c r="AG142" s="60">
        <v>1</v>
      </c>
      <c r="AH142" s="61">
        <v>0</v>
      </c>
      <c r="AI142" s="62">
        <v>0</v>
      </c>
      <c r="AJ142" s="61">
        <v>1</v>
      </c>
      <c r="AK142" s="61">
        <v>0</v>
      </c>
      <c r="AL142" s="62">
        <v>0</v>
      </c>
      <c r="AM142" s="63">
        <v>2013</v>
      </c>
      <c r="AN142" s="64"/>
      <c r="AO142" s="59" t="s">
        <v>107</v>
      </c>
      <c r="AP142" s="59" t="s">
        <v>107</v>
      </c>
      <c r="AQ142" s="59" t="s">
        <v>107</v>
      </c>
      <c r="AR142" s="65" t="s">
        <v>107</v>
      </c>
      <c r="AS142" s="59" t="s">
        <v>107</v>
      </c>
      <c r="AT142" s="65" t="s">
        <v>107</v>
      </c>
      <c r="AU142" s="66" t="s">
        <v>107</v>
      </c>
      <c r="AV142" s="67" t="s">
        <v>107</v>
      </c>
      <c r="AW142" s="52">
        <v>0.85</v>
      </c>
      <c r="AX142" s="68">
        <v>0.15</v>
      </c>
      <c r="AY142" s="52" t="s">
        <v>107</v>
      </c>
      <c r="AZ142" s="68" t="s">
        <v>107</v>
      </c>
      <c r="BB142" s="67"/>
      <c r="BC142" s="52">
        <v>0.68</v>
      </c>
      <c r="BD142" s="67">
        <v>0.32</v>
      </c>
      <c r="BE142" s="67" t="s">
        <v>19</v>
      </c>
      <c r="BL142" s="67"/>
      <c r="BO142" s="67"/>
      <c r="BR142" s="53">
        <v>43</v>
      </c>
      <c r="BS142" s="52">
        <v>1</v>
      </c>
      <c r="BT142" s="52">
        <v>0</v>
      </c>
      <c r="BU142" s="52">
        <v>0</v>
      </c>
      <c r="BV142" s="52">
        <v>0</v>
      </c>
      <c r="BW142" s="52">
        <v>0</v>
      </c>
      <c r="BX142" s="52">
        <v>0</v>
      </c>
      <c r="BY142" s="52">
        <v>0</v>
      </c>
      <c r="BZ142" s="67">
        <v>0</v>
      </c>
      <c r="CA142" s="52">
        <v>0</v>
      </c>
      <c r="CB142" s="52">
        <v>0</v>
      </c>
      <c r="CC142" s="52">
        <v>1</v>
      </c>
      <c r="CD142" s="67">
        <v>0</v>
      </c>
      <c r="CE142" s="52">
        <v>0</v>
      </c>
      <c r="CF142" s="52">
        <v>0</v>
      </c>
      <c r="CG142" s="52">
        <v>0</v>
      </c>
      <c r="CH142" s="52">
        <v>0</v>
      </c>
      <c r="CI142" s="67">
        <v>0</v>
      </c>
      <c r="CJ142" s="52">
        <v>0</v>
      </c>
      <c r="CK142" s="52">
        <v>0</v>
      </c>
      <c r="CL142" s="52">
        <v>0</v>
      </c>
      <c r="CM142" s="52">
        <v>1</v>
      </c>
      <c r="CN142" s="52">
        <v>0</v>
      </c>
      <c r="CO142" s="52">
        <v>0</v>
      </c>
      <c r="CP142" s="52">
        <v>1</v>
      </c>
      <c r="CQ142" s="52">
        <v>0</v>
      </c>
      <c r="CR142" s="52">
        <v>1</v>
      </c>
      <c r="CS142" s="52">
        <v>1</v>
      </c>
      <c r="CT142" s="67">
        <v>0</v>
      </c>
      <c r="CY142" s="53"/>
      <c r="CZ142" s="69" t="s">
        <v>87</v>
      </c>
    </row>
    <row r="143" spans="1:104" x14ac:dyDescent="0.25">
      <c r="A143">
        <v>142</v>
      </c>
      <c r="B143">
        <v>14</v>
      </c>
      <c r="C143" s="25" t="s">
        <v>153</v>
      </c>
      <c r="D143" s="12">
        <v>7.7</v>
      </c>
      <c r="E143" s="14">
        <v>0.3</v>
      </c>
      <c r="F143" s="7">
        <v>21.713380227424</v>
      </c>
      <c r="G143" s="7">
        <f t="shared" ref="G143:G156" si="121">D143-E143</f>
        <v>7.4</v>
      </c>
      <c r="H143" s="16">
        <f t="shared" ref="H143:H156" si="122">D143+E143</f>
        <v>8</v>
      </c>
      <c r="I143" s="11">
        <f t="shared" si="111"/>
        <v>0.12746257641128633</v>
      </c>
      <c r="J143" s="33">
        <f t="shared" si="112"/>
        <v>5.8702318605511773E-3</v>
      </c>
      <c r="K143" s="33">
        <f t="shared" ref="K143:K154" si="123">IFERROR(1/J143, "X")</f>
        <v>170.35102254140034</v>
      </c>
      <c r="L143" s="33">
        <f t="shared" ref="L143:L154" si="124">IFERROR(I143-J143, "X")</f>
        <v>0.12159234455073516</v>
      </c>
      <c r="M143" s="33">
        <f t="shared" ref="M143:M154" si="125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97"/>
        <v>28548</v>
      </c>
      <c r="Y143" s="7">
        <v>12.4</v>
      </c>
      <c r="Z143" s="7">
        <f t="shared" ref="Z143:Z154" si="126">BR143-Y143-6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9">
        <v>0</v>
      </c>
      <c r="AL143" s="30">
        <v>1</v>
      </c>
      <c r="AM143" s="21">
        <v>2007</v>
      </c>
      <c r="AN143" s="23"/>
      <c r="AO143" s="33">
        <v>0</v>
      </c>
      <c r="AP143" s="33">
        <v>0</v>
      </c>
      <c r="AQ143" s="33">
        <v>0</v>
      </c>
      <c r="AR143" s="43">
        <v>1</v>
      </c>
      <c r="AS143" s="33" t="s">
        <v>107</v>
      </c>
      <c r="AT143" s="43" t="s">
        <v>107</v>
      </c>
      <c r="AU143" s="42">
        <v>1</v>
      </c>
      <c r="AV143" s="18">
        <v>0</v>
      </c>
      <c r="AW143">
        <v>1</v>
      </c>
      <c r="AX143" s="40">
        <v>0</v>
      </c>
      <c r="AY143" t="s">
        <v>107</v>
      </c>
      <c r="AZ143" s="40" t="s">
        <v>107</v>
      </c>
      <c r="BB143" s="18"/>
      <c r="BC143" t="s">
        <v>107</v>
      </c>
      <c r="BD143" s="18" t="s">
        <v>107</v>
      </c>
      <c r="BE143" s="18" t="s">
        <v>2</v>
      </c>
      <c r="BL143" s="18"/>
      <c r="BO143" s="18"/>
      <c r="BR143" s="25">
        <v>44.5</v>
      </c>
      <c r="BS143">
        <v>1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 s="18">
        <v>0</v>
      </c>
      <c r="CA143">
        <v>0</v>
      </c>
      <c r="CB143">
        <v>0</v>
      </c>
      <c r="CC143">
        <v>0</v>
      </c>
      <c r="CD143" s="18">
        <v>1</v>
      </c>
      <c r="CE143">
        <v>0</v>
      </c>
      <c r="CF143">
        <v>0</v>
      </c>
      <c r="CG143">
        <v>0</v>
      </c>
      <c r="CH143">
        <v>0</v>
      </c>
      <c r="CI143" s="18">
        <v>0</v>
      </c>
      <c r="CJ143">
        <v>0</v>
      </c>
      <c r="CK143">
        <v>0</v>
      </c>
      <c r="CL143">
        <v>1</v>
      </c>
      <c r="CM143">
        <v>1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 s="18">
        <v>0</v>
      </c>
      <c r="CZ143" s="34" t="s">
        <v>87</v>
      </c>
    </row>
    <row r="144" spans="1:104" x14ac:dyDescent="0.25">
      <c r="A144">
        <v>143</v>
      </c>
      <c r="B144">
        <v>14</v>
      </c>
      <c r="C144" s="25" t="s">
        <v>153</v>
      </c>
      <c r="D144" s="12">
        <v>8</v>
      </c>
      <c r="E144" s="14">
        <v>0.5</v>
      </c>
      <c r="F144" s="7">
        <v>22.713380227424</v>
      </c>
      <c r="G144" s="7">
        <f t="shared" si="121"/>
        <v>7.5</v>
      </c>
      <c r="H144" s="16">
        <f t="shared" si="122"/>
        <v>8.5</v>
      </c>
      <c r="I144" s="11">
        <f t="shared" si="111"/>
        <v>0.13316215592883443</v>
      </c>
      <c r="J144" s="33">
        <f t="shared" si="112"/>
        <v>5.8627185648068023E-3</v>
      </c>
      <c r="K144" s="33">
        <f t="shared" si="123"/>
        <v>170.56933382456396</v>
      </c>
      <c r="L144" s="33">
        <f t="shared" si="124"/>
        <v>0.12729943736402763</v>
      </c>
      <c r="M144" s="33">
        <f t="shared" si="125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97"/>
        <v>28578</v>
      </c>
      <c r="Y144" s="7">
        <v>12.4</v>
      </c>
      <c r="Z144" s="7">
        <f t="shared" si="126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9">
        <v>0</v>
      </c>
      <c r="AL144" s="30">
        <v>1</v>
      </c>
      <c r="AM144" s="21">
        <v>2007</v>
      </c>
      <c r="AN144" s="23"/>
      <c r="AO144" s="33">
        <v>0</v>
      </c>
      <c r="AP144" s="33">
        <v>0</v>
      </c>
      <c r="AQ144" s="33">
        <v>0</v>
      </c>
      <c r="AR144" s="43">
        <v>1</v>
      </c>
      <c r="AS144" s="33" t="s">
        <v>107</v>
      </c>
      <c r="AT144" s="43" t="s">
        <v>107</v>
      </c>
      <c r="AU144" s="42">
        <v>1</v>
      </c>
      <c r="AV144" s="18">
        <v>0</v>
      </c>
      <c r="AW144">
        <v>1</v>
      </c>
      <c r="AX144" s="40">
        <v>0</v>
      </c>
      <c r="AY144" t="s">
        <v>107</v>
      </c>
      <c r="AZ144" s="40" t="s">
        <v>107</v>
      </c>
      <c r="BB144" s="18"/>
      <c r="BC144" t="s">
        <v>107</v>
      </c>
      <c r="BD144" s="18" t="s">
        <v>107</v>
      </c>
      <c r="BE144" s="18" t="s">
        <v>2</v>
      </c>
      <c r="BL144" s="18"/>
      <c r="BO144" s="18"/>
      <c r="BR144" s="25">
        <v>44.5</v>
      </c>
      <c r="BS144">
        <v>1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 s="18">
        <v>0</v>
      </c>
      <c r="CA144">
        <v>0</v>
      </c>
      <c r="CB144">
        <v>0</v>
      </c>
      <c r="CC144">
        <v>0</v>
      </c>
      <c r="CD144" s="18">
        <v>1</v>
      </c>
      <c r="CE144">
        <v>0</v>
      </c>
      <c r="CF144">
        <v>0</v>
      </c>
      <c r="CG144">
        <v>0</v>
      </c>
      <c r="CH144">
        <v>0</v>
      </c>
      <c r="CI144" s="18">
        <v>0</v>
      </c>
      <c r="CJ144">
        <v>0</v>
      </c>
      <c r="CK144">
        <v>0</v>
      </c>
      <c r="CL144">
        <v>1</v>
      </c>
      <c r="CM144">
        <v>1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 s="18">
        <v>0</v>
      </c>
      <c r="CZ144" s="34" t="s">
        <v>87</v>
      </c>
    </row>
    <row r="145" spans="1:104" x14ac:dyDescent="0.25">
      <c r="A145">
        <v>144</v>
      </c>
      <c r="B145">
        <v>14</v>
      </c>
      <c r="C145" s="25" t="s">
        <v>153</v>
      </c>
      <c r="D145" s="12">
        <v>9.3000000000000007</v>
      </c>
      <c r="E145" s="14">
        <v>0.5</v>
      </c>
      <c r="F145" s="7">
        <v>23.713380227424</v>
      </c>
      <c r="G145" s="7">
        <f t="shared" si="121"/>
        <v>8.8000000000000007</v>
      </c>
      <c r="H145" s="16">
        <f t="shared" si="122"/>
        <v>9.8000000000000007</v>
      </c>
      <c r="I145" s="11">
        <f t="shared" si="111"/>
        <v>0.13735334900738005</v>
      </c>
      <c r="J145" s="33">
        <f t="shared" si="112"/>
        <v>5.7922298588428973E-3</v>
      </c>
      <c r="K145" s="33">
        <f t="shared" si="123"/>
        <v>172.64508218252377</v>
      </c>
      <c r="L145" s="33">
        <f t="shared" si="124"/>
        <v>0.13156111914853716</v>
      </c>
      <c r="M145" s="33">
        <f t="shared" si="125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97"/>
        <v>29244</v>
      </c>
      <c r="Y145" s="7">
        <v>12.4</v>
      </c>
      <c r="Z145" s="7">
        <f t="shared" si="126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9">
        <v>0</v>
      </c>
      <c r="AL145" s="30">
        <v>1</v>
      </c>
      <c r="AM145" s="21">
        <v>2007</v>
      </c>
      <c r="AN145" s="23"/>
      <c r="AO145" s="33">
        <v>0</v>
      </c>
      <c r="AP145" s="33">
        <v>0</v>
      </c>
      <c r="AQ145" s="33">
        <v>0</v>
      </c>
      <c r="AR145" s="43">
        <v>1</v>
      </c>
      <c r="AS145" s="33" t="s">
        <v>107</v>
      </c>
      <c r="AT145" s="43" t="s">
        <v>107</v>
      </c>
      <c r="AU145" s="42">
        <v>1</v>
      </c>
      <c r="AV145" s="18">
        <v>0</v>
      </c>
      <c r="AW145">
        <v>1</v>
      </c>
      <c r="AX145" s="40">
        <v>0</v>
      </c>
      <c r="AY145" t="s">
        <v>107</v>
      </c>
      <c r="AZ145" s="40" t="s">
        <v>107</v>
      </c>
      <c r="BB145" s="18"/>
      <c r="BC145" t="s">
        <v>107</v>
      </c>
      <c r="BD145" s="18" t="s">
        <v>107</v>
      </c>
      <c r="BE145" s="18" t="s">
        <v>2</v>
      </c>
      <c r="BL145" s="18"/>
      <c r="BO145" s="18"/>
      <c r="BR145" s="25">
        <v>44.5</v>
      </c>
      <c r="BS145">
        <v>1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 s="18">
        <v>0</v>
      </c>
      <c r="CA145">
        <v>0</v>
      </c>
      <c r="CB145">
        <v>0</v>
      </c>
      <c r="CC145">
        <v>0</v>
      </c>
      <c r="CD145" s="18">
        <v>1</v>
      </c>
      <c r="CE145">
        <v>0</v>
      </c>
      <c r="CF145">
        <v>0</v>
      </c>
      <c r="CG145">
        <v>0</v>
      </c>
      <c r="CH145">
        <v>0</v>
      </c>
      <c r="CI145" s="18">
        <v>0</v>
      </c>
      <c r="CJ145">
        <v>0</v>
      </c>
      <c r="CK145">
        <v>0</v>
      </c>
      <c r="CL145">
        <v>1</v>
      </c>
      <c r="CM145">
        <v>1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 s="18">
        <v>0</v>
      </c>
      <c r="CZ145" s="34" t="s">
        <v>87</v>
      </c>
    </row>
    <row r="146" spans="1:104" x14ac:dyDescent="0.25">
      <c r="A146">
        <v>145</v>
      </c>
      <c r="B146">
        <v>14</v>
      </c>
      <c r="C146" s="25" t="s">
        <v>153</v>
      </c>
      <c r="D146" s="12">
        <v>7</v>
      </c>
      <c r="E146" s="14">
        <v>0.2</v>
      </c>
      <c r="F146" s="7">
        <v>24.713380227424</v>
      </c>
      <c r="G146" s="7">
        <f t="shared" si="121"/>
        <v>6.8</v>
      </c>
      <c r="H146" s="16">
        <f t="shared" si="122"/>
        <v>7.2</v>
      </c>
      <c r="I146" s="11">
        <f t="shared" si="111"/>
        <v>0.14675871989868494</v>
      </c>
      <c r="J146" s="33">
        <f t="shared" si="112"/>
        <v>5.9384316733746279E-3</v>
      </c>
      <c r="K146" s="33">
        <f t="shared" si="123"/>
        <v>168.39462925599864</v>
      </c>
      <c r="L146" s="33">
        <f t="shared" si="124"/>
        <v>0.14082028822531031</v>
      </c>
      <c r="M146" s="33">
        <f t="shared" si="125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97"/>
        <v>27746</v>
      </c>
      <c r="Y146" s="7">
        <v>12.6</v>
      </c>
      <c r="Z146" s="7">
        <f t="shared" si="126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9">
        <v>0</v>
      </c>
      <c r="AL146" s="30">
        <v>1</v>
      </c>
      <c r="AM146" s="21">
        <v>2007</v>
      </c>
      <c r="AN146" s="23"/>
      <c r="AO146" s="33">
        <v>0</v>
      </c>
      <c r="AP146" s="33">
        <v>0</v>
      </c>
      <c r="AQ146" s="33">
        <v>0</v>
      </c>
      <c r="AR146" s="43">
        <v>1</v>
      </c>
      <c r="AS146" s="33" t="s">
        <v>107</v>
      </c>
      <c r="AT146" s="43" t="s">
        <v>107</v>
      </c>
      <c r="AU146" s="42">
        <v>1</v>
      </c>
      <c r="AV146" s="18">
        <v>0</v>
      </c>
      <c r="AW146">
        <v>0</v>
      </c>
      <c r="AX146" s="40">
        <v>1</v>
      </c>
      <c r="AY146" t="s">
        <v>107</v>
      </c>
      <c r="AZ146" s="40" t="s">
        <v>107</v>
      </c>
      <c r="BB146" s="18"/>
      <c r="BC146" t="s">
        <v>107</v>
      </c>
      <c r="BD146" s="18" t="s">
        <v>107</v>
      </c>
      <c r="BE146" s="18" t="s">
        <v>2</v>
      </c>
      <c r="BL146" s="18"/>
      <c r="BO146" s="18"/>
      <c r="BR146" s="25">
        <v>44.5</v>
      </c>
      <c r="BS146">
        <v>1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 s="18">
        <v>0</v>
      </c>
      <c r="CA146">
        <v>0</v>
      </c>
      <c r="CB146">
        <v>0</v>
      </c>
      <c r="CC146">
        <v>0</v>
      </c>
      <c r="CD146" s="18">
        <v>1</v>
      </c>
      <c r="CE146">
        <v>0</v>
      </c>
      <c r="CF146">
        <v>0</v>
      </c>
      <c r="CG146">
        <v>0</v>
      </c>
      <c r="CH146">
        <v>0</v>
      </c>
      <c r="CI146" s="18">
        <v>0</v>
      </c>
      <c r="CJ146">
        <v>0</v>
      </c>
      <c r="CK146">
        <v>0</v>
      </c>
      <c r="CL146">
        <v>1</v>
      </c>
      <c r="CM146">
        <v>1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 s="18">
        <v>0</v>
      </c>
      <c r="CZ146" s="34" t="s">
        <v>87</v>
      </c>
    </row>
    <row r="147" spans="1:104" x14ac:dyDescent="0.25">
      <c r="A147">
        <v>146</v>
      </c>
      <c r="B147">
        <v>14</v>
      </c>
      <c r="C147" s="25" t="s">
        <v>153</v>
      </c>
      <c r="D147" s="12">
        <v>10.7</v>
      </c>
      <c r="E147" s="14">
        <v>0.4</v>
      </c>
      <c r="F147" s="7">
        <v>25.713380227424</v>
      </c>
      <c r="G147" s="7">
        <f t="shared" si="121"/>
        <v>10.299999999999999</v>
      </c>
      <c r="H147" s="16">
        <f t="shared" si="122"/>
        <v>11.1</v>
      </c>
      <c r="I147" s="11">
        <f t="shared" si="111"/>
        <v>0.15248911135300705</v>
      </c>
      <c r="J147" s="33">
        <f t="shared" si="112"/>
        <v>5.9303409355092639E-3</v>
      </c>
      <c r="K147" s="33">
        <f t="shared" si="123"/>
        <v>168.62436930266063</v>
      </c>
      <c r="L147" s="33">
        <f t="shared" si="124"/>
        <v>0.14655877041749779</v>
      </c>
      <c r="M147" s="33">
        <f t="shared" si="125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97"/>
        <v>27773</v>
      </c>
      <c r="Y147" s="7">
        <v>12.6</v>
      </c>
      <c r="Z147" s="7">
        <f t="shared" si="126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9">
        <v>0</v>
      </c>
      <c r="AL147" s="30">
        <v>1</v>
      </c>
      <c r="AM147" s="21">
        <v>2007</v>
      </c>
      <c r="AN147" s="23"/>
      <c r="AO147" s="33">
        <v>0</v>
      </c>
      <c r="AP147" s="33">
        <v>0</v>
      </c>
      <c r="AQ147" s="33">
        <v>0</v>
      </c>
      <c r="AR147" s="43">
        <v>1</v>
      </c>
      <c r="AS147" s="33" t="s">
        <v>107</v>
      </c>
      <c r="AT147" s="43" t="s">
        <v>107</v>
      </c>
      <c r="AU147" s="42">
        <v>1</v>
      </c>
      <c r="AV147" s="18">
        <v>0</v>
      </c>
      <c r="AW147">
        <v>0</v>
      </c>
      <c r="AX147" s="40">
        <v>1</v>
      </c>
      <c r="AY147" t="s">
        <v>107</v>
      </c>
      <c r="AZ147" s="40" t="s">
        <v>107</v>
      </c>
      <c r="BB147" s="18"/>
      <c r="BC147" t="s">
        <v>107</v>
      </c>
      <c r="BD147" s="18" t="s">
        <v>107</v>
      </c>
      <c r="BE147" s="18" t="s">
        <v>2</v>
      </c>
      <c r="BL147" s="18"/>
      <c r="BO147" s="18"/>
      <c r="BR147" s="25">
        <v>44.5</v>
      </c>
      <c r="BS147">
        <v>1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 s="18">
        <v>0</v>
      </c>
      <c r="CA147">
        <v>0</v>
      </c>
      <c r="CB147">
        <v>0</v>
      </c>
      <c r="CC147">
        <v>0</v>
      </c>
      <c r="CD147" s="18">
        <v>1</v>
      </c>
      <c r="CE147">
        <v>0</v>
      </c>
      <c r="CF147">
        <v>0</v>
      </c>
      <c r="CG147">
        <v>0</v>
      </c>
      <c r="CH147">
        <v>0</v>
      </c>
      <c r="CI147" s="18">
        <v>0</v>
      </c>
      <c r="CJ147">
        <v>0</v>
      </c>
      <c r="CK147">
        <v>0</v>
      </c>
      <c r="CL147">
        <v>1</v>
      </c>
      <c r="CM147">
        <v>1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 s="18">
        <v>0</v>
      </c>
      <c r="CZ147" s="34" t="s">
        <v>87</v>
      </c>
    </row>
    <row r="148" spans="1:104" x14ac:dyDescent="0.25">
      <c r="A148">
        <v>147</v>
      </c>
      <c r="B148">
        <v>14</v>
      </c>
      <c r="C148" s="25" t="s">
        <v>153</v>
      </c>
      <c r="D148" s="12">
        <v>11.2</v>
      </c>
      <c r="E148" s="14">
        <v>0.5</v>
      </c>
      <c r="F148" s="7">
        <v>26.713380227424</v>
      </c>
      <c r="G148" s="7">
        <f t="shared" si="121"/>
        <v>10.7</v>
      </c>
      <c r="H148" s="16">
        <f t="shared" si="122"/>
        <v>11.7</v>
      </c>
      <c r="I148" s="11">
        <f t="shared" si="111"/>
        <v>0.15809334365207181</v>
      </c>
      <c r="J148" s="33">
        <f t="shared" si="112"/>
        <v>5.9181332465658137E-3</v>
      </c>
      <c r="K148" s="33">
        <f t="shared" si="123"/>
        <v>168.97220091830172</v>
      </c>
      <c r="L148" s="33">
        <f t="shared" si="124"/>
        <v>0.152175210405506</v>
      </c>
      <c r="M148" s="33">
        <f t="shared" si="125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97"/>
        <v>27838</v>
      </c>
      <c r="Y148" s="7">
        <v>12.6</v>
      </c>
      <c r="Z148" s="7">
        <f t="shared" si="126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9">
        <v>0</v>
      </c>
      <c r="AL148" s="30">
        <v>1</v>
      </c>
      <c r="AM148" s="21">
        <v>2007</v>
      </c>
      <c r="AN148" s="23"/>
      <c r="AO148" s="33">
        <v>0</v>
      </c>
      <c r="AP148" s="33">
        <v>0</v>
      </c>
      <c r="AQ148" s="33">
        <v>0</v>
      </c>
      <c r="AR148" s="43">
        <v>1</v>
      </c>
      <c r="AS148" s="33" t="s">
        <v>107</v>
      </c>
      <c r="AT148" s="43" t="s">
        <v>107</v>
      </c>
      <c r="AU148" s="42">
        <v>1</v>
      </c>
      <c r="AV148" s="18">
        <v>0</v>
      </c>
      <c r="AW148">
        <v>0</v>
      </c>
      <c r="AX148" s="40">
        <v>1</v>
      </c>
      <c r="AY148" t="s">
        <v>107</v>
      </c>
      <c r="AZ148" s="40" t="s">
        <v>107</v>
      </c>
      <c r="BB148" s="18"/>
      <c r="BC148" t="s">
        <v>107</v>
      </c>
      <c r="BD148" s="18" t="s">
        <v>107</v>
      </c>
      <c r="BE148" s="18" t="s">
        <v>2</v>
      </c>
      <c r="BL148" s="18"/>
      <c r="BO148" s="18"/>
      <c r="BR148" s="25">
        <v>44.5</v>
      </c>
      <c r="BS148">
        <v>1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 s="18">
        <v>0</v>
      </c>
      <c r="CA148">
        <v>0</v>
      </c>
      <c r="CB148">
        <v>0</v>
      </c>
      <c r="CC148">
        <v>0</v>
      </c>
      <c r="CD148" s="18">
        <v>1</v>
      </c>
      <c r="CE148">
        <v>0</v>
      </c>
      <c r="CF148">
        <v>0</v>
      </c>
      <c r="CG148">
        <v>0</v>
      </c>
      <c r="CH148">
        <v>0</v>
      </c>
      <c r="CI148" s="18">
        <v>0</v>
      </c>
      <c r="CJ148">
        <v>0</v>
      </c>
      <c r="CK148">
        <v>0</v>
      </c>
      <c r="CL148">
        <v>1</v>
      </c>
      <c r="CM148">
        <v>1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 s="18">
        <v>0</v>
      </c>
      <c r="CZ148" s="34" t="s">
        <v>87</v>
      </c>
    </row>
    <row r="149" spans="1:104" x14ac:dyDescent="0.25">
      <c r="A149">
        <v>148</v>
      </c>
      <c r="B149">
        <v>14</v>
      </c>
      <c r="C149" s="25" t="s">
        <v>153</v>
      </c>
      <c r="D149" s="12">
        <v>8.4</v>
      </c>
      <c r="E149" s="14">
        <v>0.5</v>
      </c>
      <c r="F149" s="7">
        <v>27.713380227424</v>
      </c>
      <c r="G149" s="7">
        <f t="shared" si="121"/>
        <v>7.9</v>
      </c>
      <c r="H149" s="16">
        <f t="shared" si="122"/>
        <v>8.9</v>
      </c>
      <c r="I149" s="11">
        <f t="shared" si="111"/>
        <v>0.15628859800169251</v>
      </c>
      <c r="J149" s="33">
        <f t="shared" si="112"/>
        <v>5.6394635630566577E-3</v>
      </c>
      <c r="K149" s="33">
        <f t="shared" si="123"/>
        <v>177.32183013839492</v>
      </c>
      <c r="L149" s="33">
        <f t="shared" si="124"/>
        <v>0.15064913443863584</v>
      </c>
      <c r="M149" s="33">
        <f t="shared" si="125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97"/>
        <v>30675</v>
      </c>
      <c r="Y149" s="7">
        <v>12.4</v>
      </c>
      <c r="Z149" s="7">
        <f t="shared" si="126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9">
        <v>0</v>
      </c>
      <c r="AL149" s="30">
        <v>1</v>
      </c>
      <c r="AM149" s="21">
        <v>2007</v>
      </c>
      <c r="AN149" s="23"/>
      <c r="AO149" s="33">
        <v>0</v>
      </c>
      <c r="AP149" s="33">
        <v>0</v>
      </c>
      <c r="AQ149" s="33">
        <v>0</v>
      </c>
      <c r="AR149" s="43">
        <v>1</v>
      </c>
      <c r="AS149" s="33" t="s">
        <v>107</v>
      </c>
      <c r="AT149" s="43" t="s">
        <v>107</v>
      </c>
      <c r="AU149" s="42">
        <v>1</v>
      </c>
      <c r="AV149" s="18">
        <v>0</v>
      </c>
      <c r="AW149">
        <v>1</v>
      </c>
      <c r="AX149" s="40">
        <v>0</v>
      </c>
      <c r="AY149" t="s">
        <v>107</v>
      </c>
      <c r="AZ149" s="40" t="s">
        <v>107</v>
      </c>
      <c r="BB149" s="18"/>
      <c r="BC149" t="s">
        <v>107</v>
      </c>
      <c r="BD149" s="18" t="s">
        <v>107</v>
      </c>
      <c r="BE149" s="18" t="s">
        <v>2</v>
      </c>
      <c r="BL149" s="18"/>
      <c r="BO149" s="18"/>
      <c r="BR149" s="25">
        <v>44.5</v>
      </c>
      <c r="BS149">
        <v>1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 s="18">
        <v>0</v>
      </c>
      <c r="CA149">
        <v>0</v>
      </c>
      <c r="CB149">
        <v>0</v>
      </c>
      <c r="CC149">
        <v>0</v>
      </c>
      <c r="CD149" s="18">
        <v>1</v>
      </c>
      <c r="CE149">
        <v>0</v>
      </c>
      <c r="CF149">
        <v>0</v>
      </c>
      <c r="CG149">
        <v>0</v>
      </c>
      <c r="CH149">
        <v>0</v>
      </c>
      <c r="CI149" s="18">
        <v>0</v>
      </c>
      <c r="CJ149">
        <v>0</v>
      </c>
      <c r="CK149">
        <v>0</v>
      </c>
      <c r="CL149">
        <v>1</v>
      </c>
      <c r="CM149">
        <v>1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 s="18">
        <v>0</v>
      </c>
      <c r="CZ149" s="34" t="s">
        <v>87</v>
      </c>
    </row>
    <row r="150" spans="1:104" x14ac:dyDescent="0.25">
      <c r="A150">
        <v>149</v>
      </c>
      <c r="B150">
        <v>14</v>
      </c>
      <c r="C150" s="25" t="s">
        <v>153</v>
      </c>
      <c r="D150" s="12">
        <v>8.6999999999999993</v>
      </c>
      <c r="E150" s="14">
        <v>0.6</v>
      </c>
      <c r="F150" s="7">
        <v>28.713380227424</v>
      </c>
      <c r="G150" s="7">
        <f t="shared" si="121"/>
        <v>8.1</v>
      </c>
      <c r="H150" s="16">
        <f t="shared" si="122"/>
        <v>9.2999999999999989</v>
      </c>
      <c r="I150" s="11">
        <f t="shared" si="111"/>
        <v>0.16170597526401623</v>
      </c>
      <c r="J150" s="33">
        <f t="shared" si="112"/>
        <v>5.6317289703694193E-3</v>
      </c>
      <c r="K150" s="33">
        <f t="shared" si="123"/>
        <v>177.56536318799516</v>
      </c>
      <c r="L150" s="33">
        <f t="shared" si="124"/>
        <v>0.1560742462936468</v>
      </c>
      <c r="M150" s="33">
        <f t="shared" si="125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97"/>
        <v>30705</v>
      </c>
      <c r="Y150" s="7">
        <v>12.4</v>
      </c>
      <c r="Z150" s="7">
        <f t="shared" si="126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9">
        <v>0</v>
      </c>
      <c r="AL150" s="30">
        <v>1</v>
      </c>
      <c r="AM150" s="21">
        <v>2007</v>
      </c>
      <c r="AN150" s="23"/>
      <c r="AO150" s="33">
        <v>0</v>
      </c>
      <c r="AP150" s="33">
        <v>0</v>
      </c>
      <c r="AQ150" s="33">
        <v>0</v>
      </c>
      <c r="AR150" s="43">
        <v>1</v>
      </c>
      <c r="AS150" s="33" t="s">
        <v>107</v>
      </c>
      <c r="AT150" s="43" t="s">
        <v>107</v>
      </c>
      <c r="AU150" s="42">
        <v>1</v>
      </c>
      <c r="AV150" s="18">
        <v>0</v>
      </c>
      <c r="AW150">
        <v>1</v>
      </c>
      <c r="AX150" s="40">
        <v>0</v>
      </c>
      <c r="AY150" t="s">
        <v>107</v>
      </c>
      <c r="AZ150" s="40" t="s">
        <v>107</v>
      </c>
      <c r="BB150" s="18"/>
      <c r="BC150" t="s">
        <v>107</v>
      </c>
      <c r="BD150" s="18" t="s">
        <v>107</v>
      </c>
      <c r="BE150" s="18" t="s">
        <v>2</v>
      </c>
      <c r="BL150" s="18"/>
      <c r="BO150" s="18"/>
      <c r="BR150" s="25">
        <v>44.5</v>
      </c>
      <c r="BS150">
        <v>1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 s="18">
        <v>0</v>
      </c>
      <c r="CA150">
        <v>0</v>
      </c>
      <c r="CB150">
        <v>0</v>
      </c>
      <c r="CC150">
        <v>0</v>
      </c>
      <c r="CD150" s="18">
        <v>1</v>
      </c>
      <c r="CE150">
        <v>0</v>
      </c>
      <c r="CF150">
        <v>0</v>
      </c>
      <c r="CG150">
        <v>0</v>
      </c>
      <c r="CH150">
        <v>0</v>
      </c>
      <c r="CI150" s="18">
        <v>0</v>
      </c>
      <c r="CJ150">
        <v>0</v>
      </c>
      <c r="CK150">
        <v>0</v>
      </c>
      <c r="CL150">
        <v>1</v>
      </c>
      <c r="CM150">
        <v>1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 s="18">
        <v>0</v>
      </c>
      <c r="CZ150" s="34" t="s">
        <v>87</v>
      </c>
    </row>
    <row r="151" spans="1:104" x14ac:dyDescent="0.25">
      <c r="A151">
        <v>150</v>
      </c>
      <c r="B151">
        <v>14</v>
      </c>
      <c r="C151" s="25" t="s">
        <v>153</v>
      </c>
      <c r="D151" s="12">
        <v>9.8000000000000007</v>
      </c>
      <c r="E151" s="14">
        <v>0.6</v>
      </c>
      <c r="F151" s="7">
        <v>29.713380227424</v>
      </c>
      <c r="G151" s="7">
        <f t="shared" si="121"/>
        <v>9.2000000000000011</v>
      </c>
      <c r="H151" s="16">
        <f t="shared" si="122"/>
        <v>10.4</v>
      </c>
      <c r="I151" s="11">
        <f t="shared" si="111"/>
        <v>0.16541448611109594</v>
      </c>
      <c r="J151" s="33">
        <f t="shared" si="112"/>
        <v>5.5670033111354465E-3</v>
      </c>
      <c r="K151" s="33">
        <f t="shared" si="123"/>
        <v>179.62985543761783</v>
      </c>
      <c r="L151" s="33">
        <f t="shared" si="124"/>
        <v>0.1598474827999605</v>
      </c>
      <c r="M151" s="33">
        <f t="shared" si="125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97"/>
        <v>31384</v>
      </c>
      <c r="Y151" s="7">
        <v>12.4</v>
      </c>
      <c r="Z151" s="7">
        <f t="shared" si="126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9">
        <v>0</v>
      </c>
      <c r="AL151" s="30">
        <v>1</v>
      </c>
      <c r="AM151" s="21">
        <v>2007</v>
      </c>
      <c r="AN151" s="23"/>
      <c r="AO151" s="33">
        <v>0</v>
      </c>
      <c r="AP151" s="33">
        <v>0</v>
      </c>
      <c r="AQ151" s="33">
        <v>0</v>
      </c>
      <c r="AR151" s="43">
        <v>1</v>
      </c>
      <c r="AS151" s="33" t="s">
        <v>107</v>
      </c>
      <c r="AT151" s="43" t="s">
        <v>107</v>
      </c>
      <c r="AU151" s="42">
        <v>1</v>
      </c>
      <c r="AV151" s="18">
        <v>0</v>
      </c>
      <c r="AW151">
        <v>1</v>
      </c>
      <c r="AX151" s="40">
        <v>0</v>
      </c>
      <c r="AY151" t="s">
        <v>107</v>
      </c>
      <c r="AZ151" s="40" t="s">
        <v>107</v>
      </c>
      <c r="BB151" s="18"/>
      <c r="BC151" t="s">
        <v>107</v>
      </c>
      <c r="BD151" s="18" t="s">
        <v>107</v>
      </c>
      <c r="BE151" s="18" t="s">
        <v>2</v>
      </c>
      <c r="BL151" s="18"/>
      <c r="BO151" s="18"/>
      <c r="BR151" s="25">
        <v>44.5</v>
      </c>
      <c r="BS151">
        <v>1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 s="18">
        <v>0</v>
      </c>
      <c r="CA151">
        <v>0</v>
      </c>
      <c r="CB151">
        <v>0</v>
      </c>
      <c r="CC151">
        <v>0</v>
      </c>
      <c r="CD151" s="18">
        <v>1</v>
      </c>
      <c r="CE151">
        <v>0</v>
      </c>
      <c r="CF151">
        <v>0</v>
      </c>
      <c r="CG151">
        <v>0</v>
      </c>
      <c r="CH151">
        <v>0</v>
      </c>
      <c r="CI151" s="18">
        <v>0</v>
      </c>
      <c r="CJ151">
        <v>0</v>
      </c>
      <c r="CK151">
        <v>0</v>
      </c>
      <c r="CL151">
        <v>1</v>
      </c>
      <c r="CM151">
        <v>1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 s="18">
        <v>0</v>
      </c>
      <c r="CZ151" s="34" t="s">
        <v>87</v>
      </c>
    </row>
    <row r="152" spans="1:104" x14ac:dyDescent="0.25">
      <c r="A152">
        <v>151</v>
      </c>
      <c r="B152">
        <v>14</v>
      </c>
      <c r="C152" s="25" t="s">
        <v>153</v>
      </c>
      <c r="D152" s="12">
        <v>7.5</v>
      </c>
      <c r="E152" s="14">
        <v>0.3</v>
      </c>
      <c r="F152" s="7">
        <v>30.713380227424</v>
      </c>
      <c r="G152" s="7">
        <f t="shared" si="121"/>
        <v>7.2</v>
      </c>
      <c r="H152" s="16">
        <f t="shared" si="122"/>
        <v>7.8</v>
      </c>
      <c r="I152" s="11">
        <f t="shared" si="111"/>
        <v>0.17506737478084128</v>
      </c>
      <c r="J152" s="33">
        <f t="shared" si="112"/>
        <v>5.7000360586987268E-3</v>
      </c>
      <c r="K152" s="33">
        <f t="shared" si="123"/>
        <v>175.43748665833741</v>
      </c>
      <c r="L152" s="33">
        <f t="shared" si="124"/>
        <v>0.16936733872214255</v>
      </c>
      <c r="M152" s="33">
        <f t="shared" si="125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97"/>
        <v>29835</v>
      </c>
      <c r="Y152" s="7">
        <v>12.6</v>
      </c>
      <c r="Z152" s="7">
        <f t="shared" si="126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9">
        <v>0</v>
      </c>
      <c r="AL152" s="30">
        <v>1</v>
      </c>
      <c r="AM152" s="21">
        <v>2007</v>
      </c>
      <c r="AN152" s="23"/>
      <c r="AO152" s="33">
        <v>0</v>
      </c>
      <c r="AP152" s="33">
        <v>0</v>
      </c>
      <c r="AQ152" s="33">
        <v>0</v>
      </c>
      <c r="AR152" s="43">
        <v>1</v>
      </c>
      <c r="AS152" s="33" t="s">
        <v>107</v>
      </c>
      <c r="AT152" s="43" t="s">
        <v>107</v>
      </c>
      <c r="AU152" s="42">
        <v>1</v>
      </c>
      <c r="AV152" s="18">
        <v>0</v>
      </c>
      <c r="AW152">
        <v>0</v>
      </c>
      <c r="AX152" s="40">
        <v>1</v>
      </c>
      <c r="AY152" t="s">
        <v>107</v>
      </c>
      <c r="AZ152" s="40" t="s">
        <v>107</v>
      </c>
      <c r="BB152" s="18"/>
      <c r="BC152" t="s">
        <v>107</v>
      </c>
      <c r="BD152" s="18" t="s">
        <v>107</v>
      </c>
      <c r="BE152" s="18" t="s">
        <v>2</v>
      </c>
      <c r="BL152" s="18"/>
      <c r="BO152" s="18"/>
      <c r="BR152" s="25">
        <v>44.5</v>
      </c>
      <c r="BS152">
        <v>1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 s="18">
        <v>0</v>
      </c>
      <c r="CA152">
        <v>0</v>
      </c>
      <c r="CB152">
        <v>0</v>
      </c>
      <c r="CC152">
        <v>0</v>
      </c>
      <c r="CD152" s="18">
        <v>1</v>
      </c>
      <c r="CE152">
        <v>0</v>
      </c>
      <c r="CF152">
        <v>0</v>
      </c>
      <c r="CG152">
        <v>0</v>
      </c>
      <c r="CH152">
        <v>0</v>
      </c>
      <c r="CI152" s="18">
        <v>0</v>
      </c>
      <c r="CJ152">
        <v>0</v>
      </c>
      <c r="CK152">
        <v>0</v>
      </c>
      <c r="CL152">
        <v>1</v>
      </c>
      <c r="CM152">
        <v>1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 s="18">
        <v>0</v>
      </c>
      <c r="CZ152" s="34" t="s">
        <v>87</v>
      </c>
    </row>
    <row r="153" spans="1:104" x14ac:dyDescent="0.25">
      <c r="A153">
        <v>152</v>
      </c>
      <c r="B153">
        <v>14</v>
      </c>
      <c r="C153" s="25" t="s">
        <v>153</v>
      </c>
      <c r="D153" s="12">
        <v>10.6</v>
      </c>
      <c r="E153" s="14">
        <v>0.5</v>
      </c>
      <c r="F153" s="7">
        <v>31.713380227424</v>
      </c>
      <c r="G153" s="7">
        <f t="shared" si="121"/>
        <v>10.1</v>
      </c>
      <c r="H153" s="16">
        <f t="shared" si="122"/>
        <v>11.1</v>
      </c>
      <c r="I153" s="11">
        <f t="shared" si="111"/>
        <v>0.18049659984710903</v>
      </c>
      <c r="J153" s="33">
        <f t="shared" si="112"/>
        <v>5.6914967295421072E-3</v>
      </c>
      <c r="K153" s="33">
        <f t="shared" si="123"/>
        <v>175.7007071284836</v>
      </c>
      <c r="L153" s="33">
        <f t="shared" si="124"/>
        <v>0.17480510311756692</v>
      </c>
      <c r="M153" s="33">
        <f t="shared" si="125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97"/>
        <v>29865</v>
      </c>
      <c r="Y153" s="7">
        <v>12.6</v>
      </c>
      <c r="Z153" s="7">
        <f t="shared" si="126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9">
        <v>0</v>
      </c>
      <c r="AL153" s="30">
        <v>1</v>
      </c>
      <c r="AM153" s="21">
        <v>2007</v>
      </c>
      <c r="AN153" s="23"/>
      <c r="AO153" s="33">
        <v>0</v>
      </c>
      <c r="AP153" s="33">
        <v>0</v>
      </c>
      <c r="AQ153" s="33">
        <v>0</v>
      </c>
      <c r="AR153" s="43">
        <v>1</v>
      </c>
      <c r="AS153" s="33" t="s">
        <v>107</v>
      </c>
      <c r="AT153" s="43" t="s">
        <v>107</v>
      </c>
      <c r="AU153" s="42">
        <v>1</v>
      </c>
      <c r="AV153" s="18">
        <v>0</v>
      </c>
      <c r="AW153">
        <v>0</v>
      </c>
      <c r="AX153" s="40">
        <v>1</v>
      </c>
      <c r="AY153" t="s">
        <v>107</v>
      </c>
      <c r="AZ153" s="40" t="s">
        <v>107</v>
      </c>
      <c r="BB153" s="18"/>
      <c r="BC153" t="s">
        <v>107</v>
      </c>
      <c r="BD153" s="18" t="s">
        <v>107</v>
      </c>
      <c r="BE153" s="18" t="s">
        <v>2</v>
      </c>
      <c r="BL153" s="18"/>
      <c r="BO153" s="18"/>
      <c r="BR153" s="25">
        <v>44.5</v>
      </c>
      <c r="BS153">
        <v>1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 s="18">
        <v>0</v>
      </c>
      <c r="CA153">
        <v>0</v>
      </c>
      <c r="CB153">
        <v>0</v>
      </c>
      <c r="CC153">
        <v>0</v>
      </c>
      <c r="CD153" s="18">
        <v>1</v>
      </c>
      <c r="CE153">
        <v>0</v>
      </c>
      <c r="CF153">
        <v>0</v>
      </c>
      <c r="CG153">
        <v>0</v>
      </c>
      <c r="CH153">
        <v>0</v>
      </c>
      <c r="CI153" s="18">
        <v>0</v>
      </c>
      <c r="CJ153">
        <v>0</v>
      </c>
      <c r="CK153">
        <v>0</v>
      </c>
      <c r="CL153">
        <v>1</v>
      </c>
      <c r="CM153">
        <v>1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 s="18">
        <v>0</v>
      </c>
      <c r="CZ153" s="34" t="s">
        <v>87</v>
      </c>
    </row>
    <row r="154" spans="1:104" s="52" customFormat="1" x14ac:dyDescent="0.25">
      <c r="A154" s="52">
        <v>153</v>
      </c>
      <c r="B154" s="52">
        <v>14</v>
      </c>
      <c r="C154" s="53" t="s">
        <v>153</v>
      </c>
      <c r="D154" s="54">
        <v>11.1</v>
      </c>
      <c r="E154" s="55">
        <v>0.6</v>
      </c>
      <c r="F154" s="56">
        <v>32.713380227423997</v>
      </c>
      <c r="G154" s="56">
        <f t="shared" si="121"/>
        <v>10.5</v>
      </c>
      <c r="H154" s="57">
        <f t="shared" si="122"/>
        <v>11.7</v>
      </c>
      <c r="I154" s="58">
        <f t="shared" si="111"/>
        <v>0.18598810220012707</v>
      </c>
      <c r="J154" s="59">
        <f t="shared" si="112"/>
        <v>5.6853831951065434E-3</v>
      </c>
      <c r="K154" s="59">
        <f t="shared" si="123"/>
        <v>175.88963939329687</v>
      </c>
      <c r="L154" s="59">
        <f t="shared" si="124"/>
        <v>0.18030271900502054</v>
      </c>
      <c r="M154" s="59">
        <f t="shared" si="125"/>
        <v>0.1916734853952336</v>
      </c>
      <c r="N154" s="60">
        <v>1</v>
      </c>
      <c r="O154" s="61">
        <v>0</v>
      </c>
      <c r="P154" s="60">
        <v>0</v>
      </c>
      <c r="Q154" s="61">
        <v>0</v>
      </c>
      <c r="R154" s="61">
        <v>0</v>
      </c>
      <c r="S154" s="61">
        <v>1</v>
      </c>
      <c r="T154" s="61">
        <v>0</v>
      </c>
      <c r="U154" s="60">
        <v>29871</v>
      </c>
      <c r="V154" s="61">
        <v>3</v>
      </c>
      <c r="W154" s="61">
        <f t="shared" si="97"/>
        <v>29867</v>
      </c>
      <c r="X154" s="61"/>
      <c r="Y154" s="56">
        <v>12.6</v>
      </c>
      <c r="Z154" s="56">
        <f t="shared" si="126"/>
        <v>25.9</v>
      </c>
      <c r="AA154" s="61">
        <v>1</v>
      </c>
      <c r="AB154" s="61">
        <v>0</v>
      </c>
      <c r="AC154" s="61">
        <v>0</v>
      </c>
      <c r="AD154" s="61">
        <v>0</v>
      </c>
      <c r="AE154" s="61">
        <v>0</v>
      </c>
      <c r="AF154" s="61">
        <v>1</v>
      </c>
      <c r="AG154" s="60">
        <v>0</v>
      </c>
      <c r="AH154" s="61">
        <v>1</v>
      </c>
      <c r="AI154" s="62">
        <v>0</v>
      </c>
      <c r="AJ154" s="61">
        <v>0</v>
      </c>
      <c r="AK154" s="61">
        <v>0</v>
      </c>
      <c r="AL154" s="62">
        <v>1</v>
      </c>
      <c r="AM154" s="63">
        <v>2007</v>
      </c>
      <c r="AN154" s="64"/>
      <c r="AO154" s="59">
        <v>0</v>
      </c>
      <c r="AP154" s="59">
        <v>0</v>
      </c>
      <c r="AQ154" s="59">
        <v>0</v>
      </c>
      <c r="AR154" s="65">
        <v>1</v>
      </c>
      <c r="AS154" s="59" t="s">
        <v>107</v>
      </c>
      <c r="AT154" s="65" t="s">
        <v>107</v>
      </c>
      <c r="AU154" s="66">
        <v>1</v>
      </c>
      <c r="AV154" s="67">
        <v>0</v>
      </c>
      <c r="AW154" s="52">
        <v>0</v>
      </c>
      <c r="AX154" s="68">
        <v>1</v>
      </c>
      <c r="AY154" s="52" t="s">
        <v>107</v>
      </c>
      <c r="AZ154" s="68" t="s">
        <v>107</v>
      </c>
      <c r="BB154" s="67"/>
      <c r="BC154" s="52" t="s">
        <v>107</v>
      </c>
      <c r="BD154" s="67" t="s">
        <v>107</v>
      </c>
      <c r="BE154" s="67" t="s">
        <v>2</v>
      </c>
      <c r="BL154" s="67"/>
      <c r="BO154" s="67"/>
      <c r="BR154" s="53">
        <v>44.5</v>
      </c>
      <c r="BS154" s="52">
        <v>1</v>
      </c>
      <c r="BT154" s="52">
        <v>0</v>
      </c>
      <c r="BU154" s="52">
        <v>0</v>
      </c>
      <c r="BV154" s="52">
        <v>0</v>
      </c>
      <c r="BW154" s="52">
        <v>0</v>
      </c>
      <c r="BX154" s="52">
        <v>0</v>
      </c>
      <c r="BY154" s="52">
        <v>0</v>
      </c>
      <c r="BZ154" s="67">
        <v>0</v>
      </c>
      <c r="CA154" s="52">
        <v>0</v>
      </c>
      <c r="CB154" s="52">
        <v>0</v>
      </c>
      <c r="CC154" s="52">
        <v>0</v>
      </c>
      <c r="CD154" s="67">
        <v>1</v>
      </c>
      <c r="CE154" s="52">
        <v>0</v>
      </c>
      <c r="CF154" s="52">
        <v>0</v>
      </c>
      <c r="CG154" s="52">
        <v>0</v>
      </c>
      <c r="CH154" s="52">
        <v>0</v>
      </c>
      <c r="CI154" s="67">
        <v>0</v>
      </c>
      <c r="CJ154" s="52">
        <v>0</v>
      </c>
      <c r="CK154" s="52">
        <v>0</v>
      </c>
      <c r="CL154" s="52">
        <v>1</v>
      </c>
      <c r="CM154" s="52">
        <v>1</v>
      </c>
      <c r="CN154" s="52">
        <v>0</v>
      </c>
      <c r="CO154" s="52">
        <v>0</v>
      </c>
      <c r="CP154" s="52">
        <v>0</v>
      </c>
      <c r="CQ154" s="52">
        <v>0</v>
      </c>
      <c r="CR154" s="52">
        <v>0</v>
      </c>
      <c r="CS154" s="52">
        <v>0</v>
      </c>
      <c r="CT154" s="67">
        <v>0</v>
      </c>
      <c r="CY154" s="53"/>
      <c r="CZ154" s="69" t="s">
        <v>87</v>
      </c>
    </row>
    <row r="155" spans="1:104" x14ac:dyDescent="0.25">
      <c r="A155">
        <v>154</v>
      </c>
      <c r="B155">
        <v>15</v>
      </c>
      <c r="C155" s="25" t="s">
        <v>154</v>
      </c>
      <c r="D155" s="12">
        <v>7.2</v>
      </c>
      <c r="E155" s="14">
        <v>0.5</v>
      </c>
      <c r="F155" s="7">
        <f>D155/E155</f>
        <v>14.4</v>
      </c>
      <c r="G155" s="7">
        <f t="shared" si="121"/>
        <v>6.7</v>
      </c>
      <c r="H155" s="16">
        <f t="shared" si="122"/>
        <v>7.7</v>
      </c>
      <c r="I155" s="11">
        <f t="shared" si="111"/>
        <v>0.13314306921085112</v>
      </c>
      <c r="J155" s="33">
        <f t="shared" si="112"/>
        <v>9.2460464729757722E-3</v>
      </c>
      <c r="K155" s="33">
        <f t="shared" ref="K155:K156" si="127">IFERROR(1/J155, "X")</f>
        <v>108.15433417112789</v>
      </c>
      <c r="L155" s="33">
        <f t="shared" ref="L155:L156" si="128">IFERROR(I155-J155, "X")</f>
        <v>0.12389702273787534</v>
      </c>
      <c r="M155" s="33">
        <f t="shared" ref="M155:M156" si="129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97"/>
        <v>11490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9">
        <v>0</v>
      </c>
      <c r="AL155" s="30">
        <v>0</v>
      </c>
      <c r="AM155" s="21">
        <v>2002</v>
      </c>
      <c r="AN155" s="23"/>
      <c r="AO155" s="33">
        <v>0.36099999999999999</v>
      </c>
      <c r="AP155" s="33">
        <v>0.17599999999999999</v>
      </c>
      <c r="AQ155" s="33">
        <v>0.122</v>
      </c>
      <c r="AR155" s="43">
        <f>1-SUM(AO155:AQ155)</f>
        <v>0.34100000000000008</v>
      </c>
      <c r="AS155" s="33" t="s">
        <v>107</v>
      </c>
      <c r="AT155" s="43" t="s">
        <v>107</v>
      </c>
      <c r="AU155" s="42">
        <f>1-AV155</f>
        <v>0.5181</v>
      </c>
      <c r="AV155" s="18">
        <v>0.4819</v>
      </c>
      <c r="AW155">
        <v>1</v>
      </c>
      <c r="AX155" s="40">
        <v>0</v>
      </c>
      <c r="AY155" t="s">
        <v>107</v>
      </c>
      <c r="AZ155" s="40" t="s">
        <v>107</v>
      </c>
      <c r="BB155" s="18"/>
      <c r="BC155">
        <f>1-BD155</f>
        <v>0.61399999999999999</v>
      </c>
      <c r="BD155" s="18">
        <v>0.38600000000000001</v>
      </c>
      <c r="BE155" s="18" t="s">
        <v>20</v>
      </c>
      <c r="BL155" s="18"/>
      <c r="BO155" s="18"/>
      <c r="BR155" s="25">
        <v>34.277000000000001</v>
      </c>
      <c r="BS155">
        <v>1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 s="18">
        <v>0</v>
      </c>
      <c r="CA155">
        <v>0</v>
      </c>
      <c r="CB155">
        <v>0</v>
      </c>
      <c r="CC155">
        <v>1</v>
      </c>
      <c r="CD155" s="18">
        <v>0</v>
      </c>
      <c r="CE155">
        <v>0</v>
      </c>
      <c r="CF155">
        <v>0</v>
      </c>
      <c r="CG155">
        <v>0</v>
      </c>
      <c r="CH155">
        <v>0</v>
      </c>
      <c r="CI155" s="18">
        <v>0</v>
      </c>
      <c r="CJ155">
        <v>0</v>
      </c>
      <c r="CK155">
        <v>0</v>
      </c>
      <c r="CL155">
        <v>1</v>
      </c>
      <c r="CM155">
        <v>1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1</v>
      </c>
      <c r="CT155" s="18">
        <v>1</v>
      </c>
      <c r="CZ155" s="34" t="s">
        <v>87</v>
      </c>
    </row>
    <row r="156" spans="1:104" x14ac:dyDescent="0.25">
      <c r="A156">
        <v>155</v>
      </c>
      <c r="B156">
        <v>15</v>
      </c>
      <c r="C156" s="25" t="s">
        <v>154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1"/>
        <v>15.600000000000001</v>
      </c>
      <c r="H156" s="16">
        <f t="shared" si="122"/>
        <v>17.600000000000001</v>
      </c>
      <c r="I156" s="11">
        <f t="shared" si="111"/>
        <v>0.34745373685855596</v>
      </c>
      <c r="J156" s="33">
        <f t="shared" si="112"/>
        <v>2.0930948003527464E-2</v>
      </c>
      <c r="K156" s="33">
        <f t="shared" si="127"/>
        <v>47.776144674931651</v>
      </c>
      <c r="L156" s="33">
        <f t="shared" si="128"/>
        <v>0.3265227888550285</v>
      </c>
      <c r="M156" s="33">
        <f t="shared" si="129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97"/>
        <v>2007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9">
        <v>0</v>
      </c>
      <c r="AL156" s="30">
        <v>0</v>
      </c>
      <c r="AM156" s="21">
        <v>2002</v>
      </c>
      <c r="AN156" s="23"/>
      <c r="AO156" s="33">
        <v>0.58099999999999996</v>
      </c>
      <c r="AP156" s="33">
        <v>9.0999999999999998E-2</v>
      </c>
      <c r="AQ156" s="33">
        <v>3.9E-2</v>
      </c>
      <c r="AR156" s="43">
        <f>1-SUM(AO156:AQ156)</f>
        <v>0.28900000000000003</v>
      </c>
      <c r="AS156" s="33" t="s">
        <v>107</v>
      </c>
      <c r="AT156" s="43" t="s">
        <v>107</v>
      </c>
      <c r="AU156" s="42">
        <f>1-AV156</f>
        <v>0.3831</v>
      </c>
      <c r="AV156" s="18">
        <v>0.6169</v>
      </c>
      <c r="AW156">
        <v>0</v>
      </c>
      <c r="AX156" s="40">
        <v>1</v>
      </c>
      <c r="AY156" t="s">
        <v>107</v>
      </c>
      <c r="AZ156" s="40" t="s">
        <v>107</v>
      </c>
      <c r="BB156" s="18"/>
      <c r="BC156">
        <f t="shared" ref="BC156:BC190" si="130">1-BD156</f>
        <v>0.63400000000000001</v>
      </c>
      <c r="BD156" s="18">
        <v>0.36599999999999999</v>
      </c>
      <c r="BE156" s="18" t="s">
        <v>20</v>
      </c>
      <c r="BL156" s="18"/>
      <c r="BO156" s="18"/>
      <c r="BR156" s="25">
        <v>33.124000000000002</v>
      </c>
      <c r="BS156">
        <v>1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 s="18">
        <v>0</v>
      </c>
      <c r="CA156">
        <v>0</v>
      </c>
      <c r="CB156">
        <v>0</v>
      </c>
      <c r="CC156">
        <v>1</v>
      </c>
      <c r="CD156" s="18">
        <v>0</v>
      </c>
      <c r="CE156">
        <v>0</v>
      </c>
      <c r="CF156">
        <v>0</v>
      </c>
      <c r="CG156">
        <v>0</v>
      </c>
      <c r="CH156">
        <v>0</v>
      </c>
      <c r="CI156" s="18">
        <v>0</v>
      </c>
      <c r="CJ156">
        <v>0</v>
      </c>
      <c r="CK156">
        <v>0</v>
      </c>
      <c r="CL156">
        <v>1</v>
      </c>
      <c r="CM156">
        <v>1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1</v>
      </c>
      <c r="CT156" s="18">
        <v>1</v>
      </c>
      <c r="CZ156" s="34" t="s">
        <v>87</v>
      </c>
    </row>
    <row r="157" spans="1:104" x14ac:dyDescent="0.25">
      <c r="A157">
        <v>156</v>
      </c>
      <c r="B157">
        <v>15</v>
      </c>
      <c r="C157" s="25" t="s">
        <v>154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1">D157-E157</f>
        <v>2.3035171520973119</v>
      </c>
      <c r="H157" s="16">
        <f t="shared" ref="H157:H160" si="132">D157+E157</f>
        <v>3.0964828479026885</v>
      </c>
      <c r="I157" s="11">
        <f t="shared" si="111"/>
        <v>6.3421496849380379E-2</v>
      </c>
      <c r="J157" s="33">
        <f t="shared" si="112"/>
        <v>9.3131613663310058E-3</v>
      </c>
      <c r="K157" s="33">
        <f t="shared" ref="K157:K160" si="133">IFERROR(1/J157, "X")</f>
        <v>107.37492465396399</v>
      </c>
      <c r="L157" s="33">
        <f t="shared" ref="L157:L160" si="134">IFERROR(I157-J157, "X")</f>
        <v>5.4108335483049372E-2</v>
      </c>
      <c r="M157" s="33">
        <f t="shared" ref="M157:M160" si="135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97"/>
        <v>11483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9">
        <v>0</v>
      </c>
      <c r="AL157" s="30">
        <v>0</v>
      </c>
      <c r="AM157" s="21">
        <v>2002</v>
      </c>
      <c r="AN157" s="23"/>
      <c r="AO157" s="33">
        <v>0</v>
      </c>
      <c r="AP157" s="33">
        <v>1</v>
      </c>
      <c r="AQ157" s="33">
        <v>0</v>
      </c>
      <c r="AR157" s="43">
        <v>0</v>
      </c>
      <c r="AS157" s="33" t="s">
        <v>107</v>
      </c>
      <c r="AT157" s="43" t="s">
        <v>107</v>
      </c>
      <c r="AU157" s="42">
        <f>1-AV157</f>
        <v>0.5181</v>
      </c>
      <c r="AV157" s="18">
        <v>0.4819</v>
      </c>
      <c r="AW157">
        <v>1</v>
      </c>
      <c r="AX157" s="40">
        <v>0</v>
      </c>
      <c r="AY157" t="s">
        <v>107</v>
      </c>
      <c r="AZ157" s="40" t="s">
        <v>107</v>
      </c>
      <c r="BB157" s="18"/>
      <c r="BC157">
        <f t="shared" si="130"/>
        <v>0.61399999999999999</v>
      </c>
      <c r="BD157" s="18">
        <v>0.38600000000000001</v>
      </c>
      <c r="BE157" s="18" t="s">
        <v>20</v>
      </c>
      <c r="BL157" s="18"/>
      <c r="BO157" s="18"/>
      <c r="BR157" s="25">
        <v>34.277000000000001</v>
      </c>
      <c r="BS157">
        <v>1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 s="18">
        <v>0</v>
      </c>
      <c r="CA157">
        <v>0</v>
      </c>
      <c r="CB157">
        <v>0</v>
      </c>
      <c r="CC157">
        <v>1</v>
      </c>
      <c r="CD157" s="18">
        <v>0</v>
      </c>
      <c r="CE157">
        <v>0</v>
      </c>
      <c r="CF157">
        <v>0</v>
      </c>
      <c r="CG157">
        <v>0</v>
      </c>
      <c r="CH157">
        <v>0</v>
      </c>
      <c r="CI157" s="18">
        <v>0</v>
      </c>
      <c r="CJ157">
        <v>0</v>
      </c>
      <c r="CK157">
        <v>0</v>
      </c>
      <c r="CL157">
        <v>1</v>
      </c>
      <c r="CM157">
        <v>1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1</v>
      </c>
      <c r="CT157" s="18">
        <v>1</v>
      </c>
      <c r="CZ157" s="34" t="s">
        <v>87</v>
      </c>
    </row>
    <row r="158" spans="1:104" x14ac:dyDescent="0.25">
      <c r="A158">
        <v>157</v>
      </c>
      <c r="B158">
        <v>15</v>
      </c>
      <c r="C158" s="25" t="s">
        <v>154</v>
      </c>
      <c r="D158" s="12">
        <v>4.5</v>
      </c>
      <c r="E158" s="14">
        <f t="shared" ref="E158:E168" si="136">D158/F158</f>
        <v>0.29682285999879893</v>
      </c>
      <c r="F158" s="7">
        <f>SQRT((0.271/0.02)^2 + (0.136/0.02)^2)</f>
        <v>15.160557377616431</v>
      </c>
      <c r="G158" s="7">
        <f t="shared" si="131"/>
        <v>4.203177140001201</v>
      </c>
      <c r="H158" s="16">
        <f t="shared" si="132"/>
        <v>4.796822859998799</v>
      </c>
      <c r="I158" s="11">
        <f t="shared" si="111"/>
        <v>0.14008254285127902</v>
      </c>
      <c r="J158" s="33">
        <f t="shared" si="112"/>
        <v>9.2399335566713224E-3</v>
      </c>
      <c r="K158" s="33">
        <f t="shared" si="133"/>
        <v>108.225886459756</v>
      </c>
      <c r="L158" s="33">
        <f t="shared" si="134"/>
        <v>0.1308426092946077</v>
      </c>
      <c r="M158" s="33">
        <f t="shared" si="135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97"/>
        <v>11483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9">
        <v>0</v>
      </c>
      <c r="AL158" s="30">
        <v>0</v>
      </c>
      <c r="AM158" s="21">
        <v>2002</v>
      </c>
      <c r="AN158" s="23"/>
      <c r="AO158" s="33">
        <v>0</v>
      </c>
      <c r="AP158" s="33">
        <v>0</v>
      </c>
      <c r="AQ158" s="33">
        <v>1</v>
      </c>
      <c r="AR158" s="43">
        <v>0</v>
      </c>
      <c r="AS158" s="33" t="s">
        <v>107</v>
      </c>
      <c r="AT158" s="43" t="s">
        <v>107</v>
      </c>
      <c r="AU158" s="42">
        <f>1-AV158</f>
        <v>0.5181</v>
      </c>
      <c r="AV158" s="18">
        <v>0.4819</v>
      </c>
      <c r="AW158">
        <v>1</v>
      </c>
      <c r="AX158" s="40">
        <v>0</v>
      </c>
      <c r="AY158" t="s">
        <v>107</v>
      </c>
      <c r="AZ158" s="40" t="s">
        <v>107</v>
      </c>
      <c r="BB158" s="18"/>
      <c r="BC158">
        <f t="shared" si="130"/>
        <v>0.61399999999999999</v>
      </c>
      <c r="BD158" s="18">
        <v>0.38600000000000001</v>
      </c>
      <c r="BE158" s="18" t="s">
        <v>20</v>
      </c>
      <c r="BL158" s="18"/>
      <c r="BO158" s="18"/>
      <c r="BR158" s="25">
        <v>34.277000000000001</v>
      </c>
      <c r="BS158">
        <v>1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 s="18">
        <v>0</v>
      </c>
      <c r="CA158">
        <v>0</v>
      </c>
      <c r="CB158">
        <v>0</v>
      </c>
      <c r="CC158">
        <v>1</v>
      </c>
      <c r="CD158" s="18">
        <v>0</v>
      </c>
      <c r="CE158">
        <v>0</v>
      </c>
      <c r="CF158">
        <v>0</v>
      </c>
      <c r="CG158">
        <v>0</v>
      </c>
      <c r="CH158">
        <v>0</v>
      </c>
      <c r="CI158" s="18">
        <v>0</v>
      </c>
      <c r="CJ158">
        <v>0</v>
      </c>
      <c r="CK158">
        <v>0</v>
      </c>
      <c r="CL158">
        <v>1</v>
      </c>
      <c r="CM158">
        <v>1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1</v>
      </c>
      <c r="CT158" s="18">
        <v>1</v>
      </c>
      <c r="CZ158" s="34" t="s">
        <v>87</v>
      </c>
    </row>
    <row r="159" spans="1:104" x14ac:dyDescent="0.25">
      <c r="A159">
        <v>158</v>
      </c>
      <c r="B159">
        <v>15</v>
      </c>
      <c r="C159" s="25" t="s">
        <v>154</v>
      </c>
      <c r="D159" s="12">
        <v>13.2</v>
      </c>
      <c r="E159" s="14">
        <f t="shared" si="136"/>
        <v>0.44085990313196088</v>
      </c>
      <c r="F159" s="7">
        <f>SQRT((0.271/0.02)^2 + (0.534/0.02)^2)</f>
        <v>29.941484599131019</v>
      </c>
      <c r="G159" s="7">
        <f t="shared" si="131"/>
        <v>12.759140096868038</v>
      </c>
      <c r="H159" s="16">
        <f t="shared" si="132"/>
        <v>13.640859903131961</v>
      </c>
      <c r="I159" s="11">
        <f t="shared" si="111"/>
        <v>0.26910508843055797</v>
      </c>
      <c r="J159" s="33">
        <f t="shared" si="112"/>
        <v>8.9877002437737542E-3</v>
      </c>
      <c r="K159" s="33">
        <f t="shared" si="133"/>
        <v>111.26316776004538</v>
      </c>
      <c r="L159" s="33">
        <f t="shared" si="134"/>
        <v>0.2601173881867842</v>
      </c>
      <c r="M159" s="33">
        <f t="shared" si="135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97"/>
        <v>11483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9">
        <v>0</v>
      </c>
      <c r="AL159" s="30">
        <v>0</v>
      </c>
      <c r="AM159" s="21">
        <v>2002</v>
      </c>
      <c r="AN159" s="23"/>
      <c r="AO159" s="33">
        <v>0</v>
      </c>
      <c r="AP159" s="33">
        <v>0</v>
      </c>
      <c r="AQ159" s="33">
        <v>1</v>
      </c>
      <c r="AR159" s="43">
        <v>0</v>
      </c>
      <c r="AS159" s="33" t="s">
        <v>107</v>
      </c>
      <c r="AT159" s="43" t="s">
        <v>107</v>
      </c>
      <c r="AU159" s="42">
        <f t="shared" ref="AU159:AU162" si="137">1-AV159</f>
        <v>0.5181</v>
      </c>
      <c r="AV159" s="18">
        <v>0.4819</v>
      </c>
      <c r="AW159">
        <v>1</v>
      </c>
      <c r="AX159" s="40">
        <v>0</v>
      </c>
      <c r="AY159" t="s">
        <v>107</v>
      </c>
      <c r="AZ159" s="40" t="s">
        <v>107</v>
      </c>
      <c r="BB159" s="18"/>
      <c r="BC159">
        <f t="shared" si="130"/>
        <v>0.61399999999999999</v>
      </c>
      <c r="BD159" s="18">
        <v>0.38600000000000001</v>
      </c>
      <c r="BE159" s="18" t="s">
        <v>20</v>
      </c>
      <c r="BL159" s="18"/>
      <c r="BO159" s="18"/>
      <c r="BR159" s="25">
        <v>34.277000000000001</v>
      </c>
      <c r="BS159">
        <v>1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 s="18">
        <v>0</v>
      </c>
      <c r="CA159">
        <v>0</v>
      </c>
      <c r="CB159">
        <v>0</v>
      </c>
      <c r="CC159">
        <v>1</v>
      </c>
      <c r="CD159" s="18">
        <v>0</v>
      </c>
      <c r="CE159">
        <v>0</v>
      </c>
      <c r="CF159">
        <v>0</v>
      </c>
      <c r="CG159">
        <v>0</v>
      </c>
      <c r="CH159">
        <v>0</v>
      </c>
      <c r="CI159" s="18">
        <v>0</v>
      </c>
      <c r="CJ159">
        <v>0</v>
      </c>
      <c r="CK159">
        <v>0</v>
      </c>
      <c r="CL159">
        <v>1</v>
      </c>
      <c r="CM159">
        <v>1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1</v>
      </c>
      <c r="CT159" s="18">
        <v>1</v>
      </c>
      <c r="CZ159" s="34" t="s">
        <v>87</v>
      </c>
    </row>
    <row r="160" spans="1:104" x14ac:dyDescent="0.25">
      <c r="A160">
        <v>159</v>
      </c>
      <c r="B160">
        <v>15</v>
      </c>
      <c r="C160" s="25" t="s">
        <v>154</v>
      </c>
      <c r="D160" s="12">
        <v>11.4</v>
      </c>
      <c r="E160" s="14">
        <f t="shared" si="136"/>
        <v>0.30934775699157074</v>
      </c>
      <c r="F160" s="7">
        <f>SQRT((0.762/0.03)^2 + (0.534/0.02)^2)</f>
        <v>36.8517299458248</v>
      </c>
      <c r="G160" s="7">
        <f t="shared" si="131"/>
        <v>11.09065224300843</v>
      </c>
      <c r="H160" s="16">
        <f t="shared" si="132"/>
        <v>11.709347756991571</v>
      </c>
      <c r="I160" s="11">
        <f t="shared" si="111"/>
        <v>0.32520529743856608</v>
      </c>
      <c r="J160" s="33">
        <f t="shared" si="112"/>
        <v>8.8246955547716683E-3</v>
      </c>
      <c r="K160" s="33">
        <f t="shared" si="133"/>
        <v>113.31835685360073</v>
      </c>
      <c r="L160" s="33">
        <f t="shared" si="134"/>
        <v>0.31638060188379441</v>
      </c>
      <c r="M160" s="33">
        <f t="shared" si="135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97"/>
        <v>11483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9">
        <v>0</v>
      </c>
      <c r="AL160" s="30">
        <v>0</v>
      </c>
      <c r="AM160" s="21">
        <v>2002</v>
      </c>
      <c r="AN160" s="23"/>
      <c r="AO160" s="33">
        <v>0</v>
      </c>
      <c r="AP160" s="33">
        <v>0</v>
      </c>
      <c r="AQ160" s="33">
        <v>0</v>
      </c>
      <c r="AR160" s="43">
        <v>1</v>
      </c>
      <c r="AS160" s="33" t="s">
        <v>107</v>
      </c>
      <c r="AT160" s="43" t="s">
        <v>107</v>
      </c>
      <c r="AU160" s="42">
        <f t="shared" si="137"/>
        <v>0.5181</v>
      </c>
      <c r="AV160" s="18">
        <v>0.4819</v>
      </c>
      <c r="AW160">
        <v>1</v>
      </c>
      <c r="AX160" s="40">
        <v>0</v>
      </c>
      <c r="AY160" t="s">
        <v>107</v>
      </c>
      <c r="AZ160" s="40" t="s">
        <v>107</v>
      </c>
      <c r="BB160" s="18"/>
      <c r="BC160">
        <f t="shared" si="130"/>
        <v>0.61399999999999999</v>
      </c>
      <c r="BD160" s="18">
        <v>0.38600000000000001</v>
      </c>
      <c r="BE160" s="18" t="s">
        <v>20</v>
      </c>
      <c r="BL160" s="18"/>
      <c r="BO160" s="18"/>
      <c r="BR160" s="25">
        <v>34.277000000000001</v>
      </c>
      <c r="BS160">
        <v>1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 s="18">
        <v>0</v>
      </c>
      <c r="CA160">
        <v>0</v>
      </c>
      <c r="CB160">
        <v>0</v>
      </c>
      <c r="CC160">
        <v>1</v>
      </c>
      <c r="CD160" s="18">
        <v>0</v>
      </c>
      <c r="CE160">
        <v>0</v>
      </c>
      <c r="CF160">
        <v>0</v>
      </c>
      <c r="CG160">
        <v>0</v>
      </c>
      <c r="CH160">
        <v>0</v>
      </c>
      <c r="CI160" s="18">
        <v>0</v>
      </c>
      <c r="CJ160">
        <v>0</v>
      </c>
      <c r="CK160">
        <v>0</v>
      </c>
      <c r="CL160">
        <v>1</v>
      </c>
      <c r="CM160">
        <v>1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1</v>
      </c>
      <c r="CT160" s="18">
        <v>1</v>
      </c>
      <c r="CZ160" s="34" t="s">
        <v>87</v>
      </c>
    </row>
    <row r="161" spans="1:104" x14ac:dyDescent="0.25">
      <c r="A161">
        <v>160</v>
      </c>
      <c r="B161">
        <v>15</v>
      </c>
      <c r="C161" s="25" t="s">
        <v>154</v>
      </c>
      <c r="D161" s="12">
        <v>15.4</v>
      </c>
      <c r="E161" s="14">
        <f t="shared" si="136"/>
        <v>0.35170533535016346</v>
      </c>
      <c r="F161" s="7">
        <f>SQRT((0.762/0.03)^2 + (1.07/0.03)^2)</f>
        <v>43.786654486397012</v>
      </c>
      <c r="G161" s="7">
        <f t="shared" ref="G161:G162" si="138">D161-E161</f>
        <v>15.048294664649838</v>
      </c>
      <c r="H161" s="16">
        <f t="shared" ref="H161:H162" si="139">D161+E161</f>
        <v>15.751705335350163</v>
      </c>
      <c r="I161" s="11">
        <f t="shared" si="111"/>
        <v>0.37825525628295048</v>
      </c>
      <c r="J161" s="33">
        <f t="shared" si="112"/>
        <v>8.6385968674647477E-3</v>
      </c>
      <c r="K161" s="33">
        <f t="shared" ref="K161:K162" si="140">IFERROR(1/J161, "X")</f>
        <v>115.75954004362281</v>
      </c>
      <c r="L161" s="33">
        <f t="shared" ref="L161:L162" si="141">IFERROR(I161-J161, "X")</f>
        <v>0.36961665941548572</v>
      </c>
      <c r="M161" s="33">
        <f t="shared" ref="M161:M162" si="142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97"/>
        <v>11483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9">
        <v>0</v>
      </c>
      <c r="AL161" s="30">
        <v>0</v>
      </c>
      <c r="AM161" s="21">
        <v>2002</v>
      </c>
      <c r="AN161" s="23"/>
      <c r="AO161" s="33">
        <v>0</v>
      </c>
      <c r="AP161" s="33">
        <v>0</v>
      </c>
      <c r="AQ161" s="33">
        <v>0</v>
      </c>
      <c r="AR161" s="43">
        <v>1</v>
      </c>
      <c r="AS161" s="33" t="s">
        <v>107</v>
      </c>
      <c r="AT161" s="43" t="s">
        <v>107</v>
      </c>
      <c r="AU161" s="42">
        <f t="shared" si="137"/>
        <v>0.5181</v>
      </c>
      <c r="AV161" s="18">
        <v>0.4819</v>
      </c>
      <c r="AW161">
        <v>1</v>
      </c>
      <c r="AX161" s="40">
        <v>0</v>
      </c>
      <c r="AY161" t="s">
        <v>107</v>
      </c>
      <c r="AZ161" s="40" t="s">
        <v>107</v>
      </c>
      <c r="BB161" s="18"/>
      <c r="BC161">
        <f t="shared" si="130"/>
        <v>0.61399999999999999</v>
      </c>
      <c r="BD161" s="18">
        <v>0.38600000000000001</v>
      </c>
      <c r="BE161" s="18" t="s">
        <v>20</v>
      </c>
      <c r="BL161" s="18"/>
      <c r="BO161" s="18"/>
      <c r="BR161" s="25">
        <v>34.277000000000001</v>
      </c>
      <c r="BS161">
        <v>1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 s="18">
        <v>0</v>
      </c>
      <c r="CA161">
        <v>0</v>
      </c>
      <c r="CB161">
        <v>0</v>
      </c>
      <c r="CC161">
        <v>1</v>
      </c>
      <c r="CD161" s="18">
        <v>0</v>
      </c>
      <c r="CE161">
        <v>0</v>
      </c>
      <c r="CF161">
        <v>0</v>
      </c>
      <c r="CG161">
        <v>0</v>
      </c>
      <c r="CH161">
        <v>0</v>
      </c>
      <c r="CI161" s="18">
        <v>0</v>
      </c>
      <c r="CJ161">
        <v>0</v>
      </c>
      <c r="CK161">
        <v>0</v>
      </c>
      <c r="CL161">
        <v>1</v>
      </c>
      <c r="CM161">
        <v>1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1</v>
      </c>
      <c r="CT161" s="18">
        <v>1</v>
      </c>
      <c r="CZ161" s="34" t="s">
        <v>87</v>
      </c>
    </row>
    <row r="162" spans="1:104" x14ac:dyDescent="0.25">
      <c r="A162">
        <v>161</v>
      </c>
      <c r="B162">
        <v>15</v>
      </c>
      <c r="C162" s="25" t="s">
        <v>154</v>
      </c>
      <c r="D162" s="12">
        <v>15.1</v>
      </c>
      <c r="E162" s="14">
        <f t="shared" si="136"/>
        <v>0.26047644979967455</v>
      </c>
      <c r="F162" s="7">
        <f>SQRT((1.371/0.03)^2 + (1.07/0.03)^2)</f>
        <v>57.970691828812186</v>
      </c>
      <c r="G162" s="7">
        <f t="shared" si="138"/>
        <v>14.839523550200326</v>
      </c>
      <c r="H162" s="16">
        <f t="shared" si="139"/>
        <v>15.360476449799673</v>
      </c>
      <c r="I162" s="11">
        <f t="shared" si="111"/>
        <v>0.47581578529362467</v>
      </c>
      <c r="J162" s="33">
        <f t="shared" si="112"/>
        <v>8.2078679809223544E-3</v>
      </c>
      <c r="K162" s="33">
        <f t="shared" si="140"/>
        <v>121.83431828147236</v>
      </c>
      <c r="L162" s="33">
        <f t="shared" si="141"/>
        <v>0.46760791731270229</v>
      </c>
      <c r="M162" s="33">
        <f t="shared" si="142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97"/>
        <v>11483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9">
        <v>0</v>
      </c>
      <c r="AL162" s="30">
        <v>0</v>
      </c>
      <c r="AM162" s="21">
        <v>2002</v>
      </c>
      <c r="AN162" s="23"/>
      <c r="AO162" s="33">
        <v>0</v>
      </c>
      <c r="AP162" s="33">
        <v>0</v>
      </c>
      <c r="AQ162" s="33">
        <v>0</v>
      </c>
      <c r="AR162" s="43">
        <v>1</v>
      </c>
      <c r="AS162" s="33" t="s">
        <v>107</v>
      </c>
      <c r="AT162" s="43" t="s">
        <v>107</v>
      </c>
      <c r="AU162" s="42">
        <f t="shared" si="137"/>
        <v>0.5181</v>
      </c>
      <c r="AV162" s="18">
        <v>0.4819</v>
      </c>
      <c r="AW162">
        <v>1</v>
      </c>
      <c r="AX162" s="40">
        <v>0</v>
      </c>
      <c r="AY162" t="s">
        <v>107</v>
      </c>
      <c r="AZ162" s="40" t="s">
        <v>107</v>
      </c>
      <c r="BB162" s="18"/>
      <c r="BC162">
        <f t="shared" si="130"/>
        <v>0.61399999999999999</v>
      </c>
      <c r="BD162" s="18">
        <v>0.38600000000000001</v>
      </c>
      <c r="BE162" s="18" t="s">
        <v>20</v>
      </c>
      <c r="BL162" s="18"/>
      <c r="BO162" s="18"/>
      <c r="BR162" s="25">
        <v>34.277000000000001</v>
      </c>
      <c r="BS162">
        <v>1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 s="18">
        <v>0</v>
      </c>
      <c r="CA162">
        <v>0</v>
      </c>
      <c r="CB162">
        <v>0</v>
      </c>
      <c r="CC162">
        <v>1</v>
      </c>
      <c r="CD162" s="18">
        <v>0</v>
      </c>
      <c r="CE162">
        <v>0</v>
      </c>
      <c r="CF162">
        <v>0</v>
      </c>
      <c r="CG162">
        <v>0</v>
      </c>
      <c r="CH162">
        <v>0</v>
      </c>
      <c r="CI162" s="18">
        <v>0</v>
      </c>
      <c r="CJ162">
        <v>0</v>
      </c>
      <c r="CK162">
        <v>0</v>
      </c>
      <c r="CL162">
        <v>1</v>
      </c>
      <c r="CM162">
        <v>1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1</v>
      </c>
      <c r="CT162" s="18">
        <v>1</v>
      </c>
      <c r="CZ162" s="34" t="s">
        <v>87</v>
      </c>
    </row>
    <row r="163" spans="1:104" x14ac:dyDescent="0.25">
      <c r="A163">
        <v>162</v>
      </c>
      <c r="B163">
        <v>15</v>
      </c>
      <c r="C163" s="25" t="s">
        <v>154</v>
      </c>
      <c r="D163" s="12">
        <v>6.8</v>
      </c>
      <c r="E163" s="14">
        <f t="shared" si="136"/>
        <v>1.9914749166829471</v>
      </c>
      <c r="F163" s="7">
        <f>SQRT((0.334/0.14)^2 + (0.342/0.14)^2)</f>
        <v>3.4145546815755323</v>
      </c>
      <c r="G163" s="7">
        <f t="shared" ref="G163:G168" si="143">D163-E163</f>
        <v>4.8085250833170523</v>
      </c>
      <c r="H163" s="16">
        <f t="shared" ref="H163:H168" si="144">D163+E163</f>
        <v>8.7914749166829473</v>
      </c>
      <c r="I163" s="11">
        <f t="shared" si="111"/>
        <v>7.6130182327342963E-2</v>
      </c>
      <c r="J163" s="33">
        <f t="shared" si="112"/>
        <v>2.2295786545206312E-2</v>
      </c>
      <c r="K163" s="33">
        <f t="shared" ref="K163:K168" si="145">IFERROR(1/J163, "X")</f>
        <v>44.851523760887645</v>
      </c>
      <c r="L163" s="33">
        <f t="shared" ref="L163:L168" si="146">IFERROR(I163-J163, "X")</f>
        <v>5.3834395782136654E-2</v>
      </c>
      <c r="M163" s="33">
        <f t="shared" ref="M163:M168" si="147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97"/>
        <v>2000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9">
        <v>0</v>
      </c>
      <c r="AL163" s="30">
        <v>0</v>
      </c>
      <c r="AM163" s="21">
        <v>2002</v>
      </c>
      <c r="AN163" s="23"/>
      <c r="AO163" s="33">
        <v>0</v>
      </c>
      <c r="AP163" s="33">
        <v>1</v>
      </c>
      <c r="AQ163" s="33">
        <v>0</v>
      </c>
      <c r="AR163" s="43">
        <v>0</v>
      </c>
      <c r="AS163" s="33" t="s">
        <v>107</v>
      </c>
      <c r="AT163" s="43" t="s">
        <v>107</v>
      </c>
      <c r="AU163" s="42">
        <f>1-AV163</f>
        <v>0.3831</v>
      </c>
      <c r="AV163" s="18">
        <v>0.6169</v>
      </c>
      <c r="AW163">
        <v>0</v>
      </c>
      <c r="AX163" s="40">
        <v>1</v>
      </c>
      <c r="AY163" t="s">
        <v>107</v>
      </c>
      <c r="AZ163" s="40" t="s">
        <v>107</v>
      </c>
      <c r="BB163" s="18"/>
      <c r="BC163">
        <f t="shared" si="130"/>
        <v>0.63400000000000001</v>
      </c>
      <c r="BD163" s="18">
        <v>0.36599999999999999</v>
      </c>
      <c r="BE163" s="18" t="s">
        <v>20</v>
      </c>
      <c r="BL163" s="18"/>
      <c r="BO163" s="18"/>
      <c r="BR163" s="25">
        <v>33.124000000000002</v>
      </c>
      <c r="BS163">
        <v>1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 s="18">
        <v>0</v>
      </c>
      <c r="CA163">
        <v>0</v>
      </c>
      <c r="CB163">
        <v>0</v>
      </c>
      <c r="CC163">
        <v>1</v>
      </c>
      <c r="CD163" s="18">
        <v>0</v>
      </c>
      <c r="CE163">
        <v>0</v>
      </c>
      <c r="CF163">
        <v>0</v>
      </c>
      <c r="CG163">
        <v>0</v>
      </c>
      <c r="CH163">
        <v>0</v>
      </c>
      <c r="CI163" s="18">
        <v>0</v>
      </c>
      <c r="CJ163">
        <v>0</v>
      </c>
      <c r="CK163">
        <v>0</v>
      </c>
      <c r="CL163">
        <v>1</v>
      </c>
      <c r="CM163">
        <v>1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1</v>
      </c>
      <c r="CT163" s="18">
        <v>1</v>
      </c>
      <c r="CZ163" s="34" t="s">
        <v>87</v>
      </c>
    </row>
    <row r="164" spans="1:104" x14ac:dyDescent="0.25">
      <c r="A164">
        <v>163</v>
      </c>
      <c r="B164">
        <v>15</v>
      </c>
      <c r="C164" s="25" t="s">
        <v>154</v>
      </c>
      <c r="D164" s="12">
        <v>20.5</v>
      </c>
      <c r="E164" s="14">
        <f t="shared" si="136"/>
        <v>2.8214268570062737</v>
      </c>
      <c r="F164" s="7">
        <f>SQRT((0.958/0.14)^2 + (0.342/0.14)^2)</f>
        <v>7.2658271998416781</v>
      </c>
      <c r="G164" s="7">
        <f t="shared" si="143"/>
        <v>17.678573142993727</v>
      </c>
      <c r="H164" s="16">
        <f t="shared" si="144"/>
        <v>23.321426857006273</v>
      </c>
      <c r="I164" s="11">
        <f t="shared" si="111"/>
        <v>0.16036609935809848</v>
      </c>
      <c r="J164" s="33">
        <f t="shared" si="112"/>
        <v>2.2071279008891494E-2</v>
      </c>
      <c r="K164" s="33">
        <f t="shared" si="145"/>
        <v>45.307750384431571</v>
      </c>
      <c r="L164" s="33">
        <f t="shared" si="146"/>
        <v>0.13829482034920698</v>
      </c>
      <c r="M164" s="33">
        <f t="shared" si="147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97"/>
        <v>2000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9">
        <v>0</v>
      </c>
      <c r="AL164" s="30">
        <v>0</v>
      </c>
      <c r="AM164" s="21">
        <v>2002</v>
      </c>
      <c r="AN164" s="23"/>
      <c r="AO164" s="33">
        <v>0</v>
      </c>
      <c r="AP164" s="33">
        <v>0</v>
      </c>
      <c r="AQ164" s="33">
        <v>1</v>
      </c>
      <c r="AR164" s="43">
        <v>0</v>
      </c>
      <c r="AS164" s="33" t="s">
        <v>107</v>
      </c>
      <c r="AT164" s="43" t="s">
        <v>107</v>
      </c>
      <c r="AU164" s="42">
        <f>1-AV164</f>
        <v>0.3831</v>
      </c>
      <c r="AV164" s="18">
        <v>0.6169</v>
      </c>
      <c r="AW164">
        <v>0</v>
      </c>
      <c r="AX164" s="40">
        <v>1</v>
      </c>
      <c r="AY164" t="s">
        <v>107</v>
      </c>
      <c r="AZ164" s="40" t="s">
        <v>107</v>
      </c>
      <c r="BB164" s="18"/>
      <c r="BC164">
        <f t="shared" si="130"/>
        <v>0.63400000000000001</v>
      </c>
      <c r="BD164" s="18">
        <v>0.36599999999999999</v>
      </c>
      <c r="BE164" s="18" t="s">
        <v>20</v>
      </c>
      <c r="BL164" s="18"/>
      <c r="BO164" s="18"/>
      <c r="BR164" s="25">
        <v>33.124000000000002</v>
      </c>
      <c r="BS164">
        <v>1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 s="18">
        <v>0</v>
      </c>
      <c r="CA164">
        <v>0</v>
      </c>
      <c r="CB164">
        <v>0</v>
      </c>
      <c r="CC164">
        <v>1</v>
      </c>
      <c r="CD164" s="18">
        <v>0</v>
      </c>
      <c r="CE164">
        <v>0</v>
      </c>
      <c r="CF164">
        <v>0</v>
      </c>
      <c r="CG164">
        <v>0</v>
      </c>
      <c r="CH164">
        <v>0</v>
      </c>
      <c r="CI164" s="18">
        <v>0</v>
      </c>
      <c r="CJ164">
        <v>0</v>
      </c>
      <c r="CK164">
        <v>0</v>
      </c>
      <c r="CL164">
        <v>1</v>
      </c>
      <c r="CM164">
        <v>1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1</v>
      </c>
      <c r="CT164" s="18">
        <v>1</v>
      </c>
      <c r="CZ164" s="34" t="s">
        <v>87</v>
      </c>
    </row>
    <row r="165" spans="1:104" x14ac:dyDescent="0.25">
      <c r="A165">
        <v>164</v>
      </c>
      <c r="B165">
        <v>15</v>
      </c>
      <c r="C165" s="25" t="s">
        <v>154</v>
      </c>
      <c r="D165" s="12">
        <v>27.4</v>
      </c>
      <c r="E165" s="14">
        <f t="shared" si="136"/>
        <v>1.9178286749650495</v>
      </c>
      <c r="F165" s="7">
        <f>SQRT((0.958/0.14)^2 + (1.505/0.12)^2)</f>
        <v>14.286990468791137</v>
      </c>
      <c r="G165" s="7">
        <f t="shared" si="143"/>
        <v>25.482171325034948</v>
      </c>
      <c r="H165" s="16">
        <f t="shared" si="144"/>
        <v>29.31782867496505</v>
      </c>
      <c r="I165" s="11">
        <f t="shared" si="111"/>
        <v>0.30431497557447135</v>
      </c>
      <c r="J165" s="33">
        <f t="shared" si="112"/>
        <v>2.1300145488248538E-2</v>
      </c>
      <c r="K165" s="33">
        <f t="shared" si="145"/>
        <v>46.948036132039945</v>
      </c>
      <c r="L165" s="33">
        <f t="shared" si="146"/>
        <v>0.2830148300862228</v>
      </c>
      <c r="M165" s="33">
        <f t="shared" si="147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97"/>
        <v>2000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9">
        <v>0</v>
      </c>
      <c r="AL165" s="30">
        <v>0</v>
      </c>
      <c r="AM165" s="21">
        <v>2002</v>
      </c>
      <c r="AN165" s="23"/>
      <c r="AO165" s="33">
        <v>0</v>
      </c>
      <c r="AP165" s="33">
        <v>0</v>
      </c>
      <c r="AQ165" s="33">
        <v>1</v>
      </c>
      <c r="AR165" s="43">
        <v>0</v>
      </c>
      <c r="AS165" s="33" t="s">
        <v>107</v>
      </c>
      <c r="AT165" s="43" t="s">
        <v>107</v>
      </c>
      <c r="AU165" s="42">
        <f>1-AV165</f>
        <v>0.3831</v>
      </c>
      <c r="AV165" s="18">
        <v>0.6169</v>
      </c>
      <c r="AW165">
        <v>0</v>
      </c>
      <c r="AX165" s="40">
        <v>1</v>
      </c>
      <c r="AY165" t="s">
        <v>107</v>
      </c>
      <c r="AZ165" s="40" t="s">
        <v>107</v>
      </c>
      <c r="BB165" s="18"/>
      <c r="BC165">
        <f t="shared" si="130"/>
        <v>0.63400000000000001</v>
      </c>
      <c r="BD165" s="18">
        <v>0.36599999999999999</v>
      </c>
      <c r="BE165" s="18" t="s">
        <v>20</v>
      </c>
      <c r="BL165" s="18"/>
      <c r="BO165" s="18"/>
      <c r="BR165" s="25">
        <v>33.124000000000002</v>
      </c>
      <c r="BS165">
        <v>1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 s="18">
        <v>0</v>
      </c>
      <c r="CA165">
        <v>0</v>
      </c>
      <c r="CB165">
        <v>0</v>
      </c>
      <c r="CC165">
        <v>1</v>
      </c>
      <c r="CD165" s="18">
        <v>0</v>
      </c>
      <c r="CE165">
        <v>0</v>
      </c>
      <c r="CF165">
        <v>0</v>
      </c>
      <c r="CG165">
        <v>0</v>
      </c>
      <c r="CH165">
        <v>0</v>
      </c>
      <c r="CI165" s="18">
        <v>0</v>
      </c>
      <c r="CJ165">
        <v>0</v>
      </c>
      <c r="CK165">
        <v>0</v>
      </c>
      <c r="CL165">
        <v>1</v>
      </c>
      <c r="CM165">
        <v>1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1</v>
      </c>
      <c r="CT165" s="18">
        <v>1</v>
      </c>
      <c r="CZ165" s="34" t="s">
        <v>87</v>
      </c>
    </row>
    <row r="166" spans="1:104" x14ac:dyDescent="0.25">
      <c r="A166">
        <v>165</v>
      </c>
      <c r="B166">
        <v>15</v>
      </c>
      <c r="C166" s="25" t="s">
        <v>154</v>
      </c>
      <c r="D166" s="12">
        <v>16.899999999999999</v>
      </c>
      <c r="E166" s="14">
        <f t="shared" si="136"/>
        <v>0.85230595170051271</v>
      </c>
      <c r="F166" s="7">
        <f>SQRT((1.843/0.12)^2 + (1.505/0.12)^2)</f>
        <v>19.828560350049511</v>
      </c>
      <c r="G166" s="7">
        <f t="shared" si="143"/>
        <v>16.047694048299487</v>
      </c>
      <c r="H166" s="16">
        <f t="shared" si="144"/>
        <v>17.75230595170051</v>
      </c>
      <c r="I166" s="11">
        <f t="shared" si="111"/>
        <v>0.40532579632552324</v>
      </c>
      <c r="J166" s="33">
        <f t="shared" si="112"/>
        <v>2.0441514117514391E-2</v>
      </c>
      <c r="K166" s="33">
        <f t="shared" si="145"/>
        <v>48.920055248901306</v>
      </c>
      <c r="L166" s="33">
        <f t="shared" si="146"/>
        <v>0.38488428220800885</v>
      </c>
      <c r="M166" s="33">
        <f t="shared" si="147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97"/>
        <v>2000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9">
        <v>0</v>
      </c>
      <c r="AL166" s="30">
        <v>0</v>
      </c>
      <c r="AM166" s="21">
        <v>2002</v>
      </c>
      <c r="AN166" s="23"/>
      <c r="AO166" s="33">
        <v>0</v>
      </c>
      <c r="AP166" s="33">
        <v>0</v>
      </c>
      <c r="AQ166" s="33">
        <v>0</v>
      </c>
      <c r="AR166" s="43">
        <v>1</v>
      </c>
      <c r="AS166" s="33" t="s">
        <v>107</v>
      </c>
      <c r="AT166" s="43" t="s">
        <v>107</v>
      </c>
      <c r="AU166" s="42">
        <f t="shared" ref="AU166:AU168" si="148">1-AV166</f>
        <v>0.3831</v>
      </c>
      <c r="AV166" s="18">
        <v>0.6169</v>
      </c>
      <c r="AW166">
        <v>0</v>
      </c>
      <c r="AX166" s="40">
        <v>1</v>
      </c>
      <c r="AY166" t="s">
        <v>107</v>
      </c>
      <c r="AZ166" s="40" t="s">
        <v>107</v>
      </c>
      <c r="BB166" s="18"/>
      <c r="BC166">
        <f t="shared" si="130"/>
        <v>0.63400000000000001</v>
      </c>
      <c r="BD166" s="18">
        <v>0.36599999999999999</v>
      </c>
      <c r="BE166" s="18" t="s">
        <v>20</v>
      </c>
      <c r="BL166" s="18"/>
      <c r="BO166" s="18"/>
      <c r="BR166" s="25">
        <v>33.124000000000002</v>
      </c>
      <c r="BS166">
        <v>1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 s="18">
        <v>0</v>
      </c>
      <c r="CA166">
        <v>0</v>
      </c>
      <c r="CB166">
        <v>0</v>
      </c>
      <c r="CC166">
        <v>1</v>
      </c>
      <c r="CD166" s="18">
        <v>0</v>
      </c>
      <c r="CE166">
        <v>0</v>
      </c>
      <c r="CF166">
        <v>0</v>
      </c>
      <c r="CG166">
        <v>0</v>
      </c>
      <c r="CH166">
        <v>0</v>
      </c>
      <c r="CI166" s="18">
        <v>0</v>
      </c>
      <c r="CJ166">
        <v>0</v>
      </c>
      <c r="CK166">
        <v>0</v>
      </c>
      <c r="CL166">
        <v>1</v>
      </c>
      <c r="CM166">
        <v>1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1</v>
      </c>
      <c r="CT166" s="18">
        <v>1</v>
      </c>
      <c r="CZ166" s="34" t="s">
        <v>87</v>
      </c>
    </row>
    <row r="167" spans="1:104" x14ac:dyDescent="0.25">
      <c r="A167">
        <v>166</v>
      </c>
      <c r="B167">
        <v>15</v>
      </c>
      <c r="C167" s="25" t="s">
        <v>154</v>
      </c>
      <c r="D167" s="12">
        <v>22.6</v>
      </c>
      <c r="E167" s="14">
        <f t="shared" si="136"/>
        <v>0.87259957585554815</v>
      </c>
      <c r="F167" s="7">
        <f>SQRT((1.843/0.12)^2 + (2.294/0.11)^2)</f>
        <v>25.899622948867041</v>
      </c>
      <c r="G167" s="7">
        <f t="shared" si="143"/>
        <v>21.727400424144452</v>
      </c>
      <c r="H167" s="16">
        <f t="shared" si="144"/>
        <v>23.472599575855551</v>
      </c>
      <c r="I167" s="11">
        <f t="shared" si="111"/>
        <v>0.50115669063775992</v>
      </c>
      <c r="J167" s="33">
        <f t="shared" si="112"/>
        <v>1.934996087113626E-2</v>
      </c>
      <c r="K167" s="33">
        <f t="shared" si="145"/>
        <v>51.679691068092502</v>
      </c>
      <c r="L167" s="33">
        <f t="shared" si="146"/>
        <v>0.48180672976662364</v>
      </c>
      <c r="M167" s="33">
        <f t="shared" si="147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97"/>
        <v>2000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9">
        <v>0</v>
      </c>
      <c r="AL167" s="30">
        <v>0</v>
      </c>
      <c r="AM167" s="21">
        <v>2002</v>
      </c>
      <c r="AN167" s="23"/>
      <c r="AO167" s="33">
        <v>0</v>
      </c>
      <c r="AP167" s="33">
        <v>0</v>
      </c>
      <c r="AQ167" s="33">
        <v>0</v>
      </c>
      <c r="AR167" s="43">
        <v>1</v>
      </c>
      <c r="AS167" s="33" t="s">
        <v>107</v>
      </c>
      <c r="AT167" s="43" t="s">
        <v>107</v>
      </c>
      <c r="AU167" s="42">
        <f t="shared" si="148"/>
        <v>0.3831</v>
      </c>
      <c r="AV167" s="18">
        <v>0.6169</v>
      </c>
      <c r="AW167">
        <v>0</v>
      </c>
      <c r="AX167" s="40">
        <v>1</v>
      </c>
      <c r="AY167" t="s">
        <v>107</v>
      </c>
      <c r="AZ167" s="40" t="s">
        <v>107</v>
      </c>
      <c r="BB167" s="18"/>
      <c r="BC167">
        <f t="shared" si="130"/>
        <v>0.63400000000000001</v>
      </c>
      <c r="BD167" s="18">
        <v>0.36599999999999999</v>
      </c>
      <c r="BE167" s="18" t="s">
        <v>20</v>
      </c>
      <c r="BL167" s="18"/>
      <c r="BO167" s="18"/>
      <c r="BR167" s="25">
        <v>33.124000000000002</v>
      </c>
      <c r="BS167">
        <v>1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 s="18">
        <v>0</v>
      </c>
      <c r="CA167">
        <v>0</v>
      </c>
      <c r="CB167">
        <v>0</v>
      </c>
      <c r="CC167">
        <v>1</v>
      </c>
      <c r="CD167" s="18">
        <v>0</v>
      </c>
      <c r="CE167">
        <v>0</v>
      </c>
      <c r="CF167">
        <v>0</v>
      </c>
      <c r="CG167">
        <v>0</v>
      </c>
      <c r="CH167">
        <v>0</v>
      </c>
      <c r="CI167" s="18">
        <v>0</v>
      </c>
      <c r="CJ167">
        <v>0</v>
      </c>
      <c r="CK167">
        <v>0</v>
      </c>
      <c r="CL167">
        <v>1</v>
      </c>
      <c r="CM167">
        <v>1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1</v>
      </c>
      <c r="CT167" s="18">
        <v>1</v>
      </c>
      <c r="CZ167" s="34" t="s">
        <v>87</v>
      </c>
    </row>
    <row r="168" spans="1:104" x14ac:dyDescent="0.25">
      <c r="A168">
        <v>167</v>
      </c>
      <c r="B168">
        <v>15</v>
      </c>
      <c r="C168" s="25" t="s">
        <v>154</v>
      </c>
      <c r="D168" s="12">
        <v>30.7</v>
      </c>
      <c r="E168" s="14">
        <f t="shared" si="136"/>
        <v>0.91154762012700219</v>
      </c>
      <c r="F168" s="7">
        <f>SQRT((2.909/0.11)^2 + (2.294/0.11)^2)</f>
        <v>33.678986508376482</v>
      </c>
      <c r="G168" s="7">
        <f t="shared" si="143"/>
        <v>29.788452379872997</v>
      </c>
      <c r="H168" s="16">
        <f t="shared" si="144"/>
        <v>31.611547620127002</v>
      </c>
      <c r="I168" s="11">
        <f t="shared" si="111"/>
        <v>0.60157603196873277</v>
      </c>
      <c r="J168" s="33">
        <f t="shared" si="112"/>
        <v>1.7862058640604032E-2</v>
      </c>
      <c r="K168" s="33">
        <f t="shared" si="145"/>
        <v>55.984588345645669</v>
      </c>
      <c r="L168" s="33">
        <f t="shared" si="146"/>
        <v>0.58371397332812869</v>
      </c>
      <c r="M168" s="33">
        <f t="shared" si="147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97"/>
        <v>2000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9">
        <v>0</v>
      </c>
      <c r="AL168" s="30">
        <v>0</v>
      </c>
      <c r="AM168" s="21">
        <v>2002</v>
      </c>
      <c r="AN168" s="23"/>
      <c r="AO168" s="33">
        <v>0</v>
      </c>
      <c r="AP168" s="33">
        <v>0</v>
      </c>
      <c r="AQ168" s="33">
        <v>0</v>
      </c>
      <c r="AR168" s="43">
        <v>1</v>
      </c>
      <c r="AS168" s="33" t="s">
        <v>107</v>
      </c>
      <c r="AT168" s="43" t="s">
        <v>107</v>
      </c>
      <c r="AU168" s="42">
        <f t="shared" si="148"/>
        <v>0.3831</v>
      </c>
      <c r="AV168" s="18">
        <v>0.6169</v>
      </c>
      <c r="AW168">
        <v>0</v>
      </c>
      <c r="AX168" s="40">
        <v>1</v>
      </c>
      <c r="AY168" t="s">
        <v>107</v>
      </c>
      <c r="AZ168" s="40" t="s">
        <v>107</v>
      </c>
      <c r="BB168" s="18"/>
      <c r="BC168">
        <f t="shared" si="130"/>
        <v>0.63400000000000001</v>
      </c>
      <c r="BD168" s="18">
        <v>0.36599999999999999</v>
      </c>
      <c r="BE168" s="18" t="s">
        <v>20</v>
      </c>
      <c r="BL168" s="18"/>
      <c r="BO168" s="18"/>
      <c r="BR168" s="25">
        <v>33.124000000000002</v>
      </c>
      <c r="BS168">
        <v>1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 s="18">
        <v>0</v>
      </c>
      <c r="CA168">
        <v>0</v>
      </c>
      <c r="CB168">
        <v>0</v>
      </c>
      <c r="CC168">
        <v>1</v>
      </c>
      <c r="CD168" s="18">
        <v>0</v>
      </c>
      <c r="CE168">
        <v>0</v>
      </c>
      <c r="CF168">
        <v>0</v>
      </c>
      <c r="CG168">
        <v>0</v>
      </c>
      <c r="CH168">
        <v>0</v>
      </c>
      <c r="CI168" s="18">
        <v>0</v>
      </c>
      <c r="CJ168">
        <v>0</v>
      </c>
      <c r="CK168">
        <v>0</v>
      </c>
      <c r="CL168">
        <v>1</v>
      </c>
      <c r="CM168">
        <v>1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1</v>
      </c>
      <c r="CT168" s="18">
        <v>1</v>
      </c>
      <c r="CZ168" s="34" t="s">
        <v>87</v>
      </c>
    </row>
    <row r="169" spans="1:104" x14ac:dyDescent="0.25">
      <c r="A169">
        <v>168</v>
      </c>
      <c r="B169">
        <v>15</v>
      </c>
      <c r="C169" s="25" t="s">
        <v>154</v>
      </c>
      <c r="D169" s="12">
        <v>6.4</v>
      </c>
      <c r="E169" s="14">
        <v>0.5</v>
      </c>
      <c r="F169" s="7">
        <f>D169/E169</f>
        <v>12.8</v>
      </c>
      <c r="G169" s="7">
        <f t="shared" ref="G169:G186" si="149">D169-E169</f>
        <v>5.9</v>
      </c>
      <c r="H169" s="16">
        <f t="shared" ref="H169:H186" si="150">D169+E169</f>
        <v>6.9</v>
      </c>
      <c r="I169" s="11">
        <f t="shared" si="111"/>
        <v>0.11857017041238749</v>
      </c>
      <c r="J169" s="33">
        <f t="shared" si="112"/>
        <v>9.2632945634677707E-3</v>
      </c>
      <c r="K169" s="33">
        <f t="shared" ref="K169:K182" si="151">IFERROR(1/J169, "X")</f>
        <v>107.95295271552327</v>
      </c>
      <c r="L169" s="33">
        <f t="shared" ref="L169:L182" si="152">IFERROR(I169-J169, "X")</f>
        <v>0.10930687584891971</v>
      </c>
      <c r="M169" s="33">
        <f t="shared" ref="M169:M182" si="153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9">
        <v>0</v>
      </c>
      <c r="AL169" s="30">
        <v>0</v>
      </c>
      <c r="AM169" s="21">
        <v>2002</v>
      </c>
      <c r="AN169" s="23"/>
      <c r="AO169" s="33">
        <v>0.36099999999999999</v>
      </c>
      <c r="AP169" s="33">
        <v>0.17599999999999999</v>
      </c>
      <c r="AQ169" s="33">
        <v>0.122</v>
      </c>
      <c r="AR169" s="43">
        <v>0.34100000000000008</v>
      </c>
      <c r="AS169" s="33" t="s">
        <v>107</v>
      </c>
      <c r="AT169" s="43" t="s">
        <v>107</v>
      </c>
      <c r="AU169" s="42">
        <f>1-AV169</f>
        <v>0.5181</v>
      </c>
      <c r="AV169" s="18">
        <v>0.4819</v>
      </c>
      <c r="AW169">
        <v>1</v>
      </c>
      <c r="AX169" s="40">
        <v>0</v>
      </c>
      <c r="AY169" t="s">
        <v>107</v>
      </c>
      <c r="AZ169" s="40" t="s">
        <v>107</v>
      </c>
      <c r="BB169" s="18"/>
      <c r="BC169">
        <f t="shared" si="130"/>
        <v>0.61399999999999999</v>
      </c>
      <c r="BD169" s="18">
        <v>0.38600000000000001</v>
      </c>
      <c r="BE169" s="18" t="s">
        <v>20</v>
      </c>
      <c r="BL169" s="18"/>
      <c r="BO169" s="18"/>
      <c r="BR169" s="25">
        <v>34.277000000000001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1</v>
      </c>
      <c r="BY169">
        <v>0</v>
      </c>
      <c r="BZ169" s="18">
        <v>0</v>
      </c>
      <c r="CA169">
        <v>0</v>
      </c>
      <c r="CB169">
        <v>0</v>
      </c>
      <c r="CC169">
        <v>1</v>
      </c>
      <c r="CD169" s="18">
        <v>0</v>
      </c>
      <c r="CE169">
        <v>0</v>
      </c>
      <c r="CF169">
        <v>0</v>
      </c>
      <c r="CG169">
        <v>0</v>
      </c>
      <c r="CH169">
        <v>0</v>
      </c>
      <c r="CI169" s="18">
        <v>0</v>
      </c>
      <c r="CJ169">
        <v>0</v>
      </c>
      <c r="CK169">
        <v>0</v>
      </c>
      <c r="CL169">
        <v>1</v>
      </c>
      <c r="CM169">
        <v>1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1</v>
      </c>
      <c r="CT169" s="18">
        <v>1</v>
      </c>
      <c r="CZ169" s="34" t="s">
        <v>87</v>
      </c>
    </row>
    <row r="170" spans="1:104" x14ac:dyDescent="0.25">
      <c r="A170">
        <v>169</v>
      </c>
      <c r="B170">
        <v>15</v>
      </c>
      <c r="C170" s="25" t="s">
        <v>154</v>
      </c>
      <c r="D170" s="12">
        <v>14.2</v>
      </c>
      <c r="E170" s="14">
        <v>1</v>
      </c>
      <c r="F170" s="7">
        <f>D170/E170</f>
        <v>14.2</v>
      </c>
      <c r="G170" s="7">
        <f t="shared" si="149"/>
        <v>13.2</v>
      </c>
      <c r="H170" s="16">
        <f t="shared" si="150"/>
        <v>15.2</v>
      </c>
      <c r="I170" s="11">
        <f t="shared" si="111"/>
        <v>0.30215228140638672</v>
      </c>
      <c r="J170" s="33">
        <f t="shared" si="112"/>
        <v>2.1278329676506107E-2</v>
      </c>
      <c r="K170" s="33">
        <f t="shared" si="151"/>
        <v>46.996170056718455</v>
      </c>
      <c r="L170" s="33">
        <f t="shared" si="152"/>
        <v>0.28087395172988061</v>
      </c>
      <c r="M170" s="33">
        <f t="shared" si="153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9">
        <v>0</v>
      </c>
      <c r="AL170" s="30">
        <v>0</v>
      </c>
      <c r="AM170" s="21">
        <v>2002</v>
      </c>
      <c r="AN170" s="23"/>
      <c r="AO170" s="33">
        <v>0.58099999999999996</v>
      </c>
      <c r="AP170" s="33">
        <v>9.0999999999999998E-2</v>
      </c>
      <c r="AQ170" s="33">
        <v>3.9E-2</v>
      </c>
      <c r="AR170" s="43">
        <v>0.28900000000000003</v>
      </c>
      <c r="AS170" s="33" t="s">
        <v>107</v>
      </c>
      <c r="AT170" s="43" t="s">
        <v>107</v>
      </c>
      <c r="AU170" s="42">
        <f>1-AV170</f>
        <v>0.3831</v>
      </c>
      <c r="AV170" s="18">
        <v>0.6169</v>
      </c>
      <c r="AW170">
        <v>0</v>
      </c>
      <c r="AX170" s="40">
        <v>1</v>
      </c>
      <c r="AY170" t="s">
        <v>107</v>
      </c>
      <c r="AZ170" s="40" t="s">
        <v>107</v>
      </c>
      <c r="BB170" s="18"/>
      <c r="BC170">
        <f t="shared" si="130"/>
        <v>0.63400000000000001</v>
      </c>
      <c r="BD170" s="18">
        <v>0.36599999999999999</v>
      </c>
      <c r="BE170" s="18" t="s">
        <v>20</v>
      </c>
      <c r="BL170" s="18"/>
      <c r="BO170" s="18"/>
      <c r="BR170" s="25">
        <v>33.124000000000002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1</v>
      </c>
      <c r="BY170">
        <v>0</v>
      </c>
      <c r="BZ170" s="18">
        <v>0</v>
      </c>
      <c r="CA170">
        <v>0</v>
      </c>
      <c r="CB170">
        <v>0</v>
      </c>
      <c r="CC170">
        <v>1</v>
      </c>
      <c r="CD170" s="18">
        <v>0</v>
      </c>
      <c r="CE170">
        <v>0</v>
      </c>
      <c r="CF170">
        <v>0</v>
      </c>
      <c r="CG170">
        <v>0</v>
      </c>
      <c r="CH170">
        <v>0</v>
      </c>
      <c r="CI170" s="18">
        <v>0</v>
      </c>
      <c r="CJ170">
        <v>0</v>
      </c>
      <c r="CK170">
        <v>0</v>
      </c>
      <c r="CL170">
        <v>1</v>
      </c>
      <c r="CM170">
        <v>1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1</v>
      </c>
      <c r="CT170" s="18">
        <v>1</v>
      </c>
      <c r="CZ170" s="34" t="s">
        <v>87</v>
      </c>
    </row>
    <row r="171" spans="1:104" x14ac:dyDescent="0.25">
      <c r="A171">
        <v>170</v>
      </c>
      <c r="B171">
        <v>15</v>
      </c>
      <c r="C171" s="25" t="s">
        <v>154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49"/>
        <v>2.435679848019757</v>
      </c>
      <c r="H171" s="16">
        <f t="shared" si="150"/>
        <v>3.1831861192734303</v>
      </c>
      <c r="I171" s="11">
        <f t="shared" si="111"/>
        <v>6.9974578188755895E-2</v>
      </c>
      <c r="J171" s="33">
        <f t="shared" si="112"/>
        <v>9.309073455194633E-3</v>
      </c>
      <c r="K171" s="33">
        <f t="shared" si="151"/>
        <v>107.42207640890209</v>
      </c>
      <c r="L171" s="33">
        <f t="shared" si="152"/>
        <v>6.0665504733561262E-2</v>
      </c>
      <c r="M171" s="33">
        <f t="shared" si="153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9">
        <v>0</v>
      </c>
      <c r="AL171" s="30">
        <v>0</v>
      </c>
      <c r="AM171" s="21">
        <v>2002</v>
      </c>
      <c r="AN171" s="23"/>
      <c r="AO171" s="33">
        <v>0</v>
      </c>
      <c r="AP171" s="33">
        <v>1</v>
      </c>
      <c r="AQ171" s="33">
        <v>0</v>
      </c>
      <c r="AR171" s="43">
        <v>0</v>
      </c>
      <c r="AS171" s="33" t="s">
        <v>107</v>
      </c>
      <c r="AT171" s="43" t="s">
        <v>107</v>
      </c>
      <c r="AU171" s="42">
        <f>1-AV171</f>
        <v>0.5181</v>
      </c>
      <c r="AV171" s="18">
        <v>0.4819</v>
      </c>
      <c r="AW171">
        <v>1</v>
      </c>
      <c r="AX171" s="40">
        <v>0</v>
      </c>
      <c r="AY171" t="s">
        <v>107</v>
      </c>
      <c r="AZ171" s="40" t="s">
        <v>107</v>
      </c>
      <c r="BB171" s="18"/>
      <c r="BC171">
        <f t="shared" si="130"/>
        <v>0.61399999999999999</v>
      </c>
      <c r="BD171" s="18">
        <v>0.38600000000000001</v>
      </c>
      <c r="BE171" s="18" t="s">
        <v>20</v>
      </c>
      <c r="BL171" s="18"/>
      <c r="BO171" s="18"/>
      <c r="BR171" s="25">
        <v>34.277000000000001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1</v>
      </c>
      <c r="BY171">
        <v>0</v>
      </c>
      <c r="BZ171" s="18">
        <v>0</v>
      </c>
      <c r="CA171">
        <v>0</v>
      </c>
      <c r="CB171">
        <v>0</v>
      </c>
      <c r="CC171">
        <v>1</v>
      </c>
      <c r="CD171" s="18">
        <v>0</v>
      </c>
      <c r="CE171">
        <v>0</v>
      </c>
      <c r="CF171">
        <v>0</v>
      </c>
      <c r="CG171">
        <v>0</v>
      </c>
      <c r="CH171">
        <v>0</v>
      </c>
      <c r="CI171" s="18">
        <v>0</v>
      </c>
      <c r="CJ171">
        <v>0</v>
      </c>
      <c r="CK171">
        <v>0</v>
      </c>
      <c r="CL171">
        <v>1</v>
      </c>
      <c r="CM171">
        <v>1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1</v>
      </c>
      <c r="CT171" s="18">
        <v>1</v>
      </c>
      <c r="CZ171" s="34" t="s">
        <v>87</v>
      </c>
    </row>
    <row r="172" spans="1:104" x14ac:dyDescent="0.25">
      <c r="A172">
        <v>171</v>
      </c>
      <c r="B172">
        <v>15</v>
      </c>
      <c r="C172" s="25" t="s">
        <v>154</v>
      </c>
      <c r="D172" s="12">
        <v>4.1608043152017942</v>
      </c>
      <c r="E172" s="14">
        <v>0.260190057770251</v>
      </c>
      <c r="F172" s="7">
        <v>15.99140394086773</v>
      </c>
      <c r="G172" s="7">
        <f t="shared" si="149"/>
        <v>3.9006142574315432</v>
      </c>
      <c r="H172" s="16">
        <f t="shared" si="150"/>
        <v>4.4209943729720456</v>
      </c>
      <c r="I172" s="11">
        <f t="shared" si="111"/>
        <v>0.14759652388061753</v>
      </c>
      <c r="J172" s="33">
        <f t="shared" si="112"/>
        <v>9.2297414552463992E-3</v>
      </c>
      <c r="K172" s="33">
        <f t="shared" si="151"/>
        <v>108.34539676423729</v>
      </c>
      <c r="L172" s="33">
        <f t="shared" si="152"/>
        <v>0.13836678242537112</v>
      </c>
      <c r="M172" s="33">
        <f t="shared" si="153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9">
        <v>0</v>
      </c>
      <c r="AL172" s="30">
        <v>0</v>
      </c>
      <c r="AM172" s="21">
        <v>2002</v>
      </c>
      <c r="AN172" s="23"/>
      <c r="AO172" s="33">
        <v>0</v>
      </c>
      <c r="AP172" s="33">
        <v>0</v>
      </c>
      <c r="AQ172" s="33">
        <v>1</v>
      </c>
      <c r="AR172" s="43">
        <v>0</v>
      </c>
      <c r="AS172" s="33" t="s">
        <v>107</v>
      </c>
      <c r="AT172" s="43" t="s">
        <v>107</v>
      </c>
      <c r="AU172" s="42">
        <f>1-AV172</f>
        <v>0.5181</v>
      </c>
      <c r="AV172" s="18">
        <v>0.4819</v>
      </c>
      <c r="AW172">
        <v>1</v>
      </c>
      <c r="AX172" s="40">
        <v>0</v>
      </c>
      <c r="AY172" t="s">
        <v>107</v>
      </c>
      <c r="AZ172" s="40" t="s">
        <v>107</v>
      </c>
      <c r="BB172" s="18"/>
      <c r="BC172">
        <f t="shared" si="130"/>
        <v>0.61399999999999999</v>
      </c>
      <c r="BD172" s="18">
        <v>0.38600000000000001</v>
      </c>
      <c r="BE172" s="18" t="s">
        <v>20</v>
      </c>
      <c r="BL172" s="18"/>
      <c r="BO172" s="18"/>
      <c r="BR172" s="25">
        <v>34.277000000000001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1</v>
      </c>
      <c r="BY172">
        <v>0</v>
      </c>
      <c r="BZ172" s="18">
        <v>0</v>
      </c>
      <c r="CA172">
        <v>0</v>
      </c>
      <c r="CB172">
        <v>0</v>
      </c>
      <c r="CC172">
        <v>1</v>
      </c>
      <c r="CD172" s="18">
        <v>0</v>
      </c>
      <c r="CE172">
        <v>0</v>
      </c>
      <c r="CF172">
        <v>0</v>
      </c>
      <c r="CG172">
        <v>0</v>
      </c>
      <c r="CH172">
        <v>0</v>
      </c>
      <c r="CI172" s="18">
        <v>0</v>
      </c>
      <c r="CJ172">
        <v>0</v>
      </c>
      <c r="CK172">
        <v>0</v>
      </c>
      <c r="CL172">
        <v>1</v>
      </c>
      <c r="CM172">
        <v>1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1</v>
      </c>
      <c r="CT172" s="18">
        <v>1</v>
      </c>
      <c r="CZ172" s="34" t="s">
        <v>87</v>
      </c>
    </row>
    <row r="173" spans="1:104" x14ac:dyDescent="0.25">
      <c r="A173">
        <v>172</v>
      </c>
      <c r="B173">
        <v>15</v>
      </c>
      <c r="C173" s="25" t="s">
        <v>154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49"/>
        <v>12.147982994453733</v>
      </c>
      <c r="H173" s="16">
        <f t="shared" si="150"/>
        <v>12.980790110450977</v>
      </c>
      <c r="I173" s="11">
        <f t="shared" si="111"/>
        <v>0.27103840672621121</v>
      </c>
      <c r="J173" s="33">
        <f t="shared" si="112"/>
        <v>8.9826396572495956E-3</v>
      </c>
      <c r="K173" s="33">
        <f t="shared" si="151"/>
        <v>111.32585054694169</v>
      </c>
      <c r="L173" s="33">
        <f t="shared" si="152"/>
        <v>0.26205576706896161</v>
      </c>
      <c r="M173" s="33">
        <f t="shared" si="153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9">
        <v>0</v>
      </c>
      <c r="AL173" s="30">
        <v>0</v>
      </c>
      <c r="AM173" s="21">
        <v>2002</v>
      </c>
      <c r="AN173" s="23"/>
      <c r="AO173" s="33">
        <v>0</v>
      </c>
      <c r="AP173" s="33">
        <v>0</v>
      </c>
      <c r="AQ173" s="33">
        <v>1</v>
      </c>
      <c r="AR173" s="43">
        <v>0</v>
      </c>
      <c r="AS173" s="33" t="s">
        <v>107</v>
      </c>
      <c r="AT173" s="43" t="s">
        <v>107</v>
      </c>
      <c r="AU173" s="42">
        <f t="shared" ref="AU173:AU176" si="154">1-AV173</f>
        <v>0.5181</v>
      </c>
      <c r="AV173" s="18">
        <v>0.4819</v>
      </c>
      <c r="AW173">
        <v>1</v>
      </c>
      <c r="AX173" s="40">
        <v>0</v>
      </c>
      <c r="AY173" t="s">
        <v>107</v>
      </c>
      <c r="AZ173" s="40" t="s">
        <v>107</v>
      </c>
      <c r="BB173" s="18"/>
      <c r="BC173">
        <f t="shared" si="130"/>
        <v>0.61399999999999999</v>
      </c>
      <c r="BD173" s="18">
        <v>0.38600000000000001</v>
      </c>
      <c r="BE173" s="18" t="s">
        <v>20</v>
      </c>
      <c r="BL173" s="18"/>
      <c r="BO173" s="18"/>
      <c r="BR173" s="25">
        <v>34.277000000000001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1</v>
      </c>
      <c r="BY173">
        <v>0</v>
      </c>
      <c r="BZ173" s="18">
        <v>0</v>
      </c>
      <c r="CA173">
        <v>0</v>
      </c>
      <c r="CB173">
        <v>0</v>
      </c>
      <c r="CC173">
        <v>1</v>
      </c>
      <c r="CD173" s="18">
        <v>0</v>
      </c>
      <c r="CE173">
        <v>0</v>
      </c>
      <c r="CF173">
        <v>0</v>
      </c>
      <c r="CG173">
        <v>0</v>
      </c>
      <c r="CH173">
        <v>0</v>
      </c>
      <c r="CI173" s="18">
        <v>0</v>
      </c>
      <c r="CJ173">
        <v>0</v>
      </c>
      <c r="CK173">
        <v>0</v>
      </c>
      <c r="CL173">
        <v>1</v>
      </c>
      <c r="CM173">
        <v>1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1</v>
      </c>
      <c r="CT173" s="18">
        <v>1</v>
      </c>
      <c r="CZ173" s="34" t="s">
        <v>87</v>
      </c>
    </row>
    <row r="174" spans="1:104" x14ac:dyDescent="0.25">
      <c r="A174">
        <v>173</v>
      </c>
      <c r="B174">
        <v>15</v>
      </c>
      <c r="C174" s="25" t="s">
        <v>154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49"/>
        <v>9.1203577532841393</v>
      </c>
      <c r="H174" s="16">
        <f t="shared" si="150"/>
        <v>9.6395504181216864</v>
      </c>
      <c r="I174" s="11">
        <f t="shared" si="111"/>
        <v>0.31951478216786383</v>
      </c>
      <c r="J174" s="33">
        <f t="shared" si="112"/>
        <v>8.8427794898044039E-3</v>
      </c>
      <c r="K174" s="33">
        <f t="shared" si="151"/>
        <v>113.08661503467155</v>
      </c>
      <c r="L174" s="33">
        <f t="shared" si="152"/>
        <v>0.31067200267805944</v>
      </c>
      <c r="M174" s="33">
        <f t="shared" si="153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9">
        <v>0</v>
      </c>
      <c r="AL174" s="30">
        <v>0</v>
      </c>
      <c r="AM174" s="21">
        <v>2002</v>
      </c>
      <c r="AN174" s="23"/>
      <c r="AO174" s="33">
        <v>0</v>
      </c>
      <c r="AP174" s="33">
        <v>0</v>
      </c>
      <c r="AQ174" s="33">
        <v>0</v>
      </c>
      <c r="AR174" s="43">
        <v>1</v>
      </c>
      <c r="AS174" s="33" t="s">
        <v>107</v>
      </c>
      <c r="AT174" s="43" t="s">
        <v>107</v>
      </c>
      <c r="AU174" s="42">
        <f t="shared" si="154"/>
        <v>0.5181</v>
      </c>
      <c r="AV174" s="18">
        <v>0.4819</v>
      </c>
      <c r="AW174">
        <v>1</v>
      </c>
      <c r="AX174" s="40">
        <v>0</v>
      </c>
      <c r="AY174" t="s">
        <v>107</v>
      </c>
      <c r="AZ174" s="40" t="s">
        <v>107</v>
      </c>
      <c r="BB174" s="18"/>
      <c r="BC174">
        <f t="shared" si="130"/>
        <v>0.61399999999999999</v>
      </c>
      <c r="BD174" s="18">
        <v>0.38600000000000001</v>
      </c>
      <c r="BE174" s="18" t="s">
        <v>20</v>
      </c>
      <c r="BL174" s="18"/>
      <c r="BO174" s="18"/>
      <c r="BR174" s="25">
        <v>34.277000000000001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1</v>
      </c>
      <c r="BY174">
        <v>0</v>
      </c>
      <c r="BZ174" s="18">
        <v>0</v>
      </c>
      <c r="CA174">
        <v>0</v>
      </c>
      <c r="CB174">
        <v>0</v>
      </c>
      <c r="CC174">
        <v>1</v>
      </c>
      <c r="CD174" s="18">
        <v>0</v>
      </c>
      <c r="CE174">
        <v>0</v>
      </c>
      <c r="CF174">
        <v>0</v>
      </c>
      <c r="CG174">
        <v>0</v>
      </c>
      <c r="CH174">
        <v>0</v>
      </c>
      <c r="CI174" s="18">
        <v>0</v>
      </c>
      <c r="CJ174">
        <v>0</v>
      </c>
      <c r="CK174">
        <v>0</v>
      </c>
      <c r="CL174">
        <v>1</v>
      </c>
      <c r="CM174">
        <v>1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1</v>
      </c>
      <c r="CT174" s="18">
        <v>1</v>
      </c>
      <c r="CZ174" s="34" t="s">
        <v>87</v>
      </c>
    </row>
    <row r="175" spans="1:104" x14ac:dyDescent="0.25">
      <c r="A175">
        <v>174</v>
      </c>
      <c r="B175">
        <v>15</v>
      </c>
      <c r="C175" s="25" t="s">
        <v>154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49"/>
        <v>11.994487558093265</v>
      </c>
      <c r="H175" s="16">
        <f t="shared" si="150"/>
        <v>12.59319768465291</v>
      </c>
      <c r="I175" s="11">
        <f t="shared" si="111"/>
        <v>0.35786183959502793</v>
      </c>
      <c r="J175" s="33">
        <f t="shared" si="112"/>
        <v>8.7139356616750055E-3</v>
      </c>
      <c r="K175" s="33">
        <f t="shared" si="151"/>
        <v>114.75870821471942</v>
      </c>
      <c r="L175" s="33">
        <f t="shared" si="152"/>
        <v>0.34914790393335293</v>
      </c>
      <c r="M175" s="33">
        <f t="shared" si="153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9">
        <v>0</v>
      </c>
      <c r="AL175" s="30">
        <v>0</v>
      </c>
      <c r="AM175" s="21">
        <v>2002</v>
      </c>
      <c r="AN175" s="23"/>
      <c r="AO175" s="33">
        <v>0</v>
      </c>
      <c r="AP175" s="33">
        <v>0</v>
      </c>
      <c r="AQ175" s="33">
        <v>0</v>
      </c>
      <c r="AR175" s="43">
        <v>1</v>
      </c>
      <c r="AS175" s="33" t="s">
        <v>107</v>
      </c>
      <c r="AT175" s="43" t="s">
        <v>107</v>
      </c>
      <c r="AU175" s="42">
        <f t="shared" si="154"/>
        <v>0.5181</v>
      </c>
      <c r="AV175" s="18">
        <v>0.4819</v>
      </c>
      <c r="AW175">
        <v>1</v>
      </c>
      <c r="AX175" s="40">
        <v>0</v>
      </c>
      <c r="AY175" t="s">
        <v>107</v>
      </c>
      <c r="AZ175" s="40" t="s">
        <v>107</v>
      </c>
      <c r="BB175" s="18"/>
      <c r="BC175">
        <f t="shared" si="130"/>
        <v>0.61399999999999999</v>
      </c>
      <c r="BD175" s="18">
        <v>0.38600000000000001</v>
      </c>
      <c r="BE175" s="18" t="s">
        <v>20</v>
      </c>
      <c r="BL175" s="18"/>
      <c r="BO175" s="18"/>
      <c r="BR175" s="25">
        <v>34.277000000000001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1</v>
      </c>
      <c r="BY175">
        <v>0</v>
      </c>
      <c r="BZ175" s="18">
        <v>0</v>
      </c>
      <c r="CA175">
        <v>0</v>
      </c>
      <c r="CB175">
        <v>0</v>
      </c>
      <c r="CC175">
        <v>1</v>
      </c>
      <c r="CD175" s="18">
        <v>0</v>
      </c>
      <c r="CE175">
        <v>0</v>
      </c>
      <c r="CF175">
        <v>0</v>
      </c>
      <c r="CG175">
        <v>0</v>
      </c>
      <c r="CH175">
        <v>0</v>
      </c>
      <c r="CI175" s="18">
        <v>0</v>
      </c>
      <c r="CJ175">
        <v>0</v>
      </c>
      <c r="CK175">
        <v>0</v>
      </c>
      <c r="CL175">
        <v>1</v>
      </c>
      <c r="CM175">
        <v>1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1</v>
      </c>
      <c r="CT175" s="18">
        <v>1</v>
      </c>
      <c r="CZ175" s="34" t="s">
        <v>87</v>
      </c>
    </row>
    <row r="176" spans="1:104" x14ac:dyDescent="0.25">
      <c r="A176">
        <v>175</v>
      </c>
      <c r="B176">
        <v>15</v>
      </c>
      <c r="C176" s="25" t="s">
        <v>154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49"/>
        <v>10.967679049556734</v>
      </c>
      <c r="H176" s="16">
        <f t="shared" si="150"/>
        <v>11.388961473158423</v>
      </c>
      <c r="I176" s="11">
        <f t="shared" si="111"/>
        <v>0.44378952423621998</v>
      </c>
      <c r="J176" s="33">
        <f t="shared" si="112"/>
        <v>8.3626485003109822E-3</v>
      </c>
      <c r="K176" s="33">
        <f t="shared" si="151"/>
        <v>119.57934139678511</v>
      </c>
      <c r="L176" s="33">
        <f t="shared" si="152"/>
        <v>0.43542687573590899</v>
      </c>
      <c r="M176" s="33">
        <f t="shared" si="153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9">
        <v>0</v>
      </c>
      <c r="AL176" s="30">
        <v>0</v>
      </c>
      <c r="AM176" s="21">
        <v>2002</v>
      </c>
      <c r="AN176" s="23"/>
      <c r="AO176" s="33">
        <v>0</v>
      </c>
      <c r="AP176" s="33">
        <v>0</v>
      </c>
      <c r="AQ176" s="33">
        <v>0</v>
      </c>
      <c r="AR176" s="43">
        <v>1</v>
      </c>
      <c r="AS176" s="33" t="s">
        <v>107</v>
      </c>
      <c r="AT176" s="43" t="s">
        <v>107</v>
      </c>
      <c r="AU176" s="42">
        <f t="shared" si="154"/>
        <v>0.5181</v>
      </c>
      <c r="AV176" s="18">
        <v>0.4819</v>
      </c>
      <c r="AW176">
        <v>1</v>
      </c>
      <c r="AX176" s="40">
        <v>0</v>
      </c>
      <c r="AY176" t="s">
        <v>107</v>
      </c>
      <c r="AZ176" s="40" t="s">
        <v>107</v>
      </c>
      <c r="BB176" s="18"/>
      <c r="BC176">
        <f t="shared" si="130"/>
        <v>0.61399999999999999</v>
      </c>
      <c r="BD176" s="18">
        <v>0.38600000000000001</v>
      </c>
      <c r="BE176" s="18" t="s">
        <v>20</v>
      </c>
      <c r="BL176" s="18"/>
      <c r="BO176" s="18"/>
      <c r="BR176" s="25">
        <v>34.277000000000001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1</v>
      </c>
      <c r="BY176">
        <v>0</v>
      </c>
      <c r="BZ176" s="18">
        <v>0</v>
      </c>
      <c r="CA176">
        <v>0</v>
      </c>
      <c r="CB176">
        <v>0</v>
      </c>
      <c r="CC176">
        <v>1</v>
      </c>
      <c r="CD176" s="18">
        <v>0</v>
      </c>
      <c r="CE176">
        <v>0</v>
      </c>
      <c r="CF176">
        <v>0</v>
      </c>
      <c r="CG176">
        <v>0</v>
      </c>
      <c r="CH176">
        <v>0</v>
      </c>
      <c r="CI176" s="18">
        <v>0</v>
      </c>
      <c r="CJ176">
        <v>0</v>
      </c>
      <c r="CK176">
        <v>0</v>
      </c>
      <c r="CL176">
        <v>1</v>
      </c>
      <c r="CM176">
        <v>1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1</v>
      </c>
      <c r="CT176" s="18">
        <v>1</v>
      </c>
      <c r="CZ176" s="34" t="s">
        <v>87</v>
      </c>
    </row>
    <row r="177" spans="1:104" x14ac:dyDescent="0.25">
      <c r="A177">
        <v>176</v>
      </c>
      <c r="B177">
        <v>15</v>
      </c>
      <c r="C177" s="25" t="s">
        <v>154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49"/>
        <v>0.18681053708217249</v>
      </c>
      <c r="H177" s="16">
        <f t="shared" si="150"/>
        <v>0.31821419699564885</v>
      </c>
      <c r="I177" s="11">
        <f t="shared" si="111"/>
        <v>8.5623374493691673E-2</v>
      </c>
      <c r="J177" s="33">
        <f t="shared" si="112"/>
        <v>2.2278561867188747E-2</v>
      </c>
      <c r="K177" s="33">
        <f t="shared" si="151"/>
        <v>44.886200732407801</v>
      </c>
      <c r="L177" s="33">
        <f t="shared" si="152"/>
        <v>6.3344812626502933E-2</v>
      </c>
      <c r="M177" s="33">
        <f t="shared" si="153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9">
        <v>0</v>
      </c>
      <c r="AL177" s="30">
        <v>0</v>
      </c>
      <c r="AM177" s="21">
        <v>2002</v>
      </c>
      <c r="AN177" s="23"/>
      <c r="AO177" s="33">
        <v>0</v>
      </c>
      <c r="AP177" s="33">
        <v>1</v>
      </c>
      <c r="AQ177" s="33">
        <v>0</v>
      </c>
      <c r="AR177" s="43">
        <v>0</v>
      </c>
      <c r="AS177" s="33" t="s">
        <v>107</v>
      </c>
      <c r="AT177" s="43" t="s">
        <v>107</v>
      </c>
      <c r="AU177" s="42">
        <f>1-AV177</f>
        <v>0.3831</v>
      </c>
      <c r="AV177" s="18">
        <v>0.6169</v>
      </c>
      <c r="AW177">
        <v>0</v>
      </c>
      <c r="AX177" s="40">
        <v>1</v>
      </c>
      <c r="AY177" t="s">
        <v>107</v>
      </c>
      <c r="AZ177" s="40" t="s">
        <v>107</v>
      </c>
      <c r="BB177" s="18"/>
      <c r="BC177">
        <f t="shared" si="130"/>
        <v>0.63400000000000001</v>
      </c>
      <c r="BD177" s="18">
        <v>0.36599999999999999</v>
      </c>
      <c r="BE177" s="18" t="s">
        <v>20</v>
      </c>
      <c r="BL177" s="18"/>
      <c r="BO177" s="18"/>
      <c r="BR177" s="25">
        <v>33.124000000000002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1</v>
      </c>
      <c r="BY177">
        <v>0</v>
      </c>
      <c r="BZ177" s="18">
        <v>0</v>
      </c>
      <c r="CA177">
        <v>0</v>
      </c>
      <c r="CB177">
        <v>0</v>
      </c>
      <c r="CC177">
        <v>1</v>
      </c>
      <c r="CD177" s="18">
        <v>0</v>
      </c>
      <c r="CE177">
        <v>0</v>
      </c>
      <c r="CF177">
        <v>0</v>
      </c>
      <c r="CG177">
        <v>0</v>
      </c>
      <c r="CH177">
        <v>0</v>
      </c>
      <c r="CI177" s="18">
        <v>0</v>
      </c>
      <c r="CJ177">
        <v>0</v>
      </c>
      <c r="CK177">
        <v>0</v>
      </c>
      <c r="CL177">
        <v>1</v>
      </c>
      <c r="CM177">
        <v>1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1</v>
      </c>
      <c r="CT177" s="18">
        <v>1</v>
      </c>
      <c r="CZ177" s="34" t="s">
        <v>87</v>
      </c>
    </row>
    <row r="178" spans="1:104" x14ac:dyDescent="0.25">
      <c r="A178">
        <v>177</v>
      </c>
      <c r="B178">
        <v>15</v>
      </c>
      <c r="C178" s="25" t="s">
        <v>154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49"/>
        <v>25.896416672400456</v>
      </c>
      <c r="H178" s="16">
        <f t="shared" si="150"/>
        <v>33.969060250711834</v>
      </c>
      <c r="I178" s="11">
        <f t="shared" si="111"/>
        <v>0.16358945626528448</v>
      </c>
      <c r="J178" s="33">
        <f t="shared" si="112"/>
        <v>2.2059447973587512E-2</v>
      </c>
      <c r="K178" s="33">
        <f t="shared" si="151"/>
        <v>45.332050067496347</v>
      </c>
      <c r="L178" s="33">
        <f t="shared" si="152"/>
        <v>0.14153000829169698</v>
      </c>
      <c r="M178" s="33">
        <f t="shared" si="153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9">
        <v>0</v>
      </c>
      <c r="AL178" s="30">
        <v>0</v>
      </c>
      <c r="AM178" s="21">
        <v>2002</v>
      </c>
      <c r="AN178" s="23"/>
      <c r="AO178" s="33">
        <v>0</v>
      </c>
      <c r="AP178" s="33">
        <v>0</v>
      </c>
      <c r="AQ178" s="33">
        <v>1</v>
      </c>
      <c r="AR178" s="43">
        <v>0</v>
      </c>
      <c r="AS178" s="33" t="s">
        <v>107</v>
      </c>
      <c r="AT178" s="43" t="s">
        <v>107</v>
      </c>
      <c r="AU178" s="42">
        <f>1-AV178</f>
        <v>0.3831</v>
      </c>
      <c r="AV178" s="18">
        <v>0.6169</v>
      </c>
      <c r="AW178">
        <v>0</v>
      </c>
      <c r="AX178" s="40">
        <v>1</v>
      </c>
      <c r="AY178" t="s">
        <v>107</v>
      </c>
      <c r="AZ178" s="40" t="s">
        <v>107</v>
      </c>
      <c r="BB178" s="18"/>
      <c r="BC178">
        <f t="shared" si="130"/>
        <v>0.63400000000000001</v>
      </c>
      <c r="BD178" s="18">
        <v>0.36599999999999999</v>
      </c>
      <c r="BE178" s="18" t="s">
        <v>20</v>
      </c>
      <c r="BL178" s="18"/>
      <c r="BO178" s="18"/>
      <c r="BR178" s="25">
        <v>33.124000000000002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1</v>
      </c>
      <c r="BY178">
        <v>0</v>
      </c>
      <c r="BZ178" s="18">
        <v>0</v>
      </c>
      <c r="CA178">
        <v>0</v>
      </c>
      <c r="CB178">
        <v>0</v>
      </c>
      <c r="CC178">
        <v>1</v>
      </c>
      <c r="CD178" s="18">
        <v>0</v>
      </c>
      <c r="CE178">
        <v>0</v>
      </c>
      <c r="CF178">
        <v>0</v>
      </c>
      <c r="CG178">
        <v>0</v>
      </c>
      <c r="CH178">
        <v>0</v>
      </c>
      <c r="CI178" s="18">
        <v>0</v>
      </c>
      <c r="CJ178">
        <v>0</v>
      </c>
      <c r="CK178">
        <v>0</v>
      </c>
      <c r="CL178">
        <v>1</v>
      </c>
      <c r="CM178">
        <v>1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1</v>
      </c>
      <c r="CT178" s="18">
        <v>1</v>
      </c>
      <c r="CZ178" s="34" t="s">
        <v>87</v>
      </c>
    </row>
    <row r="179" spans="1:104" x14ac:dyDescent="0.25">
      <c r="A179">
        <v>178</v>
      </c>
      <c r="B179">
        <v>15</v>
      </c>
      <c r="C179" s="25" t="s">
        <v>154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49"/>
        <v>59.286629227081605</v>
      </c>
      <c r="H179" s="16">
        <f t="shared" si="150"/>
        <v>66.924932612639054</v>
      </c>
      <c r="I179" s="11">
        <f t="shared" si="111"/>
        <v>0.34657721471292263</v>
      </c>
      <c r="J179" s="33">
        <f t="shared" si="112"/>
        <v>2.0974797189029417E-2</v>
      </c>
      <c r="K179" s="33">
        <f t="shared" si="151"/>
        <v>47.676265519412816</v>
      </c>
      <c r="L179" s="33">
        <f t="shared" si="152"/>
        <v>0.32560241752389324</v>
      </c>
      <c r="M179" s="33">
        <f t="shared" si="153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9">
        <v>0</v>
      </c>
      <c r="AL179" s="30">
        <v>0</v>
      </c>
      <c r="AM179" s="21">
        <v>2002</v>
      </c>
      <c r="AN179" s="23"/>
      <c r="AO179" s="33">
        <v>0</v>
      </c>
      <c r="AP179" s="33">
        <v>0</v>
      </c>
      <c r="AQ179" s="33">
        <v>1</v>
      </c>
      <c r="AR179" s="43">
        <v>0</v>
      </c>
      <c r="AS179" s="33" t="s">
        <v>107</v>
      </c>
      <c r="AT179" s="43" t="s">
        <v>107</v>
      </c>
      <c r="AU179" s="42">
        <f>1-AV179</f>
        <v>0.3831</v>
      </c>
      <c r="AV179" s="18">
        <v>0.6169</v>
      </c>
      <c r="AW179">
        <v>0</v>
      </c>
      <c r="AX179" s="40">
        <v>1</v>
      </c>
      <c r="AY179" t="s">
        <v>107</v>
      </c>
      <c r="AZ179" s="40" t="s">
        <v>107</v>
      </c>
      <c r="BB179" s="18"/>
      <c r="BC179">
        <f t="shared" si="130"/>
        <v>0.63400000000000001</v>
      </c>
      <c r="BD179" s="18">
        <v>0.36599999999999999</v>
      </c>
      <c r="BE179" s="18" t="s">
        <v>20</v>
      </c>
      <c r="BL179" s="18"/>
      <c r="BO179" s="18"/>
      <c r="BR179" s="25">
        <v>33.124000000000002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1</v>
      </c>
      <c r="BY179">
        <v>0</v>
      </c>
      <c r="BZ179" s="18">
        <v>0</v>
      </c>
      <c r="CA179">
        <v>0</v>
      </c>
      <c r="CB179">
        <v>0</v>
      </c>
      <c r="CC179">
        <v>1</v>
      </c>
      <c r="CD179" s="18">
        <v>0</v>
      </c>
      <c r="CE179">
        <v>0</v>
      </c>
      <c r="CF179">
        <v>0</v>
      </c>
      <c r="CG179">
        <v>0</v>
      </c>
      <c r="CH179">
        <v>0</v>
      </c>
      <c r="CI179" s="18">
        <v>0</v>
      </c>
      <c r="CJ179">
        <v>0</v>
      </c>
      <c r="CK179">
        <v>0</v>
      </c>
      <c r="CL179">
        <v>1</v>
      </c>
      <c r="CM179">
        <v>1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1</v>
      </c>
      <c r="CT179" s="18">
        <v>1</v>
      </c>
      <c r="CZ179" s="34" t="s">
        <v>87</v>
      </c>
    </row>
    <row r="180" spans="1:104" x14ac:dyDescent="0.25">
      <c r="A180">
        <v>179</v>
      </c>
      <c r="B180">
        <v>15</v>
      </c>
      <c r="C180" s="25" t="s">
        <v>154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49"/>
        <v>42.907465520680525</v>
      </c>
      <c r="H180" s="16">
        <f t="shared" si="150"/>
        <v>47.567145031334981</v>
      </c>
      <c r="I180" s="11">
        <f t="shared" si="111"/>
        <v>0.39825027488653714</v>
      </c>
      <c r="J180" s="33">
        <f t="shared" si="112"/>
        <v>2.0510932676901818E-2</v>
      </c>
      <c r="K180" s="33">
        <f t="shared" si="151"/>
        <v>48.754486972995629</v>
      </c>
      <c r="L180" s="33">
        <f t="shared" si="152"/>
        <v>0.37773934220963534</v>
      </c>
      <c r="M180" s="33">
        <f t="shared" si="153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9">
        <v>0</v>
      </c>
      <c r="AL180" s="30">
        <v>0</v>
      </c>
      <c r="AM180" s="21">
        <v>2002</v>
      </c>
      <c r="AN180" s="23"/>
      <c r="AO180" s="33">
        <v>0</v>
      </c>
      <c r="AP180" s="33">
        <v>0</v>
      </c>
      <c r="AQ180" s="33">
        <v>0</v>
      </c>
      <c r="AR180" s="43">
        <v>1</v>
      </c>
      <c r="AS180" s="33" t="s">
        <v>107</v>
      </c>
      <c r="AT180" s="43" t="s">
        <v>107</v>
      </c>
      <c r="AU180" s="42">
        <f t="shared" ref="AU180:AU186" si="155">1-AV180</f>
        <v>0.3831</v>
      </c>
      <c r="AV180" s="18">
        <v>0.6169</v>
      </c>
      <c r="AW180">
        <v>0</v>
      </c>
      <c r="AX180" s="40">
        <v>1</v>
      </c>
      <c r="AY180" t="s">
        <v>107</v>
      </c>
      <c r="AZ180" s="40" t="s">
        <v>107</v>
      </c>
      <c r="BB180" s="18"/>
      <c r="BC180">
        <f t="shared" si="130"/>
        <v>0.63400000000000001</v>
      </c>
      <c r="BD180" s="18">
        <v>0.36599999999999999</v>
      </c>
      <c r="BE180" s="18" t="s">
        <v>20</v>
      </c>
      <c r="BL180" s="18"/>
      <c r="BO180" s="18"/>
      <c r="BR180" s="25">
        <v>33.124000000000002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1</v>
      </c>
      <c r="BY180">
        <v>0</v>
      </c>
      <c r="BZ180" s="18">
        <v>0</v>
      </c>
      <c r="CA180">
        <v>0</v>
      </c>
      <c r="CB180">
        <v>0</v>
      </c>
      <c r="CC180">
        <v>1</v>
      </c>
      <c r="CD180" s="18">
        <v>0</v>
      </c>
      <c r="CE180">
        <v>0</v>
      </c>
      <c r="CF180">
        <v>0</v>
      </c>
      <c r="CG180">
        <v>0</v>
      </c>
      <c r="CH180">
        <v>0</v>
      </c>
      <c r="CI180" s="18">
        <v>0</v>
      </c>
      <c r="CJ180">
        <v>0</v>
      </c>
      <c r="CK180">
        <v>0</v>
      </c>
      <c r="CL180">
        <v>1</v>
      </c>
      <c r="CM180">
        <v>1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1</v>
      </c>
      <c r="CT180" s="18">
        <v>1</v>
      </c>
      <c r="CZ180" s="34" t="s">
        <v>87</v>
      </c>
    </row>
    <row r="181" spans="1:104" x14ac:dyDescent="0.25">
      <c r="A181">
        <v>180</v>
      </c>
      <c r="B181">
        <v>15</v>
      </c>
      <c r="C181" s="25" t="s">
        <v>154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49"/>
        <v>67.845213347453566</v>
      </c>
      <c r="H181" s="16">
        <f t="shared" si="150"/>
        <v>75.973308127827252</v>
      </c>
      <c r="I181" s="11">
        <f t="shared" si="111"/>
        <v>0.36790098498121226</v>
      </c>
      <c r="J181" s="33">
        <f t="shared" si="112"/>
        <v>2.0792412862025583E-2</v>
      </c>
      <c r="K181" s="33">
        <f t="shared" si="151"/>
        <v>48.094466314987393</v>
      </c>
      <c r="L181" s="33">
        <f t="shared" si="152"/>
        <v>0.34710857211918666</v>
      </c>
      <c r="M181" s="33">
        <f t="shared" si="153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9">
        <v>0</v>
      </c>
      <c r="AL181" s="30">
        <v>0</v>
      </c>
      <c r="AM181" s="21">
        <v>2002</v>
      </c>
      <c r="AN181" s="23"/>
      <c r="AO181" s="33">
        <v>0</v>
      </c>
      <c r="AP181" s="33">
        <v>0</v>
      </c>
      <c r="AQ181" s="33">
        <v>0</v>
      </c>
      <c r="AR181" s="43">
        <v>1</v>
      </c>
      <c r="AS181" s="33" t="s">
        <v>107</v>
      </c>
      <c r="AT181" s="43" t="s">
        <v>107</v>
      </c>
      <c r="AU181" s="42">
        <f t="shared" si="155"/>
        <v>0.3831</v>
      </c>
      <c r="AV181" s="18">
        <v>0.6169</v>
      </c>
      <c r="AW181">
        <v>0</v>
      </c>
      <c r="AX181" s="40">
        <v>1</v>
      </c>
      <c r="AY181" t="s">
        <v>107</v>
      </c>
      <c r="AZ181" s="40" t="s">
        <v>107</v>
      </c>
      <c r="BB181" s="18"/>
      <c r="BC181">
        <f t="shared" si="130"/>
        <v>0.63400000000000001</v>
      </c>
      <c r="BD181" s="18">
        <v>0.36599999999999999</v>
      </c>
      <c r="BE181" s="18" t="s">
        <v>20</v>
      </c>
      <c r="BL181" s="18"/>
      <c r="BO181" s="18"/>
      <c r="BR181" s="25">
        <v>33.124000000000002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1</v>
      </c>
      <c r="BY181">
        <v>0</v>
      </c>
      <c r="BZ181" s="18">
        <v>0</v>
      </c>
      <c r="CA181">
        <v>0</v>
      </c>
      <c r="CB181">
        <v>0</v>
      </c>
      <c r="CC181">
        <v>1</v>
      </c>
      <c r="CD181" s="18">
        <v>0</v>
      </c>
      <c r="CE181">
        <v>0</v>
      </c>
      <c r="CF181">
        <v>0</v>
      </c>
      <c r="CG181">
        <v>0</v>
      </c>
      <c r="CH181">
        <v>0</v>
      </c>
      <c r="CI181" s="18">
        <v>0</v>
      </c>
      <c r="CJ181">
        <v>0</v>
      </c>
      <c r="CK181">
        <v>0</v>
      </c>
      <c r="CL181">
        <v>1</v>
      </c>
      <c r="CM181">
        <v>1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1</v>
      </c>
      <c r="CT181" s="18">
        <v>1</v>
      </c>
      <c r="CZ181" s="34" t="s">
        <v>87</v>
      </c>
    </row>
    <row r="182" spans="1:104" x14ac:dyDescent="0.25">
      <c r="A182">
        <v>181</v>
      </c>
      <c r="B182">
        <v>15</v>
      </c>
      <c r="C182" s="25" t="s">
        <v>154</v>
      </c>
      <c r="D182" s="12">
        <v>120.2216383301526</v>
      </c>
      <c r="E182" s="14">
        <v>7.3145279576114692</v>
      </c>
      <c r="F182" s="7">
        <v>16.436007767944947</v>
      </c>
      <c r="G182" s="7">
        <f t="shared" si="149"/>
        <v>112.90711037254113</v>
      </c>
      <c r="H182" s="16">
        <f t="shared" si="150"/>
        <v>127.53616628776408</v>
      </c>
      <c r="I182" s="11">
        <f t="shared" si="111"/>
        <v>0.34496083658532839</v>
      </c>
      <c r="J182" s="33">
        <f t="shared" si="112"/>
        <v>2.0988115937624681E-2</v>
      </c>
      <c r="K182" s="33">
        <f t="shared" si="151"/>
        <v>47.646010865002609</v>
      </c>
      <c r="L182" s="33">
        <f t="shared" si="152"/>
        <v>0.32397272064770372</v>
      </c>
      <c r="M182" s="33">
        <f t="shared" si="153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9">
        <v>0</v>
      </c>
      <c r="AL182" s="30">
        <v>0</v>
      </c>
      <c r="AM182" s="21">
        <v>2002</v>
      </c>
      <c r="AN182" s="23"/>
      <c r="AO182" s="33">
        <v>0</v>
      </c>
      <c r="AP182" s="33">
        <v>0</v>
      </c>
      <c r="AQ182" s="33">
        <v>0</v>
      </c>
      <c r="AR182" s="43">
        <v>1</v>
      </c>
      <c r="AS182" s="33" t="s">
        <v>107</v>
      </c>
      <c r="AT182" s="43" t="s">
        <v>107</v>
      </c>
      <c r="AU182" s="42">
        <f t="shared" si="155"/>
        <v>0.3831</v>
      </c>
      <c r="AV182" s="18">
        <v>0.6169</v>
      </c>
      <c r="AW182">
        <v>0</v>
      </c>
      <c r="AX182" s="40">
        <v>1</v>
      </c>
      <c r="AY182" t="s">
        <v>107</v>
      </c>
      <c r="AZ182" s="40" t="s">
        <v>107</v>
      </c>
      <c r="BB182" s="18"/>
      <c r="BC182">
        <f t="shared" si="130"/>
        <v>0.63400000000000001</v>
      </c>
      <c r="BD182" s="18">
        <v>0.36599999999999999</v>
      </c>
      <c r="BE182" s="18" t="s">
        <v>20</v>
      </c>
      <c r="BL182" s="18"/>
      <c r="BO182" s="18"/>
      <c r="BR182" s="25">
        <v>33.124000000000002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1</v>
      </c>
      <c r="BY182">
        <v>0</v>
      </c>
      <c r="BZ182" s="18">
        <v>0</v>
      </c>
      <c r="CA182">
        <v>0</v>
      </c>
      <c r="CB182">
        <v>0</v>
      </c>
      <c r="CC182">
        <v>1</v>
      </c>
      <c r="CD182" s="18">
        <v>0</v>
      </c>
      <c r="CE182">
        <v>0</v>
      </c>
      <c r="CF182">
        <v>0</v>
      </c>
      <c r="CG182">
        <v>0</v>
      </c>
      <c r="CH182">
        <v>0</v>
      </c>
      <c r="CI182" s="18">
        <v>0</v>
      </c>
      <c r="CJ182">
        <v>0</v>
      </c>
      <c r="CK182">
        <v>0</v>
      </c>
      <c r="CL182">
        <v>1</v>
      </c>
      <c r="CM182">
        <v>1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1</v>
      </c>
      <c r="CT182" s="18">
        <v>1</v>
      </c>
      <c r="CZ182" s="34" t="s">
        <v>87</v>
      </c>
    </row>
    <row r="183" spans="1:104" x14ac:dyDescent="0.25">
      <c r="A183">
        <v>182</v>
      </c>
      <c r="B183">
        <v>15</v>
      </c>
      <c r="C183" s="25" t="s">
        <v>154</v>
      </c>
      <c r="D183" s="12">
        <v>9.9</v>
      </c>
      <c r="E183" s="14">
        <v>1</v>
      </c>
      <c r="F183" s="7">
        <f>D183/E183</f>
        <v>9.9</v>
      </c>
      <c r="G183" s="7">
        <f t="shared" si="149"/>
        <v>8.9</v>
      </c>
      <c r="H183" s="16">
        <f t="shared" si="150"/>
        <v>10.9</v>
      </c>
      <c r="I183" s="11">
        <f t="shared" si="111"/>
        <v>0.15201993634645081</v>
      </c>
      <c r="J183" s="33">
        <f t="shared" si="112"/>
        <v>1.5355549125904122E-2</v>
      </c>
      <c r="K183" s="33">
        <f t="shared" ref="K183:K195" si="156">IFERROR(1/J183, "X")</f>
        <v>65.123037398450634</v>
      </c>
      <c r="L183" s="33">
        <f t="shared" ref="L183:L195" si="157">IFERROR(I183-J183, "X")</f>
        <v>0.13666438722054669</v>
      </c>
      <c r="M183" s="33">
        <f t="shared" ref="M183:M195" si="158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59">U183-V183-1</f>
        <v>4143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9">
        <v>0</v>
      </c>
      <c r="AL183" s="30">
        <v>0</v>
      </c>
      <c r="AM183" s="21">
        <v>2002</v>
      </c>
      <c r="AN183" s="23"/>
      <c r="AO183" s="33">
        <v>0.36099999999999999</v>
      </c>
      <c r="AP183" s="33">
        <v>0.17599999999999999</v>
      </c>
      <c r="AQ183" s="33">
        <v>0.122</v>
      </c>
      <c r="AR183" s="43">
        <v>0.34100000000000008</v>
      </c>
      <c r="AS183" s="33" t="s">
        <v>107</v>
      </c>
      <c r="AT183" s="43" t="s">
        <v>107</v>
      </c>
      <c r="AU183" s="42">
        <f t="shared" si="155"/>
        <v>0.5181</v>
      </c>
      <c r="AV183" s="18">
        <v>0.4819</v>
      </c>
      <c r="AW183">
        <v>1</v>
      </c>
      <c r="AX183" s="40">
        <v>0</v>
      </c>
      <c r="AY183" t="s">
        <v>107</v>
      </c>
      <c r="AZ183" s="40" t="s">
        <v>107</v>
      </c>
      <c r="BB183" s="18"/>
      <c r="BC183">
        <f t="shared" si="130"/>
        <v>0.61399999999999999</v>
      </c>
      <c r="BD183" s="18">
        <v>0.38600000000000001</v>
      </c>
      <c r="BE183" s="18" t="s">
        <v>20</v>
      </c>
      <c r="BL183" s="18"/>
      <c r="BO183" s="18"/>
      <c r="BR183" s="25">
        <v>34.277000000000001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 s="18">
        <v>1</v>
      </c>
      <c r="CA183">
        <v>0</v>
      </c>
      <c r="CB183">
        <v>1</v>
      </c>
      <c r="CC183">
        <v>0</v>
      </c>
      <c r="CD183" s="18">
        <v>0</v>
      </c>
      <c r="CE183">
        <v>1</v>
      </c>
      <c r="CF183">
        <v>0</v>
      </c>
      <c r="CG183">
        <v>0</v>
      </c>
      <c r="CH183">
        <v>0</v>
      </c>
      <c r="CI183" s="18">
        <v>0</v>
      </c>
      <c r="CJ183">
        <v>0</v>
      </c>
      <c r="CK183">
        <v>0</v>
      </c>
      <c r="CL183">
        <v>1</v>
      </c>
      <c r="CM183">
        <v>1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1</v>
      </c>
      <c r="CT183" s="18">
        <v>1</v>
      </c>
      <c r="CZ183" s="34" t="s">
        <v>87</v>
      </c>
    </row>
    <row r="184" spans="1:104" x14ac:dyDescent="0.25">
      <c r="A184">
        <v>183</v>
      </c>
      <c r="B184">
        <v>15</v>
      </c>
      <c r="C184" s="25" t="s">
        <v>154</v>
      </c>
      <c r="D184" s="12">
        <v>10.6</v>
      </c>
      <c r="E184" s="14">
        <v>0.5</v>
      </c>
      <c r="F184" s="7">
        <f t="shared" ref="F184:F195" si="160">D184/E184</f>
        <v>21.2</v>
      </c>
      <c r="G184" s="7">
        <f t="shared" si="149"/>
        <v>10.1</v>
      </c>
      <c r="H184" s="16">
        <f t="shared" si="150"/>
        <v>11.1</v>
      </c>
      <c r="I184" s="11">
        <f t="shared" si="111"/>
        <v>0.27306712193143012</v>
      </c>
      <c r="J184" s="33">
        <f t="shared" si="112"/>
        <v>1.288052461940708E-2</v>
      </c>
      <c r="K184" s="33">
        <f t="shared" si="156"/>
        <v>77.636589311999018</v>
      </c>
      <c r="L184" s="33">
        <f t="shared" si="157"/>
        <v>0.26018659731202304</v>
      </c>
      <c r="M184" s="33">
        <f t="shared" si="158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59"/>
        <v>5578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9">
        <v>0</v>
      </c>
      <c r="AL184" s="30">
        <v>0</v>
      </c>
      <c r="AM184" s="21">
        <v>2002</v>
      </c>
      <c r="AN184" s="23"/>
      <c r="AO184" s="33">
        <v>0.36099999999999999</v>
      </c>
      <c r="AP184" s="33">
        <v>0.17599999999999999</v>
      </c>
      <c r="AQ184" s="33">
        <v>0.122</v>
      </c>
      <c r="AR184" s="43">
        <v>0.34100000000000008</v>
      </c>
      <c r="AS184" s="33" t="s">
        <v>107</v>
      </c>
      <c r="AT184" s="43" t="s">
        <v>107</v>
      </c>
      <c r="AU184" s="42">
        <f t="shared" si="155"/>
        <v>0.5181</v>
      </c>
      <c r="AV184" s="18">
        <v>0.4819</v>
      </c>
      <c r="AW184">
        <v>1</v>
      </c>
      <c r="AX184" s="40">
        <v>0</v>
      </c>
      <c r="AY184" t="s">
        <v>107</v>
      </c>
      <c r="AZ184" s="40" t="s">
        <v>107</v>
      </c>
      <c r="BB184" s="18"/>
      <c r="BC184">
        <f t="shared" si="130"/>
        <v>0.61399999999999999</v>
      </c>
      <c r="BD184" s="18">
        <v>0.38600000000000001</v>
      </c>
      <c r="BE184" s="18" t="s">
        <v>20</v>
      </c>
      <c r="BL184" s="18"/>
      <c r="BO184" s="18"/>
      <c r="BR184" s="25">
        <v>34.277000000000001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 s="18">
        <v>1</v>
      </c>
      <c r="CA184">
        <v>0</v>
      </c>
      <c r="CB184">
        <v>1</v>
      </c>
      <c r="CC184">
        <v>0</v>
      </c>
      <c r="CD184" s="18">
        <v>0</v>
      </c>
      <c r="CE184">
        <v>0</v>
      </c>
      <c r="CF184">
        <v>0</v>
      </c>
      <c r="CG184">
        <v>1</v>
      </c>
      <c r="CH184">
        <v>0</v>
      </c>
      <c r="CI184" s="18">
        <v>0</v>
      </c>
      <c r="CJ184">
        <v>0</v>
      </c>
      <c r="CK184">
        <v>0</v>
      </c>
      <c r="CL184">
        <v>1</v>
      </c>
      <c r="CM184">
        <v>1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1</v>
      </c>
      <c r="CT184" s="18">
        <v>1</v>
      </c>
      <c r="CZ184" s="34" t="s">
        <v>87</v>
      </c>
    </row>
    <row r="185" spans="1:104" x14ac:dyDescent="0.25">
      <c r="A185">
        <v>184</v>
      </c>
      <c r="B185">
        <v>15</v>
      </c>
      <c r="C185" s="25" t="s">
        <v>154</v>
      </c>
      <c r="D185" s="12">
        <v>16.899999999999999</v>
      </c>
      <c r="E185" s="14">
        <v>3</v>
      </c>
      <c r="F185" s="7">
        <f t="shared" si="160"/>
        <v>5.6333333333333329</v>
      </c>
      <c r="G185" s="7">
        <f t="shared" si="149"/>
        <v>13.899999999999999</v>
      </c>
      <c r="H185" s="16">
        <f t="shared" si="150"/>
        <v>19.899999999999999</v>
      </c>
      <c r="I185" s="11">
        <f t="shared" si="111"/>
        <v>0.24805751063781942</v>
      </c>
      <c r="J185" s="33">
        <f t="shared" si="112"/>
        <v>4.4033877628015285E-2</v>
      </c>
      <c r="K185" s="33">
        <f t="shared" si="156"/>
        <v>22.709787415219115</v>
      </c>
      <c r="L185" s="33">
        <f t="shared" si="157"/>
        <v>0.20402363300980414</v>
      </c>
      <c r="M185" s="33">
        <f t="shared" si="158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59"/>
        <v>484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9">
        <v>0</v>
      </c>
      <c r="AL185" s="30">
        <v>0</v>
      </c>
      <c r="AM185" s="21">
        <v>2002</v>
      </c>
      <c r="AN185" s="23"/>
      <c r="AO185" s="33">
        <v>0.58099999999999996</v>
      </c>
      <c r="AP185" s="33">
        <v>9.0999999999999998E-2</v>
      </c>
      <c r="AQ185" s="33">
        <v>3.9E-2</v>
      </c>
      <c r="AR185" s="43">
        <v>0.28900000000000003</v>
      </c>
      <c r="AS185" s="33" t="s">
        <v>107</v>
      </c>
      <c r="AT185" s="43" t="s">
        <v>107</v>
      </c>
      <c r="AU185" s="42">
        <f t="shared" si="155"/>
        <v>0.3831</v>
      </c>
      <c r="AV185" s="18">
        <v>0.6169</v>
      </c>
      <c r="AW185">
        <v>0</v>
      </c>
      <c r="AX185" s="40">
        <v>1</v>
      </c>
      <c r="AY185" t="s">
        <v>107</v>
      </c>
      <c r="AZ185" s="40" t="s">
        <v>107</v>
      </c>
      <c r="BB185" s="18"/>
      <c r="BC185">
        <f t="shared" si="130"/>
        <v>0.63400000000000001</v>
      </c>
      <c r="BD185" s="18">
        <v>0.36599999999999999</v>
      </c>
      <c r="BE185" s="18" t="s">
        <v>20</v>
      </c>
      <c r="BL185" s="18"/>
      <c r="BO185" s="18"/>
      <c r="BR185" s="25">
        <v>33.124000000000002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 s="18">
        <v>1</v>
      </c>
      <c r="CA185">
        <v>0</v>
      </c>
      <c r="CB185">
        <v>1</v>
      </c>
      <c r="CC185">
        <v>0</v>
      </c>
      <c r="CD185" s="18">
        <v>0</v>
      </c>
      <c r="CE185">
        <v>1</v>
      </c>
      <c r="CF185">
        <v>0</v>
      </c>
      <c r="CG185">
        <v>0</v>
      </c>
      <c r="CH185">
        <v>0</v>
      </c>
      <c r="CI185" s="18">
        <v>0</v>
      </c>
      <c r="CJ185">
        <v>0</v>
      </c>
      <c r="CK185">
        <v>0</v>
      </c>
      <c r="CL185">
        <v>1</v>
      </c>
      <c r="CM185">
        <v>1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1</v>
      </c>
      <c r="CT185" s="18">
        <v>1</v>
      </c>
      <c r="CZ185" s="34" t="s">
        <v>87</v>
      </c>
    </row>
    <row r="186" spans="1:104" x14ac:dyDescent="0.25">
      <c r="A186">
        <v>185</v>
      </c>
      <c r="B186">
        <v>15</v>
      </c>
      <c r="C186" s="25" t="s">
        <v>154</v>
      </c>
      <c r="D186" s="12">
        <v>17.600000000000001</v>
      </c>
      <c r="E186" s="14">
        <v>1</v>
      </c>
      <c r="F186" s="7">
        <f t="shared" si="160"/>
        <v>17.600000000000001</v>
      </c>
      <c r="G186" s="7">
        <f t="shared" si="149"/>
        <v>16.600000000000001</v>
      </c>
      <c r="H186" s="16">
        <f t="shared" si="150"/>
        <v>18.600000000000001</v>
      </c>
      <c r="I186" s="11">
        <f t="shared" si="111"/>
        <v>0.50727412898281099</v>
      </c>
      <c r="J186" s="33">
        <f t="shared" si="112"/>
        <v>2.8822393692205163E-2</v>
      </c>
      <c r="K186" s="33">
        <f t="shared" si="156"/>
        <v>34.695244630928897</v>
      </c>
      <c r="L186" s="33">
        <f t="shared" si="157"/>
        <v>0.47845173529060581</v>
      </c>
      <c r="M186" s="33">
        <f t="shared" si="158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59"/>
        <v>894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9">
        <v>0</v>
      </c>
      <c r="AL186" s="30">
        <v>0</v>
      </c>
      <c r="AM186" s="21">
        <v>2002</v>
      </c>
      <c r="AN186" s="23"/>
      <c r="AO186" s="33">
        <v>0.58099999999999996</v>
      </c>
      <c r="AP186" s="33">
        <v>9.0999999999999998E-2</v>
      </c>
      <c r="AQ186" s="33">
        <v>3.9E-2</v>
      </c>
      <c r="AR186" s="43">
        <v>0.28900000000000003</v>
      </c>
      <c r="AS186" s="33" t="s">
        <v>107</v>
      </c>
      <c r="AT186" s="43" t="s">
        <v>107</v>
      </c>
      <c r="AU186" s="42">
        <f t="shared" si="155"/>
        <v>0.3831</v>
      </c>
      <c r="AV186" s="18">
        <v>0.6169</v>
      </c>
      <c r="AW186">
        <v>0</v>
      </c>
      <c r="AX186" s="40">
        <v>1</v>
      </c>
      <c r="AY186" t="s">
        <v>107</v>
      </c>
      <c r="AZ186" s="40" t="s">
        <v>107</v>
      </c>
      <c r="BB186" s="18"/>
      <c r="BC186">
        <f t="shared" si="130"/>
        <v>0.63400000000000001</v>
      </c>
      <c r="BD186" s="18">
        <v>0.36599999999999999</v>
      </c>
      <c r="BE186" s="18" t="s">
        <v>20</v>
      </c>
      <c r="BL186" s="18"/>
      <c r="BO186" s="18"/>
      <c r="BR186" s="25">
        <v>33.124000000000002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 s="18">
        <v>1</v>
      </c>
      <c r="CA186">
        <v>0</v>
      </c>
      <c r="CB186">
        <v>1</v>
      </c>
      <c r="CC186">
        <v>0</v>
      </c>
      <c r="CD186" s="18">
        <v>0</v>
      </c>
      <c r="CE186">
        <v>0</v>
      </c>
      <c r="CF186">
        <v>0</v>
      </c>
      <c r="CG186">
        <v>1</v>
      </c>
      <c r="CH186">
        <v>0</v>
      </c>
      <c r="CI186" s="18">
        <v>0</v>
      </c>
      <c r="CJ186">
        <v>0</v>
      </c>
      <c r="CK186">
        <v>0</v>
      </c>
      <c r="CL186">
        <v>1</v>
      </c>
      <c r="CM186">
        <v>1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1</v>
      </c>
      <c r="CT186" s="18">
        <v>1</v>
      </c>
      <c r="CZ186" s="34" t="s">
        <v>87</v>
      </c>
    </row>
    <row r="187" spans="1:104" x14ac:dyDescent="0.25">
      <c r="A187">
        <v>186</v>
      </c>
      <c r="B187">
        <v>15</v>
      </c>
      <c r="C187" s="25" t="s">
        <v>154</v>
      </c>
      <c r="D187" s="12">
        <v>16.5</v>
      </c>
      <c r="E187" s="14">
        <v>1</v>
      </c>
      <c r="F187" s="7">
        <f t="shared" si="160"/>
        <v>16.5</v>
      </c>
      <c r="G187" s="7">
        <f t="shared" ref="G187:G195" si="161">D187-E187</f>
        <v>15.5</v>
      </c>
      <c r="H187" s="16">
        <f t="shared" ref="H187:H195" si="162">D187+E187</f>
        <v>17.5</v>
      </c>
      <c r="I187" s="11">
        <f t="shared" si="111"/>
        <v>0.31853222497441863</v>
      </c>
      <c r="J187" s="33">
        <f t="shared" si="112"/>
        <v>1.9304983331782946E-2</v>
      </c>
      <c r="K187" s="33">
        <f t="shared" si="156"/>
        <v>51.800096525006595</v>
      </c>
      <c r="L187" s="33">
        <f t="shared" si="157"/>
        <v>0.2992272416426357</v>
      </c>
      <c r="M187" s="33">
        <f t="shared" si="158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59"/>
        <v>2411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9">
        <v>0</v>
      </c>
      <c r="AL187" s="30">
        <v>0</v>
      </c>
      <c r="AM187" s="21">
        <v>2002</v>
      </c>
      <c r="AN187" s="23"/>
      <c r="AO187" s="33">
        <v>0.36099999999999999</v>
      </c>
      <c r="AP187" s="33">
        <v>0.17599999999999999</v>
      </c>
      <c r="AQ187" s="33">
        <v>0.122</v>
      </c>
      <c r="AR187" s="43">
        <v>0.34100000000000008</v>
      </c>
      <c r="AS187" s="33" t="s">
        <v>107</v>
      </c>
      <c r="AT187" s="43" t="s">
        <v>107</v>
      </c>
      <c r="AU187" s="42">
        <f t="shared" ref="AU187:AU190" si="163">1-AV187</f>
        <v>0.5181</v>
      </c>
      <c r="AV187" s="18">
        <v>0.4819</v>
      </c>
      <c r="AW187">
        <v>1</v>
      </c>
      <c r="AX187" s="40">
        <v>0</v>
      </c>
      <c r="AY187" t="s">
        <v>107</v>
      </c>
      <c r="AZ187" s="40" t="s">
        <v>107</v>
      </c>
      <c r="BB187" s="18"/>
      <c r="BC187">
        <f t="shared" si="130"/>
        <v>0.61399999999999999</v>
      </c>
      <c r="BD187" s="18">
        <v>0.38600000000000001</v>
      </c>
      <c r="BE187" s="18" t="s">
        <v>20</v>
      </c>
      <c r="BL187" s="18"/>
      <c r="BO187" s="18"/>
      <c r="BR187" s="25">
        <v>34.277000000000001</v>
      </c>
      <c r="BS187">
        <v>1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 s="18">
        <v>0</v>
      </c>
      <c r="CA187">
        <v>0</v>
      </c>
      <c r="CB187">
        <v>0</v>
      </c>
      <c r="CC187">
        <v>1</v>
      </c>
      <c r="CD187" s="18">
        <v>0</v>
      </c>
      <c r="CE187">
        <v>0</v>
      </c>
      <c r="CF187">
        <v>0</v>
      </c>
      <c r="CG187">
        <v>0</v>
      </c>
      <c r="CH187">
        <v>0</v>
      </c>
      <c r="CI187" s="18">
        <v>0</v>
      </c>
      <c r="CJ187">
        <v>0</v>
      </c>
      <c r="CK187">
        <v>0</v>
      </c>
      <c r="CL187">
        <v>1</v>
      </c>
      <c r="CM187">
        <v>1</v>
      </c>
      <c r="CN187">
        <v>0</v>
      </c>
      <c r="CO187">
        <v>0</v>
      </c>
      <c r="CP187">
        <v>1</v>
      </c>
      <c r="CQ187">
        <v>0</v>
      </c>
      <c r="CR187">
        <v>0</v>
      </c>
      <c r="CS187">
        <v>1</v>
      </c>
      <c r="CT187" s="18">
        <v>1</v>
      </c>
      <c r="CZ187" s="34" t="s">
        <v>87</v>
      </c>
    </row>
    <row r="188" spans="1:104" x14ac:dyDescent="0.25">
      <c r="A188">
        <v>187</v>
      </c>
      <c r="B188">
        <v>15</v>
      </c>
      <c r="C188" s="25" t="s">
        <v>154</v>
      </c>
      <c r="D188" s="12">
        <v>14</v>
      </c>
      <c r="E188" s="14">
        <v>1</v>
      </c>
      <c r="F188" s="7">
        <f t="shared" si="160"/>
        <v>14</v>
      </c>
      <c r="G188" s="7">
        <f t="shared" si="161"/>
        <v>13</v>
      </c>
      <c r="H188" s="16">
        <f t="shared" si="162"/>
        <v>15</v>
      </c>
      <c r="I188" s="11">
        <f t="shared" si="111"/>
        <v>0.27393116806819129</v>
      </c>
      <c r="J188" s="33">
        <f t="shared" si="112"/>
        <v>1.9566512004870806E-2</v>
      </c>
      <c r="K188" s="33">
        <f t="shared" si="156"/>
        <v>51.107729356722558</v>
      </c>
      <c r="L188" s="33">
        <f t="shared" si="157"/>
        <v>0.25436465606332048</v>
      </c>
      <c r="M188" s="33">
        <f t="shared" si="158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59"/>
        <v>2416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9">
        <v>0</v>
      </c>
      <c r="AL188" s="30">
        <v>0</v>
      </c>
      <c r="AM188" s="21">
        <v>2002</v>
      </c>
      <c r="AN188" s="23"/>
      <c r="AO188" s="33">
        <v>0.36099999999999999</v>
      </c>
      <c r="AP188" s="33">
        <v>0.17599999999999999</v>
      </c>
      <c r="AQ188" s="33">
        <v>0.122</v>
      </c>
      <c r="AR188" s="43">
        <v>0.34100000000000008</v>
      </c>
      <c r="AS188" s="33" t="s">
        <v>107</v>
      </c>
      <c r="AT188" s="43" t="s">
        <v>107</v>
      </c>
      <c r="AU188" s="42">
        <f t="shared" si="163"/>
        <v>0.5181</v>
      </c>
      <c r="AV188" s="18">
        <v>0.4819</v>
      </c>
      <c r="AW188">
        <v>1</v>
      </c>
      <c r="AX188" s="40">
        <v>0</v>
      </c>
      <c r="AY188" t="s">
        <v>107</v>
      </c>
      <c r="AZ188" s="40" t="s">
        <v>107</v>
      </c>
      <c r="BB188" s="18"/>
      <c r="BC188">
        <f t="shared" si="130"/>
        <v>0.61399999999999999</v>
      </c>
      <c r="BD188" s="18">
        <v>0.38600000000000001</v>
      </c>
      <c r="BE188" s="18" t="s">
        <v>20</v>
      </c>
      <c r="BL188" s="18"/>
      <c r="BO188" s="18"/>
      <c r="BR188" s="25">
        <v>34.277000000000001</v>
      </c>
      <c r="BS188">
        <v>1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 s="18">
        <v>0</v>
      </c>
      <c r="CA188">
        <v>0</v>
      </c>
      <c r="CB188">
        <v>0</v>
      </c>
      <c r="CC188">
        <v>1</v>
      </c>
      <c r="CD188" s="18">
        <v>0</v>
      </c>
      <c r="CE188">
        <v>0</v>
      </c>
      <c r="CF188">
        <v>0</v>
      </c>
      <c r="CG188">
        <v>0</v>
      </c>
      <c r="CH188">
        <v>0</v>
      </c>
      <c r="CI188" s="18">
        <v>0</v>
      </c>
      <c r="CJ188">
        <v>0</v>
      </c>
      <c r="CK188">
        <v>0</v>
      </c>
      <c r="CL188">
        <v>1</v>
      </c>
      <c r="CM188">
        <v>1</v>
      </c>
      <c r="CN188">
        <v>0</v>
      </c>
      <c r="CO188">
        <v>0</v>
      </c>
      <c r="CP188">
        <v>1</v>
      </c>
      <c r="CQ188">
        <v>0</v>
      </c>
      <c r="CR188">
        <v>0</v>
      </c>
      <c r="CS188">
        <v>0</v>
      </c>
      <c r="CT188" s="18">
        <v>0</v>
      </c>
      <c r="CZ188" s="34" t="s">
        <v>87</v>
      </c>
    </row>
    <row r="189" spans="1:104" x14ac:dyDescent="0.25">
      <c r="A189">
        <v>188</v>
      </c>
      <c r="B189">
        <v>15</v>
      </c>
      <c r="C189" s="25" t="s">
        <v>154</v>
      </c>
      <c r="D189" s="12">
        <v>15.5</v>
      </c>
      <c r="E189" s="14">
        <v>1</v>
      </c>
      <c r="F189" s="7">
        <f t="shared" si="160"/>
        <v>15.5</v>
      </c>
      <c r="G189" s="7">
        <f t="shared" si="161"/>
        <v>14.5</v>
      </c>
      <c r="H189" s="16">
        <f t="shared" si="162"/>
        <v>16.5</v>
      </c>
      <c r="I189" s="11">
        <f t="shared" si="111"/>
        <v>0.60050010427519618</v>
      </c>
      <c r="J189" s="33">
        <f t="shared" si="112"/>
        <v>3.874194221130299E-2</v>
      </c>
      <c r="K189" s="33">
        <f t="shared" si="156"/>
        <v>25.811818998280611</v>
      </c>
      <c r="L189" s="33">
        <f t="shared" si="157"/>
        <v>0.56175816206389317</v>
      </c>
      <c r="M189" s="33">
        <f t="shared" si="158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59"/>
        <v>426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9">
        <v>0</v>
      </c>
      <c r="AL189" s="30">
        <v>0</v>
      </c>
      <c r="AM189" s="21">
        <v>2002</v>
      </c>
      <c r="AN189" s="23"/>
      <c r="AO189" s="33">
        <v>0.58099999999999996</v>
      </c>
      <c r="AP189" s="33">
        <v>9.0999999999999998E-2</v>
      </c>
      <c r="AQ189" s="33">
        <v>3.9E-2</v>
      </c>
      <c r="AR189" s="43">
        <v>0.28900000000000003</v>
      </c>
      <c r="AS189" s="33" t="s">
        <v>107</v>
      </c>
      <c r="AT189" s="43" t="s">
        <v>107</v>
      </c>
      <c r="AU189" s="42">
        <f t="shared" si="163"/>
        <v>0.3831</v>
      </c>
      <c r="AV189" s="18">
        <v>0.6169</v>
      </c>
      <c r="AW189">
        <v>0</v>
      </c>
      <c r="AX189" s="40">
        <v>1</v>
      </c>
      <c r="AY189" t="s">
        <v>107</v>
      </c>
      <c r="AZ189" s="40" t="s">
        <v>107</v>
      </c>
      <c r="BB189" s="18"/>
      <c r="BC189">
        <f t="shared" si="130"/>
        <v>0.63400000000000001</v>
      </c>
      <c r="BD189" s="18">
        <v>0.36599999999999999</v>
      </c>
      <c r="BE189" s="18" t="s">
        <v>20</v>
      </c>
      <c r="BL189" s="18"/>
      <c r="BO189" s="18"/>
      <c r="BR189" s="25">
        <v>33.124000000000002</v>
      </c>
      <c r="BS189">
        <v>0</v>
      </c>
      <c r="BT189">
        <v>1</v>
      </c>
      <c r="BU189">
        <v>0</v>
      </c>
      <c r="BV189">
        <v>0</v>
      </c>
      <c r="BW189">
        <v>0</v>
      </c>
      <c r="BX189">
        <v>0</v>
      </c>
      <c r="BY189">
        <v>0</v>
      </c>
      <c r="BZ189" s="18">
        <v>0</v>
      </c>
      <c r="CA189">
        <v>0</v>
      </c>
      <c r="CB189">
        <v>0</v>
      </c>
      <c r="CC189">
        <v>1</v>
      </c>
      <c r="CD189" s="18">
        <v>0</v>
      </c>
      <c r="CE189">
        <v>0</v>
      </c>
      <c r="CF189">
        <v>0</v>
      </c>
      <c r="CG189">
        <v>0</v>
      </c>
      <c r="CH189">
        <v>0</v>
      </c>
      <c r="CI189" s="18">
        <v>0</v>
      </c>
      <c r="CJ189">
        <v>0</v>
      </c>
      <c r="CK189">
        <v>0</v>
      </c>
      <c r="CL189">
        <v>1</v>
      </c>
      <c r="CM189">
        <v>1</v>
      </c>
      <c r="CN189">
        <v>0</v>
      </c>
      <c r="CO189">
        <v>0</v>
      </c>
      <c r="CP189">
        <v>1</v>
      </c>
      <c r="CQ189">
        <v>0</v>
      </c>
      <c r="CR189">
        <v>0</v>
      </c>
      <c r="CS189">
        <v>1</v>
      </c>
      <c r="CT189" s="18">
        <v>1</v>
      </c>
      <c r="CZ189" s="34" t="s">
        <v>87</v>
      </c>
    </row>
    <row r="190" spans="1:104" s="52" customFormat="1" x14ac:dyDescent="0.25">
      <c r="A190" s="52">
        <v>189</v>
      </c>
      <c r="B190" s="52">
        <v>15</v>
      </c>
      <c r="C190" s="53" t="s">
        <v>154</v>
      </c>
      <c r="D190" s="54">
        <v>15.3</v>
      </c>
      <c r="E190" s="55">
        <v>2</v>
      </c>
      <c r="F190" s="56">
        <f t="shared" si="160"/>
        <v>7.65</v>
      </c>
      <c r="G190" s="56">
        <f t="shared" si="161"/>
        <v>13.3</v>
      </c>
      <c r="H190" s="57">
        <f t="shared" si="162"/>
        <v>17.3</v>
      </c>
      <c r="I190" s="58">
        <f t="shared" si="111"/>
        <v>0.34576028385855379</v>
      </c>
      <c r="J190" s="59">
        <f t="shared" si="112"/>
        <v>4.519742272660833E-2</v>
      </c>
      <c r="K190" s="59">
        <f t="shared" si="156"/>
        <v>22.12515536668613</v>
      </c>
      <c r="L190" s="59">
        <f t="shared" si="157"/>
        <v>0.30056286113194547</v>
      </c>
      <c r="M190" s="59">
        <f t="shared" si="158"/>
        <v>0.3909577065851621</v>
      </c>
      <c r="N190" s="60">
        <v>1</v>
      </c>
      <c r="O190" s="61">
        <v>0</v>
      </c>
      <c r="P190" s="60">
        <v>0</v>
      </c>
      <c r="Q190" s="61">
        <v>0</v>
      </c>
      <c r="R190" s="61">
        <v>1</v>
      </c>
      <c r="S190" s="61">
        <v>0</v>
      </c>
      <c r="T190" s="61">
        <v>0</v>
      </c>
      <c r="U190" s="60">
        <v>437</v>
      </c>
      <c r="V190" s="61">
        <v>5</v>
      </c>
      <c r="W190" s="61">
        <f t="shared" si="159"/>
        <v>431</v>
      </c>
      <c r="X190" s="61"/>
      <c r="Y190" s="56">
        <v>4.3259999999999996</v>
      </c>
      <c r="Z190" s="56">
        <v>20.097000000000001</v>
      </c>
      <c r="AA190" s="61">
        <v>1</v>
      </c>
      <c r="AB190" s="61">
        <v>0</v>
      </c>
      <c r="AC190" s="61">
        <v>0</v>
      </c>
      <c r="AD190" s="61">
        <v>0</v>
      </c>
      <c r="AE190" s="61">
        <v>0</v>
      </c>
      <c r="AF190" s="61">
        <v>1</v>
      </c>
      <c r="AG190" s="60">
        <v>0</v>
      </c>
      <c r="AH190" s="61">
        <v>1</v>
      </c>
      <c r="AI190" s="62">
        <v>0</v>
      </c>
      <c r="AJ190" s="61">
        <v>1</v>
      </c>
      <c r="AK190" s="61">
        <v>0</v>
      </c>
      <c r="AL190" s="62">
        <v>0</v>
      </c>
      <c r="AM190" s="63">
        <v>2002</v>
      </c>
      <c r="AN190" s="64"/>
      <c r="AO190" s="59">
        <v>0.58099999999999996</v>
      </c>
      <c r="AP190" s="59">
        <v>9.0999999999999998E-2</v>
      </c>
      <c r="AQ190" s="59">
        <v>3.9E-2</v>
      </c>
      <c r="AR190" s="65">
        <v>0.28900000000000003</v>
      </c>
      <c r="AS190" s="59" t="s">
        <v>107</v>
      </c>
      <c r="AT190" s="65" t="s">
        <v>107</v>
      </c>
      <c r="AU190" s="66">
        <f t="shared" si="163"/>
        <v>0.3831</v>
      </c>
      <c r="AV190" s="67">
        <v>0.6169</v>
      </c>
      <c r="AW190" s="52">
        <v>0</v>
      </c>
      <c r="AX190" s="68">
        <v>1</v>
      </c>
      <c r="AY190" s="52" t="s">
        <v>107</v>
      </c>
      <c r="AZ190" s="68" t="s">
        <v>107</v>
      </c>
      <c r="BB190" s="67"/>
      <c r="BC190" s="52">
        <f t="shared" si="130"/>
        <v>0.63400000000000001</v>
      </c>
      <c r="BD190" s="67">
        <v>0.36599999999999999</v>
      </c>
      <c r="BE190" s="67" t="s">
        <v>20</v>
      </c>
      <c r="BL190" s="67"/>
      <c r="BO190" s="67"/>
      <c r="BR190" s="53">
        <v>33.124000000000002</v>
      </c>
      <c r="BS190" s="52">
        <v>0</v>
      </c>
      <c r="BT190" s="52">
        <v>1</v>
      </c>
      <c r="BU190" s="52">
        <v>0</v>
      </c>
      <c r="BV190" s="52">
        <v>0</v>
      </c>
      <c r="BW190" s="52">
        <v>0</v>
      </c>
      <c r="BX190" s="52">
        <v>0</v>
      </c>
      <c r="BY190" s="52">
        <v>0</v>
      </c>
      <c r="BZ190" s="67">
        <v>0</v>
      </c>
      <c r="CA190" s="52">
        <v>0</v>
      </c>
      <c r="CB190" s="52">
        <v>0</v>
      </c>
      <c r="CC190" s="52">
        <v>1</v>
      </c>
      <c r="CD190" s="67">
        <v>0</v>
      </c>
      <c r="CE190" s="52">
        <v>0</v>
      </c>
      <c r="CF190" s="52">
        <v>0</v>
      </c>
      <c r="CG190" s="52">
        <v>0</v>
      </c>
      <c r="CH190" s="52">
        <v>0</v>
      </c>
      <c r="CI190" s="67">
        <v>0</v>
      </c>
      <c r="CJ190" s="52">
        <v>0</v>
      </c>
      <c r="CK190" s="52">
        <v>0</v>
      </c>
      <c r="CL190" s="52">
        <v>1</v>
      </c>
      <c r="CM190" s="52">
        <v>1</v>
      </c>
      <c r="CN190" s="52">
        <v>0</v>
      </c>
      <c r="CO190" s="52">
        <v>0</v>
      </c>
      <c r="CP190" s="52">
        <v>1</v>
      </c>
      <c r="CQ190" s="52">
        <v>0</v>
      </c>
      <c r="CR190" s="52">
        <v>0</v>
      </c>
      <c r="CS190" s="52">
        <v>0</v>
      </c>
      <c r="CT190" s="67">
        <v>0</v>
      </c>
      <c r="CY190" s="53"/>
      <c r="CZ190" s="69" t="s">
        <v>87</v>
      </c>
    </row>
    <row r="191" spans="1:104" x14ac:dyDescent="0.25">
      <c r="A191">
        <v>190</v>
      </c>
      <c r="B191">
        <v>16</v>
      </c>
      <c r="C191" s="25" t="s">
        <v>179</v>
      </c>
      <c r="D191" s="12">
        <v>8.5</v>
      </c>
      <c r="E191" s="14">
        <v>0.1</v>
      </c>
      <c r="F191" s="7">
        <f t="shared" si="160"/>
        <v>85</v>
      </c>
      <c r="G191" s="7">
        <f t="shared" si="161"/>
        <v>8.4</v>
      </c>
      <c r="H191" s="16">
        <f t="shared" si="162"/>
        <v>8.6</v>
      </c>
      <c r="I191" s="11">
        <f t="shared" si="111"/>
        <v>0.36517364407708086</v>
      </c>
      <c r="J191" s="33">
        <f t="shared" si="112"/>
        <v>4.2961605185538919E-3</v>
      </c>
      <c r="K191" s="33">
        <f t="shared" si="156"/>
        <v>232.76597689524988</v>
      </c>
      <c r="L191" s="33">
        <f t="shared" si="157"/>
        <v>0.36087748355852695</v>
      </c>
      <c r="M191" s="33">
        <f t="shared" si="158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59"/>
        <v>46955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9">
        <v>0</v>
      </c>
      <c r="AL191" s="30">
        <v>0</v>
      </c>
      <c r="AM191" s="21">
        <v>2005</v>
      </c>
      <c r="AN191" s="23"/>
      <c r="AO191" s="33">
        <v>0.39100000000000001</v>
      </c>
      <c r="AP191" s="33">
        <v>0.14299999999999999</v>
      </c>
      <c r="AQ191" s="33">
        <v>0.314</v>
      </c>
      <c r="AR191" s="43">
        <f>1-SUM(AO191:AQ191)</f>
        <v>0.15199999999999991</v>
      </c>
      <c r="AS191" s="33" t="s">
        <v>107</v>
      </c>
      <c r="AT191" s="43" t="s">
        <v>107</v>
      </c>
      <c r="AU191" s="42" t="s">
        <v>107</v>
      </c>
      <c r="AV191" s="18" t="s">
        <v>107</v>
      </c>
      <c r="AW191">
        <v>0.27300000000000002</v>
      </c>
      <c r="AX191" s="40">
        <f>1-AW191</f>
        <v>0.72699999999999998</v>
      </c>
      <c r="AY191" t="s">
        <v>107</v>
      </c>
      <c r="AZ191" s="40" t="s">
        <v>107</v>
      </c>
      <c r="BB191" s="18"/>
      <c r="BC191">
        <v>0.32100000000000001</v>
      </c>
      <c r="BD191" s="18">
        <f>1-BC191</f>
        <v>0.67900000000000005</v>
      </c>
      <c r="BE191" s="18" t="s">
        <v>12</v>
      </c>
      <c r="BF191" t="s">
        <v>107</v>
      </c>
      <c r="BG191" s="40" t="s">
        <v>107</v>
      </c>
      <c r="BI191" s="18"/>
      <c r="BJ191" s="18" t="s">
        <v>12</v>
      </c>
      <c r="BK191" t="s">
        <v>107</v>
      </c>
      <c r="BL191" s="40" t="s">
        <v>107</v>
      </c>
      <c r="BN191" s="18"/>
      <c r="BO191" s="18" t="s">
        <v>12</v>
      </c>
      <c r="BP191" t="s">
        <v>107</v>
      </c>
      <c r="BQ191" s="40" t="s">
        <v>107</v>
      </c>
      <c r="BR191" s="25">
        <v>35.944000000000003</v>
      </c>
      <c r="BS191">
        <v>1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 s="18">
        <v>0</v>
      </c>
      <c r="CA191">
        <v>0</v>
      </c>
      <c r="CB191">
        <v>0</v>
      </c>
      <c r="CC191">
        <v>1</v>
      </c>
      <c r="CD191" s="18">
        <v>0</v>
      </c>
      <c r="CE191">
        <v>0</v>
      </c>
      <c r="CF191">
        <v>0</v>
      </c>
      <c r="CG191">
        <v>0</v>
      </c>
      <c r="CH191">
        <v>0</v>
      </c>
      <c r="CI191" s="18">
        <v>0</v>
      </c>
      <c r="CJ191">
        <v>0</v>
      </c>
      <c r="CK191">
        <v>0</v>
      </c>
      <c r="CL191">
        <v>1</v>
      </c>
      <c r="CM191">
        <v>1</v>
      </c>
      <c r="CN191">
        <v>0</v>
      </c>
      <c r="CO191">
        <v>0</v>
      </c>
      <c r="CP191">
        <v>1</v>
      </c>
      <c r="CQ191">
        <v>0</v>
      </c>
      <c r="CR191">
        <v>0</v>
      </c>
      <c r="CS191">
        <v>1</v>
      </c>
      <c r="CT191" s="18">
        <v>1</v>
      </c>
      <c r="CZ191" s="34" t="s">
        <v>87</v>
      </c>
    </row>
    <row r="192" spans="1:104" x14ac:dyDescent="0.25">
      <c r="A192">
        <v>191</v>
      </c>
      <c r="B192">
        <v>16</v>
      </c>
      <c r="C192" s="25" t="s">
        <v>179</v>
      </c>
      <c r="D192" s="12">
        <v>7.7</v>
      </c>
      <c r="E192" s="14">
        <v>0.1</v>
      </c>
      <c r="F192" s="7">
        <f t="shared" si="160"/>
        <v>77</v>
      </c>
      <c r="G192" s="7">
        <f t="shared" si="161"/>
        <v>7.6000000000000005</v>
      </c>
      <c r="H192" s="16">
        <f t="shared" si="162"/>
        <v>7.8</v>
      </c>
      <c r="I192" s="11">
        <f t="shared" si="111"/>
        <v>0.33484591258365215</v>
      </c>
      <c r="J192" s="33">
        <f t="shared" si="112"/>
        <v>4.3486482153721057E-3</v>
      </c>
      <c r="K192" s="33">
        <f t="shared" si="156"/>
        <v>229.95651762887698</v>
      </c>
      <c r="L192" s="33">
        <f t="shared" si="157"/>
        <v>0.33049726436828003</v>
      </c>
      <c r="M192" s="33">
        <f t="shared" si="158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59"/>
        <v>46951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9">
        <v>0</v>
      </c>
      <c r="AL192" s="30">
        <v>0</v>
      </c>
      <c r="AM192" s="21">
        <v>2005</v>
      </c>
      <c r="AN192" s="23"/>
      <c r="AO192" s="33">
        <v>0.39100000000000001</v>
      </c>
      <c r="AP192" s="33">
        <v>0.14299999999999999</v>
      </c>
      <c r="AQ192" s="33">
        <v>0.314</v>
      </c>
      <c r="AR192" s="43">
        <f t="shared" ref="AR192:AR196" si="164">1-SUM(AO192:AQ192)</f>
        <v>0.15199999999999991</v>
      </c>
      <c r="AS192" s="33" t="s">
        <v>107</v>
      </c>
      <c r="AT192" s="43" t="s">
        <v>107</v>
      </c>
      <c r="AU192" s="42" t="s">
        <v>107</v>
      </c>
      <c r="AV192" s="18" t="s">
        <v>107</v>
      </c>
      <c r="AW192">
        <v>0.27300000000000002</v>
      </c>
      <c r="AX192" s="40">
        <f t="shared" ref="AX192:AX258" si="165">1-AW192</f>
        <v>0.72699999999999998</v>
      </c>
      <c r="AY192" t="s">
        <v>107</v>
      </c>
      <c r="AZ192" s="40" t="s">
        <v>107</v>
      </c>
      <c r="BB192" s="18"/>
      <c r="BC192">
        <v>0.32100000000000001</v>
      </c>
      <c r="BD192" s="18">
        <f>1-BC192</f>
        <v>0.67900000000000005</v>
      </c>
      <c r="BE192" s="18" t="s">
        <v>12</v>
      </c>
      <c r="BF192" t="s">
        <v>107</v>
      </c>
      <c r="BG192" s="40" t="s">
        <v>107</v>
      </c>
      <c r="BI192" s="18"/>
      <c r="BJ192" s="18" t="s">
        <v>12</v>
      </c>
      <c r="BK192" t="s">
        <v>107</v>
      </c>
      <c r="BL192" s="40" t="s">
        <v>107</v>
      </c>
      <c r="BN192" s="18"/>
      <c r="BO192" s="18" t="s">
        <v>12</v>
      </c>
      <c r="BP192" t="s">
        <v>107</v>
      </c>
      <c r="BQ192" s="40" t="s">
        <v>107</v>
      </c>
      <c r="BR192" s="25">
        <v>35.944000000000003</v>
      </c>
      <c r="BS192">
        <v>1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 s="18">
        <v>0</v>
      </c>
      <c r="CA192">
        <v>0</v>
      </c>
      <c r="CB192">
        <v>0</v>
      </c>
      <c r="CC192">
        <v>1</v>
      </c>
      <c r="CD192" s="18">
        <v>0</v>
      </c>
      <c r="CE192">
        <v>0</v>
      </c>
      <c r="CF192">
        <v>0</v>
      </c>
      <c r="CG192">
        <v>0</v>
      </c>
      <c r="CH192">
        <v>0</v>
      </c>
      <c r="CI192" s="18">
        <v>0</v>
      </c>
      <c r="CJ192">
        <v>0</v>
      </c>
      <c r="CK192">
        <v>0</v>
      </c>
      <c r="CL192">
        <v>1</v>
      </c>
      <c r="CM192">
        <v>1</v>
      </c>
      <c r="CN192">
        <v>0</v>
      </c>
      <c r="CO192">
        <v>0</v>
      </c>
      <c r="CP192">
        <v>1</v>
      </c>
      <c r="CQ192">
        <v>0</v>
      </c>
      <c r="CR192">
        <v>0</v>
      </c>
      <c r="CS192">
        <v>1</v>
      </c>
      <c r="CT192" s="18">
        <v>1</v>
      </c>
      <c r="CZ192" s="34" t="s">
        <v>87</v>
      </c>
    </row>
    <row r="193" spans="1:104" x14ac:dyDescent="0.25">
      <c r="A193">
        <v>192</v>
      </c>
      <c r="B193">
        <v>16</v>
      </c>
      <c r="C193" s="25" t="s">
        <v>179</v>
      </c>
      <c r="D193" s="12">
        <v>6.8</v>
      </c>
      <c r="E193" s="14">
        <v>0.1</v>
      </c>
      <c r="F193" s="7">
        <f t="shared" si="160"/>
        <v>68</v>
      </c>
      <c r="G193" s="7">
        <f t="shared" si="161"/>
        <v>6.7</v>
      </c>
      <c r="H193" s="16">
        <f t="shared" si="162"/>
        <v>6.8999999999999995</v>
      </c>
      <c r="I193" s="11">
        <f t="shared" si="111"/>
        <v>0.29942585227104296</v>
      </c>
      <c r="J193" s="33">
        <f t="shared" si="112"/>
        <v>4.4033213569271024E-3</v>
      </c>
      <c r="K193" s="33">
        <f t="shared" si="156"/>
        <v>227.10129898351525</v>
      </c>
      <c r="L193" s="33">
        <f t="shared" si="157"/>
        <v>0.29502253091411584</v>
      </c>
      <c r="M193" s="33">
        <f t="shared" si="158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59"/>
        <v>46951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9">
        <v>0</v>
      </c>
      <c r="AL193" s="30">
        <v>0</v>
      </c>
      <c r="AM193" s="21">
        <v>2005</v>
      </c>
      <c r="AN193" s="23"/>
      <c r="AO193" s="33">
        <v>0.39100000000000001</v>
      </c>
      <c r="AP193" s="33">
        <v>0.14299999999999999</v>
      </c>
      <c r="AQ193" s="33">
        <v>0.314</v>
      </c>
      <c r="AR193" s="43">
        <f t="shared" si="164"/>
        <v>0.15199999999999991</v>
      </c>
      <c r="AS193" s="33" t="s">
        <v>107</v>
      </c>
      <c r="AT193" s="43" t="s">
        <v>107</v>
      </c>
      <c r="AU193" s="42" t="s">
        <v>107</v>
      </c>
      <c r="AV193" s="18" t="s">
        <v>107</v>
      </c>
      <c r="AW193">
        <v>0.27300000000000002</v>
      </c>
      <c r="AX193" s="40">
        <f t="shared" si="165"/>
        <v>0.72699999999999998</v>
      </c>
      <c r="AY193" t="s">
        <v>107</v>
      </c>
      <c r="AZ193" s="40" t="s">
        <v>107</v>
      </c>
      <c r="BB193" s="18"/>
      <c r="BC193">
        <v>0.32100000000000001</v>
      </c>
      <c r="BD193" s="18">
        <f t="shared" ref="BD193:BD210" si="166">1-BC193</f>
        <v>0.67900000000000005</v>
      </c>
      <c r="BE193" s="18" t="s">
        <v>12</v>
      </c>
      <c r="BF193" t="s">
        <v>107</v>
      </c>
      <c r="BG193" s="40" t="s">
        <v>107</v>
      </c>
      <c r="BI193" s="18"/>
      <c r="BJ193" s="18" t="s">
        <v>12</v>
      </c>
      <c r="BK193" t="s">
        <v>107</v>
      </c>
      <c r="BL193" s="40" t="s">
        <v>107</v>
      </c>
      <c r="BN193" s="18"/>
      <c r="BO193" s="18" t="s">
        <v>12</v>
      </c>
      <c r="BP193" t="s">
        <v>107</v>
      </c>
      <c r="BQ193" s="40" t="s">
        <v>107</v>
      </c>
      <c r="BR193" s="25">
        <v>35.944000000000003</v>
      </c>
      <c r="BS193">
        <v>1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 s="18">
        <v>0</v>
      </c>
      <c r="CA193">
        <v>0</v>
      </c>
      <c r="CB193">
        <v>0</v>
      </c>
      <c r="CC193">
        <v>1</v>
      </c>
      <c r="CD193" s="18">
        <v>0</v>
      </c>
      <c r="CE193">
        <v>0</v>
      </c>
      <c r="CF193">
        <v>0</v>
      </c>
      <c r="CG193">
        <v>0</v>
      </c>
      <c r="CH193">
        <v>0</v>
      </c>
      <c r="CI193" s="18">
        <v>0</v>
      </c>
      <c r="CJ193">
        <v>0</v>
      </c>
      <c r="CK193">
        <v>0</v>
      </c>
      <c r="CL193">
        <v>1</v>
      </c>
      <c r="CM193">
        <v>1</v>
      </c>
      <c r="CN193">
        <v>0</v>
      </c>
      <c r="CO193">
        <v>0</v>
      </c>
      <c r="CP193">
        <v>1</v>
      </c>
      <c r="CQ193">
        <v>0</v>
      </c>
      <c r="CR193">
        <v>0</v>
      </c>
      <c r="CS193">
        <v>1</v>
      </c>
      <c r="CT193" s="18">
        <v>1</v>
      </c>
      <c r="CZ193" s="34" t="s">
        <v>87</v>
      </c>
    </row>
    <row r="194" spans="1:104" x14ac:dyDescent="0.25">
      <c r="A194">
        <v>193</v>
      </c>
      <c r="B194">
        <v>16</v>
      </c>
      <c r="C194" s="25" t="s">
        <v>179</v>
      </c>
      <c r="D194" s="12">
        <v>8.5</v>
      </c>
      <c r="E194" s="14">
        <v>0.1</v>
      </c>
      <c r="F194" s="7">
        <f t="shared" si="160"/>
        <v>85</v>
      </c>
      <c r="G194" s="7">
        <f t="shared" si="161"/>
        <v>8.4</v>
      </c>
      <c r="H194" s="16">
        <f t="shared" si="162"/>
        <v>8.6</v>
      </c>
      <c r="I194" s="11">
        <f t="shared" ref="I194:I257" si="167">IFERROR(F194/SQRT(F194^2+W194), "X")</f>
        <v>0.36519386578122887</v>
      </c>
      <c r="J194" s="33">
        <f t="shared" ref="J194:J257" si="168">IFERROR(SQRT((1-I194^2)/W194), "X")</f>
        <v>4.2963984209556331E-3</v>
      </c>
      <c r="K194" s="33">
        <f t="shared" si="156"/>
        <v>232.75308805685052</v>
      </c>
      <c r="L194" s="33">
        <f t="shared" si="157"/>
        <v>0.36089746736027323</v>
      </c>
      <c r="M194" s="33">
        <f t="shared" si="158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59"/>
        <v>46949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9">
        <v>0</v>
      </c>
      <c r="AL194" s="30">
        <v>0</v>
      </c>
      <c r="AM194" s="21">
        <v>2005</v>
      </c>
      <c r="AN194" s="23"/>
      <c r="AO194" s="33">
        <v>0.39100000000000001</v>
      </c>
      <c r="AP194" s="33">
        <v>0.14299999999999999</v>
      </c>
      <c r="AQ194" s="33">
        <v>0.314</v>
      </c>
      <c r="AR194" s="43">
        <f t="shared" si="164"/>
        <v>0.15199999999999991</v>
      </c>
      <c r="AS194" s="33" t="s">
        <v>107</v>
      </c>
      <c r="AT194" s="43" t="s">
        <v>107</v>
      </c>
      <c r="AU194" s="42" t="s">
        <v>107</v>
      </c>
      <c r="AV194" s="18" t="s">
        <v>107</v>
      </c>
      <c r="AW194">
        <v>0.27300000000000002</v>
      </c>
      <c r="AX194" s="40">
        <f t="shared" si="165"/>
        <v>0.72699999999999998</v>
      </c>
      <c r="AY194" t="s">
        <v>107</v>
      </c>
      <c r="AZ194" s="40" t="s">
        <v>107</v>
      </c>
      <c r="BB194" s="18"/>
      <c r="BC194">
        <v>0.32100000000000001</v>
      </c>
      <c r="BD194" s="18">
        <f t="shared" si="166"/>
        <v>0.67900000000000005</v>
      </c>
      <c r="BE194" s="18" t="s">
        <v>12</v>
      </c>
      <c r="BF194" t="s">
        <v>107</v>
      </c>
      <c r="BG194" s="40" t="s">
        <v>107</v>
      </c>
      <c r="BI194" s="18"/>
      <c r="BJ194" s="18" t="s">
        <v>12</v>
      </c>
      <c r="BK194" t="s">
        <v>107</v>
      </c>
      <c r="BL194" s="40" t="s">
        <v>107</v>
      </c>
      <c r="BN194" s="18"/>
      <c r="BO194" s="18" t="s">
        <v>12</v>
      </c>
      <c r="BP194" t="s">
        <v>107</v>
      </c>
      <c r="BQ194" s="40" t="s">
        <v>107</v>
      </c>
      <c r="BR194" s="25">
        <v>35.944000000000003</v>
      </c>
      <c r="BS194">
        <v>1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 s="18">
        <v>0</v>
      </c>
      <c r="CA194">
        <v>0</v>
      </c>
      <c r="CB194">
        <v>0</v>
      </c>
      <c r="CC194">
        <v>1</v>
      </c>
      <c r="CD194" s="18">
        <v>0</v>
      </c>
      <c r="CE194">
        <v>0</v>
      </c>
      <c r="CF194">
        <v>0</v>
      </c>
      <c r="CG194">
        <v>0</v>
      </c>
      <c r="CH194">
        <v>0</v>
      </c>
      <c r="CI194" s="18">
        <v>0</v>
      </c>
      <c r="CJ194">
        <v>1</v>
      </c>
      <c r="CK194">
        <v>0</v>
      </c>
      <c r="CL194">
        <v>1</v>
      </c>
      <c r="CM194">
        <v>1</v>
      </c>
      <c r="CN194">
        <v>0</v>
      </c>
      <c r="CO194">
        <v>0</v>
      </c>
      <c r="CP194">
        <v>1</v>
      </c>
      <c r="CQ194">
        <v>0</v>
      </c>
      <c r="CR194">
        <v>0</v>
      </c>
      <c r="CS194">
        <v>1</v>
      </c>
      <c r="CT194" s="18">
        <v>1</v>
      </c>
      <c r="CZ194" s="34" t="s">
        <v>87</v>
      </c>
    </row>
    <row r="195" spans="1:104" x14ac:dyDescent="0.25">
      <c r="A195">
        <v>194</v>
      </c>
      <c r="B195">
        <v>16</v>
      </c>
      <c r="C195" s="25" t="s">
        <v>179</v>
      </c>
      <c r="D195" s="12">
        <v>7.7</v>
      </c>
      <c r="E195" s="14">
        <v>0.1</v>
      </c>
      <c r="F195" s="7">
        <f t="shared" si="160"/>
        <v>77</v>
      </c>
      <c r="G195" s="7">
        <f t="shared" si="161"/>
        <v>7.6000000000000005</v>
      </c>
      <c r="H195" s="16">
        <f t="shared" si="162"/>
        <v>7.8</v>
      </c>
      <c r="I195" s="11">
        <f t="shared" si="167"/>
        <v>0.23671027339789866</v>
      </c>
      <c r="J195" s="33">
        <f t="shared" si="168"/>
        <v>3.0741593947779043E-3</v>
      </c>
      <c r="K195" s="33">
        <f t="shared" si="156"/>
        <v>325.292176358424</v>
      </c>
      <c r="L195" s="33">
        <f t="shared" si="157"/>
        <v>0.23363611400312076</v>
      </c>
      <c r="M195" s="33">
        <f t="shared" si="158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59"/>
        <v>99886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9">
        <v>0</v>
      </c>
      <c r="AL195" s="30">
        <v>0</v>
      </c>
      <c r="AM195" s="21">
        <v>2005</v>
      </c>
      <c r="AN195" s="23"/>
      <c r="AO195" s="33">
        <v>0.39100000000000001</v>
      </c>
      <c r="AP195" s="33">
        <v>0.14299999999999999</v>
      </c>
      <c r="AQ195" s="33">
        <v>0.314</v>
      </c>
      <c r="AR195" s="43">
        <f t="shared" si="164"/>
        <v>0.15199999999999991</v>
      </c>
      <c r="AS195" s="33" t="s">
        <v>107</v>
      </c>
      <c r="AT195" s="43" t="s">
        <v>107</v>
      </c>
      <c r="AU195" s="42" t="s">
        <v>107</v>
      </c>
      <c r="AV195" s="18" t="s">
        <v>107</v>
      </c>
      <c r="AW195">
        <v>0.27300000000000002</v>
      </c>
      <c r="AX195" s="40">
        <f t="shared" si="165"/>
        <v>0.72699999999999998</v>
      </c>
      <c r="AY195" t="s">
        <v>107</v>
      </c>
      <c r="AZ195" s="40" t="s">
        <v>107</v>
      </c>
      <c r="BB195" s="18"/>
      <c r="BC195">
        <v>0.32100000000000001</v>
      </c>
      <c r="BD195" s="18">
        <f t="shared" si="166"/>
        <v>0.67900000000000005</v>
      </c>
      <c r="BE195" s="18" t="s">
        <v>12</v>
      </c>
      <c r="BF195" t="s">
        <v>107</v>
      </c>
      <c r="BG195" s="40" t="s">
        <v>107</v>
      </c>
      <c r="BI195" s="18"/>
      <c r="BJ195" s="18" t="s">
        <v>12</v>
      </c>
      <c r="BK195" t="s">
        <v>107</v>
      </c>
      <c r="BL195" s="40" t="s">
        <v>107</v>
      </c>
      <c r="BN195" s="18"/>
      <c r="BO195" s="18" t="s">
        <v>12</v>
      </c>
      <c r="BP195" t="s">
        <v>107</v>
      </c>
      <c r="BQ195" s="40" t="s">
        <v>107</v>
      </c>
      <c r="BR195" s="25">
        <v>35.944000000000003</v>
      </c>
      <c r="BS195">
        <v>1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 s="18">
        <v>0</v>
      </c>
      <c r="CA195">
        <v>0</v>
      </c>
      <c r="CB195">
        <v>0</v>
      </c>
      <c r="CC195">
        <v>1</v>
      </c>
      <c r="CD195" s="18">
        <v>0</v>
      </c>
      <c r="CE195">
        <v>0</v>
      </c>
      <c r="CF195">
        <v>0</v>
      </c>
      <c r="CG195">
        <v>0</v>
      </c>
      <c r="CH195">
        <v>0</v>
      </c>
      <c r="CI195" s="18">
        <v>0</v>
      </c>
      <c r="CJ195">
        <v>0</v>
      </c>
      <c r="CK195">
        <v>0</v>
      </c>
      <c r="CL195">
        <v>1</v>
      </c>
      <c r="CM195">
        <v>1</v>
      </c>
      <c r="CN195">
        <v>0</v>
      </c>
      <c r="CO195">
        <v>0</v>
      </c>
      <c r="CP195">
        <v>1</v>
      </c>
      <c r="CQ195">
        <v>0</v>
      </c>
      <c r="CR195">
        <v>0</v>
      </c>
      <c r="CS195">
        <v>1</v>
      </c>
      <c r="CT195" s="18">
        <v>1</v>
      </c>
      <c r="CZ195" s="34" t="s">
        <v>87</v>
      </c>
    </row>
    <row r="196" spans="1:104" x14ac:dyDescent="0.25">
      <c r="A196">
        <v>195</v>
      </c>
      <c r="B196">
        <v>16</v>
      </c>
      <c r="C196" s="25" t="s">
        <v>179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69">D196-E196</f>
        <v>5.166666666666667</v>
      </c>
      <c r="H196" s="16">
        <f t="shared" ref="H196:H210" si="170">D196+E196</f>
        <v>5.7666666666666666</v>
      </c>
      <c r="I196" s="11">
        <f t="shared" si="167"/>
        <v>5.7562153466299747E-2</v>
      </c>
      <c r="J196" s="33">
        <f t="shared" si="168"/>
        <v>3.1588986658335223E-3</v>
      </c>
      <c r="K196" s="33">
        <f t="shared" ref="K196:K211" si="171">IFERROR(1/J196, "X")</f>
        <v>316.56602689283648</v>
      </c>
      <c r="L196" s="33">
        <f t="shared" ref="L196:L211" si="172">IFERROR(I196-J196, "X")</f>
        <v>5.4403254800466226E-2</v>
      </c>
      <c r="M196" s="33">
        <f t="shared" ref="M196:M211" si="173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59"/>
        <v>99882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9">
        <v>0</v>
      </c>
      <c r="AL196" s="30">
        <v>0</v>
      </c>
      <c r="AM196" s="21">
        <v>2005</v>
      </c>
      <c r="AN196" s="23"/>
      <c r="AO196" s="33">
        <v>0.32600000000000001</v>
      </c>
      <c r="AP196" s="33">
        <v>0.127</v>
      </c>
      <c r="AQ196" s="33">
        <v>0.36099999999999999</v>
      </c>
      <c r="AR196" s="43">
        <f t="shared" si="164"/>
        <v>0.18599999999999994</v>
      </c>
      <c r="AS196" s="33" t="s">
        <v>107</v>
      </c>
      <c r="AT196" s="43" t="s">
        <v>107</v>
      </c>
      <c r="AU196" s="42" t="s">
        <v>107</v>
      </c>
      <c r="AV196" s="18" t="s">
        <v>107</v>
      </c>
      <c r="AW196">
        <v>0.504</v>
      </c>
      <c r="AX196" s="40">
        <f t="shared" si="165"/>
        <v>0.496</v>
      </c>
      <c r="AY196" t="s">
        <v>107</v>
      </c>
      <c r="AZ196" s="40" t="s">
        <v>107</v>
      </c>
      <c r="BB196" s="18"/>
      <c r="BC196">
        <v>0.32100000000000001</v>
      </c>
      <c r="BD196" s="18">
        <f t="shared" si="166"/>
        <v>0.67900000000000005</v>
      </c>
      <c r="BE196" s="18" t="s">
        <v>12</v>
      </c>
      <c r="BF196" t="s">
        <v>107</v>
      </c>
      <c r="BG196" s="40" t="s">
        <v>107</v>
      </c>
      <c r="BI196" s="18"/>
      <c r="BJ196" s="18" t="s">
        <v>12</v>
      </c>
      <c r="BK196" t="s">
        <v>107</v>
      </c>
      <c r="BL196" s="40" t="s">
        <v>107</v>
      </c>
      <c r="BN196" s="18"/>
      <c r="BO196" s="18" t="s">
        <v>12</v>
      </c>
      <c r="BP196" t="s">
        <v>107</v>
      </c>
      <c r="BQ196" s="40" t="s">
        <v>107</v>
      </c>
      <c r="BR196" s="25">
        <v>35.944000000000003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1</v>
      </c>
      <c r="BY196">
        <v>0</v>
      </c>
      <c r="BZ196" s="18">
        <v>0</v>
      </c>
      <c r="CA196">
        <v>0</v>
      </c>
      <c r="CB196">
        <v>0</v>
      </c>
      <c r="CC196">
        <v>1</v>
      </c>
      <c r="CD196" s="18">
        <v>0</v>
      </c>
      <c r="CE196">
        <v>0</v>
      </c>
      <c r="CF196">
        <v>0</v>
      </c>
      <c r="CG196">
        <v>0</v>
      </c>
      <c r="CH196">
        <v>0</v>
      </c>
      <c r="CI196" s="18">
        <v>0</v>
      </c>
      <c r="CJ196">
        <v>0</v>
      </c>
      <c r="CK196">
        <v>0</v>
      </c>
      <c r="CL196">
        <v>1</v>
      </c>
      <c r="CM196">
        <v>1</v>
      </c>
      <c r="CN196">
        <v>0</v>
      </c>
      <c r="CO196">
        <v>0</v>
      </c>
      <c r="CP196">
        <v>1</v>
      </c>
      <c r="CQ196">
        <v>0</v>
      </c>
      <c r="CR196">
        <v>0</v>
      </c>
      <c r="CS196">
        <v>1</v>
      </c>
      <c r="CT196" s="18">
        <v>1</v>
      </c>
      <c r="CZ196" s="34" t="s">
        <v>87</v>
      </c>
    </row>
    <row r="197" spans="1:104" x14ac:dyDescent="0.25">
      <c r="A197">
        <v>196</v>
      </c>
      <c r="B197">
        <v>16</v>
      </c>
      <c r="C197" s="25" t="s">
        <v>179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69"/>
        <v>6.0076408787010491</v>
      </c>
      <c r="H197" s="16">
        <f t="shared" si="170"/>
        <v>6.3256924546322812</v>
      </c>
      <c r="I197" s="11">
        <f t="shared" si="167"/>
        <v>0.12178520489602178</v>
      </c>
      <c r="J197" s="33">
        <f t="shared" si="168"/>
        <v>3.1405926764017074E-3</v>
      </c>
      <c r="K197" s="33">
        <f t="shared" si="171"/>
        <v>318.41123731643444</v>
      </c>
      <c r="L197" s="33">
        <f t="shared" si="172"/>
        <v>0.11864461221962007</v>
      </c>
      <c r="M197" s="33">
        <f t="shared" si="173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59"/>
        <v>99882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9">
        <v>0</v>
      </c>
      <c r="AL197" s="30">
        <v>0</v>
      </c>
      <c r="AM197" s="21">
        <v>2005</v>
      </c>
      <c r="AN197" s="23"/>
      <c r="AO197" s="33">
        <v>0.32600000000000001</v>
      </c>
      <c r="AP197" s="33">
        <v>0.127</v>
      </c>
      <c r="AQ197" s="33">
        <v>0.36099999999999999</v>
      </c>
      <c r="AR197" s="43">
        <f t="shared" ref="AR197:AR210" si="174">1-SUM(AO197:AQ197)</f>
        <v>0.18599999999999994</v>
      </c>
      <c r="AS197" s="33" t="s">
        <v>107</v>
      </c>
      <c r="AT197" s="43" t="s">
        <v>107</v>
      </c>
      <c r="AU197" s="42" t="s">
        <v>107</v>
      </c>
      <c r="AV197" s="18" t="s">
        <v>107</v>
      </c>
      <c r="AW197">
        <v>0.504</v>
      </c>
      <c r="AX197" s="40">
        <f t="shared" si="165"/>
        <v>0.496</v>
      </c>
      <c r="AY197" t="s">
        <v>107</v>
      </c>
      <c r="AZ197" s="40" t="s">
        <v>107</v>
      </c>
      <c r="BB197" s="18"/>
      <c r="BC197">
        <v>0.32100000000000001</v>
      </c>
      <c r="BD197" s="18">
        <f t="shared" si="166"/>
        <v>0.67900000000000005</v>
      </c>
      <c r="BE197" s="18" t="s">
        <v>12</v>
      </c>
      <c r="BF197" t="s">
        <v>107</v>
      </c>
      <c r="BG197" s="40" t="s">
        <v>107</v>
      </c>
      <c r="BI197" s="18"/>
      <c r="BJ197" s="18" t="s">
        <v>12</v>
      </c>
      <c r="BK197" t="s">
        <v>107</v>
      </c>
      <c r="BL197" s="40" t="s">
        <v>107</v>
      </c>
      <c r="BN197" s="18"/>
      <c r="BO197" s="18" t="s">
        <v>12</v>
      </c>
      <c r="BP197" t="s">
        <v>107</v>
      </c>
      <c r="BQ197" s="40" t="s">
        <v>107</v>
      </c>
      <c r="BR197" s="25">
        <v>33.494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1</v>
      </c>
      <c r="BY197">
        <v>0</v>
      </c>
      <c r="BZ197" s="18">
        <v>0</v>
      </c>
      <c r="CA197">
        <v>0</v>
      </c>
      <c r="CB197">
        <v>0</v>
      </c>
      <c r="CC197">
        <v>1</v>
      </c>
      <c r="CD197" s="18">
        <v>0</v>
      </c>
      <c r="CE197">
        <v>0</v>
      </c>
      <c r="CF197">
        <v>0</v>
      </c>
      <c r="CG197">
        <v>0</v>
      </c>
      <c r="CH197">
        <v>0</v>
      </c>
      <c r="CI197" s="18">
        <v>0</v>
      </c>
      <c r="CJ197">
        <v>0</v>
      </c>
      <c r="CK197">
        <v>0</v>
      </c>
      <c r="CL197">
        <v>1</v>
      </c>
      <c r="CM197">
        <v>1</v>
      </c>
      <c r="CN197">
        <v>0</v>
      </c>
      <c r="CO197">
        <v>0</v>
      </c>
      <c r="CP197">
        <v>1</v>
      </c>
      <c r="CQ197">
        <v>0</v>
      </c>
      <c r="CR197">
        <v>0</v>
      </c>
      <c r="CS197">
        <v>1</v>
      </c>
      <c r="CT197" s="18">
        <v>1</v>
      </c>
      <c r="CZ197" s="34" t="s">
        <v>87</v>
      </c>
    </row>
    <row r="198" spans="1:104" x14ac:dyDescent="0.25">
      <c r="A198">
        <v>197</v>
      </c>
      <c r="B198">
        <v>16</v>
      </c>
      <c r="C198" s="25" t="s">
        <v>179</v>
      </c>
      <c r="D198" s="12">
        <v>11.35</v>
      </c>
      <c r="E198" s="14">
        <v>0.19704861111111113</v>
      </c>
      <c r="F198" s="7">
        <v>57.599999999999994</v>
      </c>
      <c r="G198" s="7">
        <f t="shared" si="169"/>
        <v>11.152951388888889</v>
      </c>
      <c r="H198" s="16">
        <f t="shared" si="170"/>
        <v>11.54704861111111</v>
      </c>
      <c r="I198" s="11">
        <f t="shared" si="167"/>
        <v>0.17930117672289239</v>
      </c>
      <c r="J198" s="33">
        <f t="shared" si="168"/>
        <v>3.1128676514391041E-3</v>
      </c>
      <c r="K198" s="33">
        <f t="shared" si="171"/>
        <v>321.24719454027922</v>
      </c>
      <c r="L198" s="33">
        <f t="shared" si="172"/>
        <v>0.17618830907145328</v>
      </c>
      <c r="M198" s="33">
        <f t="shared" si="173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59"/>
        <v>99882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9">
        <v>0</v>
      </c>
      <c r="AL198" s="30">
        <v>0</v>
      </c>
      <c r="AM198" s="21">
        <v>2005</v>
      </c>
      <c r="AN198" s="23"/>
      <c r="AO198" s="33">
        <v>0.32600000000000001</v>
      </c>
      <c r="AP198" s="33">
        <v>0.127</v>
      </c>
      <c r="AQ198" s="33">
        <v>0.36099999999999999</v>
      </c>
      <c r="AR198" s="43">
        <f t="shared" si="174"/>
        <v>0.18599999999999994</v>
      </c>
      <c r="AS198" s="33" t="s">
        <v>107</v>
      </c>
      <c r="AT198" s="43" t="s">
        <v>107</v>
      </c>
      <c r="AU198" s="42" t="s">
        <v>107</v>
      </c>
      <c r="AV198" s="18" t="s">
        <v>107</v>
      </c>
      <c r="AW198">
        <v>0.504</v>
      </c>
      <c r="AX198" s="40">
        <f t="shared" si="165"/>
        <v>0.496</v>
      </c>
      <c r="AY198" t="s">
        <v>107</v>
      </c>
      <c r="AZ198" s="40" t="s">
        <v>107</v>
      </c>
      <c r="BB198" s="18"/>
      <c r="BC198">
        <v>0.32100000000000001</v>
      </c>
      <c r="BD198" s="18">
        <f t="shared" si="166"/>
        <v>0.67900000000000005</v>
      </c>
      <c r="BE198" s="18" t="s">
        <v>12</v>
      </c>
      <c r="BF198" t="s">
        <v>107</v>
      </c>
      <c r="BG198" s="40" t="s">
        <v>107</v>
      </c>
      <c r="BI198" s="18"/>
      <c r="BJ198" s="18" t="s">
        <v>12</v>
      </c>
      <c r="BK198" t="s">
        <v>107</v>
      </c>
      <c r="BL198" s="40" t="s">
        <v>107</v>
      </c>
      <c r="BN198" s="18"/>
      <c r="BO198" s="18" t="s">
        <v>12</v>
      </c>
      <c r="BP198" t="s">
        <v>107</v>
      </c>
      <c r="BQ198" s="40" t="s">
        <v>107</v>
      </c>
      <c r="BR198" s="25">
        <v>33.494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1</v>
      </c>
      <c r="BY198">
        <v>0</v>
      </c>
      <c r="BZ198" s="18">
        <v>0</v>
      </c>
      <c r="CA198">
        <v>0</v>
      </c>
      <c r="CB198">
        <v>0</v>
      </c>
      <c r="CC198">
        <v>1</v>
      </c>
      <c r="CD198" s="18">
        <v>0</v>
      </c>
      <c r="CE198">
        <v>0</v>
      </c>
      <c r="CF198">
        <v>0</v>
      </c>
      <c r="CG198">
        <v>0</v>
      </c>
      <c r="CH198">
        <v>0</v>
      </c>
      <c r="CI198" s="18">
        <v>0</v>
      </c>
      <c r="CJ198">
        <v>0</v>
      </c>
      <c r="CK198">
        <v>0</v>
      </c>
      <c r="CL198">
        <v>1</v>
      </c>
      <c r="CM198">
        <v>1</v>
      </c>
      <c r="CN198">
        <v>0</v>
      </c>
      <c r="CO198">
        <v>0</v>
      </c>
      <c r="CP198">
        <v>1</v>
      </c>
      <c r="CQ198">
        <v>0</v>
      </c>
      <c r="CR198">
        <v>0</v>
      </c>
      <c r="CS198">
        <v>1</v>
      </c>
      <c r="CT198" s="18">
        <v>1</v>
      </c>
      <c r="CZ198" s="34" t="s">
        <v>87</v>
      </c>
    </row>
    <row r="199" spans="1:104" x14ac:dyDescent="0.25">
      <c r="A199">
        <v>198</v>
      </c>
      <c r="B199">
        <v>16</v>
      </c>
      <c r="C199" s="25" t="s">
        <v>179</v>
      </c>
      <c r="D199" s="12">
        <v>12.2</v>
      </c>
      <c r="E199" s="14">
        <v>0.19341463414634147</v>
      </c>
      <c r="F199" s="7">
        <v>63.076923076923073</v>
      </c>
      <c r="G199" s="7">
        <f t="shared" si="169"/>
        <v>12.006585365853658</v>
      </c>
      <c r="H199" s="16">
        <f t="shared" si="170"/>
        <v>12.393414634146341</v>
      </c>
      <c r="I199" s="11">
        <f t="shared" si="167"/>
        <v>0.19572435976928337</v>
      </c>
      <c r="J199" s="33">
        <f t="shared" si="168"/>
        <v>3.1029471670740048E-3</v>
      </c>
      <c r="K199" s="33">
        <f t="shared" si="171"/>
        <v>322.27425932713282</v>
      </c>
      <c r="L199" s="33">
        <f t="shared" si="172"/>
        <v>0.19262141260220936</v>
      </c>
      <c r="M199" s="33">
        <f t="shared" si="173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59"/>
        <v>99882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9">
        <v>0</v>
      </c>
      <c r="AL199" s="30">
        <v>0</v>
      </c>
      <c r="AM199" s="21">
        <v>2005</v>
      </c>
      <c r="AN199" s="23"/>
      <c r="AO199" s="33">
        <v>0.32600000000000001</v>
      </c>
      <c r="AP199" s="33">
        <v>0.127</v>
      </c>
      <c r="AQ199" s="33">
        <v>0.36099999999999999</v>
      </c>
      <c r="AR199" s="43">
        <f t="shared" si="174"/>
        <v>0.18599999999999994</v>
      </c>
      <c r="AS199" s="33" t="s">
        <v>107</v>
      </c>
      <c r="AT199" s="43" t="s">
        <v>107</v>
      </c>
      <c r="AU199" s="42" t="s">
        <v>107</v>
      </c>
      <c r="AV199" s="18" t="s">
        <v>107</v>
      </c>
      <c r="AW199">
        <v>0.504</v>
      </c>
      <c r="AX199" s="40">
        <f t="shared" si="165"/>
        <v>0.496</v>
      </c>
      <c r="AY199" t="s">
        <v>107</v>
      </c>
      <c r="AZ199" s="40" t="s">
        <v>107</v>
      </c>
      <c r="BB199" s="18"/>
      <c r="BC199">
        <v>0.32100000000000001</v>
      </c>
      <c r="BD199" s="18">
        <f t="shared" si="166"/>
        <v>0.67900000000000005</v>
      </c>
      <c r="BE199" s="18" t="s">
        <v>12</v>
      </c>
      <c r="BF199" t="s">
        <v>107</v>
      </c>
      <c r="BG199" s="40" t="s">
        <v>107</v>
      </c>
      <c r="BI199" s="18"/>
      <c r="BJ199" s="18" t="s">
        <v>12</v>
      </c>
      <c r="BK199" t="s">
        <v>107</v>
      </c>
      <c r="BL199" s="40" t="s">
        <v>107</v>
      </c>
      <c r="BN199" s="18"/>
      <c r="BO199" s="18" t="s">
        <v>12</v>
      </c>
      <c r="BP199" t="s">
        <v>107</v>
      </c>
      <c r="BQ199" s="40" t="s">
        <v>107</v>
      </c>
      <c r="BR199" s="25">
        <v>33.494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1</v>
      </c>
      <c r="BY199">
        <v>0</v>
      </c>
      <c r="BZ199" s="18">
        <v>0</v>
      </c>
      <c r="CA199">
        <v>0</v>
      </c>
      <c r="CB199">
        <v>0</v>
      </c>
      <c r="CC199">
        <v>1</v>
      </c>
      <c r="CD199" s="18">
        <v>0</v>
      </c>
      <c r="CE199">
        <v>0</v>
      </c>
      <c r="CF199">
        <v>0</v>
      </c>
      <c r="CG199">
        <v>0</v>
      </c>
      <c r="CH199">
        <v>0</v>
      </c>
      <c r="CI199" s="18">
        <v>0</v>
      </c>
      <c r="CJ199">
        <v>0</v>
      </c>
      <c r="CK199">
        <v>0</v>
      </c>
      <c r="CL199">
        <v>1</v>
      </c>
      <c r="CM199">
        <v>1</v>
      </c>
      <c r="CN199">
        <v>0</v>
      </c>
      <c r="CO199">
        <v>0</v>
      </c>
      <c r="CP199">
        <v>1</v>
      </c>
      <c r="CQ199">
        <v>0</v>
      </c>
      <c r="CR199">
        <v>0</v>
      </c>
      <c r="CS199">
        <v>1</v>
      </c>
      <c r="CT199" s="18">
        <v>1</v>
      </c>
      <c r="CZ199" s="34" t="s">
        <v>87</v>
      </c>
    </row>
    <row r="200" spans="1:104" x14ac:dyDescent="0.25">
      <c r="A200">
        <v>199</v>
      </c>
      <c r="B200">
        <v>16</v>
      </c>
      <c r="C200" s="25" t="s">
        <v>179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69"/>
        <v>15.707510288065848</v>
      </c>
      <c r="H200" s="16">
        <f t="shared" si="170"/>
        <v>16.025823045267494</v>
      </c>
      <c r="I200" s="11">
        <f t="shared" si="167"/>
        <v>0.30082908983803991</v>
      </c>
      <c r="J200" s="33">
        <f t="shared" si="168"/>
        <v>3.0175757468321905E-3</v>
      </c>
      <c r="K200" s="33">
        <f t="shared" si="171"/>
        <v>331.39184693202355</v>
      </c>
      <c r="L200" s="33">
        <f t="shared" si="172"/>
        <v>0.29781151409120771</v>
      </c>
      <c r="M200" s="33">
        <f t="shared" si="173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59"/>
        <v>99882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9">
        <v>0</v>
      </c>
      <c r="AL200" s="30">
        <v>0</v>
      </c>
      <c r="AM200" s="21">
        <v>2005</v>
      </c>
      <c r="AN200" s="23"/>
      <c r="AO200" s="33">
        <v>0.32600000000000001</v>
      </c>
      <c r="AP200" s="33">
        <v>0.127</v>
      </c>
      <c r="AQ200" s="33">
        <v>0.36099999999999999</v>
      </c>
      <c r="AR200" s="43">
        <f t="shared" si="174"/>
        <v>0.18599999999999994</v>
      </c>
      <c r="AS200" s="33" t="s">
        <v>107</v>
      </c>
      <c r="AT200" s="43" t="s">
        <v>107</v>
      </c>
      <c r="AU200" s="42" t="s">
        <v>107</v>
      </c>
      <c r="AV200" s="18" t="s">
        <v>107</v>
      </c>
      <c r="AW200">
        <v>0.504</v>
      </c>
      <c r="AX200" s="40">
        <f t="shared" si="165"/>
        <v>0.496</v>
      </c>
      <c r="AY200" t="s">
        <v>107</v>
      </c>
      <c r="AZ200" s="40" t="s">
        <v>107</v>
      </c>
      <c r="BB200" s="18"/>
      <c r="BC200">
        <v>0.32100000000000001</v>
      </c>
      <c r="BD200" s="18">
        <f t="shared" si="166"/>
        <v>0.67900000000000005</v>
      </c>
      <c r="BE200" s="18" t="s">
        <v>12</v>
      </c>
      <c r="BF200" t="s">
        <v>107</v>
      </c>
      <c r="BG200" s="40" t="s">
        <v>107</v>
      </c>
      <c r="BI200" s="18"/>
      <c r="BJ200" s="18" t="s">
        <v>12</v>
      </c>
      <c r="BK200" t="s">
        <v>107</v>
      </c>
      <c r="BL200" s="40" t="s">
        <v>107</v>
      </c>
      <c r="BN200" s="18"/>
      <c r="BO200" s="18" t="s">
        <v>12</v>
      </c>
      <c r="BP200" t="s">
        <v>107</v>
      </c>
      <c r="BQ200" s="40" t="s">
        <v>107</v>
      </c>
      <c r="BR200" s="25">
        <v>33.494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1</v>
      </c>
      <c r="BY200">
        <v>0</v>
      </c>
      <c r="BZ200" s="18">
        <v>0</v>
      </c>
      <c r="CA200">
        <v>0</v>
      </c>
      <c r="CB200">
        <v>0</v>
      </c>
      <c r="CC200">
        <v>1</v>
      </c>
      <c r="CD200" s="18">
        <v>0</v>
      </c>
      <c r="CE200">
        <v>0</v>
      </c>
      <c r="CF200">
        <v>0</v>
      </c>
      <c r="CG200">
        <v>0</v>
      </c>
      <c r="CH200">
        <v>0</v>
      </c>
      <c r="CI200" s="18">
        <v>0</v>
      </c>
      <c r="CJ200">
        <v>0</v>
      </c>
      <c r="CK200">
        <v>0</v>
      </c>
      <c r="CL200">
        <v>1</v>
      </c>
      <c r="CM200">
        <v>1</v>
      </c>
      <c r="CN200">
        <v>0</v>
      </c>
      <c r="CO200">
        <v>0</v>
      </c>
      <c r="CP200">
        <v>1</v>
      </c>
      <c r="CQ200">
        <v>0</v>
      </c>
      <c r="CR200">
        <v>0</v>
      </c>
      <c r="CS200">
        <v>1</v>
      </c>
      <c r="CT200" s="18">
        <v>1</v>
      </c>
      <c r="CZ200" s="34" t="s">
        <v>87</v>
      </c>
    </row>
    <row r="201" spans="1:104" x14ac:dyDescent="0.25">
      <c r="A201">
        <v>200</v>
      </c>
      <c r="B201">
        <v>16</v>
      </c>
      <c r="C201" s="25" t="s">
        <v>179</v>
      </c>
      <c r="D201" s="12">
        <v>4.6333333333333337</v>
      </c>
      <c r="E201" s="14">
        <v>0.33333333333333337</v>
      </c>
      <c r="F201" s="7">
        <v>13.9</v>
      </c>
      <c r="G201" s="7">
        <f t="shared" si="169"/>
        <v>4.3000000000000007</v>
      </c>
      <c r="H201" s="16">
        <f t="shared" si="170"/>
        <v>4.9666666666666668</v>
      </c>
      <c r="I201" s="11">
        <f t="shared" si="167"/>
        <v>5.7463430514540191E-2</v>
      </c>
      <c r="J201" s="33">
        <f t="shared" si="168"/>
        <v>4.1340597492474955E-3</v>
      </c>
      <c r="K201" s="33">
        <f t="shared" si="171"/>
        <v>241.89297220051682</v>
      </c>
      <c r="L201" s="33">
        <f t="shared" si="172"/>
        <v>5.3329370765292698E-2</v>
      </c>
      <c r="M201" s="33">
        <f t="shared" si="173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59"/>
        <v>58319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9">
        <v>0</v>
      </c>
      <c r="AL201" s="30">
        <v>0</v>
      </c>
      <c r="AM201" s="21">
        <v>2005</v>
      </c>
      <c r="AN201" s="23"/>
      <c r="AO201" s="33">
        <v>0.32600000000000001</v>
      </c>
      <c r="AP201" s="33">
        <v>0.127</v>
      </c>
      <c r="AQ201" s="33">
        <v>0.36099999999999999</v>
      </c>
      <c r="AR201" s="43">
        <f t="shared" si="174"/>
        <v>0.18599999999999994</v>
      </c>
      <c r="AS201" s="33" t="s">
        <v>107</v>
      </c>
      <c r="AT201" s="43" t="s">
        <v>107</v>
      </c>
      <c r="AU201" s="42" t="s">
        <v>107</v>
      </c>
      <c r="AV201" s="18" t="s">
        <v>107</v>
      </c>
      <c r="AW201">
        <v>0.504</v>
      </c>
      <c r="AX201" s="40">
        <f t="shared" si="165"/>
        <v>0.496</v>
      </c>
      <c r="AY201" t="s">
        <v>107</v>
      </c>
      <c r="AZ201" s="40" t="s">
        <v>107</v>
      </c>
      <c r="BB201" s="18"/>
      <c r="BC201">
        <v>0.32100000000000001</v>
      </c>
      <c r="BD201" s="18">
        <f t="shared" si="166"/>
        <v>0.67900000000000005</v>
      </c>
      <c r="BE201" s="18" t="s">
        <v>12</v>
      </c>
      <c r="BF201" t="s">
        <v>107</v>
      </c>
      <c r="BG201" s="40" t="s">
        <v>107</v>
      </c>
      <c r="BI201" s="18"/>
      <c r="BJ201" s="18" t="s">
        <v>12</v>
      </c>
      <c r="BK201" t="s">
        <v>107</v>
      </c>
      <c r="BL201" s="40" t="s">
        <v>107</v>
      </c>
      <c r="BN201" s="18"/>
      <c r="BO201" s="18" t="s">
        <v>12</v>
      </c>
      <c r="BP201" t="s">
        <v>107</v>
      </c>
      <c r="BQ201" s="40" t="s">
        <v>107</v>
      </c>
      <c r="BR201" s="25">
        <v>33.494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1</v>
      </c>
      <c r="BY201">
        <v>0</v>
      </c>
      <c r="BZ201" s="18">
        <v>0</v>
      </c>
      <c r="CA201">
        <v>0</v>
      </c>
      <c r="CB201">
        <v>0</v>
      </c>
      <c r="CC201">
        <v>1</v>
      </c>
      <c r="CD201" s="18">
        <v>0</v>
      </c>
      <c r="CE201">
        <v>0</v>
      </c>
      <c r="CF201">
        <v>0</v>
      </c>
      <c r="CG201">
        <v>0</v>
      </c>
      <c r="CH201">
        <v>0</v>
      </c>
      <c r="CI201" s="18">
        <v>0</v>
      </c>
      <c r="CJ201">
        <v>0</v>
      </c>
      <c r="CK201">
        <v>0</v>
      </c>
      <c r="CL201">
        <v>1</v>
      </c>
      <c r="CM201">
        <v>1</v>
      </c>
      <c r="CN201">
        <v>0</v>
      </c>
      <c r="CO201">
        <v>0</v>
      </c>
      <c r="CP201">
        <v>1</v>
      </c>
      <c r="CQ201">
        <v>0</v>
      </c>
      <c r="CR201">
        <v>0</v>
      </c>
      <c r="CS201">
        <v>0</v>
      </c>
      <c r="CT201" s="18">
        <v>1</v>
      </c>
      <c r="CZ201" s="34" t="s">
        <v>87</v>
      </c>
    </row>
    <row r="202" spans="1:104" x14ac:dyDescent="0.25">
      <c r="A202">
        <v>201</v>
      </c>
      <c r="B202">
        <v>16</v>
      </c>
      <c r="C202" s="25" t="s">
        <v>179</v>
      </c>
      <c r="D202" s="12">
        <v>5.8</v>
      </c>
      <c r="E202" s="14">
        <v>0.20383386581469645</v>
      </c>
      <c r="F202" s="7">
        <v>28.454545454545457</v>
      </c>
      <c r="G202" s="7">
        <f t="shared" si="169"/>
        <v>5.5961661341853031</v>
      </c>
      <c r="H202" s="16">
        <f t="shared" si="170"/>
        <v>6.0038338658146966</v>
      </c>
      <c r="I202" s="11">
        <f t="shared" si="167"/>
        <v>0.11701798882572799</v>
      </c>
      <c r="J202" s="33">
        <f t="shared" si="168"/>
        <v>4.1124532814153601E-3</v>
      </c>
      <c r="K202" s="33">
        <f t="shared" si="171"/>
        <v>243.16385660090359</v>
      </c>
      <c r="L202" s="33">
        <f t="shared" si="172"/>
        <v>0.11290553554431262</v>
      </c>
      <c r="M202" s="33">
        <f t="shared" si="173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59"/>
        <v>58319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9">
        <v>0</v>
      </c>
      <c r="AL202" s="30">
        <v>0</v>
      </c>
      <c r="AM202" s="21">
        <v>2005</v>
      </c>
      <c r="AN202" s="23"/>
      <c r="AO202" s="33">
        <v>0.32600000000000001</v>
      </c>
      <c r="AP202" s="33">
        <v>0.127</v>
      </c>
      <c r="AQ202" s="33">
        <v>0.36099999999999999</v>
      </c>
      <c r="AR202" s="43">
        <f t="shared" si="174"/>
        <v>0.18599999999999994</v>
      </c>
      <c r="AS202" s="33" t="s">
        <v>107</v>
      </c>
      <c r="AT202" s="43" t="s">
        <v>107</v>
      </c>
      <c r="AU202" s="42" t="s">
        <v>107</v>
      </c>
      <c r="AV202" s="18" t="s">
        <v>107</v>
      </c>
      <c r="AW202">
        <v>0.504</v>
      </c>
      <c r="AX202" s="40">
        <f t="shared" si="165"/>
        <v>0.496</v>
      </c>
      <c r="AY202" t="s">
        <v>107</v>
      </c>
      <c r="AZ202" s="40" t="s">
        <v>107</v>
      </c>
      <c r="BB202" s="18"/>
      <c r="BC202">
        <v>0.32100000000000001</v>
      </c>
      <c r="BD202" s="18">
        <f t="shared" si="166"/>
        <v>0.67900000000000005</v>
      </c>
      <c r="BE202" s="18" t="s">
        <v>12</v>
      </c>
      <c r="BF202" t="s">
        <v>107</v>
      </c>
      <c r="BG202" s="40" t="s">
        <v>107</v>
      </c>
      <c r="BI202" s="18"/>
      <c r="BJ202" s="18" t="s">
        <v>12</v>
      </c>
      <c r="BK202" t="s">
        <v>107</v>
      </c>
      <c r="BL202" s="40" t="s">
        <v>107</v>
      </c>
      <c r="BN202" s="18"/>
      <c r="BO202" s="18" t="s">
        <v>12</v>
      </c>
      <c r="BP202" t="s">
        <v>107</v>
      </c>
      <c r="BQ202" s="40" t="s">
        <v>107</v>
      </c>
      <c r="BR202" s="25">
        <v>33.494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1</v>
      </c>
      <c r="BY202">
        <v>0</v>
      </c>
      <c r="BZ202" s="18">
        <v>0</v>
      </c>
      <c r="CA202">
        <v>0</v>
      </c>
      <c r="CB202">
        <v>0</v>
      </c>
      <c r="CC202">
        <v>1</v>
      </c>
      <c r="CD202" s="18">
        <v>0</v>
      </c>
      <c r="CE202">
        <v>0</v>
      </c>
      <c r="CF202">
        <v>0</v>
      </c>
      <c r="CG202">
        <v>0</v>
      </c>
      <c r="CH202">
        <v>0</v>
      </c>
      <c r="CI202" s="18">
        <v>0</v>
      </c>
      <c r="CJ202">
        <v>0</v>
      </c>
      <c r="CK202">
        <v>0</v>
      </c>
      <c r="CL202">
        <v>1</v>
      </c>
      <c r="CM202">
        <v>1</v>
      </c>
      <c r="CN202">
        <v>0</v>
      </c>
      <c r="CO202">
        <v>0</v>
      </c>
      <c r="CP202">
        <v>1</v>
      </c>
      <c r="CQ202">
        <v>0</v>
      </c>
      <c r="CR202">
        <v>0</v>
      </c>
      <c r="CS202">
        <v>0</v>
      </c>
      <c r="CT202" s="18">
        <v>1</v>
      </c>
      <c r="CZ202" s="34" t="s">
        <v>87</v>
      </c>
    </row>
    <row r="203" spans="1:104" x14ac:dyDescent="0.25">
      <c r="A203">
        <v>202</v>
      </c>
      <c r="B203">
        <v>16</v>
      </c>
      <c r="C203" s="25" t="s">
        <v>179</v>
      </c>
      <c r="D203" s="12">
        <v>10.3</v>
      </c>
      <c r="E203" s="14">
        <v>0.23815028901734106</v>
      </c>
      <c r="F203" s="7">
        <v>43.25</v>
      </c>
      <c r="G203" s="7">
        <f t="shared" si="169"/>
        <v>10.06184971098266</v>
      </c>
      <c r="H203" s="16">
        <f t="shared" si="170"/>
        <v>10.538150289017342</v>
      </c>
      <c r="I203" s="11">
        <f t="shared" si="167"/>
        <v>0.17628912351109532</v>
      </c>
      <c r="J203" s="33">
        <f t="shared" si="168"/>
        <v>4.0760490985224359E-3</v>
      </c>
      <c r="K203" s="33">
        <f t="shared" si="171"/>
        <v>245.33561196858474</v>
      </c>
      <c r="L203" s="33">
        <f t="shared" si="172"/>
        <v>0.17221307441257289</v>
      </c>
      <c r="M203" s="33">
        <f t="shared" si="173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59"/>
        <v>58319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9">
        <v>0</v>
      </c>
      <c r="AL203" s="30">
        <v>0</v>
      </c>
      <c r="AM203" s="21">
        <v>2005</v>
      </c>
      <c r="AN203" s="23"/>
      <c r="AO203" s="33">
        <v>0.32600000000000001</v>
      </c>
      <c r="AP203" s="33">
        <v>0.127</v>
      </c>
      <c r="AQ203" s="33">
        <v>0.36099999999999999</v>
      </c>
      <c r="AR203" s="43">
        <f t="shared" si="174"/>
        <v>0.18599999999999994</v>
      </c>
      <c r="AS203" s="33" t="s">
        <v>107</v>
      </c>
      <c r="AT203" s="43" t="s">
        <v>107</v>
      </c>
      <c r="AU203" s="42" t="s">
        <v>107</v>
      </c>
      <c r="AV203" s="18" t="s">
        <v>107</v>
      </c>
      <c r="AW203">
        <v>0.504</v>
      </c>
      <c r="AX203" s="40">
        <f t="shared" si="165"/>
        <v>0.496</v>
      </c>
      <c r="AY203" t="s">
        <v>107</v>
      </c>
      <c r="AZ203" s="40" t="s">
        <v>107</v>
      </c>
      <c r="BB203" s="18"/>
      <c r="BC203">
        <v>0.32100000000000001</v>
      </c>
      <c r="BD203" s="18">
        <f t="shared" si="166"/>
        <v>0.67900000000000005</v>
      </c>
      <c r="BE203" s="18" t="s">
        <v>12</v>
      </c>
      <c r="BF203" t="s">
        <v>107</v>
      </c>
      <c r="BG203" s="40" t="s">
        <v>107</v>
      </c>
      <c r="BI203" s="18"/>
      <c r="BJ203" s="18" t="s">
        <v>12</v>
      </c>
      <c r="BK203" t="s">
        <v>107</v>
      </c>
      <c r="BL203" s="40" t="s">
        <v>107</v>
      </c>
      <c r="BN203" s="18"/>
      <c r="BO203" s="18" t="s">
        <v>12</v>
      </c>
      <c r="BP203" t="s">
        <v>107</v>
      </c>
      <c r="BQ203" s="40" t="s">
        <v>107</v>
      </c>
      <c r="BR203" s="25">
        <v>33.494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1</v>
      </c>
      <c r="BY203">
        <v>0</v>
      </c>
      <c r="BZ203" s="18">
        <v>0</v>
      </c>
      <c r="CA203">
        <v>0</v>
      </c>
      <c r="CB203">
        <v>0</v>
      </c>
      <c r="CC203">
        <v>1</v>
      </c>
      <c r="CD203" s="18">
        <v>0</v>
      </c>
      <c r="CE203">
        <v>0</v>
      </c>
      <c r="CF203">
        <v>0</v>
      </c>
      <c r="CG203">
        <v>0</v>
      </c>
      <c r="CH203">
        <v>0</v>
      </c>
      <c r="CI203" s="18">
        <v>0</v>
      </c>
      <c r="CJ203">
        <v>0</v>
      </c>
      <c r="CK203">
        <v>0</v>
      </c>
      <c r="CL203">
        <v>1</v>
      </c>
      <c r="CM203">
        <v>1</v>
      </c>
      <c r="CN203">
        <v>0</v>
      </c>
      <c r="CO203">
        <v>0</v>
      </c>
      <c r="CP203">
        <v>1</v>
      </c>
      <c r="CQ203">
        <v>0</v>
      </c>
      <c r="CR203">
        <v>0</v>
      </c>
      <c r="CS203">
        <v>0</v>
      </c>
      <c r="CT203" s="18">
        <v>1</v>
      </c>
      <c r="CZ203" s="34" t="s">
        <v>87</v>
      </c>
    </row>
    <row r="204" spans="1:104" x14ac:dyDescent="0.25">
      <c r="A204">
        <v>203</v>
      </c>
      <c r="B204">
        <v>16</v>
      </c>
      <c r="C204" s="25" t="s">
        <v>179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69"/>
        <v>9.3704641350210949</v>
      </c>
      <c r="H204" s="16">
        <f t="shared" si="170"/>
        <v>9.8295358649789009</v>
      </c>
      <c r="I204" s="11">
        <f t="shared" si="167"/>
        <v>0.17064687625203045</v>
      </c>
      <c r="J204" s="33">
        <f t="shared" si="168"/>
        <v>4.080164411089336E-3</v>
      </c>
      <c r="K204" s="33">
        <f t="shared" si="171"/>
        <v>245.08816293827155</v>
      </c>
      <c r="L204" s="33">
        <f t="shared" si="172"/>
        <v>0.16656671184094113</v>
      </c>
      <c r="M204" s="33">
        <f t="shared" si="173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59"/>
        <v>58319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9">
        <v>0</v>
      </c>
      <c r="AL204" s="30">
        <v>0</v>
      </c>
      <c r="AM204" s="21">
        <v>2005</v>
      </c>
      <c r="AN204" s="23"/>
      <c r="AO204" s="33">
        <v>0.32600000000000001</v>
      </c>
      <c r="AP204" s="33">
        <v>0.127</v>
      </c>
      <c r="AQ204" s="33">
        <v>0.36099999999999999</v>
      </c>
      <c r="AR204" s="43">
        <f t="shared" si="174"/>
        <v>0.18599999999999994</v>
      </c>
      <c r="AS204" s="33" t="s">
        <v>107</v>
      </c>
      <c r="AT204" s="43" t="s">
        <v>107</v>
      </c>
      <c r="AU204" s="42" t="s">
        <v>107</v>
      </c>
      <c r="AV204" s="18" t="s">
        <v>107</v>
      </c>
      <c r="AW204">
        <v>0.504</v>
      </c>
      <c r="AX204" s="40">
        <f t="shared" si="165"/>
        <v>0.496</v>
      </c>
      <c r="AY204" t="s">
        <v>107</v>
      </c>
      <c r="AZ204" s="40" t="s">
        <v>107</v>
      </c>
      <c r="BB204" s="18"/>
      <c r="BC204">
        <v>0.32100000000000001</v>
      </c>
      <c r="BD204" s="18">
        <f t="shared" si="166"/>
        <v>0.67900000000000005</v>
      </c>
      <c r="BE204" s="18" t="s">
        <v>12</v>
      </c>
      <c r="BF204" t="s">
        <v>107</v>
      </c>
      <c r="BG204" s="40" t="s">
        <v>107</v>
      </c>
      <c r="BI204" s="18"/>
      <c r="BJ204" s="18" t="s">
        <v>12</v>
      </c>
      <c r="BK204" t="s">
        <v>107</v>
      </c>
      <c r="BL204" s="40" t="s">
        <v>107</v>
      </c>
      <c r="BN204" s="18"/>
      <c r="BO204" s="18" t="s">
        <v>12</v>
      </c>
      <c r="BP204" t="s">
        <v>107</v>
      </c>
      <c r="BQ204" s="40" t="s">
        <v>107</v>
      </c>
      <c r="BR204" s="25">
        <v>33.494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1</v>
      </c>
      <c r="BY204">
        <v>0</v>
      </c>
      <c r="BZ204" s="18">
        <v>0</v>
      </c>
      <c r="CA204">
        <v>0</v>
      </c>
      <c r="CB204">
        <v>0</v>
      </c>
      <c r="CC204">
        <v>1</v>
      </c>
      <c r="CD204" s="18">
        <v>0</v>
      </c>
      <c r="CE204">
        <v>0</v>
      </c>
      <c r="CF204">
        <v>0</v>
      </c>
      <c r="CG204">
        <v>0</v>
      </c>
      <c r="CH204">
        <v>0</v>
      </c>
      <c r="CI204" s="18">
        <v>0</v>
      </c>
      <c r="CJ204">
        <v>0</v>
      </c>
      <c r="CK204">
        <v>0</v>
      </c>
      <c r="CL204">
        <v>1</v>
      </c>
      <c r="CM204">
        <v>1</v>
      </c>
      <c r="CN204">
        <v>0</v>
      </c>
      <c r="CO204">
        <v>0</v>
      </c>
      <c r="CP204">
        <v>1</v>
      </c>
      <c r="CQ204">
        <v>0</v>
      </c>
      <c r="CR204">
        <v>0</v>
      </c>
      <c r="CS204">
        <v>0</v>
      </c>
      <c r="CT204" s="18">
        <v>1</v>
      </c>
      <c r="CZ204" s="34" t="s">
        <v>87</v>
      </c>
    </row>
    <row r="205" spans="1:104" x14ac:dyDescent="0.25">
      <c r="A205">
        <v>204</v>
      </c>
      <c r="B205">
        <v>16</v>
      </c>
      <c r="C205" s="25" t="s">
        <v>179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69"/>
        <v>16.174003322259136</v>
      </c>
      <c r="H205" s="16">
        <f t="shared" si="170"/>
        <v>16.692663344407531</v>
      </c>
      <c r="I205" s="11">
        <f t="shared" si="167"/>
        <v>0.25380983573220656</v>
      </c>
      <c r="J205" s="33">
        <f t="shared" si="168"/>
        <v>4.0053047167042562E-3</v>
      </c>
      <c r="K205" s="33">
        <f t="shared" si="171"/>
        <v>249.66889431145322</v>
      </c>
      <c r="L205" s="33">
        <f t="shared" si="172"/>
        <v>0.24980453101550229</v>
      </c>
      <c r="M205" s="33">
        <f t="shared" si="173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59"/>
        <v>58319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9">
        <v>0</v>
      </c>
      <c r="AL205" s="30">
        <v>0</v>
      </c>
      <c r="AM205" s="21">
        <v>2005</v>
      </c>
      <c r="AN205" s="23"/>
      <c r="AO205" s="33">
        <v>0.32600000000000001</v>
      </c>
      <c r="AP205" s="33">
        <v>0.127</v>
      </c>
      <c r="AQ205" s="33">
        <v>0.36099999999999999</v>
      </c>
      <c r="AR205" s="43">
        <f t="shared" si="174"/>
        <v>0.18599999999999994</v>
      </c>
      <c r="AS205" s="33" t="s">
        <v>107</v>
      </c>
      <c r="AT205" s="43" t="s">
        <v>107</v>
      </c>
      <c r="AU205" s="42" t="s">
        <v>107</v>
      </c>
      <c r="AV205" s="18" t="s">
        <v>107</v>
      </c>
      <c r="AW205">
        <v>0.504</v>
      </c>
      <c r="AX205" s="40">
        <f t="shared" si="165"/>
        <v>0.496</v>
      </c>
      <c r="AY205" t="s">
        <v>107</v>
      </c>
      <c r="AZ205" s="40" t="s">
        <v>107</v>
      </c>
      <c r="BB205" s="18"/>
      <c r="BC205">
        <v>0.32100000000000001</v>
      </c>
      <c r="BD205" s="18">
        <f t="shared" si="166"/>
        <v>0.67900000000000005</v>
      </c>
      <c r="BE205" s="18" t="s">
        <v>12</v>
      </c>
      <c r="BF205" t="s">
        <v>107</v>
      </c>
      <c r="BG205" s="40" t="s">
        <v>107</v>
      </c>
      <c r="BI205" s="18"/>
      <c r="BJ205" s="18" t="s">
        <v>12</v>
      </c>
      <c r="BK205" t="s">
        <v>107</v>
      </c>
      <c r="BL205" s="40" t="s">
        <v>107</v>
      </c>
      <c r="BN205" s="18"/>
      <c r="BO205" s="18" t="s">
        <v>12</v>
      </c>
      <c r="BP205" t="s">
        <v>107</v>
      </c>
      <c r="BQ205" s="40" t="s">
        <v>107</v>
      </c>
      <c r="BR205" s="25">
        <v>33.494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1</v>
      </c>
      <c r="BY205">
        <v>0</v>
      </c>
      <c r="BZ205" s="18">
        <v>0</v>
      </c>
      <c r="CA205">
        <v>0</v>
      </c>
      <c r="CB205">
        <v>0</v>
      </c>
      <c r="CC205">
        <v>1</v>
      </c>
      <c r="CD205" s="18">
        <v>0</v>
      </c>
      <c r="CE205">
        <v>0</v>
      </c>
      <c r="CF205">
        <v>0</v>
      </c>
      <c r="CG205">
        <v>0</v>
      </c>
      <c r="CH205">
        <v>0</v>
      </c>
      <c r="CI205" s="18">
        <v>0</v>
      </c>
      <c r="CJ205">
        <v>0</v>
      </c>
      <c r="CK205">
        <v>0</v>
      </c>
      <c r="CL205">
        <v>1</v>
      </c>
      <c r="CM205">
        <v>1</v>
      </c>
      <c r="CN205">
        <v>0</v>
      </c>
      <c r="CO205">
        <v>0</v>
      </c>
      <c r="CP205">
        <v>1</v>
      </c>
      <c r="CQ205">
        <v>0</v>
      </c>
      <c r="CR205">
        <v>0</v>
      </c>
      <c r="CS205">
        <v>0</v>
      </c>
      <c r="CT205" s="18">
        <v>1</v>
      </c>
      <c r="CZ205" s="34" t="s">
        <v>87</v>
      </c>
    </row>
    <row r="206" spans="1:104" x14ac:dyDescent="0.25">
      <c r="A206">
        <v>205</v>
      </c>
      <c r="B206">
        <v>16</v>
      </c>
      <c r="C206" s="25" t="s">
        <v>179</v>
      </c>
      <c r="D206" s="12">
        <v>6.6000000000000005</v>
      </c>
      <c r="E206" s="14">
        <v>0.66666666666666674</v>
      </c>
      <c r="F206" s="7">
        <v>9.9</v>
      </c>
      <c r="G206" s="7">
        <f t="shared" si="169"/>
        <v>5.9333333333333336</v>
      </c>
      <c r="H206" s="16">
        <f t="shared" si="170"/>
        <v>7.2666666666666675</v>
      </c>
      <c r="I206" s="11">
        <f t="shared" si="167"/>
        <v>4.8512505975795248E-2</v>
      </c>
      <c r="J206" s="33">
        <f t="shared" si="168"/>
        <v>4.9002531288682072E-3</v>
      </c>
      <c r="K206" s="33">
        <f t="shared" si="171"/>
        <v>204.0710905542478</v>
      </c>
      <c r="L206" s="33">
        <f t="shared" si="172"/>
        <v>4.361225284692704E-2</v>
      </c>
      <c r="M206" s="33">
        <f t="shared" si="173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59"/>
        <v>41547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9">
        <v>0</v>
      </c>
      <c r="AL206" s="30">
        <v>0</v>
      </c>
      <c r="AM206" s="21">
        <v>2005</v>
      </c>
      <c r="AN206" s="23"/>
      <c r="AO206" s="33">
        <v>0.32600000000000001</v>
      </c>
      <c r="AP206" s="33">
        <v>0.127</v>
      </c>
      <c r="AQ206" s="33">
        <v>0.36099999999999999</v>
      </c>
      <c r="AR206" s="43">
        <f t="shared" si="174"/>
        <v>0.18599999999999994</v>
      </c>
      <c r="AS206" s="33" t="s">
        <v>107</v>
      </c>
      <c r="AT206" s="43" t="s">
        <v>107</v>
      </c>
      <c r="AU206" s="42" t="s">
        <v>107</v>
      </c>
      <c r="AV206" s="18" t="s">
        <v>107</v>
      </c>
      <c r="AW206">
        <v>0.504</v>
      </c>
      <c r="AX206" s="40">
        <f t="shared" si="165"/>
        <v>0.496</v>
      </c>
      <c r="AY206" t="s">
        <v>107</v>
      </c>
      <c r="AZ206" s="40" t="s">
        <v>107</v>
      </c>
      <c r="BB206" s="18"/>
      <c r="BC206">
        <v>0.32100000000000001</v>
      </c>
      <c r="BD206" s="18">
        <f t="shared" si="166"/>
        <v>0.67900000000000005</v>
      </c>
      <c r="BE206" s="18" t="s">
        <v>12</v>
      </c>
      <c r="BF206" t="s">
        <v>107</v>
      </c>
      <c r="BG206" s="40" t="s">
        <v>107</v>
      </c>
      <c r="BI206" s="18"/>
      <c r="BJ206" s="18" t="s">
        <v>12</v>
      </c>
      <c r="BK206" t="s">
        <v>107</v>
      </c>
      <c r="BL206" s="40" t="s">
        <v>107</v>
      </c>
      <c r="BN206" s="18"/>
      <c r="BO206" s="18" t="s">
        <v>12</v>
      </c>
      <c r="BP206" t="s">
        <v>107</v>
      </c>
      <c r="BQ206" s="40" t="s">
        <v>107</v>
      </c>
      <c r="BR206" s="25">
        <v>33.494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1</v>
      </c>
      <c r="BY206">
        <v>0</v>
      </c>
      <c r="BZ206" s="18">
        <v>0</v>
      </c>
      <c r="CA206">
        <v>0</v>
      </c>
      <c r="CB206">
        <v>0</v>
      </c>
      <c r="CC206">
        <v>1</v>
      </c>
      <c r="CD206" s="18">
        <v>0</v>
      </c>
      <c r="CE206">
        <v>0</v>
      </c>
      <c r="CF206">
        <v>0</v>
      </c>
      <c r="CG206">
        <v>0</v>
      </c>
      <c r="CH206">
        <v>0</v>
      </c>
      <c r="CI206" s="18">
        <v>0</v>
      </c>
      <c r="CJ206">
        <v>0</v>
      </c>
      <c r="CK206">
        <v>0</v>
      </c>
      <c r="CL206">
        <v>1</v>
      </c>
      <c r="CM206">
        <v>1</v>
      </c>
      <c r="CN206">
        <v>0</v>
      </c>
      <c r="CO206">
        <v>0</v>
      </c>
      <c r="CP206">
        <v>1</v>
      </c>
      <c r="CQ206">
        <v>0</v>
      </c>
      <c r="CR206">
        <v>0</v>
      </c>
      <c r="CS206">
        <v>0</v>
      </c>
      <c r="CT206" s="18">
        <v>1</v>
      </c>
      <c r="CZ206" s="34" t="s">
        <v>87</v>
      </c>
    </row>
    <row r="207" spans="1:104" x14ac:dyDescent="0.25">
      <c r="A207">
        <v>206</v>
      </c>
      <c r="B207">
        <v>16</v>
      </c>
      <c r="C207" s="25" t="s">
        <v>179</v>
      </c>
      <c r="D207" s="12">
        <v>6.2</v>
      </c>
      <c r="E207" s="14">
        <v>0.30677083333333333</v>
      </c>
      <c r="F207" s="7">
        <v>20.210526315789476</v>
      </c>
      <c r="G207" s="7">
        <f t="shared" si="169"/>
        <v>5.893229166666667</v>
      </c>
      <c r="H207" s="16">
        <f t="shared" si="170"/>
        <v>6.5067708333333334</v>
      </c>
      <c r="I207" s="11">
        <f t="shared" si="167"/>
        <v>9.8669596470575938E-2</v>
      </c>
      <c r="J207" s="33">
        <f t="shared" si="168"/>
        <v>4.8820894087003713E-3</v>
      </c>
      <c r="K207" s="33">
        <f t="shared" si="171"/>
        <v>204.83033313931122</v>
      </c>
      <c r="L207" s="33">
        <f t="shared" si="172"/>
        <v>9.3787507061875566E-2</v>
      </c>
      <c r="M207" s="33">
        <f t="shared" si="173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59"/>
        <v>41547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9">
        <v>0</v>
      </c>
      <c r="AL207" s="30">
        <v>0</v>
      </c>
      <c r="AM207" s="21">
        <v>2005</v>
      </c>
      <c r="AN207" s="23"/>
      <c r="AO207" s="33">
        <v>0.32600000000000001</v>
      </c>
      <c r="AP207" s="33">
        <v>0.127</v>
      </c>
      <c r="AQ207" s="33">
        <v>0.36099999999999999</v>
      </c>
      <c r="AR207" s="43">
        <f t="shared" si="174"/>
        <v>0.18599999999999994</v>
      </c>
      <c r="AS207" s="33" t="s">
        <v>107</v>
      </c>
      <c r="AT207" s="43" t="s">
        <v>107</v>
      </c>
      <c r="AU207" s="42" t="s">
        <v>107</v>
      </c>
      <c r="AV207" s="18" t="s">
        <v>107</v>
      </c>
      <c r="AW207">
        <v>0.504</v>
      </c>
      <c r="AX207" s="40">
        <f t="shared" si="165"/>
        <v>0.496</v>
      </c>
      <c r="AY207" t="s">
        <v>107</v>
      </c>
      <c r="AZ207" s="40" t="s">
        <v>107</v>
      </c>
      <c r="BB207" s="18"/>
      <c r="BC207">
        <v>0.32100000000000001</v>
      </c>
      <c r="BD207" s="18">
        <f t="shared" si="166"/>
        <v>0.67900000000000005</v>
      </c>
      <c r="BE207" s="18" t="s">
        <v>12</v>
      </c>
      <c r="BF207" t="s">
        <v>107</v>
      </c>
      <c r="BG207" s="40" t="s">
        <v>107</v>
      </c>
      <c r="BI207" s="18"/>
      <c r="BJ207" s="18" t="s">
        <v>12</v>
      </c>
      <c r="BK207" t="s">
        <v>107</v>
      </c>
      <c r="BL207" s="40" t="s">
        <v>107</v>
      </c>
      <c r="BN207" s="18"/>
      <c r="BO207" s="18" t="s">
        <v>12</v>
      </c>
      <c r="BP207" t="s">
        <v>107</v>
      </c>
      <c r="BQ207" s="40" t="s">
        <v>107</v>
      </c>
      <c r="BR207" s="25">
        <v>33.494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1</v>
      </c>
      <c r="BY207">
        <v>0</v>
      </c>
      <c r="BZ207" s="18">
        <v>0</v>
      </c>
      <c r="CA207">
        <v>0</v>
      </c>
      <c r="CB207">
        <v>0</v>
      </c>
      <c r="CC207">
        <v>1</v>
      </c>
      <c r="CD207" s="18">
        <v>0</v>
      </c>
      <c r="CE207">
        <v>0</v>
      </c>
      <c r="CF207">
        <v>0</v>
      </c>
      <c r="CG207">
        <v>0</v>
      </c>
      <c r="CH207">
        <v>0</v>
      </c>
      <c r="CI207" s="18">
        <v>0</v>
      </c>
      <c r="CJ207">
        <v>0</v>
      </c>
      <c r="CK207">
        <v>0</v>
      </c>
      <c r="CL207">
        <v>1</v>
      </c>
      <c r="CM207">
        <v>1</v>
      </c>
      <c r="CN207">
        <v>0</v>
      </c>
      <c r="CO207">
        <v>0</v>
      </c>
      <c r="CP207">
        <v>1</v>
      </c>
      <c r="CQ207">
        <v>0</v>
      </c>
      <c r="CR207">
        <v>0</v>
      </c>
      <c r="CS207">
        <v>0</v>
      </c>
      <c r="CT207" s="18">
        <v>1</v>
      </c>
      <c r="CZ207" s="34" t="s">
        <v>87</v>
      </c>
    </row>
    <row r="208" spans="1:104" x14ac:dyDescent="0.25">
      <c r="A208">
        <v>207</v>
      </c>
      <c r="B208">
        <v>16</v>
      </c>
      <c r="C208" s="25" t="s">
        <v>179</v>
      </c>
      <c r="D208" s="12">
        <v>12.75</v>
      </c>
      <c r="E208" s="14">
        <v>0.37910798122065725</v>
      </c>
      <c r="F208" s="7">
        <v>33.631578947368425</v>
      </c>
      <c r="G208" s="7">
        <f t="shared" si="169"/>
        <v>12.370892018779342</v>
      </c>
      <c r="H208" s="16">
        <f t="shared" si="170"/>
        <v>13.129107981220658</v>
      </c>
      <c r="I208" s="11">
        <f t="shared" si="167"/>
        <v>0.16279640298126369</v>
      </c>
      <c r="J208" s="33">
        <f t="shared" si="168"/>
        <v>4.8405816222910954E-3</v>
      </c>
      <c r="K208" s="33">
        <f t="shared" si="171"/>
        <v>206.5867447405401</v>
      </c>
      <c r="L208" s="33">
        <f t="shared" si="172"/>
        <v>0.1579558213589726</v>
      </c>
      <c r="M208" s="33">
        <f t="shared" si="173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59"/>
        <v>41547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9">
        <v>0</v>
      </c>
      <c r="AL208" s="30">
        <v>0</v>
      </c>
      <c r="AM208" s="21">
        <v>2005</v>
      </c>
      <c r="AN208" s="23"/>
      <c r="AO208" s="33">
        <v>0.32600000000000001</v>
      </c>
      <c r="AP208" s="33">
        <v>0.127</v>
      </c>
      <c r="AQ208" s="33">
        <v>0.36099999999999999</v>
      </c>
      <c r="AR208" s="43">
        <f t="shared" si="174"/>
        <v>0.18599999999999994</v>
      </c>
      <c r="AS208" s="33" t="s">
        <v>107</v>
      </c>
      <c r="AT208" s="43" t="s">
        <v>107</v>
      </c>
      <c r="AU208" s="42" t="s">
        <v>107</v>
      </c>
      <c r="AV208" s="18" t="s">
        <v>107</v>
      </c>
      <c r="AW208">
        <v>0.504</v>
      </c>
      <c r="AX208" s="40">
        <f t="shared" si="165"/>
        <v>0.496</v>
      </c>
      <c r="AY208" t="s">
        <v>107</v>
      </c>
      <c r="AZ208" s="40" t="s">
        <v>107</v>
      </c>
      <c r="BB208" s="18"/>
      <c r="BC208">
        <v>0.32100000000000001</v>
      </c>
      <c r="BD208" s="18">
        <f t="shared" si="166"/>
        <v>0.67900000000000005</v>
      </c>
      <c r="BE208" s="18" t="s">
        <v>12</v>
      </c>
      <c r="BF208" t="s">
        <v>107</v>
      </c>
      <c r="BG208" s="40" t="s">
        <v>107</v>
      </c>
      <c r="BI208" s="18"/>
      <c r="BJ208" s="18" t="s">
        <v>12</v>
      </c>
      <c r="BK208" t="s">
        <v>107</v>
      </c>
      <c r="BL208" s="40" t="s">
        <v>107</v>
      </c>
      <c r="BN208" s="18"/>
      <c r="BO208" s="18" t="s">
        <v>12</v>
      </c>
      <c r="BP208" t="s">
        <v>107</v>
      </c>
      <c r="BQ208" s="40" t="s">
        <v>107</v>
      </c>
      <c r="BR208" s="25">
        <v>33.494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1</v>
      </c>
      <c r="BY208">
        <v>0</v>
      </c>
      <c r="BZ208" s="18">
        <v>0</v>
      </c>
      <c r="CA208">
        <v>0</v>
      </c>
      <c r="CB208">
        <v>0</v>
      </c>
      <c r="CC208">
        <v>1</v>
      </c>
      <c r="CD208" s="18">
        <v>0</v>
      </c>
      <c r="CE208">
        <v>0</v>
      </c>
      <c r="CF208">
        <v>0</v>
      </c>
      <c r="CG208">
        <v>0</v>
      </c>
      <c r="CH208">
        <v>0</v>
      </c>
      <c r="CI208" s="18">
        <v>0</v>
      </c>
      <c r="CJ208">
        <v>0</v>
      </c>
      <c r="CK208">
        <v>0</v>
      </c>
      <c r="CL208">
        <v>1</v>
      </c>
      <c r="CM208">
        <v>1</v>
      </c>
      <c r="CN208">
        <v>0</v>
      </c>
      <c r="CO208">
        <v>0</v>
      </c>
      <c r="CP208">
        <v>1</v>
      </c>
      <c r="CQ208">
        <v>0</v>
      </c>
      <c r="CR208">
        <v>0</v>
      </c>
      <c r="CS208">
        <v>0</v>
      </c>
      <c r="CT208" s="18">
        <v>1</v>
      </c>
      <c r="CZ208" s="34" t="s">
        <v>87</v>
      </c>
    </row>
    <row r="209" spans="1:104" x14ac:dyDescent="0.25">
      <c r="A209">
        <v>208</v>
      </c>
      <c r="B209">
        <v>16</v>
      </c>
      <c r="C209" s="25" t="s">
        <v>179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69"/>
        <v>14.288465665236053</v>
      </c>
      <c r="H209" s="16">
        <f t="shared" si="170"/>
        <v>15.011534334763951</v>
      </c>
      <c r="I209" s="11">
        <f t="shared" si="167"/>
        <v>0.19498510876513081</v>
      </c>
      <c r="J209" s="33">
        <f t="shared" si="168"/>
        <v>4.8118642721008669E-3</v>
      </c>
      <c r="K209" s="33">
        <f t="shared" si="171"/>
        <v>207.81966062467481</v>
      </c>
      <c r="L209" s="33">
        <f t="shared" si="172"/>
        <v>0.19017324449302994</v>
      </c>
      <c r="M209" s="33">
        <f t="shared" si="173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59"/>
        <v>41547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9">
        <v>0</v>
      </c>
      <c r="AL209" s="30">
        <v>0</v>
      </c>
      <c r="AM209" s="21">
        <v>2005</v>
      </c>
      <c r="AN209" s="23"/>
      <c r="AO209" s="33">
        <v>0.32600000000000001</v>
      </c>
      <c r="AP209" s="33">
        <v>0.127</v>
      </c>
      <c r="AQ209" s="33">
        <v>0.36099999999999999</v>
      </c>
      <c r="AR209" s="43">
        <f t="shared" si="174"/>
        <v>0.18599999999999994</v>
      </c>
      <c r="AS209" s="33" t="s">
        <v>107</v>
      </c>
      <c r="AT209" s="43" t="s">
        <v>107</v>
      </c>
      <c r="AU209" s="42" t="s">
        <v>107</v>
      </c>
      <c r="AV209" s="18" t="s">
        <v>107</v>
      </c>
      <c r="AW209">
        <v>0.504</v>
      </c>
      <c r="AX209" s="40">
        <f t="shared" si="165"/>
        <v>0.496</v>
      </c>
      <c r="AY209" t="s">
        <v>107</v>
      </c>
      <c r="AZ209" s="40" t="s">
        <v>107</v>
      </c>
      <c r="BB209" s="18"/>
      <c r="BC209">
        <v>0.32100000000000001</v>
      </c>
      <c r="BD209" s="18">
        <f t="shared" si="166"/>
        <v>0.67900000000000005</v>
      </c>
      <c r="BE209" s="18" t="s">
        <v>12</v>
      </c>
      <c r="BF209" t="s">
        <v>107</v>
      </c>
      <c r="BG209" s="40" t="s">
        <v>107</v>
      </c>
      <c r="BI209" s="18"/>
      <c r="BJ209" s="18" t="s">
        <v>12</v>
      </c>
      <c r="BK209" t="s">
        <v>107</v>
      </c>
      <c r="BL209" s="40" t="s">
        <v>107</v>
      </c>
      <c r="BN209" s="18"/>
      <c r="BO209" s="18" t="s">
        <v>12</v>
      </c>
      <c r="BP209" t="s">
        <v>107</v>
      </c>
      <c r="BQ209" s="40" t="s">
        <v>107</v>
      </c>
      <c r="BR209" s="25">
        <v>33.494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1</v>
      </c>
      <c r="BY209">
        <v>0</v>
      </c>
      <c r="BZ209" s="18">
        <v>0</v>
      </c>
      <c r="CA209">
        <v>0</v>
      </c>
      <c r="CB209">
        <v>0</v>
      </c>
      <c r="CC209">
        <v>1</v>
      </c>
      <c r="CD209" s="18">
        <v>0</v>
      </c>
      <c r="CE209">
        <v>0</v>
      </c>
      <c r="CF209">
        <v>0</v>
      </c>
      <c r="CG209">
        <v>0</v>
      </c>
      <c r="CH209">
        <v>0</v>
      </c>
      <c r="CI209" s="18">
        <v>0</v>
      </c>
      <c r="CJ209">
        <v>0</v>
      </c>
      <c r="CK209">
        <v>0</v>
      </c>
      <c r="CL209">
        <v>1</v>
      </c>
      <c r="CM209">
        <v>1</v>
      </c>
      <c r="CN209">
        <v>0</v>
      </c>
      <c r="CO209">
        <v>0</v>
      </c>
      <c r="CP209">
        <v>1</v>
      </c>
      <c r="CQ209">
        <v>0</v>
      </c>
      <c r="CR209">
        <v>0</v>
      </c>
      <c r="CS209">
        <v>0</v>
      </c>
      <c r="CT209" s="18">
        <v>1</v>
      </c>
      <c r="CZ209" s="34" t="s">
        <v>87</v>
      </c>
    </row>
    <row r="210" spans="1:104" s="52" customFormat="1" x14ac:dyDescent="0.25">
      <c r="A210" s="52">
        <v>209</v>
      </c>
      <c r="B210" s="52">
        <v>16</v>
      </c>
      <c r="C210" s="53" t="s">
        <v>179</v>
      </c>
      <c r="D210" s="54">
        <v>15.133333333333329</v>
      </c>
      <c r="E210" s="55">
        <v>0.24021164021164015</v>
      </c>
      <c r="F210" s="56">
        <v>63</v>
      </c>
      <c r="G210" s="56">
        <f t="shared" si="169"/>
        <v>14.893121693121689</v>
      </c>
      <c r="H210" s="57">
        <f t="shared" si="170"/>
        <v>15.37354497354497</v>
      </c>
      <c r="I210" s="58">
        <f t="shared" si="167"/>
        <v>0.29529663976656012</v>
      </c>
      <c r="J210" s="59">
        <f t="shared" si="168"/>
        <v>4.6872482502628588E-3</v>
      </c>
      <c r="K210" s="59">
        <f t="shared" si="171"/>
        <v>213.34479135896427</v>
      </c>
      <c r="L210" s="59">
        <f t="shared" si="172"/>
        <v>0.29060939151629728</v>
      </c>
      <c r="M210" s="59">
        <f t="shared" si="173"/>
        <v>0.29998388801682296</v>
      </c>
      <c r="N210" s="60">
        <v>1</v>
      </c>
      <c r="O210" s="61">
        <v>0</v>
      </c>
      <c r="P210" s="60">
        <v>0</v>
      </c>
      <c r="Q210" s="61">
        <v>1</v>
      </c>
      <c r="R210" s="61">
        <v>0</v>
      </c>
      <c r="S210" s="61">
        <v>0</v>
      </c>
      <c r="T210" s="61">
        <v>0</v>
      </c>
      <c r="U210" s="60">
        <v>41564</v>
      </c>
      <c r="V210" s="61">
        <v>16</v>
      </c>
      <c r="W210" s="61">
        <f t="shared" si="159"/>
        <v>41547</v>
      </c>
      <c r="X210" s="61"/>
      <c r="Y210" s="56">
        <v>13</v>
      </c>
      <c r="Z210" s="56">
        <v>22.343</v>
      </c>
      <c r="AA210" s="61">
        <v>0</v>
      </c>
      <c r="AB210" s="61">
        <v>1</v>
      </c>
      <c r="AC210" s="61">
        <v>0</v>
      </c>
      <c r="AD210" s="61">
        <v>1</v>
      </c>
      <c r="AE210" s="61">
        <v>0</v>
      </c>
      <c r="AF210" s="61">
        <v>0</v>
      </c>
      <c r="AG210" s="60">
        <v>0</v>
      </c>
      <c r="AH210" s="61">
        <v>1</v>
      </c>
      <c r="AI210" s="62">
        <v>0</v>
      </c>
      <c r="AJ210" s="61">
        <v>1</v>
      </c>
      <c r="AK210" s="61">
        <v>0</v>
      </c>
      <c r="AL210" s="62">
        <v>0</v>
      </c>
      <c r="AM210" s="63">
        <v>2005</v>
      </c>
      <c r="AN210" s="64"/>
      <c r="AO210" s="59">
        <v>0.32600000000000001</v>
      </c>
      <c r="AP210" s="59">
        <v>0.127</v>
      </c>
      <c r="AQ210" s="59">
        <v>0.36099999999999999</v>
      </c>
      <c r="AR210" s="65">
        <f t="shared" si="174"/>
        <v>0.18599999999999994</v>
      </c>
      <c r="AS210" s="59" t="s">
        <v>107</v>
      </c>
      <c r="AT210" s="65" t="s">
        <v>107</v>
      </c>
      <c r="AU210" s="66" t="s">
        <v>107</v>
      </c>
      <c r="AV210" s="67" t="s">
        <v>107</v>
      </c>
      <c r="AW210" s="52">
        <v>0.504</v>
      </c>
      <c r="AX210" s="68">
        <f t="shared" si="165"/>
        <v>0.496</v>
      </c>
      <c r="AY210" s="52" t="s">
        <v>107</v>
      </c>
      <c r="AZ210" s="68" t="s">
        <v>107</v>
      </c>
      <c r="BB210" s="67"/>
      <c r="BC210" s="52">
        <v>0.32100000000000001</v>
      </c>
      <c r="BD210" s="67">
        <f t="shared" si="166"/>
        <v>0.67900000000000005</v>
      </c>
      <c r="BE210" s="67" t="s">
        <v>12</v>
      </c>
      <c r="BL210" s="67"/>
      <c r="BO210" s="67"/>
      <c r="BR210" s="53">
        <v>33.494</v>
      </c>
      <c r="BS210" s="52">
        <v>0</v>
      </c>
      <c r="BT210" s="52">
        <v>0</v>
      </c>
      <c r="BU210" s="52">
        <v>0</v>
      </c>
      <c r="BV210" s="52">
        <v>0</v>
      </c>
      <c r="BW210" s="52">
        <v>0</v>
      </c>
      <c r="BX210" s="52">
        <v>1</v>
      </c>
      <c r="BY210" s="52">
        <v>0</v>
      </c>
      <c r="BZ210" s="67">
        <v>0</v>
      </c>
      <c r="CA210" s="52">
        <v>0</v>
      </c>
      <c r="CB210" s="52">
        <v>0</v>
      </c>
      <c r="CC210" s="52">
        <v>1</v>
      </c>
      <c r="CD210" s="67">
        <v>0</v>
      </c>
      <c r="CE210" s="52">
        <v>0</v>
      </c>
      <c r="CF210" s="52">
        <v>0</v>
      </c>
      <c r="CG210" s="52">
        <v>0</v>
      </c>
      <c r="CH210" s="52">
        <v>0</v>
      </c>
      <c r="CI210" s="67">
        <v>0</v>
      </c>
      <c r="CJ210" s="52">
        <v>0</v>
      </c>
      <c r="CK210" s="52">
        <v>0</v>
      </c>
      <c r="CL210" s="52">
        <v>1</v>
      </c>
      <c r="CM210" s="52">
        <v>1</v>
      </c>
      <c r="CN210" s="52">
        <v>0</v>
      </c>
      <c r="CO210" s="52">
        <v>0</v>
      </c>
      <c r="CP210" s="52">
        <v>1</v>
      </c>
      <c r="CQ210" s="52">
        <v>0</v>
      </c>
      <c r="CR210" s="52">
        <v>0</v>
      </c>
      <c r="CS210" s="52">
        <v>0</v>
      </c>
      <c r="CT210" s="67">
        <v>1</v>
      </c>
      <c r="CY210" s="53"/>
      <c r="CZ210" s="69" t="s">
        <v>87</v>
      </c>
    </row>
    <row r="211" spans="1:104" x14ac:dyDescent="0.25">
      <c r="A211">
        <v>210</v>
      </c>
      <c r="B211">
        <v>17</v>
      </c>
      <c r="C211" s="25" t="s">
        <v>205</v>
      </c>
      <c r="D211" s="12">
        <v>3.55</v>
      </c>
      <c r="E211" s="14">
        <v>0.86165048543689315</v>
      </c>
      <c r="F211" s="7">
        <v>4.12</v>
      </c>
      <c r="G211" s="7">
        <f t="shared" ref="G211" si="175">D211-E211</f>
        <v>2.6883495145631064</v>
      </c>
      <c r="H211" s="16">
        <f t="shared" ref="H211" si="176">D211+E211</f>
        <v>4.4116504854368932</v>
      </c>
      <c r="I211" s="11">
        <f t="shared" si="167"/>
        <v>7.3536563247082132E-2</v>
      </c>
      <c r="J211" s="33">
        <f t="shared" si="168"/>
        <v>1.7848680399777217E-2</v>
      </c>
      <c r="K211" s="33">
        <f t="shared" si="171"/>
        <v>56.026550848682447</v>
      </c>
      <c r="L211" s="33">
        <f t="shared" si="172"/>
        <v>5.5687882847304915E-2</v>
      </c>
      <c r="M211" s="33">
        <f t="shared" si="173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59"/>
        <v>3122</v>
      </c>
      <c r="Y211" s="7">
        <v>9.8249999999999993</v>
      </c>
      <c r="Z211" s="7">
        <f t="shared" ref="Z211:Z258" si="177">BR211-Y211-6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9">
        <v>0</v>
      </c>
      <c r="AL211" s="30">
        <v>1</v>
      </c>
      <c r="AM211" s="21">
        <v>1992</v>
      </c>
      <c r="AN211" s="23"/>
      <c r="AO211" s="33">
        <f>(1-AP211-AQ211)/2</f>
        <v>0.26250000000000001</v>
      </c>
      <c r="AP211" s="33">
        <v>0.25</v>
      </c>
      <c r="AQ211" s="33">
        <v>0.22500000000000001</v>
      </c>
      <c r="AR211" s="43">
        <f>(1-AP211-AQ211)/2</f>
        <v>0.26250000000000001</v>
      </c>
      <c r="AS211" s="33" t="s">
        <v>107</v>
      </c>
      <c r="AT211" s="43" t="s">
        <v>107</v>
      </c>
      <c r="AU211" s="42">
        <v>0.67</v>
      </c>
      <c r="AV211" s="18">
        <v>0.33</v>
      </c>
      <c r="AW211">
        <v>0</v>
      </c>
      <c r="AX211" s="40">
        <f t="shared" si="165"/>
        <v>1</v>
      </c>
      <c r="AY211">
        <v>0.38</v>
      </c>
      <c r="AZ211" s="40">
        <v>0.62</v>
      </c>
      <c r="BB211" s="18"/>
      <c r="BC211">
        <f>1-BD211</f>
        <v>0.44099999999999995</v>
      </c>
      <c r="BD211" s="18">
        <v>0.55900000000000005</v>
      </c>
      <c r="BE211" s="18" t="s">
        <v>10</v>
      </c>
      <c r="BL211" s="18"/>
      <c r="BO211" s="18"/>
      <c r="BR211" s="25">
        <v>40</v>
      </c>
      <c r="BS211">
        <v>1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 s="18">
        <v>0</v>
      </c>
      <c r="CA211">
        <v>0</v>
      </c>
      <c r="CB211">
        <v>0</v>
      </c>
      <c r="CC211">
        <v>1</v>
      </c>
      <c r="CD211" s="18">
        <v>0</v>
      </c>
      <c r="CE211">
        <v>0</v>
      </c>
      <c r="CF211">
        <v>0</v>
      </c>
      <c r="CG211">
        <v>0</v>
      </c>
      <c r="CH211">
        <v>0</v>
      </c>
      <c r="CI211" s="18">
        <v>0</v>
      </c>
      <c r="CJ211">
        <v>0</v>
      </c>
      <c r="CK211">
        <v>0</v>
      </c>
      <c r="CL211">
        <v>1</v>
      </c>
      <c r="CM211">
        <v>1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1</v>
      </c>
      <c r="CT211" s="18">
        <v>0</v>
      </c>
      <c r="CZ211" s="34" t="s">
        <v>87</v>
      </c>
    </row>
    <row r="212" spans="1:104" x14ac:dyDescent="0.25">
      <c r="A212">
        <v>211</v>
      </c>
      <c r="B212">
        <v>17</v>
      </c>
      <c r="C212" s="25" t="s">
        <v>205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78">D212-E212</f>
        <v>3.2294294294294295</v>
      </c>
      <c r="H212" s="16">
        <f t="shared" ref="H212:H226" si="179">D212+E212</f>
        <v>4.3705705705705702</v>
      </c>
      <c r="I212" s="11">
        <f t="shared" si="167"/>
        <v>0.11835711912237924</v>
      </c>
      <c r="J212" s="33">
        <f t="shared" si="168"/>
        <v>1.7771339207564449E-2</v>
      </c>
      <c r="K212" s="33">
        <f t="shared" ref="K212:K228" si="180">IFERROR(1/J212, "X")</f>
        <v>56.270379419371253</v>
      </c>
      <c r="L212" s="33">
        <f t="shared" ref="L212:L228" si="181">IFERROR(I212-J212, "X")</f>
        <v>0.10058577991481479</v>
      </c>
      <c r="M212" s="33">
        <f t="shared" ref="M212:M228" si="182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59"/>
        <v>3122</v>
      </c>
      <c r="Y212" s="7">
        <v>9.8249999999999993</v>
      </c>
      <c r="Z212" s="7">
        <f t="shared" si="177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9">
        <v>0</v>
      </c>
      <c r="AL212" s="30">
        <v>1</v>
      </c>
      <c r="AM212" s="21">
        <v>1992</v>
      </c>
      <c r="AN212" s="23"/>
      <c r="AO212" s="33">
        <f t="shared" ref="AO212:AO225" si="183">(1-AP212-AQ212)/2</f>
        <v>0.26250000000000001</v>
      </c>
      <c r="AP212" s="33">
        <v>0.25</v>
      </c>
      <c r="AQ212" s="33">
        <v>0.22500000000000001</v>
      </c>
      <c r="AR212" s="43">
        <f t="shared" ref="AR212:AR226" si="184">(1-AP212-AQ212)/2</f>
        <v>0.26250000000000001</v>
      </c>
      <c r="AS212" s="33" t="s">
        <v>107</v>
      </c>
      <c r="AT212" s="43" t="s">
        <v>107</v>
      </c>
      <c r="AU212" s="42">
        <v>0.67</v>
      </c>
      <c r="AV212" s="18">
        <v>0.33</v>
      </c>
      <c r="AW212">
        <v>0</v>
      </c>
      <c r="AX212" s="40">
        <f t="shared" si="165"/>
        <v>1</v>
      </c>
      <c r="AY212">
        <v>0.38</v>
      </c>
      <c r="AZ212" s="40">
        <v>0.62</v>
      </c>
      <c r="BB212" s="18"/>
      <c r="BC212">
        <f t="shared" ref="BC212:BC258" si="185">1-BD212</f>
        <v>0.44099999999999995</v>
      </c>
      <c r="BD212" s="18">
        <v>0.55900000000000005</v>
      </c>
      <c r="BE212" s="18" t="s">
        <v>10</v>
      </c>
      <c r="BL212" s="18"/>
      <c r="BO212" s="18"/>
      <c r="BR212" s="25">
        <v>40</v>
      </c>
      <c r="BS212">
        <v>1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 s="18">
        <v>0</v>
      </c>
      <c r="CA212">
        <v>0</v>
      </c>
      <c r="CB212">
        <v>0</v>
      </c>
      <c r="CC212">
        <v>1</v>
      </c>
      <c r="CD212" s="18">
        <v>0</v>
      </c>
      <c r="CE212">
        <v>0</v>
      </c>
      <c r="CF212">
        <v>0</v>
      </c>
      <c r="CG212">
        <v>0</v>
      </c>
      <c r="CH212">
        <v>0</v>
      </c>
      <c r="CI212" s="18">
        <v>0</v>
      </c>
      <c r="CJ212">
        <v>0</v>
      </c>
      <c r="CK212">
        <v>0</v>
      </c>
      <c r="CL212">
        <v>1</v>
      </c>
      <c r="CM212">
        <v>1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1</v>
      </c>
      <c r="CT212" s="18">
        <v>0</v>
      </c>
      <c r="CZ212" s="34" t="s">
        <v>87</v>
      </c>
    </row>
    <row r="213" spans="1:104" x14ac:dyDescent="0.25">
      <c r="A213">
        <v>212</v>
      </c>
      <c r="B213">
        <v>17</v>
      </c>
      <c r="C213" s="25" t="s">
        <v>205</v>
      </c>
      <c r="D213" s="12">
        <v>7.28</v>
      </c>
      <c r="E213" s="14">
        <v>1.2072968490878939</v>
      </c>
      <c r="F213" s="7">
        <v>6.03</v>
      </c>
      <c r="G213" s="7">
        <f t="shared" si="178"/>
        <v>6.0727031509121066</v>
      </c>
      <c r="H213" s="16">
        <f t="shared" si="179"/>
        <v>8.4872968490878939</v>
      </c>
      <c r="I213" s="11">
        <f t="shared" si="167"/>
        <v>0.10729671724387244</v>
      </c>
      <c r="J213" s="33">
        <f t="shared" si="168"/>
        <v>1.7793817121703553E-2</v>
      </c>
      <c r="K213" s="33">
        <f t="shared" si="180"/>
        <v>56.199296258939043</v>
      </c>
      <c r="L213" s="33">
        <f t="shared" si="181"/>
        <v>8.9502900122168882E-2</v>
      </c>
      <c r="M213" s="33">
        <f t="shared" si="182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59"/>
        <v>3122</v>
      </c>
      <c r="Y213" s="7">
        <v>9.8249999999999993</v>
      </c>
      <c r="Z213" s="7">
        <f t="shared" si="177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9">
        <v>0</v>
      </c>
      <c r="AL213" s="30">
        <v>1</v>
      </c>
      <c r="AM213" s="21">
        <v>1992</v>
      </c>
      <c r="AN213" s="23"/>
      <c r="AO213" s="33">
        <f t="shared" si="183"/>
        <v>0.26250000000000001</v>
      </c>
      <c r="AP213" s="33">
        <v>0.25</v>
      </c>
      <c r="AQ213" s="33">
        <v>0.22500000000000001</v>
      </c>
      <c r="AR213" s="43">
        <f t="shared" si="184"/>
        <v>0.26250000000000001</v>
      </c>
      <c r="AS213" s="33" t="s">
        <v>107</v>
      </c>
      <c r="AT213" s="43" t="s">
        <v>107</v>
      </c>
      <c r="AU213" s="42">
        <v>0.67</v>
      </c>
      <c r="AV213" s="18">
        <v>0.33</v>
      </c>
      <c r="AW213">
        <v>0</v>
      </c>
      <c r="AX213" s="40">
        <f t="shared" si="165"/>
        <v>1</v>
      </c>
      <c r="AY213">
        <v>0.38</v>
      </c>
      <c r="AZ213" s="40">
        <v>0.62</v>
      </c>
      <c r="BB213" s="18"/>
      <c r="BC213">
        <f t="shared" si="185"/>
        <v>0.44099999999999995</v>
      </c>
      <c r="BD213" s="18">
        <v>0.55900000000000005</v>
      </c>
      <c r="BE213" s="18" t="s">
        <v>10</v>
      </c>
      <c r="BL213" s="18"/>
      <c r="BO213" s="18"/>
      <c r="BR213" s="25">
        <v>40</v>
      </c>
      <c r="BS213">
        <v>1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 s="18">
        <v>0</v>
      </c>
      <c r="CA213">
        <v>0</v>
      </c>
      <c r="CB213">
        <v>0</v>
      </c>
      <c r="CC213">
        <v>1</v>
      </c>
      <c r="CD213" s="18">
        <v>0</v>
      </c>
      <c r="CE213">
        <v>0</v>
      </c>
      <c r="CF213">
        <v>0</v>
      </c>
      <c r="CG213">
        <v>0</v>
      </c>
      <c r="CH213">
        <v>0</v>
      </c>
      <c r="CI213" s="18">
        <v>0</v>
      </c>
      <c r="CJ213">
        <v>0</v>
      </c>
      <c r="CK213">
        <v>0</v>
      </c>
      <c r="CL213">
        <v>1</v>
      </c>
      <c r="CM213">
        <v>1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1</v>
      </c>
      <c r="CT213" s="18">
        <v>0</v>
      </c>
      <c r="CZ213" s="34" t="s">
        <v>87</v>
      </c>
    </row>
    <row r="214" spans="1:104" x14ac:dyDescent="0.25">
      <c r="A214">
        <v>213</v>
      </c>
      <c r="B214">
        <v>17</v>
      </c>
      <c r="C214" s="25" t="s">
        <v>205</v>
      </c>
      <c r="D214" s="12">
        <v>11.4</v>
      </c>
      <c r="E214" s="14">
        <v>3.3727810650887577</v>
      </c>
      <c r="F214" s="7">
        <v>3.38</v>
      </c>
      <c r="G214" s="7">
        <f t="shared" si="178"/>
        <v>8.0272189349112431</v>
      </c>
      <c r="H214" s="16">
        <f t="shared" si="179"/>
        <v>14.772781065088758</v>
      </c>
      <c r="I214" s="11">
        <f t="shared" si="167"/>
        <v>6.0381943826493679E-2</v>
      </c>
      <c r="J214" s="33">
        <f t="shared" si="168"/>
        <v>1.7864480422039548E-2</v>
      </c>
      <c r="K214" s="33">
        <f t="shared" si="180"/>
        <v>55.976998847741029</v>
      </c>
      <c r="L214" s="33">
        <f t="shared" si="181"/>
        <v>4.2517463404454128E-2</v>
      </c>
      <c r="M214" s="33">
        <f t="shared" si="182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59"/>
        <v>3122</v>
      </c>
      <c r="Y214" s="7">
        <v>9.8249999999999993</v>
      </c>
      <c r="Z214" s="7">
        <f t="shared" si="177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9">
        <v>0</v>
      </c>
      <c r="AL214" s="30">
        <v>1</v>
      </c>
      <c r="AM214" s="21">
        <v>1992</v>
      </c>
      <c r="AN214" s="23"/>
      <c r="AO214" s="33">
        <f t="shared" si="183"/>
        <v>0.26250000000000001</v>
      </c>
      <c r="AP214" s="33">
        <v>0.25</v>
      </c>
      <c r="AQ214" s="33">
        <v>0.22500000000000001</v>
      </c>
      <c r="AR214" s="43">
        <f t="shared" si="184"/>
        <v>0.26250000000000001</v>
      </c>
      <c r="AS214" s="33" t="s">
        <v>107</v>
      </c>
      <c r="AT214" s="43" t="s">
        <v>107</v>
      </c>
      <c r="AU214" s="42">
        <v>0.67</v>
      </c>
      <c r="AV214" s="18">
        <v>0.33</v>
      </c>
      <c r="AW214">
        <v>0</v>
      </c>
      <c r="AX214" s="40">
        <f t="shared" si="165"/>
        <v>1</v>
      </c>
      <c r="AY214">
        <v>0.38</v>
      </c>
      <c r="AZ214" s="40">
        <v>0.62</v>
      </c>
      <c r="BB214" s="18"/>
      <c r="BC214">
        <f t="shared" si="185"/>
        <v>0.44099999999999995</v>
      </c>
      <c r="BD214" s="18">
        <v>0.55900000000000005</v>
      </c>
      <c r="BE214" s="18" t="s">
        <v>10</v>
      </c>
      <c r="BL214" s="18"/>
      <c r="BO214" s="18"/>
      <c r="BR214" s="25">
        <v>40</v>
      </c>
      <c r="BS214">
        <v>1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 s="18">
        <v>0</v>
      </c>
      <c r="CA214">
        <v>0</v>
      </c>
      <c r="CB214">
        <v>0</v>
      </c>
      <c r="CC214">
        <v>1</v>
      </c>
      <c r="CD214" s="18">
        <v>0</v>
      </c>
      <c r="CE214">
        <v>0</v>
      </c>
      <c r="CF214">
        <v>0</v>
      </c>
      <c r="CG214">
        <v>0</v>
      </c>
      <c r="CH214">
        <v>0</v>
      </c>
      <c r="CI214" s="18">
        <v>0</v>
      </c>
      <c r="CJ214">
        <v>0</v>
      </c>
      <c r="CK214">
        <v>0</v>
      </c>
      <c r="CL214">
        <v>1</v>
      </c>
      <c r="CM214">
        <v>1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1</v>
      </c>
      <c r="CT214" s="18">
        <v>0</v>
      </c>
      <c r="CZ214" s="34" t="s">
        <v>87</v>
      </c>
    </row>
    <row r="215" spans="1:104" x14ac:dyDescent="0.25">
      <c r="A215">
        <v>214</v>
      </c>
      <c r="B215">
        <v>17</v>
      </c>
      <c r="C215" s="25" t="s">
        <v>205</v>
      </c>
      <c r="D215" s="12">
        <v>0.4</v>
      </c>
      <c r="E215" s="14">
        <v>0.83333333333333337</v>
      </c>
      <c r="F215" s="7">
        <v>0.48</v>
      </c>
      <c r="G215" s="7">
        <f t="shared" si="178"/>
        <v>-0.43333333333333335</v>
      </c>
      <c r="H215" s="16">
        <f t="shared" si="179"/>
        <v>1.2333333333333334</v>
      </c>
      <c r="I215" s="11">
        <f t="shared" si="167"/>
        <v>8.3440660789958192E-3</v>
      </c>
      <c r="J215" s="33">
        <f t="shared" si="168"/>
        <v>1.7383470997907959E-2</v>
      </c>
      <c r="K215" s="33">
        <f t="shared" si="180"/>
        <v>57.525910683795345</v>
      </c>
      <c r="L215" s="33">
        <f t="shared" si="181"/>
        <v>-9.03940491891214E-3</v>
      </c>
      <c r="M215" s="33">
        <f t="shared" si="182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59"/>
        <v>3309</v>
      </c>
      <c r="Y215" s="7">
        <v>10.520000000000001</v>
      </c>
      <c r="Z215" s="7">
        <f t="shared" si="177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9">
        <v>0</v>
      </c>
      <c r="AL215" s="30">
        <v>1</v>
      </c>
      <c r="AM215" s="21">
        <v>1992</v>
      </c>
      <c r="AN215" s="23"/>
      <c r="AO215" s="33">
        <f t="shared" si="183"/>
        <v>0.17</v>
      </c>
      <c r="AP215" s="33">
        <v>0.2</v>
      </c>
      <c r="AQ215" s="33">
        <v>0.46</v>
      </c>
      <c r="AR215" s="43">
        <f t="shared" si="184"/>
        <v>0.17</v>
      </c>
      <c r="AS215" s="33" t="s">
        <v>107</v>
      </c>
      <c r="AT215" s="43" t="s">
        <v>107</v>
      </c>
      <c r="AU215" s="42">
        <v>0.67</v>
      </c>
      <c r="AV215" s="18">
        <v>0.33</v>
      </c>
      <c r="AW215">
        <v>1</v>
      </c>
      <c r="AX215" s="40">
        <f t="shared" si="165"/>
        <v>0</v>
      </c>
      <c r="AY215">
        <v>0.31</v>
      </c>
      <c r="AZ215" s="40">
        <v>0.69</v>
      </c>
      <c r="BB215" s="18"/>
      <c r="BC215">
        <f t="shared" si="185"/>
        <v>0.56800000000000006</v>
      </c>
      <c r="BD215" s="18">
        <v>0.432</v>
      </c>
      <c r="BE215" s="18" t="s">
        <v>10</v>
      </c>
      <c r="BL215" s="18"/>
      <c r="BO215" s="18"/>
      <c r="BR215" s="25">
        <v>40</v>
      </c>
      <c r="BS215">
        <v>1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 s="18">
        <v>0</v>
      </c>
      <c r="CA215">
        <v>0</v>
      </c>
      <c r="CB215">
        <v>0</v>
      </c>
      <c r="CC215">
        <v>1</v>
      </c>
      <c r="CD215" s="18">
        <v>0</v>
      </c>
      <c r="CE215">
        <v>0</v>
      </c>
      <c r="CF215">
        <v>0</v>
      </c>
      <c r="CG215">
        <v>0</v>
      </c>
      <c r="CH215">
        <v>0</v>
      </c>
      <c r="CI215" s="18">
        <v>0</v>
      </c>
      <c r="CJ215">
        <v>0</v>
      </c>
      <c r="CK215">
        <v>0</v>
      </c>
      <c r="CL215">
        <v>1</v>
      </c>
      <c r="CM215">
        <v>1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1</v>
      </c>
      <c r="CT215" s="18">
        <v>0</v>
      </c>
      <c r="CZ215" s="34" t="s">
        <v>87</v>
      </c>
    </row>
    <row r="216" spans="1:104" x14ac:dyDescent="0.25">
      <c r="A216">
        <v>215</v>
      </c>
      <c r="B216">
        <v>17</v>
      </c>
      <c r="C216" s="25" t="s">
        <v>205</v>
      </c>
      <c r="D216" s="12">
        <v>4.2250000000000005</v>
      </c>
      <c r="E216" s="14">
        <v>1.0536159600997508</v>
      </c>
      <c r="F216" s="7">
        <v>4.01</v>
      </c>
      <c r="G216" s="7">
        <f t="shared" si="178"/>
        <v>3.17138403990025</v>
      </c>
      <c r="H216" s="16">
        <f t="shared" si="179"/>
        <v>5.2786159600997511</v>
      </c>
      <c r="I216" s="11">
        <f t="shared" si="167"/>
        <v>6.9541381927090723E-2</v>
      </c>
      <c r="J216" s="33">
        <f t="shared" si="168"/>
        <v>1.7341990505508911E-2</v>
      </c>
      <c r="K216" s="33">
        <f t="shared" si="180"/>
        <v>57.663507524256623</v>
      </c>
      <c r="L216" s="33">
        <f t="shared" si="181"/>
        <v>5.2199391421581809E-2</v>
      </c>
      <c r="M216" s="33">
        <f t="shared" si="182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59"/>
        <v>3309</v>
      </c>
      <c r="Y216" s="7">
        <v>10.520000000000001</v>
      </c>
      <c r="Z216" s="7">
        <f t="shared" si="177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9">
        <v>0</v>
      </c>
      <c r="AL216" s="30">
        <v>1</v>
      </c>
      <c r="AM216" s="21">
        <v>1992</v>
      </c>
      <c r="AN216" s="23"/>
      <c r="AO216" s="33">
        <f t="shared" si="183"/>
        <v>0.17</v>
      </c>
      <c r="AP216" s="33">
        <v>0.2</v>
      </c>
      <c r="AQ216" s="33">
        <v>0.46</v>
      </c>
      <c r="AR216" s="43">
        <f t="shared" si="184"/>
        <v>0.17</v>
      </c>
      <c r="AS216" s="33" t="s">
        <v>107</v>
      </c>
      <c r="AT216" s="43" t="s">
        <v>107</v>
      </c>
      <c r="AU216" s="42">
        <v>0.67</v>
      </c>
      <c r="AV216" s="18">
        <v>0.33</v>
      </c>
      <c r="AW216">
        <v>1</v>
      </c>
      <c r="AX216" s="40">
        <f t="shared" si="165"/>
        <v>0</v>
      </c>
      <c r="AY216">
        <v>0.31</v>
      </c>
      <c r="AZ216" s="40">
        <v>0.69</v>
      </c>
      <c r="BB216" s="18"/>
      <c r="BC216">
        <f t="shared" si="185"/>
        <v>0.56800000000000006</v>
      </c>
      <c r="BD216" s="18">
        <v>0.432</v>
      </c>
      <c r="BE216" s="18" t="s">
        <v>10</v>
      </c>
      <c r="BL216" s="18"/>
      <c r="BO216" s="18"/>
      <c r="BR216" s="25">
        <v>40</v>
      </c>
      <c r="BS216">
        <v>1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 s="18">
        <v>0</v>
      </c>
      <c r="CA216">
        <v>0</v>
      </c>
      <c r="CB216">
        <v>0</v>
      </c>
      <c r="CC216">
        <v>1</v>
      </c>
      <c r="CD216" s="18">
        <v>0</v>
      </c>
      <c r="CE216">
        <v>0</v>
      </c>
      <c r="CF216">
        <v>0</v>
      </c>
      <c r="CG216">
        <v>0</v>
      </c>
      <c r="CH216">
        <v>0</v>
      </c>
      <c r="CI216" s="18">
        <v>0</v>
      </c>
      <c r="CJ216">
        <v>0</v>
      </c>
      <c r="CK216">
        <v>0</v>
      </c>
      <c r="CL216">
        <v>1</v>
      </c>
      <c r="CM216">
        <v>1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1</v>
      </c>
      <c r="CT216" s="18">
        <v>0</v>
      </c>
      <c r="CZ216" s="34" t="s">
        <v>87</v>
      </c>
    </row>
    <row r="217" spans="1:104" x14ac:dyDescent="0.25">
      <c r="A217">
        <v>216</v>
      </c>
      <c r="B217">
        <v>17</v>
      </c>
      <c r="C217" s="25" t="s">
        <v>205</v>
      </c>
      <c r="D217" s="12">
        <v>7.3999999999999986</v>
      </c>
      <c r="E217" s="14">
        <v>1.1111111111111109</v>
      </c>
      <c r="F217" s="7">
        <v>6.66</v>
      </c>
      <c r="G217" s="7">
        <f t="shared" si="178"/>
        <v>6.2888888888888879</v>
      </c>
      <c r="H217" s="16">
        <f t="shared" si="179"/>
        <v>8.5111111111111093</v>
      </c>
      <c r="I217" s="11">
        <f t="shared" si="167"/>
        <v>0.1150096877331656</v>
      </c>
      <c r="J217" s="33">
        <f t="shared" si="168"/>
        <v>1.7268721881856693E-2</v>
      </c>
      <c r="K217" s="33">
        <f t="shared" si="180"/>
        <v>57.908165227366688</v>
      </c>
      <c r="L217" s="33">
        <f t="shared" si="181"/>
        <v>9.7740965851308897E-2</v>
      </c>
      <c r="M217" s="33">
        <f t="shared" si="182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59"/>
        <v>3309</v>
      </c>
      <c r="Y217" s="7">
        <v>10.520000000000001</v>
      </c>
      <c r="Z217" s="7">
        <f t="shared" si="177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9">
        <v>0</v>
      </c>
      <c r="AL217" s="30">
        <v>1</v>
      </c>
      <c r="AM217" s="21">
        <v>1992</v>
      </c>
      <c r="AN217" s="23"/>
      <c r="AO217" s="33">
        <f t="shared" si="183"/>
        <v>0.17</v>
      </c>
      <c r="AP217" s="33">
        <v>0.2</v>
      </c>
      <c r="AQ217" s="33">
        <v>0.46</v>
      </c>
      <c r="AR217" s="43">
        <f t="shared" si="184"/>
        <v>0.17</v>
      </c>
      <c r="AS217" s="33" t="s">
        <v>107</v>
      </c>
      <c r="AT217" s="43" t="s">
        <v>107</v>
      </c>
      <c r="AU217" s="42">
        <v>0.67</v>
      </c>
      <c r="AV217" s="18">
        <v>0.33</v>
      </c>
      <c r="AW217">
        <v>1</v>
      </c>
      <c r="AX217" s="40">
        <f t="shared" si="165"/>
        <v>0</v>
      </c>
      <c r="AY217">
        <v>0.31</v>
      </c>
      <c r="AZ217" s="40">
        <v>0.69</v>
      </c>
      <c r="BB217" s="18"/>
      <c r="BC217">
        <f t="shared" si="185"/>
        <v>0.56800000000000006</v>
      </c>
      <c r="BD217" s="18">
        <v>0.432</v>
      </c>
      <c r="BE217" s="18" t="s">
        <v>10</v>
      </c>
      <c r="BL217" s="18"/>
      <c r="BO217" s="18"/>
      <c r="BR217" s="25">
        <v>40</v>
      </c>
      <c r="BS217">
        <v>1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 s="18">
        <v>0</v>
      </c>
      <c r="CA217">
        <v>0</v>
      </c>
      <c r="CB217">
        <v>0</v>
      </c>
      <c r="CC217">
        <v>1</v>
      </c>
      <c r="CD217" s="18">
        <v>0</v>
      </c>
      <c r="CE217">
        <v>0</v>
      </c>
      <c r="CF217">
        <v>0</v>
      </c>
      <c r="CG217">
        <v>0</v>
      </c>
      <c r="CH217">
        <v>0</v>
      </c>
      <c r="CI217" s="18">
        <v>0</v>
      </c>
      <c r="CJ217">
        <v>0</v>
      </c>
      <c r="CK217">
        <v>0</v>
      </c>
      <c r="CL217">
        <v>1</v>
      </c>
      <c r="CM217">
        <v>1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1</v>
      </c>
      <c r="CT217" s="18">
        <v>0</v>
      </c>
      <c r="CZ217" s="34" t="s">
        <v>87</v>
      </c>
    </row>
    <row r="218" spans="1:104" x14ac:dyDescent="0.25">
      <c r="A218">
        <v>217</v>
      </c>
      <c r="B218">
        <v>17</v>
      </c>
      <c r="C218" s="25" t="s">
        <v>205</v>
      </c>
      <c r="D218" s="12">
        <v>13.233333333333333</v>
      </c>
      <c r="E218" s="14">
        <v>2.2315907813378302</v>
      </c>
      <c r="F218" s="7">
        <v>5.93</v>
      </c>
      <c r="G218" s="7">
        <f t="shared" si="178"/>
        <v>11.001742551995502</v>
      </c>
      <c r="H218" s="16">
        <f t="shared" si="179"/>
        <v>15.464924114671163</v>
      </c>
      <c r="I218" s="11">
        <f t="shared" si="167"/>
        <v>0.10254414096067127</v>
      </c>
      <c r="J218" s="33">
        <f t="shared" si="168"/>
        <v>1.7292435237887233E-2</v>
      </c>
      <c r="K218" s="33">
        <f t="shared" si="180"/>
        <v>57.828754958065623</v>
      </c>
      <c r="L218" s="33">
        <f t="shared" si="181"/>
        <v>8.5251705722784038E-2</v>
      </c>
      <c r="M218" s="33">
        <f t="shared" si="182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59"/>
        <v>3309</v>
      </c>
      <c r="Y218" s="7">
        <v>10.520000000000001</v>
      </c>
      <c r="Z218" s="7">
        <f t="shared" si="177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9">
        <v>0</v>
      </c>
      <c r="AL218" s="30">
        <v>1</v>
      </c>
      <c r="AM218" s="21">
        <v>1992</v>
      </c>
      <c r="AN218" s="23"/>
      <c r="AO218" s="33">
        <f t="shared" si="183"/>
        <v>0.17</v>
      </c>
      <c r="AP218" s="33">
        <v>0.2</v>
      </c>
      <c r="AQ218" s="33">
        <v>0.46</v>
      </c>
      <c r="AR218" s="43">
        <f t="shared" si="184"/>
        <v>0.17</v>
      </c>
      <c r="AS218" s="33" t="s">
        <v>107</v>
      </c>
      <c r="AT218" s="43" t="s">
        <v>107</v>
      </c>
      <c r="AU218" s="42">
        <v>0.67</v>
      </c>
      <c r="AV218" s="18">
        <v>0.33</v>
      </c>
      <c r="AW218">
        <v>1</v>
      </c>
      <c r="AX218" s="40">
        <f t="shared" si="165"/>
        <v>0</v>
      </c>
      <c r="AY218">
        <v>0.31</v>
      </c>
      <c r="AZ218" s="40">
        <v>0.69</v>
      </c>
      <c r="BB218" s="18"/>
      <c r="BC218">
        <f t="shared" si="185"/>
        <v>0.56800000000000006</v>
      </c>
      <c r="BD218" s="18">
        <v>0.432</v>
      </c>
      <c r="BE218" s="18" t="s">
        <v>10</v>
      </c>
      <c r="BL218" s="18"/>
      <c r="BO218" s="18"/>
      <c r="BR218" s="25">
        <v>40</v>
      </c>
      <c r="BS218">
        <v>1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 s="18">
        <v>0</v>
      </c>
      <c r="CA218">
        <v>0</v>
      </c>
      <c r="CB218">
        <v>0</v>
      </c>
      <c r="CC218">
        <v>1</v>
      </c>
      <c r="CD218" s="18">
        <v>0</v>
      </c>
      <c r="CE218">
        <v>0</v>
      </c>
      <c r="CF218">
        <v>0</v>
      </c>
      <c r="CG218">
        <v>0</v>
      </c>
      <c r="CH218">
        <v>0</v>
      </c>
      <c r="CI218" s="18">
        <v>0</v>
      </c>
      <c r="CJ218">
        <v>0</v>
      </c>
      <c r="CK218">
        <v>0</v>
      </c>
      <c r="CL218">
        <v>1</v>
      </c>
      <c r="CM218">
        <v>1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1</v>
      </c>
      <c r="CT218" s="18">
        <v>0</v>
      </c>
      <c r="CZ218" s="34" t="s">
        <v>87</v>
      </c>
    </row>
    <row r="219" spans="1:104" x14ac:dyDescent="0.25">
      <c r="A219">
        <v>218</v>
      </c>
      <c r="B219">
        <v>17</v>
      </c>
      <c r="C219" s="25" t="s">
        <v>205</v>
      </c>
      <c r="D219" s="12">
        <v>5</v>
      </c>
      <c r="E219" s="14">
        <v>1.1441647597254003</v>
      </c>
      <c r="F219" s="7">
        <v>4.37</v>
      </c>
      <c r="G219" s="7">
        <f t="shared" si="178"/>
        <v>3.8558352402745997</v>
      </c>
      <c r="H219" s="16">
        <f t="shared" si="179"/>
        <v>6.1441647597254008</v>
      </c>
      <c r="I219" s="11">
        <f t="shared" si="167"/>
        <v>9.2496418034845096E-2</v>
      </c>
      <c r="J219" s="33">
        <f t="shared" si="168"/>
        <v>2.1166228383259746E-2</v>
      </c>
      <c r="K219" s="33">
        <f t="shared" si="180"/>
        <v>47.245072758966096</v>
      </c>
      <c r="L219" s="33">
        <f t="shared" si="181"/>
        <v>7.1330189651585357E-2</v>
      </c>
      <c r="M219" s="33">
        <f t="shared" si="182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59"/>
        <v>2213</v>
      </c>
      <c r="Y219" s="7">
        <v>9.8450000000000006</v>
      </c>
      <c r="Z219" s="7">
        <f t="shared" si="177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9">
        <v>0</v>
      </c>
      <c r="AL219" s="30">
        <v>1</v>
      </c>
      <c r="AM219" s="21">
        <v>1999</v>
      </c>
      <c r="AN219" s="23"/>
      <c r="AO219" s="33">
        <f t="shared" si="183"/>
        <v>0.19249999999999998</v>
      </c>
      <c r="AP219" s="33">
        <v>0.28999999999999998</v>
      </c>
      <c r="AQ219" s="33">
        <v>0.32500000000000001</v>
      </c>
      <c r="AR219" s="43">
        <f t="shared" si="184"/>
        <v>0.19249999999999998</v>
      </c>
      <c r="AS219" s="33" t="s">
        <v>107</v>
      </c>
      <c r="AT219" s="43" t="s">
        <v>107</v>
      </c>
      <c r="AU219" s="42">
        <v>0.67</v>
      </c>
      <c r="AV219" s="18">
        <v>0.33</v>
      </c>
      <c r="AW219">
        <v>0</v>
      </c>
      <c r="AX219" s="40">
        <f t="shared" si="165"/>
        <v>1</v>
      </c>
      <c r="AY219">
        <v>0.38</v>
      </c>
      <c r="AZ219" s="40">
        <v>0.62</v>
      </c>
      <c r="BB219" s="18"/>
      <c r="BC219">
        <f t="shared" si="185"/>
        <v>0.48099999999999998</v>
      </c>
      <c r="BD219" s="18">
        <v>0.51900000000000002</v>
      </c>
      <c r="BE219" s="18" t="s">
        <v>10</v>
      </c>
      <c r="BL219" s="18"/>
      <c r="BO219" s="18"/>
      <c r="BR219" s="25">
        <v>40</v>
      </c>
      <c r="BS219">
        <v>1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 s="18">
        <v>0</v>
      </c>
      <c r="CA219">
        <v>0</v>
      </c>
      <c r="CB219">
        <v>0</v>
      </c>
      <c r="CC219">
        <v>1</v>
      </c>
      <c r="CD219" s="18">
        <v>0</v>
      </c>
      <c r="CE219">
        <v>0</v>
      </c>
      <c r="CF219">
        <v>0</v>
      </c>
      <c r="CG219">
        <v>0</v>
      </c>
      <c r="CH219">
        <v>0</v>
      </c>
      <c r="CI219" s="18">
        <v>0</v>
      </c>
      <c r="CJ219">
        <v>0</v>
      </c>
      <c r="CK219">
        <v>0</v>
      </c>
      <c r="CL219">
        <v>1</v>
      </c>
      <c r="CM219">
        <v>1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1</v>
      </c>
      <c r="CT219" s="18">
        <v>0</v>
      </c>
      <c r="CZ219" s="34" t="s">
        <v>87</v>
      </c>
    </row>
    <row r="220" spans="1:104" x14ac:dyDescent="0.25">
      <c r="A220">
        <v>219</v>
      </c>
      <c r="B220">
        <v>17</v>
      </c>
      <c r="C220" s="25" t="s">
        <v>205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78"/>
        <v>3.4224550898203594</v>
      </c>
      <c r="H220" s="16">
        <f t="shared" si="179"/>
        <v>4.6275449101796413</v>
      </c>
      <c r="I220" s="11">
        <f t="shared" si="167"/>
        <v>0.1405888277505167</v>
      </c>
      <c r="J220" s="33">
        <f t="shared" si="168"/>
        <v>2.1046231699179154E-2</v>
      </c>
      <c r="K220" s="33">
        <f t="shared" si="180"/>
        <v>47.514444119656922</v>
      </c>
      <c r="L220" s="33">
        <f t="shared" si="181"/>
        <v>0.11954259605133755</v>
      </c>
      <c r="M220" s="33">
        <f t="shared" si="182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59"/>
        <v>2213</v>
      </c>
      <c r="Y220" s="7">
        <v>9.8450000000000006</v>
      </c>
      <c r="Z220" s="7">
        <f t="shared" si="177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9">
        <v>0</v>
      </c>
      <c r="AL220" s="30">
        <v>1</v>
      </c>
      <c r="AM220" s="21">
        <v>1999</v>
      </c>
      <c r="AN220" s="23"/>
      <c r="AO220" s="33">
        <f t="shared" si="183"/>
        <v>0.19249999999999998</v>
      </c>
      <c r="AP220" s="33">
        <v>0.28999999999999998</v>
      </c>
      <c r="AQ220" s="33">
        <v>0.32500000000000001</v>
      </c>
      <c r="AR220" s="43">
        <f t="shared" si="184"/>
        <v>0.19249999999999998</v>
      </c>
      <c r="AS220" s="33" t="s">
        <v>107</v>
      </c>
      <c r="AT220" s="43" t="s">
        <v>107</v>
      </c>
      <c r="AU220" s="42">
        <v>0.67</v>
      </c>
      <c r="AV220" s="18">
        <v>0.33</v>
      </c>
      <c r="AW220">
        <v>0</v>
      </c>
      <c r="AX220" s="40">
        <f t="shared" si="165"/>
        <v>1</v>
      </c>
      <c r="AY220">
        <v>0.38</v>
      </c>
      <c r="AZ220" s="40">
        <v>0.62</v>
      </c>
      <c r="BB220" s="18"/>
      <c r="BC220">
        <f t="shared" si="185"/>
        <v>0.48099999999999998</v>
      </c>
      <c r="BD220" s="18">
        <v>0.51900000000000002</v>
      </c>
      <c r="BE220" s="18" t="s">
        <v>10</v>
      </c>
      <c r="BL220" s="18"/>
      <c r="BO220" s="18"/>
      <c r="BR220" s="25">
        <v>40</v>
      </c>
      <c r="BS220">
        <v>1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 s="18">
        <v>0</v>
      </c>
      <c r="CA220">
        <v>0</v>
      </c>
      <c r="CB220">
        <v>0</v>
      </c>
      <c r="CC220">
        <v>1</v>
      </c>
      <c r="CD220" s="18">
        <v>0</v>
      </c>
      <c r="CE220">
        <v>0</v>
      </c>
      <c r="CF220">
        <v>0</v>
      </c>
      <c r="CG220">
        <v>0</v>
      </c>
      <c r="CH220">
        <v>0</v>
      </c>
      <c r="CI220" s="18">
        <v>0</v>
      </c>
      <c r="CJ220">
        <v>0</v>
      </c>
      <c r="CK220">
        <v>0</v>
      </c>
      <c r="CL220">
        <v>1</v>
      </c>
      <c r="CM220">
        <v>1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1</v>
      </c>
      <c r="CT220" s="18">
        <v>0</v>
      </c>
      <c r="CZ220" s="34" t="s">
        <v>87</v>
      </c>
    </row>
    <row r="221" spans="1:104" x14ac:dyDescent="0.25">
      <c r="A221">
        <v>220</v>
      </c>
      <c r="B221">
        <v>17</v>
      </c>
      <c r="C221" s="25" t="s">
        <v>205</v>
      </c>
      <c r="D221" s="12">
        <v>12.279999999999998</v>
      </c>
      <c r="E221" s="14">
        <v>2.2615101289134434</v>
      </c>
      <c r="F221" s="7">
        <v>5.43</v>
      </c>
      <c r="G221" s="7">
        <f t="shared" si="178"/>
        <v>10.018489871086555</v>
      </c>
      <c r="H221" s="16">
        <f t="shared" si="179"/>
        <v>14.541510128913441</v>
      </c>
      <c r="I221" s="11">
        <f t="shared" si="167"/>
        <v>0.11466610641194247</v>
      </c>
      <c r="J221" s="33">
        <f t="shared" si="168"/>
        <v>2.1117146668866014E-2</v>
      </c>
      <c r="K221" s="33">
        <f t="shared" si="180"/>
        <v>47.354882536017342</v>
      </c>
      <c r="L221" s="33">
        <f t="shared" si="181"/>
        <v>9.3548959743076449E-2</v>
      </c>
      <c r="M221" s="33">
        <f t="shared" si="182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59"/>
        <v>2213</v>
      </c>
      <c r="Y221" s="7">
        <v>9.8450000000000006</v>
      </c>
      <c r="Z221" s="7">
        <f t="shared" si="177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9">
        <v>0</v>
      </c>
      <c r="AL221" s="30">
        <v>1</v>
      </c>
      <c r="AM221" s="21">
        <v>1999</v>
      </c>
      <c r="AN221" s="23"/>
      <c r="AO221" s="33">
        <f t="shared" si="183"/>
        <v>0.19249999999999998</v>
      </c>
      <c r="AP221" s="33">
        <v>0.28999999999999998</v>
      </c>
      <c r="AQ221" s="33">
        <v>0.32500000000000001</v>
      </c>
      <c r="AR221" s="43">
        <f t="shared" si="184"/>
        <v>0.19249999999999998</v>
      </c>
      <c r="AS221" s="33" t="s">
        <v>107</v>
      </c>
      <c r="AT221" s="43" t="s">
        <v>107</v>
      </c>
      <c r="AU221" s="42">
        <v>0.67</v>
      </c>
      <c r="AV221" s="18">
        <v>0.33</v>
      </c>
      <c r="AW221">
        <v>0</v>
      </c>
      <c r="AX221" s="40">
        <f t="shared" si="165"/>
        <v>1</v>
      </c>
      <c r="AY221">
        <v>0.38</v>
      </c>
      <c r="AZ221" s="40">
        <v>0.62</v>
      </c>
      <c r="BB221" s="18"/>
      <c r="BC221">
        <f t="shared" si="185"/>
        <v>0.48099999999999998</v>
      </c>
      <c r="BD221" s="18">
        <v>0.51900000000000002</v>
      </c>
      <c r="BE221" s="18" t="s">
        <v>10</v>
      </c>
      <c r="BL221" s="18"/>
      <c r="BO221" s="18"/>
      <c r="BR221" s="25">
        <v>40</v>
      </c>
      <c r="BS221">
        <v>1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 s="18">
        <v>0</v>
      </c>
      <c r="CA221">
        <v>0</v>
      </c>
      <c r="CB221">
        <v>0</v>
      </c>
      <c r="CC221">
        <v>1</v>
      </c>
      <c r="CD221" s="18">
        <v>0</v>
      </c>
      <c r="CE221">
        <v>0</v>
      </c>
      <c r="CF221">
        <v>0</v>
      </c>
      <c r="CG221">
        <v>0</v>
      </c>
      <c r="CH221">
        <v>0</v>
      </c>
      <c r="CI221" s="18">
        <v>0</v>
      </c>
      <c r="CJ221">
        <v>0</v>
      </c>
      <c r="CK221">
        <v>0</v>
      </c>
      <c r="CL221">
        <v>1</v>
      </c>
      <c r="CM221">
        <v>1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1</v>
      </c>
      <c r="CT221" s="18">
        <v>0</v>
      </c>
      <c r="CZ221" s="34" t="s">
        <v>87</v>
      </c>
    </row>
    <row r="222" spans="1:104" x14ac:dyDescent="0.25">
      <c r="A222">
        <v>221</v>
      </c>
      <c r="B222">
        <v>17</v>
      </c>
      <c r="C222" s="25" t="s">
        <v>205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78"/>
        <v>13.061815561959655</v>
      </c>
      <c r="H222" s="16">
        <f t="shared" si="179"/>
        <v>23.638184438040348</v>
      </c>
      <c r="I222" s="11">
        <f t="shared" si="167"/>
        <v>7.3563176755564369E-2</v>
      </c>
      <c r="J222" s="33">
        <f t="shared" si="168"/>
        <v>2.1199762753764943E-2</v>
      </c>
      <c r="K222" s="33">
        <f t="shared" si="180"/>
        <v>47.17033919742363</v>
      </c>
      <c r="L222" s="33">
        <f t="shared" si="181"/>
        <v>5.2363414001799426E-2</v>
      </c>
      <c r="M222" s="33">
        <f t="shared" si="182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59"/>
        <v>2213</v>
      </c>
      <c r="Y222" s="7">
        <v>9.8450000000000006</v>
      </c>
      <c r="Z222" s="7">
        <f t="shared" si="177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9">
        <v>0</v>
      </c>
      <c r="AL222" s="30">
        <v>1</v>
      </c>
      <c r="AM222" s="21">
        <v>1999</v>
      </c>
      <c r="AN222" s="23"/>
      <c r="AO222" s="33">
        <f t="shared" si="183"/>
        <v>0.19249999999999998</v>
      </c>
      <c r="AP222" s="33">
        <v>0.28999999999999998</v>
      </c>
      <c r="AQ222" s="33">
        <v>0.32500000000000001</v>
      </c>
      <c r="AR222" s="43">
        <f t="shared" si="184"/>
        <v>0.19249999999999998</v>
      </c>
      <c r="AS222" s="33" t="s">
        <v>107</v>
      </c>
      <c r="AT222" s="43" t="s">
        <v>107</v>
      </c>
      <c r="AU222" s="42">
        <v>0.67</v>
      </c>
      <c r="AV222" s="18">
        <v>0.33</v>
      </c>
      <c r="AW222">
        <v>0</v>
      </c>
      <c r="AX222" s="40">
        <f t="shared" si="165"/>
        <v>1</v>
      </c>
      <c r="AY222">
        <v>0.38</v>
      </c>
      <c r="AZ222" s="40">
        <v>0.62</v>
      </c>
      <c r="BB222" s="18"/>
      <c r="BC222">
        <f t="shared" si="185"/>
        <v>0.48099999999999998</v>
      </c>
      <c r="BD222" s="18">
        <v>0.51900000000000002</v>
      </c>
      <c r="BE222" s="18" t="s">
        <v>10</v>
      </c>
      <c r="BL222" s="18"/>
      <c r="BO222" s="18"/>
      <c r="BR222" s="25">
        <v>40</v>
      </c>
      <c r="BS222">
        <v>1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 s="18">
        <v>0</v>
      </c>
      <c r="CA222">
        <v>0</v>
      </c>
      <c r="CB222">
        <v>0</v>
      </c>
      <c r="CC222">
        <v>1</v>
      </c>
      <c r="CD222" s="18">
        <v>0</v>
      </c>
      <c r="CE222">
        <v>0</v>
      </c>
      <c r="CF222">
        <v>0</v>
      </c>
      <c r="CG222">
        <v>0</v>
      </c>
      <c r="CH222">
        <v>0</v>
      </c>
      <c r="CI222" s="18">
        <v>0</v>
      </c>
      <c r="CJ222">
        <v>0</v>
      </c>
      <c r="CK222">
        <v>0</v>
      </c>
      <c r="CL222">
        <v>1</v>
      </c>
      <c r="CM222">
        <v>1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1</v>
      </c>
      <c r="CT222" s="18">
        <v>0</v>
      </c>
      <c r="CZ222" s="34" t="s">
        <v>87</v>
      </c>
    </row>
    <row r="223" spans="1:104" x14ac:dyDescent="0.25">
      <c r="A223">
        <v>222</v>
      </c>
      <c r="B223">
        <v>17</v>
      </c>
      <c r="C223" s="25" t="s">
        <v>205</v>
      </c>
      <c r="D223" s="12">
        <v>1.3</v>
      </c>
      <c r="E223" s="14">
        <v>1.4285714285714286</v>
      </c>
      <c r="F223" s="7">
        <v>0.91</v>
      </c>
      <c r="G223" s="7">
        <f t="shared" si="178"/>
        <v>-0.12857142857142856</v>
      </c>
      <c r="H223" s="16">
        <f t="shared" si="179"/>
        <v>2.7285714285714286</v>
      </c>
      <c r="I223" s="11">
        <f t="shared" si="167"/>
        <v>2.1987937949940178E-2</v>
      </c>
      <c r="J223" s="33">
        <f t="shared" si="168"/>
        <v>2.4162569175758434E-2</v>
      </c>
      <c r="K223" s="33">
        <f t="shared" si="180"/>
        <v>41.386327452432887</v>
      </c>
      <c r="L223" s="33">
        <f t="shared" si="181"/>
        <v>-2.1746312258182562E-3</v>
      </c>
      <c r="M223" s="33">
        <f t="shared" si="182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59"/>
        <v>1712</v>
      </c>
      <c r="Y223" s="7">
        <v>10.525</v>
      </c>
      <c r="Z223" s="7">
        <f t="shared" si="177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9">
        <v>0</v>
      </c>
      <c r="AL223" s="30">
        <v>1</v>
      </c>
      <c r="AM223" s="21">
        <v>1999</v>
      </c>
      <c r="AN223" s="23"/>
      <c r="AO223" s="33">
        <f t="shared" si="183"/>
        <v>0.12</v>
      </c>
      <c r="AP223" s="33">
        <v>0.23</v>
      </c>
      <c r="AQ223" s="33">
        <v>0.53</v>
      </c>
      <c r="AR223" s="43">
        <f t="shared" si="184"/>
        <v>0.12</v>
      </c>
      <c r="AS223" s="33" t="s">
        <v>107</v>
      </c>
      <c r="AT223" s="43" t="s">
        <v>107</v>
      </c>
      <c r="AU223" s="42">
        <v>0.67</v>
      </c>
      <c r="AV223" s="18">
        <v>0.33</v>
      </c>
      <c r="AW223">
        <v>1</v>
      </c>
      <c r="AX223" s="40">
        <f t="shared" si="165"/>
        <v>0</v>
      </c>
      <c r="AY223">
        <v>0.31</v>
      </c>
      <c r="AZ223" s="40">
        <v>0.69</v>
      </c>
      <c r="BB223" s="18"/>
      <c r="BC223">
        <f t="shared" si="185"/>
        <v>0.41400000000000003</v>
      </c>
      <c r="BD223" s="18">
        <v>0.58599999999999997</v>
      </c>
      <c r="BE223" s="18" t="s">
        <v>10</v>
      </c>
      <c r="BL223" s="18"/>
      <c r="BO223" s="18"/>
      <c r="BR223" s="25">
        <v>40</v>
      </c>
      <c r="BS223">
        <v>1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 s="18">
        <v>0</v>
      </c>
      <c r="CA223">
        <v>0</v>
      </c>
      <c r="CB223">
        <v>0</v>
      </c>
      <c r="CC223">
        <v>1</v>
      </c>
      <c r="CD223" s="18">
        <v>0</v>
      </c>
      <c r="CE223">
        <v>0</v>
      </c>
      <c r="CF223">
        <v>0</v>
      </c>
      <c r="CG223">
        <v>0</v>
      </c>
      <c r="CH223">
        <v>0</v>
      </c>
      <c r="CI223" s="18">
        <v>0</v>
      </c>
      <c r="CJ223">
        <v>0</v>
      </c>
      <c r="CK223">
        <v>0</v>
      </c>
      <c r="CL223">
        <v>1</v>
      </c>
      <c r="CM223">
        <v>1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1</v>
      </c>
      <c r="CT223" s="18">
        <v>0</v>
      </c>
      <c r="CZ223" s="34" t="s">
        <v>87</v>
      </c>
    </row>
    <row r="224" spans="1:104" x14ac:dyDescent="0.25">
      <c r="A224">
        <v>223</v>
      </c>
      <c r="B224">
        <v>17</v>
      </c>
      <c r="C224" s="25" t="s">
        <v>205</v>
      </c>
      <c r="D224" s="12">
        <v>5.5749999999999993</v>
      </c>
      <c r="E224" s="14">
        <v>1.4443005181347148</v>
      </c>
      <c r="F224" s="7">
        <v>3.86</v>
      </c>
      <c r="G224" s="7">
        <f t="shared" si="178"/>
        <v>4.1306994818652845</v>
      </c>
      <c r="H224" s="16">
        <f t="shared" si="179"/>
        <v>7.0193005181347141</v>
      </c>
      <c r="I224" s="11">
        <f t="shared" si="167"/>
        <v>9.2886748403319508E-2</v>
      </c>
      <c r="J224" s="33">
        <f t="shared" si="168"/>
        <v>2.4063924456818524E-2</v>
      </c>
      <c r="K224" s="33">
        <f t="shared" si="180"/>
        <v>41.555981518910123</v>
      </c>
      <c r="L224" s="33">
        <f t="shared" si="181"/>
        <v>6.882282394650098E-2</v>
      </c>
      <c r="M224" s="33">
        <f t="shared" si="182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59"/>
        <v>1712</v>
      </c>
      <c r="Y224" s="7">
        <v>10.525</v>
      </c>
      <c r="Z224" s="7">
        <f t="shared" si="177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9">
        <v>0</v>
      </c>
      <c r="AL224" s="30">
        <v>1</v>
      </c>
      <c r="AM224" s="21">
        <v>1999</v>
      </c>
      <c r="AN224" s="23"/>
      <c r="AO224" s="33">
        <f t="shared" si="183"/>
        <v>0.12</v>
      </c>
      <c r="AP224" s="33">
        <v>0.23</v>
      </c>
      <c r="AQ224" s="33">
        <v>0.53</v>
      </c>
      <c r="AR224" s="43">
        <f t="shared" si="184"/>
        <v>0.12</v>
      </c>
      <c r="AS224" s="33" t="s">
        <v>107</v>
      </c>
      <c r="AT224" s="43" t="s">
        <v>107</v>
      </c>
      <c r="AU224" s="42">
        <v>0.67</v>
      </c>
      <c r="AV224" s="18">
        <v>0.33</v>
      </c>
      <c r="AW224">
        <v>1</v>
      </c>
      <c r="AX224" s="40">
        <f t="shared" si="165"/>
        <v>0</v>
      </c>
      <c r="AY224">
        <v>0.31</v>
      </c>
      <c r="AZ224" s="40">
        <v>0.69</v>
      </c>
      <c r="BB224" s="18"/>
      <c r="BC224">
        <f t="shared" si="185"/>
        <v>0.41400000000000003</v>
      </c>
      <c r="BD224" s="18">
        <v>0.58599999999999997</v>
      </c>
      <c r="BE224" s="18" t="s">
        <v>10</v>
      </c>
      <c r="BL224" s="18"/>
      <c r="BO224" s="18"/>
      <c r="BR224" s="25">
        <v>40</v>
      </c>
      <c r="BS224">
        <v>1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 s="18">
        <v>0</v>
      </c>
      <c r="CA224">
        <v>0</v>
      </c>
      <c r="CB224">
        <v>0</v>
      </c>
      <c r="CC224">
        <v>1</v>
      </c>
      <c r="CD224" s="18">
        <v>0</v>
      </c>
      <c r="CE224">
        <v>0</v>
      </c>
      <c r="CF224">
        <v>0</v>
      </c>
      <c r="CG224">
        <v>0</v>
      </c>
      <c r="CH224">
        <v>0</v>
      </c>
      <c r="CI224" s="18">
        <v>0</v>
      </c>
      <c r="CJ224">
        <v>0</v>
      </c>
      <c r="CK224">
        <v>0</v>
      </c>
      <c r="CL224">
        <v>1</v>
      </c>
      <c r="CM224">
        <v>1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1</v>
      </c>
      <c r="CT224" s="18">
        <v>0</v>
      </c>
      <c r="CZ224" s="34" t="s">
        <v>87</v>
      </c>
    </row>
    <row r="225" spans="1:104" x14ac:dyDescent="0.25">
      <c r="A225">
        <v>224</v>
      </c>
      <c r="B225">
        <v>17</v>
      </c>
      <c r="C225" s="25" t="s">
        <v>205</v>
      </c>
      <c r="D225" s="12">
        <v>5.6999999999999993</v>
      </c>
      <c r="E225" s="14">
        <v>1.3317757009345792</v>
      </c>
      <c r="F225" s="7">
        <v>4.28</v>
      </c>
      <c r="G225" s="7">
        <f t="shared" si="178"/>
        <v>4.3682242990654201</v>
      </c>
      <c r="H225" s="16">
        <f t="shared" si="179"/>
        <v>7.0317757009345785</v>
      </c>
      <c r="I225" s="11">
        <f t="shared" si="167"/>
        <v>0.10289179789375939</v>
      </c>
      <c r="J225" s="33">
        <f t="shared" si="168"/>
        <v>2.4040139694803595E-2</v>
      </c>
      <c r="K225" s="33">
        <f t="shared" si="180"/>
        <v>41.59709605248905</v>
      </c>
      <c r="L225" s="33">
        <f t="shared" si="181"/>
        <v>7.8851658198955801E-2</v>
      </c>
      <c r="M225" s="33">
        <f t="shared" si="182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59"/>
        <v>1712</v>
      </c>
      <c r="Y225" s="7">
        <v>10.525</v>
      </c>
      <c r="Z225" s="7">
        <f t="shared" si="177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9">
        <v>0</v>
      </c>
      <c r="AL225" s="30">
        <v>1</v>
      </c>
      <c r="AM225" s="21">
        <v>1999</v>
      </c>
      <c r="AN225" s="23"/>
      <c r="AO225" s="33">
        <f t="shared" si="183"/>
        <v>0.12</v>
      </c>
      <c r="AP225" s="33">
        <v>0.23</v>
      </c>
      <c r="AQ225" s="33">
        <v>0.53</v>
      </c>
      <c r="AR225" s="43">
        <f t="shared" si="184"/>
        <v>0.12</v>
      </c>
      <c r="AS225" s="33" t="s">
        <v>107</v>
      </c>
      <c r="AT225" s="43" t="s">
        <v>107</v>
      </c>
      <c r="AU225" s="42">
        <v>0.67</v>
      </c>
      <c r="AV225" s="18">
        <v>0.33</v>
      </c>
      <c r="AW225">
        <v>1</v>
      </c>
      <c r="AX225" s="40">
        <f t="shared" si="165"/>
        <v>0</v>
      </c>
      <c r="AY225">
        <v>0.31</v>
      </c>
      <c r="AZ225" s="40">
        <v>0.69</v>
      </c>
      <c r="BB225" s="18"/>
      <c r="BC225">
        <f t="shared" si="185"/>
        <v>0.41400000000000003</v>
      </c>
      <c r="BD225" s="18">
        <v>0.58599999999999997</v>
      </c>
      <c r="BE225" s="18" t="s">
        <v>10</v>
      </c>
      <c r="BL225" s="18"/>
      <c r="BO225" s="18"/>
      <c r="BR225" s="25">
        <v>40</v>
      </c>
      <c r="BS225">
        <v>1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 s="18">
        <v>0</v>
      </c>
      <c r="CA225">
        <v>0</v>
      </c>
      <c r="CB225">
        <v>0</v>
      </c>
      <c r="CC225">
        <v>1</v>
      </c>
      <c r="CD225" s="18">
        <v>0</v>
      </c>
      <c r="CE225">
        <v>0</v>
      </c>
      <c r="CF225">
        <v>0</v>
      </c>
      <c r="CG225">
        <v>0</v>
      </c>
      <c r="CH225">
        <v>0</v>
      </c>
      <c r="CI225" s="18">
        <v>0</v>
      </c>
      <c r="CJ225">
        <v>0</v>
      </c>
      <c r="CK225">
        <v>0</v>
      </c>
      <c r="CL225">
        <v>1</v>
      </c>
      <c r="CM225">
        <v>1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1</v>
      </c>
      <c r="CT225" s="18">
        <v>0</v>
      </c>
      <c r="CZ225" s="34" t="s">
        <v>87</v>
      </c>
    </row>
    <row r="226" spans="1:104" x14ac:dyDescent="0.25">
      <c r="A226">
        <v>225</v>
      </c>
      <c r="B226">
        <v>17</v>
      </c>
      <c r="C226" s="25" t="s">
        <v>205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78"/>
        <v>14.809318996415772</v>
      </c>
      <c r="H226" s="16">
        <f t="shared" si="179"/>
        <v>22.924014336917562</v>
      </c>
      <c r="I226" s="11">
        <f t="shared" si="167"/>
        <v>0.11168007204614576</v>
      </c>
      <c r="J226" s="33">
        <f t="shared" si="168"/>
        <v>2.4017219794870051E-2</v>
      </c>
      <c r="K226" s="33">
        <f t="shared" si="180"/>
        <v>41.636792623832115</v>
      </c>
      <c r="L226" s="33">
        <f t="shared" si="181"/>
        <v>8.7662852251275708E-2</v>
      </c>
      <c r="M226" s="33">
        <f t="shared" si="182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59"/>
        <v>1712</v>
      </c>
      <c r="Y226" s="7">
        <v>10.53</v>
      </c>
      <c r="Z226" s="7">
        <f t="shared" si="177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9">
        <v>0</v>
      </c>
      <c r="AL226" s="30">
        <v>1</v>
      </c>
      <c r="AM226" s="21">
        <v>1999</v>
      </c>
      <c r="AN226" s="23"/>
      <c r="AO226" s="33">
        <f>(1-AP226-AQ226)/2</f>
        <v>0.12</v>
      </c>
      <c r="AP226" s="33">
        <v>0.23</v>
      </c>
      <c r="AQ226" s="33">
        <v>0.53</v>
      </c>
      <c r="AR226" s="43">
        <f t="shared" si="184"/>
        <v>0.12</v>
      </c>
      <c r="AS226" s="33" t="s">
        <v>107</v>
      </c>
      <c r="AT226" s="43" t="s">
        <v>107</v>
      </c>
      <c r="AU226" s="42">
        <v>0.67</v>
      </c>
      <c r="AV226" s="18">
        <v>0.33</v>
      </c>
      <c r="AW226">
        <v>1</v>
      </c>
      <c r="AX226" s="40">
        <f t="shared" si="165"/>
        <v>0</v>
      </c>
      <c r="AY226">
        <v>0.31</v>
      </c>
      <c r="AZ226" s="40">
        <v>0.69</v>
      </c>
      <c r="BB226" s="18"/>
      <c r="BC226">
        <f t="shared" si="185"/>
        <v>0.41400000000000003</v>
      </c>
      <c r="BD226" s="18">
        <v>0.58599999999999997</v>
      </c>
      <c r="BE226" s="18" t="s">
        <v>10</v>
      </c>
      <c r="BL226" s="18"/>
      <c r="BO226" s="18"/>
      <c r="BR226" s="25">
        <v>40</v>
      </c>
      <c r="BS226">
        <v>1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 s="18">
        <v>0</v>
      </c>
      <c r="CA226">
        <v>0</v>
      </c>
      <c r="CB226">
        <v>0</v>
      </c>
      <c r="CC226">
        <v>1</v>
      </c>
      <c r="CD226" s="18">
        <v>0</v>
      </c>
      <c r="CE226">
        <v>0</v>
      </c>
      <c r="CF226">
        <v>0</v>
      </c>
      <c r="CG226">
        <v>0</v>
      </c>
      <c r="CH226">
        <v>0</v>
      </c>
      <c r="CI226" s="18">
        <v>0</v>
      </c>
      <c r="CJ226">
        <v>0</v>
      </c>
      <c r="CK226">
        <v>0</v>
      </c>
      <c r="CL226">
        <v>1</v>
      </c>
      <c r="CM226">
        <v>1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1</v>
      </c>
      <c r="CT226" s="18">
        <v>0</v>
      </c>
      <c r="CZ226" s="34" t="s">
        <v>87</v>
      </c>
    </row>
    <row r="227" spans="1:104" x14ac:dyDescent="0.25">
      <c r="A227">
        <v>226</v>
      </c>
      <c r="B227">
        <v>17</v>
      </c>
      <c r="C227" s="25" t="s">
        <v>205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86">D227-E227</f>
        <v>2.3401907356948231</v>
      </c>
      <c r="H227" s="16">
        <f t="shared" ref="H227:H228" si="187">D227+E227</f>
        <v>4.0931425976385105</v>
      </c>
      <c r="I227" s="11">
        <f t="shared" si="167"/>
        <v>6.5656535286206769E-2</v>
      </c>
      <c r="J227" s="33">
        <f t="shared" si="168"/>
        <v>1.7890064110683043E-2</v>
      </c>
      <c r="K227" s="33">
        <f t="shared" si="180"/>
        <v>55.896948932835322</v>
      </c>
      <c r="L227" s="33">
        <f t="shared" si="181"/>
        <v>4.7766471175523725E-2</v>
      </c>
      <c r="M227" s="33">
        <f t="shared" si="182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59"/>
        <v>3111</v>
      </c>
      <c r="Y227" s="7">
        <v>9.8249999999999993</v>
      </c>
      <c r="Z227" s="7">
        <f t="shared" si="177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9">
        <v>0</v>
      </c>
      <c r="AL227" s="30">
        <v>1</v>
      </c>
      <c r="AM227" s="21">
        <v>1992</v>
      </c>
      <c r="AN227" s="23"/>
      <c r="AO227" s="33">
        <f>(1-AP227-AQ227)/2</f>
        <v>0.26250000000000001</v>
      </c>
      <c r="AP227" s="33">
        <v>0.25</v>
      </c>
      <c r="AQ227" s="33">
        <v>0.22500000000000001</v>
      </c>
      <c r="AR227" s="43">
        <f>(1-AP227-AQ227)/2</f>
        <v>0.26250000000000001</v>
      </c>
      <c r="AS227" s="33" t="s">
        <v>107</v>
      </c>
      <c r="AT227" s="43" t="s">
        <v>107</v>
      </c>
      <c r="AU227" s="42">
        <v>0.67</v>
      </c>
      <c r="AV227" s="18">
        <v>0.33</v>
      </c>
      <c r="AW227">
        <v>0</v>
      </c>
      <c r="AX227" s="40">
        <f t="shared" si="165"/>
        <v>1</v>
      </c>
      <c r="AY227">
        <v>0.38</v>
      </c>
      <c r="AZ227" s="40">
        <v>0.62</v>
      </c>
      <c r="BB227" s="18"/>
      <c r="BC227">
        <f t="shared" si="185"/>
        <v>0.44099999999999995</v>
      </c>
      <c r="BD227" s="18">
        <v>0.55900000000000005</v>
      </c>
      <c r="BE227" s="18" t="s">
        <v>10</v>
      </c>
      <c r="BL227" s="18"/>
      <c r="BO227" s="18"/>
      <c r="BR227" s="25">
        <v>40</v>
      </c>
      <c r="BS227">
        <v>1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 s="18">
        <v>0</v>
      </c>
      <c r="CA227">
        <v>0</v>
      </c>
      <c r="CB227">
        <v>1</v>
      </c>
      <c r="CC227">
        <v>0</v>
      </c>
      <c r="CD227" s="18">
        <v>0</v>
      </c>
      <c r="CE227">
        <v>1</v>
      </c>
      <c r="CF227">
        <v>0</v>
      </c>
      <c r="CG227">
        <v>0</v>
      </c>
      <c r="CH227">
        <v>0</v>
      </c>
      <c r="CI227" s="18">
        <v>0</v>
      </c>
      <c r="CJ227">
        <v>0</v>
      </c>
      <c r="CK227">
        <v>0</v>
      </c>
      <c r="CL227">
        <v>1</v>
      </c>
      <c r="CM227">
        <v>1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1</v>
      </c>
      <c r="CT227" s="18">
        <v>0</v>
      </c>
      <c r="CZ227" s="34" t="s">
        <v>87</v>
      </c>
    </row>
    <row r="228" spans="1:104" x14ac:dyDescent="0.25">
      <c r="A228">
        <v>227</v>
      </c>
      <c r="B228">
        <v>17</v>
      </c>
      <c r="C228" s="25" t="s">
        <v>205</v>
      </c>
      <c r="D228" s="12">
        <v>3.6750000000000007</v>
      </c>
      <c r="E228" s="14">
        <v>0.61661073825503365</v>
      </c>
      <c r="F228" s="7">
        <v>5.96</v>
      </c>
      <c r="G228" s="7">
        <f t="shared" si="186"/>
        <v>3.0583892617449671</v>
      </c>
      <c r="H228" s="16">
        <f t="shared" si="187"/>
        <v>4.2916107382550344</v>
      </c>
      <c r="I228" s="11">
        <f t="shared" si="167"/>
        <v>0.10625048008086853</v>
      </c>
      <c r="J228" s="33">
        <f t="shared" si="168"/>
        <v>1.7827261758534989E-2</v>
      </c>
      <c r="K228" s="33">
        <f t="shared" si="180"/>
        <v>56.093864192084325</v>
      </c>
      <c r="L228" s="33">
        <f t="shared" si="181"/>
        <v>8.8423218322333547E-2</v>
      </c>
      <c r="M228" s="33">
        <f t="shared" si="182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59"/>
        <v>3111</v>
      </c>
      <c r="Y228" s="7">
        <v>9.8249999999999993</v>
      </c>
      <c r="Z228" s="7">
        <f t="shared" si="177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9">
        <v>0</v>
      </c>
      <c r="AL228" s="30">
        <v>1</v>
      </c>
      <c r="AM228" s="21">
        <v>1992</v>
      </c>
      <c r="AN228" s="23"/>
      <c r="AO228" s="33">
        <f t="shared" ref="AO228:AO230" si="188">(1-AP228-AQ228)/2</f>
        <v>0.26250000000000001</v>
      </c>
      <c r="AP228" s="33">
        <v>0.25</v>
      </c>
      <c r="AQ228" s="33">
        <v>0.22500000000000001</v>
      </c>
      <c r="AR228" s="43">
        <f t="shared" ref="AR228:AR230" si="189">(1-AP228-AQ228)/2</f>
        <v>0.26250000000000001</v>
      </c>
      <c r="AS228" s="33" t="s">
        <v>107</v>
      </c>
      <c r="AT228" s="43" t="s">
        <v>107</v>
      </c>
      <c r="AU228" s="42">
        <v>0.67</v>
      </c>
      <c r="AV228" s="18">
        <v>0.33</v>
      </c>
      <c r="AW228">
        <v>0</v>
      </c>
      <c r="AX228" s="40">
        <f t="shared" si="165"/>
        <v>1</v>
      </c>
      <c r="AY228">
        <v>0.38</v>
      </c>
      <c r="AZ228" s="40">
        <v>0.62</v>
      </c>
      <c r="BB228" s="18"/>
      <c r="BC228">
        <f t="shared" si="185"/>
        <v>0.44099999999999995</v>
      </c>
      <c r="BD228" s="18">
        <v>0.55900000000000005</v>
      </c>
      <c r="BE228" s="18" t="s">
        <v>10</v>
      </c>
      <c r="BL228" s="18"/>
      <c r="BO228" s="18"/>
      <c r="BR228" s="25">
        <v>40</v>
      </c>
      <c r="BS228">
        <v>1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 s="18">
        <v>0</v>
      </c>
      <c r="CA228">
        <v>0</v>
      </c>
      <c r="CB228">
        <v>1</v>
      </c>
      <c r="CC228">
        <v>0</v>
      </c>
      <c r="CD228" s="18">
        <v>0</v>
      </c>
      <c r="CE228">
        <v>1</v>
      </c>
      <c r="CF228">
        <v>0</v>
      </c>
      <c r="CG228">
        <v>0</v>
      </c>
      <c r="CH228">
        <v>0</v>
      </c>
      <c r="CI228" s="18">
        <v>0</v>
      </c>
      <c r="CJ228">
        <v>0</v>
      </c>
      <c r="CK228">
        <v>0</v>
      </c>
      <c r="CL228">
        <v>1</v>
      </c>
      <c r="CM228">
        <v>1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1</v>
      </c>
      <c r="CT228" s="18">
        <v>0</v>
      </c>
      <c r="CZ228" s="34" t="s">
        <v>87</v>
      </c>
    </row>
    <row r="229" spans="1:104" x14ac:dyDescent="0.25">
      <c r="A229">
        <v>228</v>
      </c>
      <c r="B229">
        <v>17</v>
      </c>
      <c r="C229" s="25" t="s">
        <v>205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0">D229-E229</f>
        <v>5.7364620938628139</v>
      </c>
      <c r="H229" s="16">
        <f t="shared" ref="H229:H258" si="191">D229+E229</f>
        <v>8.2635379061371825</v>
      </c>
      <c r="I229" s="11">
        <f t="shared" si="167"/>
        <v>9.8838919550565105E-2</v>
      </c>
      <c r="J229" s="33">
        <f t="shared" si="168"/>
        <v>1.7840960207683235E-2</v>
      </c>
      <c r="K229" s="33">
        <f t="shared" ref="K229:K278" si="192">IFERROR(1/J229, "X")</f>
        <v>56.050794820412669</v>
      </c>
      <c r="L229" s="33">
        <f t="shared" ref="L229:L278" si="193">IFERROR(I229-J229, "X")</f>
        <v>8.099795934288187E-2</v>
      </c>
      <c r="M229" s="33">
        <f t="shared" ref="M229:M278" si="194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195">U229-V229-1</f>
        <v>3111</v>
      </c>
      <c r="Y229" s="7">
        <v>9.8249999999999993</v>
      </c>
      <c r="Z229" s="7">
        <f t="shared" si="177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9">
        <v>0</v>
      </c>
      <c r="AL229" s="30">
        <v>1</v>
      </c>
      <c r="AM229" s="21">
        <v>1992</v>
      </c>
      <c r="AN229" s="23"/>
      <c r="AO229" s="33">
        <f t="shared" si="188"/>
        <v>0.26250000000000001</v>
      </c>
      <c r="AP229" s="33">
        <v>0.25</v>
      </c>
      <c r="AQ229" s="33">
        <v>0.22500000000000001</v>
      </c>
      <c r="AR229" s="43">
        <f t="shared" si="189"/>
        <v>0.26250000000000001</v>
      </c>
      <c r="AS229" s="33" t="s">
        <v>107</v>
      </c>
      <c r="AT229" s="43" t="s">
        <v>107</v>
      </c>
      <c r="AU229" s="42">
        <v>0.67</v>
      </c>
      <c r="AV229" s="18">
        <v>0.33</v>
      </c>
      <c r="AW229">
        <v>0</v>
      </c>
      <c r="AX229" s="40">
        <f t="shared" si="165"/>
        <v>1</v>
      </c>
      <c r="AY229">
        <v>0.38</v>
      </c>
      <c r="AZ229" s="40">
        <v>0.62</v>
      </c>
      <c r="BB229" s="18"/>
      <c r="BC229">
        <f t="shared" si="185"/>
        <v>0.44099999999999995</v>
      </c>
      <c r="BD229" s="18">
        <v>0.55900000000000005</v>
      </c>
      <c r="BE229" s="18" t="s">
        <v>10</v>
      </c>
      <c r="BL229" s="18"/>
      <c r="BO229" s="18"/>
      <c r="BR229" s="25">
        <v>40</v>
      </c>
      <c r="BS229">
        <v>1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 s="18">
        <v>0</v>
      </c>
      <c r="CA229">
        <v>0</v>
      </c>
      <c r="CB229">
        <v>1</v>
      </c>
      <c r="CC229">
        <v>0</v>
      </c>
      <c r="CD229" s="18">
        <v>0</v>
      </c>
      <c r="CE229">
        <v>1</v>
      </c>
      <c r="CF229">
        <v>0</v>
      </c>
      <c r="CG229">
        <v>0</v>
      </c>
      <c r="CH229">
        <v>0</v>
      </c>
      <c r="CI229" s="18">
        <v>0</v>
      </c>
      <c r="CJ229">
        <v>0</v>
      </c>
      <c r="CK229">
        <v>0</v>
      </c>
      <c r="CL229">
        <v>1</v>
      </c>
      <c r="CM229">
        <v>1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1</v>
      </c>
      <c r="CT229" s="18">
        <v>0</v>
      </c>
      <c r="CZ229" s="34" t="s">
        <v>87</v>
      </c>
    </row>
    <row r="230" spans="1:104" x14ac:dyDescent="0.25">
      <c r="A230">
        <v>229</v>
      </c>
      <c r="B230">
        <v>17</v>
      </c>
      <c r="C230" s="25" t="s">
        <v>205</v>
      </c>
      <c r="D230" s="12">
        <v>11.283333333333335</v>
      </c>
      <c r="E230" s="14">
        <v>3.4611451942740294</v>
      </c>
      <c r="F230" s="7">
        <v>3.26</v>
      </c>
      <c r="G230" s="7">
        <f t="shared" si="190"/>
        <v>7.8221881390593051</v>
      </c>
      <c r="H230" s="16">
        <f t="shared" si="191"/>
        <v>14.744478527607365</v>
      </c>
      <c r="I230" s="11">
        <f t="shared" si="167"/>
        <v>5.834814507735156E-2</v>
      </c>
      <c r="J230" s="33">
        <f t="shared" si="168"/>
        <v>1.7898204011457534E-2</v>
      </c>
      <c r="K230" s="33">
        <f t="shared" si="192"/>
        <v>55.871527632596546</v>
      </c>
      <c r="L230" s="33">
        <f t="shared" si="193"/>
        <v>4.0449941065894029E-2</v>
      </c>
      <c r="M230" s="33">
        <f t="shared" si="194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195"/>
        <v>3111</v>
      </c>
      <c r="Y230" s="7">
        <v>9.8249999999999993</v>
      </c>
      <c r="Z230" s="7">
        <f t="shared" si="177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9">
        <v>0</v>
      </c>
      <c r="AL230" s="30">
        <v>1</v>
      </c>
      <c r="AM230" s="21">
        <v>1992</v>
      </c>
      <c r="AN230" s="23"/>
      <c r="AO230" s="33">
        <f t="shared" si="188"/>
        <v>0.26250000000000001</v>
      </c>
      <c r="AP230" s="33">
        <v>0.25</v>
      </c>
      <c r="AQ230" s="33">
        <v>0.22500000000000001</v>
      </c>
      <c r="AR230" s="43">
        <f t="shared" si="189"/>
        <v>0.26250000000000001</v>
      </c>
      <c r="AS230" s="33" t="s">
        <v>107</v>
      </c>
      <c r="AT230" s="43" t="s">
        <v>107</v>
      </c>
      <c r="AU230" s="42">
        <v>0.67</v>
      </c>
      <c r="AV230" s="18">
        <v>0.33</v>
      </c>
      <c r="AW230">
        <v>0</v>
      </c>
      <c r="AX230" s="40">
        <f t="shared" si="165"/>
        <v>1</v>
      </c>
      <c r="AY230">
        <v>0.38</v>
      </c>
      <c r="AZ230" s="40">
        <v>0.62</v>
      </c>
      <c r="BB230" s="18"/>
      <c r="BC230">
        <f t="shared" si="185"/>
        <v>0.44099999999999995</v>
      </c>
      <c r="BD230" s="18">
        <v>0.55900000000000005</v>
      </c>
      <c r="BE230" s="18" t="s">
        <v>10</v>
      </c>
      <c r="BL230" s="18"/>
      <c r="BO230" s="18"/>
      <c r="BR230" s="25">
        <v>40</v>
      </c>
      <c r="BS230">
        <v>1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 s="18">
        <v>0</v>
      </c>
      <c r="CA230">
        <v>0</v>
      </c>
      <c r="CB230">
        <v>1</v>
      </c>
      <c r="CC230">
        <v>0</v>
      </c>
      <c r="CD230" s="18">
        <v>0</v>
      </c>
      <c r="CE230">
        <v>1</v>
      </c>
      <c r="CF230">
        <v>0</v>
      </c>
      <c r="CG230">
        <v>0</v>
      </c>
      <c r="CH230">
        <v>0</v>
      </c>
      <c r="CI230" s="18">
        <v>0</v>
      </c>
      <c r="CJ230">
        <v>0</v>
      </c>
      <c r="CK230">
        <v>0</v>
      </c>
      <c r="CL230">
        <v>1</v>
      </c>
      <c r="CM230">
        <v>1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1</v>
      </c>
      <c r="CT230" s="18">
        <v>0</v>
      </c>
      <c r="CZ230" s="34" t="s">
        <v>87</v>
      </c>
    </row>
    <row r="231" spans="1:104" x14ac:dyDescent="0.25">
      <c r="A231">
        <v>230</v>
      </c>
      <c r="B231">
        <v>17</v>
      </c>
      <c r="C231" s="25" t="s">
        <v>205</v>
      </c>
      <c r="D231" s="12">
        <v>3.3666666666666671</v>
      </c>
      <c r="E231" s="14">
        <v>0.86769759450171835</v>
      </c>
      <c r="F231" s="7">
        <v>3.88</v>
      </c>
      <c r="G231" s="7">
        <f t="shared" si="190"/>
        <v>2.4989690721649489</v>
      </c>
      <c r="H231" s="16">
        <f t="shared" si="191"/>
        <v>4.2343642611683858</v>
      </c>
      <c r="I231" s="11">
        <f t="shared" si="167"/>
        <v>6.9307217002947966E-2</v>
      </c>
      <c r="J231" s="33">
        <f t="shared" si="168"/>
        <v>1.7862684794574219E-2</v>
      </c>
      <c r="K231" s="33">
        <f t="shared" si="192"/>
        <v>55.982625876248427</v>
      </c>
      <c r="L231" s="33">
        <f t="shared" si="193"/>
        <v>5.144453220837375E-2</v>
      </c>
      <c r="M231" s="33">
        <f t="shared" si="194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195"/>
        <v>3119</v>
      </c>
      <c r="Y231" s="7">
        <v>9.8249999999999993</v>
      </c>
      <c r="Z231" s="7">
        <f t="shared" si="177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9">
        <v>0</v>
      </c>
      <c r="AL231" s="30">
        <v>1</v>
      </c>
      <c r="AM231" s="21">
        <v>1992</v>
      </c>
      <c r="AN231" s="23"/>
      <c r="AO231" s="33">
        <f>(1-AP231-AQ231)/2</f>
        <v>0.26250000000000001</v>
      </c>
      <c r="AP231" s="33">
        <v>0.25</v>
      </c>
      <c r="AQ231" s="33">
        <v>0.22500000000000001</v>
      </c>
      <c r="AR231" s="43">
        <f>(1-AP231-AQ231)/2</f>
        <v>0.26250000000000001</v>
      </c>
      <c r="AS231" s="33" t="s">
        <v>107</v>
      </c>
      <c r="AT231" s="43" t="s">
        <v>107</v>
      </c>
      <c r="AU231" s="42">
        <v>0.67</v>
      </c>
      <c r="AV231" s="18">
        <v>0.33</v>
      </c>
      <c r="AW231">
        <v>0</v>
      </c>
      <c r="AX231" s="40">
        <f t="shared" si="165"/>
        <v>1</v>
      </c>
      <c r="AY231">
        <v>0.38</v>
      </c>
      <c r="AZ231" s="40">
        <v>0.62</v>
      </c>
      <c r="BB231" s="18"/>
      <c r="BC231">
        <f t="shared" si="185"/>
        <v>0.44099999999999995</v>
      </c>
      <c r="BD231" s="18">
        <v>0.55900000000000005</v>
      </c>
      <c r="BE231" s="18" t="s">
        <v>10</v>
      </c>
      <c r="BL231" s="18"/>
      <c r="BO231" s="18"/>
      <c r="BR231" s="25">
        <v>40</v>
      </c>
      <c r="BS231">
        <v>1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 s="18">
        <v>0</v>
      </c>
      <c r="CA231">
        <v>0</v>
      </c>
      <c r="CB231">
        <v>1</v>
      </c>
      <c r="CC231">
        <v>0</v>
      </c>
      <c r="CD231" s="18">
        <v>0</v>
      </c>
      <c r="CE231">
        <v>1</v>
      </c>
      <c r="CF231">
        <v>0</v>
      </c>
      <c r="CG231">
        <v>0</v>
      </c>
      <c r="CH231">
        <v>0</v>
      </c>
      <c r="CI231" s="18">
        <v>0</v>
      </c>
      <c r="CJ231">
        <v>0</v>
      </c>
      <c r="CK231">
        <v>0</v>
      </c>
      <c r="CL231">
        <v>1</v>
      </c>
      <c r="CM231">
        <v>1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1</v>
      </c>
      <c r="CT231" s="18">
        <v>0</v>
      </c>
      <c r="CZ231" s="34" t="s">
        <v>87</v>
      </c>
    </row>
    <row r="232" spans="1:104" x14ac:dyDescent="0.25">
      <c r="A232">
        <v>231</v>
      </c>
      <c r="B232">
        <v>17</v>
      </c>
      <c r="C232" s="25" t="s">
        <v>205</v>
      </c>
      <c r="D232" s="12">
        <v>3.5999999999999992</v>
      </c>
      <c r="E232" s="14">
        <v>0.5806451612903224</v>
      </c>
      <c r="F232" s="7">
        <v>6.2</v>
      </c>
      <c r="G232" s="7">
        <f t="shared" si="190"/>
        <v>3.0193548387096767</v>
      </c>
      <c r="H232" s="16">
        <f t="shared" si="191"/>
        <v>4.1806451612903217</v>
      </c>
      <c r="I232" s="11">
        <f t="shared" si="167"/>
        <v>0.11033775320857062</v>
      </c>
      <c r="J232" s="33">
        <f t="shared" si="168"/>
        <v>1.7796411807833971E-2</v>
      </c>
      <c r="K232" s="33">
        <f t="shared" si="192"/>
        <v>56.191102498527286</v>
      </c>
      <c r="L232" s="33">
        <f t="shared" si="193"/>
        <v>9.2541341400736638E-2</v>
      </c>
      <c r="M232" s="33">
        <f t="shared" si="194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195"/>
        <v>3119</v>
      </c>
      <c r="Y232" s="7">
        <v>9.8249999999999993</v>
      </c>
      <c r="Z232" s="7">
        <f t="shared" si="177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9">
        <v>0</v>
      </c>
      <c r="AL232" s="30">
        <v>1</v>
      </c>
      <c r="AM232" s="21">
        <v>1992</v>
      </c>
      <c r="AN232" s="23"/>
      <c r="AO232" s="33">
        <f t="shared" ref="AO232:AO250" si="196">(1-AP232-AQ232)/2</f>
        <v>0.26250000000000001</v>
      </c>
      <c r="AP232" s="33">
        <v>0.25</v>
      </c>
      <c r="AQ232" s="33">
        <v>0.22500000000000001</v>
      </c>
      <c r="AR232" s="43">
        <f t="shared" ref="AR232:AR250" si="197">(1-AP232-AQ232)/2</f>
        <v>0.26250000000000001</v>
      </c>
      <c r="AS232" s="33" t="s">
        <v>107</v>
      </c>
      <c r="AT232" s="43" t="s">
        <v>107</v>
      </c>
      <c r="AU232" s="42">
        <v>0.67</v>
      </c>
      <c r="AV232" s="18">
        <v>0.33</v>
      </c>
      <c r="AW232">
        <v>0</v>
      </c>
      <c r="AX232" s="40">
        <f t="shared" si="165"/>
        <v>1</v>
      </c>
      <c r="AY232">
        <v>0.38</v>
      </c>
      <c r="AZ232" s="40">
        <v>0.62</v>
      </c>
      <c r="BB232" s="18"/>
      <c r="BC232">
        <f t="shared" si="185"/>
        <v>0.44099999999999995</v>
      </c>
      <c r="BD232" s="18">
        <v>0.55900000000000005</v>
      </c>
      <c r="BE232" s="18" t="s">
        <v>10</v>
      </c>
      <c r="BL232" s="18"/>
      <c r="BO232" s="18"/>
      <c r="BR232" s="25">
        <v>40</v>
      </c>
      <c r="BS232">
        <v>1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 s="18">
        <v>0</v>
      </c>
      <c r="CA232">
        <v>0</v>
      </c>
      <c r="CB232">
        <v>1</v>
      </c>
      <c r="CC232">
        <v>0</v>
      </c>
      <c r="CD232" s="18">
        <v>0</v>
      </c>
      <c r="CE232">
        <v>1</v>
      </c>
      <c r="CF232">
        <v>0</v>
      </c>
      <c r="CG232">
        <v>0</v>
      </c>
      <c r="CH232">
        <v>0</v>
      </c>
      <c r="CI232" s="18">
        <v>0</v>
      </c>
      <c r="CJ232">
        <v>0</v>
      </c>
      <c r="CK232">
        <v>0</v>
      </c>
      <c r="CL232">
        <v>1</v>
      </c>
      <c r="CM232">
        <v>1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1</v>
      </c>
      <c r="CT232" s="18">
        <v>0</v>
      </c>
      <c r="CZ232" s="34" t="s">
        <v>87</v>
      </c>
    </row>
    <row r="233" spans="1:104" x14ac:dyDescent="0.25">
      <c r="A233">
        <v>232</v>
      </c>
      <c r="B233">
        <v>17</v>
      </c>
      <c r="C233" s="25" t="s">
        <v>205</v>
      </c>
      <c r="D233" s="12">
        <v>6.9399999999999986</v>
      </c>
      <c r="E233" s="14">
        <v>1.2326820603907636</v>
      </c>
      <c r="F233" s="7">
        <v>5.63</v>
      </c>
      <c r="G233" s="7">
        <f t="shared" si="190"/>
        <v>5.7073179396092346</v>
      </c>
      <c r="H233" s="16">
        <f t="shared" si="191"/>
        <v>8.1726820603907626</v>
      </c>
      <c r="I233" s="11">
        <f t="shared" si="167"/>
        <v>0.10030095821492577</v>
      </c>
      <c r="J233" s="33">
        <f t="shared" si="168"/>
        <v>1.7815445508867808E-2</v>
      </c>
      <c r="K233" s="33">
        <f t="shared" si="192"/>
        <v>56.131068936908733</v>
      </c>
      <c r="L233" s="33">
        <f t="shared" si="193"/>
        <v>8.2485512706057959E-2</v>
      </c>
      <c r="M233" s="33">
        <f t="shared" si="194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195"/>
        <v>3119</v>
      </c>
      <c r="Y233" s="7">
        <v>9.8249999999999993</v>
      </c>
      <c r="Z233" s="7">
        <f t="shared" si="177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9">
        <v>0</v>
      </c>
      <c r="AL233" s="30">
        <v>1</v>
      </c>
      <c r="AM233" s="21">
        <v>1992</v>
      </c>
      <c r="AN233" s="23"/>
      <c r="AO233" s="33">
        <f t="shared" si="196"/>
        <v>0.26250000000000001</v>
      </c>
      <c r="AP233" s="33">
        <v>0.25</v>
      </c>
      <c r="AQ233" s="33">
        <v>0.22500000000000001</v>
      </c>
      <c r="AR233" s="43">
        <f t="shared" si="197"/>
        <v>0.26250000000000001</v>
      </c>
      <c r="AS233" s="33" t="s">
        <v>107</v>
      </c>
      <c r="AT233" s="43" t="s">
        <v>107</v>
      </c>
      <c r="AU233" s="42">
        <v>0.67</v>
      </c>
      <c r="AV233" s="18">
        <v>0.33</v>
      </c>
      <c r="AW233">
        <v>0</v>
      </c>
      <c r="AX233" s="40">
        <f t="shared" si="165"/>
        <v>1</v>
      </c>
      <c r="AY233">
        <v>0.38</v>
      </c>
      <c r="AZ233" s="40">
        <v>0.62</v>
      </c>
      <c r="BB233" s="18"/>
      <c r="BC233">
        <f t="shared" si="185"/>
        <v>0.44099999999999995</v>
      </c>
      <c r="BD233" s="18">
        <v>0.55900000000000005</v>
      </c>
      <c r="BE233" s="18" t="s">
        <v>10</v>
      </c>
      <c r="BL233" s="18"/>
      <c r="BO233" s="18"/>
      <c r="BR233" s="25">
        <v>40</v>
      </c>
      <c r="BS233">
        <v>1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 s="18">
        <v>0</v>
      </c>
      <c r="CA233">
        <v>0</v>
      </c>
      <c r="CB233">
        <v>1</v>
      </c>
      <c r="CC233">
        <v>0</v>
      </c>
      <c r="CD233" s="18">
        <v>0</v>
      </c>
      <c r="CE233">
        <v>1</v>
      </c>
      <c r="CF233">
        <v>0</v>
      </c>
      <c r="CG233">
        <v>0</v>
      </c>
      <c r="CH233">
        <v>0</v>
      </c>
      <c r="CI233" s="18">
        <v>0</v>
      </c>
      <c r="CJ233">
        <v>0</v>
      </c>
      <c r="CK233">
        <v>0</v>
      </c>
      <c r="CL233">
        <v>1</v>
      </c>
      <c r="CM233">
        <v>1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1</v>
      </c>
      <c r="CT233" s="18">
        <v>0</v>
      </c>
      <c r="CZ233" s="34" t="s">
        <v>87</v>
      </c>
    </row>
    <row r="234" spans="1:104" x14ac:dyDescent="0.25">
      <c r="A234">
        <v>233</v>
      </c>
      <c r="B234">
        <v>17</v>
      </c>
      <c r="C234" s="25" t="s">
        <v>205</v>
      </c>
      <c r="D234" s="12">
        <v>11.483333333333333</v>
      </c>
      <c r="E234" s="14">
        <v>3.4692849949647528</v>
      </c>
      <c r="F234" s="7">
        <v>3.31</v>
      </c>
      <c r="G234" s="7">
        <f t="shared" si="190"/>
        <v>8.0140483383685801</v>
      </c>
      <c r="H234" s="16">
        <f t="shared" si="191"/>
        <v>14.952618328298085</v>
      </c>
      <c r="I234" s="11">
        <f t="shared" si="167"/>
        <v>5.9164182853938298E-2</v>
      </c>
      <c r="J234" s="33">
        <f t="shared" si="168"/>
        <v>1.7874375484573501E-2</v>
      </c>
      <c r="K234" s="33">
        <f t="shared" si="192"/>
        <v>55.946010581631292</v>
      </c>
      <c r="L234" s="33">
        <f t="shared" si="193"/>
        <v>4.12898073693648E-2</v>
      </c>
      <c r="M234" s="33">
        <f t="shared" si="194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195"/>
        <v>3119</v>
      </c>
      <c r="Y234" s="7">
        <v>9.8249999999999993</v>
      </c>
      <c r="Z234" s="7">
        <f t="shared" si="177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9">
        <v>0</v>
      </c>
      <c r="AL234" s="30">
        <v>1</v>
      </c>
      <c r="AM234" s="21">
        <v>1992</v>
      </c>
      <c r="AN234" s="23"/>
      <c r="AO234" s="33">
        <f t="shared" si="196"/>
        <v>0.26250000000000001</v>
      </c>
      <c r="AP234" s="33">
        <v>0.25</v>
      </c>
      <c r="AQ234" s="33">
        <v>0.22500000000000001</v>
      </c>
      <c r="AR234" s="43">
        <f t="shared" si="197"/>
        <v>0.26250000000000001</v>
      </c>
      <c r="AS234" s="33" t="s">
        <v>107</v>
      </c>
      <c r="AT234" s="43" t="s">
        <v>107</v>
      </c>
      <c r="AU234" s="42">
        <v>0.67</v>
      </c>
      <c r="AV234" s="18">
        <v>0.33</v>
      </c>
      <c r="AW234">
        <v>0</v>
      </c>
      <c r="AX234" s="40">
        <f t="shared" si="165"/>
        <v>1</v>
      </c>
      <c r="AY234">
        <v>0.38</v>
      </c>
      <c r="AZ234" s="40">
        <v>0.62</v>
      </c>
      <c r="BB234" s="18"/>
      <c r="BC234">
        <f t="shared" si="185"/>
        <v>0.44099999999999995</v>
      </c>
      <c r="BD234" s="18">
        <v>0.55900000000000005</v>
      </c>
      <c r="BE234" s="18" t="s">
        <v>10</v>
      </c>
      <c r="BL234" s="18"/>
      <c r="BO234" s="18"/>
      <c r="BR234" s="25">
        <v>40</v>
      </c>
      <c r="BS234">
        <v>1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 s="18">
        <v>0</v>
      </c>
      <c r="CA234">
        <v>0</v>
      </c>
      <c r="CB234">
        <v>1</v>
      </c>
      <c r="CC234">
        <v>0</v>
      </c>
      <c r="CD234" s="18">
        <v>0</v>
      </c>
      <c r="CE234">
        <v>1</v>
      </c>
      <c r="CF234">
        <v>0</v>
      </c>
      <c r="CG234">
        <v>0</v>
      </c>
      <c r="CH234">
        <v>0</v>
      </c>
      <c r="CI234" s="18">
        <v>0</v>
      </c>
      <c r="CJ234">
        <v>0</v>
      </c>
      <c r="CK234">
        <v>0</v>
      </c>
      <c r="CL234">
        <v>1</v>
      </c>
      <c r="CM234">
        <v>1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1</v>
      </c>
      <c r="CT234" s="18">
        <v>0</v>
      </c>
      <c r="CZ234" s="34" t="s">
        <v>87</v>
      </c>
    </row>
    <row r="235" spans="1:104" x14ac:dyDescent="0.25">
      <c r="A235">
        <v>234</v>
      </c>
      <c r="B235">
        <v>17</v>
      </c>
      <c r="C235" s="25" t="s">
        <v>205</v>
      </c>
      <c r="D235" s="12">
        <v>0.28333333333333333</v>
      </c>
      <c r="E235" s="14">
        <v>0.83333333333333326</v>
      </c>
      <c r="F235" s="7">
        <v>0.34</v>
      </c>
      <c r="G235" s="7">
        <f t="shared" si="190"/>
        <v>-0.54999999999999993</v>
      </c>
      <c r="H235" s="16">
        <f t="shared" si="191"/>
        <v>1.1166666666666667</v>
      </c>
      <c r="I235" s="11">
        <f t="shared" si="167"/>
        <v>5.9239242863641309E-3</v>
      </c>
      <c r="J235" s="33">
        <f t="shared" si="168"/>
        <v>1.7423306724600386E-2</v>
      </c>
      <c r="K235" s="33">
        <f t="shared" si="192"/>
        <v>57.394386485091026</v>
      </c>
      <c r="L235" s="33">
        <f t="shared" si="193"/>
        <v>-1.1499382438236255E-2</v>
      </c>
      <c r="M235" s="33">
        <f t="shared" si="194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195"/>
        <v>3294</v>
      </c>
      <c r="Y235" s="7">
        <v>10.520000000000001</v>
      </c>
      <c r="Z235" s="7">
        <f t="shared" si="177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9">
        <v>0</v>
      </c>
      <c r="AL235" s="30">
        <v>1</v>
      </c>
      <c r="AM235" s="21">
        <v>1992</v>
      </c>
      <c r="AN235" s="23"/>
      <c r="AO235" s="33">
        <f t="shared" si="196"/>
        <v>0.17</v>
      </c>
      <c r="AP235" s="33">
        <v>0.2</v>
      </c>
      <c r="AQ235" s="33">
        <v>0.46</v>
      </c>
      <c r="AR235" s="43">
        <f t="shared" si="197"/>
        <v>0.17</v>
      </c>
      <c r="AS235" s="33" t="s">
        <v>107</v>
      </c>
      <c r="AT235" s="43" t="s">
        <v>107</v>
      </c>
      <c r="AU235" s="42">
        <v>0.67</v>
      </c>
      <c r="AV235" s="18">
        <v>0.33</v>
      </c>
      <c r="AW235">
        <v>1</v>
      </c>
      <c r="AX235" s="40">
        <f t="shared" si="165"/>
        <v>0</v>
      </c>
      <c r="AY235">
        <v>0.31</v>
      </c>
      <c r="AZ235" s="40">
        <v>0.69</v>
      </c>
      <c r="BB235" s="18"/>
      <c r="BC235">
        <f t="shared" si="185"/>
        <v>0.56800000000000006</v>
      </c>
      <c r="BD235" s="18">
        <v>0.432</v>
      </c>
      <c r="BE235" s="18" t="s">
        <v>10</v>
      </c>
      <c r="BL235" s="18"/>
      <c r="BO235" s="18"/>
      <c r="BR235" s="25">
        <v>40</v>
      </c>
      <c r="BS235">
        <v>1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 s="18">
        <v>0</v>
      </c>
      <c r="CA235">
        <v>0</v>
      </c>
      <c r="CB235">
        <v>1</v>
      </c>
      <c r="CC235">
        <v>0</v>
      </c>
      <c r="CD235" s="18">
        <v>0</v>
      </c>
      <c r="CE235">
        <v>1</v>
      </c>
      <c r="CF235">
        <v>0</v>
      </c>
      <c r="CG235">
        <v>0</v>
      </c>
      <c r="CH235">
        <v>0</v>
      </c>
      <c r="CI235" s="18">
        <v>0</v>
      </c>
      <c r="CJ235">
        <v>0</v>
      </c>
      <c r="CK235">
        <v>0</v>
      </c>
      <c r="CL235">
        <v>1</v>
      </c>
      <c r="CM235">
        <v>1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1</v>
      </c>
      <c r="CT235" s="18">
        <v>0</v>
      </c>
      <c r="CZ235" s="34" t="s">
        <v>87</v>
      </c>
    </row>
    <row r="236" spans="1:104" x14ac:dyDescent="0.25">
      <c r="A236">
        <v>235</v>
      </c>
      <c r="B236">
        <v>17</v>
      </c>
      <c r="C236" s="25" t="s">
        <v>205</v>
      </c>
      <c r="D236" s="12">
        <v>4.2749999999999995</v>
      </c>
      <c r="E236" s="14">
        <v>1.1103896103896103</v>
      </c>
      <c r="F236" s="7">
        <v>3.85</v>
      </c>
      <c r="G236" s="7">
        <f t="shared" si="190"/>
        <v>3.164610389610389</v>
      </c>
      <c r="H236" s="16">
        <f t="shared" si="191"/>
        <v>5.3853896103896099</v>
      </c>
      <c r="I236" s="11">
        <f t="shared" si="167"/>
        <v>6.6930488438157312E-2</v>
      </c>
      <c r="J236" s="33">
        <f t="shared" si="168"/>
        <v>1.7384542451469431E-2</v>
      </c>
      <c r="K236" s="33">
        <f t="shared" si="192"/>
        <v>57.522365215627225</v>
      </c>
      <c r="L236" s="33">
        <f t="shared" si="193"/>
        <v>4.9545945986687878E-2</v>
      </c>
      <c r="M236" s="33">
        <f t="shared" si="194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195"/>
        <v>3294</v>
      </c>
      <c r="Y236" s="7">
        <v>10.520000000000001</v>
      </c>
      <c r="Z236" s="7">
        <f t="shared" si="177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9">
        <v>0</v>
      </c>
      <c r="AL236" s="30">
        <v>1</v>
      </c>
      <c r="AM236" s="21">
        <v>1992</v>
      </c>
      <c r="AN236" s="23"/>
      <c r="AO236" s="33">
        <f t="shared" si="196"/>
        <v>0.17</v>
      </c>
      <c r="AP236" s="33">
        <v>0.2</v>
      </c>
      <c r="AQ236" s="33">
        <v>0.46</v>
      </c>
      <c r="AR236" s="43">
        <f t="shared" si="197"/>
        <v>0.17</v>
      </c>
      <c r="AS236" s="33" t="s">
        <v>107</v>
      </c>
      <c r="AT236" s="43" t="s">
        <v>107</v>
      </c>
      <c r="AU236" s="42">
        <v>0.67</v>
      </c>
      <c r="AV236" s="18">
        <v>0.33</v>
      </c>
      <c r="AW236">
        <v>1</v>
      </c>
      <c r="AX236" s="40">
        <f t="shared" si="165"/>
        <v>0</v>
      </c>
      <c r="AY236">
        <v>0.31</v>
      </c>
      <c r="AZ236" s="40">
        <v>0.69</v>
      </c>
      <c r="BB236" s="18"/>
      <c r="BC236">
        <f t="shared" si="185"/>
        <v>0.56800000000000006</v>
      </c>
      <c r="BD236" s="18">
        <v>0.432</v>
      </c>
      <c r="BE236" s="18" t="s">
        <v>10</v>
      </c>
      <c r="BL236" s="18"/>
      <c r="BO236" s="18"/>
      <c r="BR236" s="25">
        <v>40</v>
      </c>
      <c r="BS236">
        <v>1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 s="18">
        <v>0</v>
      </c>
      <c r="CA236">
        <v>0</v>
      </c>
      <c r="CB236">
        <v>1</v>
      </c>
      <c r="CC236">
        <v>0</v>
      </c>
      <c r="CD236" s="18">
        <v>0</v>
      </c>
      <c r="CE236">
        <v>1</v>
      </c>
      <c r="CF236">
        <v>0</v>
      </c>
      <c r="CG236">
        <v>0</v>
      </c>
      <c r="CH236">
        <v>0</v>
      </c>
      <c r="CI236" s="18">
        <v>0</v>
      </c>
      <c r="CJ236">
        <v>0</v>
      </c>
      <c r="CK236">
        <v>0</v>
      </c>
      <c r="CL236">
        <v>1</v>
      </c>
      <c r="CM236">
        <v>1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1</v>
      </c>
      <c r="CT236" s="18">
        <v>0</v>
      </c>
      <c r="CZ236" s="34" t="s">
        <v>87</v>
      </c>
    </row>
    <row r="237" spans="1:104" x14ac:dyDescent="0.25">
      <c r="A237">
        <v>236</v>
      </c>
      <c r="B237">
        <v>17</v>
      </c>
      <c r="C237" s="25" t="s">
        <v>205</v>
      </c>
      <c r="D237" s="12">
        <v>7.4999999999999982</v>
      </c>
      <c r="E237" s="14">
        <v>1.1503067484662575</v>
      </c>
      <c r="F237" s="7">
        <v>6.52</v>
      </c>
      <c r="G237" s="7">
        <f t="shared" si="190"/>
        <v>6.3496932515337408</v>
      </c>
      <c r="H237" s="16">
        <f t="shared" si="191"/>
        <v>8.6503067484662566</v>
      </c>
      <c r="I237" s="11">
        <f t="shared" si="167"/>
        <v>0.1128759333102024</v>
      </c>
      <c r="J237" s="33">
        <f t="shared" si="168"/>
        <v>1.7312259710153745E-2</v>
      </c>
      <c r="K237" s="33">
        <f t="shared" si="192"/>
        <v>57.762534570428954</v>
      </c>
      <c r="L237" s="33">
        <f t="shared" si="193"/>
        <v>9.5563673600048665E-2</v>
      </c>
      <c r="M237" s="33">
        <f t="shared" si="194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195"/>
        <v>3294</v>
      </c>
      <c r="Y237" s="7">
        <v>10.520000000000001</v>
      </c>
      <c r="Z237" s="7">
        <f t="shared" si="177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9">
        <v>0</v>
      </c>
      <c r="AL237" s="30">
        <v>1</v>
      </c>
      <c r="AM237" s="21">
        <v>1992</v>
      </c>
      <c r="AN237" s="23"/>
      <c r="AO237" s="33">
        <f t="shared" si="196"/>
        <v>0.17</v>
      </c>
      <c r="AP237" s="33">
        <v>0.2</v>
      </c>
      <c r="AQ237" s="33">
        <v>0.46</v>
      </c>
      <c r="AR237" s="43">
        <f t="shared" si="197"/>
        <v>0.17</v>
      </c>
      <c r="AS237" s="33" t="s">
        <v>107</v>
      </c>
      <c r="AT237" s="43" t="s">
        <v>107</v>
      </c>
      <c r="AU237" s="42">
        <v>0.67</v>
      </c>
      <c r="AV237" s="18">
        <v>0.33</v>
      </c>
      <c r="AW237">
        <v>1</v>
      </c>
      <c r="AX237" s="40">
        <f t="shared" si="165"/>
        <v>0</v>
      </c>
      <c r="AY237">
        <v>0.31</v>
      </c>
      <c r="AZ237" s="40">
        <v>0.69</v>
      </c>
      <c r="BB237" s="18"/>
      <c r="BC237">
        <f t="shared" si="185"/>
        <v>0.56800000000000006</v>
      </c>
      <c r="BD237" s="18">
        <v>0.432</v>
      </c>
      <c r="BE237" s="18" t="s">
        <v>10</v>
      </c>
      <c r="BL237" s="18"/>
      <c r="BO237" s="18"/>
      <c r="BR237" s="25">
        <v>40</v>
      </c>
      <c r="BS237">
        <v>1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 s="18">
        <v>0</v>
      </c>
      <c r="CA237">
        <v>0</v>
      </c>
      <c r="CB237">
        <v>1</v>
      </c>
      <c r="CC237">
        <v>0</v>
      </c>
      <c r="CD237" s="18">
        <v>0</v>
      </c>
      <c r="CE237">
        <v>1</v>
      </c>
      <c r="CF237">
        <v>0</v>
      </c>
      <c r="CG237">
        <v>0</v>
      </c>
      <c r="CH237">
        <v>0</v>
      </c>
      <c r="CI237" s="18">
        <v>0</v>
      </c>
      <c r="CJ237">
        <v>0</v>
      </c>
      <c r="CK237">
        <v>0</v>
      </c>
      <c r="CL237">
        <v>1</v>
      </c>
      <c r="CM237">
        <v>1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1</v>
      </c>
      <c r="CT237" s="18">
        <v>0</v>
      </c>
      <c r="CZ237" s="34" t="s">
        <v>87</v>
      </c>
    </row>
    <row r="238" spans="1:104" x14ac:dyDescent="0.25">
      <c r="A238">
        <v>237</v>
      </c>
      <c r="B238">
        <v>17</v>
      </c>
      <c r="C238" s="25" t="s">
        <v>205</v>
      </c>
      <c r="D238" s="12">
        <v>13.4</v>
      </c>
      <c r="E238" s="14">
        <v>2.2521008403361344</v>
      </c>
      <c r="F238" s="7">
        <v>5.95</v>
      </c>
      <c r="G238" s="7">
        <f t="shared" si="190"/>
        <v>11.147899159663865</v>
      </c>
      <c r="H238" s="16">
        <f t="shared" si="191"/>
        <v>15.652100840336136</v>
      </c>
      <c r="I238" s="11">
        <f t="shared" si="167"/>
        <v>0.10311784184327458</v>
      </c>
      <c r="J238" s="33">
        <f t="shared" si="168"/>
        <v>1.7330729721558753E-2</v>
      </c>
      <c r="K238" s="33">
        <f t="shared" si="192"/>
        <v>57.700974861782015</v>
      </c>
      <c r="L238" s="33">
        <f t="shared" si="193"/>
        <v>8.5787112121715831E-2</v>
      </c>
      <c r="M238" s="33">
        <f t="shared" si="194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195"/>
        <v>3294</v>
      </c>
      <c r="Y238" s="7">
        <v>10.520000000000001</v>
      </c>
      <c r="Z238" s="7">
        <f t="shared" si="177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9">
        <v>0</v>
      </c>
      <c r="AL238" s="30">
        <v>1</v>
      </c>
      <c r="AM238" s="21">
        <v>1992</v>
      </c>
      <c r="AN238" s="23"/>
      <c r="AO238" s="33">
        <f t="shared" si="196"/>
        <v>0.17</v>
      </c>
      <c r="AP238" s="33">
        <v>0.2</v>
      </c>
      <c r="AQ238" s="33">
        <v>0.46</v>
      </c>
      <c r="AR238" s="43">
        <f t="shared" si="197"/>
        <v>0.17</v>
      </c>
      <c r="AS238" s="33" t="s">
        <v>107</v>
      </c>
      <c r="AT238" s="43" t="s">
        <v>107</v>
      </c>
      <c r="AU238" s="42">
        <v>0.67</v>
      </c>
      <c r="AV238" s="18">
        <v>0.33</v>
      </c>
      <c r="AW238">
        <v>1</v>
      </c>
      <c r="AX238" s="40">
        <f t="shared" si="165"/>
        <v>0</v>
      </c>
      <c r="AY238">
        <v>0.31</v>
      </c>
      <c r="AZ238" s="40">
        <v>0.69</v>
      </c>
      <c r="BB238" s="18"/>
      <c r="BC238">
        <f t="shared" si="185"/>
        <v>0.56800000000000006</v>
      </c>
      <c r="BD238" s="18">
        <v>0.432</v>
      </c>
      <c r="BE238" s="18" t="s">
        <v>10</v>
      </c>
      <c r="BL238" s="18"/>
      <c r="BO238" s="18"/>
      <c r="BR238" s="25">
        <v>40</v>
      </c>
      <c r="BS238">
        <v>1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 s="18">
        <v>0</v>
      </c>
      <c r="CA238">
        <v>0</v>
      </c>
      <c r="CB238">
        <v>1</v>
      </c>
      <c r="CC238">
        <v>0</v>
      </c>
      <c r="CD238" s="18">
        <v>0</v>
      </c>
      <c r="CE238">
        <v>1</v>
      </c>
      <c r="CF238">
        <v>0</v>
      </c>
      <c r="CG238">
        <v>0</v>
      </c>
      <c r="CH238">
        <v>0</v>
      </c>
      <c r="CI238" s="18">
        <v>0</v>
      </c>
      <c r="CJ238">
        <v>0</v>
      </c>
      <c r="CK238">
        <v>0</v>
      </c>
      <c r="CL238">
        <v>1</v>
      </c>
      <c r="CM238">
        <v>1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1</v>
      </c>
      <c r="CT238" s="18">
        <v>0</v>
      </c>
      <c r="CZ238" s="34" t="s">
        <v>87</v>
      </c>
    </row>
    <row r="239" spans="1:104" x14ac:dyDescent="0.25">
      <c r="A239">
        <v>238</v>
      </c>
      <c r="B239">
        <v>17</v>
      </c>
      <c r="C239" s="25" t="s">
        <v>205</v>
      </c>
      <c r="D239" s="12">
        <v>0.3833333333333333</v>
      </c>
      <c r="E239" s="14">
        <v>0.85185185185185175</v>
      </c>
      <c r="F239" s="7">
        <v>0.45</v>
      </c>
      <c r="G239" s="7">
        <f t="shared" si="190"/>
        <v>-0.46851851851851845</v>
      </c>
      <c r="H239" s="16">
        <f t="shared" si="191"/>
        <v>1.2351851851851849</v>
      </c>
      <c r="I239" s="11">
        <f t="shared" si="167"/>
        <v>7.8296962571316932E-3</v>
      </c>
      <c r="J239" s="33">
        <f t="shared" si="168"/>
        <v>1.7399325015848205E-2</v>
      </c>
      <c r="K239" s="33">
        <f t="shared" si="192"/>
        <v>57.473493890662326</v>
      </c>
      <c r="L239" s="33">
        <f t="shared" si="193"/>
        <v>-9.5696287587165117E-3</v>
      </c>
      <c r="M239" s="33">
        <f t="shared" si="194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195"/>
        <v>3303</v>
      </c>
      <c r="Y239" s="7">
        <v>10.520000000000001</v>
      </c>
      <c r="Z239" s="7">
        <f t="shared" si="177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9">
        <v>0</v>
      </c>
      <c r="AL239" s="30">
        <v>1</v>
      </c>
      <c r="AM239" s="21">
        <v>1992</v>
      </c>
      <c r="AN239" s="23"/>
      <c r="AO239" s="33">
        <f t="shared" si="196"/>
        <v>0.17</v>
      </c>
      <c r="AP239" s="33">
        <v>0.2</v>
      </c>
      <c r="AQ239" s="33">
        <v>0.46</v>
      </c>
      <c r="AR239" s="43">
        <f t="shared" si="197"/>
        <v>0.17</v>
      </c>
      <c r="AS239" s="33" t="s">
        <v>107</v>
      </c>
      <c r="AT239" s="43" t="s">
        <v>107</v>
      </c>
      <c r="AU239" s="42">
        <v>0.67</v>
      </c>
      <c r="AV239" s="18">
        <v>0.33</v>
      </c>
      <c r="AW239">
        <v>1</v>
      </c>
      <c r="AX239" s="40">
        <f t="shared" si="165"/>
        <v>0</v>
      </c>
      <c r="AY239">
        <v>0.31</v>
      </c>
      <c r="AZ239" s="40">
        <v>0.69</v>
      </c>
      <c r="BB239" s="18"/>
      <c r="BC239">
        <f t="shared" si="185"/>
        <v>0.56800000000000006</v>
      </c>
      <c r="BD239" s="18">
        <v>0.432</v>
      </c>
      <c r="BE239" s="18" t="s">
        <v>10</v>
      </c>
      <c r="BL239" s="18"/>
      <c r="BO239" s="18"/>
      <c r="BR239" s="25">
        <v>40</v>
      </c>
      <c r="BS239">
        <v>1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 s="18">
        <v>0</v>
      </c>
      <c r="CA239">
        <v>0</v>
      </c>
      <c r="CB239">
        <v>1</v>
      </c>
      <c r="CC239">
        <v>0</v>
      </c>
      <c r="CD239" s="18">
        <v>0</v>
      </c>
      <c r="CE239">
        <v>1</v>
      </c>
      <c r="CF239">
        <v>0</v>
      </c>
      <c r="CG239">
        <v>0</v>
      </c>
      <c r="CH239">
        <v>0</v>
      </c>
      <c r="CI239" s="18">
        <v>0</v>
      </c>
      <c r="CJ239">
        <v>0</v>
      </c>
      <c r="CK239">
        <v>0</v>
      </c>
      <c r="CL239">
        <v>1</v>
      </c>
      <c r="CM239">
        <v>1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1</v>
      </c>
      <c r="CT239" s="18">
        <v>0</v>
      </c>
      <c r="CZ239" s="34" t="s">
        <v>87</v>
      </c>
    </row>
    <row r="240" spans="1:104" x14ac:dyDescent="0.25">
      <c r="A240">
        <v>239</v>
      </c>
      <c r="B240">
        <v>17</v>
      </c>
      <c r="C240" s="25" t="s">
        <v>205</v>
      </c>
      <c r="D240" s="12">
        <v>4.25</v>
      </c>
      <c r="E240" s="14">
        <v>1.0625</v>
      </c>
      <c r="F240" s="7">
        <v>4</v>
      </c>
      <c r="G240" s="7">
        <f t="shared" si="190"/>
        <v>3.1875</v>
      </c>
      <c r="H240" s="16">
        <f t="shared" si="191"/>
        <v>5.3125</v>
      </c>
      <c r="I240" s="11">
        <f t="shared" si="167"/>
        <v>6.9431470784376378E-2</v>
      </c>
      <c r="J240" s="33">
        <f t="shared" si="168"/>
        <v>1.7357867696094095E-2</v>
      </c>
      <c r="K240" s="33">
        <f t="shared" si="192"/>
        <v>57.610762883336307</v>
      </c>
      <c r="L240" s="33">
        <f t="shared" si="193"/>
        <v>5.207360308828228E-2</v>
      </c>
      <c r="M240" s="33">
        <f t="shared" si="194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195"/>
        <v>3303</v>
      </c>
      <c r="Y240" s="7">
        <v>10.520000000000001</v>
      </c>
      <c r="Z240" s="7">
        <f t="shared" si="177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9">
        <v>0</v>
      </c>
      <c r="AL240" s="30">
        <v>1</v>
      </c>
      <c r="AM240" s="21">
        <v>1992</v>
      </c>
      <c r="AN240" s="23"/>
      <c r="AO240" s="33">
        <f t="shared" si="196"/>
        <v>0.17</v>
      </c>
      <c r="AP240" s="33">
        <v>0.2</v>
      </c>
      <c r="AQ240" s="33">
        <v>0.46</v>
      </c>
      <c r="AR240" s="43">
        <f t="shared" si="197"/>
        <v>0.17</v>
      </c>
      <c r="AS240" s="33" t="s">
        <v>107</v>
      </c>
      <c r="AT240" s="43" t="s">
        <v>107</v>
      </c>
      <c r="AU240" s="42">
        <v>0.67</v>
      </c>
      <c r="AV240" s="18">
        <v>0.33</v>
      </c>
      <c r="AW240">
        <v>1</v>
      </c>
      <c r="AX240" s="40">
        <f t="shared" si="165"/>
        <v>0</v>
      </c>
      <c r="AY240">
        <v>0.31</v>
      </c>
      <c r="AZ240" s="40">
        <v>0.69</v>
      </c>
      <c r="BB240" s="18"/>
      <c r="BC240">
        <f t="shared" si="185"/>
        <v>0.56800000000000006</v>
      </c>
      <c r="BD240" s="18">
        <v>0.432</v>
      </c>
      <c r="BE240" s="18" t="s">
        <v>10</v>
      </c>
      <c r="BL240" s="18"/>
      <c r="BO240" s="18"/>
      <c r="BR240" s="25">
        <v>40</v>
      </c>
      <c r="BS240">
        <v>1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 s="18">
        <v>0</v>
      </c>
      <c r="CA240">
        <v>0</v>
      </c>
      <c r="CB240">
        <v>1</v>
      </c>
      <c r="CC240">
        <v>0</v>
      </c>
      <c r="CD240" s="18">
        <v>0</v>
      </c>
      <c r="CE240">
        <v>1</v>
      </c>
      <c r="CF240">
        <v>0</v>
      </c>
      <c r="CG240">
        <v>0</v>
      </c>
      <c r="CH240">
        <v>0</v>
      </c>
      <c r="CI240" s="18">
        <v>0</v>
      </c>
      <c r="CJ240">
        <v>0</v>
      </c>
      <c r="CK240">
        <v>0</v>
      </c>
      <c r="CL240">
        <v>1</v>
      </c>
      <c r="CM240">
        <v>1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1</v>
      </c>
      <c r="CT240" s="18">
        <v>0</v>
      </c>
      <c r="CZ240" s="34" t="s">
        <v>87</v>
      </c>
    </row>
    <row r="241" spans="1:104" x14ac:dyDescent="0.25">
      <c r="A241">
        <v>240</v>
      </c>
      <c r="B241">
        <v>17</v>
      </c>
      <c r="C241" s="25" t="s">
        <v>205</v>
      </c>
      <c r="D241" s="12">
        <v>7.3200000000000012</v>
      </c>
      <c r="E241" s="14">
        <v>1.1141552511415527</v>
      </c>
      <c r="F241" s="7">
        <v>6.57</v>
      </c>
      <c r="G241" s="7">
        <f t="shared" si="190"/>
        <v>6.2058447488584481</v>
      </c>
      <c r="H241" s="16">
        <f t="shared" si="191"/>
        <v>8.4341552511415543</v>
      </c>
      <c r="I241" s="11">
        <f t="shared" si="167"/>
        <v>0.11357734174803634</v>
      </c>
      <c r="J241" s="33">
        <f t="shared" si="168"/>
        <v>1.7287266628316034E-2</v>
      </c>
      <c r="K241" s="33">
        <f t="shared" si="192"/>
        <v>57.846044808612454</v>
      </c>
      <c r="L241" s="33">
        <f t="shared" si="193"/>
        <v>9.6290075119720306E-2</v>
      </c>
      <c r="M241" s="33">
        <f t="shared" si="194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195"/>
        <v>3303</v>
      </c>
      <c r="Y241" s="7">
        <v>10.520000000000001</v>
      </c>
      <c r="Z241" s="7">
        <f t="shared" si="177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9">
        <v>0</v>
      </c>
      <c r="AL241" s="30">
        <v>1</v>
      </c>
      <c r="AM241" s="21">
        <v>1992</v>
      </c>
      <c r="AN241" s="23"/>
      <c r="AO241" s="33">
        <f t="shared" si="196"/>
        <v>0.17</v>
      </c>
      <c r="AP241" s="33">
        <v>0.2</v>
      </c>
      <c r="AQ241" s="33">
        <v>0.46</v>
      </c>
      <c r="AR241" s="43">
        <f t="shared" si="197"/>
        <v>0.17</v>
      </c>
      <c r="AS241" s="33" t="s">
        <v>107</v>
      </c>
      <c r="AT241" s="43" t="s">
        <v>107</v>
      </c>
      <c r="AU241" s="42">
        <v>0.67</v>
      </c>
      <c r="AV241" s="18">
        <v>0.33</v>
      </c>
      <c r="AW241">
        <v>1</v>
      </c>
      <c r="AX241" s="40">
        <f t="shared" si="165"/>
        <v>0</v>
      </c>
      <c r="AY241">
        <v>0.31</v>
      </c>
      <c r="AZ241" s="40">
        <v>0.69</v>
      </c>
      <c r="BB241" s="18"/>
      <c r="BC241">
        <f t="shared" si="185"/>
        <v>0.56800000000000006</v>
      </c>
      <c r="BD241" s="18">
        <v>0.432</v>
      </c>
      <c r="BE241" s="18" t="s">
        <v>10</v>
      </c>
      <c r="BL241" s="18"/>
      <c r="BO241" s="18"/>
      <c r="BR241" s="25">
        <v>40</v>
      </c>
      <c r="BS241">
        <v>1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 s="18">
        <v>0</v>
      </c>
      <c r="CA241">
        <v>0</v>
      </c>
      <c r="CB241">
        <v>1</v>
      </c>
      <c r="CC241">
        <v>0</v>
      </c>
      <c r="CD241" s="18">
        <v>0</v>
      </c>
      <c r="CE241">
        <v>1</v>
      </c>
      <c r="CF241">
        <v>0</v>
      </c>
      <c r="CG241">
        <v>0</v>
      </c>
      <c r="CH241">
        <v>0</v>
      </c>
      <c r="CI241" s="18">
        <v>0</v>
      </c>
      <c r="CJ241">
        <v>0</v>
      </c>
      <c r="CK241">
        <v>0</v>
      </c>
      <c r="CL241">
        <v>1</v>
      </c>
      <c r="CM241">
        <v>1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1</v>
      </c>
      <c r="CT241" s="18">
        <v>0</v>
      </c>
      <c r="CZ241" s="34" t="s">
        <v>87</v>
      </c>
    </row>
    <row r="242" spans="1:104" x14ac:dyDescent="0.25">
      <c r="A242">
        <v>241</v>
      </c>
      <c r="B242">
        <v>17</v>
      </c>
      <c r="C242" s="25" t="s">
        <v>205</v>
      </c>
      <c r="D242" s="12">
        <v>12.999999999999998</v>
      </c>
      <c r="E242" s="14">
        <v>2.2336769759450168</v>
      </c>
      <c r="F242" s="7">
        <v>5.82</v>
      </c>
      <c r="G242" s="7">
        <f t="shared" si="190"/>
        <v>10.766323024054982</v>
      </c>
      <c r="H242" s="16">
        <f t="shared" si="191"/>
        <v>15.233676975945015</v>
      </c>
      <c r="I242" s="11">
        <f t="shared" si="167"/>
        <v>0.10075188604331468</v>
      </c>
      <c r="J242" s="33">
        <f t="shared" si="168"/>
        <v>1.7311320625999084E-2</v>
      </c>
      <c r="K242" s="33">
        <f t="shared" si="192"/>
        <v>57.765668004447072</v>
      </c>
      <c r="L242" s="33">
        <f t="shared" si="193"/>
        <v>8.3440565417315593E-2</v>
      </c>
      <c r="M242" s="33">
        <f t="shared" si="194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195"/>
        <v>3303</v>
      </c>
      <c r="Y242" s="7">
        <v>10.520000000000001</v>
      </c>
      <c r="Z242" s="7">
        <f t="shared" si="177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9">
        <v>0</v>
      </c>
      <c r="AL242" s="30">
        <v>1</v>
      </c>
      <c r="AM242" s="21">
        <v>1992</v>
      </c>
      <c r="AN242" s="23"/>
      <c r="AO242" s="33">
        <f t="shared" si="196"/>
        <v>0.17</v>
      </c>
      <c r="AP242" s="33">
        <v>0.2</v>
      </c>
      <c r="AQ242" s="33">
        <v>0.46</v>
      </c>
      <c r="AR242" s="43">
        <f t="shared" si="197"/>
        <v>0.17</v>
      </c>
      <c r="AS242" s="33" t="s">
        <v>107</v>
      </c>
      <c r="AT242" s="43" t="s">
        <v>107</v>
      </c>
      <c r="AU242" s="42">
        <v>0.67</v>
      </c>
      <c r="AV242" s="18">
        <v>0.33</v>
      </c>
      <c r="AW242">
        <v>1</v>
      </c>
      <c r="AX242" s="40">
        <f t="shared" si="165"/>
        <v>0</v>
      </c>
      <c r="AY242">
        <v>0.31</v>
      </c>
      <c r="AZ242" s="40">
        <v>0.69</v>
      </c>
      <c r="BB242" s="18"/>
      <c r="BC242">
        <f t="shared" si="185"/>
        <v>0.56800000000000006</v>
      </c>
      <c r="BD242" s="18">
        <v>0.432</v>
      </c>
      <c r="BE242" s="18" t="s">
        <v>10</v>
      </c>
      <c r="BL242" s="18"/>
      <c r="BO242" s="18"/>
      <c r="BR242" s="25">
        <v>40</v>
      </c>
      <c r="BS242">
        <v>1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 s="18">
        <v>0</v>
      </c>
      <c r="CA242">
        <v>0</v>
      </c>
      <c r="CB242">
        <v>1</v>
      </c>
      <c r="CC242">
        <v>0</v>
      </c>
      <c r="CD242" s="18">
        <v>0</v>
      </c>
      <c r="CE242">
        <v>1</v>
      </c>
      <c r="CF242">
        <v>0</v>
      </c>
      <c r="CG242">
        <v>0</v>
      </c>
      <c r="CH242">
        <v>0</v>
      </c>
      <c r="CI242" s="18">
        <v>0</v>
      </c>
      <c r="CJ242">
        <v>0</v>
      </c>
      <c r="CK242">
        <v>0</v>
      </c>
      <c r="CL242">
        <v>1</v>
      </c>
      <c r="CM242">
        <v>1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1</v>
      </c>
      <c r="CT242" s="18">
        <v>0</v>
      </c>
      <c r="CZ242" s="34" t="s">
        <v>87</v>
      </c>
    </row>
    <row r="243" spans="1:104" x14ac:dyDescent="0.25">
      <c r="A243">
        <v>242</v>
      </c>
      <c r="B243">
        <v>17</v>
      </c>
      <c r="C243" s="25" t="s">
        <v>205</v>
      </c>
      <c r="D243" s="12">
        <v>4.9833333333333334</v>
      </c>
      <c r="E243" s="14">
        <v>1.175314465408805</v>
      </c>
      <c r="F243" s="7">
        <v>4.24</v>
      </c>
      <c r="G243" s="7">
        <f t="shared" si="190"/>
        <v>3.8080188679245284</v>
      </c>
      <c r="H243" s="16">
        <f t="shared" si="191"/>
        <v>6.1586477987421384</v>
      </c>
      <c r="I243" s="11">
        <f t="shared" si="167"/>
        <v>9.0111297961682588E-2</v>
      </c>
      <c r="J243" s="33">
        <f t="shared" si="168"/>
        <v>2.1252664613604384E-2</v>
      </c>
      <c r="K243" s="33">
        <f t="shared" si="192"/>
        <v>47.05292339483276</v>
      </c>
      <c r="L243" s="33">
        <f t="shared" si="193"/>
        <v>6.8858633348078208E-2</v>
      </c>
      <c r="M243" s="33">
        <f t="shared" si="194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195"/>
        <v>2196</v>
      </c>
      <c r="Y243" s="7">
        <v>9.8450000000000006</v>
      </c>
      <c r="Z243" s="7">
        <f t="shared" si="177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9">
        <v>0</v>
      </c>
      <c r="AL243" s="30">
        <v>1</v>
      </c>
      <c r="AM243" s="21">
        <v>1999</v>
      </c>
      <c r="AN243" s="23"/>
      <c r="AO243" s="33">
        <f t="shared" si="196"/>
        <v>0.19249999999999998</v>
      </c>
      <c r="AP243" s="33">
        <v>0.28999999999999998</v>
      </c>
      <c r="AQ243" s="33">
        <v>0.32500000000000001</v>
      </c>
      <c r="AR243" s="43">
        <f t="shared" si="197"/>
        <v>0.19249999999999998</v>
      </c>
      <c r="AS243" s="33" t="s">
        <v>107</v>
      </c>
      <c r="AT243" s="43" t="s">
        <v>107</v>
      </c>
      <c r="AU243" s="42">
        <v>0.67</v>
      </c>
      <c r="AV243" s="18">
        <v>0.33</v>
      </c>
      <c r="AW243">
        <v>0</v>
      </c>
      <c r="AX243" s="40">
        <f t="shared" si="165"/>
        <v>1</v>
      </c>
      <c r="AY243">
        <v>0.38</v>
      </c>
      <c r="AZ243" s="40">
        <v>0.62</v>
      </c>
      <c r="BB243" s="18"/>
      <c r="BC243">
        <f t="shared" si="185"/>
        <v>0.48099999999999998</v>
      </c>
      <c r="BD243" s="18">
        <v>0.51900000000000002</v>
      </c>
      <c r="BE243" s="18" t="s">
        <v>10</v>
      </c>
      <c r="BL243" s="18"/>
      <c r="BO243" s="18"/>
      <c r="BR243" s="25">
        <v>40</v>
      </c>
      <c r="BS243">
        <v>1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 s="18">
        <v>0</v>
      </c>
      <c r="CA243">
        <v>0</v>
      </c>
      <c r="CB243">
        <v>1</v>
      </c>
      <c r="CC243">
        <v>0</v>
      </c>
      <c r="CD243" s="18">
        <v>0</v>
      </c>
      <c r="CE243">
        <v>1</v>
      </c>
      <c r="CF243">
        <v>0</v>
      </c>
      <c r="CG243">
        <v>0</v>
      </c>
      <c r="CH243">
        <v>0</v>
      </c>
      <c r="CI243" s="18">
        <v>0</v>
      </c>
      <c r="CJ243">
        <v>0</v>
      </c>
      <c r="CK243">
        <v>0</v>
      </c>
      <c r="CL243">
        <v>1</v>
      </c>
      <c r="CM243">
        <v>1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1</v>
      </c>
      <c r="CT243" s="18">
        <v>0</v>
      </c>
      <c r="CZ243" s="34" t="s">
        <v>87</v>
      </c>
    </row>
    <row r="244" spans="1:104" x14ac:dyDescent="0.25">
      <c r="A244">
        <v>243</v>
      </c>
      <c r="B244">
        <v>17</v>
      </c>
      <c r="C244" s="25" t="s">
        <v>205</v>
      </c>
      <c r="D244" s="12">
        <v>4.1500000000000012</v>
      </c>
      <c r="E244" s="14">
        <v>0.64341085271317844</v>
      </c>
      <c r="F244" s="7">
        <v>6.45</v>
      </c>
      <c r="G244" s="7">
        <f t="shared" si="190"/>
        <v>3.5065891472868227</v>
      </c>
      <c r="H244" s="16">
        <f t="shared" si="191"/>
        <v>4.7934108527131798</v>
      </c>
      <c r="I244" s="11">
        <f t="shared" si="167"/>
        <v>0.13635411386705673</v>
      </c>
      <c r="J244" s="33">
        <f t="shared" si="168"/>
        <v>2.1140172692566933E-2</v>
      </c>
      <c r="K244" s="33">
        <f t="shared" si="192"/>
        <v>47.303303267319507</v>
      </c>
      <c r="L244" s="33">
        <f t="shared" si="193"/>
        <v>0.1152139411744898</v>
      </c>
      <c r="M244" s="33">
        <f t="shared" si="194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195"/>
        <v>2196</v>
      </c>
      <c r="Y244" s="7">
        <v>9.8450000000000006</v>
      </c>
      <c r="Z244" s="7">
        <f t="shared" si="177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9">
        <v>0</v>
      </c>
      <c r="AL244" s="30">
        <v>1</v>
      </c>
      <c r="AM244" s="21">
        <v>1999</v>
      </c>
      <c r="AN244" s="23"/>
      <c r="AO244" s="33">
        <f t="shared" si="196"/>
        <v>0.19249999999999998</v>
      </c>
      <c r="AP244" s="33">
        <v>0.28999999999999998</v>
      </c>
      <c r="AQ244" s="33">
        <v>0.32500000000000001</v>
      </c>
      <c r="AR244" s="43">
        <f t="shared" si="197"/>
        <v>0.19249999999999998</v>
      </c>
      <c r="AS244" s="33" t="s">
        <v>107</v>
      </c>
      <c r="AT244" s="43" t="s">
        <v>107</v>
      </c>
      <c r="AU244" s="42">
        <v>0.67</v>
      </c>
      <c r="AV244" s="18">
        <v>0.33</v>
      </c>
      <c r="AW244">
        <v>0</v>
      </c>
      <c r="AX244" s="40">
        <f t="shared" si="165"/>
        <v>1</v>
      </c>
      <c r="AY244">
        <v>0.38</v>
      </c>
      <c r="AZ244" s="40">
        <v>0.62</v>
      </c>
      <c r="BB244" s="18"/>
      <c r="BC244">
        <f t="shared" si="185"/>
        <v>0.48099999999999998</v>
      </c>
      <c r="BD244" s="18">
        <v>0.51900000000000002</v>
      </c>
      <c r="BE244" s="18" t="s">
        <v>10</v>
      </c>
      <c r="BL244" s="18"/>
      <c r="BO244" s="18"/>
      <c r="BR244" s="25">
        <v>40</v>
      </c>
      <c r="BS244">
        <v>1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 s="18">
        <v>0</v>
      </c>
      <c r="CA244">
        <v>0</v>
      </c>
      <c r="CB244">
        <v>1</v>
      </c>
      <c r="CC244">
        <v>0</v>
      </c>
      <c r="CD244" s="18">
        <v>0</v>
      </c>
      <c r="CE244">
        <v>1</v>
      </c>
      <c r="CF244">
        <v>0</v>
      </c>
      <c r="CG244">
        <v>0</v>
      </c>
      <c r="CH244">
        <v>0</v>
      </c>
      <c r="CI244" s="18">
        <v>0</v>
      </c>
      <c r="CJ244">
        <v>0</v>
      </c>
      <c r="CK244">
        <v>0</v>
      </c>
      <c r="CL244">
        <v>1</v>
      </c>
      <c r="CM244">
        <v>1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1</v>
      </c>
      <c r="CT244" s="18">
        <v>0</v>
      </c>
      <c r="CZ244" s="34" t="s">
        <v>87</v>
      </c>
    </row>
    <row r="245" spans="1:104" x14ac:dyDescent="0.25">
      <c r="A245">
        <v>244</v>
      </c>
      <c r="B245">
        <v>17</v>
      </c>
      <c r="C245" s="25" t="s">
        <v>205</v>
      </c>
      <c r="D245" s="12">
        <v>12.319999999999997</v>
      </c>
      <c r="E245" s="14">
        <v>2.294227188081936</v>
      </c>
      <c r="F245" s="7">
        <v>5.37</v>
      </c>
      <c r="G245" s="7">
        <f t="shared" si="190"/>
        <v>10.02577281191806</v>
      </c>
      <c r="H245" s="16">
        <f t="shared" si="191"/>
        <v>14.614227188081934</v>
      </c>
      <c r="I245" s="11">
        <f t="shared" si="167"/>
        <v>0.11384794510822124</v>
      </c>
      <c r="J245" s="33">
        <f t="shared" si="168"/>
        <v>2.1200734657024437E-2</v>
      </c>
      <c r="K245" s="33">
        <f t="shared" si="192"/>
        <v>47.168176772056817</v>
      </c>
      <c r="L245" s="33">
        <f t="shared" si="193"/>
        <v>9.264721045119681E-2</v>
      </c>
      <c r="M245" s="33">
        <f t="shared" si="194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195"/>
        <v>2196</v>
      </c>
      <c r="Y245" s="7">
        <v>9.8450000000000006</v>
      </c>
      <c r="Z245" s="7">
        <f t="shared" si="177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9">
        <v>0</v>
      </c>
      <c r="AL245" s="30">
        <v>1</v>
      </c>
      <c r="AM245" s="21">
        <v>1999</v>
      </c>
      <c r="AN245" s="23"/>
      <c r="AO245" s="33">
        <f t="shared" si="196"/>
        <v>0.19249999999999998</v>
      </c>
      <c r="AP245" s="33">
        <v>0.28999999999999998</v>
      </c>
      <c r="AQ245" s="33">
        <v>0.32500000000000001</v>
      </c>
      <c r="AR245" s="43">
        <f t="shared" si="197"/>
        <v>0.19249999999999998</v>
      </c>
      <c r="AS245" s="33" t="s">
        <v>107</v>
      </c>
      <c r="AT245" s="43" t="s">
        <v>107</v>
      </c>
      <c r="AU245" s="42">
        <v>0.67</v>
      </c>
      <c r="AV245" s="18">
        <v>0.33</v>
      </c>
      <c r="AW245">
        <v>0</v>
      </c>
      <c r="AX245" s="40">
        <f t="shared" si="165"/>
        <v>1</v>
      </c>
      <c r="AY245">
        <v>0.38</v>
      </c>
      <c r="AZ245" s="40">
        <v>0.62</v>
      </c>
      <c r="BB245" s="18"/>
      <c r="BC245">
        <f t="shared" si="185"/>
        <v>0.48099999999999998</v>
      </c>
      <c r="BD245" s="18">
        <v>0.51900000000000002</v>
      </c>
      <c r="BE245" s="18" t="s">
        <v>10</v>
      </c>
      <c r="BL245" s="18"/>
      <c r="BO245" s="18"/>
      <c r="BR245" s="25">
        <v>40</v>
      </c>
      <c r="BS245">
        <v>1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 s="18">
        <v>0</v>
      </c>
      <c r="CA245">
        <v>0</v>
      </c>
      <c r="CB245">
        <v>1</v>
      </c>
      <c r="CC245">
        <v>0</v>
      </c>
      <c r="CD245" s="18">
        <v>0</v>
      </c>
      <c r="CE245">
        <v>1</v>
      </c>
      <c r="CF245">
        <v>0</v>
      </c>
      <c r="CG245">
        <v>0</v>
      </c>
      <c r="CH245">
        <v>0</v>
      </c>
      <c r="CI245" s="18">
        <v>0</v>
      </c>
      <c r="CJ245">
        <v>0</v>
      </c>
      <c r="CK245">
        <v>0</v>
      </c>
      <c r="CL245">
        <v>1</v>
      </c>
      <c r="CM245">
        <v>1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1</v>
      </c>
      <c r="CT245" s="18">
        <v>0</v>
      </c>
      <c r="CZ245" s="34" t="s">
        <v>87</v>
      </c>
    </row>
    <row r="246" spans="1:104" x14ac:dyDescent="0.25">
      <c r="A246">
        <v>245</v>
      </c>
      <c r="B246">
        <v>17</v>
      </c>
      <c r="C246" s="25" t="s">
        <v>205</v>
      </c>
      <c r="D246" s="12">
        <v>18.433333333333334</v>
      </c>
      <c r="E246" s="14">
        <v>5.3121998078770414</v>
      </c>
      <c r="F246" s="7">
        <v>3.47</v>
      </c>
      <c r="G246" s="7">
        <f t="shared" si="190"/>
        <v>13.121133525456292</v>
      </c>
      <c r="H246" s="16">
        <f t="shared" si="191"/>
        <v>23.745533141210373</v>
      </c>
      <c r="I246" s="11">
        <f t="shared" si="167"/>
        <v>7.3845820103091431E-2</v>
      </c>
      <c r="J246" s="33">
        <f t="shared" si="168"/>
        <v>2.1281216168037877E-2</v>
      </c>
      <c r="K246" s="33">
        <f t="shared" si="192"/>
        <v>46.989795700768909</v>
      </c>
      <c r="L246" s="33">
        <f t="shared" si="193"/>
        <v>5.256460393505355E-2</v>
      </c>
      <c r="M246" s="33">
        <f t="shared" si="194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195"/>
        <v>2196</v>
      </c>
      <c r="Y246" s="7">
        <v>9.8450000000000006</v>
      </c>
      <c r="Z246" s="7">
        <f t="shared" si="177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9">
        <v>0</v>
      </c>
      <c r="AL246" s="30">
        <v>1</v>
      </c>
      <c r="AM246" s="21">
        <v>1999</v>
      </c>
      <c r="AN246" s="23"/>
      <c r="AO246" s="33">
        <f t="shared" si="196"/>
        <v>0.19249999999999998</v>
      </c>
      <c r="AP246" s="33">
        <v>0.28999999999999998</v>
      </c>
      <c r="AQ246" s="33">
        <v>0.32500000000000001</v>
      </c>
      <c r="AR246" s="43">
        <f t="shared" si="197"/>
        <v>0.19249999999999998</v>
      </c>
      <c r="AS246" s="33" t="s">
        <v>107</v>
      </c>
      <c r="AT246" s="43" t="s">
        <v>107</v>
      </c>
      <c r="AU246" s="42">
        <v>0.67</v>
      </c>
      <c r="AV246" s="18">
        <v>0.33</v>
      </c>
      <c r="AW246">
        <v>0</v>
      </c>
      <c r="AX246" s="40">
        <f t="shared" si="165"/>
        <v>1</v>
      </c>
      <c r="AY246">
        <v>0.38</v>
      </c>
      <c r="AZ246" s="40">
        <v>0.62</v>
      </c>
      <c r="BB246" s="18"/>
      <c r="BC246">
        <f t="shared" si="185"/>
        <v>0.48099999999999998</v>
      </c>
      <c r="BD246" s="18">
        <v>0.51900000000000002</v>
      </c>
      <c r="BE246" s="18" t="s">
        <v>10</v>
      </c>
      <c r="BL246" s="18"/>
      <c r="BO246" s="18"/>
      <c r="BR246" s="25">
        <v>40</v>
      </c>
      <c r="BS246">
        <v>1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 s="18">
        <v>0</v>
      </c>
      <c r="CA246">
        <v>0</v>
      </c>
      <c r="CB246">
        <v>1</v>
      </c>
      <c r="CC246">
        <v>0</v>
      </c>
      <c r="CD246" s="18">
        <v>0</v>
      </c>
      <c r="CE246">
        <v>1</v>
      </c>
      <c r="CF246">
        <v>0</v>
      </c>
      <c r="CG246">
        <v>0</v>
      </c>
      <c r="CH246">
        <v>0</v>
      </c>
      <c r="CI246" s="18">
        <v>0</v>
      </c>
      <c r="CJ246">
        <v>0</v>
      </c>
      <c r="CK246">
        <v>0</v>
      </c>
      <c r="CL246">
        <v>1</v>
      </c>
      <c r="CM246">
        <v>1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1</v>
      </c>
      <c r="CT246" s="18">
        <v>0</v>
      </c>
      <c r="CZ246" s="34" t="s">
        <v>87</v>
      </c>
    </row>
    <row r="247" spans="1:104" x14ac:dyDescent="0.25">
      <c r="A247">
        <v>246</v>
      </c>
      <c r="B247">
        <v>17</v>
      </c>
      <c r="C247" s="25" t="s">
        <v>205</v>
      </c>
      <c r="D247" s="12">
        <v>5</v>
      </c>
      <c r="E247" s="14">
        <v>1.1547344110854503</v>
      </c>
      <c r="F247" s="7">
        <v>4.33</v>
      </c>
      <c r="G247" s="7">
        <f t="shared" si="190"/>
        <v>3.8452655889145495</v>
      </c>
      <c r="H247" s="16">
        <f t="shared" si="191"/>
        <v>6.1547344110854505</v>
      </c>
      <c r="I247" s="11">
        <f t="shared" si="167"/>
        <v>9.1800996606447416E-2</v>
      </c>
      <c r="J247" s="33">
        <f t="shared" si="168"/>
        <v>2.1201153950680698E-2</v>
      </c>
      <c r="K247" s="33">
        <f t="shared" si="192"/>
        <v>47.167243930507539</v>
      </c>
      <c r="L247" s="33">
        <f t="shared" si="193"/>
        <v>7.0599842655766715E-2</v>
      </c>
      <c r="M247" s="33">
        <f t="shared" si="194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195"/>
        <v>2206</v>
      </c>
      <c r="Y247" s="7">
        <v>9.8450000000000006</v>
      </c>
      <c r="Z247" s="7">
        <f t="shared" si="177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9">
        <v>0</v>
      </c>
      <c r="AL247" s="30">
        <v>1</v>
      </c>
      <c r="AM247" s="21">
        <v>1999</v>
      </c>
      <c r="AN247" s="23"/>
      <c r="AO247" s="33">
        <f t="shared" si="196"/>
        <v>0.19249999999999998</v>
      </c>
      <c r="AP247" s="33">
        <v>0.28999999999999998</v>
      </c>
      <c r="AQ247" s="33">
        <v>0.32500000000000001</v>
      </c>
      <c r="AR247" s="43">
        <f t="shared" si="197"/>
        <v>0.19249999999999998</v>
      </c>
      <c r="AS247" s="33" t="s">
        <v>107</v>
      </c>
      <c r="AT247" s="43" t="s">
        <v>107</v>
      </c>
      <c r="AU247" s="42">
        <v>0.67</v>
      </c>
      <c r="AV247" s="18">
        <v>0.33</v>
      </c>
      <c r="AW247">
        <v>0</v>
      </c>
      <c r="AX247" s="40">
        <f t="shared" si="165"/>
        <v>1</v>
      </c>
      <c r="AY247">
        <v>0.38</v>
      </c>
      <c r="AZ247" s="40">
        <v>0.62</v>
      </c>
      <c r="BB247" s="18"/>
      <c r="BC247">
        <f t="shared" si="185"/>
        <v>0.48099999999999998</v>
      </c>
      <c r="BD247" s="18">
        <v>0.51900000000000002</v>
      </c>
      <c r="BE247" s="18" t="s">
        <v>10</v>
      </c>
      <c r="BL247" s="18"/>
      <c r="BO247" s="18"/>
      <c r="BR247" s="25">
        <v>40</v>
      </c>
      <c r="BS247">
        <v>1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 s="18">
        <v>0</v>
      </c>
      <c r="CA247">
        <v>0</v>
      </c>
      <c r="CB247">
        <v>1</v>
      </c>
      <c r="CC247">
        <v>0</v>
      </c>
      <c r="CD247" s="18">
        <v>0</v>
      </c>
      <c r="CE247">
        <v>1</v>
      </c>
      <c r="CF247">
        <v>0</v>
      </c>
      <c r="CG247">
        <v>0</v>
      </c>
      <c r="CH247">
        <v>0</v>
      </c>
      <c r="CI247" s="18">
        <v>0</v>
      </c>
      <c r="CJ247">
        <v>0</v>
      </c>
      <c r="CK247">
        <v>0</v>
      </c>
      <c r="CL247">
        <v>1</v>
      </c>
      <c r="CM247">
        <v>1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1</v>
      </c>
      <c r="CT247" s="18">
        <v>0</v>
      </c>
      <c r="CZ247" s="34" t="s">
        <v>87</v>
      </c>
    </row>
    <row r="248" spans="1:104" x14ac:dyDescent="0.25">
      <c r="A248">
        <v>247</v>
      </c>
      <c r="B248">
        <v>17</v>
      </c>
      <c r="C248" s="25" t="s">
        <v>205</v>
      </c>
      <c r="D248" s="12">
        <v>4.0500000000000007</v>
      </c>
      <c r="E248" s="14">
        <v>0.62021439509954068</v>
      </c>
      <c r="F248" s="7">
        <v>6.53</v>
      </c>
      <c r="G248" s="7">
        <f t="shared" si="190"/>
        <v>3.4297856049004602</v>
      </c>
      <c r="H248" s="16">
        <f t="shared" si="191"/>
        <v>4.6702143950995412</v>
      </c>
      <c r="I248" s="11">
        <f t="shared" si="167"/>
        <v>0.1377060840526772</v>
      </c>
      <c r="J248" s="33">
        <f t="shared" si="168"/>
        <v>2.1088221141298193E-2</v>
      </c>
      <c r="K248" s="33">
        <f t="shared" si="192"/>
        <v>47.419836566567788</v>
      </c>
      <c r="L248" s="33">
        <f t="shared" si="193"/>
        <v>0.11661786291137902</v>
      </c>
      <c r="M248" s="33">
        <f t="shared" si="194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195"/>
        <v>2206</v>
      </c>
      <c r="Y248" s="7">
        <v>9.8450000000000006</v>
      </c>
      <c r="Z248" s="7">
        <f t="shared" si="177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9">
        <v>0</v>
      </c>
      <c r="AL248" s="30">
        <v>1</v>
      </c>
      <c r="AM248" s="21">
        <v>1999</v>
      </c>
      <c r="AN248" s="23"/>
      <c r="AO248" s="33">
        <f t="shared" si="196"/>
        <v>0.19249999999999998</v>
      </c>
      <c r="AP248" s="33">
        <v>0.28999999999999998</v>
      </c>
      <c r="AQ248" s="33">
        <v>0.32500000000000001</v>
      </c>
      <c r="AR248" s="43">
        <f t="shared" si="197"/>
        <v>0.19249999999999998</v>
      </c>
      <c r="AS248" s="33" t="s">
        <v>107</v>
      </c>
      <c r="AT248" s="43" t="s">
        <v>107</v>
      </c>
      <c r="AU248" s="42">
        <v>0.67</v>
      </c>
      <c r="AV248" s="18">
        <v>0.33</v>
      </c>
      <c r="AW248">
        <v>0</v>
      </c>
      <c r="AX248" s="40">
        <f t="shared" si="165"/>
        <v>1</v>
      </c>
      <c r="AY248">
        <v>0.38</v>
      </c>
      <c r="AZ248" s="40">
        <v>0.62</v>
      </c>
      <c r="BB248" s="18"/>
      <c r="BC248">
        <f t="shared" si="185"/>
        <v>0.48099999999999998</v>
      </c>
      <c r="BD248" s="18">
        <v>0.51900000000000002</v>
      </c>
      <c r="BE248" s="18" t="s">
        <v>10</v>
      </c>
      <c r="BL248" s="18"/>
      <c r="BO248" s="18"/>
      <c r="BR248" s="25">
        <v>40</v>
      </c>
      <c r="BS248">
        <v>1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 s="18">
        <v>0</v>
      </c>
      <c r="CA248">
        <v>0</v>
      </c>
      <c r="CB248">
        <v>1</v>
      </c>
      <c r="CC248">
        <v>0</v>
      </c>
      <c r="CD248" s="18">
        <v>0</v>
      </c>
      <c r="CE248">
        <v>1</v>
      </c>
      <c r="CF248">
        <v>0</v>
      </c>
      <c r="CG248">
        <v>0</v>
      </c>
      <c r="CH248">
        <v>0</v>
      </c>
      <c r="CI248" s="18">
        <v>0</v>
      </c>
      <c r="CJ248">
        <v>0</v>
      </c>
      <c r="CK248">
        <v>0</v>
      </c>
      <c r="CL248">
        <v>1</v>
      </c>
      <c r="CM248">
        <v>1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1</v>
      </c>
      <c r="CT248" s="18">
        <v>0</v>
      </c>
      <c r="CZ248" s="34" t="s">
        <v>87</v>
      </c>
    </row>
    <row r="249" spans="1:104" x14ac:dyDescent="0.25">
      <c r="A249">
        <v>248</v>
      </c>
      <c r="B249">
        <v>17</v>
      </c>
      <c r="C249" s="25" t="s">
        <v>205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0"/>
        <v>10.062602230483272</v>
      </c>
      <c r="H249" s="16">
        <f t="shared" si="191"/>
        <v>14.657397769516731</v>
      </c>
      <c r="I249" s="11">
        <f t="shared" si="167"/>
        <v>0.11380174303938231</v>
      </c>
      <c r="J249" s="33">
        <f t="shared" si="168"/>
        <v>2.1152740341892618E-2</v>
      </c>
      <c r="K249" s="33">
        <f t="shared" si="192"/>
        <v>47.275198571766992</v>
      </c>
      <c r="L249" s="33">
        <f t="shared" si="193"/>
        <v>9.2649002697489699E-2</v>
      </c>
      <c r="M249" s="33">
        <f t="shared" si="194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195"/>
        <v>2206</v>
      </c>
      <c r="Y249" s="7">
        <v>9.8450000000000006</v>
      </c>
      <c r="Z249" s="7">
        <f t="shared" si="177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9">
        <v>0</v>
      </c>
      <c r="AL249" s="30">
        <v>1</v>
      </c>
      <c r="AM249" s="21">
        <v>1999</v>
      </c>
      <c r="AN249" s="23"/>
      <c r="AO249" s="33">
        <f t="shared" si="196"/>
        <v>0.19249999999999998</v>
      </c>
      <c r="AP249" s="33">
        <v>0.28999999999999998</v>
      </c>
      <c r="AQ249" s="33">
        <v>0.32500000000000001</v>
      </c>
      <c r="AR249" s="43">
        <f t="shared" si="197"/>
        <v>0.19249999999999998</v>
      </c>
      <c r="AS249" s="33" t="s">
        <v>107</v>
      </c>
      <c r="AT249" s="43" t="s">
        <v>107</v>
      </c>
      <c r="AU249" s="42">
        <v>0.67</v>
      </c>
      <c r="AV249" s="18">
        <v>0.33</v>
      </c>
      <c r="AW249">
        <v>0</v>
      </c>
      <c r="AX249" s="40">
        <f t="shared" si="165"/>
        <v>1</v>
      </c>
      <c r="AY249">
        <v>0.38</v>
      </c>
      <c r="AZ249" s="40">
        <v>0.62</v>
      </c>
      <c r="BB249" s="18"/>
      <c r="BC249">
        <f t="shared" si="185"/>
        <v>0.48099999999999998</v>
      </c>
      <c r="BD249" s="18">
        <v>0.51900000000000002</v>
      </c>
      <c r="BE249" s="18" t="s">
        <v>10</v>
      </c>
      <c r="BL249" s="18"/>
      <c r="BO249" s="18"/>
      <c r="BR249" s="25">
        <v>40</v>
      </c>
      <c r="BS249">
        <v>1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 s="18">
        <v>0</v>
      </c>
      <c r="CA249">
        <v>0</v>
      </c>
      <c r="CB249">
        <v>1</v>
      </c>
      <c r="CC249">
        <v>0</v>
      </c>
      <c r="CD249" s="18">
        <v>0</v>
      </c>
      <c r="CE249">
        <v>1</v>
      </c>
      <c r="CF249">
        <v>0</v>
      </c>
      <c r="CG249">
        <v>0</v>
      </c>
      <c r="CH249">
        <v>0</v>
      </c>
      <c r="CI249" s="18">
        <v>0</v>
      </c>
      <c r="CJ249">
        <v>0</v>
      </c>
      <c r="CK249">
        <v>0</v>
      </c>
      <c r="CL249">
        <v>1</v>
      </c>
      <c r="CM249">
        <v>1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1</v>
      </c>
      <c r="CT249" s="18">
        <v>0</v>
      </c>
      <c r="CZ249" s="34" t="s">
        <v>87</v>
      </c>
    </row>
    <row r="250" spans="1:104" x14ac:dyDescent="0.25">
      <c r="A250">
        <v>249</v>
      </c>
      <c r="B250">
        <v>17</v>
      </c>
      <c r="C250" s="25" t="s">
        <v>205</v>
      </c>
      <c r="D250" s="12">
        <v>18.766666666666666</v>
      </c>
      <c r="E250" s="14">
        <v>5.3927203065134099</v>
      </c>
      <c r="F250" s="7">
        <v>3.48</v>
      </c>
      <c r="G250" s="7">
        <f t="shared" si="190"/>
        <v>13.373946360153255</v>
      </c>
      <c r="H250" s="16">
        <f t="shared" si="191"/>
        <v>24.159386973180077</v>
      </c>
      <c r="I250" s="11">
        <f t="shared" si="167"/>
        <v>7.3890339994261867E-2</v>
      </c>
      <c r="J250" s="33">
        <f t="shared" si="168"/>
        <v>2.1232856320190192E-2</v>
      </c>
      <c r="K250" s="33">
        <f t="shared" si="192"/>
        <v>47.096819425519598</v>
      </c>
      <c r="L250" s="33">
        <f t="shared" si="193"/>
        <v>5.2657483674071678E-2</v>
      </c>
      <c r="M250" s="33">
        <f t="shared" si="194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195"/>
        <v>2206</v>
      </c>
      <c r="Y250" s="7">
        <v>9.8450000000000006</v>
      </c>
      <c r="Z250" s="7">
        <f t="shared" si="177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9">
        <v>0</v>
      </c>
      <c r="AL250" s="30">
        <v>1</v>
      </c>
      <c r="AM250" s="21">
        <v>1999</v>
      </c>
      <c r="AN250" s="23"/>
      <c r="AO250" s="33">
        <f t="shared" si="196"/>
        <v>0.19249999999999998</v>
      </c>
      <c r="AP250" s="33">
        <v>0.28999999999999998</v>
      </c>
      <c r="AQ250" s="33">
        <v>0.32500000000000001</v>
      </c>
      <c r="AR250" s="43">
        <f t="shared" si="197"/>
        <v>0.19249999999999998</v>
      </c>
      <c r="AS250" s="33" t="s">
        <v>107</v>
      </c>
      <c r="AT250" s="43" t="s">
        <v>107</v>
      </c>
      <c r="AU250" s="42">
        <v>0.67</v>
      </c>
      <c r="AV250" s="18">
        <v>0.33</v>
      </c>
      <c r="AW250">
        <v>0</v>
      </c>
      <c r="AX250" s="40">
        <f t="shared" si="165"/>
        <v>1</v>
      </c>
      <c r="AY250">
        <v>0.38</v>
      </c>
      <c r="AZ250" s="40">
        <v>0.62</v>
      </c>
      <c r="BB250" s="18"/>
      <c r="BC250">
        <f t="shared" si="185"/>
        <v>0.48099999999999998</v>
      </c>
      <c r="BD250" s="18">
        <v>0.51900000000000002</v>
      </c>
      <c r="BE250" s="18" t="s">
        <v>10</v>
      </c>
      <c r="BL250" s="18"/>
      <c r="BO250" s="18"/>
      <c r="BR250" s="25">
        <v>40</v>
      </c>
      <c r="BS250">
        <v>1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 s="18">
        <v>0</v>
      </c>
      <c r="CA250">
        <v>0</v>
      </c>
      <c r="CB250">
        <v>1</v>
      </c>
      <c r="CC250">
        <v>0</v>
      </c>
      <c r="CD250" s="18">
        <v>0</v>
      </c>
      <c r="CE250">
        <v>1</v>
      </c>
      <c r="CF250">
        <v>0</v>
      </c>
      <c r="CG250">
        <v>0</v>
      </c>
      <c r="CH250">
        <v>0</v>
      </c>
      <c r="CI250" s="18">
        <v>0</v>
      </c>
      <c r="CJ250">
        <v>0</v>
      </c>
      <c r="CK250">
        <v>0</v>
      </c>
      <c r="CL250">
        <v>1</v>
      </c>
      <c r="CM250">
        <v>1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1</v>
      </c>
      <c r="CT250" s="18">
        <v>0</v>
      </c>
      <c r="CZ250" s="34" t="s">
        <v>87</v>
      </c>
    </row>
    <row r="251" spans="1:104" x14ac:dyDescent="0.25">
      <c r="A251">
        <v>250</v>
      </c>
      <c r="B251">
        <v>17</v>
      </c>
      <c r="C251" s="25" t="s">
        <v>205</v>
      </c>
      <c r="D251" s="12">
        <v>0.13333333333333333</v>
      </c>
      <c r="E251" s="14">
        <v>1.4814814814814816</v>
      </c>
      <c r="F251" s="7">
        <v>0.09</v>
      </c>
      <c r="G251" s="7">
        <f t="shared" si="190"/>
        <v>-1.3481481481481483</v>
      </c>
      <c r="H251" s="16">
        <f t="shared" si="191"/>
        <v>1.6148148148148149</v>
      </c>
      <c r="I251" s="11">
        <f t="shared" si="167"/>
        <v>2.1873233617308667E-3</v>
      </c>
      <c r="J251" s="33">
        <f t="shared" si="168"/>
        <v>2.4303592908120744E-2</v>
      </c>
      <c r="K251" s="33">
        <f t="shared" si="192"/>
        <v>41.146179652550977</v>
      </c>
      <c r="L251" s="33">
        <f t="shared" si="193"/>
        <v>-2.2116269546389879E-2</v>
      </c>
      <c r="M251" s="33">
        <f t="shared" si="194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195"/>
        <v>1693</v>
      </c>
      <c r="Y251" s="7">
        <v>10.525</v>
      </c>
      <c r="Z251" s="7">
        <f t="shared" si="177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9">
        <v>0</v>
      </c>
      <c r="AL251" s="30">
        <v>1</v>
      </c>
      <c r="AM251" s="21">
        <v>1999</v>
      </c>
      <c r="AN251" s="23"/>
      <c r="AO251" s="33">
        <v>0.12</v>
      </c>
      <c r="AP251" s="33">
        <v>0.23</v>
      </c>
      <c r="AQ251" s="33">
        <v>0.53</v>
      </c>
      <c r="AR251" s="43">
        <v>0.12</v>
      </c>
      <c r="AS251" s="33" t="s">
        <v>107</v>
      </c>
      <c r="AT251" s="43" t="s">
        <v>107</v>
      </c>
      <c r="AU251" s="42">
        <v>0.67</v>
      </c>
      <c r="AV251" s="18">
        <v>0.33</v>
      </c>
      <c r="AW251">
        <v>1</v>
      </c>
      <c r="AX251" s="40">
        <f t="shared" si="165"/>
        <v>0</v>
      </c>
      <c r="AY251">
        <v>0.31</v>
      </c>
      <c r="AZ251" s="40">
        <v>0.69</v>
      </c>
      <c r="BB251" s="18"/>
      <c r="BC251">
        <f t="shared" si="185"/>
        <v>0.41400000000000003</v>
      </c>
      <c r="BD251" s="18">
        <v>0.58599999999999997</v>
      </c>
      <c r="BE251" s="18" t="s">
        <v>10</v>
      </c>
      <c r="BL251" s="18"/>
      <c r="BO251" s="18"/>
      <c r="BR251" s="25">
        <v>40</v>
      </c>
      <c r="BS251">
        <v>1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 s="18">
        <v>0</v>
      </c>
      <c r="CA251">
        <v>0</v>
      </c>
      <c r="CB251">
        <v>1</v>
      </c>
      <c r="CC251">
        <v>0</v>
      </c>
      <c r="CD251" s="18">
        <v>0</v>
      </c>
      <c r="CE251">
        <v>1</v>
      </c>
      <c r="CF251">
        <v>0</v>
      </c>
      <c r="CG251">
        <v>0</v>
      </c>
      <c r="CH251">
        <v>0</v>
      </c>
      <c r="CI251" s="18">
        <v>0</v>
      </c>
      <c r="CJ251">
        <v>0</v>
      </c>
      <c r="CK251">
        <v>0</v>
      </c>
      <c r="CL251">
        <v>1</v>
      </c>
      <c r="CM251">
        <v>1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1</v>
      </c>
      <c r="CT251" s="18">
        <v>0</v>
      </c>
      <c r="CZ251" s="34" t="s">
        <v>87</v>
      </c>
    </row>
    <row r="252" spans="1:104" x14ac:dyDescent="0.25">
      <c r="A252">
        <v>251</v>
      </c>
      <c r="B252">
        <v>17</v>
      </c>
      <c r="C252" s="25" t="s">
        <v>205</v>
      </c>
      <c r="D252" s="12">
        <v>5.3</v>
      </c>
      <c r="E252" s="14">
        <v>1.9202898550724639</v>
      </c>
      <c r="F252" s="7">
        <v>2.76</v>
      </c>
      <c r="G252" s="7">
        <f t="shared" si="190"/>
        <v>3.379710144927536</v>
      </c>
      <c r="H252" s="16">
        <f t="shared" si="191"/>
        <v>7.2202898550724637</v>
      </c>
      <c r="I252" s="11">
        <f t="shared" si="167"/>
        <v>6.692767639841693E-2</v>
      </c>
      <c r="J252" s="33">
        <f t="shared" si="168"/>
        <v>2.4249158115368458E-2</v>
      </c>
      <c r="K252" s="33">
        <f t="shared" si="192"/>
        <v>41.238545076178426</v>
      </c>
      <c r="L252" s="33">
        <f t="shared" si="193"/>
        <v>4.2678518283048472E-2</v>
      </c>
      <c r="M252" s="33">
        <f t="shared" si="194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195"/>
        <v>1693</v>
      </c>
      <c r="Y252" s="7">
        <v>10.525</v>
      </c>
      <c r="Z252" s="7">
        <f t="shared" si="177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9">
        <v>0</v>
      </c>
      <c r="AL252" s="30">
        <v>1</v>
      </c>
      <c r="AM252" s="21">
        <v>1999</v>
      </c>
      <c r="AN252" s="23"/>
      <c r="AO252" s="33">
        <v>0.12</v>
      </c>
      <c r="AP252" s="33">
        <v>0.23</v>
      </c>
      <c r="AQ252" s="33">
        <v>0.53</v>
      </c>
      <c r="AR252" s="43">
        <v>0.12</v>
      </c>
      <c r="AS252" s="33" t="s">
        <v>107</v>
      </c>
      <c r="AT252" s="43" t="s">
        <v>107</v>
      </c>
      <c r="AU252" s="42">
        <v>0.67</v>
      </c>
      <c r="AV252" s="18">
        <v>0.33</v>
      </c>
      <c r="AW252">
        <v>1</v>
      </c>
      <c r="AX252" s="40">
        <f t="shared" si="165"/>
        <v>0</v>
      </c>
      <c r="AY252">
        <v>0.31</v>
      </c>
      <c r="AZ252" s="40">
        <v>0.69</v>
      </c>
      <c r="BB252" s="18"/>
      <c r="BC252">
        <f t="shared" si="185"/>
        <v>0.41400000000000003</v>
      </c>
      <c r="BD252" s="18">
        <v>0.58599999999999997</v>
      </c>
      <c r="BE252" s="18" t="s">
        <v>10</v>
      </c>
      <c r="BL252" s="18"/>
      <c r="BO252" s="18"/>
      <c r="BR252" s="25">
        <v>40</v>
      </c>
      <c r="BS252">
        <v>1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 s="18">
        <v>0</v>
      </c>
      <c r="CA252">
        <v>0</v>
      </c>
      <c r="CB252">
        <v>1</v>
      </c>
      <c r="CC252">
        <v>0</v>
      </c>
      <c r="CD252" s="18">
        <v>0</v>
      </c>
      <c r="CE252">
        <v>1</v>
      </c>
      <c r="CF252">
        <v>0</v>
      </c>
      <c r="CG252">
        <v>0</v>
      </c>
      <c r="CH252">
        <v>0</v>
      </c>
      <c r="CI252" s="18">
        <v>0</v>
      </c>
      <c r="CJ252">
        <v>0</v>
      </c>
      <c r="CK252">
        <v>0</v>
      </c>
      <c r="CL252">
        <v>1</v>
      </c>
      <c r="CM252">
        <v>1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1</v>
      </c>
      <c r="CT252" s="18">
        <v>0</v>
      </c>
      <c r="CZ252" s="34" t="s">
        <v>87</v>
      </c>
    </row>
    <row r="253" spans="1:104" x14ac:dyDescent="0.25">
      <c r="A253">
        <v>252</v>
      </c>
      <c r="B253">
        <v>17</v>
      </c>
      <c r="C253" s="25" t="s">
        <v>205</v>
      </c>
      <c r="D253" s="12">
        <v>5.4200000000000008</v>
      </c>
      <c r="E253" s="14">
        <v>1.5485714285714287</v>
      </c>
      <c r="F253" s="7">
        <v>3.5</v>
      </c>
      <c r="G253" s="7">
        <f t="shared" si="190"/>
        <v>3.8714285714285719</v>
      </c>
      <c r="H253" s="16">
        <f t="shared" si="191"/>
        <v>6.9685714285714297</v>
      </c>
      <c r="I253" s="11">
        <f t="shared" si="167"/>
        <v>8.4756695340678367E-2</v>
      </c>
      <c r="J253" s="33">
        <f t="shared" si="168"/>
        <v>2.4216198668765246E-2</v>
      </c>
      <c r="K253" s="33">
        <f t="shared" si="192"/>
        <v>41.294672779911942</v>
      </c>
      <c r="L253" s="33">
        <f t="shared" si="193"/>
        <v>6.0540496671913122E-2</v>
      </c>
      <c r="M253" s="33">
        <f t="shared" si="194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195"/>
        <v>1693</v>
      </c>
      <c r="Y253" s="7">
        <v>10.525</v>
      </c>
      <c r="Z253" s="7">
        <f t="shared" si="177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9">
        <v>0</v>
      </c>
      <c r="AL253" s="30">
        <v>1</v>
      </c>
      <c r="AM253" s="21">
        <v>1999</v>
      </c>
      <c r="AN253" s="23"/>
      <c r="AO253" s="33">
        <v>0.12</v>
      </c>
      <c r="AP253" s="33">
        <v>0.23</v>
      </c>
      <c r="AQ253" s="33">
        <v>0.53</v>
      </c>
      <c r="AR253" s="43">
        <v>0.12</v>
      </c>
      <c r="AS253" s="33" t="s">
        <v>107</v>
      </c>
      <c r="AT253" s="43" t="s">
        <v>107</v>
      </c>
      <c r="AU253" s="42">
        <v>0.67</v>
      </c>
      <c r="AV253" s="18">
        <v>0.33</v>
      </c>
      <c r="AW253">
        <v>1</v>
      </c>
      <c r="AX253" s="40">
        <f t="shared" si="165"/>
        <v>0</v>
      </c>
      <c r="AY253">
        <v>0.31</v>
      </c>
      <c r="AZ253" s="40">
        <v>0.69</v>
      </c>
      <c r="BB253" s="18"/>
      <c r="BC253">
        <f t="shared" si="185"/>
        <v>0.41400000000000003</v>
      </c>
      <c r="BD253" s="18">
        <v>0.58599999999999997</v>
      </c>
      <c r="BE253" s="18" t="s">
        <v>10</v>
      </c>
      <c r="BL253" s="18"/>
      <c r="BO253" s="18"/>
      <c r="BR253" s="25">
        <v>40</v>
      </c>
      <c r="BS253">
        <v>1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 s="18">
        <v>0</v>
      </c>
      <c r="CA253">
        <v>0</v>
      </c>
      <c r="CB253">
        <v>1</v>
      </c>
      <c r="CC253">
        <v>0</v>
      </c>
      <c r="CD253" s="18">
        <v>0</v>
      </c>
      <c r="CE253">
        <v>1</v>
      </c>
      <c r="CF253">
        <v>0</v>
      </c>
      <c r="CG253">
        <v>0</v>
      </c>
      <c r="CH253">
        <v>0</v>
      </c>
      <c r="CI253" s="18">
        <v>0</v>
      </c>
      <c r="CJ253">
        <v>0</v>
      </c>
      <c r="CK253">
        <v>0</v>
      </c>
      <c r="CL253">
        <v>1</v>
      </c>
      <c r="CM253">
        <v>1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1</v>
      </c>
      <c r="CT253" s="18">
        <v>0</v>
      </c>
      <c r="CZ253" s="34" t="s">
        <v>87</v>
      </c>
    </row>
    <row r="254" spans="1:104" x14ac:dyDescent="0.25">
      <c r="A254">
        <v>253</v>
      </c>
      <c r="B254">
        <v>17</v>
      </c>
      <c r="C254" s="25" t="s">
        <v>205</v>
      </c>
      <c r="D254" s="12">
        <v>18.000000000000004</v>
      </c>
      <c r="E254" s="14">
        <v>4.2452830188679256</v>
      </c>
      <c r="F254" s="7">
        <v>4.24</v>
      </c>
      <c r="G254" s="7">
        <f t="shared" si="190"/>
        <v>13.754716981132077</v>
      </c>
      <c r="H254" s="16">
        <f t="shared" si="191"/>
        <v>22.24528301886793</v>
      </c>
      <c r="I254" s="11">
        <f t="shared" si="167"/>
        <v>0.10250468011579229</v>
      </c>
      <c r="J254" s="33">
        <f t="shared" si="168"/>
        <v>2.4175632102781199E-2</v>
      </c>
      <c r="K254" s="33">
        <f t="shared" si="192"/>
        <v>41.363964993699526</v>
      </c>
      <c r="L254" s="33">
        <f t="shared" si="193"/>
        <v>7.8329048013011091E-2</v>
      </c>
      <c r="M254" s="33">
        <f t="shared" si="194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195"/>
        <v>1693</v>
      </c>
      <c r="Y254" s="7">
        <v>10.525</v>
      </c>
      <c r="Z254" s="7">
        <f t="shared" si="177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9">
        <v>0</v>
      </c>
      <c r="AL254" s="30">
        <v>1</v>
      </c>
      <c r="AM254" s="21">
        <v>1999</v>
      </c>
      <c r="AN254" s="23"/>
      <c r="AO254" s="33">
        <v>0.12</v>
      </c>
      <c r="AP254" s="33">
        <v>0.23</v>
      </c>
      <c r="AQ254" s="33">
        <v>0.53</v>
      </c>
      <c r="AR254" s="43">
        <v>0.12</v>
      </c>
      <c r="AS254" s="33" t="s">
        <v>107</v>
      </c>
      <c r="AT254" s="43" t="s">
        <v>107</v>
      </c>
      <c r="AU254" s="42">
        <v>0.67</v>
      </c>
      <c r="AV254" s="18">
        <v>0.33</v>
      </c>
      <c r="AW254">
        <v>1</v>
      </c>
      <c r="AX254" s="40">
        <f t="shared" si="165"/>
        <v>0</v>
      </c>
      <c r="AY254">
        <v>0.31</v>
      </c>
      <c r="AZ254" s="40">
        <v>0.69</v>
      </c>
      <c r="BB254" s="18"/>
      <c r="BC254">
        <f t="shared" si="185"/>
        <v>0.41400000000000003</v>
      </c>
      <c r="BD254" s="18">
        <v>0.58599999999999997</v>
      </c>
      <c r="BE254" s="18" t="s">
        <v>10</v>
      </c>
      <c r="BL254" s="18"/>
      <c r="BO254" s="18"/>
      <c r="BR254" s="25">
        <v>40</v>
      </c>
      <c r="BS254">
        <v>1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 s="18">
        <v>0</v>
      </c>
      <c r="CA254">
        <v>0</v>
      </c>
      <c r="CB254">
        <v>1</v>
      </c>
      <c r="CC254">
        <v>0</v>
      </c>
      <c r="CD254" s="18">
        <v>0</v>
      </c>
      <c r="CE254">
        <v>1</v>
      </c>
      <c r="CF254">
        <v>0</v>
      </c>
      <c r="CG254">
        <v>0</v>
      </c>
      <c r="CH254">
        <v>0</v>
      </c>
      <c r="CI254" s="18">
        <v>0</v>
      </c>
      <c r="CJ254">
        <v>0</v>
      </c>
      <c r="CK254">
        <v>0</v>
      </c>
      <c r="CL254">
        <v>1</v>
      </c>
      <c r="CM254">
        <v>1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1</v>
      </c>
      <c r="CT254" s="18">
        <v>0</v>
      </c>
      <c r="CZ254" s="34" t="s">
        <v>87</v>
      </c>
    </row>
    <row r="255" spans="1:104" x14ac:dyDescent="0.25">
      <c r="A255">
        <v>254</v>
      </c>
      <c r="B255">
        <v>17</v>
      </c>
      <c r="C255" s="25" t="s">
        <v>205</v>
      </c>
      <c r="D255" s="12">
        <v>0.55000000000000004</v>
      </c>
      <c r="E255" s="14">
        <v>1.4473684210526316</v>
      </c>
      <c r="F255" s="7">
        <v>0.38</v>
      </c>
      <c r="G255" s="7">
        <f t="shared" si="190"/>
        <v>-0.89736842105263159</v>
      </c>
      <c r="H255" s="16">
        <f t="shared" si="191"/>
        <v>1.9973684210526317</v>
      </c>
      <c r="I255" s="11">
        <f t="shared" si="167"/>
        <v>9.2132532004612858E-3</v>
      </c>
      <c r="J255" s="33">
        <f t="shared" si="168"/>
        <v>2.4245403159108649E-2</v>
      </c>
      <c r="K255" s="33">
        <f t="shared" si="192"/>
        <v>41.244931809859985</v>
      </c>
      <c r="L255" s="33">
        <f t="shared" si="193"/>
        <v>-1.5032149958647363E-2</v>
      </c>
      <c r="M255" s="33">
        <f t="shared" si="194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195"/>
        <v>1701</v>
      </c>
      <c r="Y255" s="7">
        <v>10.525</v>
      </c>
      <c r="Z255" s="7">
        <f t="shared" si="177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9">
        <v>0</v>
      </c>
      <c r="AL255" s="30">
        <v>1</v>
      </c>
      <c r="AM255" s="21">
        <v>1999</v>
      </c>
      <c r="AN255" s="23"/>
      <c r="AO255" s="33">
        <v>0.12</v>
      </c>
      <c r="AP255" s="33">
        <v>0.23</v>
      </c>
      <c r="AQ255" s="33">
        <v>0.53</v>
      </c>
      <c r="AR255" s="43">
        <v>0.12</v>
      </c>
      <c r="AS255" s="33" t="s">
        <v>107</v>
      </c>
      <c r="AT255" s="43" t="s">
        <v>107</v>
      </c>
      <c r="AU255" s="42">
        <v>0.67</v>
      </c>
      <c r="AV255" s="18">
        <v>0.33</v>
      </c>
      <c r="AW255">
        <v>1</v>
      </c>
      <c r="AX255" s="40">
        <f t="shared" si="165"/>
        <v>0</v>
      </c>
      <c r="AY255">
        <v>0.31</v>
      </c>
      <c r="AZ255" s="40">
        <v>0.69</v>
      </c>
      <c r="BB255" s="18"/>
      <c r="BC255">
        <f t="shared" si="185"/>
        <v>0.41400000000000003</v>
      </c>
      <c r="BD255" s="18">
        <v>0.58599999999999997</v>
      </c>
      <c r="BE255" s="18" t="s">
        <v>10</v>
      </c>
      <c r="BL255" s="18"/>
      <c r="BO255" s="18"/>
      <c r="BR255" s="25">
        <v>40</v>
      </c>
      <c r="BS255">
        <v>1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 s="18">
        <v>0</v>
      </c>
      <c r="CA255">
        <v>0</v>
      </c>
      <c r="CB255">
        <v>1</v>
      </c>
      <c r="CC255">
        <v>0</v>
      </c>
      <c r="CD255" s="18">
        <v>0</v>
      </c>
      <c r="CE255">
        <v>1</v>
      </c>
      <c r="CF255">
        <v>0</v>
      </c>
      <c r="CG255">
        <v>0</v>
      </c>
      <c r="CH255">
        <v>0</v>
      </c>
      <c r="CI255" s="18">
        <v>0</v>
      </c>
      <c r="CJ255">
        <v>0</v>
      </c>
      <c r="CK255">
        <v>0</v>
      </c>
      <c r="CL255">
        <v>1</v>
      </c>
      <c r="CM255">
        <v>1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1</v>
      </c>
      <c r="CT255" s="18">
        <v>0</v>
      </c>
      <c r="CZ255" s="34" t="s">
        <v>87</v>
      </c>
    </row>
    <row r="256" spans="1:104" x14ac:dyDescent="0.25">
      <c r="A256">
        <v>255</v>
      </c>
      <c r="B256">
        <v>17</v>
      </c>
      <c r="C256" s="25" t="s">
        <v>205</v>
      </c>
      <c r="D256" s="12">
        <v>5.55</v>
      </c>
      <c r="E256" s="14">
        <v>1.7076923076923076</v>
      </c>
      <c r="F256" s="7">
        <v>3.25</v>
      </c>
      <c r="G256" s="7">
        <f t="shared" si="190"/>
        <v>3.842307692307692</v>
      </c>
      <c r="H256" s="16">
        <f t="shared" si="191"/>
        <v>7.2576923076923077</v>
      </c>
      <c r="I256" s="11">
        <f t="shared" si="167"/>
        <v>7.8557378008585005E-2</v>
      </c>
      <c r="J256" s="33">
        <f t="shared" si="168"/>
        <v>2.4171500925718459E-2</v>
      </c>
      <c r="K256" s="33">
        <f t="shared" si="192"/>
        <v>41.371034553175008</v>
      </c>
      <c r="L256" s="33">
        <f t="shared" si="193"/>
        <v>5.4385877082866546E-2</v>
      </c>
      <c r="M256" s="33">
        <f t="shared" si="194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195"/>
        <v>1701</v>
      </c>
      <c r="Y256" s="7">
        <v>10.525</v>
      </c>
      <c r="Z256" s="7">
        <f t="shared" si="177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9">
        <v>0</v>
      </c>
      <c r="AL256" s="30">
        <v>1</v>
      </c>
      <c r="AM256" s="21">
        <v>1999</v>
      </c>
      <c r="AN256" s="23"/>
      <c r="AO256" s="33">
        <v>0.12</v>
      </c>
      <c r="AP256" s="33">
        <v>0.23</v>
      </c>
      <c r="AQ256" s="33">
        <v>0.53</v>
      </c>
      <c r="AR256" s="43">
        <v>0.12</v>
      </c>
      <c r="AS256" s="33" t="s">
        <v>107</v>
      </c>
      <c r="AT256" s="43" t="s">
        <v>107</v>
      </c>
      <c r="AU256" s="42">
        <v>0.67</v>
      </c>
      <c r="AV256" s="18">
        <v>0.33</v>
      </c>
      <c r="AW256">
        <v>1</v>
      </c>
      <c r="AX256" s="40">
        <f t="shared" si="165"/>
        <v>0</v>
      </c>
      <c r="AY256">
        <v>0.31</v>
      </c>
      <c r="AZ256" s="40">
        <v>0.69</v>
      </c>
      <c r="BB256" s="18"/>
      <c r="BC256">
        <f t="shared" si="185"/>
        <v>0.41400000000000003</v>
      </c>
      <c r="BD256" s="18">
        <v>0.58599999999999997</v>
      </c>
      <c r="BE256" s="18" t="s">
        <v>10</v>
      </c>
      <c r="BL256" s="18"/>
      <c r="BO256" s="18"/>
      <c r="BR256" s="25">
        <v>40</v>
      </c>
      <c r="BS256">
        <v>1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 s="18">
        <v>0</v>
      </c>
      <c r="CA256">
        <v>0</v>
      </c>
      <c r="CB256">
        <v>1</v>
      </c>
      <c r="CC256">
        <v>0</v>
      </c>
      <c r="CD256" s="18">
        <v>0</v>
      </c>
      <c r="CE256">
        <v>1</v>
      </c>
      <c r="CF256">
        <v>0</v>
      </c>
      <c r="CG256">
        <v>0</v>
      </c>
      <c r="CH256">
        <v>0</v>
      </c>
      <c r="CI256" s="18">
        <v>0</v>
      </c>
      <c r="CJ256">
        <v>0</v>
      </c>
      <c r="CK256">
        <v>0</v>
      </c>
      <c r="CL256">
        <v>1</v>
      </c>
      <c r="CM256">
        <v>1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1</v>
      </c>
      <c r="CT256" s="18">
        <v>0</v>
      </c>
      <c r="CZ256" s="34" t="s">
        <v>87</v>
      </c>
    </row>
    <row r="257" spans="1:104" x14ac:dyDescent="0.25">
      <c r="A257">
        <v>256</v>
      </c>
      <c r="B257">
        <v>17</v>
      </c>
      <c r="C257" s="25" t="s">
        <v>205</v>
      </c>
      <c r="D257" s="12">
        <v>5.7000000000000011</v>
      </c>
      <c r="E257" s="14">
        <v>1.4578005115089516</v>
      </c>
      <c r="F257" s="7">
        <v>3.91</v>
      </c>
      <c r="G257" s="7">
        <f t="shared" si="190"/>
        <v>4.2421994884910497</v>
      </c>
      <c r="H257" s="16">
        <f t="shared" si="191"/>
        <v>7.1578005115089525</v>
      </c>
      <c r="I257" s="11">
        <f t="shared" si="167"/>
        <v>9.4380366995624174E-2</v>
      </c>
      <c r="J257" s="33">
        <f t="shared" si="168"/>
        <v>2.4138201277653239E-2</v>
      </c>
      <c r="K257" s="33">
        <f t="shared" si="192"/>
        <v>41.428107608241049</v>
      </c>
      <c r="L257" s="33">
        <f t="shared" si="193"/>
        <v>7.0242165717970928E-2</v>
      </c>
      <c r="M257" s="33">
        <f t="shared" si="194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195"/>
        <v>1701</v>
      </c>
      <c r="Y257" s="7">
        <v>10.525</v>
      </c>
      <c r="Z257" s="7">
        <f t="shared" si="177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9">
        <v>0</v>
      </c>
      <c r="AL257" s="30">
        <v>1</v>
      </c>
      <c r="AM257" s="21">
        <v>1999</v>
      </c>
      <c r="AN257" s="23"/>
      <c r="AO257" s="33">
        <v>0.12</v>
      </c>
      <c r="AP257" s="33">
        <v>0.23</v>
      </c>
      <c r="AQ257" s="33">
        <v>0.53</v>
      </c>
      <c r="AR257" s="43">
        <v>0.12</v>
      </c>
      <c r="AS257" s="33" t="s">
        <v>107</v>
      </c>
      <c r="AT257" s="43" t="s">
        <v>107</v>
      </c>
      <c r="AU257" s="42">
        <v>0.67</v>
      </c>
      <c r="AV257" s="18">
        <v>0.33</v>
      </c>
      <c r="AW257">
        <v>1</v>
      </c>
      <c r="AX257" s="40">
        <f t="shared" si="165"/>
        <v>0</v>
      </c>
      <c r="AY257">
        <v>0.31</v>
      </c>
      <c r="AZ257" s="40">
        <v>0.69</v>
      </c>
      <c r="BB257" s="18"/>
      <c r="BC257">
        <f t="shared" si="185"/>
        <v>0.41400000000000003</v>
      </c>
      <c r="BD257" s="18">
        <v>0.58599999999999997</v>
      </c>
      <c r="BE257" s="18" t="s">
        <v>10</v>
      </c>
      <c r="BL257" s="18"/>
      <c r="BO257" s="18"/>
      <c r="BR257" s="25">
        <v>40</v>
      </c>
      <c r="BS257">
        <v>1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 s="18">
        <v>0</v>
      </c>
      <c r="CA257">
        <v>0</v>
      </c>
      <c r="CB257">
        <v>1</v>
      </c>
      <c r="CC257">
        <v>0</v>
      </c>
      <c r="CD257" s="18">
        <v>0</v>
      </c>
      <c r="CE257">
        <v>1</v>
      </c>
      <c r="CF257">
        <v>0</v>
      </c>
      <c r="CG257">
        <v>0</v>
      </c>
      <c r="CH257">
        <v>0</v>
      </c>
      <c r="CI257" s="18">
        <v>0</v>
      </c>
      <c r="CJ257">
        <v>0</v>
      </c>
      <c r="CK257">
        <v>0</v>
      </c>
      <c r="CL257">
        <v>1</v>
      </c>
      <c r="CM257">
        <v>1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1</v>
      </c>
      <c r="CT257" s="18">
        <v>0</v>
      </c>
      <c r="CZ257" s="34" t="s">
        <v>87</v>
      </c>
    </row>
    <row r="258" spans="1:104" s="52" customFormat="1" x14ac:dyDescent="0.25">
      <c r="A258" s="52">
        <v>257</v>
      </c>
      <c r="B258" s="52">
        <v>17</v>
      </c>
      <c r="C258" s="53" t="s">
        <v>205</v>
      </c>
      <c r="D258" s="54">
        <v>18.233333333333331</v>
      </c>
      <c r="E258" s="55">
        <v>4.115876598946576</v>
      </c>
      <c r="F258" s="56">
        <v>4.43</v>
      </c>
      <c r="G258" s="56">
        <f t="shared" si="190"/>
        <v>14.117456734386755</v>
      </c>
      <c r="H258" s="57">
        <f t="shared" si="191"/>
        <v>22.349209932279905</v>
      </c>
      <c r="I258" s="58">
        <f t="shared" ref="I258:I321" si="198">IFERROR(F258/SQRT(F258^2+W258), "X")</f>
        <v>0.10679738638220909</v>
      </c>
      <c r="J258" s="59">
        <f t="shared" ref="J258:J321" si="199">IFERROR(SQRT((1-I258^2)/W258), "X")</f>
        <v>2.4107762163026882E-2</v>
      </c>
      <c r="K258" s="59">
        <f t="shared" si="192"/>
        <v>41.480415860981921</v>
      </c>
      <c r="L258" s="59">
        <f t="shared" si="193"/>
        <v>8.2689624219182217E-2</v>
      </c>
      <c r="M258" s="59">
        <f t="shared" si="194"/>
        <v>0.13090514854523597</v>
      </c>
      <c r="N258" s="60">
        <v>0</v>
      </c>
      <c r="O258" s="61">
        <v>1</v>
      </c>
      <c r="P258" s="60">
        <v>0</v>
      </c>
      <c r="Q258" s="61">
        <v>0</v>
      </c>
      <c r="R258" s="61">
        <v>1</v>
      </c>
      <c r="S258" s="61">
        <v>0</v>
      </c>
      <c r="T258" s="61">
        <v>0</v>
      </c>
      <c r="U258" s="60">
        <v>1714</v>
      </c>
      <c r="V258" s="61">
        <v>12</v>
      </c>
      <c r="W258" s="61">
        <f t="shared" si="195"/>
        <v>1701</v>
      </c>
      <c r="X258" s="61"/>
      <c r="Y258" s="56">
        <v>10.525</v>
      </c>
      <c r="Z258" s="56">
        <f t="shared" si="177"/>
        <v>23.475000000000001</v>
      </c>
      <c r="AA258" s="61">
        <v>0</v>
      </c>
      <c r="AB258" s="61">
        <v>1</v>
      </c>
      <c r="AC258" s="61">
        <v>0</v>
      </c>
      <c r="AD258" s="61">
        <v>0</v>
      </c>
      <c r="AE258" s="61">
        <v>0</v>
      </c>
      <c r="AF258" s="61">
        <v>1</v>
      </c>
      <c r="AG258" s="60">
        <v>0</v>
      </c>
      <c r="AH258" s="61">
        <v>1</v>
      </c>
      <c r="AI258" s="62">
        <v>0</v>
      </c>
      <c r="AJ258" s="61">
        <v>0</v>
      </c>
      <c r="AK258" s="61">
        <v>0</v>
      </c>
      <c r="AL258" s="62">
        <v>1</v>
      </c>
      <c r="AM258" s="63">
        <v>1999</v>
      </c>
      <c r="AN258" s="64"/>
      <c r="AO258" s="59">
        <v>0.12</v>
      </c>
      <c r="AP258" s="59">
        <v>0.23</v>
      </c>
      <c r="AQ258" s="59">
        <v>0.53</v>
      </c>
      <c r="AR258" s="65">
        <v>0.12</v>
      </c>
      <c r="AS258" s="59" t="s">
        <v>107</v>
      </c>
      <c r="AT258" s="65" t="s">
        <v>107</v>
      </c>
      <c r="AU258" s="66">
        <v>0.67</v>
      </c>
      <c r="AV258" s="67">
        <v>0.33</v>
      </c>
      <c r="AW258" s="52">
        <v>1</v>
      </c>
      <c r="AX258" s="68">
        <f t="shared" si="165"/>
        <v>0</v>
      </c>
      <c r="AY258" s="52">
        <v>0.31</v>
      </c>
      <c r="AZ258" s="68">
        <v>0.69</v>
      </c>
      <c r="BB258" s="67"/>
      <c r="BC258" s="52">
        <f t="shared" si="185"/>
        <v>0.41400000000000003</v>
      </c>
      <c r="BD258" s="67">
        <v>0.58599999999999997</v>
      </c>
      <c r="BE258" s="67" t="s">
        <v>10</v>
      </c>
      <c r="BL258" s="67"/>
      <c r="BO258" s="67"/>
      <c r="BR258" s="53">
        <v>40</v>
      </c>
      <c r="BS258" s="52">
        <v>1</v>
      </c>
      <c r="BT258" s="52">
        <v>0</v>
      </c>
      <c r="BU258" s="52">
        <v>0</v>
      </c>
      <c r="BV258" s="52">
        <v>0</v>
      </c>
      <c r="BW258" s="52">
        <v>0</v>
      </c>
      <c r="BX258" s="52">
        <v>0</v>
      </c>
      <c r="BY258" s="52">
        <v>0</v>
      </c>
      <c r="BZ258" s="67">
        <v>0</v>
      </c>
      <c r="CA258" s="52">
        <v>0</v>
      </c>
      <c r="CB258" s="52">
        <v>1</v>
      </c>
      <c r="CC258" s="52">
        <v>0</v>
      </c>
      <c r="CD258" s="67">
        <v>0</v>
      </c>
      <c r="CE258" s="52">
        <v>1</v>
      </c>
      <c r="CF258" s="52">
        <v>0</v>
      </c>
      <c r="CG258" s="52">
        <v>0</v>
      </c>
      <c r="CH258" s="52">
        <v>0</v>
      </c>
      <c r="CI258" s="67">
        <v>0</v>
      </c>
      <c r="CJ258" s="52">
        <v>0</v>
      </c>
      <c r="CK258" s="52">
        <v>0</v>
      </c>
      <c r="CL258" s="52">
        <v>1</v>
      </c>
      <c r="CM258" s="52">
        <v>1</v>
      </c>
      <c r="CN258" s="52">
        <v>0</v>
      </c>
      <c r="CO258" s="52">
        <v>0</v>
      </c>
      <c r="CP258" s="52">
        <v>0</v>
      </c>
      <c r="CQ258" s="52">
        <v>0</v>
      </c>
      <c r="CR258" s="52">
        <v>0</v>
      </c>
      <c r="CS258" s="52">
        <v>1</v>
      </c>
      <c r="CT258" s="67">
        <v>0</v>
      </c>
      <c r="CY258" s="53"/>
      <c r="CZ258" s="69" t="s">
        <v>87</v>
      </c>
    </row>
    <row r="259" spans="1:104" x14ac:dyDescent="0.25">
      <c r="A259">
        <v>258</v>
      </c>
      <c r="B259">
        <v>18</v>
      </c>
      <c r="C259" s="80" t="s">
        <v>225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0">D259-E259</f>
        <v>8.7589934762348562</v>
      </c>
      <c r="H259" s="16">
        <f t="shared" ref="H259:H266" si="201">D259+E259</f>
        <v>8.8410065237651452</v>
      </c>
      <c r="I259" s="11">
        <f t="shared" si="198"/>
        <v>0.56729789934477026</v>
      </c>
      <c r="J259" s="33">
        <f t="shared" si="199"/>
        <v>2.6435130444770285E-3</v>
      </c>
      <c r="K259" s="33">
        <f t="shared" si="192"/>
        <v>378.28449611370542</v>
      </c>
      <c r="L259" s="33">
        <f t="shared" si="193"/>
        <v>0.56465438630029319</v>
      </c>
      <c r="M259" s="33">
        <f t="shared" si="194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195"/>
        <v>97046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9">
        <v>0</v>
      </c>
      <c r="AL259" s="30">
        <v>0</v>
      </c>
      <c r="AM259" s="21">
        <v>2017</v>
      </c>
      <c r="AN259" s="23"/>
      <c r="AO259" s="33">
        <v>0.11</v>
      </c>
      <c r="AP259" s="33">
        <v>0.39</v>
      </c>
      <c r="AQ259" s="33">
        <v>0.34</v>
      </c>
      <c r="AR259" s="43">
        <v>0.16</v>
      </c>
      <c r="AS259" s="33">
        <v>0.52400000000000002</v>
      </c>
      <c r="AT259" s="43">
        <v>0.47499999999999998</v>
      </c>
      <c r="AU259" s="42" t="s">
        <v>107</v>
      </c>
      <c r="AV259" s="18" t="s">
        <v>107</v>
      </c>
      <c r="AW259">
        <v>0.70799999999999996</v>
      </c>
      <c r="AX259" s="40">
        <f>1-AW259</f>
        <v>0.29200000000000004</v>
      </c>
      <c r="AY259">
        <v>0.73599999999999999</v>
      </c>
      <c r="AZ259" s="40">
        <v>0.26400000000000001</v>
      </c>
      <c r="BB259" s="18"/>
      <c r="BC259" t="s">
        <v>107</v>
      </c>
      <c r="BD259" s="18" t="s">
        <v>107</v>
      </c>
      <c r="BE259" s="18" t="s">
        <v>29</v>
      </c>
      <c r="BL259" s="18"/>
      <c r="BO259" s="18"/>
      <c r="BR259" s="25">
        <v>40</v>
      </c>
      <c r="BS259">
        <v>1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 s="18">
        <v>0</v>
      </c>
      <c r="CA259">
        <v>0</v>
      </c>
      <c r="CB259">
        <v>0</v>
      </c>
      <c r="CC259">
        <v>1</v>
      </c>
      <c r="CD259" s="18">
        <v>0</v>
      </c>
      <c r="CE259">
        <v>0</v>
      </c>
      <c r="CF259">
        <v>0</v>
      </c>
      <c r="CG259">
        <v>0</v>
      </c>
      <c r="CH259">
        <v>0</v>
      </c>
      <c r="CI259" s="18">
        <v>0</v>
      </c>
      <c r="CJ259">
        <v>0</v>
      </c>
      <c r="CK259">
        <v>0</v>
      </c>
      <c r="CL259">
        <v>1</v>
      </c>
      <c r="CM259">
        <v>1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 s="18">
        <v>0</v>
      </c>
      <c r="CZ259" s="34" t="s">
        <v>87</v>
      </c>
    </row>
    <row r="260" spans="1:104" x14ac:dyDescent="0.25">
      <c r="A260">
        <v>259</v>
      </c>
      <c r="B260">
        <v>18</v>
      </c>
      <c r="C260" s="80" t="s">
        <v>225</v>
      </c>
      <c r="D260" s="12">
        <v>8.31</v>
      </c>
      <c r="E260" s="14">
        <f t="shared" ref="E260:E266" si="202">D260/F260</f>
        <v>4.5559210526315792E-2</v>
      </c>
      <c r="F260" s="7">
        <v>182.4</v>
      </c>
      <c r="G260" s="7">
        <f t="shared" si="200"/>
        <v>8.2644407894736851</v>
      </c>
      <c r="H260" s="16">
        <f t="shared" si="201"/>
        <v>8.3555592105263159</v>
      </c>
      <c r="I260" s="11">
        <f t="shared" si="198"/>
        <v>0.57113962349685266</v>
      </c>
      <c r="J260" s="33">
        <f t="shared" si="199"/>
        <v>3.1312479358380075E-3</v>
      </c>
      <c r="K260" s="33">
        <f t="shared" si="192"/>
        <v>319.36148797248552</v>
      </c>
      <c r="L260" s="33">
        <f t="shared" si="193"/>
        <v>0.56800837556101469</v>
      </c>
      <c r="M260" s="33">
        <f t="shared" si="194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195"/>
        <v>68722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9">
        <v>0</v>
      </c>
      <c r="AL260" s="30">
        <v>0</v>
      </c>
      <c r="AM260" s="21">
        <v>2017</v>
      </c>
      <c r="AN260" s="23"/>
      <c r="AO260" s="33">
        <v>0.11</v>
      </c>
      <c r="AP260" s="33">
        <v>0.39</v>
      </c>
      <c r="AQ260" s="33">
        <v>0.34</v>
      </c>
      <c r="AR260" s="43">
        <v>0.16</v>
      </c>
      <c r="AS260" s="33">
        <v>0.52400000000000002</v>
      </c>
      <c r="AT260" s="43">
        <v>0.47499999999999998</v>
      </c>
      <c r="AU260" s="42" t="s">
        <v>107</v>
      </c>
      <c r="AV260" s="18" t="s">
        <v>107</v>
      </c>
      <c r="AW260">
        <v>1</v>
      </c>
      <c r="AX260" s="40">
        <v>0</v>
      </c>
      <c r="AY260">
        <v>0.73599999999999999</v>
      </c>
      <c r="AZ260" s="40">
        <v>0.26400000000000001</v>
      </c>
      <c r="BB260" s="18"/>
      <c r="BC260" t="s">
        <v>107</v>
      </c>
      <c r="BD260" s="18" t="s">
        <v>107</v>
      </c>
      <c r="BE260" s="18" t="s">
        <v>29</v>
      </c>
      <c r="BL260" s="18"/>
      <c r="BO260" s="18"/>
      <c r="BR260" s="25">
        <v>40</v>
      </c>
      <c r="BS260">
        <v>1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 s="18">
        <v>0</v>
      </c>
      <c r="CA260">
        <v>0</v>
      </c>
      <c r="CB260">
        <v>0</v>
      </c>
      <c r="CC260">
        <v>1</v>
      </c>
      <c r="CD260" s="18">
        <v>0</v>
      </c>
      <c r="CE260">
        <v>0</v>
      </c>
      <c r="CF260">
        <v>0</v>
      </c>
      <c r="CG260">
        <v>0</v>
      </c>
      <c r="CH260">
        <v>0</v>
      </c>
      <c r="CI260" s="18">
        <v>0</v>
      </c>
      <c r="CJ260">
        <v>0</v>
      </c>
      <c r="CK260">
        <v>0</v>
      </c>
      <c r="CL260">
        <v>1</v>
      </c>
      <c r="CM260">
        <v>1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 s="18">
        <v>0</v>
      </c>
      <c r="CZ260" s="34" t="s">
        <v>87</v>
      </c>
    </row>
    <row r="261" spans="1:104" x14ac:dyDescent="0.25">
      <c r="A261">
        <v>260</v>
      </c>
      <c r="B261">
        <v>18</v>
      </c>
      <c r="C261" s="80" t="s">
        <v>225</v>
      </c>
      <c r="D261" s="12">
        <v>10.3</v>
      </c>
      <c r="E261" s="14">
        <f t="shared" si="202"/>
        <v>8.45648604269294E-2</v>
      </c>
      <c r="F261" s="7">
        <v>121.8</v>
      </c>
      <c r="G261" s="7">
        <f t="shared" si="200"/>
        <v>10.215435139573071</v>
      </c>
      <c r="H261" s="16">
        <f t="shared" si="201"/>
        <v>10.384564860426931</v>
      </c>
      <c r="I261" s="11">
        <f t="shared" si="198"/>
        <v>0.58631434535014559</v>
      </c>
      <c r="J261" s="33">
        <f t="shared" si="199"/>
        <v>4.8137466777516055E-3</v>
      </c>
      <c r="K261" s="33">
        <f t="shared" si="192"/>
        <v>207.73839317757324</v>
      </c>
      <c r="L261" s="33">
        <f t="shared" si="193"/>
        <v>0.58150059867239401</v>
      </c>
      <c r="M261" s="33">
        <f t="shared" si="194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195"/>
        <v>28320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9">
        <v>0</v>
      </c>
      <c r="AL261" s="30">
        <v>0</v>
      </c>
      <c r="AM261" s="21">
        <v>2017</v>
      </c>
      <c r="AN261" s="23"/>
      <c r="AO261" s="33">
        <v>0.11</v>
      </c>
      <c r="AP261" s="33">
        <v>0.39</v>
      </c>
      <c r="AQ261" s="33">
        <v>0.34</v>
      </c>
      <c r="AR261" s="43">
        <v>0.16</v>
      </c>
      <c r="AS261" s="33">
        <v>0.52400000000000002</v>
      </c>
      <c r="AT261" s="43">
        <v>0.47499999999999998</v>
      </c>
      <c r="AU261" s="42" t="s">
        <v>107</v>
      </c>
      <c r="AV261" s="18" t="s">
        <v>107</v>
      </c>
      <c r="AW261">
        <v>0</v>
      </c>
      <c r="AX261" s="40">
        <v>1</v>
      </c>
      <c r="AY261">
        <v>0.73599999999999999</v>
      </c>
      <c r="AZ261" s="40">
        <v>0.26400000000000001</v>
      </c>
      <c r="BB261" s="18"/>
      <c r="BC261" t="s">
        <v>107</v>
      </c>
      <c r="BD261" s="18" t="s">
        <v>107</v>
      </c>
      <c r="BE261" s="18" t="s">
        <v>29</v>
      </c>
      <c r="BL261" s="18"/>
      <c r="BO261" s="18"/>
      <c r="BR261" s="25">
        <v>40</v>
      </c>
      <c r="BS261">
        <v>1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 s="18">
        <v>0</v>
      </c>
      <c r="CA261">
        <v>0</v>
      </c>
      <c r="CB261">
        <v>0</v>
      </c>
      <c r="CC261">
        <v>1</v>
      </c>
      <c r="CD261" s="18">
        <v>0</v>
      </c>
      <c r="CE261">
        <v>0</v>
      </c>
      <c r="CF261">
        <v>0</v>
      </c>
      <c r="CG261">
        <v>0</v>
      </c>
      <c r="CH261">
        <v>0</v>
      </c>
      <c r="CI261" s="18">
        <v>0</v>
      </c>
      <c r="CJ261">
        <v>0</v>
      </c>
      <c r="CK261">
        <v>0</v>
      </c>
      <c r="CL261">
        <v>1</v>
      </c>
      <c r="CM261">
        <v>1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 s="18">
        <v>0</v>
      </c>
      <c r="CZ261" s="34" t="s">
        <v>87</v>
      </c>
    </row>
    <row r="262" spans="1:104" x14ac:dyDescent="0.25">
      <c r="A262">
        <v>261</v>
      </c>
      <c r="B262">
        <v>18</v>
      </c>
      <c r="C262" s="80" t="s">
        <v>225</v>
      </c>
      <c r="D262" s="12">
        <v>13.4</v>
      </c>
      <c r="E262" s="14">
        <f t="shared" si="202"/>
        <v>0.30044843049327352</v>
      </c>
      <c r="F262" s="7">
        <v>44.6</v>
      </c>
      <c r="G262" s="7">
        <f t="shared" si="200"/>
        <v>13.099551569506726</v>
      </c>
      <c r="H262" s="16">
        <f t="shared" si="201"/>
        <v>13.700448430493275</v>
      </c>
      <c r="I262" s="11">
        <f t="shared" si="198"/>
        <v>0.2561815851402216</v>
      </c>
      <c r="J262" s="33">
        <f t="shared" si="199"/>
        <v>5.7439817296013806E-3</v>
      </c>
      <c r="K262" s="33">
        <f t="shared" si="192"/>
        <v>174.09526127956499</v>
      </c>
      <c r="L262" s="33">
        <f t="shared" si="193"/>
        <v>0.25043760341062021</v>
      </c>
      <c r="M262" s="33">
        <f t="shared" si="194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195"/>
        <v>28320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9">
        <v>0</v>
      </c>
      <c r="AL262" s="30">
        <v>0</v>
      </c>
      <c r="AM262" s="21">
        <v>2017</v>
      </c>
      <c r="AN262" s="23"/>
      <c r="AO262" s="33">
        <v>0.11</v>
      </c>
      <c r="AP262" s="33">
        <v>0.39</v>
      </c>
      <c r="AQ262" s="33">
        <v>0.34</v>
      </c>
      <c r="AR262" s="43">
        <v>0.16</v>
      </c>
      <c r="AS262" s="33">
        <v>0.52400000000000002</v>
      </c>
      <c r="AT262" s="43">
        <v>0.47499999999999998</v>
      </c>
      <c r="AU262" s="42" t="s">
        <v>107</v>
      </c>
      <c r="AV262" s="18" t="s">
        <v>107</v>
      </c>
      <c r="AW262">
        <v>0</v>
      </c>
      <c r="AX262" s="40">
        <v>1</v>
      </c>
      <c r="AY262">
        <v>0.73599999999999999</v>
      </c>
      <c r="AZ262" s="40">
        <v>0.26400000000000001</v>
      </c>
      <c r="BB262" s="18"/>
      <c r="BC262" t="s">
        <v>107</v>
      </c>
      <c r="BD262" s="18" t="s">
        <v>107</v>
      </c>
      <c r="BE262" s="18" t="s">
        <v>29</v>
      </c>
      <c r="BL262" s="18"/>
      <c r="BO262" s="18"/>
      <c r="BR262" s="25">
        <v>40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1</v>
      </c>
      <c r="BY262">
        <v>0</v>
      </c>
      <c r="BZ262" s="18">
        <v>0</v>
      </c>
      <c r="CA262">
        <v>0</v>
      </c>
      <c r="CB262">
        <v>0</v>
      </c>
      <c r="CC262">
        <v>1</v>
      </c>
      <c r="CD262" s="18">
        <v>0</v>
      </c>
      <c r="CE262">
        <v>0</v>
      </c>
      <c r="CF262">
        <v>0</v>
      </c>
      <c r="CG262">
        <v>0</v>
      </c>
      <c r="CH262">
        <v>0</v>
      </c>
      <c r="CI262" s="18">
        <v>0</v>
      </c>
      <c r="CJ262">
        <v>0</v>
      </c>
      <c r="CK262">
        <v>0</v>
      </c>
      <c r="CL262">
        <v>1</v>
      </c>
      <c r="CM262">
        <v>1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 s="18">
        <v>0</v>
      </c>
      <c r="CZ262" s="34" t="s">
        <v>87</v>
      </c>
    </row>
    <row r="263" spans="1:104" x14ac:dyDescent="0.25">
      <c r="A263">
        <v>262</v>
      </c>
      <c r="B263">
        <v>18</v>
      </c>
      <c r="C263" s="80" t="s">
        <v>225</v>
      </c>
      <c r="D263" s="12">
        <v>7.9</v>
      </c>
      <c r="E263" s="14">
        <f t="shared" si="202"/>
        <v>8.856502242152467E-2</v>
      </c>
      <c r="F263" s="7">
        <v>89.2</v>
      </c>
      <c r="G263" s="7">
        <f t="shared" si="200"/>
        <v>7.8114349775784753</v>
      </c>
      <c r="H263" s="16">
        <f t="shared" si="201"/>
        <v>7.9885650224215254</v>
      </c>
      <c r="I263" s="11">
        <f t="shared" si="198"/>
        <v>0.50802802585012474</v>
      </c>
      <c r="J263" s="33">
        <f t="shared" si="199"/>
        <v>5.6953814557188873E-3</v>
      </c>
      <c r="K263" s="33">
        <f t="shared" si="192"/>
        <v>175.58086456103354</v>
      </c>
      <c r="L263" s="33">
        <f t="shared" si="193"/>
        <v>0.50233264439440584</v>
      </c>
      <c r="M263" s="33">
        <f t="shared" si="194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195"/>
        <v>22872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9">
        <v>0</v>
      </c>
      <c r="AL263" s="30">
        <v>0</v>
      </c>
      <c r="AM263" s="21">
        <v>2017</v>
      </c>
      <c r="AN263" s="23"/>
      <c r="AO263" s="33">
        <v>0.11</v>
      </c>
      <c r="AP263" s="33">
        <v>0.39</v>
      </c>
      <c r="AQ263" s="33">
        <v>0.34</v>
      </c>
      <c r="AR263" s="43">
        <v>0.16</v>
      </c>
      <c r="AS263" s="33">
        <v>0.52400000000000002</v>
      </c>
      <c r="AT263" s="43">
        <v>0.47499999999999998</v>
      </c>
      <c r="AU263" s="42" t="s">
        <v>107</v>
      </c>
      <c r="AV263" s="18" t="s">
        <v>107</v>
      </c>
      <c r="AW263">
        <v>0.70799999999999996</v>
      </c>
      <c r="AX263" s="40">
        <f>1-AW263</f>
        <v>0.29200000000000004</v>
      </c>
      <c r="AY263">
        <v>0</v>
      </c>
      <c r="AZ263" s="40">
        <v>1</v>
      </c>
      <c r="BB263" s="18"/>
      <c r="BC263" t="s">
        <v>107</v>
      </c>
      <c r="BD263" s="18" t="s">
        <v>107</v>
      </c>
      <c r="BE263" s="18" t="s">
        <v>29</v>
      </c>
      <c r="BL263" s="18"/>
      <c r="BO263" s="18"/>
      <c r="BR263" s="25">
        <v>40</v>
      </c>
      <c r="BS263">
        <v>1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 s="18">
        <v>0</v>
      </c>
      <c r="CA263">
        <v>0</v>
      </c>
      <c r="CB263">
        <v>0</v>
      </c>
      <c r="CC263">
        <v>1</v>
      </c>
      <c r="CD263" s="18">
        <v>0</v>
      </c>
      <c r="CE263">
        <v>0</v>
      </c>
      <c r="CF263">
        <v>0</v>
      </c>
      <c r="CG263">
        <v>0</v>
      </c>
      <c r="CH263">
        <v>0</v>
      </c>
      <c r="CI263" s="18">
        <v>0</v>
      </c>
      <c r="CJ263">
        <v>0</v>
      </c>
      <c r="CK263">
        <v>0</v>
      </c>
      <c r="CL263">
        <v>1</v>
      </c>
      <c r="CM263">
        <v>1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 s="18">
        <v>0</v>
      </c>
      <c r="CZ263" s="34" t="s">
        <v>87</v>
      </c>
    </row>
    <row r="264" spans="1:104" x14ac:dyDescent="0.25">
      <c r="A264">
        <v>263</v>
      </c>
      <c r="B264">
        <v>18</v>
      </c>
      <c r="C264" s="80" t="s">
        <v>225</v>
      </c>
      <c r="D264" s="12">
        <v>6.5</v>
      </c>
      <c r="E264" s="14">
        <f t="shared" si="202"/>
        <v>5.2208835341365459E-2</v>
      </c>
      <c r="F264" s="7">
        <v>124.5</v>
      </c>
      <c r="G264" s="7">
        <f t="shared" si="200"/>
        <v>6.4477911646586348</v>
      </c>
      <c r="H264" s="16">
        <f t="shared" si="201"/>
        <v>6.5522088353413652</v>
      </c>
      <c r="I264" s="11">
        <f t="shared" si="198"/>
        <v>0.41575771597427358</v>
      </c>
      <c r="J264" s="33">
        <f t="shared" si="199"/>
        <v>3.3394194054158521E-3</v>
      </c>
      <c r="K264" s="33">
        <f t="shared" si="192"/>
        <v>299.4532517773016</v>
      </c>
      <c r="L264" s="33">
        <f t="shared" si="193"/>
        <v>0.4124182965688577</v>
      </c>
      <c r="M264" s="33">
        <f t="shared" si="194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195"/>
        <v>74172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9">
        <v>0</v>
      </c>
      <c r="AL264" s="30">
        <v>0</v>
      </c>
      <c r="AM264" s="21">
        <v>2017</v>
      </c>
      <c r="AN264" s="23"/>
      <c r="AO264" s="33">
        <v>0.11</v>
      </c>
      <c r="AP264" s="33">
        <v>0.39</v>
      </c>
      <c r="AQ264" s="33">
        <v>0.34</v>
      </c>
      <c r="AR264" s="43">
        <v>0.16</v>
      </c>
      <c r="AS264" s="33">
        <v>0.52400000000000002</v>
      </c>
      <c r="AT264" s="43">
        <v>0.47499999999999998</v>
      </c>
      <c r="AU264" s="42" t="s">
        <v>107</v>
      </c>
      <c r="AV264" s="18" t="s">
        <v>107</v>
      </c>
      <c r="AW264">
        <v>0.70799999999999996</v>
      </c>
      <c r="AX264" s="40">
        <f>1-AW264</f>
        <v>0.29200000000000004</v>
      </c>
      <c r="AY264">
        <v>1</v>
      </c>
      <c r="AZ264" s="40">
        <v>0</v>
      </c>
      <c r="BB264" s="18"/>
      <c r="BC264" t="s">
        <v>107</v>
      </c>
      <c r="BD264" s="18" t="s">
        <v>107</v>
      </c>
      <c r="BE264" s="18" t="s">
        <v>29</v>
      </c>
      <c r="BL264" s="18"/>
      <c r="BO264" s="18"/>
      <c r="BR264" s="25">
        <v>40</v>
      </c>
      <c r="BS264">
        <v>1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 s="18">
        <v>0</v>
      </c>
      <c r="CA264">
        <v>0</v>
      </c>
      <c r="CB264">
        <v>0</v>
      </c>
      <c r="CC264">
        <v>1</v>
      </c>
      <c r="CD264" s="18">
        <v>0</v>
      </c>
      <c r="CE264">
        <v>0</v>
      </c>
      <c r="CF264">
        <v>0</v>
      </c>
      <c r="CG264">
        <v>0</v>
      </c>
      <c r="CH264">
        <v>0</v>
      </c>
      <c r="CI264" s="18">
        <v>0</v>
      </c>
      <c r="CJ264">
        <v>0</v>
      </c>
      <c r="CK264">
        <v>0</v>
      </c>
      <c r="CL264">
        <v>1</v>
      </c>
      <c r="CM264">
        <v>1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 s="18">
        <v>0</v>
      </c>
      <c r="CZ264" s="34" t="s">
        <v>87</v>
      </c>
    </row>
    <row r="265" spans="1:104" x14ac:dyDescent="0.25">
      <c r="A265">
        <v>264</v>
      </c>
      <c r="B265">
        <v>18</v>
      </c>
      <c r="C265" s="80" t="s">
        <v>225</v>
      </c>
      <c r="D265" s="12">
        <v>11.2</v>
      </c>
      <c r="E265" s="14">
        <f t="shared" si="202"/>
        <v>0.86821705426356577</v>
      </c>
      <c r="F265" s="7">
        <v>12.9</v>
      </c>
      <c r="G265" s="7">
        <f t="shared" si="200"/>
        <v>10.331782945736434</v>
      </c>
      <c r="H265" s="16">
        <f t="shared" si="201"/>
        <v>12.068217054263565</v>
      </c>
      <c r="I265" s="11">
        <f t="shared" si="198"/>
        <v>7.6431230218154844E-2</v>
      </c>
      <c r="J265" s="33">
        <f t="shared" si="199"/>
        <v>5.924901567298824E-3</v>
      </c>
      <c r="K265" s="33">
        <f t="shared" si="192"/>
        <v>168.77917525571689</v>
      </c>
      <c r="L265" s="33">
        <f t="shared" si="193"/>
        <v>7.0506328650856015E-2</v>
      </c>
      <c r="M265" s="33">
        <f t="shared" si="194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195"/>
        <v>28320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9">
        <v>0</v>
      </c>
      <c r="AL265" s="30">
        <v>0</v>
      </c>
      <c r="AM265" s="21">
        <v>2017</v>
      </c>
      <c r="AN265" s="23"/>
      <c r="AO265" s="33">
        <v>0.11</v>
      </c>
      <c r="AP265" s="33">
        <v>0.39</v>
      </c>
      <c r="AQ265" s="33">
        <v>0.34</v>
      </c>
      <c r="AR265" s="43">
        <v>0.16</v>
      </c>
      <c r="AS265" s="33">
        <v>0.52400000000000002</v>
      </c>
      <c r="AT265" s="43">
        <v>0.47499999999999998</v>
      </c>
      <c r="AU265" s="42" t="s">
        <v>107</v>
      </c>
      <c r="AV265" s="18" t="s">
        <v>107</v>
      </c>
      <c r="AW265">
        <v>0</v>
      </c>
      <c r="AX265" s="40">
        <v>1</v>
      </c>
      <c r="AY265">
        <v>0.73599999999999999</v>
      </c>
      <c r="AZ265" s="40">
        <v>0.26400000000000001</v>
      </c>
      <c r="BB265" s="18"/>
      <c r="BC265" t="s">
        <v>107</v>
      </c>
      <c r="BD265" s="18" t="s">
        <v>107</v>
      </c>
      <c r="BE265" s="18" t="s">
        <v>29</v>
      </c>
      <c r="BL265" s="18"/>
      <c r="BO265" s="18"/>
      <c r="BR265" s="25">
        <v>40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 s="18">
        <v>1</v>
      </c>
      <c r="CA265">
        <v>0</v>
      </c>
      <c r="CB265">
        <v>1</v>
      </c>
      <c r="CC265">
        <v>0</v>
      </c>
      <c r="CD265" s="18">
        <v>0</v>
      </c>
      <c r="CE265">
        <v>0</v>
      </c>
      <c r="CF265">
        <v>0</v>
      </c>
      <c r="CG265">
        <v>0</v>
      </c>
      <c r="CH265">
        <v>0</v>
      </c>
      <c r="CI265" s="18">
        <v>1</v>
      </c>
      <c r="CJ265">
        <v>1</v>
      </c>
      <c r="CK265">
        <v>1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 s="18">
        <v>0</v>
      </c>
      <c r="CZ265" s="34" t="s">
        <v>87</v>
      </c>
    </row>
    <row r="266" spans="1:104" s="52" customFormat="1" x14ac:dyDescent="0.25">
      <c r="A266" s="52">
        <v>265</v>
      </c>
      <c r="B266" s="52">
        <v>18</v>
      </c>
      <c r="C266" s="81" t="s">
        <v>225</v>
      </c>
      <c r="D266" s="54">
        <v>18</v>
      </c>
      <c r="E266" s="55">
        <f t="shared" si="202"/>
        <v>1.0843373493975903</v>
      </c>
      <c r="F266" s="56">
        <v>16.600000000000001</v>
      </c>
      <c r="G266" s="56">
        <f t="shared" si="200"/>
        <v>16.91566265060241</v>
      </c>
      <c r="H266" s="57">
        <f t="shared" si="201"/>
        <v>19.08433734939759</v>
      </c>
      <c r="I266" s="58">
        <f t="shared" si="198"/>
        <v>6.3196237365657243E-2</v>
      </c>
      <c r="J266" s="59">
        <f t="shared" si="199"/>
        <v>3.8070022509432066E-3</v>
      </c>
      <c r="K266" s="59">
        <f t="shared" si="192"/>
        <v>262.67386622958901</v>
      </c>
      <c r="L266" s="59">
        <f t="shared" si="193"/>
        <v>5.9389235114714035E-2</v>
      </c>
      <c r="M266" s="59">
        <f t="shared" si="194"/>
        <v>6.7003239616600443E-2</v>
      </c>
      <c r="N266" s="60">
        <v>1</v>
      </c>
      <c r="O266" s="61">
        <v>0</v>
      </c>
      <c r="P266" s="60">
        <v>0</v>
      </c>
      <c r="Q266" s="61">
        <v>0</v>
      </c>
      <c r="R266" s="61">
        <v>0</v>
      </c>
      <c r="S266" s="61">
        <v>1</v>
      </c>
      <c r="T266" s="61">
        <v>0</v>
      </c>
      <c r="U266" s="60">
        <v>68726</v>
      </c>
      <c r="V266" s="61">
        <v>3</v>
      </c>
      <c r="W266" s="61">
        <f t="shared" si="195"/>
        <v>68722</v>
      </c>
      <c r="X266" s="61"/>
      <c r="Y266" s="56">
        <v>10.1</v>
      </c>
      <c r="Z266" s="56">
        <v>20.7</v>
      </c>
      <c r="AA266" s="61">
        <v>1</v>
      </c>
      <c r="AB266" s="61">
        <v>0</v>
      </c>
      <c r="AC266" s="61">
        <v>1</v>
      </c>
      <c r="AD266" s="61">
        <v>0</v>
      </c>
      <c r="AE266" s="61">
        <v>0</v>
      </c>
      <c r="AF266" s="61">
        <v>0</v>
      </c>
      <c r="AG266" s="60">
        <v>0</v>
      </c>
      <c r="AH266" s="61">
        <v>1</v>
      </c>
      <c r="AI266" s="62">
        <v>0</v>
      </c>
      <c r="AJ266" s="61">
        <v>1</v>
      </c>
      <c r="AK266" s="61">
        <v>0</v>
      </c>
      <c r="AL266" s="62">
        <v>0</v>
      </c>
      <c r="AM266" s="63">
        <v>2017</v>
      </c>
      <c r="AN266" s="64"/>
      <c r="AO266" s="59">
        <v>0.11</v>
      </c>
      <c r="AP266" s="59">
        <v>0.39</v>
      </c>
      <c r="AQ266" s="59">
        <v>0.34</v>
      </c>
      <c r="AR266" s="65">
        <v>0.16</v>
      </c>
      <c r="AS266" s="59">
        <v>0.52400000000000002</v>
      </c>
      <c r="AT266" s="65">
        <v>0.47499999999999998</v>
      </c>
      <c r="AU266" s="66" t="s">
        <v>107</v>
      </c>
      <c r="AV266" s="67" t="s">
        <v>107</v>
      </c>
      <c r="AW266" s="52">
        <v>1</v>
      </c>
      <c r="AX266" s="68">
        <v>0</v>
      </c>
      <c r="AY266" s="52">
        <v>0.73599999999999999</v>
      </c>
      <c r="AZ266" s="68">
        <v>0.26400000000000001</v>
      </c>
      <c r="BB266" s="67"/>
      <c r="BC266" s="52" t="s">
        <v>107</v>
      </c>
      <c r="BD266" s="67" t="s">
        <v>107</v>
      </c>
      <c r="BE266" s="67" t="s">
        <v>29</v>
      </c>
      <c r="BL266" s="67"/>
      <c r="BO266" s="67"/>
      <c r="BR266" s="53">
        <v>40</v>
      </c>
      <c r="BS266" s="52">
        <v>0</v>
      </c>
      <c r="BT266" s="52">
        <v>0</v>
      </c>
      <c r="BU266" s="52">
        <v>0</v>
      </c>
      <c r="BV266" s="52">
        <v>0</v>
      </c>
      <c r="BW266" s="52">
        <v>0</v>
      </c>
      <c r="BX266" s="52">
        <v>0</v>
      </c>
      <c r="BY266" s="52">
        <v>0</v>
      </c>
      <c r="BZ266" s="67">
        <v>1</v>
      </c>
      <c r="CA266" s="52">
        <v>0</v>
      </c>
      <c r="CB266" s="52">
        <v>1</v>
      </c>
      <c r="CC266" s="52">
        <v>0</v>
      </c>
      <c r="CD266" s="67">
        <v>0</v>
      </c>
      <c r="CE266" s="52">
        <v>0</v>
      </c>
      <c r="CF266" s="52">
        <v>0</v>
      </c>
      <c r="CG266" s="52">
        <v>0</v>
      </c>
      <c r="CH266" s="52">
        <v>0</v>
      </c>
      <c r="CI266" s="67">
        <v>1</v>
      </c>
      <c r="CJ266" s="52">
        <v>1</v>
      </c>
      <c r="CK266" s="52">
        <v>1</v>
      </c>
      <c r="CL266" s="52">
        <v>0</v>
      </c>
      <c r="CM266" s="52">
        <v>0</v>
      </c>
      <c r="CN266" s="52">
        <v>0</v>
      </c>
      <c r="CO266" s="52">
        <v>0</v>
      </c>
      <c r="CP266" s="52">
        <v>0</v>
      </c>
      <c r="CQ266" s="52">
        <v>0</v>
      </c>
      <c r="CR266" s="52">
        <v>0</v>
      </c>
      <c r="CS266" s="52">
        <v>0</v>
      </c>
      <c r="CT266" s="67">
        <v>0</v>
      </c>
      <c r="CY266" s="53"/>
      <c r="CZ266" s="69" t="s">
        <v>87</v>
      </c>
    </row>
    <row r="267" spans="1:104" x14ac:dyDescent="0.25">
      <c r="A267">
        <v>266</v>
      </c>
      <c r="B267">
        <v>19</v>
      </c>
      <c r="C267" s="82" t="s">
        <v>226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03">D267-E267</f>
        <v>12.156840195843781</v>
      </c>
      <c r="H267" s="16">
        <f t="shared" ref="H267:H290" si="204">D267+E267</f>
        <v>13.660244740319133</v>
      </c>
      <c r="I267" s="11">
        <f t="shared" si="198"/>
        <v>0.27491202321058933</v>
      </c>
      <c r="J267" s="33">
        <f t="shared" si="199"/>
        <v>1.6008933078528294E-2</v>
      </c>
      <c r="K267" s="33">
        <f t="shared" si="192"/>
        <v>62.465124633523068</v>
      </c>
      <c r="L267" s="33">
        <f t="shared" si="193"/>
        <v>0.25890309013206103</v>
      </c>
      <c r="M267" s="33">
        <f t="shared" si="194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195"/>
        <v>3607</v>
      </c>
      <c r="Y267" s="7">
        <v>17</v>
      </c>
      <c r="Z267" s="7">
        <f t="shared" ref="Z267:Z298" si="205">BR267-Y267-6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9">
        <v>0</v>
      </c>
      <c r="AL267" s="30">
        <v>0</v>
      </c>
      <c r="AM267" s="21">
        <v>2001</v>
      </c>
      <c r="AN267" s="23"/>
      <c r="AO267" s="33">
        <v>0.01</v>
      </c>
      <c r="AP267" s="33">
        <v>0.41725000000000001</v>
      </c>
      <c r="AQ267" s="33">
        <v>0.48</v>
      </c>
      <c r="AR267" s="43">
        <v>9.2749999999999999E-2</v>
      </c>
      <c r="AS267" s="33" t="s">
        <v>107</v>
      </c>
      <c r="AT267" s="43" t="s">
        <v>107</v>
      </c>
      <c r="AU267" s="42">
        <v>1</v>
      </c>
      <c r="AV267" s="18">
        <v>0</v>
      </c>
      <c r="AW267">
        <v>0.48</v>
      </c>
      <c r="AX267" s="40">
        <v>0.52</v>
      </c>
      <c r="AY267" t="s">
        <v>107</v>
      </c>
      <c r="AZ267" s="40" t="s">
        <v>107</v>
      </c>
      <c r="BB267" s="18"/>
      <c r="BC267">
        <v>0</v>
      </c>
      <c r="BD267" s="18">
        <v>1</v>
      </c>
      <c r="BE267" s="18" t="s">
        <v>5</v>
      </c>
      <c r="BL267" s="18"/>
      <c r="BO267" s="18"/>
      <c r="BR267" s="25">
        <v>44.274999999999999</v>
      </c>
      <c r="BS267">
        <v>1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 s="18">
        <v>0</v>
      </c>
      <c r="CA267">
        <v>0</v>
      </c>
      <c r="CB267">
        <v>1</v>
      </c>
      <c r="CC267">
        <v>0</v>
      </c>
      <c r="CD267" s="18">
        <v>0</v>
      </c>
      <c r="CE267">
        <v>0</v>
      </c>
      <c r="CF267">
        <v>0</v>
      </c>
      <c r="CG267">
        <v>0</v>
      </c>
      <c r="CH267">
        <v>0</v>
      </c>
      <c r="CI267" s="18">
        <v>0</v>
      </c>
      <c r="CJ267">
        <v>1</v>
      </c>
      <c r="CK267">
        <v>1</v>
      </c>
      <c r="CL267">
        <v>0</v>
      </c>
      <c r="CM267">
        <v>0</v>
      </c>
      <c r="CN267">
        <v>0</v>
      </c>
      <c r="CO267">
        <v>1</v>
      </c>
      <c r="CP267">
        <v>1</v>
      </c>
      <c r="CQ267">
        <v>0</v>
      </c>
      <c r="CR267">
        <v>0</v>
      </c>
      <c r="CS267">
        <v>0</v>
      </c>
      <c r="CT267" s="18">
        <v>1</v>
      </c>
      <c r="CZ267" s="34" t="s">
        <v>87</v>
      </c>
    </row>
    <row r="268" spans="1:104" x14ac:dyDescent="0.25">
      <c r="A268">
        <v>267</v>
      </c>
      <c r="B268">
        <v>19</v>
      </c>
      <c r="C268" s="25" t="s">
        <v>226</v>
      </c>
      <c r="D268" s="12">
        <v>9.7250909313234697</v>
      </c>
      <c r="E268" s="14">
        <v>1.0256931841630224</v>
      </c>
      <c r="F268" s="7">
        <v>9.481481481481481</v>
      </c>
      <c r="G268" s="7">
        <f t="shared" si="203"/>
        <v>8.6993977471604467</v>
      </c>
      <c r="H268" s="16">
        <f t="shared" si="204"/>
        <v>10.750784115486493</v>
      </c>
      <c r="I268" s="11">
        <f t="shared" si="198"/>
        <v>0.15593996707303245</v>
      </c>
      <c r="J268" s="33">
        <f t="shared" si="199"/>
        <v>1.644679340223389E-2</v>
      </c>
      <c r="K268" s="33">
        <f t="shared" si="192"/>
        <v>60.802125711883434</v>
      </c>
      <c r="L268" s="33">
        <f t="shared" si="193"/>
        <v>0.13949317367079855</v>
      </c>
      <c r="M268" s="33">
        <f t="shared" si="194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195"/>
        <v>3607</v>
      </c>
      <c r="Y268" s="7">
        <v>12</v>
      </c>
      <c r="Z268" s="7">
        <f t="shared" si="205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9">
        <v>0</v>
      </c>
      <c r="AL268" s="30">
        <v>0</v>
      </c>
      <c r="AM268" s="21">
        <v>2001</v>
      </c>
      <c r="AN268" s="23"/>
      <c r="AO268" s="33">
        <v>0.01</v>
      </c>
      <c r="AP268" s="33">
        <v>0.41725000000000001</v>
      </c>
      <c r="AQ268" s="33">
        <v>0.48</v>
      </c>
      <c r="AR268" s="43">
        <v>9.2749999999999999E-2</v>
      </c>
      <c r="AS268" s="33" t="s">
        <v>107</v>
      </c>
      <c r="AT268" s="43" t="s">
        <v>107</v>
      </c>
      <c r="AU268" s="42">
        <v>1</v>
      </c>
      <c r="AV268" s="18">
        <v>0</v>
      </c>
      <c r="AW268">
        <v>0.48</v>
      </c>
      <c r="AX268" s="40">
        <v>0.52</v>
      </c>
      <c r="AY268" t="s">
        <v>107</v>
      </c>
      <c r="AZ268" s="40" t="s">
        <v>107</v>
      </c>
      <c r="BB268" s="18"/>
      <c r="BC268">
        <v>0</v>
      </c>
      <c r="BD268" s="18">
        <v>1</v>
      </c>
      <c r="BE268" s="18" t="s">
        <v>5</v>
      </c>
      <c r="BL268" s="18"/>
      <c r="BO268" s="18"/>
      <c r="BR268" s="25">
        <v>44.274999999999999</v>
      </c>
      <c r="BS268">
        <v>1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 s="18">
        <v>0</v>
      </c>
      <c r="CA268">
        <v>0</v>
      </c>
      <c r="CB268">
        <v>1</v>
      </c>
      <c r="CC268">
        <v>0</v>
      </c>
      <c r="CD268" s="18">
        <v>0</v>
      </c>
      <c r="CE268">
        <v>0</v>
      </c>
      <c r="CF268">
        <v>0</v>
      </c>
      <c r="CG268">
        <v>0</v>
      </c>
      <c r="CH268">
        <v>0</v>
      </c>
      <c r="CI268" s="18">
        <v>0</v>
      </c>
      <c r="CJ268">
        <v>1</v>
      </c>
      <c r="CK268">
        <v>1</v>
      </c>
      <c r="CL268">
        <v>0</v>
      </c>
      <c r="CM268">
        <v>0</v>
      </c>
      <c r="CN268">
        <v>0</v>
      </c>
      <c r="CO268">
        <v>1</v>
      </c>
      <c r="CP268">
        <v>1</v>
      </c>
      <c r="CQ268">
        <v>0</v>
      </c>
      <c r="CR268">
        <v>0</v>
      </c>
      <c r="CS268">
        <v>0</v>
      </c>
      <c r="CT268" s="18">
        <v>1</v>
      </c>
      <c r="CZ268" s="34" t="s">
        <v>87</v>
      </c>
    </row>
    <row r="269" spans="1:104" x14ac:dyDescent="0.25">
      <c r="A269">
        <v>268</v>
      </c>
      <c r="B269">
        <v>19</v>
      </c>
      <c r="C269" s="25" t="s">
        <v>226</v>
      </c>
      <c r="D269" s="12">
        <v>9.6390601422601403</v>
      </c>
      <c r="E269" s="14">
        <v>2.352841452047751</v>
      </c>
      <c r="F269" s="7">
        <v>4.096774193548387</v>
      </c>
      <c r="G269" s="7">
        <f t="shared" si="203"/>
        <v>7.2862186902123893</v>
      </c>
      <c r="H269" s="16">
        <f t="shared" si="204"/>
        <v>11.99190159430789</v>
      </c>
      <c r="I269" s="11">
        <f t="shared" si="198"/>
        <v>6.8055135339707112E-2</v>
      </c>
      <c r="J269" s="33">
        <f t="shared" si="199"/>
        <v>1.6611883429377326E-2</v>
      </c>
      <c r="K269" s="33">
        <f t="shared" si="192"/>
        <v>60.19787005196217</v>
      </c>
      <c r="L269" s="33">
        <f t="shared" si="193"/>
        <v>5.1443251910329786E-2</v>
      </c>
      <c r="M269" s="33">
        <f t="shared" si="194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195"/>
        <v>3607</v>
      </c>
      <c r="Y269" s="7">
        <v>9</v>
      </c>
      <c r="Z269" s="7">
        <f t="shared" si="205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9">
        <v>0</v>
      </c>
      <c r="AL269" s="30">
        <v>0</v>
      </c>
      <c r="AM269" s="21">
        <v>2001</v>
      </c>
      <c r="AN269" s="23"/>
      <c r="AO269" s="33">
        <v>0.01</v>
      </c>
      <c r="AP269" s="33">
        <v>0.41725000000000001</v>
      </c>
      <c r="AQ269" s="33">
        <v>0.48</v>
      </c>
      <c r="AR269" s="43">
        <v>9.2749999999999999E-2</v>
      </c>
      <c r="AS269" s="33" t="s">
        <v>107</v>
      </c>
      <c r="AT269" s="43" t="s">
        <v>107</v>
      </c>
      <c r="AU269" s="42">
        <v>1</v>
      </c>
      <c r="AV269" s="18">
        <v>0</v>
      </c>
      <c r="AW269">
        <v>0.48</v>
      </c>
      <c r="AX269" s="40">
        <v>0.52</v>
      </c>
      <c r="AY269" t="s">
        <v>107</v>
      </c>
      <c r="AZ269" s="40" t="s">
        <v>107</v>
      </c>
      <c r="BB269" s="18"/>
      <c r="BC269">
        <v>0</v>
      </c>
      <c r="BD269" s="18">
        <v>1</v>
      </c>
      <c r="BE269" s="18" t="s">
        <v>5</v>
      </c>
      <c r="BL269" s="18"/>
      <c r="BO269" s="18"/>
      <c r="BR269" s="25">
        <v>44.274999999999999</v>
      </c>
      <c r="BS269">
        <v>1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 s="18">
        <v>0</v>
      </c>
      <c r="CA269">
        <v>0</v>
      </c>
      <c r="CB269">
        <v>1</v>
      </c>
      <c r="CC269">
        <v>0</v>
      </c>
      <c r="CD269" s="18">
        <v>0</v>
      </c>
      <c r="CE269">
        <v>0</v>
      </c>
      <c r="CF269">
        <v>0</v>
      </c>
      <c r="CG269">
        <v>0</v>
      </c>
      <c r="CH269">
        <v>0</v>
      </c>
      <c r="CI269" s="18">
        <v>0</v>
      </c>
      <c r="CJ269">
        <v>1</v>
      </c>
      <c r="CK269">
        <v>1</v>
      </c>
      <c r="CL269">
        <v>0</v>
      </c>
      <c r="CM269">
        <v>0</v>
      </c>
      <c r="CN269">
        <v>0</v>
      </c>
      <c r="CO269">
        <v>1</v>
      </c>
      <c r="CP269">
        <v>1</v>
      </c>
      <c r="CQ269">
        <v>0</v>
      </c>
      <c r="CR269">
        <v>0</v>
      </c>
      <c r="CS269">
        <v>0</v>
      </c>
      <c r="CT269" s="18">
        <v>1</v>
      </c>
      <c r="CZ269" s="34" t="s">
        <v>87</v>
      </c>
    </row>
    <row r="270" spans="1:104" x14ac:dyDescent="0.25">
      <c r="A270">
        <v>269</v>
      </c>
      <c r="B270">
        <v>19</v>
      </c>
      <c r="C270" s="25" t="s">
        <v>226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03"/>
        <v>12.124354879717853</v>
      </c>
      <c r="H270" s="16">
        <f t="shared" si="204"/>
        <v>13.626945869084594</v>
      </c>
      <c r="I270" s="11">
        <f t="shared" si="198"/>
        <v>0.27440159564256938</v>
      </c>
      <c r="J270" s="33">
        <f t="shared" si="199"/>
        <v>1.6011360711538254E-2</v>
      </c>
      <c r="K270" s="33">
        <f t="shared" si="192"/>
        <v>62.455653708392866</v>
      </c>
      <c r="L270" s="33">
        <f t="shared" si="193"/>
        <v>0.25839023493103114</v>
      </c>
      <c r="M270" s="33">
        <f t="shared" si="194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195"/>
        <v>3607</v>
      </c>
      <c r="Y270" s="7">
        <v>17</v>
      </c>
      <c r="Z270" s="7">
        <f t="shared" si="205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9">
        <v>0</v>
      </c>
      <c r="AL270" s="30">
        <v>0</v>
      </c>
      <c r="AM270" s="21">
        <v>2001</v>
      </c>
      <c r="AN270" s="23"/>
      <c r="AO270" s="33">
        <v>0.01</v>
      </c>
      <c r="AP270" s="33">
        <v>0.41725000000000001</v>
      </c>
      <c r="AQ270" s="33">
        <v>0.48</v>
      </c>
      <c r="AR270" s="43">
        <v>9.2749999999999999E-2</v>
      </c>
      <c r="AS270" s="33" t="s">
        <v>107</v>
      </c>
      <c r="AT270" s="43" t="s">
        <v>107</v>
      </c>
      <c r="AU270" s="42">
        <v>1</v>
      </c>
      <c r="AV270" s="18">
        <v>0</v>
      </c>
      <c r="AW270">
        <v>0.48</v>
      </c>
      <c r="AX270" s="40">
        <v>0.52</v>
      </c>
      <c r="AY270" t="s">
        <v>107</v>
      </c>
      <c r="AZ270" s="40" t="s">
        <v>107</v>
      </c>
      <c r="BB270" s="18"/>
      <c r="BC270">
        <v>0</v>
      </c>
      <c r="BD270" s="18">
        <v>1</v>
      </c>
      <c r="BE270" s="18" t="s">
        <v>5</v>
      </c>
      <c r="BL270" s="18"/>
      <c r="BO270" s="18"/>
      <c r="BR270" s="25">
        <v>44.274999999999999</v>
      </c>
      <c r="BS270">
        <v>1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 s="18">
        <v>0</v>
      </c>
      <c r="CA270">
        <v>0</v>
      </c>
      <c r="CB270">
        <v>1</v>
      </c>
      <c r="CC270">
        <v>0</v>
      </c>
      <c r="CD270" s="18">
        <v>0</v>
      </c>
      <c r="CE270">
        <v>0</v>
      </c>
      <c r="CF270">
        <v>0</v>
      </c>
      <c r="CG270">
        <v>0</v>
      </c>
      <c r="CH270">
        <v>0</v>
      </c>
      <c r="CI270" s="18">
        <v>0</v>
      </c>
      <c r="CJ270">
        <v>1</v>
      </c>
      <c r="CK270">
        <v>1</v>
      </c>
      <c r="CL270">
        <v>0</v>
      </c>
      <c r="CM270">
        <v>0</v>
      </c>
      <c r="CN270">
        <v>0</v>
      </c>
      <c r="CO270">
        <v>1</v>
      </c>
      <c r="CP270">
        <v>1</v>
      </c>
      <c r="CQ270">
        <v>0</v>
      </c>
      <c r="CR270">
        <v>0</v>
      </c>
      <c r="CS270">
        <v>0</v>
      </c>
      <c r="CT270" s="18">
        <v>1</v>
      </c>
      <c r="CZ270" s="34" t="s">
        <v>87</v>
      </c>
    </row>
    <row r="271" spans="1:104" x14ac:dyDescent="0.25">
      <c r="A271">
        <v>270</v>
      </c>
      <c r="B271">
        <v>19</v>
      </c>
      <c r="C271" s="25" t="s">
        <v>226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03"/>
        <v>8.2342103780496974</v>
      </c>
      <c r="H271" s="16">
        <f t="shared" si="204"/>
        <v>10.273877168942741</v>
      </c>
      <c r="I271" s="11">
        <f t="shared" si="198"/>
        <v>0.14939224351455971</v>
      </c>
      <c r="J271" s="33">
        <f t="shared" si="199"/>
        <v>1.6463634999563725E-2</v>
      </c>
      <c r="K271" s="33">
        <f t="shared" si="192"/>
        <v>60.739927727169565</v>
      </c>
      <c r="L271" s="33">
        <f t="shared" si="193"/>
        <v>0.13292860851499599</v>
      </c>
      <c r="M271" s="33">
        <f t="shared" si="194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195"/>
        <v>3607</v>
      </c>
      <c r="Y271" s="7">
        <v>12</v>
      </c>
      <c r="Z271" s="7">
        <f t="shared" si="205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9">
        <v>0</v>
      </c>
      <c r="AL271" s="30">
        <v>0</v>
      </c>
      <c r="AM271" s="21">
        <v>2001</v>
      </c>
      <c r="AN271" s="23"/>
      <c r="AO271" s="33">
        <v>0.01</v>
      </c>
      <c r="AP271" s="33">
        <v>0.41725000000000001</v>
      </c>
      <c r="AQ271" s="33">
        <v>0.48</v>
      </c>
      <c r="AR271" s="43">
        <v>9.2749999999999999E-2</v>
      </c>
      <c r="AS271" s="33" t="s">
        <v>107</v>
      </c>
      <c r="AT271" s="43" t="s">
        <v>107</v>
      </c>
      <c r="AU271" s="42">
        <v>1</v>
      </c>
      <c r="AV271" s="18">
        <v>0</v>
      </c>
      <c r="AW271">
        <v>0.48</v>
      </c>
      <c r="AX271" s="40">
        <v>0.52</v>
      </c>
      <c r="AY271" t="s">
        <v>107</v>
      </c>
      <c r="AZ271" s="40" t="s">
        <v>107</v>
      </c>
      <c r="BB271" s="18"/>
      <c r="BC271">
        <v>0</v>
      </c>
      <c r="BD271" s="18">
        <v>1</v>
      </c>
      <c r="BE271" s="18" t="s">
        <v>5</v>
      </c>
      <c r="BL271" s="18"/>
      <c r="BO271" s="18"/>
      <c r="BR271" s="25">
        <v>44.274999999999999</v>
      </c>
      <c r="BS271">
        <v>1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 s="18">
        <v>0</v>
      </c>
      <c r="CA271">
        <v>0</v>
      </c>
      <c r="CB271">
        <v>1</v>
      </c>
      <c r="CC271">
        <v>0</v>
      </c>
      <c r="CD271" s="18">
        <v>0</v>
      </c>
      <c r="CE271">
        <v>0</v>
      </c>
      <c r="CF271">
        <v>0</v>
      </c>
      <c r="CG271">
        <v>0</v>
      </c>
      <c r="CH271">
        <v>0</v>
      </c>
      <c r="CI271" s="18">
        <v>0</v>
      </c>
      <c r="CJ271">
        <v>1</v>
      </c>
      <c r="CK271">
        <v>1</v>
      </c>
      <c r="CL271">
        <v>0</v>
      </c>
      <c r="CM271">
        <v>0</v>
      </c>
      <c r="CN271">
        <v>0</v>
      </c>
      <c r="CO271">
        <v>1</v>
      </c>
      <c r="CP271">
        <v>1</v>
      </c>
      <c r="CQ271">
        <v>0</v>
      </c>
      <c r="CR271">
        <v>0</v>
      </c>
      <c r="CS271">
        <v>0</v>
      </c>
      <c r="CT271" s="18">
        <v>1</v>
      </c>
      <c r="CZ271" s="34" t="s">
        <v>87</v>
      </c>
    </row>
    <row r="272" spans="1:104" x14ac:dyDescent="0.25">
      <c r="A272">
        <v>271</v>
      </c>
      <c r="B272">
        <v>19</v>
      </c>
      <c r="C272" s="25" t="s">
        <v>226</v>
      </c>
      <c r="D272" s="12">
        <v>10.33214835777491</v>
      </c>
      <c r="E272" s="14">
        <v>2.4108346168141459</v>
      </c>
      <c r="F272" s="7">
        <v>4.2857142857142856</v>
      </c>
      <c r="G272" s="7">
        <f t="shared" si="203"/>
        <v>7.9213137409607643</v>
      </c>
      <c r="H272" s="16">
        <f t="shared" si="204"/>
        <v>12.742982974589056</v>
      </c>
      <c r="I272" s="11">
        <f t="shared" si="198"/>
        <v>7.1178233468594559E-2</v>
      </c>
      <c r="J272" s="33">
        <f t="shared" si="199"/>
        <v>1.6608254476005398E-2</v>
      </c>
      <c r="K272" s="33">
        <f t="shared" si="192"/>
        <v>60.21102346695973</v>
      </c>
      <c r="L272" s="33">
        <f t="shared" si="193"/>
        <v>5.4569978992589162E-2</v>
      </c>
      <c r="M272" s="33">
        <f t="shared" si="194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195"/>
        <v>3607</v>
      </c>
      <c r="Y272" s="7">
        <v>9</v>
      </c>
      <c r="Z272" s="7">
        <f t="shared" si="205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9">
        <v>0</v>
      </c>
      <c r="AL272" s="30">
        <v>0</v>
      </c>
      <c r="AM272" s="21">
        <v>2001</v>
      </c>
      <c r="AN272" s="23"/>
      <c r="AO272" s="33">
        <v>0.01</v>
      </c>
      <c r="AP272" s="33">
        <v>0.41725000000000001</v>
      </c>
      <c r="AQ272" s="33">
        <v>0.48</v>
      </c>
      <c r="AR272" s="43">
        <v>9.2749999999999999E-2</v>
      </c>
      <c r="AS272" s="33" t="s">
        <v>107</v>
      </c>
      <c r="AT272" s="43" t="s">
        <v>107</v>
      </c>
      <c r="AU272" s="42">
        <v>1</v>
      </c>
      <c r="AV272" s="18">
        <v>0</v>
      </c>
      <c r="AW272">
        <v>0.48</v>
      </c>
      <c r="AX272" s="40">
        <v>0.52</v>
      </c>
      <c r="AY272" t="s">
        <v>107</v>
      </c>
      <c r="AZ272" s="40" t="s">
        <v>107</v>
      </c>
      <c r="BB272" s="18"/>
      <c r="BC272">
        <v>0</v>
      </c>
      <c r="BD272" s="18">
        <v>1</v>
      </c>
      <c r="BE272" s="18" t="s">
        <v>5</v>
      </c>
      <c r="BL272" s="18"/>
      <c r="BO272" s="18"/>
      <c r="BR272" s="25">
        <v>44.274999999999999</v>
      </c>
      <c r="BS272">
        <v>1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 s="18">
        <v>0</v>
      </c>
      <c r="CA272">
        <v>0</v>
      </c>
      <c r="CB272">
        <v>1</v>
      </c>
      <c r="CC272">
        <v>0</v>
      </c>
      <c r="CD272" s="18">
        <v>0</v>
      </c>
      <c r="CE272">
        <v>0</v>
      </c>
      <c r="CF272">
        <v>0</v>
      </c>
      <c r="CG272">
        <v>0</v>
      </c>
      <c r="CH272">
        <v>0</v>
      </c>
      <c r="CI272" s="18">
        <v>0</v>
      </c>
      <c r="CJ272">
        <v>1</v>
      </c>
      <c r="CK272">
        <v>1</v>
      </c>
      <c r="CL272">
        <v>0</v>
      </c>
      <c r="CM272">
        <v>0</v>
      </c>
      <c r="CN272">
        <v>0</v>
      </c>
      <c r="CO272">
        <v>1</v>
      </c>
      <c r="CP272">
        <v>1</v>
      </c>
      <c r="CQ272">
        <v>0</v>
      </c>
      <c r="CR272">
        <v>0</v>
      </c>
      <c r="CS272">
        <v>0</v>
      </c>
      <c r="CT272" s="18">
        <v>1</v>
      </c>
      <c r="CZ272" s="34" t="s">
        <v>87</v>
      </c>
    </row>
    <row r="273" spans="1:104" x14ac:dyDescent="0.25">
      <c r="A273">
        <v>272</v>
      </c>
      <c r="B273">
        <v>19</v>
      </c>
      <c r="C273" s="25" t="s">
        <v>226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03"/>
        <v>11.316627581306244</v>
      </c>
      <c r="H273" s="16">
        <f t="shared" si="204"/>
        <v>12.747171925670015</v>
      </c>
      <c r="I273" s="11">
        <f t="shared" si="198"/>
        <v>0.27001834234929567</v>
      </c>
      <c r="J273" s="33">
        <f t="shared" si="199"/>
        <v>1.6052045829682123E-2</v>
      </c>
      <c r="K273" s="33">
        <f t="shared" si="192"/>
        <v>62.297355154000513</v>
      </c>
      <c r="L273" s="33">
        <f t="shared" si="193"/>
        <v>0.25396629651961355</v>
      </c>
      <c r="M273" s="33">
        <f t="shared" si="194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195"/>
        <v>3598</v>
      </c>
      <c r="Y273" s="7">
        <v>17</v>
      </c>
      <c r="Z273" s="7">
        <f t="shared" si="205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9">
        <v>0</v>
      </c>
      <c r="AL273" s="30">
        <v>0</v>
      </c>
      <c r="AM273" s="21">
        <v>2001</v>
      </c>
      <c r="AN273" s="23"/>
      <c r="AO273" s="33">
        <v>0.01</v>
      </c>
      <c r="AP273" s="33">
        <v>0.41725000000000001</v>
      </c>
      <c r="AQ273" s="33">
        <v>0.48</v>
      </c>
      <c r="AR273" s="43">
        <v>9.2749999999999999E-2</v>
      </c>
      <c r="AS273" s="33" t="s">
        <v>107</v>
      </c>
      <c r="AT273" s="43" t="s">
        <v>107</v>
      </c>
      <c r="AU273" s="42">
        <v>1</v>
      </c>
      <c r="AV273" s="18">
        <v>0</v>
      </c>
      <c r="AW273">
        <v>0.48</v>
      </c>
      <c r="AX273" s="40">
        <v>0.52</v>
      </c>
      <c r="AY273" t="s">
        <v>107</v>
      </c>
      <c r="AZ273" s="40" t="s">
        <v>107</v>
      </c>
      <c r="BB273" s="18"/>
      <c r="BC273">
        <v>0</v>
      </c>
      <c r="BD273" s="18">
        <v>1</v>
      </c>
      <c r="BE273" s="18" t="s">
        <v>5</v>
      </c>
      <c r="BL273" s="18"/>
      <c r="BO273" s="18"/>
      <c r="BR273" s="25">
        <v>44.274999999999999</v>
      </c>
      <c r="BS273">
        <v>1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 s="18">
        <v>0</v>
      </c>
      <c r="CA273">
        <v>0</v>
      </c>
      <c r="CB273">
        <v>1</v>
      </c>
      <c r="CC273">
        <v>0</v>
      </c>
      <c r="CD273" s="18">
        <v>0</v>
      </c>
      <c r="CE273">
        <v>0</v>
      </c>
      <c r="CF273">
        <v>0</v>
      </c>
      <c r="CG273">
        <v>0</v>
      </c>
      <c r="CH273">
        <v>0</v>
      </c>
      <c r="CI273" s="18">
        <v>0</v>
      </c>
      <c r="CJ273">
        <v>1</v>
      </c>
      <c r="CK273">
        <v>1</v>
      </c>
      <c r="CL273">
        <v>0</v>
      </c>
      <c r="CM273">
        <v>0</v>
      </c>
      <c r="CN273">
        <v>0</v>
      </c>
      <c r="CO273">
        <v>1</v>
      </c>
      <c r="CP273">
        <v>1</v>
      </c>
      <c r="CQ273">
        <v>0</v>
      </c>
      <c r="CR273">
        <v>0</v>
      </c>
      <c r="CS273">
        <v>0</v>
      </c>
      <c r="CT273" s="18">
        <v>1</v>
      </c>
      <c r="CZ273" s="34" t="s">
        <v>87</v>
      </c>
    </row>
    <row r="274" spans="1:104" x14ac:dyDescent="0.25">
      <c r="A274">
        <v>273</v>
      </c>
      <c r="B274">
        <v>19</v>
      </c>
      <c r="C274" s="25" t="s">
        <v>226</v>
      </c>
      <c r="D274" s="12">
        <v>8.0367459666890557</v>
      </c>
      <c r="E274" s="14">
        <v>1.041800403089322</v>
      </c>
      <c r="F274" s="7">
        <v>7.7142857142857144</v>
      </c>
      <c r="G274" s="7">
        <f t="shared" si="203"/>
        <v>6.9949455635997335</v>
      </c>
      <c r="H274" s="16">
        <f t="shared" si="204"/>
        <v>9.0785463697783779</v>
      </c>
      <c r="I274" s="11">
        <f t="shared" si="198"/>
        <v>0.12755660349884759</v>
      </c>
      <c r="J274" s="33">
        <f t="shared" si="199"/>
        <v>1.6535115268369132E-2</v>
      </c>
      <c r="K274" s="33">
        <f t="shared" si="192"/>
        <v>60.4773528197261</v>
      </c>
      <c r="L274" s="33">
        <f t="shared" si="193"/>
        <v>0.11102148823047846</v>
      </c>
      <c r="M274" s="33">
        <f t="shared" si="194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195"/>
        <v>3598</v>
      </c>
      <c r="Y274" s="7">
        <v>12</v>
      </c>
      <c r="Z274" s="7">
        <f t="shared" si="205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9">
        <v>0</v>
      </c>
      <c r="AL274" s="30">
        <v>0</v>
      </c>
      <c r="AM274" s="21">
        <v>2001</v>
      </c>
      <c r="AN274" s="23"/>
      <c r="AO274" s="33">
        <v>0.01</v>
      </c>
      <c r="AP274" s="33">
        <v>0.41725000000000001</v>
      </c>
      <c r="AQ274" s="33">
        <v>0.48</v>
      </c>
      <c r="AR274" s="43">
        <v>9.2749999999999999E-2</v>
      </c>
      <c r="AS274" s="33" t="s">
        <v>107</v>
      </c>
      <c r="AT274" s="43" t="s">
        <v>107</v>
      </c>
      <c r="AU274" s="42">
        <v>1</v>
      </c>
      <c r="AV274" s="18">
        <v>0</v>
      </c>
      <c r="AW274">
        <v>0.48</v>
      </c>
      <c r="AX274" s="40">
        <v>0.52</v>
      </c>
      <c r="AY274" t="s">
        <v>107</v>
      </c>
      <c r="AZ274" s="40" t="s">
        <v>107</v>
      </c>
      <c r="BB274" s="18"/>
      <c r="BC274">
        <v>0</v>
      </c>
      <c r="BD274" s="18">
        <v>1</v>
      </c>
      <c r="BE274" s="18" t="s">
        <v>5</v>
      </c>
      <c r="BL274" s="18"/>
      <c r="BO274" s="18"/>
      <c r="BR274" s="25">
        <v>44.274999999999999</v>
      </c>
      <c r="BS274">
        <v>1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 s="18">
        <v>0</v>
      </c>
      <c r="CA274">
        <v>0</v>
      </c>
      <c r="CB274">
        <v>1</v>
      </c>
      <c r="CC274">
        <v>0</v>
      </c>
      <c r="CD274" s="18">
        <v>0</v>
      </c>
      <c r="CE274">
        <v>0</v>
      </c>
      <c r="CF274">
        <v>0</v>
      </c>
      <c r="CG274">
        <v>0</v>
      </c>
      <c r="CH274">
        <v>0</v>
      </c>
      <c r="CI274" s="18">
        <v>0</v>
      </c>
      <c r="CJ274">
        <v>1</v>
      </c>
      <c r="CK274">
        <v>1</v>
      </c>
      <c r="CL274">
        <v>0</v>
      </c>
      <c r="CM274">
        <v>0</v>
      </c>
      <c r="CN274">
        <v>0</v>
      </c>
      <c r="CO274">
        <v>1</v>
      </c>
      <c r="CP274">
        <v>1</v>
      </c>
      <c r="CQ274">
        <v>0</v>
      </c>
      <c r="CR274">
        <v>0</v>
      </c>
      <c r="CS274">
        <v>0</v>
      </c>
      <c r="CT274" s="18">
        <v>1</v>
      </c>
      <c r="CZ274" s="34" t="s">
        <v>87</v>
      </c>
    </row>
    <row r="275" spans="1:104" x14ac:dyDescent="0.25">
      <c r="A275">
        <v>274</v>
      </c>
      <c r="B275">
        <v>19</v>
      </c>
      <c r="C275" s="25" t="s">
        <v>226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03"/>
        <v>6.750573073567339</v>
      </c>
      <c r="H275" s="16">
        <f t="shared" si="204"/>
        <v>11.502373114178987</v>
      </c>
      <c r="I275" s="11">
        <f t="shared" si="198"/>
        <v>6.3908046110112735E-2</v>
      </c>
      <c r="J275" s="33">
        <f t="shared" si="199"/>
        <v>1.6637218615442571E-2</v>
      </c>
      <c r="K275" s="33">
        <f t="shared" si="192"/>
        <v>60.106200628499629</v>
      </c>
      <c r="L275" s="33">
        <f t="shared" si="193"/>
        <v>4.7270827494670167E-2</v>
      </c>
      <c r="M275" s="33">
        <f t="shared" si="194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Y275" s="7">
        <v>9</v>
      </c>
      <c r="Z275" s="7">
        <f t="shared" si="205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9">
        <v>0</v>
      </c>
      <c r="AL275" s="30">
        <v>0</v>
      </c>
      <c r="AM275" s="21">
        <v>2001</v>
      </c>
      <c r="AN275" s="23"/>
      <c r="AO275" s="33">
        <v>0.01</v>
      </c>
      <c r="AP275" s="33">
        <v>0.41725000000000001</v>
      </c>
      <c r="AQ275" s="33">
        <v>0.48</v>
      </c>
      <c r="AR275" s="43">
        <v>9.2749999999999999E-2</v>
      </c>
      <c r="AS275" s="33" t="s">
        <v>107</v>
      </c>
      <c r="AT275" s="43" t="s">
        <v>107</v>
      </c>
      <c r="AU275" s="42">
        <v>1</v>
      </c>
      <c r="AV275" s="18">
        <v>0</v>
      </c>
      <c r="AW275">
        <v>0.48</v>
      </c>
      <c r="AX275" s="40">
        <v>0.52</v>
      </c>
      <c r="AY275" t="s">
        <v>107</v>
      </c>
      <c r="AZ275" s="40" t="s">
        <v>107</v>
      </c>
      <c r="BB275" s="18"/>
      <c r="BC275">
        <v>0</v>
      </c>
      <c r="BD275" s="18">
        <v>1</v>
      </c>
      <c r="BE275" s="18" t="s">
        <v>5</v>
      </c>
      <c r="BL275" s="18"/>
      <c r="BO275" s="18"/>
      <c r="BR275" s="25">
        <v>44.274999999999999</v>
      </c>
      <c r="BS275">
        <v>1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 s="18">
        <v>0</v>
      </c>
      <c r="CA275">
        <v>0</v>
      </c>
      <c r="CB275">
        <v>1</v>
      </c>
      <c r="CC275">
        <v>0</v>
      </c>
      <c r="CD275" s="18">
        <v>0</v>
      </c>
      <c r="CE275">
        <v>0</v>
      </c>
      <c r="CF275">
        <v>0</v>
      </c>
      <c r="CG275">
        <v>0</v>
      </c>
      <c r="CH275">
        <v>0</v>
      </c>
      <c r="CI275" s="18">
        <v>0</v>
      </c>
      <c r="CJ275">
        <v>1</v>
      </c>
      <c r="CK275">
        <v>1</v>
      </c>
      <c r="CL275">
        <v>0</v>
      </c>
      <c r="CM275">
        <v>0</v>
      </c>
      <c r="CN275">
        <v>0</v>
      </c>
      <c r="CO275">
        <v>1</v>
      </c>
      <c r="CP275">
        <v>1</v>
      </c>
      <c r="CQ275">
        <v>0</v>
      </c>
      <c r="CR275">
        <v>0</v>
      </c>
      <c r="CS275">
        <v>0</v>
      </c>
      <c r="CT275" s="18">
        <v>1</v>
      </c>
      <c r="CZ275" s="34" t="s">
        <v>87</v>
      </c>
    </row>
    <row r="276" spans="1:104" x14ac:dyDescent="0.25">
      <c r="A276">
        <v>275</v>
      </c>
      <c r="B276">
        <v>19</v>
      </c>
      <c r="C276" s="25" t="s">
        <v>226</v>
      </c>
      <c r="D276" s="12">
        <v>10.439231112372674</v>
      </c>
      <c r="E276" s="14">
        <v>0.74565936516947673</v>
      </c>
      <c r="F276" s="7">
        <v>14</v>
      </c>
      <c r="G276" s="7">
        <f t="shared" si="203"/>
        <v>9.6935717472031975</v>
      </c>
      <c r="H276" s="16">
        <f t="shared" si="204"/>
        <v>11.184890477542151</v>
      </c>
      <c r="I276" s="11">
        <f t="shared" si="198"/>
        <v>0.22737941430131367</v>
      </c>
      <c r="J276" s="33">
        <f t="shared" si="199"/>
        <v>1.6241386735808119E-2</v>
      </c>
      <c r="K276" s="33">
        <f t="shared" si="192"/>
        <v>61.571097115448573</v>
      </c>
      <c r="L276" s="33">
        <f t="shared" si="193"/>
        <v>0.21113802756550554</v>
      </c>
      <c r="M276" s="33">
        <f t="shared" si="194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Y276" s="7">
        <v>17</v>
      </c>
      <c r="Z276" s="7">
        <f t="shared" si="205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9">
        <v>0</v>
      </c>
      <c r="AL276" s="30">
        <v>0</v>
      </c>
      <c r="AM276" s="21">
        <v>2001</v>
      </c>
      <c r="AN276" s="23"/>
      <c r="AO276" s="33">
        <v>0.01</v>
      </c>
      <c r="AP276" s="33">
        <v>0.41725000000000001</v>
      </c>
      <c r="AQ276" s="33">
        <v>0.48</v>
      </c>
      <c r="AR276" s="43">
        <v>9.2749999999999999E-2</v>
      </c>
      <c r="AS276" s="33" t="s">
        <v>107</v>
      </c>
      <c r="AT276" s="43" t="s">
        <v>107</v>
      </c>
      <c r="AU276" s="42">
        <v>1</v>
      </c>
      <c r="AV276" s="18">
        <v>0</v>
      </c>
      <c r="AW276">
        <v>0.48</v>
      </c>
      <c r="AX276" s="40">
        <v>0.52</v>
      </c>
      <c r="AY276" t="s">
        <v>107</v>
      </c>
      <c r="AZ276" s="40" t="s">
        <v>107</v>
      </c>
      <c r="BB276" s="18"/>
      <c r="BC276">
        <v>0</v>
      </c>
      <c r="BD276" s="18">
        <v>1</v>
      </c>
      <c r="BE276" s="18" t="s">
        <v>5</v>
      </c>
      <c r="BL276" s="18"/>
      <c r="BO276" s="18"/>
      <c r="BR276" s="25">
        <v>44.274999999999999</v>
      </c>
      <c r="BS276">
        <v>1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 s="18">
        <v>0</v>
      </c>
      <c r="CA276">
        <v>0</v>
      </c>
      <c r="CB276">
        <v>1</v>
      </c>
      <c r="CC276">
        <v>0</v>
      </c>
      <c r="CD276" s="18">
        <v>0</v>
      </c>
      <c r="CE276">
        <v>0</v>
      </c>
      <c r="CF276">
        <v>0</v>
      </c>
      <c r="CG276">
        <v>0</v>
      </c>
      <c r="CH276">
        <v>0</v>
      </c>
      <c r="CI276" s="18">
        <v>0</v>
      </c>
      <c r="CJ276">
        <v>1</v>
      </c>
      <c r="CK276">
        <v>1</v>
      </c>
      <c r="CL276">
        <v>0</v>
      </c>
      <c r="CM276">
        <v>0</v>
      </c>
      <c r="CN276">
        <v>0</v>
      </c>
      <c r="CO276">
        <v>1</v>
      </c>
      <c r="CP276">
        <v>1</v>
      </c>
      <c r="CQ276">
        <v>0</v>
      </c>
      <c r="CR276">
        <v>0</v>
      </c>
      <c r="CS276">
        <v>0</v>
      </c>
      <c r="CT276" s="18">
        <v>1</v>
      </c>
      <c r="CZ276" s="34" t="s">
        <v>87</v>
      </c>
    </row>
    <row r="277" spans="1:104" x14ac:dyDescent="0.25">
      <c r="A277">
        <v>276</v>
      </c>
      <c r="B277">
        <v>19</v>
      </c>
      <c r="C277" s="25" t="s">
        <v>226</v>
      </c>
      <c r="D277" s="12">
        <v>7.7481666176751602</v>
      </c>
      <c r="E277" s="14">
        <v>1.0751044589118646</v>
      </c>
      <c r="F277" s="7">
        <v>7.206896551724137</v>
      </c>
      <c r="G277" s="7">
        <f t="shared" si="203"/>
        <v>6.6730621587632957</v>
      </c>
      <c r="H277" s="16">
        <f t="shared" si="204"/>
        <v>8.8232710765870248</v>
      </c>
      <c r="I277" s="11">
        <f t="shared" si="198"/>
        <v>0.11933944596542113</v>
      </c>
      <c r="J277" s="33">
        <f t="shared" si="199"/>
        <v>1.6559061880369444E-2</v>
      </c>
      <c r="K277" s="33">
        <f t="shared" si="192"/>
        <v>60.389894501541008</v>
      </c>
      <c r="L277" s="33">
        <f t="shared" si="193"/>
        <v>0.10278038408505169</v>
      </c>
      <c r="M277" s="33">
        <f t="shared" si="194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195"/>
        <v>3595</v>
      </c>
      <c r="Y277" s="7">
        <v>12</v>
      </c>
      <c r="Z277" s="7">
        <f t="shared" si="205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9">
        <v>0</v>
      </c>
      <c r="AL277" s="30">
        <v>0</v>
      </c>
      <c r="AM277" s="21">
        <v>2001</v>
      </c>
      <c r="AN277" s="23"/>
      <c r="AO277" s="33">
        <v>0.01</v>
      </c>
      <c r="AP277" s="33">
        <v>0.41725000000000001</v>
      </c>
      <c r="AQ277" s="33">
        <v>0.48</v>
      </c>
      <c r="AR277" s="43">
        <v>9.2749999999999999E-2</v>
      </c>
      <c r="AS277" s="33" t="s">
        <v>107</v>
      </c>
      <c r="AT277" s="43" t="s">
        <v>107</v>
      </c>
      <c r="AU277" s="42">
        <v>1</v>
      </c>
      <c r="AV277" s="18">
        <v>0</v>
      </c>
      <c r="AW277">
        <v>0.48</v>
      </c>
      <c r="AX277" s="40">
        <v>0.52</v>
      </c>
      <c r="AY277" t="s">
        <v>107</v>
      </c>
      <c r="AZ277" s="40" t="s">
        <v>107</v>
      </c>
      <c r="BB277" s="18"/>
      <c r="BC277">
        <v>0</v>
      </c>
      <c r="BD277" s="18">
        <v>1</v>
      </c>
      <c r="BE277" s="18" t="s">
        <v>5</v>
      </c>
      <c r="BL277" s="18"/>
      <c r="BO277" s="18"/>
      <c r="BR277" s="25">
        <v>44.274999999999999</v>
      </c>
      <c r="BS277">
        <v>1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 s="18">
        <v>0</v>
      </c>
      <c r="CA277">
        <v>0</v>
      </c>
      <c r="CB277">
        <v>1</v>
      </c>
      <c r="CC277">
        <v>0</v>
      </c>
      <c r="CD277" s="18">
        <v>0</v>
      </c>
      <c r="CE277">
        <v>0</v>
      </c>
      <c r="CF277">
        <v>0</v>
      </c>
      <c r="CG277">
        <v>0</v>
      </c>
      <c r="CH277">
        <v>0</v>
      </c>
      <c r="CI277" s="18">
        <v>0</v>
      </c>
      <c r="CJ277">
        <v>1</v>
      </c>
      <c r="CK277">
        <v>1</v>
      </c>
      <c r="CL277">
        <v>0</v>
      </c>
      <c r="CM277">
        <v>0</v>
      </c>
      <c r="CN277">
        <v>0</v>
      </c>
      <c r="CO277">
        <v>1</v>
      </c>
      <c r="CP277">
        <v>1</v>
      </c>
      <c r="CQ277">
        <v>0</v>
      </c>
      <c r="CR277">
        <v>0</v>
      </c>
      <c r="CS277">
        <v>0</v>
      </c>
      <c r="CT277" s="18">
        <v>1</v>
      </c>
      <c r="CZ277" s="34" t="s">
        <v>87</v>
      </c>
    </row>
    <row r="278" spans="1:104" x14ac:dyDescent="0.25">
      <c r="A278">
        <v>277</v>
      </c>
      <c r="B278">
        <v>19</v>
      </c>
      <c r="C278" s="25" t="s">
        <v>226</v>
      </c>
      <c r="D278" s="12">
        <v>8.7881497402592608</v>
      </c>
      <c r="E278" s="14">
        <v>2.4035965101563792</v>
      </c>
      <c r="F278" s="7">
        <v>3.65625</v>
      </c>
      <c r="G278" s="7">
        <f t="shared" si="203"/>
        <v>6.3845532301028811</v>
      </c>
      <c r="H278" s="16">
        <f t="shared" si="204"/>
        <v>11.19174625041564</v>
      </c>
      <c r="I278" s="11">
        <f t="shared" si="198"/>
        <v>6.0866798928885767E-2</v>
      </c>
      <c r="J278" s="33">
        <f t="shared" si="199"/>
        <v>1.6647329621575595E-2</v>
      </c>
      <c r="K278" s="33">
        <f t="shared" si="192"/>
        <v>60.069694223147991</v>
      </c>
      <c r="L278" s="33">
        <f t="shared" si="193"/>
        <v>4.4219469307310175E-2</v>
      </c>
      <c r="M278" s="33">
        <f t="shared" si="194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195"/>
        <v>3595</v>
      </c>
      <c r="Y278" s="7">
        <v>9</v>
      </c>
      <c r="Z278" s="7">
        <f t="shared" si="205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9">
        <v>0</v>
      </c>
      <c r="AL278" s="30">
        <v>0</v>
      </c>
      <c r="AM278" s="21">
        <v>2001</v>
      </c>
      <c r="AN278" s="23"/>
      <c r="AO278" s="33">
        <v>0.01</v>
      </c>
      <c r="AP278" s="33">
        <v>0.41725000000000001</v>
      </c>
      <c r="AQ278" s="33">
        <v>0.48</v>
      </c>
      <c r="AR278" s="43">
        <v>9.2749999999999999E-2</v>
      </c>
      <c r="AS278" s="33" t="s">
        <v>107</v>
      </c>
      <c r="AT278" s="43" t="s">
        <v>107</v>
      </c>
      <c r="AU278" s="42">
        <v>1</v>
      </c>
      <c r="AV278" s="18">
        <v>0</v>
      </c>
      <c r="AW278">
        <v>0.48</v>
      </c>
      <c r="AX278" s="40">
        <v>0.52</v>
      </c>
      <c r="AY278" t="s">
        <v>107</v>
      </c>
      <c r="AZ278" s="40" t="s">
        <v>107</v>
      </c>
      <c r="BB278" s="18"/>
      <c r="BC278">
        <v>0</v>
      </c>
      <c r="BD278" s="18">
        <v>1</v>
      </c>
      <c r="BE278" s="18" t="s">
        <v>5</v>
      </c>
      <c r="BL278" s="18"/>
      <c r="BO278" s="18"/>
      <c r="BR278" s="25">
        <v>44.274999999999999</v>
      </c>
      <c r="BS278">
        <v>1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 s="18">
        <v>0</v>
      </c>
      <c r="CA278">
        <v>0</v>
      </c>
      <c r="CB278">
        <v>1</v>
      </c>
      <c r="CC278">
        <v>0</v>
      </c>
      <c r="CD278" s="18">
        <v>0</v>
      </c>
      <c r="CE278">
        <v>0</v>
      </c>
      <c r="CF278">
        <v>0</v>
      </c>
      <c r="CG278">
        <v>0</v>
      </c>
      <c r="CH278">
        <v>0</v>
      </c>
      <c r="CI278" s="18">
        <v>0</v>
      </c>
      <c r="CJ278">
        <v>1</v>
      </c>
      <c r="CK278">
        <v>1</v>
      </c>
      <c r="CL278">
        <v>0</v>
      </c>
      <c r="CM278">
        <v>0</v>
      </c>
      <c r="CN278">
        <v>0</v>
      </c>
      <c r="CO278">
        <v>1</v>
      </c>
      <c r="CP278">
        <v>1</v>
      </c>
      <c r="CQ278">
        <v>0</v>
      </c>
      <c r="CR278">
        <v>0</v>
      </c>
      <c r="CS278">
        <v>0</v>
      </c>
      <c r="CT278" s="18">
        <v>1</v>
      </c>
      <c r="CZ278" s="34" t="s">
        <v>87</v>
      </c>
    </row>
    <row r="279" spans="1:104" x14ac:dyDescent="0.25">
      <c r="A279">
        <v>278</v>
      </c>
      <c r="B279">
        <v>19</v>
      </c>
      <c r="C279" s="25" t="s">
        <v>226</v>
      </c>
      <c r="D279" s="12">
        <v>9.6</v>
      </c>
      <c r="E279" s="14">
        <v>0.4</v>
      </c>
      <c r="F279" s="7">
        <f>D279/E279</f>
        <v>23.999999999999996</v>
      </c>
      <c r="G279" s="7">
        <f t="shared" si="203"/>
        <v>9.1999999999999993</v>
      </c>
      <c r="H279" s="16">
        <f t="shared" si="204"/>
        <v>10</v>
      </c>
      <c r="I279" s="11">
        <f t="shared" si="198"/>
        <v>0.37112415986742592</v>
      </c>
      <c r="J279" s="33">
        <f t="shared" si="199"/>
        <v>1.5463506661142748E-2</v>
      </c>
      <c r="K279" s="33">
        <f t="shared" ref="K279:K289" si="206">IFERROR(1/J279, "X")</f>
        <v>64.668384856898967</v>
      </c>
      <c r="L279" s="33">
        <f t="shared" ref="L279:L289" si="207">IFERROR(I279-J279, "X")</f>
        <v>0.35566065320628315</v>
      </c>
      <c r="M279" s="33">
        <f t="shared" ref="M279:M289" si="208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195"/>
        <v>3606</v>
      </c>
      <c r="Y279" s="7">
        <v>10.967499999999999</v>
      </c>
      <c r="Z279" s="7">
        <f t="shared" si="205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9">
        <v>0</v>
      </c>
      <c r="AL279" s="30">
        <v>0</v>
      </c>
      <c r="AM279" s="21">
        <v>2001</v>
      </c>
      <c r="AN279" s="23"/>
      <c r="AO279" s="33">
        <v>0.01</v>
      </c>
      <c r="AP279" s="33">
        <v>0.41725000000000001</v>
      </c>
      <c r="AQ279" s="33">
        <v>0.48</v>
      </c>
      <c r="AR279" s="43">
        <v>9.2749999999999999E-2</v>
      </c>
      <c r="AS279" s="33" t="s">
        <v>107</v>
      </c>
      <c r="AT279" s="43" t="s">
        <v>107</v>
      </c>
      <c r="AU279" s="42">
        <v>1</v>
      </c>
      <c r="AV279" s="18">
        <v>0</v>
      </c>
      <c r="AW279">
        <v>0.48</v>
      </c>
      <c r="AX279" s="40">
        <v>0.52</v>
      </c>
      <c r="AY279" t="s">
        <v>107</v>
      </c>
      <c r="AZ279" s="40" t="s">
        <v>107</v>
      </c>
      <c r="BB279" s="18"/>
      <c r="BC279">
        <v>0</v>
      </c>
      <c r="BD279" s="18">
        <v>1</v>
      </c>
      <c r="BE279" s="18" t="s">
        <v>5</v>
      </c>
      <c r="BL279" s="18"/>
      <c r="BO279" s="18"/>
      <c r="BR279" s="25">
        <v>44.274999999999999</v>
      </c>
      <c r="BS279">
        <v>1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 s="18">
        <v>0</v>
      </c>
      <c r="CA279">
        <v>0</v>
      </c>
      <c r="CB279">
        <v>1</v>
      </c>
      <c r="CC279">
        <v>0</v>
      </c>
      <c r="CD279" s="18">
        <v>0</v>
      </c>
      <c r="CE279">
        <v>0</v>
      </c>
      <c r="CF279">
        <v>0</v>
      </c>
      <c r="CG279">
        <v>0</v>
      </c>
      <c r="CH279">
        <v>0</v>
      </c>
      <c r="CI279" s="18">
        <v>0</v>
      </c>
      <c r="CJ279">
        <v>1</v>
      </c>
      <c r="CK279">
        <v>1</v>
      </c>
      <c r="CL279">
        <v>0</v>
      </c>
      <c r="CM279">
        <v>0</v>
      </c>
      <c r="CN279">
        <v>0</v>
      </c>
      <c r="CO279">
        <v>1</v>
      </c>
      <c r="CP279">
        <v>1</v>
      </c>
      <c r="CQ279">
        <v>0</v>
      </c>
      <c r="CR279">
        <v>0</v>
      </c>
      <c r="CS279">
        <v>0</v>
      </c>
      <c r="CT279" s="18">
        <v>1</v>
      </c>
      <c r="CZ279" s="34" t="s">
        <v>87</v>
      </c>
    </row>
    <row r="280" spans="1:104" x14ac:dyDescent="0.25">
      <c r="A280">
        <v>279</v>
      </c>
      <c r="B280">
        <v>19</v>
      </c>
      <c r="C280" s="25" t="s">
        <v>226</v>
      </c>
      <c r="D280" s="12">
        <v>9.6</v>
      </c>
      <c r="E280" s="14">
        <v>0.4</v>
      </c>
      <c r="F280" s="7">
        <f t="shared" ref="F280:F290" si="209">D280/E280</f>
        <v>23.999999999999996</v>
      </c>
      <c r="G280" s="7">
        <f t="shared" si="203"/>
        <v>9.1999999999999993</v>
      </c>
      <c r="H280" s="16">
        <f t="shared" si="204"/>
        <v>10</v>
      </c>
      <c r="I280" s="11">
        <f t="shared" si="198"/>
        <v>0.37112415986742592</v>
      </c>
      <c r="J280" s="33">
        <f t="shared" si="199"/>
        <v>1.5463506661142748E-2</v>
      </c>
      <c r="K280" s="33">
        <f t="shared" si="206"/>
        <v>64.668384856898967</v>
      </c>
      <c r="L280" s="33">
        <f t="shared" si="207"/>
        <v>0.35566065320628315</v>
      </c>
      <c r="M280" s="33">
        <f t="shared" si="208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195"/>
        <v>3606</v>
      </c>
      <c r="Y280" s="7">
        <v>10.967499999999999</v>
      </c>
      <c r="Z280" s="7">
        <f t="shared" si="205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9">
        <v>0</v>
      </c>
      <c r="AL280" s="30">
        <v>0</v>
      </c>
      <c r="AM280" s="21">
        <v>2001</v>
      </c>
      <c r="AN280" s="23"/>
      <c r="AO280" s="33">
        <v>0.01</v>
      </c>
      <c r="AP280" s="33">
        <v>0.41725000000000001</v>
      </c>
      <c r="AQ280" s="33">
        <v>0.48</v>
      </c>
      <c r="AR280" s="43">
        <v>9.2749999999999999E-2</v>
      </c>
      <c r="AS280" s="33" t="s">
        <v>107</v>
      </c>
      <c r="AT280" s="43" t="s">
        <v>107</v>
      </c>
      <c r="AU280" s="42">
        <v>1</v>
      </c>
      <c r="AV280" s="18">
        <v>0</v>
      </c>
      <c r="AW280">
        <v>0.48</v>
      </c>
      <c r="AX280" s="40">
        <v>0.52</v>
      </c>
      <c r="AY280" t="s">
        <v>107</v>
      </c>
      <c r="AZ280" s="40" t="s">
        <v>107</v>
      </c>
      <c r="BB280" s="18"/>
      <c r="BC280">
        <v>0</v>
      </c>
      <c r="BD280" s="18">
        <v>1</v>
      </c>
      <c r="BE280" s="18" t="s">
        <v>5</v>
      </c>
      <c r="BL280" s="18"/>
      <c r="BO280" s="18"/>
      <c r="BR280" s="25">
        <v>44.274999999999999</v>
      </c>
      <c r="BS280">
        <v>1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 s="18">
        <v>0</v>
      </c>
      <c r="CA280">
        <v>0</v>
      </c>
      <c r="CB280">
        <v>1</v>
      </c>
      <c r="CC280">
        <v>0</v>
      </c>
      <c r="CD280" s="18">
        <v>0</v>
      </c>
      <c r="CE280">
        <v>0</v>
      </c>
      <c r="CF280">
        <v>0</v>
      </c>
      <c r="CG280">
        <v>0</v>
      </c>
      <c r="CH280">
        <v>0</v>
      </c>
      <c r="CI280" s="18">
        <v>0</v>
      </c>
      <c r="CJ280">
        <v>1</v>
      </c>
      <c r="CK280">
        <v>1</v>
      </c>
      <c r="CL280">
        <v>0</v>
      </c>
      <c r="CM280">
        <v>0</v>
      </c>
      <c r="CN280">
        <v>0</v>
      </c>
      <c r="CO280">
        <v>1</v>
      </c>
      <c r="CP280">
        <v>1</v>
      </c>
      <c r="CQ280">
        <v>0</v>
      </c>
      <c r="CR280">
        <v>0</v>
      </c>
      <c r="CS280">
        <v>0</v>
      </c>
      <c r="CT280" s="18">
        <v>1</v>
      </c>
      <c r="CZ280" s="34" t="s">
        <v>87</v>
      </c>
    </row>
    <row r="281" spans="1:104" x14ac:dyDescent="0.25">
      <c r="A281">
        <v>280</v>
      </c>
      <c r="B281">
        <v>19</v>
      </c>
      <c r="C281" s="25" t="s">
        <v>226</v>
      </c>
      <c r="D281" s="12">
        <v>8.9</v>
      </c>
      <c r="E281" s="14">
        <v>0.4</v>
      </c>
      <c r="F281" s="7">
        <f t="shared" si="209"/>
        <v>22.25</v>
      </c>
      <c r="G281" s="7">
        <f t="shared" si="203"/>
        <v>8.5</v>
      </c>
      <c r="H281" s="16">
        <f t="shared" si="204"/>
        <v>9.3000000000000007</v>
      </c>
      <c r="I281" s="11">
        <f t="shared" si="198"/>
        <v>0.34782347219477794</v>
      </c>
      <c r="J281" s="33">
        <f t="shared" si="199"/>
        <v>1.5632515604259684E-2</v>
      </c>
      <c r="K281" s="33">
        <f t="shared" si="206"/>
        <v>63.969230884855875</v>
      </c>
      <c r="L281" s="33">
        <f t="shared" si="207"/>
        <v>0.33219095659051823</v>
      </c>
      <c r="M281" s="33">
        <f t="shared" si="208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195"/>
        <v>3597</v>
      </c>
      <c r="Y281" s="7">
        <v>10.967499999999999</v>
      </c>
      <c r="Z281" s="7">
        <f t="shared" si="205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9">
        <v>0</v>
      </c>
      <c r="AL281" s="30">
        <v>0</v>
      </c>
      <c r="AM281" s="21">
        <v>2001</v>
      </c>
      <c r="AN281" s="23"/>
      <c r="AO281" s="33">
        <v>0.01</v>
      </c>
      <c r="AP281" s="33">
        <v>0.41725000000000001</v>
      </c>
      <c r="AQ281" s="33">
        <v>0.48</v>
      </c>
      <c r="AR281" s="43">
        <v>9.2749999999999999E-2</v>
      </c>
      <c r="AS281" s="33" t="s">
        <v>107</v>
      </c>
      <c r="AT281" s="43" t="s">
        <v>107</v>
      </c>
      <c r="AU281" s="42">
        <v>1</v>
      </c>
      <c r="AV281" s="18">
        <v>0</v>
      </c>
      <c r="AW281">
        <v>0.48</v>
      </c>
      <c r="AX281" s="40">
        <v>0.52</v>
      </c>
      <c r="AY281" t="s">
        <v>107</v>
      </c>
      <c r="AZ281" s="40" t="s">
        <v>107</v>
      </c>
      <c r="BB281" s="18"/>
      <c r="BC281">
        <v>0</v>
      </c>
      <c r="BD281" s="18">
        <v>1</v>
      </c>
      <c r="BE281" s="18" t="s">
        <v>5</v>
      </c>
      <c r="BL281" s="18"/>
      <c r="BO281" s="18"/>
      <c r="BR281" s="25">
        <v>44.274999999999999</v>
      </c>
      <c r="BS281">
        <v>1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 s="18">
        <v>0</v>
      </c>
      <c r="CA281">
        <v>0</v>
      </c>
      <c r="CB281">
        <v>1</v>
      </c>
      <c r="CC281">
        <v>0</v>
      </c>
      <c r="CD281" s="18">
        <v>0</v>
      </c>
      <c r="CE281">
        <v>0</v>
      </c>
      <c r="CF281">
        <v>0</v>
      </c>
      <c r="CG281">
        <v>0</v>
      </c>
      <c r="CH281">
        <v>0</v>
      </c>
      <c r="CI281" s="18">
        <v>0</v>
      </c>
      <c r="CJ281">
        <v>1</v>
      </c>
      <c r="CK281">
        <v>1</v>
      </c>
      <c r="CL281">
        <v>0</v>
      </c>
      <c r="CM281">
        <v>0</v>
      </c>
      <c r="CN281">
        <v>0</v>
      </c>
      <c r="CO281">
        <v>1</v>
      </c>
      <c r="CP281">
        <v>1</v>
      </c>
      <c r="CQ281">
        <v>0</v>
      </c>
      <c r="CR281">
        <v>0</v>
      </c>
      <c r="CS281">
        <v>0</v>
      </c>
      <c r="CT281" s="18">
        <v>1</v>
      </c>
      <c r="CZ281" s="34" t="s">
        <v>87</v>
      </c>
    </row>
    <row r="282" spans="1:104" x14ac:dyDescent="0.25">
      <c r="A282">
        <v>281</v>
      </c>
      <c r="B282">
        <v>19</v>
      </c>
      <c r="C282" s="25" t="s">
        <v>226</v>
      </c>
      <c r="D282" s="12">
        <v>8.3000000000000007</v>
      </c>
      <c r="E282" s="14">
        <v>0.4</v>
      </c>
      <c r="F282" s="7">
        <f t="shared" si="209"/>
        <v>20.75</v>
      </c>
      <c r="G282" s="7">
        <f t="shared" si="203"/>
        <v>7.9</v>
      </c>
      <c r="H282" s="16">
        <f t="shared" si="204"/>
        <v>8.7000000000000011</v>
      </c>
      <c r="I282" s="11">
        <f t="shared" si="198"/>
        <v>0.32708359535466042</v>
      </c>
      <c r="J282" s="33">
        <f t="shared" si="199"/>
        <v>1.5763064836369176E-2</v>
      </c>
      <c r="K282" s="33">
        <f t="shared" si="206"/>
        <v>63.439439625520023</v>
      </c>
      <c r="L282" s="33">
        <f t="shared" si="207"/>
        <v>0.31132053051829123</v>
      </c>
      <c r="M282" s="33">
        <f t="shared" si="208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195"/>
        <v>3594</v>
      </c>
      <c r="Y282" s="7">
        <v>10.967499999999999</v>
      </c>
      <c r="Z282" s="7">
        <f t="shared" si="205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9">
        <v>0</v>
      </c>
      <c r="AL282" s="30">
        <v>0</v>
      </c>
      <c r="AM282" s="21">
        <v>2001</v>
      </c>
      <c r="AN282" s="23"/>
      <c r="AO282" s="33">
        <v>0.01</v>
      </c>
      <c r="AP282" s="33">
        <v>0.41725000000000001</v>
      </c>
      <c r="AQ282" s="33">
        <v>0.48</v>
      </c>
      <c r="AR282" s="43">
        <v>9.2749999999999999E-2</v>
      </c>
      <c r="AS282" s="33" t="s">
        <v>107</v>
      </c>
      <c r="AT282" s="43" t="s">
        <v>107</v>
      </c>
      <c r="AU282" s="42">
        <v>1</v>
      </c>
      <c r="AV282" s="18">
        <v>0</v>
      </c>
      <c r="AW282">
        <v>0.48</v>
      </c>
      <c r="AX282" s="40">
        <v>0.52</v>
      </c>
      <c r="AY282" t="s">
        <v>107</v>
      </c>
      <c r="AZ282" s="40" t="s">
        <v>107</v>
      </c>
      <c r="BB282" s="18"/>
      <c r="BC282">
        <v>0</v>
      </c>
      <c r="BD282" s="18">
        <v>1</v>
      </c>
      <c r="BE282" s="18" t="s">
        <v>5</v>
      </c>
      <c r="BL282" s="18"/>
      <c r="BO282" s="18"/>
      <c r="BR282" s="25">
        <v>44.274999999999999</v>
      </c>
      <c r="BS282">
        <v>1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 s="18">
        <v>0</v>
      </c>
      <c r="CA282">
        <v>0</v>
      </c>
      <c r="CB282">
        <v>1</v>
      </c>
      <c r="CC282">
        <v>0</v>
      </c>
      <c r="CD282" s="18">
        <v>0</v>
      </c>
      <c r="CE282">
        <v>0</v>
      </c>
      <c r="CF282">
        <v>0</v>
      </c>
      <c r="CG282">
        <v>0</v>
      </c>
      <c r="CH282">
        <v>0</v>
      </c>
      <c r="CI282" s="18">
        <v>0</v>
      </c>
      <c r="CJ282">
        <v>1</v>
      </c>
      <c r="CK282">
        <v>1</v>
      </c>
      <c r="CL282">
        <v>0</v>
      </c>
      <c r="CM282">
        <v>0</v>
      </c>
      <c r="CN282">
        <v>0</v>
      </c>
      <c r="CO282">
        <v>1</v>
      </c>
      <c r="CP282">
        <v>1</v>
      </c>
      <c r="CQ282">
        <v>0</v>
      </c>
      <c r="CR282">
        <v>0</v>
      </c>
      <c r="CS282">
        <v>0</v>
      </c>
      <c r="CT282" s="18">
        <v>1</v>
      </c>
      <c r="CZ282" s="34" t="s">
        <v>87</v>
      </c>
    </row>
    <row r="283" spans="1:104" x14ac:dyDescent="0.25">
      <c r="A283">
        <v>282</v>
      </c>
      <c r="B283">
        <v>19</v>
      </c>
      <c r="C283" s="25" t="s">
        <v>226</v>
      </c>
      <c r="D283" s="12">
        <v>13.5</v>
      </c>
      <c r="E283" s="14">
        <v>0.7</v>
      </c>
      <c r="F283" s="7">
        <f t="shared" si="209"/>
        <v>19.285714285714288</v>
      </c>
      <c r="G283" s="7">
        <f t="shared" si="203"/>
        <v>12.8</v>
      </c>
      <c r="H283" s="16">
        <f t="shared" si="204"/>
        <v>14.2</v>
      </c>
      <c r="I283" s="11">
        <f t="shared" si="198"/>
        <v>0.30573988659797846</v>
      </c>
      <c r="J283" s="33">
        <f t="shared" si="199"/>
        <v>1.5853179305080366E-2</v>
      </c>
      <c r="K283" s="33">
        <f t="shared" si="206"/>
        <v>63.078829852100171</v>
      </c>
      <c r="L283" s="33">
        <f t="shared" si="207"/>
        <v>0.28988670729289812</v>
      </c>
      <c r="M283" s="33">
        <f t="shared" si="208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195"/>
        <v>3607</v>
      </c>
      <c r="Y283" s="7">
        <v>17</v>
      </c>
      <c r="Z283" s="7">
        <f t="shared" si="205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9">
        <v>0</v>
      </c>
      <c r="AL283" s="30">
        <v>0</v>
      </c>
      <c r="AM283" s="21">
        <v>2001</v>
      </c>
      <c r="AN283" s="23"/>
      <c r="AO283" s="33">
        <v>0.01</v>
      </c>
      <c r="AP283" s="33">
        <v>0.41725000000000001</v>
      </c>
      <c r="AQ283" s="33">
        <v>0.48</v>
      </c>
      <c r="AR283" s="43">
        <v>9.2749999999999999E-2</v>
      </c>
      <c r="AS283" s="33" t="s">
        <v>107</v>
      </c>
      <c r="AT283" s="43" t="s">
        <v>107</v>
      </c>
      <c r="AU283" s="42">
        <v>1</v>
      </c>
      <c r="AV283" s="18">
        <v>0</v>
      </c>
      <c r="AW283">
        <v>0.48</v>
      </c>
      <c r="AX283" s="40">
        <v>0.52</v>
      </c>
      <c r="AY283" t="s">
        <v>107</v>
      </c>
      <c r="AZ283" s="40" t="s">
        <v>107</v>
      </c>
      <c r="BB283" s="18"/>
      <c r="BC283">
        <v>0</v>
      </c>
      <c r="BD283" s="18">
        <v>1</v>
      </c>
      <c r="BE283" s="18" t="s">
        <v>5</v>
      </c>
      <c r="BL283" s="18"/>
      <c r="BO283" s="18"/>
      <c r="BR283" s="25">
        <v>44.274999999999999</v>
      </c>
      <c r="BS283">
        <v>1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 s="18">
        <v>0</v>
      </c>
      <c r="CA283">
        <v>0</v>
      </c>
      <c r="CB283">
        <v>1</v>
      </c>
      <c r="CC283">
        <v>0</v>
      </c>
      <c r="CD283" s="18">
        <v>0</v>
      </c>
      <c r="CE283">
        <v>0</v>
      </c>
      <c r="CF283">
        <v>0</v>
      </c>
      <c r="CG283">
        <v>0</v>
      </c>
      <c r="CH283">
        <v>0</v>
      </c>
      <c r="CI283" s="18">
        <v>0</v>
      </c>
      <c r="CJ283">
        <v>1</v>
      </c>
      <c r="CK283">
        <v>1</v>
      </c>
      <c r="CL283">
        <v>0</v>
      </c>
      <c r="CM283">
        <v>0</v>
      </c>
      <c r="CN283">
        <v>0</v>
      </c>
      <c r="CO283">
        <v>1</v>
      </c>
      <c r="CP283">
        <v>1</v>
      </c>
      <c r="CQ283">
        <v>0</v>
      </c>
      <c r="CR283">
        <v>0</v>
      </c>
      <c r="CS283">
        <v>0</v>
      </c>
      <c r="CT283" s="18">
        <v>1</v>
      </c>
      <c r="CZ283" s="34" t="s">
        <v>87</v>
      </c>
    </row>
    <row r="284" spans="1:104" x14ac:dyDescent="0.25">
      <c r="A284">
        <v>283</v>
      </c>
      <c r="B284">
        <v>19</v>
      </c>
      <c r="C284" s="25" t="s">
        <v>226</v>
      </c>
      <c r="D284" s="12">
        <v>6.3</v>
      </c>
      <c r="E284" s="14">
        <v>0.7</v>
      </c>
      <c r="F284" s="7">
        <f t="shared" si="209"/>
        <v>9</v>
      </c>
      <c r="G284" s="7">
        <f t="shared" si="203"/>
        <v>5.6</v>
      </c>
      <c r="H284" s="16">
        <f t="shared" si="204"/>
        <v>7</v>
      </c>
      <c r="I284" s="11">
        <f t="shared" si="198"/>
        <v>0.14819960743622645</v>
      </c>
      <c r="J284" s="33">
        <f t="shared" si="199"/>
        <v>1.6466623048469606E-2</v>
      </c>
      <c r="K284" s="33">
        <f t="shared" si="206"/>
        <v>60.728905802755904</v>
      </c>
      <c r="L284" s="33">
        <f t="shared" si="207"/>
        <v>0.13173298438775685</v>
      </c>
      <c r="M284" s="33">
        <f t="shared" si="208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195"/>
        <v>3607</v>
      </c>
      <c r="Y284" s="7">
        <v>7</v>
      </c>
      <c r="Z284" s="7">
        <f t="shared" si="205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9">
        <v>0</v>
      </c>
      <c r="AL284" s="30">
        <v>0</v>
      </c>
      <c r="AM284" s="21">
        <v>2001</v>
      </c>
      <c r="AN284" s="23"/>
      <c r="AO284" s="33">
        <v>0.01</v>
      </c>
      <c r="AP284" s="33">
        <v>0.41725000000000001</v>
      </c>
      <c r="AQ284" s="33">
        <v>0.48</v>
      </c>
      <c r="AR284" s="43">
        <v>9.2749999999999999E-2</v>
      </c>
      <c r="AS284" s="33" t="s">
        <v>107</v>
      </c>
      <c r="AT284" s="43" t="s">
        <v>107</v>
      </c>
      <c r="AU284" s="42">
        <v>1</v>
      </c>
      <c r="AV284" s="18">
        <v>0</v>
      </c>
      <c r="AW284">
        <v>0.48</v>
      </c>
      <c r="AX284" s="40">
        <v>0.52</v>
      </c>
      <c r="AY284" t="s">
        <v>107</v>
      </c>
      <c r="AZ284" s="40" t="s">
        <v>107</v>
      </c>
      <c r="BB284" s="18"/>
      <c r="BC284">
        <v>0</v>
      </c>
      <c r="BD284" s="18">
        <v>1</v>
      </c>
      <c r="BE284" s="18" t="s">
        <v>5</v>
      </c>
      <c r="BL284" s="18"/>
      <c r="BO284" s="18"/>
      <c r="BR284" s="25">
        <v>44.274999999999999</v>
      </c>
      <c r="BS284">
        <v>1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 s="18">
        <v>0</v>
      </c>
      <c r="CA284">
        <v>0</v>
      </c>
      <c r="CB284">
        <v>1</v>
      </c>
      <c r="CC284">
        <v>0</v>
      </c>
      <c r="CD284" s="18">
        <v>0</v>
      </c>
      <c r="CE284">
        <v>0</v>
      </c>
      <c r="CF284">
        <v>0</v>
      </c>
      <c r="CG284">
        <v>0</v>
      </c>
      <c r="CH284">
        <v>0</v>
      </c>
      <c r="CI284" s="18">
        <v>0</v>
      </c>
      <c r="CJ284">
        <v>1</v>
      </c>
      <c r="CK284">
        <v>1</v>
      </c>
      <c r="CL284">
        <v>0</v>
      </c>
      <c r="CM284">
        <v>0</v>
      </c>
      <c r="CN284">
        <v>0</v>
      </c>
      <c r="CO284">
        <v>1</v>
      </c>
      <c r="CP284">
        <v>1</v>
      </c>
      <c r="CQ284">
        <v>0</v>
      </c>
      <c r="CR284">
        <v>0</v>
      </c>
      <c r="CS284">
        <v>0</v>
      </c>
      <c r="CT284" s="18">
        <v>1</v>
      </c>
      <c r="CZ284" s="34" t="s">
        <v>87</v>
      </c>
    </row>
    <row r="285" spans="1:104" x14ac:dyDescent="0.25">
      <c r="A285">
        <v>284</v>
      </c>
      <c r="B285">
        <v>19</v>
      </c>
      <c r="C285" s="25" t="s">
        <v>226</v>
      </c>
      <c r="D285" s="12">
        <v>13.5</v>
      </c>
      <c r="E285" s="14">
        <v>0.7</v>
      </c>
      <c r="F285" s="7">
        <f t="shared" si="209"/>
        <v>19.285714285714288</v>
      </c>
      <c r="G285" s="7">
        <f t="shared" si="203"/>
        <v>12.8</v>
      </c>
      <c r="H285" s="16">
        <f t="shared" si="204"/>
        <v>14.2</v>
      </c>
      <c r="I285" s="11">
        <f t="shared" si="198"/>
        <v>0.30573988659797846</v>
      </c>
      <c r="J285" s="33">
        <f t="shared" si="199"/>
        <v>1.5853179305080366E-2</v>
      </c>
      <c r="K285" s="33">
        <f t="shared" si="206"/>
        <v>63.078829852100171</v>
      </c>
      <c r="L285" s="33">
        <f t="shared" si="207"/>
        <v>0.28988670729289812</v>
      </c>
      <c r="M285" s="33">
        <f t="shared" si="208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195"/>
        <v>3607</v>
      </c>
      <c r="Y285" s="7">
        <v>17</v>
      </c>
      <c r="Z285" s="7">
        <f t="shared" si="205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9">
        <v>0</v>
      </c>
      <c r="AL285" s="30">
        <v>0</v>
      </c>
      <c r="AM285" s="21">
        <v>2001</v>
      </c>
      <c r="AN285" s="23"/>
      <c r="AO285" s="33">
        <v>0.01</v>
      </c>
      <c r="AP285" s="33">
        <v>0.41725000000000001</v>
      </c>
      <c r="AQ285" s="33">
        <v>0.48</v>
      </c>
      <c r="AR285" s="43">
        <v>9.2749999999999999E-2</v>
      </c>
      <c r="AS285" s="33" t="s">
        <v>107</v>
      </c>
      <c r="AT285" s="43" t="s">
        <v>107</v>
      </c>
      <c r="AU285" s="42">
        <v>1</v>
      </c>
      <c r="AV285" s="18">
        <v>0</v>
      </c>
      <c r="AW285">
        <v>0.48</v>
      </c>
      <c r="AX285" s="40">
        <v>0.52</v>
      </c>
      <c r="AY285" t="s">
        <v>107</v>
      </c>
      <c r="AZ285" s="40" t="s">
        <v>107</v>
      </c>
      <c r="BB285" s="18"/>
      <c r="BC285">
        <v>0</v>
      </c>
      <c r="BD285" s="18">
        <v>1</v>
      </c>
      <c r="BE285" s="18" t="s">
        <v>5</v>
      </c>
      <c r="BL285" s="18"/>
      <c r="BO285" s="18"/>
      <c r="BR285" s="25">
        <v>44.274999999999999</v>
      </c>
      <c r="BS285">
        <v>1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 s="18">
        <v>0</v>
      </c>
      <c r="CA285">
        <v>0</v>
      </c>
      <c r="CB285">
        <v>1</v>
      </c>
      <c r="CC285">
        <v>0</v>
      </c>
      <c r="CD285" s="18">
        <v>0</v>
      </c>
      <c r="CE285">
        <v>0</v>
      </c>
      <c r="CF285">
        <v>0</v>
      </c>
      <c r="CG285">
        <v>0</v>
      </c>
      <c r="CH285">
        <v>0</v>
      </c>
      <c r="CI285" s="18">
        <v>0</v>
      </c>
      <c r="CJ285">
        <v>1</v>
      </c>
      <c r="CK285">
        <v>1</v>
      </c>
      <c r="CL285">
        <v>0</v>
      </c>
      <c r="CM285">
        <v>0</v>
      </c>
      <c r="CN285">
        <v>0</v>
      </c>
      <c r="CO285">
        <v>1</v>
      </c>
      <c r="CP285">
        <v>1</v>
      </c>
      <c r="CQ285">
        <v>0</v>
      </c>
      <c r="CR285">
        <v>0</v>
      </c>
      <c r="CS285">
        <v>0</v>
      </c>
      <c r="CT285" s="18">
        <v>1</v>
      </c>
      <c r="CZ285" s="34" t="s">
        <v>87</v>
      </c>
    </row>
    <row r="286" spans="1:104" x14ac:dyDescent="0.25">
      <c r="A286">
        <v>285</v>
      </c>
      <c r="B286">
        <v>19</v>
      </c>
      <c r="C286" s="25" t="s">
        <v>226</v>
      </c>
      <c r="D286" s="12">
        <v>6.2</v>
      </c>
      <c r="E286" s="14">
        <v>0.8</v>
      </c>
      <c r="F286" s="7">
        <f t="shared" si="209"/>
        <v>7.75</v>
      </c>
      <c r="G286" s="7">
        <f t="shared" si="203"/>
        <v>5.4</v>
      </c>
      <c r="H286" s="16">
        <f t="shared" si="204"/>
        <v>7</v>
      </c>
      <c r="I286" s="11">
        <f t="shared" si="198"/>
        <v>0.12803251186248216</v>
      </c>
      <c r="J286" s="33">
        <f t="shared" si="199"/>
        <v>1.652032411128802E-2</v>
      </c>
      <c r="K286" s="33">
        <f t="shared" si="206"/>
        <v>60.531500064016249</v>
      </c>
      <c r="L286" s="33">
        <f t="shared" si="207"/>
        <v>0.11151218775119413</v>
      </c>
      <c r="M286" s="33">
        <f t="shared" si="208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195"/>
        <v>3604</v>
      </c>
      <c r="Y286" s="7">
        <v>7</v>
      </c>
      <c r="Z286" s="7">
        <f t="shared" si="205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9">
        <v>0</v>
      </c>
      <c r="AL286" s="30">
        <v>0</v>
      </c>
      <c r="AM286" s="21">
        <v>2001</v>
      </c>
      <c r="AN286" s="23"/>
      <c r="AO286" s="33">
        <v>0.01</v>
      </c>
      <c r="AP286" s="33">
        <v>0.41725000000000001</v>
      </c>
      <c r="AQ286" s="33">
        <v>0.48</v>
      </c>
      <c r="AR286" s="43">
        <v>9.2749999999999999E-2</v>
      </c>
      <c r="AS286" s="33" t="s">
        <v>107</v>
      </c>
      <c r="AT286" s="43" t="s">
        <v>107</v>
      </c>
      <c r="AU286" s="42">
        <v>1</v>
      </c>
      <c r="AV286" s="18">
        <v>0</v>
      </c>
      <c r="AW286">
        <v>0.48</v>
      </c>
      <c r="AX286" s="40">
        <v>0.52</v>
      </c>
      <c r="AY286" t="s">
        <v>107</v>
      </c>
      <c r="AZ286" s="40" t="s">
        <v>107</v>
      </c>
      <c r="BB286" s="18"/>
      <c r="BC286">
        <v>0</v>
      </c>
      <c r="BD286" s="18">
        <v>1</v>
      </c>
      <c r="BE286" s="18" t="s">
        <v>5</v>
      </c>
      <c r="BL286" s="18"/>
      <c r="BO286" s="18"/>
      <c r="BR286" s="25">
        <v>44.274999999999999</v>
      </c>
      <c r="BS286">
        <v>1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 s="18">
        <v>0</v>
      </c>
      <c r="CA286">
        <v>0</v>
      </c>
      <c r="CB286">
        <v>1</v>
      </c>
      <c r="CC286">
        <v>0</v>
      </c>
      <c r="CD286" s="18">
        <v>0</v>
      </c>
      <c r="CE286">
        <v>0</v>
      </c>
      <c r="CF286">
        <v>0</v>
      </c>
      <c r="CG286">
        <v>0</v>
      </c>
      <c r="CH286">
        <v>0</v>
      </c>
      <c r="CI286" s="18">
        <v>0</v>
      </c>
      <c r="CJ286">
        <v>1</v>
      </c>
      <c r="CK286">
        <v>1</v>
      </c>
      <c r="CL286">
        <v>0</v>
      </c>
      <c r="CM286">
        <v>0</v>
      </c>
      <c r="CN286">
        <v>0</v>
      </c>
      <c r="CO286">
        <v>1</v>
      </c>
      <c r="CP286">
        <v>1</v>
      </c>
      <c r="CQ286">
        <v>0</v>
      </c>
      <c r="CR286">
        <v>0</v>
      </c>
      <c r="CS286">
        <v>0</v>
      </c>
      <c r="CT286" s="18">
        <v>1</v>
      </c>
      <c r="CZ286" s="34" t="s">
        <v>87</v>
      </c>
    </row>
    <row r="287" spans="1:104" x14ac:dyDescent="0.25">
      <c r="A287">
        <v>286</v>
      </c>
      <c r="B287">
        <v>19</v>
      </c>
      <c r="C287" s="25" t="s">
        <v>226</v>
      </c>
      <c r="D287" s="12">
        <v>12.9</v>
      </c>
      <c r="E287" s="14">
        <v>0.7</v>
      </c>
      <c r="F287" s="7">
        <f t="shared" si="209"/>
        <v>18.428571428571431</v>
      </c>
      <c r="G287" s="7">
        <f t="shared" si="203"/>
        <v>12.200000000000001</v>
      </c>
      <c r="H287" s="16">
        <f t="shared" si="204"/>
        <v>13.6</v>
      </c>
      <c r="I287" s="11">
        <f t="shared" si="198"/>
        <v>0.2936805581146279</v>
      </c>
      <c r="J287" s="33">
        <f t="shared" si="199"/>
        <v>1.5936154316297638E-2</v>
      </c>
      <c r="K287" s="33">
        <f t="shared" si="206"/>
        <v>62.750396372437024</v>
      </c>
      <c r="L287" s="33">
        <f t="shared" si="207"/>
        <v>0.27774440379833026</v>
      </c>
      <c r="M287" s="33">
        <f t="shared" si="208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195"/>
        <v>3598</v>
      </c>
      <c r="Y287" s="7">
        <v>17</v>
      </c>
      <c r="Z287" s="7">
        <f t="shared" si="205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9">
        <v>0</v>
      </c>
      <c r="AL287" s="30">
        <v>0</v>
      </c>
      <c r="AM287" s="21">
        <v>2001</v>
      </c>
      <c r="AN287" s="23"/>
      <c r="AO287" s="33">
        <v>0.01</v>
      </c>
      <c r="AP287" s="33">
        <v>0.41725000000000001</v>
      </c>
      <c r="AQ287" s="33">
        <v>0.48</v>
      </c>
      <c r="AR287" s="43">
        <v>9.2749999999999999E-2</v>
      </c>
      <c r="AS287" s="33" t="s">
        <v>107</v>
      </c>
      <c r="AT287" s="43" t="s">
        <v>107</v>
      </c>
      <c r="AU287" s="42">
        <v>1</v>
      </c>
      <c r="AV287" s="18">
        <v>0</v>
      </c>
      <c r="AW287">
        <v>0.48</v>
      </c>
      <c r="AX287" s="40">
        <v>0.52</v>
      </c>
      <c r="AY287" t="s">
        <v>107</v>
      </c>
      <c r="AZ287" s="40" t="s">
        <v>107</v>
      </c>
      <c r="BB287" s="18"/>
      <c r="BC287">
        <v>0</v>
      </c>
      <c r="BD287" s="18">
        <v>1</v>
      </c>
      <c r="BE287" s="18" t="s">
        <v>5</v>
      </c>
      <c r="BL287" s="18"/>
      <c r="BO287" s="18"/>
      <c r="BR287" s="25">
        <v>44.274999999999999</v>
      </c>
      <c r="BS287">
        <v>1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 s="18">
        <v>0</v>
      </c>
      <c r="CA287">
        <v>0</v>
      </c>
      <c r="CB287">
        <v>1</v>
      </c>
      <c r="CC287">
        <v>0</v>
      </c>
      <c r="CD287" s="18">
        <v>0</v>
      </c>
      <c r="CE287">
        <v>0</v>
      </c>
      <c r="CF287">
        <v>0</v>
      </c>
      <c r="CG287">
        <v>0</v>
      </c>
      <c r="CH287">
        <v>0</v>
      </c>
      <c r="CI287" s="18">
        <v>0</v>
      </c>
      <c r="CJ287">
        <v>1</v>
      </c>
      <c r="CK287">
        <v>1</v>
      </c>
      <c r="CL287">
        <v>0</v>
      </c>
      <c r="CM287">
        <v>0</v>
      </c>
      <c r="CN287">
        <v>0</v>
      </c>
      <c r="CO287">
        <v>1</v>
      </c>
      <c r="CP287">
        <v>1</v>
      </c>
      <c r="CQ287">
        <v>0</v>
      </c>
      <c r="CR287">
        <v>0</v>
      </c>
      <c r="CS287">
        <v>0</v>
      </c>
      <c r="CT287" s="18">
        <v>1</v>
      </c>
      <c r="CZ287" s="34" t="s">
        <v>87</v>
      </c>
    </row>
    <row r="288" spans="1:104" x14ac:dyDescent="0.25">
      <c r="A288">
        <v>287</v>
      </c>
      <c r="B288">
        <v>19</v>
      </c>
      <c r="C288" s="25" t="s">
        <v>226</v>
      </c>
      <c r="D288" s="12">
        <v>5.4</v>
      </c>
      <c r="E288" s="14">
        <v>0.7</v>
      </c>
      <c r="F288" s="7">
        <f t="shared" si="209"/>
        <v>7.7142857142857153</v>
      </c>
      <c r="G288" s="7">
        <f t="shared" si="203"/>
        <v>4.7</v>
      </c>
      <c r="H288" s="16">
        <f t="shared" si="204"/>
        <v>6.1000000000000005</v>
      </c>
      <c r="I288" s="11">
        <f t="shared" si="198"/>
        <v>0.12755660349884759</v>
      </c>
      <c r="J288" s="33">
        <f t="shared" si="199"/>
        <v>1.6535115268369132E-2</v>
      </c>
      <c r="K288" s="33">
        <f t="shared" si="206"/>
        <v>60.4773528197261</v>
      </c>
      <c r="L288" s="33">
        <f t="shared" si="207"/>
        <v>0.11102148823047846</v>
      </c>
      <c r="M288" s="33">
        <f t="shared" si="208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195"/>
        <v>3598</v>
      </c>
      <c r="Y288" s="7">
        <v>7</v>
      </c>
      <c r="Z288" s="7">
        <f t="shared" si="205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9">
        <v>0</v>
      </c>
      <c r="AL288" s="30">
        <v>0</v>
      </c>
      <c r="AM288" s="21">
        <v>2001</v>
      </c>
      <c r="AN288" s="23"/>
      <c r="AO288" s="33">
        <v>0.01</v>
      </c>
      <c r="AP288" s="33">
        <v>0.41725000000000001</v>
      </c>
      <c r="AQ288" s="33">
        <v>0.48</v>
      </c>
      <c r="AR288" s="43">
        <v>9.2749999999999999E-2</v>
      </c>
      <c r="AS288" s="33" t="s">
        <v>107</v>
      </c>
      <c r="AT288" s="43" t="s">
        <v>107</v>
      </c>
      <c r="AU288" s="42">
        <v>1</v>
      </c>
      <c r="AV288" s="18">
        <v>0</v>
      </c>
      <c r="AW288">
        <v>0.48</v>
      </c>
      <c r="AX288" s="40">
        <v>0.52</v>
      </c>
      <c r="AY288" t="s">
        <v>107</v>
      </c>
      <c r="AZ288" s="40" t="s">
        <v>107</v>
      </c>
      <c r="BB288" s="18"/>
      <c r="BC288">
        <v>0</v>
      </c>
      <c r="BD288" s="18">
        <v>1</v>
      </c>
      <c r="BE288" s="18" t="s">
        <v>5</v>
      </c>
      <c r="BL288" s="18"/>
      <c r="BO288" s="18"/>
      <c r="BR288" s="25">
        <v>44.274999999999999</v>
      </c>
      <c r="BS288">
        <v>1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 s="18">
        <v>0</v>
      </c>
      <c r="CA288">
        <v>0</v>
      </c>
      <c r="CB288">
        <v>1</v>
      </c>
      <c r="CC288">
        <v>0</v>
      </c>
      <c r="CD288" s="18">
        <v>0</v>
      </c>
      <c r="CE288">
        <v>0</v>
      </c>
      <c r="CF288">
        <v>0</v>
      </c>
      <c r="CG288">
        <v>0</v>
      </c>
      <c r="CH288">
        <v>0</v>
      </c>
      <c r="CI288" s="18">
        <v>0</v>
      </c>
      <c r="CJ288">
        <v>1</v>
      </c>
      <c r="CK288">
        <v>1</v>
      </c>
      <c r="CL288">
        <v>0</v>
      </c>
      <c r="CM288">
        <v>0</v>
      </c>
      <c r="CN288">
        <v>0</v>
      </c>
      <c r="CO288">
        <v>1</v>
      </c>
      <c r="CP288">
        <v>1</v>
      </c>
      <c r="CQ288">
        <v>0</v>
      </c>
      <c r="CR288">
        <v>0</v>
      </c>
      <c r="CS288">
        <v>0</v>
      </c>
      <c r="CT288" s="18">
        <v>1</v>
      </c>
      <c r="CZ288" s="34" t="s">
        <v>87</v>
      </c>
    </row>
    <row r="289" spans="1:104" x14ac:dyDescent="0.25">
      <c r="A289">
        <v>288</v>
      </c>
      <c r="B289">
        <v>19</v>
      </c>
      <c r="C289" s="25" t="s">
        <v>226</v>
      </c>
      <c r="D289" s="12">
        <v>11.9</v>
      </c>
      <c r="E289" s="14">
        <v>0.7</v>
      </c>
      <c r="F289" s="7">
        <f t="shared" si="209"/>
        <v>17</v>
      </c>
      <c r="G289" s="7">
        <f t="shared" si="203"/>
        <v>11.200000000000001</v>
      </c>
      <c r="H289" s="16">
        <f t="shared" si="204"/>
        <v>12.6</v>
      </c>
      <c r="I289" s="11">
        <f t="shared" si="198"/>
        <v>0.27277798111741397</v>
      </c>
      <c r="J289" s="33">
        <f t="shared" si="199"/>
        <v>1.6045763595141999E-2</v>
      </c>
      <c r="K289" s="33">
        <f t="shared" si="206"/>
        <v>62.321745803531535</v>
      </c>
      <c r="L289" s="33">
        <f t="shared" si="207"/>
        <v>0.25673221752227199</v>
      </c>
      <c r="M289" s="33">
        <f t="shared" si="208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195"/>
        <v>3595</v>
      </c>
      <c r="Y289" s="7">
        <v>17</v>
      </c>
      <c r="Z289" s="7">
        <f t="shared" si="205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9">
        <v>0</v>
      </c>
      <c r="AL289" s="30">
        <v>0</v>
      </c>
      <c r="AM289" s="21">
        <v>2001</v>
      </c>
      <c r="AN289" s="23"/>
      <c r="AO289" s="33">
        <v>0.01</v>
      </c>
      <c r="AP289" s="33">
        <v>0.41725000000000001</v>
      </c>
      <c r="AQ289" s="33">
        <v>0.48</v>
      </c>
      <c r="AR289" s="43">
        <v>9.2749999999999999E-2</v>
      </c>
      <c r="AS289" s="33" t="s">
        <v>107</v>
      </c>
      <c r="AT289" s="43" t="s">
        <v>107</v>
      </c>
      <c r="AU289" s="42">
        <v>1</v>
      </c>
      <c r="AV289" s="18">
        <v>0</v>
      </c>
      <c r="AW289">
        <v>0.48</v>
      </c>
      <c r="AX289" s="40">
        <v>0.52</v>
      </c>
      <c r="AY289" t="s">
        <v>107</v>
      </c>
      <c r="AZ289" s="40" t="s">
        <v>107</v>
      </c>
      <c r="BB289" s="18"/>
      <c r="BC289">
        <v>0</v>
      </c>
      <c r="BD289" s="18">
        <v>1</v>
      </c>
      <c r="BE289" s="18" t="s">
        <v>5</v>
      </c>
      <c r="BL289" s="18"/>
      <c r="BO289" s="18"/>
      <c r="BR289" s="25">
        <v>44.274999999999999</v>
      </c>
      <c r="BS289">
        <v>1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 s="18">
        <v>0</v>
      </c>
      <c r="CA289">
        <v>0</v>
      </c>
      <c r="CB289">
        <v>1</v>
      </c>
      <c r="CC289">
        <v>0</v>
      </c>
      <c r="CD289" s="18">
        <v>0</v>
      </c>
      <c r="CE289">
        <v>0</v>
      </c>
      <c r="CF289">
        <v>0</v>
      </c>
      <c r="CG289">
        <v>0</v>
      </c>
      <c r="CH289">
        <v>0</v>
      </c>
      <c r="CI289" s="18">
        <v>0</v>
      </c>
      <c r="CJ289">
        <v>1</v>
      </c>
      <c r="CK289">
        <v>1</v>
      </c>
      <c r="CL289">
        <v>0</v>
      </c>
      <c r="CM289">
        <v>0</v>
      </c>
      <c r="CN289">
        <v>0</v>
      </c>
      <c r="CO289">
        <v>1</v>
      </c>
      <c r="CP289">
        <v>1</v>
      </c>
      <c r="CQ289">
        <v>0</v>
      </c>
      <c r="CR289">
        <v>0</v>
      </c>
      <c r="CS289">
        <v>0</v>
      </c>
      <c r="CT289" s="18">
        <v>1</v>
      </c>
      <c r="CZ289" s="34" t="s">
        <v>87</v>
      </c>
    </row>
    <row r="290" spans="1:104" x14ac:dyDescent="0.25">
      <c r="A290">
        <v>289</v>
      </c>
      <c r="B290">
        <v>19</v>
      </c>
      <c r="C290" s="25" t="s">
        <v>226</v>
      </c>
      <c r="D290" s="12">
        <v>5.3</v>
      </c>
      <c r="E290" s="14">
        <v>0.8</v>
      </c>
      <c r="F290" s="7">
        <f t="shared" si="209"/>
        <v>6.6249999999999991</v>
      </c>
      <c r="G290" s="7">
        <f t="shared" si="203"/>
        <v>4.5</v>
      </c>
      <c r="H290" s="16">
        <f t="shared" si="204"/>
        <v>6.1</v>
      </c>
      <c r="I290" s="11">
        <f t="shared" si="198"/>
        <v>0.10982504289539416</v>
      </c>
      <c r="J290" s="33">
        <f t="shared" si="199"/>
        <v>1.6577364965342515E-2</v>
      </c>
      <c r="K290" s="33">
        <f t="shared" ref="K290" si="210">IFERROR(1/J290, "X")</f>
        <v>60.323217959588334</v>
      </c>
      <c r="L290" s="33">
        <f t="shared" ref="L290" si="211">IFERROR(I290-J290, "X")</f>
        <v>9.3247677930051648E-2</v>
      </c>
      <c r="M290" s="33">
        <f t="shared" ref="M290" si="212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195"/>
        <v>3595</v>
      </c>
      <c r="Y290" s="7">
        <v>7</v>
      </c>
      <c r="Z290" s="7">
        <f t="shared" si="205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9">
        <v>0</v>
      </c>
      <c r="AL290" s="30">
        <v>0</v>
      </c>
      <c r="AM290" s="21">
        <v>2001</v>
      </c>
      <c r="AN290" s="23"/>
      <c r="AO290" s="33">
        <v>0.01</v>
      </c>
      <c r="AP290" s="33">
        <v>0.41725000000000001</v>
      </c>
      <c r="AQ290" s="33">
        <v>0.48</v>
      </c>
      <c r="AR290" s="43">
        <v>9.2749999999999999E-2</v>
      </c>
      <c r="AS290" s="33" t="s">
        <v>107</v>
      </c>
      <c r="AT290" s="43" t="s">
        <v>107</v>
      </c>
      <c r="AU290" s="42">
        <v>1</v>
      </c>
      <c r="AV290" s="18">
        <v>0</v>
      </c>
      <c r="AW290">
        <v>0.48</v>
      </c>
      <c r="AX290" s="40">
        <v>0.52</v>
      </c>
      <c r="AY290" t="s">
        <v>107</v>
      </c>
      <c r="AZ290" s="40" t="s">
        <v>107</v>
      </c>
      <c r="BB290" s="18"/>
      <c r="BC290">
        <v>0</v>
      </c>
      <c r="BD290" s="18">
        <v>1</v>
      </c>
      <c r="BE290" s="18" t="s">
        <v>5</v>
      </c>
      <c r="BL290" s="18"/>
      <c r="BO290" s="18"/>
      <c r="BR290" s="25">
        <v>44.274999999999999</v>
      </c>
      <c r="BS290">
        <v>1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 s="18">
        <v>0</v>
      </c>
      <c r="CA290">
        <v>0</v>
      </c>
      <c r="CB290">
        <v>1</v>
      </c>
      <c r="CC290">
        <v>0</v>
      </c>
      <c r="CD290" s="18">
        <v>0</v>
      </c>
      <c r="CE290">
        <v>0</v>
      </c>
      <c r="CF290">
        <v>0</v>
      </c>
      <c r="CG290">
        <v>0</v>
      </c>
      <c r="CH290">
        <v>0</v>
      </c>
      <c r="CI290" s="18">
        <v>0</v>
      </c>
      <c r="CJ290">
        <v>1</v>
      </c>
      <c r="CK290">
        <v>1</v>
      </c>
      <c r="CL290">
        <v>0</v>
      </c>
      <c r="CM290">
        <v>0</v>
      </c>
      <c r="CN290">
        <v>0</v>
      </c>
      <c r="CO290">
        <v>1</v>
      </c>
      <c r="CP290">
        <v>1</v>
      </c>
      <c r="CQ290">
        <v>0</v>
      </c>
      <c r="CR290">
        <v>0</v>
      </c>
      <c r="CS290">
        <v>0</v>
      </c>
      <c r="CT290" s="18">
        <v>1</v>
      </c>
      <c r="CZ290" s="34" t="s">
        <v>87</v>
      </c>
    </row>
    <row r="291" spans="1:104" x14ac:dyDescent="0.25">
      <c r="A291">
        <v>290</v>
      </c>
      <c r="B291">
        <v>19</v>
      </c>
      <c r="C291" s="25" t="s">
        <v>226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13">D291-E291</f>
        <v>9.6935717472031975</v>
      </c>
      <c r="H291" s="16">
        <f t="shared" ref="H291:H314" si="214">D291+E291</f>
        <v>11.184890477542151</v>
      </c>
      <c r="I291" s="11">
        <f t="shared" si="198"/>
        <v>0.22710998958306755</v>
      </c>
      <c r="J291" s="33">
        <f t="shared" si="199"/>
        <v>1.6222142113076255E-2</v>
      </c>
      <c r="K291" s="33">
        <f t="shared" ref="K291:K314" si="215">IFERROR(1/J291, "X")</f>
        <v>61.644140029689758</v>
      </c>
      <c r="L291" s="33">
        <f t="shared" ref="L291:L314" si="216">IFERROR(I291-J291, "X")</f>
        <v>0.21088784746999129</v>
      </c>
      <c r="M291" s="33">
        <f t="shared" ref="M291:M314" si="217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195"/>
        <v>3604</v>
      </c>
      <c r="Y291" s="7">
        <v>17</v>
      </c>
      <c r="Z291" s="7">
        <f t="shared" si="205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9">
        <v>0</v>
      </c>
      <c r="AL291" s="30">
        <v>0</v>
      </c>
      <c r="AM291" s="21">
        <v>2001</v>
      </c>
      <c r="AN291" s="23"/>
      <c r="AO291" s="33">
        <v>0.01</v>
      </c>
      <c r="AP291" s="33">
        <v>0.41725000000000001</v>
      </c>
      <c r="AQ291" s="33">
        <v>0.48</v>
      </c>
      <c r="AR291" s="43">
        <v>9.2749999999999999E-2</v>
      </c>
      <c r="AS291" s="33" t="s">
        <v>107</v>
      </c>
      <c r="AT291" s="43" t="s">
        <v>107</v>
      </c>
      <c r="AU291" s="42">
        <v>1</v>
      </c>
      <c r="AV291" s="18">
        <v>0</v>
      </c>
      <c r="AW291">
        <v>0.48</v>
      </c>
      <c r="AX291" s="40">
        <v>0.52</v>
      </c>
      <c r="AY291" t="s">
        <v>107</v>
      </c>
      <c r="AZ291" s="40" t="s">
        <v>107</v>
      </c>
      <c r="BB291" s="18"/>
      <c r="BC291">
        <v>0</v>
      </c>
      <c r="BD291" s="18">
        <v>1</v>
      </c>
      <c r="BE291" s="18" t="s">
        <v>5</v>
      </c>
      <c r="BL291" s="18"/>
      <c r="BO291" s="18"/>
      <c r="BR291" s="25">
        <v>44.274999999999999</v>
      </c>
      <c r="BS291">
        <v>1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 s="18">
        <v>0</v>
      </c>
      <c r="CA291">
        <v>0</v>
      </c>
      <c r="CB291">
        <v>1</v>
      </c>
      <c r="CC291">
        <v>0</v>
      </c>
      <c r="CD291" s="18">
        <v>0</v>
      </c>
      <c r="CE291">
        <v>1</v>
      </c>
      <c r="CF291">
        <v>0</v>
      </c>
      <c r="CG291">
        <v>0</v>
      </c>
      <c r="CH291">
        <v>0</v>
      </c>
      <c r="CI291" s="18">
        <v>1</v>
      </c>
      <c r="CJ291">
        <v>1</v>
      </c>
      <c r="CK291">
        <v>1</v>
      </c>
      <c r="CL291">
        <v>0</v>
      </c>
      <c r="CM291">
        <v>0</v>
      </c>
      <c r="CN291">
        <v>0</v>
      </c>
      <c r="CO291">
        <v>1</v>
      </c>
      <c r="CP291">
        <v>1</v>
      </c>
      <c r="CQ291">
        <v>0</v>
      </c>
      <c r="CR291">
        <v>0</v>
      </c>
      <c r="CS291">
        <v>0</v>
      </c>
      <c r="CT291" s="18">
        <v>1</v>
      </c>
      <c r="CZ291" s="34" t="s">
        <v>87</v>
      </c>
    </row>
    <row r="292" spans="1:104" x14ac:dyDescent="0.25">
      <c r="A292">
        <v>291</v>
      </c>
      <c r="B292">
        <v>19</v>
      </c>
      <c r="C292" s="25" t="s">
        <v>226</v>
      </c>
      <c r="D292" s="12">
        <v>7.7481666176751602</v>
      </c>
      <c r="E292" s="14">
        <v>1.0751044589118646</v>
      </c>
      <c r="F292" s="7">
        <v>7.206896551724137</v>
      </c>
      <c r="G292" s="7">
        <f t="shared" si="213"/>
        <v>6.6730621587632957</v>
      </c>
      <c r="H292" s="16">
        <f t="shared" si="214"/>
        <v>8.8232710765870248</v>
      </c>
      <c r="I292" s="11">
        <f t="shared" si="198"/>
        <v>0.11919246365301839</v>
      </c>
      <c r="J292" s="33">
        <f t="shared" si="199"/>
        <v>1.6538667205442746E-2</v>
      </c>
      <c r="K292" s="33">
        <f t="shared" si="215"/>
        <v>60.464364363708086</v>
      </c>
      <c r="L292" s="33">
        <f t="shared" si="216"/>
        <v>0.10265379644757563</v>
      </c>
      <c r="M292" s="33">
        <f t="shared" si="217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195"/>
        <v>3604</v>
      </c>
      <c r="Y292" s="7">
        <v>12</v>
      </c>
      <c r="Z292" s="7">
        <f t="shared" si="205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9">
        <v>0</v>
      </c>
      <c r="AL292" s="30">
        <v>0</v>
      </c>
      <c r="AM292" s="21">
        <v>2001</v>
      </c>
      <c r="AN292" s="23"/>
      <c r="AO292" s="33">
        <v>0.01</v>
      </c>
      <c r="AP292" s="33">
        <v>0.41725000000000001</v>
      </c>
      <c r="AQ292" s="33">
        <v>0.48</v>
      </c>
      <c r="AR292" s="43">
        <v>9.2749999999999999E-2</v>
      </c>
      <c r="AS292" s="33" t="s">
        <v>107</v>
      </c>
      <c r="AT292" s="43" t="s">
        <v>107</v>
      </c>
      <c r="AU292" s="42">
        <v>1</v>
      </c>
      <c r="AV292" s="18">
        <v>0</v>
      </c>
      <c r="AW292">
        <v>0.48</v>
      </c>
      <c r="AX292" s="40">
        <v>0.52</v>
      </c>
      <c r="AY292" t="s">
        <v>107</v>
      </c>
      <c r="AZ292" s="40" t="s">
        <v>107</v>
      </c>
      <c r="BB292" s="18"/>
      <c r="BC292">
        <v>0</v>
      </c>
      <c r="BD292" s="18">
        <v>1</v>
      </c>
      <c r="BE292" s="18" t="s">
        <v>5</v>
      </c>
      <c r="BL292" s="18"/>
      <c r="BO292" s="18"/>
      <c r="BR292" s="25">
        <v>44.274999999999999</v>
      </c>
      <c r="BS292">
        <v>1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 s="18">
        <v>0</v>
      </c>
      <c r="CA292">
        <v>0</v>
      </c>
      <c r="CB292">
        <v>1</v>
      </c>
      <c r="CC292">
        <v>0</v>
      </c>
      <c r="CD292" s="18">
        <v>0</v>
      </c>
      <c r="CE292">
        <v>1</v>
      </c>
      <c r="CF292">
        <v>0</v>
      </c>
      <c r="CG292">
        <v>0</v>
      </c>
      <c r="CH292">
        <v>0</v>
      </c>
      <c r="CI292" s="18">
        <v>1</v>
      </c>
      <c r="CJ292">
        <v>1</v>
      </c>
      <c r="CK292">
        <v>1</v>
      </c>
      <c r="CL292">
        <v>0</v>
      </c>
      <c r="CM292">
        <v>0</v>
      </c>
      <c r="CN292">
        <v>0</v>
      </c>
      <c r="CO292">
        <v>1</v>
      </c>
      <c r="CP292">
        <v>1</v>
      </c>
      <c r="CQ292">
        <v>0</v>
      </c>
      <c r="CR292">
        <v>0</v>
      </c>
      <c r="CS292">
        <v>0</v>
      </c>
      <c r="CT292" s="18">
        <v>1</v>
      </c>
      <c r="CZ292" s="34" t="s">
        <v>87</v>
      </c>
    </row>
    <row r="293" spans="1:104" x14ac:dyDescent="0.25">
      <c r="A293">
        <v>292</v>
      </c>
      <c r="B293">
        <v>19</v>
      </c>
      <c r="C293" s="25" t="s">
        <v>226</v>
      </c>
      <c r="D293" s="12">
        <v>8.7881497402592608</v>
      </c>
      <c r="E293" s="14">
        <v>2.4035965101563792</v>
      </c>
      <c r="F293" s="7">
        <v>3.65625</v>
      </c>
      <c r="G293" s="7">
        <f t="shared" si="213"/>
        <v>6.3845532301028811</v>
      </c>
      <c r="H293" s="16">
        <f t="shared" si="214"/>
        <v>11.19174625041564</v>
      </c>
      <c r="I293" s="11">
        <f t="shared" si="198"/>
        <v>6.0791033576574907E-2</v>
      </c>
      <c r="J293" s="33">
        <f t="shared" si="199"/>
        <v>1.6626607473935018E-2</v>
      </c>
      <c r="K293" s="33">
        <f t="shared" si="215"/>
        <v>60.144560552576159</v>
      </c>
      <c r="L293" s="33">
        <f t="shared" si="216"/>
        <v>4.4164426102639889E-2</v>
      </c>
      <c r="M293" s="33">
        <f t="shared" si="217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195"/>
        <v>3604</v>
      </c>
      <c r="Y293" s="7">
        <v>9</v>
      </c>
      <c r="Z293" s="7">
        <f t="shared" si="205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9">
        <v>0</v>
      </c>
      <c r="AL293" s="30">
        <v>0</v>
      </c>
      <c r="AM293" s="21">
        <v>2001</v>
      </c>
      <c r="AN293" s="23"/>
      <c r="AO293" s="33">
        <v>0.01</v>
      </c>
      <c r="AP293" s="33">
        <v>0.41725000000000001</v>
      </c>
      <c r="AQ293" s="33">
        <v>0.48</v>
      </c>
      <c r="AR293" s="43">
        <v>9.2749999999999999E-2</v>
      </c>
      <c r="AS293" s="33" t="s">
        <v>107</v>
      </c>
      <c r="AT293" s="43" t="s">
        <v>107</v>
      </c>
      <c r="AU293" s="42">
        <v>1</v>
      </c>
      <c r="AV293" s="18">
        <v>0</v>
      </c>
      <c r="AW293">
        <v>0.48</v>
      </c>
      <c r="AX293" s="40">
        <v>0.52</v>
      </c>
      <c r="AY293" t="s">
        <v>107</v>
      </c>
      <c r="AZ293" s="40" t="s">
        <v>107</v>
      </c>
      <c r="BB293" s="18"/>
      <c r="BC293">
        <v>0</v>
      </c>
      <c r="BD293" s="18">
        <v>1</v>
      </c>
      <c r="BE293" s="18" t="s">
        <v>5</v>
      </c>
      <c r="BL293" s="18"/>
      <c r="BO293" s="18"/>
      <c r="BR293" s="25">
        <v>44.274999999999999</v>
      </c>
      <c r="BS293">
        <v>1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 s="18">
        <v>0</v>
      </c>
      <c r="CA293">
        <v>0</v>
      </c>
      <c r="CB293">
        <v>1</v>
      </c>
      <c r="CC293">
        <v>0</v>
      </c>
      <c r="CD293" s="18">
        <v>0</v>
      </c>
      <c r="CE293">
        <v>1</v>
      </c>
      <c r="CF293">
        <v>0</v>
      </c>
      <c r="CG293">
        <v>0</v>
      </c>
      <c r="CH293">
        <v>0</v>
      </c>
      <c r="CI293" s="18">
        <v>1</v>
      </c>
      <c r="CJ293">
        <v>1</v>
      </c>
      <c r="CK293">
        <v>1</v>
      </c>
      <c r="CL293">
        <v>0</v>
      </c>
      <c r="CM293">
        <v>0</v>
      </c>
      <c r="CN293">
        <v>0</v>
      </c>
      <c r="CO293">
        <v>1</v>
      </c>
      <c r="CP293">
        <v>1</v>
      </c>
      <c r="CQ293">
        <v>0</v>
      </c>
      <c r="CR293">
        <v>0</v>
      </c>
      <c r="CS293">
        <v>0</v>
      </c>
      <c r="CT293" s="18">
        <v>1</v>
      </c>
      <c r="CZ293" s="34" t="s">
        <v>87</v>
      </c>
    </row>
    <row r="294" spans="1:104" x14ac:dyDescent="0.25">
      <c r="A294">
        <v>293</v>
      </c>
      <c r="B294">
        <v>19</v>
      </c>
      <c r="C294" s="25" t="s">
        <v>226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13"/>
        <v>4.9122033361568977</v>
      </c>
      <c r="H294" s="16">
        <f t="shared" si="214"/>
        <v>13.520718093580372</v>
      </c>
      <c r="I294" s="11">
        <f t="shared" si="198"/>
        <v>3.5644906394878523E-2</v>
      </c>
      <c r="J294" s="33">
        <f t="shared" si="199"/>
        <v>1.6646829635602899E-2</v>
      </c>
      <c r="K294" s="33">
        <f t="shared" si="215"/>
        <v>60.071498410801333</v>
      </c>
      <c r="L294" s="33">
        <f t="shared" si="216"/>
        <v>1.8998076759275624E-2</v>
      </c>
      <c r="M294" s="33">
        <f t="shared" si="217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195"/>
        <v>3604</v>
      </c>
      <c r="Y294" s="7">
        <v>17</v>
      </c>
      <c r="Z294" s="7">
        <f t="shared" si="205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9">
        <v>0</v>
      </c>
      <c r="AL294" s="30">
        <v>0</v>
      </c>
      <c r="AM294" s="21">
        <v>2001</v>
      </c>
      <c r="AN294" s="23"/>
      <c r="AO294" s="33">
        <v>0.01</v>
      </c>
      <c r="AP294" s="33">
        <v>0.41725000000000001</v>
      </c>
      <c r="AQ294" s="33">
        <v>0.48</v>
      </c>
      <c r="AR294" s="43">
        <v>9.2749999999999999E-2</v>
      </c>
      <c r="AS294" s="33" t="s">
        <v>107</v>
      </c>
      <c r="AT294" s="43" t="s">
        <v>107</v>
      </c>
      <c r="AU294" s="42">
        <v>1</v>
      </c>
      <c r="AV294" s="18">
        <v>0</v>
      </c>
      <c r="AW294">
        <v>0.48</v>
      </c>
      <c r="AX294" s="40">
        <v>0.52</v>
      </c>
      <c r="AY294" t="s">
        <v>107</v>
      </c>
      <c r="AZ294" s="40" t="s">
        <v>107</v>
      </c>
      <c r="BB294" s="18"/>
      <c r="BC294">
        <v>0</v>
      </c>
      <c r="BD294" s="18">
        <v>1</v>
      </c>
      <c r="BE294" s="18" t="s">
        <v>5</v>
      </c>
      <c r="BL294" s="18"/>
      <c r="BO294" s="18"/>
      <c r="BR294" s="25">
        <v>44.274999999999999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 s="18">
        <v>1</v>
      </c>
      <c r="CA294">
        <v>0</v>
      </c>
      <c r="CB294">
        <v>1</v>
      </c>
      <c r="CC294">
        <v>0</v>
      </c>
      <c r="CD294" s="18">
        <v>0</v>
      </c>
      <c r="CE294">
        <v>1</v>
      </c>
      <c r="CF294">
        <v>0</v>
      </c>
      <c r="CG294">
        <v>0</v>
      </c>
      <c r="CH294">
        <v>0</v>
      </c>
      <c r="CI294" s="18">
        <v>1</v>
      </c>
      <c r="CJ294">
        <v>1</v>
      </c>
      <c r="CK294">
        <v>1</v>
      </c>
      <c r="CL294">
        <v>0</v>
      </c>
      <c r="CM294">
        <v>0</v>
      </c>
      <c r="CN294">
        <v>0</v>
      </c>
      <c r="CO294">
        <v>1</v>
      </c>
      <c r="CP294">
        <v>1</v>
      </c>
      <c r="CQ294">
        <v>0</v>
      </c>
      <c r="CR294">
        <v>0</v>
      </c>
      <c r="CS294">
        <v>0</v>
      </c>
      <c r="CT294" s="18">
        <v>1</v>
      </c>
      <c r="CZ294" s="34" t="s">
        <v>87</v>
      </c>
    </row>
    <row r="295" spans="1:104" x14ac:dyDescent="0.25">
      <c r="A295">
        <v>294</v>
      </c>
      <c r="B295">
        <v>19</v>
      </c>
      <c r="C295" s="25" t="s">
        <v>226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13"/>
        <v>6.4510960403478261</v>
      </c>
      <c r="H295" s="16">
        <f t="shared" si="214"/>
        <v>15.799390901211142</v>
      </c>
      <c r="I295" s="11">
        <f t="shared" si="198"/>
        <v>3.9616276756962054E-2</v>
      </c>
      <c r="J295" s="33">
        <f t="shared" si="199"/>
        <v>1.6644338498584751E-2</v>
      </c>
      <c r="K295" s="33">
        <f t="shared" si="215"/>
        <v>60.080489235725942</v>
      </c>
      <c r="L295" s="33">
        <f t="shared" si="216"/>
        <v>2.2971938258377303E-2</v>
      </c>
      <c r="M295" s="33">
        <f t="shared" si="217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195"/>
        <v>3604</v>
      </c>
      <c r="Y295" s="7">
        <v>12</v>
      </c>
      <c r="Z295" s="7">
        <f t="shared" si="205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9">
        <v>0</v>
      </c>
      <c r="AL295" s="30">
        <v>0</v>
      </c>
      <c r="AM295" s="21">
        <v>2001</v>
      </c>
      <c r="AN295" s="23"/>
      <c r="AO295" s="33">
        <v>0.01</v>
      </c>
      <c r="AP295" s="33">
        <v>0.41725000000000001</v>
      </c>
      <c r="AQ295" s="33">
        <v>0.48</v>
      </c>
      <c r="AR295" s="43">
        <v>9.2749999999999999E-2</v>
      </c>
      <c r="AS295" s="33" t="s">
        <v>107</v>
      </c>
      <c r="AT295" s="43" t="s">
        <v>107</v>
      </c>
      <c r="AU295" s="42">
        <v>1</v>
      </c>
      <c r="AV295" s="18">
        <v>0</v>
      </c>
      <c r="AW295">
        <v>0.48</v>
      </c>
      <c r="AX295" s="40">
        <v>0.52</v>
      </c>
      <c r="AY295" t="s">
        <v>107</v>
      </c>
      <c r="AZ295" s="40" t="s">
        <v>107</v>
      </c>
      <c r="BB295" s="18"/>
      <c r="BC295">
        <v>0</v>
      </c>
      <c r="BD295" s="18">
        <v>1</v>
      </c>
      <c r="BE295" s="18" t="s">
        <v>5</v>
      </c>
      <c r="BL295" s="18"/>
      <c r="BO295" s="18"/>
      <c r="BR295" s="25">
        <v>44.274999999999999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 s="18">
        <v>1</v>
      </c>
      <c r="CA295">
        <v>0</v>
      </c>
      <c r="CB295">
        <v>1</v>
      </c>
      <c r="CC295">
        <v>0</v>
      </c>
      <c r="CD295" s="18">
        <v>0</v>
      </c>
      <c r="CE295">
        <v>1</v>
      </c>
      <c r="CF295">
        <v>0</v>
      </c>
      <c r="CG295">
        <v>0</v>
      </c>
      <c r="CH295">
        <v>0</v>
      </c>
      <c r="CI295" s="18">
        <v>1</v>
      </c>
      <c r="CJ295">
        <v>1</v>
      </c>
      <c r="CK295">
        <v>1</v>
      </c>
      <c r="CL295">
        <v>0</v>
      </c>
      <c r="CM295">
        <v>0</v>
      </c>
      <c r="CN295">
        <v>0</v>
      </c>
      <c r="CO295">
        <v>1</v>
      </c>
      <c r="CP295">
        <v>1</v>
      </c>
      <c r="CQ295">
        <v>0</v>
      </c>
      <c r="CR295">
        <v>0</v>
      </c>
      <c r="CS295">
        <v>0</v>
      </c>
      <c r="CT295" s="18">
        <v>1</v>
      </c>
      <c r="CZ295" s="34" t="s">
        <v>87</v>
      </c>
    </row>
    <row r="296" spans="1:104" x14ac:dyDescent="0.25">
      <c r="A296">
        <v>295</v>
      </c>
      <c r="B296">
        <v>19</v>
      </c>
      <c r="C296" s="25" t="s">
        <v>226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13"/>
        <v>3.8585771321726656</v>
      </c>
      <c r="H296" s="16">
        <f t="shared" si="214"/>
        <v>10.252790665487366</v>
      </c>
      <c r="I296" s="11">
        <f t="shared" si="198"/>
        <v>3.6736377862039815E-2</v>
      </c>
      <c r="J296" s="33">
        <f t="shared" si="199"/>
        <v>1.6646171218736787E-2</v>
      </c>
      <c r="K296" s="33">
        <f t="shared" si="215"/>
        <v>60.073874457953949</v>
      </c>
      <c r="L296" s="33">
        <f t="shared" si="216"/>
        <v>2.0090206643303028E-2</v>
      </c>
      <c r="M296" s="33">
        <f t="shared" si="217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195"/>
        <v>3604</v>
      </c>
      <c r="Y296" s="7">
        <v>9</v>
      </c>
      <c r="Z296" s="7">
        <f t="shared" si="205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9">
        <v>0</v>
      </c>
      <c r="AL296" s="30">
        <v>0</v>
      </c>
      <c r="AM296" s="21">
        <v>2001</v>
      </c>
      <c r="AN296" s="23"/>
      <c r="AO296" s="33">
        <v>0.01</v>
      </c>
      <c r="AP296" s="33">
        <v>0.41725000000000001</v>
      </c>
      <c r="AQ296" s="33">
        <v>0.48</v>
      </c>
      <c r="AR296" s="43">
        <v>9.2749999999999999E-2</v>
      </c>
      <c r="AS296" s="33" t="s">
        <v>107</v>
      </c>
      <c r="AT296" s="43" t="s">
        <v>107</v>
      </c>
      <c r="AU296" s="42">
        <v>1</v>
      </c>
      <c r="AV296" s="18">
        <v>0</v>
      </c>
      <c r="AW296">
        <v>0.48</v>
      </c>
      <c r="AX296" s="40">
        <v>0.52</v>
      </c>
      <c r="AY296" t="s">
        <v>107</v>
      </c>
      <c r="AZ296" s="40" t="s">
        <v>107</v>
      </c>
      <c r="BB296" s="18"/>
      <c r="BC296">
        <v>0</v>
      </c>
      <c r="BD296" s="18">
        <v>1</v>
      </c>
      <c r="BE296" s="18" t="s">
        <v>5</v>
      </c>
      <c r="BL296" s="18"/>
      <c r="BO296" s="18"/>
      <c r="BR296" s="25">
        <v>44.274999999999999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 s="18">
        <v>1</v>
      </c>
      <c r="CA296">
        <v>0</v>
      </c>
      <c r="CB296">
        <v>1</v>
      </c>
      <c r="CC296">
        <v>0</v>
      </c>
      <c r="CD296" s="18">
        <v>0</v>
      </c>
      <c r="CE296">
        <v>1</v>
      </c>
      <c r="CF296">
        <v>0</v>
      </c>
      <c r="CG296">
        <v>0</v>
      </c>
      <c r="CH296">
        <v>0</v>
      </c>
      <c r="CI296" s="18">
        <v>1</v>
      </c>
      <c r="CJ296">
        <v>1</v>
      </c>
      <c r="CK296">
        <v>1</v>
      </c>
      <c r="CL296">
        <v>0</v>
      </c>
      <c r="CM296">
        <v>0</v>
      </c>
      <c r="CN296">
        <v>0</v>
      </c>
      <c r="CO296">
        <v>1</v>
      </c>
      <c r="CP296">
        <v>1</v>
      </c>
      <c r="CQ296">
        <v>0</v>
      </c>
      <c r="CR296">
        <v>0</v>
      </c>
      <c r="CS296">
        <v>0</v>
      </c>
      <c r="CT296" s="18">
        <v>1</v>
      </c>
      <c r="CZ296" s="34" t="s">
        <v>87</v>
      </c>
    </row>
    <row r="297" spans="1:104" x14ac:dyDescent="0.25">
      <c r="A297">
        <v>296</v>
      </c>
      <c r="B297">
        <v>19</v>
      </c>
      <c r="C297" s="25" t="s">
        <v>226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13"/>
        <v>4.6993808664236791</v>
      </c>
      <c r="H297" s="16">
        <f t="shared" si="214"/>
        <v>12.748576811990391</v>
      </c>
      <c r="I297" s="11">
        <f t="shared" si="198"/>
        <v>3.6174506318020855E-2</v>
      </c>
      <c r="J297" s="33">
        <f t="shared" si="199"/>
        <v>1.6688239102512385E-2</v>
      </c>
      <c r="K297" s="33">
        <f t="shared" si="215"/>
        <v>59.92243962093351</v>
      </c>
      <c r="L297" s="33">
        <f t="shared" si="216"/>
        <v>1.948626721550847E-2</v>
      </c>
      <c r="M297" s="33">
        <f t="shared" si="217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195"/>
        <v>3586</v>
      </c>
      <c r="Y297" s="7">
        <v>17</v>
      </c>
      <c r="Z297" s="7">
        <f t="shared" si="205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9">
        <v>0</v>
      </c>
      <c r="AL297" s="30">
        <v>0</v>
      </c>
      <c r="AM297" s="21">
        <v>2001</v>
      </c>
      <c r="AN297" s="23"/>
      <c r="AO297" s="33">
        <v>0.01</v>
      </c>
      <c r="AP297" s="33">
        <v>0.41725000000000001</v>
      </c>
      <c r="AQ297" s="33">
        <v>0.48</v>
      </c>
      <c r="AR297" s="43">
        <v>9.2749999999999999E-2</v>
      </c>
      <c r="AS297" s="33" t="s">
        <v>107</v>
      </c>
      <c r="AT297" s="43" t="s">
        <v>107</v>
      </c>
      <c r="AU297" s="42">
        <v>1</v>
      </c>
      <c r="AV297" s="18">
        <v>0</v>
      </c>
      <c r="AW297">
        <v>0.48</v>
      </c>
      <c r="AX297" s="40">
        <v>0.52</v>
      </c>
      <c r="AY297" t="s">
        <v>107</v>
      </c>
      <c r="AZ297" s="40" t="s">
        <v>107</v>
      </c>
      <c r="BB297" s="18"/>
      <c r="BC297">
        <v>0</v>
      </c>
      <c r="BD297" s="18">
        <v>1</v>
      </c>
      <c r="BE297" s="18" t="s">
        <v>5</v>
      </c>
      <c r="BL297" s="18"/>
      <c r="BO297" s="18"/>
      <c r="BR297" s="25">
        <v>44.274999999999999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 s="18">
        <v>1</v>
      </c>
      <c r="CA297">
        <v>0</v>
      </c>
      <c r="CB297">
        <v>1</v>
      </c>
      <c r="CC297">
        <v>0</v>
      </c>
      <c r="CD297" s="18">
        <v>0</v>
      </c>
      <c r="CE297">
        <v>1</v>
      </c>
      <c r="CF297">
        <v>0</v>
      </c>
      <c r="CG297">
        <v>0</v>
      </c>
      <c r="CH297">
        <v>0</v>
      </c>
      <c r="CI297" s="18">
        <v>1</v>
      </c>
      <c r="CJ297">
        <v>1</v>
      </c>
      <c r="CK297">
        <v>1</v>
      </c>
      <c r="CL297">
        <v>0</v>
      </c>
      <c r="CM297">
        <v>0</v>
      </c>
      <c r="CN297">
        <v>0</v>
      </c>
      <c r="CO297">
        <v>1</v>
      </c>
      <c r="CP297">
        <v>1</v>
      </c>
      <c r="CQ297">
        <v>0</v>
      </c>
      <c r="CR297">
        <v>0</v>
      </c>
      <c r="CS297">
        <v>0</v>
      </c>
      <c r="CT297" s="18">
        <v>1</v>
      </c>
      <c r="CZ297" s="34" t="s">
        <v>87</v>
      </c>
    </row>
    <row r="298" spans="1:104" x14ac:dyDescent="0.25">
      <c r="A298">
        <v>297</v>
      </c>
      <c r="B298">
        <v>19</v>
      </c>
      <c r="C298" s="25" t="s">
        <v>226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13"/>
        <v>6.8841698175225643</v>
      </c>
      <c r="H298" s="16">
        <f t="shared" si="214"/>
        <v>16.529786285011806</v>
      </c>
      <c r="I298" s="11">
        <f t="shared" si="198"/>
        <v>4.0502623357663262E-2</v>
      </c>
      <c r="J298" s="33">
        <f t="shared" si="199"/>
        <v>1.6685466100831381E-2</v>
      </c>
      <c r="K298" s="33">
        <f t="shared" si="215"/>
        <v>59.932398289441451</v>
      </c>
      <c r="L298" s="33">
        <f t="shared" si="216"/>
        <v>2.3817157256831881E-2</v>
      </c>
      <c r="M298" s="33">
        <f t="shared" si="217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195"/>
        <v>3586</v>
      </c>
      <c r="Y298" s="7">
        <v>12</v>
      </c>
      <c r="Z298" s="7">
        <f t="shared" si="205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9">
        <v>0</v>
      </c>
      <c r="AL298" s="30">
        <v>0</v>
      </c>
      <c r="AM298" s="21">
        <v>2001</v>
      </c>
      <c r="AN298" s="23"/>
      <c r="AO298" s="33">
        <v>0.01</v>
      </c>
      <c r="AP298" s="33">
        <v>0.41725000000000001</v>
      </c>
      <c r="AQ298" s="33">
        <v>0.48</v>
      </c>
      <c r="AR298" s="43">
        <v>9.2749999999999999E-2</v>
      </c>
      <c r="AS298" s="33" t="s">
        <v>107</v>
      </c>
      <c r="AT298" s="43" t="s">
        <v>107</v>
      </c>
      <c r="AU298" s="42">
        <v>1</v>
      </c>
      <c r="AV298" s="18">
        <v>0</v>
      </c>
      <c r="AW298">
        <v>0.48</v>
      </c>
      <c r="AX298" s="40">
        <v>0.52</v>
      </c>
      <c r="AY298" t="s">
        <v>107</v>
      </c>
      <c r="AZ298" s="40" t="s">
        <v>107</v>
      </c>
      <c r="BB298" s="18"/>
      <c r="BC298">
        <v>0</v>
      </c>
      <c r="BD298" s="18">
        <v>1</v>
      </c>
      <c r="BE298" s="18" t="s">
        <v>5</v>
      </c>
      <c r="BL298" s="18"/>
      <c r="BO298" s="18"/>
      <c r="BR298" s="25">
        <v>44.274999999999999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 s="18">
        <v>1</v>
      </c>
      <c r="CA298">
        <v>0</v>
      </c>
      <c r="CB298">
        <v>1</v>
      </c>
      <c r="CC298">
        <v>0</v>
      </c>
      <c r="CD298" s="18">
        <v>0</v>
      </c>
      <c r="CE298">
        <v>1</v>
      </c>
      <c r="CF298">
        <v>0</v>
      </c>
      <c r="CG298">
        <v>0</v>
      </c>
      <c r="CH298">
        <v>0</v>
      </c>
      <c r="CI298" s="18">
        <v>1</v>
      </c>
      <c r="CJ298">
        <v>1</v>
      </c>
      <c r="CK298">
        <v>1</v>
      </c>
      <c r="CL298">
        <v>0</v>
      </c>
      <c r="CM298">
        <v>0</v>
      </c>
      <c r="CN298">
        <v>0</v>
      </c>
      <c r="CO298">
        <v>1</v>
      </c>
      <c r="CP298">
        <v>1</v>
      </c>
      <c r="CQ298">
        <v>0</v>
      </c>
      <c r="CR298">
        <v>0</v>
      </c>
      <c r="CS298">
        <v>0</v>
      </c>
      <c r="CT298" s="18">
        <v>1</v>
      </c>
      <c r="CZ298" s="34" t="s">
        <v>87</v>
      </c>
    </row>
    <row r="299" spans="1:104" x14ac:dyDescent="0.25">
      <c r="A299">
        <v>298</v>
      </c>
      <c r="B299">
        <v>19</v>
      </c>
      <c r="C299" s="25" t="s">
        <v>226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13"/>
        <v>3.7077560286635793</v>
      </c>
      <c r="H299" s="16">
        <f t="shared" si="214"/>
        <v>10.242217148486519</v>
      </c>
      <c r="I299" s="11">
        <f t="shared" si="198"/>
        <v>3.5627278687847777E-2</v>
      </c>
      <c r="J299" s="33">
        <f t="shared" si="199"/>
        <v>1.6688567385360273E-2</v>
      </c>
      <c r="K299" s="33">
        <f t="shared" si="215"/>
        <v>59.92126087930297</v>
      </c>
      <c r="L299" s="33">
        <f t="shared" si="216"/>
        <v>1.8938711302487504E-2</v>
      </c>
      <c r="M299" s="33">
        <f t="shared" si="217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195"/>
        <v>3586</v>
      </c>
      <c r="Y299" s="7">
        <v>9</v>
      </c>
      <c r="Z299" s="7">
        <f t="shared" ref="Z299:Z330" si="218">BR299-Y299-6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9">
        <v>0</v>
      </c>
      <c r="AL299" s="30">
        <v>0</v>
      </c>
      <c r="AM299" s="21">
        <v>2001</v>
      </c>
      <c r="AN299" s="23"/>
      <c r="AO299" s="33">
        <v>0.01</v>
      </c>
      <c r="AP299" s="33">
        <v>0.41725000000000001</v>
      </c>
      <c r="AQ299" s="33">
        <v>0.48</v>
      </c>
      <c r="AR299" s="43">
        <v>9.2749999999999999E-2</v>
      </c>
      <c r="AS299" s="33" t="s">
        <v>107</v>
      </c>
      <c r="AT299" s="43" t="s">
        <v>107</v>
      </c>
      <c r="AU299" s="42">
        <v>1</v>
      </c>
      <c r="AV299" s="18">
        <v>0</v>
      </c>
      <c r="AW299">
        <v>0.48</v>
      </c>
      <c r="AX299" s="40">
        <v>0.52</v>
      </c>
      <c r="AY299" t="s">
        <v>107</v>
      </c>
      <c r="AZ299" s="40" t="s">
        <v>107</v>
      </c>
      <c r="BB299" s="18"/>
      <c r="BC299">
        <v>0</v>
      </c>
      <c r="BD299" s="18">
        <v>1</v>
      </c>
      <c r="BE299" s="18" t="s">
        <v>5</v>
      </c>
      <c r="BL299" s="18"/>
      <c r="BO299" s="18"/>
      <c r="BR299" s="25">
        <v>44.274999999999999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 s="18">
        <v>1</v>
      </c>
      <c r="CA299">
        <v>0</v>
      </c>
      <c r="CB299">
        <v>1</v>
      </c>
      <c r="CC299">
        <v>0</v>
      </c>
      <c r="CD299" s="18">
        <v>0</v>
      </c>
      <c r="CE299">
        <v>1</v>
      </c>
      <c r="CF299">
        <v>0</v>
      </c>
      <c r="CG299">
        <v>0</v>
      </c>
      <c r="CH299">
        <v>0</v>
      </c>
      <c r="CI299" s="18">
        <v>1</v>
      </c>
      <c r="CJ299">
        <v>1</v>
      </c>
      <c r="CK299">
        <v>1</v>
      </c>
      <c r="CL299">
        <v>0</v>
      </c>
      <c r="CM299">
        <v>0</v>
      </c>
      <c r="CN299">
        <v>0</v>
      </c>
      <c r="CO299">
        <v>1</v>
      </c>
      <c r="CP299">
        <v>1</v>
      </c>
      <c r="CQ299">
        <v>0</v>
      </c>
      <c r="CR299">
        <v>0</v>
      </c>
      <c r="CS299">
        <v>0</v>
      </c>
      <c r="CT299" s="18">
        <v>1</v>
      </c>
      <c r="CZ299" s="34" t="s">
        <v>87</v>
      </c>
    </row>
    <row r="300" spans="1:104" x14ac:dyDescent="0.25">
      <c r="A300">
        <v>299</v>
      </c>
      <c r="B300">
        <v>19</v>
      </c>
      <c r="C300" s="25" t="s">
        <v>226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13"/>
        <v>4.7511276464999437</v>
      </c>
      <c r="H300" s="16">
        <f t="shared" si="214"/>
        <v>13.332245946811065</v>
      </c>
      <c r="I300" s="11">
        <f t="shared" si="198"/>
        <v>3.5183836008184796E-2</v>
      </c>
      <c r="J300" s="33">
        <f t="shared" si="199"/>
        <v>1.6695814942221738E-2</v>
      </c>
      <c r="K300" s="33">
        <f t="shared" si="215"/>
        <v>59.895249405952534</v>
      </c>
      <c r="L300" s="33">
        <f t="shared" si="216"/>
        <v>1.8488021065963058E-2</v>
      </c>
      <c r="M300" s="33">
        <f t="shared" si="217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195"/>
        <v>3583</v>
      </c>
      <c r="Y300" s="7">
        <v>17</v>
      </c>
      <c r="Z300" s="7">
        <f t="shared" si="218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9">
        <v>0</v>
      </c>
      <c r="AL300" s="30">
        <v>0</v>
      </c>
      <c r="AM300" s="21">
        <v>2001</v>
      </c>
      <c r="AN300" s="23"/>
      <c r="AO300" s="33">
        <v>0.01</v>
      </c>
      <c r="AP300" s="33">
        <v>0.41725000000000001</v>
      </c>
      <c r="AQ300" s="33">
        <v>0.48</v>
      </c>
      <c r="AR300" s="43">
        <v>9.2749999999999999E-2</v>
      </c>
      <c r="AS300" s="33" t="s">
        <v>107</v>
      </c>
      <c r="AT300" s="43" t="s">
        <v>107</v>
      </c>
      <c r="AU300" s="42">
        <v>1</v>
      </c>
      <c r="AV300" s="18">
        <v>0</v>
      </c>
      <c r="AW300">
        <v>0.48</v>
      </c>
      <c r="AX300" s="40">
        <v>0.52</v>
      </c>
      <c r="AY300" t="s">
        <v>107</v>
      </c>
      <c r="AZ300" s="40" t="s">
        <v>107</v>
      </c>
      <c r="BB300" s="18"/>
      <c r="BC300">
        <v>0</v>
      </c>
      <c r="BD300" s="18">
        <v>1</v>
      </c>
      <c r="BE300" s="18" t="s">
        <v>5</v>
      </c>
      <c r="BL300" s="18"/>
      <c r="BO300" s="18"/>
      <c r="BR300" s="25">
        <v>44.274999999999999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 s="18">
        <v>1</v>
      </c>
      <c r="CA300">
        <v>0</v>
      </c>
      <c r="CB300">
        <v>1</v>
      </c>
      <c r="CC300">
        <v>0</v>
      </c>
      <c r="CD300" s="18">
        <v>0</v>
      </c>
      <c r="CE300">
        <v>1</v>
      </c>
      <c r="CF300">
        <v>0</v>
      </c>
      <c r="CG300">
        <v>0</v>
      </c>
      <c r="CH300">
        <v>0</v>
      </c>
      <c r="CI300" s="18">
        <v>1</v>
      </c>
      <c r="CJ300">
        <v>1</v>
      </c>
      <c r="CK300">
        <v>1</v>
      </c>
      <c r="CL300">
        <v>0</v>
      </c>
      <c r="CM300">
        <v>0</v>
      </c>
      <c r="CN300">
        <v>0</v>
      </c>
      <c r="CO300">
        <v>1</v>
      </c>
      <c r="CP300">
        <v>1</v>
      </c>
      <c r="CQ300">
        <v>0</v>
      </c>
      <c r="CR300">
        <v>0</v>
      </c>
      <c r="CS300">
        <v>0</v>
      </c>
      <c r="CT300" s="18">
        <v>1</v>
      </c>
      <c r="CZ300" s="34" t="s">
        <v>87</v>
      </c>
    </row>
    <row r="301" spans="1:104" x14ac:dyDescent="0.25">
      <c r="A301">
        <v>300</v>
      </c>
      <c r="B301">
        <v>19</v>
      </c>
      <c r="C301" s="25" t="s">
        <v>226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13"/>
        <v>6.3704988645164367</v>
      </c>
      <c r="H301" s="16">
        <f t="shared" si="214"/>
        <v>15.791115367195287</v>
      </c>
      <c r="I301" s="11">
        <f t="shared" si="198"/>
        <v>3.9270237655435782E-2</v>
      </c>
      <c r="J301" s="33">
        <f t="shared" si="199"/>
        <v>1.6693271755969217E-2</v>
      </c>
      <c r="K301" s="33">
        <f t="shared" si="215"/>
        <v>59.904374326286145</v>
      </c>
      <c r="L301" s="33">
        <f t="shared" si="216"/>
        <v>2.2576965899466565E-2</v>
      </c>
      <c r="M301" s="33">
        <f t="shared" si="217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195"/>
        <v>3583</v>
      </c>
      <c r="Y301" s="7">
        <v>12</v>
      </c>
      <c r="Z301" s="7">
        <f t="shared" si="218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9">
        <v>0</v>
      </c>
      <c r="AL301" s="30">
        <v>0</v>
      </c>
      <c r="AM301" s="21">
        <v>2001</v>
      </c>
      <c r="AN301" s="23"/>
      <c r="AO301" s="33">
        <v>0.01</v>
      </c>
      <c r="AP301" s="33">
        <v>0.41725000000000001</v>
      </c>
      <c r="AQ301" s="33">
        <v>0.48</v>
      </c>
      <c r="AR301" s="43">
        <v>9.2749999999999999E-2</v>
      </c>
      <c r="AS301" s="33" t="s">
        <v>107</v>
      </c>
      <c r="AT301" s="43" t="s">
        <v>107</v>
      </c>
      <c r="AU301" s="42">
        <v>1</v>
      </c>
      <c r="AV301" s="18">
        <v>0</v>
      </c>
      <c r="AW301">
        <v>0.48</v>
      </c>
      <c r="AX301" s="40">
        <v>0.52</v>
      </c>
      <c r="AY301" t="s">
        <v>107</v>
      </c>
      <c r="AZ301" s="40" t="s">
        <v>107</v>
      </c>
      <c r="BB301" s="18"/>
      <c r="BC301">
        <v>0</v>
      </c>
      <c r="BD301" s="18">
        <v>1</v>
      </c>
      <c r="BE301" s="18" t="s">
        <v>5</v>
      </c>
      <c r="BL301" s="18"/>
      <c r="BO301" s="18"/>
      <c r="BR301" s="25">
        <v>44.274999999999999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 s="18">
        <v>1</v>
      </c>
      <c r="CA301">
        <v>0</v>
      </c>
      <c r="CB301">
        <v>1</v>
      </c>
      <c r="CC301">
        <v>0</v>
      </c>
      <c r="CD301" s="18">
        <v>0</v>
      </c>
      <c r="CE301">
        <v>1</v>
      </c>
      <c r="CF301">
        <v>0</v>
      </c>
      <c r="CG301">
        <v>0</v>
      </c>
      <c r="CH301">
        <v>0</v>
      </c>
      <c r="CI301" s="18">
        <v>1</v>
      </c>
      <c r="CJ301">
        <v>1</v>
      </c>
      <c r="CK301">
        <v>1</v>
      </c>
      <c r="CL301">
        <v>0</v>
      </c>
      <c r="CM301">
        <v>0</v>
      </c>
      <c r="CN301">
        <v>0</v>
      </c>
      <c r="CO301">
        <v>1</v>
      </c>
      <c r="CP301">
        <v>1</v>
      </c>
      <c r="CQ301">
        <v>0</v>
      </c>
      <c r="CR301">
        <v>0</v>
      </c>
      <c r="CS301">
        <v>0</v>
      </c>
      <c r="CT301" s="18">
        <v>1</v>
      </c>
      <c r="CZ301" s="34" t="s">
        <v>87</v>
      </c>
    </row>
    <row r="302" spans="1:104" x14ac:dyDescent="0.25">
      <c r="A302">
        <v>301</v>
      </c>
      <c r="B302">
        <v>19</v>
      </c>
      <c r="C302" s="25" t="s">
        <v>226</v>
      </c>
      <c r="D302" s="12">
        <v>7.258134690196945</v>
      </c>
      <c r="E302" s="14">
        <v>3.2422124504433052</v>
      </c>
      <c r="F302" s="7">
        <v>2.2386363636363638</v>
      </c>
      <c r="G302" s="7">
        <f t="shared" si="213"/>
        <v>4.0159222397536398</v>
      </c>
      <c r="H302" s="16">
        <f t="shared" si="214"/>
        <v>10.500347140640251</v>
      </c>
      <c r="I302" s="11">
        <f t="shared" si="198"/>
        <v>3.7372886443261165E-2</v>
      </c>
      <c r="J302" s="33">
        <f t="shared" si="199"/>
        <v>1.6694487345213109E-2</v>
      </c>
      <c r="K302" s="33">
        <f t="shared" si="215"/>
        <v>59.900012460504506</v>
      </c>
      <c r="L302" s="33">
        <f t="shared" si="216"/>
        <v>2.0678399098048056E-2</v>
      </c>
      <c r="M302" s="33">
        <f t="shared" si="217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195"/>
        <v>3583</v>
      </c>
      <c r="Y302" s="7">
        <v>9</v>
      </c>
      <c r="Z302" s="7">
        <f t="shared" si="218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9">
        <v>0</v>
      </c>
      <c r="AL302" s="30">
        <v>0</v>
      </c>
      <c r="AM302" s="21">
        <v>2001</v>
      </c>
      <c r="AN302" s="23"/>
      <c r="AO302" s="33">
        <v>0.01</v>
      </c>
      <c r="AP302" s="33">
        <v>0.41725000000000001</v>
      </c>
      <c r="AQ302" s="33">
        <v>0.48</v>
      </c>
      <c r="AR302" s="43">
        <v>9.2749999999999999E-2</v>
      </c>
      <c r="AS302" s="33" t="s">
        <v>107</v>
      </c>
      <c r="AT302" s="43" t="s">
        <v>107</v>
      </c>
      <c r="AU302" s="42">
        <v>1</v>
      </c>
      <c r="AV302" s="18">
        <v>0</v>
      </c>
      <c r="AW302">
        <v>0.48</v>
      </c>
      <c r="AX302" s="40">
        <v>0.52</v>
      </c>
      <c r="AY302" t="s">
        <v>107</v>
      </c>
      <c r="AZ302" s="40" t="s">
        <v>107</v>
      </c>
      <c r="BB302" s="18"/>
      <c r="BC302">
        <v>0</v>
      </c>
      <c r="BD302" s="18">
        <v>1</v>
      </c>
      <c r="BE302" s="18" t="s">
        <v>5</v>
      </c>
      <c r="BL302" s="18"/>
      <c r="BO302" s="18"/>
      <c r="BR302" s="25">
        <v>44.274999999999999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 s="18">
        <v>1</v>
      </c>
      <c r="CA302">
        <v>0</v>
      </c>
      <c r="CB302">
        <v>1</v>
      </c>
      <c r="CC302">
        <v>0</v>
      </c>
      <c r="CD302" s="18">
        <v>0</v>
      </c>
      <c r="CE302">
        <v>1</v>
      </c>
      <c r="CF302">
        <v>0</v>
      </c>
      <c r="CG302">
        <v>0</v>
      </c>
      <c r="CH302">
        <v>0</v>
      </c>
      <c r="CI302" s="18">
        <v>1</v>
      </c>
      <c r="CJ302">
        <v>1</v>
      </c>
      <c r="CK302">
        <v>1</v>
      </c>
      <c r="CL302">
        <v>0</v>
      </c>
      <c r="CM302">
        <v>0</v>
      </c>
      <c r="CN302">
        <v>0</v>
      </c>
      <c r="CO302">
        <v>1</v>
      </c>
      <c r="CP302">
        <v>1</v>
      </c>
      <c r="CQ302">
        <v>0</v>
      </c>
      <c r="CR302">
        <v>0</v>
      </c>
      <c r="CS302">
        <v>0</v>
      </c>
      <c r="CT302" s="18">
        <v>1</v>
      </c>
      <c r="CZ302" s="34" t="s">
        <v>87</v>
      </c>
    </row>
    <row r="303" spans="1:104" x14ac:dyDescent="0.25">
      <c r="A303">
        <v>302</v>
      </c>
      <c r="B303">
        <v>19</v>
      </c>
      <c r="C303" s="25" t="s">
        <v>226</v>
      </c>
      <c r="D303" s="12">
        <v>8.3000000000000007</v>
      </c>
      <c r="E303" s="14">
        <v>0.4</v>
      </c>
      <c r="F303" s="7">
        <f>D303/E303</f>
        <v>20.75</v>
      </c>
      <c r="G303" s="7">
        <f t="shared" si="213"/>
        <v>7.9</v>
      </c>
      <c r="H303" s="16">
        <f t="shared" si="214"/>
        <v>8.7000000000000011</v>
      </c>
      <c r="I303" s="11">
        <f t="shared" si="198"/>
        <v>0.3266375144591237</v>
      </c>
      <c r="J303" s="33">
        <f t="shared" si="199"/>
        <v>1.5741566961885479E-2</v>
      </c>
      <c r="K303" s="33">
        <f t="shared" si="215"/>
        <v>63.526077322623976</v>
      </c>
      <c r="L303" s="33">
        <f t="shared" si="216"/>
        <v>0.3108959474972382</v>
      </c>
      <c r="M303" s="33">
        <f t="shared" si="217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195"/>
        <v>3605</v>
      </c>
      <c r="Y303" s="7">
        <v>10.967499999999999</v>
      </c>
      <c r="Z303" s="7">
        <f t="shared" si="218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9">
        <v>0</v>
      </c>
      <c r="AL303" s="30">
        <v>0</v>
      </c>
      <c r="AM303" s="21">
        <v>2001</v>
      </c>
      <c r="AN303" s="23"/>
      <c r="AO303" s="33">
        <v>0.01</v>
      </c>
      <c r="AP303" s="33">
        <v>0.41725000000000001</v>
      </c>
      <c r="AQ303" s="33">
        <v>0.48</v>
      </c>
      <c r="AR303" s="43">
        <v>9.2749999999999999E-2</v>
      </c>
      <c r="AS303" s="33" t="s">
        <v>107</v>
      </c>
      <c r="AT303" s="43" t="s">
        <v>107</v>
      </c>
      <c r="AU303" s="42">
        <v>1</v>
      </c>
      <c r="AV303" s="18">
        <v>0</v>
      </c>
      <c r="AW303">
        <v>0.48</v>
      </c>
      <c r="AX303" s="40">
        <v>0.52</v>
      </c>
      <c r="AY303" t="s">
        <v>107</v>
      </c>
      <c r="AZ303" s="40" t="s">
        <v>107</v>
      </c>
      <c r="BB303" s="18"/>
      <c r="BC303">
        <v>0</v>
      </c>
      <c r="BD303" s="18">
        <v>1</v>
      </c>
      <c r="BE303" s="18" t="s">
        <v>5</v>
      </c>
      <c r="BL303" s="18"/>
      <c r="BO303" s="18"/>
      <c r="BR303" s="25">
        <v>44.274999999999999</v>
      </c>
      <c r="BS303">
        <v>1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 s="18">
        <v>0</v>
      </c>
      <c r="CA303">
        <v>0</v>
      </c>
      <c r="CB303">
        <v>1</v>
      </c>
      <c r="CC303">
        <v>0</v>
      </c>
      <c r="CD303" s="18">
        <v>0</v>
      </c>
      <c r="CE303">
        <v>1</v>
      </c>
      <c r="CF303">
        <v>0</v>
      </c>
      <c r="CG303">
        <v>0</v>
      </c>
      <c r="CH303">
        <v>0</v>
      </c>
      <c r="CI303" s="18">
        <v>1</v>
      </c>
      <c r="CJ303">
        <v>1</v>
      </c>
      <c r="CK303">
        <v>1</v>
      </c>
      <c r="CL303">
        <v>0</v>
      </c>
      <c r="CM303">
        <v>0</v>
      </c>
      <c r="CN303">
        <v>0</v>
      </c>
      <c r="CO303">
        <v>1</v>
      </c>
      <c r="CP303">
        <v>1</v>
      </c>
      <c r="CQ303">
        <v>0</v>
      </c>
      <c r="CR303">
        <v>0</v>
      </c>
      <c r="CS303">
        <v>0</v>
      </c>
      <c r="CT303" s="18">
        <v>1</v>
      </c>
      <c r="CZ303" s="34" t="s">
        <v>87</v>
      </c>
    </row>
    <row r="304" spans="1:104" x14ac:dyDescent="0.25">
      <c r="A304">
        <v>303</v>
      </c>
      <c r="B304">
        <v>19</v>
      </c>
      <c r="C304" s="25" t="s">
        <v>226</v>
      </c>
      <c r="D304" s="12">
        <v>8</v>
      </c>
      <c r="E304" s="14">
        <v>1.7</v>
      </c>
      <c r="F304" s="7">
        <f t="shared" ref="F304:F314" si="219">D304/E304</f>
        <v>4.7058823529411766</v>
      </c>
      <c r="G304" s="7">
        <f t="shared" si="213"/>
        <v>6.3</v>
      </c>
      <c r="H304" s="16">
        <f t="shared" si="214"/>
        <v>9.6999999999999993</v>
      </c>
      <c r="I304" s="11">
        <f t="shared" si="198"/>
        <v>7.8137333630947534E-2</v>
      </c>
      <c r="J304" s="33">
        <f t="shared" si="199"/>
        <v>1.660418339657635E-2</v>
      </c>
      <c r="K304" s="33">
        <f t="shared" si="215"/>
        <v>60.225786244097499</v>
      </c>
      <c r="L304" s="33">
        <f t="shared" si="216"/>
        <v>6.1533150234371184E-2</v>
      </c>
      <c r="M304" s="33">
        <f t="shared" si="217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195"/>
        <v>3605</v>
      </c>
      <c r="Y304" s="7">
        <v>10.967499999999999</v>
      </c>
      <c r="Z304" s="7">
        <f t="shared" si="218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9">
        <v>0</v>
      </c>
      <c r="AL304" s="30">
        <v>0</v>
      </c>
      <c r="AM304" s="21">
        <v>2001</v>
      </c>
      <c r="AN304" s="23"/>
      <c r="AO304" s="33">
        <v>0.01</v>
      </c>
      <c r="AP304" s="33">
        <v>0.41725000000000001</v>
      </c>
      <c r="AQ304" s="33">
        <v>0.48</v>
      </c>
      <c r="AR304" s="43">
        <v>9.2749999999999999E-2</v>
      </c>
      <c r="AS304" s="33" t="s">
        <v>107</v>
      </c>
      <c r="AT304" s="43" t="s">
        <v>107</v>
      </c>
      <c r="AU304" s="42">
        <v>1</v>
      </c>
      <c r="AV304" s="18">
        <v>0</v>
      </c>
      <c r="AW304">
        <v>0.48</v>
      </c>
      <c r="AX304" s="40">
        <v>0.52</v>
      </c>
      <c r="AY304" t="s">
        <v>107</v>
      </c>
      <c r="AZ304" s="40" t="s">
        <v>107</v>
      </c>
      <c r="BB304" s="18"/>
      <c r="BC304">
        <v>0</v>
      </c>
      <c r="BD304" s="18">
        <v>1</v>
      </c>
      <c r="BE304" s="18" t="s">
        <v>5</v>
      </c>
      <c r="BL304" s="18"/>
      <c r="BO304" s="18"/>
      <c r="BR304" s="25">
        <v>44.274999999999999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 s="18">
        <v>1</v>
      </c>
      <c r="CA304">
        <v>0</v>
      </c>
      <c r="CB304">
        <v>1</v>
      </c>
      <c r="CC304">
        <v>0</v>
      </c>
      <c r="CD304" s="18">
        <v>0</v>
      </c>
      <c r="CE304">
        <v>1</v>
      </c>
      <c r="CF304">
        <v>0</v>
      </c>
      <c r="CG304">
        <v>0</v>
      </c>
      <c r="CH304">
        <v>0</v>
      </c>
      <c r="CI304" s="18">
        <v>1</v>
      </c>
      <c r="CJ304">
        <v>1</v>
      </c>
      <c r="CK304">
        <v>1</v>
      </c>
      <c r="CL304">
        <v>0</v>
      </c>
      <c r="CM304">
        <v>0</v>
      </c>
      <c r="CN304">
        <v>0</v>
      </c>
      <c r="CO304">
        <v>1</v>
      </c>
      <c r="CP304">
        <v>1</v>
      </c>
      <c r="CQ304">
        <v>0</v>
      </c>
      <c r="CR304">
        <v>0</v>
      </c>
      <c r="CS304">
        <v>0</v>
      </c>
      <c r="CT304" s="18">
        <v>1</v>
      </c>
      <c r="CZ304" s="34" t="s">
        <v>87</v>
      </c>
    </row>
    <row r="305" spans="1:104" x14ac:dyDescent="0.25">
      <c r="A305">
        <v>304</v>
      </c>
      <c r="B305">
        <v>19</v>
      </c>
      <c r="C305" s="25" t="s">
        <v>226</v>
      </c>
      <c r="D305" s="12">
        <v>8.1999999999999993</v>
      </c>
      <c r="E305" s="14">
        <v>1.7</v>
      </c>
      <c r="F305" s="7">
        <f t="shared" si="219"/>
        <v>4.8235294117647056</v>
      </c>
      <c r="G305" s="7">
        <f t="shared" si="213"/>
        <v>6.4999999999999991</v>
      </c>
      <c r="H305" s="16">
        <f t="shared" si="214"/>
        <v>9.8999999999999986</v>
      </c>
      <c r="I305" s="11">
        <f t="shared" si="198"/>
        <v>8.0277770773294066E-2</v>
      </c>
      <c r="J305" s="33">
        <f t="shared" si="199"/>
        <v>1.6642952477390238E-2</v>
      </c>
      <c r="K305" s="33">
        <f t="shared" si="215"/>
        <v>60.085492724834651</v>
      </c>
      <c r="L305" s="33">
        <f t="shared" si="216"/>
        <v>6.3634818295903825E-2</v>
      </c>
      <c r="M305" s="33">
        <f t="shared" si="217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195"/>
        <v>3587</v>
      </c>
      <c r="Y305" s="7">
        <v>10.967499999999999</v>
      </c>
      <c r="Z305" s="7">
        <f t="shared" si="218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9">
        <v>0</v>
      </c>
      <c r="AL305" s="30">
        <v>0</v>
      </c>
      <c r="AM305" s="21">
        <v>2001</v>
      </c>
      <c r="AN305" s="23"/>
      <c r="AO305" s="33">
        <v>0.01</v>
      </c>
      <c r="AP305" s="33">
        <v>0.41725000000000001</v>
      </c>
      <c r="AQ305" s="33">
        <v>0.48</v>
      </c>
      <c r="AR305" s="43">
        <v>9.2749999999999999E-2</v>
      </c>
      <c r="AS305" s="33" t="s">
        <v>107</v>
      </c>
      <c r="AT305" s="43" t="s">
        <v>107</v>
      </c>
      <c r="AU305" s="42">
        <v>1</v>
      </c>
      <c r="AV305" s="18">
        <v>0</v>
      </c>
      <c r="AW305">
        <v>0.48</v>
      </c>
      <c r="AX305" s="40">
        <v>0.52</v>
      </c>
      <c r="AY305" t="s">
        <v>107</v>
      </c>
      <c r="AZ305" s="40" t="s">
        <v>107</v>
      </c>
      <c r="BB305" s="18"/>
      <c r="BC305">
        <v>0</v>
      </c>
      <c r="BD305" s="18">
        <v>1</v>
      </c>
      <c r="BE305" s="18" t="s">
        <v>5</v>
      </c>
      <c r="BL305" s="18"/>
      <c r="BO305" s="18"/>
      <c r="BR305" s="25">
        <v>44.274999999999999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 s="18">
        <v>1</v>
      </c>
      <c r="CA305">
        <v>0</v>
      </c>
      <c r="CB305">
        <v>1</v>
      </c>
      <c r="CC305">
        <v>0</v>
      </c>
      <c r="CD305" s="18">
        <v>0</v>
      </c>
      <c r="CE305">
        <v>1</v>
      </c>
      <c r="CF305">
        <v>0</v>
      </c>
      <c r="CG305">
        <v>0</v>
      </c>
      <c r="CH305">
        <v>0</v>
      </c>
      <c r="CI305" s="18">
        <v>1</v>
      </c>
      <c r="CJ305">
        <v>1</v>
      </c>
      <c r="CK305">
        <v>1</v>
      </c>
      <c r="CL305">
        <v>0</v>
      </c>
      <c r="CM305">
        <v>0</v>
      </c>
      <c r="CN305">
        <v>0</v>
      </c>
      <c r="CO305">
        <v>1</v>
      </c>
      <c r="CP305">
        <v>1</v>
      </c>
      <c r="CQ305">
        <v>0</v>
      </c>
      <c r="CR305">
        <v>0</v>
      </c>
      <c r="CS305">
        <v>0</v>
      </c>
      <c r="CT305" s="18">
        <v>1</v>
      </c>
      <c r="CZ305" s="34" t="s">
        <v>87</v>
      </c>
    </row>
    <row r="306" spans="1:104" x14ac:dyDescent="0.25">
      <c r="A306">
        <v>305</v>
      </c>
      <c r="B306">
        <v>19</v>
      </c>
      <c r="C306" s="25" t="s">
        <v>226</v>
      </c>
      <c r="D306" s="12">
        <v>8</v>
      </c>
      <c r="E306" s="14">
        <v>1.7</v>
      </c>
      <c r="F306" s="7">
        <f t="shared" si="219"/>
        <v>4.7058823529411766</v>
      </c>
      <c r="G306" s="7">
        <f t="shared" si="213"/>
        <v>6.3</v>
      </c>
      <c r="H306" s="16">
        <f t="shared" si="214"/>
        <v>9.6999999999999993</v>
      </c>
      <c r="I306" s="11">
        <f t="shared" si="198"/>
        <v>7.8364515553668732E-2</v>
      </c>
      <c r="J306" s="33">
        <f t="shared" si="199"/>
        <v>1.6652459555154608E-2</v>
      </c>
      <c r="K306" s="33">
        <f t="shared" si="215"/>
        <v>60.051189236514894</v>
      </c>
      <c r="L306" s="33">
        <f t="shared" si="216"/>
        <v>6.171205599851412E-2</v>
      </c>
      <c r="M306" s="33">
        <f t="shared" si="217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195"/>
        <v>3584</v>
      </c>
      <c r="Y306" s="7">
        <v>10.967499999999999</v>
      </c>
      <c r="Z306" s="7">
        <f t="shared" si="218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9">
        <v>0</v>
      </c>
      <c r="AL306" s="30">
        <v>0</v>
      </c>
      <c r="AM306" s="21">
        <v>2001</v>
      </c>
      <c r="AN306" s="23"/>
      <c r="AO306" s="33">
        <v>0.01</v>
      </c>
      <c r="AP306" s="33">
        <v>0.41725000000000001</v>
      </c>
      <c r="AQ306" s="33">
        <v>0.48</v>
      </c>
      <c r="AR306" s="43">
        <v>9.2749999999999999E-2</v>
      </c>
      <c r="AS306" s="33" t="s">
        <v>107</v>
      </c>
      <c r="AT306" s="43" t="s">
        <v>107</v>
      </c>
      <c r="AU306" s="42">
        <v>1</v>
      </c>
      <c r="AV306" s="18">
        <v>0</v>
      </c>
      <c r="AW306">
        <v>0.48</v>
      </c>
      <c r="AX306" s="40">
        <v>0.52</v>
      </c>
      <c r="AY306" t="s">
        <v>107</v>
      </c>
      <c r="AZ306" s="40" t="s">
        <v>107</v>
      </c>
      <c r="BB306" s="18"/>
      <c r="BC306">
        <v>0</v>
      </c>
      <c r="BD306" s="18">
        <v>1</v>
      </c>
      <c r="BE306" s="18" t="s">
        <v>5</v>
      </c>
      <c r="BL306" s="18"/>
      <c r="BO306" s="18"/>
      <c r="BR306" s="25">
        <v>44.274999999999999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 s="18">
        <v>1</v>
      </c>
      <c r="CA306">
        <v>0</v>
      </c>
      <c r="CB306">
        <v>1</v>
      </c>
      <c r="CC306">
        <v>0</v>
      </c>
      <c r="CD306" s="18">
        <v>0</v>
      </c>
      <c r="CE306">
        <v>1</v>
      </c>
      <c r="CF306">
        <v>0</v>
      </c>
      <c r="CG306">
        <v>0</v>
      </c>
      <c r="CH306">
        <v>0</v>
      </c>
      <c r="CI306" s="18">
        <v>1</v>
      </c>
      <c r="CJ306">
        <v>1</v>
      </c>
      <c r="CK306">
        <v>1</v>
      </c>
      <c r="CL306">
        <v>0</v>
      </c>
      <c r="CM306">
        <v>0</v>
      </c>
      <c r="CN306">
        <v>0</v>
      </c>
      <c r="CO306">
        <v>1</v>
      </c>
      <c r="CP306">
        <v>1</v>
      </c>
      <c r="CQ306">
        <v>0</v>
      </c>
      <c r="CR306">
        <v>0</v>
      </c>
      <c r="CS306">
        <v>0</v>
      </c>
      <c r="CT306" s="18">
        <v>1</v>
      </c>
      <c r="CZ306" s="34" t="s">
        <v>87</v>
      </c>
    </row>
    <row r="307" spans="1:104" x14ac:dyDescent="0.25">
      <c r="A307">
        <v>306</v>
      </c>
      <c r="B307">
        <v>19</v>
      </c>
      <c r="C307" s="25" t="s">
        <v>226</v>
      </c>
      <c r="D307" s="12">
        <v>11.9</v>
      </c>
      <c r="E307" s="14">
        <v>0.7</v>
      </c>
      <c r="F307" s="7">
        <f t="shared" si="219"/>
        <v>17</v>
      </c>
      <c r="G307" s="7">
        <f t="shared" si="213"/>
        <v>11.200000000000001</v>
      </c>
      <c r="H307" s="16">
        <f t="shared" si="214"/>
        <v>12.6</v>
      </c>
      <c r="I307" s="11">
        <f t="shared" si="198"/>
        <v>0.27246248890491698</v>
      </c>
      <c r="J307" s="33">
        <f t="shared" si="199"/>
        <v>1.6027205229700997E-2</v>
      </c>
      <c r="K307" s="33">
        <f t="shared" si="215"/>
        <v>62.393909959225994</v>
      </c>
      <c r="L307" s="33">
        <f t="shared" si="216"/>
        <v>0.25643528367521595</v>
      </c>
      <c r="M307" s="33">
        <f t="shared" si="217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195"/>
        <v>3604</v>
      </c>
      <c r="Y307" s="7">
        <v>17</v>
      </c>
      <c r="Z307" s="7">
        <f t="shared" si="218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9">
        <v>0</v>
      </c>
      <c r="AL307" s="30">
        <v>0</v>
      </c>
      <c r="AM307" s="21">
        <v>2001</v>
      </c>
      <c r="AN307" s="23"/>
      <c r="AO307" s="33">
        <v>0.01</v>
      </c>
      <c r="AP307" s="33">
        <v>0.41725000000000001</v>
      </c>
      <c r="AQ307" s="33">
        <v>0.48</v>
      </c>
      <c r="AR307" s="43">
        <v>9.2749999999999999E-2</v>
      </c>
      <c r="AS307" s="33" t="s">
        <v>107</v>
      </c>
      <c r="AT307" s="43" t="s">
        <v>107</v>
      </c>
      <c r="AU307" s="42">
        <v>1</v>
      </c>
      <c r="AV307" s="18">
        <v>0</v>
      </c>
      <c r="AW307">
        <v>0.48</v>
      </c>
      <c r="AX307" s="40">
        <v>0.52</v>
      </c>
      <c r="AY307" t="s">
        <v>107</v>
      </c>
      <c r="AZ307" s="40" t="s">
        <v>107</v>
      </c>
      <c r="BB307" s="18"/>
      <c r="BC307">
        <v>0</v>
      </c>
      <c r="BD307" s="18">
        <v>1</v>
      </c>
      <c r="BE307" s="18" t="s">
        <v>5</v>
      </c>
      <c r="BL307" s="18"/>
      <c r="BO307" s="18"/>
      <c r="BR307" s="25">
        <v>44.274999999999999</v>
      </c>
      <c r="BS307">
        <v>1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 s="18">
        <v>0</v>
      </c>
      <c r="CA307">
        <v>0</v>
      </c>
      <c r="CB307">
        <v>1</v>
      </c>
      <c r="CC307">
        <v>0</v>
      </c>
      <c r="CD307" s="18">
        <v>0</v>
      </c>
      <c r="CE307">
        <v>1</v>
      </c>
      <c r="CF307">
        <v>0</v>
      </c>
      <c r="CG307">
        <v>0</v>
      </c>
      <c r="CH307">
        <v>0</v>
      </c>
      <c r="CI307" s="18">
        <v>1</v>
      </c>
      <c r="CJ307">
        <v>1</v>
      </c>
      <c r="CK307">
        <v>1</v>
      </c>
      <c r="CL307">
        <v>0</v>
      </c>
      <c r="CM307">
        <v>0</v>
      </c>
      <c r="CN307">
        <v>0</v>
      </c>
      <c r="CO307">
        <v>1</v>
      </c>
      <c r="CP307">
        <v>1</v>
      </c>
      <c r="CQ307">
        <v>0</v>
      </c>
      <c r="CR307">
        <v>0</v>
      </c>
      <c r="CS307">
        <v>0</v>
      </c>
      <c r="CT307" s="18">
        <v>1</v>
      </c>
      <c r="CZ307" s="34" t="s">
        <v>87</v>
      </c>
    </row>
    <row r="308" spans="1:104" x14ac:dyDescent="0.25">
      <c r="A308">
        <v>307</v>
      </c>
      <c r="B308">
        <v>19</v>
      </c>
      <c r="C308" s="25" t="s">
        <v>226</v>
      </c>
      <c r="D308" s="12">
        <v>5.3</v>
      </c>
      <c r="E308" s="14">
        <v>0.8</v>
      </c>
      <c r="F308" s="7">
        <f t="shared" si="219"/>
        <v>6.6249999999999991</v>
      </c>
      <c r="G308" s="7">
        <f t="shared" si="213"/>
        <v>4.5</v>
      </c>
      <c r="H308" s="16">
        <f t="shared" si="214"/>
        <v>6.1</v>
      </c>
      <c r="I308" s="11">
        <f t="shared" si="198"/>
        <v>0.10968948019675485</v>
      </c>
      <c r="J308" s="33">
        <f t="shared" si="199"/>
        <v>1.6556902671208282E-2</v>
      </c>
      <c r="K308" s="33">
        <f t="shared" si="215"/>
        <v>60.397770033338155</v>
      </c>
      <c r="L308" s="33">
        <f t="shared" si="216"/>
        <v>9.3132577525546573E-2</v>
      </c>
      <c r="M308" s="33">
        <f t="shared" si="217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195"/>
        <v>3604</v>
      </c>
      <c r="Y308" s="7">
        <v>7</v>
      </c>
      <c r="Z308" s="7">
        <f t="shared" si="218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9">
        <v>0</v>
      </c>
      <c r="AL308" s="30">
        <v>0</v>
      </c>
      <c r="AM308" s="21">
        <v>2001</v>
      </c>
      <c r="AN308" s="23"/>
      <c r="AO308" s="33">
        <v>0.01</v>
      </c>
      <c r="AP308" s="33">
        <v>0.41725000000000001</v>
      </c>
      <c r="AQ308" s="33">
        <v>0.48</v>
      </c>
      <c r="AR308" s="43">
        <v>9.2749999999999999E-2</v>
      </c>
      <c r="AS308" s="33" t="s">
        <v>107</v>
      </c>
      <c r="AT308" s="43" t="s">
        <v>107</v>
      </c>
      <c r="AU308" s="42">
        <v>1</v>
      </c>
      <c r="AV308" s="18">
        <v>0</v>
      </c>
      <c r="AW308">
        <v>0.48</v>
      </c>
      <c r="AX308" s="40">
        <v>0.52</v>
      </c>
      <c r="AY308" t="s">
        <v>107</v>
      </c>
      <c r="AZ308" s="40" t="s">
        <v>107</v>
      </c>
      <c r="BB308" s="18"/>
      <c r="BC308">
        <v>0</v>
      </c>
      <c r="BD308" s="18">
        <v>1</v>
      </c>
      <c r="BE308" s="18" t="s">
        <v>5</v>
      </c>
      <c r="BL308" s="18"/>
      <c r="BO308" s="18"/>
      <c r="BR308" s="25">
        <v>44.274999999999999</v>
      </c>
      <c r="BS308">
        <v>1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 s="18">
        <v>0</v>
      </c>
      <c r="CA308">
        <v>0</v>
      </c>
      <c r="CB308">
        <v>1</v>
      </c>
      <c r="CC308">
        <v>0</v>
      </c>
      <c r="CD308" s="18">
        <v>0</v>
      </c>
      <c r="CE308">
        <v>1</v>
      </c>
      <c r="CF308">
        <v>0</v>
      </c>
      <c r="CG308">
        <v>0</v>
      </c>
      <c r="CH308">
        <v>0</v>
      </c>
      <c r="CI308" s="18">
        <v>1</v>
      </c>
      <c r="CJ308">
        <v>1</v>
      </c>
      <c r="CK308">
        <v>1</v>
      </c>
      <c r="CL308">
        <v>0</v>
      </c>
      <c r="CM308">
        <v>0</v>
      </c>
      <c r="CN308">
        <v>0</v>
      </c>
      <c r="CO308">
        <v>1</v>
      </c>
      <c r="CP308">
        <v>1</v>
      </c>
      <c r="CQ308">
        <v>0</v>
      </c>
      <c r="CR308">
        <v>0</v>
      </c>
      <c r="CS308">
        <v>0</v>
      </c>
      <c r="CT308" s="18">
        <v>1</v>
      </c>
      <c r="CZ308" s="34" t="s">
        <v>87</v>
      </c>
    </row>
    <row r="309" spans="1:104" x14ac:dyDescent="0.25">
      <c r="A309">
        <v>308</v>
      </c>
      <c r="B309">
        <v>19</v>
      </c>
      <c r="C309" s="25" t="s">
        <v>226</v>
      </c>
      <c r="D309" s="12">
        <v>9.9</v>
      </c>
      <c r="E309" s="14">
        <v>3.9</v>
      </c>
      <c r="F309" s="7">
        <f t="shared" si="219"/>
        <v>2.5384615384615388</v>
      </c>
      <c r="G309" s="7">
        <f t="shared" si="213"/>
        <v>6</v>
      </c>
      <c r="H309" s="16">
        <f t="shared" si="214"/>
        <v>13.8</v>
      </c>
      <c r="I309" s="11">
        <f t="shared" si="198"/>
        <v>4.2246457103995896E-2</v>
      </c>
      <c r="J309" s="33">
        <f t="shared" si="199"/>
        <v>1.6642543707634745E-2</v>
      </c>
      <c r="K309" s="33">
        <f t="shared" si="215"/>
        <v>60.086968528810374</v>
      </c>
      <c r="L309" s="33">
        <f t="shared" si="216"/>
        <v>2.5603913396361151E-2</v>
      </c>
      <c r="M309" s="33">
        <f t="shared" si="217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195"/>
        <v>3604</v>
      </c>
      <c r="Y309" s="7">
        <v>17</v>
      </c>
      <c r="Z309" s="7">
        <f t="shared" si="218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9">
        <v>0</v>
      </c>
      <c r="AL309" s="30">
        <v>0</v>
      </c>
      <c r="AM309" s="21">
        <v>2001</v>
      </c>
      <c r="AN309" s="23"/>
      <c r="AO309" s="33">
        <v>0.01</v>
      </c>
      <c r="AP309" s="33">
        <v>0.41725000000000001</v>
      </c>
      <c r="AQ309" s="33">
        <v>0.48</v>
      </c>
      <c r="AR309" s="43">
        <v>9.2749999999999999E-2</v>
      </c>
      <c r="AS309" s="33" t="s">
        <v>107</v>
      </c>
      <c r="AT309" s="43" t="s">
        <v>107</v>
      </c>
      <c r="AU309" s="42">
        <v>1</v>
      </c>
      <c r="AV309" s="18">
        <v>0</v>
      </c>
      <c r="AW309">
        <v>0.48</v>
      </c>
      <c r="AX309" s="40">
        <v>0.52</v>
      </c>
      <c r="AY309" t="s">
        <v>107</v>
      </c>
      <c r="AZ309" s="40" t="s">
        <v>107</v>
      </c>
      <c r="BB309" s="18"/>
      <c r="BC309">
        <v>0</v>
      </c>
      <c r="BD309" s="18">
        <v>1</v>
      </c>
      <c r="BE309" s="18" t="s">
        <v>5</v>
      </c>
      <c r="BL309" s="18"/>
      <c r="BO309" s="18"/>
      <c r="BR309" s="25">
        <v>44.274999999999999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 s="18">
        <v>1</v>
      </c>
      <c r="CA309">
        <v>0</v>
      </c>
      <c r="CB309">
        <v>1</v>
      </c>
      <c r="CC309">
        <v>0</v>
      </c>
      <c r="CD309" s="18">
        <v>0</v>
      </c>
      <c r="CE309">
        <v>1</v>
      </c>
      <c r="CF309">
        <v>0</v>
      </c>
      <c r="CG309">
        <v>0</v>
      </c>
      <c r="CH309">
        <v>0</v>
      </c>
      <c r="CI309" s="18">
        <v>1</v>
      </c>
      <c r="CJ309">
        <v>1</v>
      </c>
      <c r="CK309">
        <v>1</v>
      </c>
      <c r="CL309">
        <v>0</v>
      </c>
      <c r="CM309">
        <v>0</v>
      </c>
      <c r="CN309">
        <v>0</v>
      </c>
      <c r="CO309">
        <v>1</v>
      </c>
      <c r="CP309">
        <v>1</v>
      </c>
      <c r="CQ309">
        <v>0</v>
      </c>
      <c r="CR309">
        <v>0</v>
      </c>
      <c r="CS309">
        <v>0</v>
      </c>
      <c r="CT309" s="18">
        <v>1</v>
      </c>
      <c r="CZ309" s="34" t="s">
        <v>87</v>
      </c>
    </row>
    <row r="310" spans="1:104" x14ac:dyDescent="0.25">
      <c r="A310">
        <v>309</v>
      </c>
      <c r="B310">
        <v>19</v>
      </c>
      <c r="C310" s="25" t="s">
        <v>226</v>
      </c>
      <c r="D310" s="12">
        <v>7</v>
      </c>
      <c r="E310" s="14">
        <v>2.7</v>
      </c>
      <c r="F310" s="7">
        <f t="shared" si="219"/>
        <v>2.5925925925925926</v>
      </c>
      <c r="G310" s="7">
        <f t="shared" si="213"/>
        <v>4.3</v>
      </c>
      <c r="H310" s="16">
        <f t="shared" si="214"/>
        <v>9.6999999999999993</v>
      </c>
      <c r="I310" s="11">
        <f t="shared" si="198"/>
        <v>4.3145675984180239E-2</v>
      </c>
      <c r="J310" s="33">
        <f t="shared" si="199"/>
        <v>1.664190359389809E-2</v>
      </c>
      <c r="K310" s="33">
        <f t="shared" si="215"/>
        <v>60.08927971236772</v>
      </c>
      <c r="L310" s="33">
        <f t="shared" si="216"/>
        <v>2.6503772390282149E-2</v>
      </c>
      <c r="M310" s="33">
        <f t="shared" si="217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195"/>
        <v>3604</v>
      </c>
      <c r="Y310" s="7">
        <v>7</v>
      </c>
      <c r="Z310" s="7">
        <f t="shared" si="218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9">
        <v>0</v>
      </c>
      <c r="AL310" s="30">
        <v>0</v>
      </c>
      <c r="AM310" s="21">
        <v>2001</v>
      </c>
      <c r="AN310" s="23"/>
      <c r="AO310" s="33">
        <v>0.01</v>
      </c>
      <c r="AP310" s="33">
        <v>0.41725000000000001</v>
      </c>
      <c r="AQ310" s="33">
        <v>0.48</v>
      </c>
      <c r="AR310" s="43">
        <v>9.2749999999999999E-2</v>
      </c>
      <c r="AS310" s="33" t="s">
        <v>107</v>
      </c>
      <c r="AT310" s="43" t="s">
        <v>107</v>
      </c>
      <c r="AU310" s="42">
        <v>1</v>
      </c>
      <c r="AV310" s="18">
        <v>0</v>
      </c>
      <c r="AW310">
        <v>0.48</v>
      </c>
      <c r="AX310" s="40">
        <v>0.52</v>
      </c>
      <c r="AY310" t="s">
        <v>107</v>
      </c>
      <c r="AZ310" s="40" t="s">
        <v>107</v>
      </c>
      <c r="BB310" s="18"/>
      <c r="BC310">
        <v>0</v>
      </c>
      <c r="BD310" s="18">
        <v>1</v>
      </c>
      <c r="BE310" s="18" t="s">
        <v>5</v>
      </c>
      <c r="BL310" s="18"/>
      <c r="BO310" s="18"/>
      <c r="BR310" s="25">
        <v>44.274999999999999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 s="18">
        <v>1</v>
      </c>
      <c r="CA310">
        <v>0</v>
      </c>
      <c r="CB310">
        <v>1</v>
      </c>
      <c r="CC310">
        <v>0</v>
      </c>
      <c r="CD310" s="18">
        <v>0</v>
      </c>
      <c r="CE310">
        <v>1</v>
      </c>
      <c r="CF310">
        <v>0</v>
      </c>
      <c r="CG310">
        <v>0</v>
      </c>
      <c r="CH310">
        <v>0</v>
      </c>
      <c r="CI310" s="18">
        <v>1</v>
      </c>
      <c r="CJ310">
        <v>1</v>
      </c>
      <c r="CK310">
        <v>1</v>
      </c>
      <c r="CL310">
        <v>0</v>
      </c>
      <c r="CM310">
        <v>0</v>
      </c>
      <c r="CN310">
        <v>0</v>
      </c>
      <c r="CO310">
        <v>1</v>
      </c>
      <c r="CP310">
        <v>1</v>
      </c>
      <c r="CQ310">
        <v>0</v>
      </c>
      <c r="CR310">
        <v>0</v>
      </c>
      <c r="CS310">
        <v>0</v>
      </c>
      <c r="CT310" s="18">
        <v>1</v>
      </c>
      <c r="CZ310" s="34" t="s">
        <v>87</v>
      </c>
    </row>
    <row r="311" spans="1:104" x14ac:dyDescent="0.25">
      <c r="A311">
        <v>310</v>
      </c>
      <c r="B311">
        <v>19</v>
      </c>
      <c r="C311" s="25" t="s">
        <v>226</v>
      </c>
      <c r="D311" s="12">
        <v>9.6</v>
      </c>
      <c r="E311" s="14">
        <v>3.7</v>
      </c>
      <c r="F311" s="7">
        <f t="shared" si="219"/>
        <v>2.5945945945945943</v>
      </c>
      <c r="G311" s="7">
        <f t="shared" si="213"/>
        <v>5.8999999999999995</v>
      </c>
      <c r="H311" s="16">
        <f t="shared" si="214"/>
        <v>13.3</v>
      </c>
      <c r="I311" s="11">
        <f t="shared" si="198"/>
        <v>4.3286961577418265E-2</v>
      </c>
      <c r="J311" s="33">
        <f t="shared" si="199"/>
        <v>1.6683516441296627E-2</v>
      </c>
      <c r="K311" s="33">
        <f t="shared" si="215"/>
        <v>59.93940207501489</v>
      </c>
      <c r="L311" s="33">
        <f t="shared" si="216"/>
        <v>2.6603445136121638E-2</v>
      </c>
      <c r="M311" s="33">
        <f t="shared" si="217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195"/>
        <v>3586</v>
      </c>
      <c r="Y311" s="7">
        <v>17</v>
      </c>
      <c r="Z311" s="7">
        <f t="shared" si="218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9">
        <v>0</v>
      </c>
      <c r="AL311" s="30">
        <v>0</v>
      </c>
      <c r="AM311" s="21">
        <v>2001</v>
      </c>
      <c r="AN311" s="23"/>
      <c r="AO311" s="33">
        <v>0.01</v>
      </c>
      <c r="AP311" s="33">
        <v>0.41725000000000001</v>
      </c>
      <c r="AQ311" s="33">
        <v>0.48</v>
      </c>
      <c r="AR311" s="43">
        <v>9.2749999999999999E-2</v>
      </c>
      <c r="AS311" s="33" t="s">
        <v>107</v>
      </c>
      <c r="AT311" s="43" t="s">
        <v>107</v>
      </c>
      <c r="AU311" s="42">
        <v>1</v>
      </c>
      <c r="AV311" s="18">
        <v>0</v>
      </c>
      <c r="AW311">
        <v>0.48</v>
      </c>
      <c r="AX311" s="40">
        <v>0.52</v>
      </c>
      <c r="AY311" t="s">
        <v>107</v>
      </c>
      <c r="AZ311" s="40" t="s">
        <v>107</v>
      </c>
      <c r="BB311" s="18"/>
      <c r="BC311">
        <v>0</v>
      </c>
      <c r="BD311" s="18">
        <v>1</v>
      </c>
      <c r="BE311" s="18" t="s">
        <v>5</v>
      </c>
      <c r="BL311" s="18"/>
      <c r="BO311" s="18"/>
      <c r="BR311" s="25">
        <v>44.274999999999999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 s="18">
        <v>1</v>
      </c>
      <c r="CA311">
        <v>0</v>
      </c>
      <c r="CB311">
        <v>1</v>
      </c>
      <c r="CC311">
        <v>0</v>
      </c>
      <c r="CD311" s="18">
        <v>0</v>
      </c>
      <c r="CE311">
        <v>1</v>
      </c>
      <c r="CF311">
        <v>0</v>
      </c>
      <c r="CG311">
        <v>0</v>
      </c>
      <c r="CH311">
        <v>0</v>
      </c>
      <c r="CI311" s="18">
        <v>1</v>
      </c>
      <c r="CJ311">
        <v>1</v>
      </c>
      <c r="CK311">
        <v>1</v>
      </c>
      <c r="CL311">
        <v>0</v>
      </c>
      <c r="CM311">
        <v>0</v>
      </c>
      <c r="CN311">
        <v>0</v>
      </c>
      <c r="CO311">
        <v>1</v>
      </c>
      <c r="CP311">
        <v>1</v>
      </c>
      <c r="CQ311">
        <v>0</v>
      </c>
      <c r="CR311">
        <v>0</v>
      </c>
      <c r="CS311">
        <v>0</v>
      </c>
      <c r="CT311" s="18">
        <v>1</v>
      </c>
      <c r="CZ311" s="34" t="s">
        <v>87</v>
      </c>
    </row>
    <row r="312" spans="1:104" x14ac:dyDescent="0.25">
      <c r="A312">
        <v>311</v>
      </c>
      <c r="B312">
        <v>19</v>
      </c>
      <c r="C312" s="25" t="s">
        <v>226</v>
      </c>
      <c r="D312" s="12">
        <v>7.4</v>
      </c>
      <c r="E312" s="14">
        <v>2.7</v>
      </c>
      <c r="F312" s="7">
        <f t="shared" si="219"/>
        <v>2.7407407407407405</v>
      </c>
      <c r="G312" s="7">
        <f t="shared" si="213"/>
        <v>4.7</v>
      </c>
      <c r="H312" s="16">
        <f t="shared" si="214"/>
        <v>10.100000000000001</v>
      </c>
      <c r="I312" s="11">
        <f t="shared" si="198"/>
        <v>4.5720232096191346E-2</v>
      </c>
      <c r="J312" s="33">
        <f t="shared" si="199"/>
        <v>1.6681706305367115E-2</v>
      </c>
      <c r="K312" s="33">
        <f t="shared" si="215"/>
        <v>59.94590611382862</v>
      </c>
      <c r="L312" s="33">
        <f t="shared" si="216"/>
        <v>2.9038525790824232E-2</v>
      </c>
      <c r="M312" s="33">
        <f t="shared" si="217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195"/>
        <v>3586</v>
      </c>
      <c r="Y312" s="7">
        <v>7</v>
      </c>
      <c r="Z312" s="7">
        <f t="shared" si="218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9">
        <v>0</v>
      </c>
      <c r="AL312" s="30">
        <v>0</v>
      </c>
      <c r="AM312" s="21">
        <v>2001</v>
      </c>
      <c r="AN312" s="23"/>
      <c r="AO312" s="33">
        <v>0.01</v>
      </c>
      <c r="AP312" s="33">
        <v>0.41725000000000001</v>
      </c>
      <c r="AQ312" s="33">
        <v>0.48</v>
      </c>
      <c r="AR312" s="43">
        <v>9.2749999999999999E-2</v>
      </c>
      <c r="AS312" s="33" t="s">
        <v>107</v>
      </c>
      <c r="AT312" s="43" t="s">
        <v>107</v>
      </c>
      <c r="AU312" s="42">
        <v>1</v>
      </c>
      <c r="AV312" s="18">
        <v>0</v>
      </c>
      <c r="AW312">
        <v>0.48</v>
      </c>
      <c r="AX312" s="40">
        <v>0.52</v>
      </c>
      <c r="AY312" t="s">
        <v>107</v>
      </c>
      <c r="AZ312" s="40" t="s">
        <v>107</v>
      </c>
      <c r="BB312" s="18"/>
      <c r="BC312">
        <v>0</v>
      </c>
      <c r="BD312" s="18">
        <v>1</v>
      </c>
      <c r="BE312" s="18" t="s">
        <v>5</v>
      </c>
      <c r="BL312" s="18"/>
      <c r="BO312" s="18"/>
      <c r="BR312" s="25">
        <v>44.274999999999999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 s="18">
        <v>1</v>
      </c>
      <c r="CA312">
        <v>0</v>
      </c>
      <c r="CB312">
        <v>1</v>
      </c>
      <c r="CC312">
        <v>0</v>
      </c>
      <c r="CD312" s="18">
        <v>0</v>
      </c>
      <c r="CE312">
        <v>1</v>
      </c>
      <c r="CF312">
        <v>0</v>
      </c>
      <c r="CG312">
        <v>0</v>
      </c>
      <c r="CH312">
        <v>0</v>
      </c>
      <c r="CI312" s="18">
        <v>1</v>
      </c>
      <c r="CJ312">
        <v>1</v>
      </c>
      <c r="CK312">
        <v>1</v>
      </c>
      <c r="CL312">
        <v>0</v>
      </c>
      <c r="CM312">
        <v>0</v>
      </c>
      <c r="CN312">
        <v>0</v>
      </c>
      <c r="CO312">
        <v>1</v>
      </c>
      <c r="CP312">
        <v>1</v>
      </c>
      <c r="CQ312">
        <v>0</v>
      </c>
      <c r="CR312">
        <v>0</v>
      </c>
      <c r="CS312">
        <v>0</v>
      </c>
      <c r="CT312" s="18">
        <v>1</v>
      </c>
      <c r="CZ312" s="34" t="s">
        <v>87</v>
      </c>
    </row>
    <row r="313" spans="1:104" x14ac:dyDescent="0.25">
      <c r="A313">
        <v>312</v>
      </c>
      <c r="B313">
        <v>19</v>
      </c>
      <c r="C313" s="25" t="s">
        <v>226</v>
      </c>
      <c r="D313" s="12">
        <v>9.8000000000000007</v>
      </c>
      <c r="E313" s="14">
        <v>4</v>
      </c>
      <c r="F313" s="7">
        <f t="shared" si="219"/>
        <v>2.4500000000000002</v>
      </c>
      <c r="G313" s="7">
        <f t="shared" si="213"/>
        <v>5.8000000000000007</v>
      </c>
      <c r="H313" s="16">
        <f t="shared" si="214"/>
        <v>13.8</v>
      </c>
      <c r="I313" s="11">
        <f t="shared" si="198"/>
        <v>4.0895846678058546E-2</v>
      </c>
      <c r="J313" s="33">
        <f t="shared" si="199"/>
        <v>1.6692182317574914E-2</v>
      </c>
      <c r="K313" s="33">
        <f t="shared" si="215"/>
        <v>59.90828406823217</v>
      </c>
      <c r="L313" s="33">
        <f t="shared" si="216"/>
        <v>2.4203664360483632E-2</v>
      </c>
      <c r="M313" s="33">
        <f t="shared" si="217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195"/>
        <v>3583</v>
      </c>
      <c r="Y313" s="7">
        <v>17</v>
      </c>
      <c r="Z313" s="7">
        <f t="shared" si="218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9">
        <v>0</v>
      </c>
      <c r="AL313" s="30">
        <v>0</v>
      </c>
      <c r="AM313" s="21">
        <v>2001</v>
      </c>
      <c r="AN313" s="23"/>
      <c r="AO313" s="33">
        <v>0.01</v>
      </c>
      <c r="AP313" s="33">
        <v>0.41725000000000001</v>
      </c>
      <c r="AQ313" s="33">
        <v>0.48</v>
      </c>
      <c r="AR313" s="43">
        <v>9.2749999999999999E-2</v>
      </c>
      <c r="AS313" s="33" t="s">
        <v>107</v>
      </c>
      <c r="AT313" s="43" t="s">
        <v>107</v>
      </c>
      <c r="AU313" s="42">
        <v>1</v>
      </c>
      <c r="AV313" s="18">
        <v>0</v>
      </c>
      <c r="AW313">
        <v>0.48</v>
      </c>
      <c r="AX313" s="40">
        <v>0.52</v>
      </c>
      <c r="AY313" t="s">
        <v>107</v>
      </c>
      <c r="AZ313" s="40" t="s">
        <v>107</v>
      </c>
      <c r="BB313" s="18"/>
      <c r="BC313">
        <v>0</v>
      </c>
      <c r="BD313" s="18">
        <v>1</v>
      </c>
      <c r="BE313" s="18" t="s">
        <v>5</v>
      </c>
      <c r="BL313" s="18"/>
      <c r="BO313" s="18"/>
      <c r="BR313" s="25">
        <v>44.274999999999999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 s="18">
        <v>1</v>
      </c>
      <c r="CA313">
        <v>0</v>
      </c>
      <c r="CB313">
        <v>1</v>
      </c>
      <c r="CC313">
        <v>0</v>
      </c>
      <c r="CD313" s="18">
        <v>0</v>
      </c>
      <c r="CE313">
        <v>1</v>
      </c>
      <c r="CF313">
        <v>0</v>
      </c>
      <c r="CG313">
        <v>0</v>
      </c>
      <c r="CH313">
        <v>0</v>
      </c>
      <c r="CI313" s="18">
        <v>1</v>
      </c>
      <c r="CJ313">
        <v>1</v>
      </c>
      <c r="CK313">
        <v>1</v>
      </c>
      <c r="CL313">
        <v>0</v>
      </c>
      <c r="CM313">
        <v>0</v>
      </c>
      <c r="CN313">
        <v>0</v>
      </c>
      <c r="CO313">
        <v>1</v>
      </c>
      <c r="CP313">
        <v>1</v>
      </c>
      <c r="CQ313">
        <v>0</v>
      </c>
      <c r="CR313">
        <v>0</v>
      </c>
      <c r="CS313">
        <v>0</v>
      </c>
      <c r="CT313" s="18">
        <v>1</v>
      </c>
      <c r="CZ313" s="34" t="s">
        <v>87</v>
      </c>
    </row>
    <row r="314" spans="1:104" s="52" customFormat="1" x14ac:dyDescent="0.25">
      <c r="A314" s="52">
        <v>313</v>
      </c>
      <c r="B314" s="52">
        <v>19</v>
      </c>
      <c r="C314" s="53" t="s">
        <v>226</v>
      </c>
      <c r="D314" s="54">
        <v>7</v>
      </c>
      <c r="E314" s="55">
        <v>2.7</v>
      </c>
      <c r="F314" s="56">
        <f t="shared" si="219"/>
        <v>2.5925925925925926</v>
      </c>
      <c r="G314" s="56">
        <f t="shared" si="213"/>
        <v>4.3</v>
      </c>
      <c r="H314" s="57">
        <f t="shared" si="214"/>
        <v>9.6999999999999993</v>
      </c>
      <c r="I314" s="58">
        <f t="shared" si="198"/>
        <v>4.3271693828277141E-2</v>
      </c>
      <c r="J314" s="59">
        <f t="shared" si="199"/>
        <v>1.6690510476621182E-2</v>
      </c>
      <c r="K314" s="59">
        <f t="shared" si="215"/>
        <v>59.914284910621824</v>
      </c>
      <c r="L314" s="59">
        <f t="shared" si="216"/>
        <v>2.6581183351655959E-2</v>
      </c>
      <c r="M314" s="59">
        <f t="shared" si="217"/>
        <v>5.996220430489832E-2</v>
      </c>
      <c r="N314" s="60">
        <v>1</v>
      </c>
      <c r="O314" s="61">
        <v>0</v>
      </c>
      <c r="P314" s="60">
        <v>1</v>
      </c>
      <c r="Q314" s="61">
        <v>0</v>
      </c>
      <c r="R314" s="61">
        <v>0</v>
      </c>
      <c r="S314" s="61">
        <v>0</v>
      </c>
      <c r="T314" s="61">
        <v>0</v>
      </c>
      <c r="U314" s="60">
        <v>3598</v>
      </c>
      <c r="V314" s="61">
        <v>14</v>
      </c>
      <c r="W314" s="61">
        <f t="shared" si="195"/>
        <v>3583</v>
      </c>
      <c r="X314" s="61"/>
      <c r="Y314" s="56">
        <v>7</v>
      </c>
      <c r="Z314" s="56">
        <f t="shared" si="218"/>
        <v>31.274999999999999</v>
      </c>
      <c r="AA314" s="61">
        <v>1</v>
      </c>
      <c r="AB314" s="61">
        <v>0</v>
      </c>
      <c r="AC314" s="61">
        <v>0</v>
      </c>
      <c r="AD314" s="61">
        <v>1</v>
      </c>
      <c r="AE314" s="61">
        <v>0</v>
      </c>
      <c r="AF314" s="61">
        <v>0</v>
      </c>
      <c r="AG314" s="60">
        <v>0</v>
      </c>
      <c r="AH314" s="61">
        <v>1</v>
      </c>
      <c r="AI314" s="62">
        <v>0</v>
      </c>
      <c r="AJ314" s="61">
        <v>1</v>
      </c>
      <c r="AK314" s="61">
        <v>0</v>
      </c>
      <c r="AL314" s="62">
        <v>0</v>
      </c>
      <c r="AM314" s="63">
        <v>2001</v>
      </c>
      <c r="AN314" s="64"/>
      <c r="AO314" s="59">
        <v>0.01</v>
      </c>
      <c r="AP314" s="59">
        <v>0.41725000000000001</v>
      </c>
      <c r="AQ314" s="59">
        <v>0.48</v>
      </c>
      <c r="AR314" s="65">
        <v>9.2749999999999999E-2</v>
      </c>
      <c r="AS314" s="59" t="s">
        <v>107</v>
      </c>
      <c r="AT314" s="65" t="s">
        <v>107</v>
      </c>
      <c r="AU314" s="66">
        <v>1</v>
      </c>
      <c r="AV314" s="67">
        <v>0</v>
      </c>
      <c r="AW314" s="52">
        <v>0.48</v>
      </c>
      <c r="AX314" s="68">
        <v>0.52</v>
      </c>
      <c r="AY314" s="52" t="s">
        <v>107</v>
      </c>
      <c r="AZ314" s="68" t="s">
        <v>107</v>
      </c>
      <c r="BB314" s="67"/>
      <c r="BC314" s="52">
        <v>0</v>
      </c>
      <c r="BD314" s="67">
        <v>1</v>
      </c>
      <c r="BE314" s="67" t="s">
        <v>5</v>
      </c>
      <c r="BL314" s="67"/>
      <c r="BO314" s="67"/>
      <c r="BR314" s="53">
        <v>44.274999999999999</v>
      </c>
      <c r="BS314" s="52">
        <v>0</v>
      </c>
      <c r="BT314" s="52">
        <v>0</v>
      </c>
      <c r="BU314" s="52">
        <v>0</v>
      </c>
      <c r="BV314" s="52">
        <v>0</v>
      </c>
      <c r="BW314" s="52">
        <v>0</v>
      </c>
      <c r="BX314" s="52">
        <v>0</v>
      </c>
      <c r="BY314" s="52">
        <v>0</v>
      </c>
      <c r="BZ314" s="67">
        <v>1</v>
      </c>
      <c r="CA314" s="52">
        <v>0</v>
      </c>
      <c r="CB314" s="52">
        <v>1</v>
      </c>
      <c r="CC314" s="52">
        <v>0</v>
      </c>
      <c r="CD314" s="67">
        <v>0</v>
      </c>
      <c r="CE314" s="52">
        <v>1</v>
      </c>
      <c r="CF314" s="52">
        <v>0</v>
      </c>
      <c r="CG314" s="52">
        <v>0</v>
      </c>
      <c r="CH314" s="52">
        <v>0</v>
      </c>
      <c r="CI314" s="67">
        <v>1</v>
      </c>
      <c r="CJ314" s="52">
        <v>1</v>
      </c>
      <c r="CK314" s="52">
        <v>1</v>
      </c>
      <c r="CL314" s="52">
        <v>0</v>
      </c>
      <c r="CM314" s="52">
        <v>0</v>
      </c>
      <c r="CN314" s="52">
        <v>0</v>
      </c>
      <c r="CO314" s="52">
        <v>1</v>
      </c>
      <c r="CP314" s="52">
        <v>1</v>
      </c>
      <c r="CQ314" s="52">
        <v>0</v>
      </c>
      <c r="CR314" s="52">
        <v>0</v>
      </c>
      <c r="CS314" s="52">
        <v>0</v>
      </c>
      <c r="CT314" s="67">
        <v>1</v>
      </c>
      <c r="CY314" s="53"/>
      <c r="CZ314" s="69" t="s">
        <v>87</v>
      </c>
    </row>
    <row r="315" spans="1:104" x14ac:dyDescent="0.25">
      <c r="A315">
        <v>314</v>
      </c>
      <c r="B315">
        <v>20</v>
      </c>
      <c r="C315" s="25" t="s">
        <v>232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0">D315-E315</f>
        <v>-9.003281431045167</v>
      </c>
      <c r="H315" s="16">
        <f t="shared" ref="H315:H326" si="221">D315+E315</f>
        <v>12.171773803557898</v>
      </c>
      <c r="I315" s="11">
        <f t="shared" si="198"/>
        <v>2.1486033195640083E-3</v>
      </c>
      <c r="J315" s="33">
        <f t="shared" si="199"/>
        <v>1.4359130027805221E-2</v>
      </c>
      <c r="K315" s="33">
        <f t="shared" ref="K315:K326" si="222">IFERROR(1/J315, "X")</f>
        <v>69.642102137356929</v>
      </c>
      <c r="L315" s="33">
        <f t="shared" ref="L315:L326" si="223">IFERROR(I315-J315, "X")</f>
        <v>-1.2210526708241213E-2</v>
      </c>
      <c r="M315" s="33">
        <f t="shared" ref="M315:M326" si="224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195"/>
        <v>4850</v>
      </c>
      <c r="Y315" s="7">
        <v>6</v>
      </c>
      <c r="Z315" s="7">
        <f t="shared" si="218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9">
        <v>0</v>
      </c>
      <c r="AL315" s="30">
        <v>0</v>
      </c>
      <c r="AM315" s="21">
        <v>2011</v>
      </c>
      <c r="AN315" s="23"/>
      <c r="AO315" s="33">
        <f>1-(AP315+AQ315+AR315)</f>
        <v>0.3972</v>
      </c>
      <c r="AP315" s="33">
        <v>0.26300000000000001</v>
      </c>
      <c r="AQ315" s="33">
        <v>0.2162</v>
      </c>
      <c r="AR315" s="43">
        <v>0.1236</v>
      </c>
      <c r="AS315" s="33" t="s">
        <v>107</v>
      </c>
      <c r="AT315" s="43" t="s">
        <v>107</v>
      </c>
      <c r="AU315" s="42">
        <v>1</v>
      </c>
      <c r="AV315" s="18">
        <v>0</v>
      </c>
      <c r="AW315">
        <v>0.18748699999999999</v>
      </c>
      <c r="AX315" s="40">
        <f>1-AW315</f>
        <v>0.81251300000000004</v>
      </c>
      <c r="AY315">
        <v>0.498</v>
      </c>
      <c r="AZ315" s="40">
        <v>0.502</v>
      </c>
      <c r="BB315" s="18"/>
      <c r="BC315">
        <v>0.32400000000000001</v>
      </c>
      <c r="BD315" s="18">
        <v>0.67600000000000005</v>
      </c>
      <c r="BE315" s="18" t="s">
        <v>19</v>
      </c>
      <c r="BL315" s="18"/>
      <c r="BO315" s="18"/>
      <c r="BR315" s="25">
        <v>49.57</v>
      </c>
      <c r="BS315">
        <v>0</v>
      </c>
      <c r="BT315">
        <v>1</v>
      </c>
      <c r="BU315">
        <v>0</v>
      </c>
      <c r="BV315">
        <v>0</v>
      </c>
      <c r="BW315">
        <v>0</v>
      </c>
      <c r="BX315">
        <v>0</v>
      </c>
      <c r="BY315">
        <v>0</v>
      </c>
      <c r="BZ315" s="18">
        <v>0</v>
      </c>
      <c r="CA315">
        <v>0</v>
      </c>
      <c r="CB315">
        <v>0</v>
      </c>
      <c r="CC315">
        <v>1</v>
      </c>
      <c r="CD315" s="18">
        <v>0</v>
      </c>
      <c r="CE315">
        <v>1</v>
      </c>
      <c r="CF315">
        <v>0</v>
      </c>
      <c r="CG315">
        <v>0</v>
      </c>
      <c r="CH315">
        <v>0</v>
      </c>
      <c r="CI315" s="18">
        <v>0</v>
      </c>
      <c r="CJ315">
        <v>1</v>
      </c>
      <c r="CK315">
        <v>0</v>
      </c>
      <c r="CL315">
        <v>0</v>
      </c>
      <c r="CM315">
        <v>0</v>
      </c>
      <c r="CN315">
        <v>0</v>
      </c>
      <c r="CO315">
        <v>1</v>
      </c>
      <c r="CP315">
        <v>1</v>
      </c>
      <c r="CQ315">
        <v>1</v>
      </c>
      <c r="CR315">
        <v>1</v>
      </c>
      <c r="CS315">
        <v>1</v>
      </c>
      <c r="CT315" s="18">
        <v>1</v>
      </c>
      <c r="CZ315" s="34" t="s">
        <v>87</v>
      </c>
    </row>
    <row r="316" spans="1:104" x14ac:dyDescent="0.25">
      <c r="A316">
        <v>315</v>
      </c>
      <c r="B316">
        <v>20</v>
      </c>
      <c r="C316" s="25" t="s">
        <v>232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0"/>
        <v>-3.9489575596732447</v>
      </c>
      <c r="H316" s="16">
        <f t="shared" si="221"/>
        <v>6.6089302702123938</v>
      </c>
      <c r="I316" s="11">
        <f t="shared" si="198"/>
        <v>3.6176489903127595E-3</v>
      </c>
      <c r="J316" s="33">
        <f t="shared" si="199"/>
        <v>1.4359069210104596E-2</v>
      </c>
      <c r="K316" s="33">
        <f t="shared" si="222"/>
        <v>69.642397105816002</v>
      </c>
      <c r="L316" s="33">
        <f t="shared" si="223"/>
        <v>-1.0741420219791836E-2</v>
      </c>
      <c r="M316" s="33">
        <f t="shared" si="224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195"/>
        <v>4850</v>
      </c>
      <c r="Y316" s="7">
        <v>12</v>
      </c>
      <c r="Z316" s="7">
        <f t="shared" si="218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9">
        <v>0</v>
      </c>
      <c r="AL316" s="30">
        <v>0</v>
      </c>
      <c r="AM316" s="21">
        <v>2011</v>
      </c>
      <c r="AN316" s="23"/>
      <c r="AO316" s="33">
        <f t="shared" ref="AO316:AO330" si="225">1-(AP316+AQ316+AR316)</f>
        <v>0.3972</v>
      </c>
      <c r="AP316" s="33">
        <v>0.26300000000000001</v>
      </c>
      <c r="AQ316" s="33">
        <v>0.2162</v>
      </c>
      <c r="AR316" s="43">
        <v>0.1236</v>
      </c>
      <c r="AS316" s="33" t="s">
        <v>107</v>
      </c>
      <c r="AT316" s="43" t="s">
        <v>107</v>
      </c>
      <c r="AU316" s="42">
        <v>1</v>
      </c>
      <c r="AV316" s="18">
        <v>0</v>
      </c>
      <c r="AW316">
        <v>0.18748699999999999</v>
      </c>
      <c r="AX316" s="40">
        <f t="shared" ref="AX316:AX330" si="226">1-AW316</f>
        <v>0.81251300000000004</v>
      </c>
      <c r="AY316">
        <v>0.498</v>
      </c>
      <c r="AZ316" s="40">
        <v>0.502</v>
      </c>
      <c r="BB316" s="18"/>
      <c r="BC316">
        <v>0.32400000000000001</v>
      </c>
      <c r="BD316" s="18">
        <v>0.67600000000000005</v>
      </c>
      <c r="BE316" s="18" t="s">
        <v>19</v>
      </c>
      <c r="BL316" s="18"/>
      <c r="BO316" s="18"/>
      <c r="BR316" s="25">
        <v>49.57</v>
      </c>
      <c r="BS316">
        <v>0</v>
      </c>
      <c r="BT316">
        <v>1</v>
      </c>
      <c r="BU316">
        <v>0</v>
      </c>
      <c r="BV316">
        <v>0</v>
      </c>
      <c r="BW316">
        <v>0</v>
      </c>
      <c r="BX316">
        <v>0</v>
      </c>
      <c r="BY316">
        <v>0</v>
      </c>
      <c r="BZ316" s="18">
        <v>0</v>
      </c>
      <c r="CA316">
        <v>0</v>
      </c>
      <c r="CB316">
        <v>0</v>
      </c>
      <c r="CC316">
        <v>1</v>
      </c>
      <c r="CD316" s="18">
        <v>0</v>
      </c>
      <c r="CE316">
        <v>1</v>
      </c>
      <c r="CF316">
        <v>0</v>
      </c>
      <c r="CG316">
        <v>0</v>
      </c>
      <c r="CH316">
        <v>0</v>
      </c>
      <c r="CI316" s="18">
        <v>0</v>
      </c>
      <c r="CJ316">
        <v>1</v>
      </c>
      <c r="CK316">
        <v>0</v>
      </c>
      <c r="CL316">
        <v>0</v>
      </c>
      <c r="CM316">
        <v>0</v>
      </c>
      <c r="CN316">
        <v>0</v>
      </c>
      <c r="CO316">
        <v>1</v>
      </c>
      <c r="CP316">
        <v>1</v>
      </c>
      <c r="CQ316">
        <v>1</v>
      </c>
      <c r="CR316">
        <v>1</v>
      </c>
      <c r="CS316">
        <v>1</v>
      </c>
      <c r="CT316" s="18">
        <v>1</v>
      </c>
      <c r="CZ316" s="34" t="s">
        <v>87</v>
      </c>
    </row>
    <row r="317" spans="1:104" x14ac:dyDescent="0.25">
      <c r="A317">
        <v>316</v>
      </c>
      <c r="B317">
        <v>20</v>
      </c>
      <c r="C317" s="25" t="s">
        <v>232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0"/>
        <v>-0.54691683728220886</v>
      </c>
      <c r="H317" s="16">
        <f t="shared" si="221"/>
        <v>6.8022781636974745</v>
      </c>
      <c r="I317" s="11">
        <f t="shared" si="198"/>
        <v>1.2221072658809409E-2</v>
      </c>
      <c r="J317" s="33">
        <f t="shared" si="199"/>
        <v>1.4358090828655861E-2</v>
      </c>
      <c r="K317" s="33">
        <f t="shared" si="222"/>
        <v>69.647142641290515</v>
      </c>
      <c r="L317" s="33">
        <f t="shared" si="223"/>
        <v>-2.1370181698464521E-3</v>
      </c>
      <c r="M317" s="33">
        <f t="shared" si="224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195"/>
        <v>4850</v>
      </c>
      <c r="Y317" s="7">
        <v>16</v>
      </c>
      <c r="Z317" s="7">
        <f t="shared" si="218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9">
        <v>0</v>
      </c>
      <c r="AL317" s="30">
        <v>0</v>
      </c>
      <c r="AM317" s="21">
        <v>2011</v>
      </c>
      <c r="AN317" s="23"/>
      <c r="AO317" s="33">
        <f t="shared" si="225"/>
        <v>0.3972</v>
      </c>
      <c r="AP317" s="33">
        <v>0.26300000000000001</v>
      </c>
      <c r="AQ317" s="33">
        <v>0.2162</v>
      </c>
      <c r="AR317" s="43">
        <v>0.1236</v>
      </c>
      <c r="AS317" s="33" t="s">
        <v>107</v>
      </c>
      <c r="AT317" s="43" t="s">
        <v>107</v>
      </c>
      <c r="AU317" s="42">
        <v>1</v>
      </c>
      <c r="AV317" s="18">
        <v>0</v>
      </c>
      <c r="AW317">
        <v>0.18748699999999999</v>
      </c>
      <c r="AX317" s="40">
        <f t="shared" si="226"/>
        <v>0.81251300000000004</v>
      </c>
      <c r="AY317">
        <v>0.498</v>
      </c>
      <c r="AZ317" s="40">
        <v>0.502</v>
      </c>
      <c r="BB317" s="18"/>
      <c r="BC317">
        <v>0.32400000000000001</v>
      </c>
      <c r="BD317" s="18">
        <v>0.67600000000000005</v>
      </c>
      <c r="BE317" s="18" t="s">
        <v>19</v>
      </c>
      <c r="BL317" s="18"/>
      <c r="BO317" s="18"/>
      <c r="BR317" s="25">
        <v>49.57</v>
      </c>
      <c r="BS317">
        <v>0</v>
      </c>
      <c r="BT317">
        <v>1</v>
      </c>
      <c r="BU317">
        <v>0</v>
      </c>
      <c r="BV317">
        <v>0</v>
      </c>
      <c r="BW317">
        <v>0</v>
      </c>
      <c r="BX317">
        <v>0</v>
      </c>
      <c r="BY317">
        <v>0</v>
      </c>
      <c r="BZ317" s="18">
        <v>0</v>
      </c>
      <c r="CA317">
        <v>0</v>
      </c>
      <c r="CB317">
        <v>0</v>
      </c>
      <c r="CC317">
        <v>1</v>
      </c>
      <c r="CD317" s="18">
        <v>0</v>
      </c>
      <c r="CE317">
        <v>1</v>
      </c>
      <c r="CF317">
        <v>0</v>
      </c>
      <c r="CG317">
        <v>0</v>
      </c>
      <c r="CH317">
        <v>0</v>
      </c>
      <c r="CI317" s="18">
        <v>0</v>
      </c>
      <c r="CJ317">
        <v>1</v>
      </c>
      <c r="CK317">
        <v>0</v>
      </c>
      <c r="CL317">
        <v>0</v>
      </c>
      <c r="CM317">
        <v>0</v>
      </c>
      <c r="CN317">
        <v>0</v>
      </c>
      <c r="CO317">
        <v>1</v>
      </c>
      <c r="CP317">
        <v>1</v>
      </c>
      <c r="CQ317">
        <v>1</v>
      </c>
      <c r="CR317">
        <v>1</v>
      </c>
      <c r="CS317">
        <v>1</v>
      </c>
      <c r="CT317" s="18">
        <v>1</v>
      </c>
      <c r="CZ317" s="34" t="s">
        <v>87</v>
      </c>
    </row>
    <row r="318" spans="1:104" x14ac:dyDescent="0.25">
      <c r="A318">
        <v>317</v>
      </c>
      <c r="B318">
        <v>20</v>
      </c>
      <c r="C318" s="25" t="s">
        <v>232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0"/>
        <v>1.3305480095937967</v>
      </c>
      <c r="H318" s="16">
        <f t="shared" si="221"/>
        <v>7.8040541735445998</v>
      </c>
      <c r="I318" s="11">
        <f t="shared" si="198"/>
        <v>2.0257697105299E-2</v>
      </c>
      <c r="J318" s="33">
        <f t="shared" si="199"/>
        <v>1.4356216554309312E-2</v>
      </c>
      <c r="K318" s="33">
        <f t="shared" si="222"/>
        <v>69.656235416693377</v>
      </c>
      <c r="L318" s="33">
        <f t="shared" si="223"/>
        <v>5.9014805509896885E-3</v>
      </c>
      <c r="M318" s="33">
        <f t="shared" si="224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195"/>
        <v>4850</v>
      </c>
      <c r="Y318" s="7">
        <v>21</v>
      </c>
      <c r="Z318" s="7">
        <f t="shared" si="218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9">
        <v>0</v>
      </c>
      <c r="AL318" s="30">
        <v>0</v>
      </c>
      <c r="AM318" s="21">
        <v>2011</v>
      </c>
      <c r="AN318" s="23"/>
      <c r="AO318" s="33">
        <f t="shared" si="225"/>
        <v>0.3972</v>
      </c>
      <c r="AP318" s="33">
        <v>0.26300000000000001</v>
      </c>
      <c r="AQ318" s="33">
        <v>0.2162</v>
      </c>
      <c r="AR318" s="43">
        <v>0.1236</v>
      </c>
      <c r="AS318" s="33" t="s">
        <v>107</v>
      </c>
      <c r="AT318" s="43" t="s">
        <v>107</v>
      </c>
      <c r="AU318" s="42">
        <v>1</v>
      </c>
      <c r="AV318" s="18">
        <v>0</v>
      </c>
      <c r="AW318">
        <v>0.18748699999999999</v>
      </c>
      <c r="AX318" s="40">
        <f t="shared" si="226"/>
        <v>0.81251300000000004</v>
      </c>
      <c r="AY318">
        <v>0.498</v>
      </c>
      <c r="AZ318" s="40">
        <v>0.502</v>
      </c>
      <c r="BB318" s="18"/>
      <c r="BC318">
        <v>0.32400000000000001</v>
      </c>
      <c r="BD318" s="18">
        <v>0.67600000000000005</v>
      </c>
      <c r="BE318" s="18" t="s">
        <v>19</v>
      </c>
      <c r="BL318" s="18"/>
      <c r="BO318" s="18"/>
      <c r="BR318" s="25">
        <v>49.57</v>
      </c>
      <c r="BS318">
        <v>0</v>
      </c>
      <c r="BT318">
        <v>1</v>
      </c>
      <c r="BU318">
        <v>0</v>
      </c>
      <c r="BV318">
        <v>0</v>
      </c>
      <c r="BW318">
        <v>0</v>
      </c>
      <c r="BX318">
        <v>0</v>
      </c>
      <c r="BY318">
        <v>0</v>
      </c>
      <c r="BZ318" s="18">
        <v>0</v>
      </c>
      <c r="CA318">
        <v>0</v>
      </c>
      <c r="CB318">
        <v>0</v>
      </c>
      <c r="CC318">
        <v>1</v>
      </c>
      <c r="CD318" s="18">
        <v>0</v>
      </c>
      <c r="CE318">
        <v>1</v>
      </c>
      <c r="CF318">
        <v>0</v>
      </c>
      <c r="CG318">
        <v>0</v>
      </c>
      <c r="CH318">
        <v>0</v>
      </c>
      <c r="CI318" s="18">
        <v>0</v>
      </c>
      <c r="CJ318">
        <v>1</v>
      </c>
      <c r="CK318">
        <v>0</v>
      </c>
      <c r="CL318">
        <v>0</v>
      </c>
      <c r="CM318">
        <v>0</v>
      </c>
      <c r="CN318">
        <v>0</v>
      </c>
      <c r="CO318">
        <v>1</v>
      </c>
      <c r="CP318">
        <v>1</v>
      </c>
      <c r="CQ318">
        <v>1</v>
      </c>
      <c r="CR318">
        <v>1</v>
      </c>
      <c r="CS318">
        <v>1</v>
      </c>
      <c r="CT318" s="18">
        <v>1</v>
      </c>
      <c r="CZ318" s="34" t="s">
        <v>87</v>
      </c>
    </row>
    <row r="319" spans="1:104" x14ac:dyDescent="0.25">
      <c r="A319">
        <v>318</v>
      </c>
      <c r="B319">
        <v>20</v>
      </c>
      <c r="C319" s="25" t="s">
        <v>232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0"/>
        <v>-1.9030389131631287</v>
      </c>
      <c r="H319" s="16">
        <f t="shared" si="221"/>
        <v>4.2246155941696939</v>
      </c>
      <c r="I319" s="11">
        <f t="shared" si="198"/>
        <v>5.4401574114529179E-3</v>
      </c>
      <c r="J319" s="33">
        <f t="shared" si="199"/>
        <v>1.4358950688820801E-2</v>
      </c>
      <c r="K319" s="33">
        <f t="shared" si="222"/>
        <v>69.642971946310297</v>
      </c>
      <c r="L319" s="33">
        <f t="shared" si="223"/>
        <v>-8.9187932773678834E-3</v>
      </c>
      <c r="M319" s="33">
        <f t="shared" si="224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195"/>
        <v>4850</v>
      </c>
      <c r="Y319" s="7">
        <v>6</v>
      </c>
      <c r="Z319" s="7">
        <f t="shared" si="218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9">
        <v>0</v>
      </c>
      <c r="AL319" s="30">
        <v>0</v>
      </c>
      <c r="AM319" s="21">
        <v>2011</v>
      </c>
      <c r="AN319" s="23"/>
      <c r="AO319" s="33">
        <f t="shared" si="225"/>
        <v>0.3972</v>
      </c>
      <c r="AP319" s="33">
        <v>0.26300000000000001</v>
      </c>
      <c r="AQ319" s="33">
        <v>0.2162</v>
      </c>
      <c r="AR319" s="43">
        <v>0.1236</v>
      </c>
      <c r="AS319" s="33" t="s">
        <v>107</v>
      </c>
      <c r="AT319" s="43" t="s">
        <v>107</v>
      </c>
      <c r="AU319" s="42">
        <v>1</v>
      </c>
      <c r="AV319" s="18">
        <v>0</v>
      </c>
      <c r="AW319">
        <v>0.18748699999999999</v>
      </c>
      <c r="AX319" s="40">
        <f t="shared" si="226"/>
        <v>0.81251300000000004</v>
      </c>
      <c r="AY319">
        <v>0.498</v>
      </c>
      <c r="AZ319" s="40">
        <v>0.502</v>
      </c>
      <c r="BB319" s="18"/>
      <c r="BC319">
        <v>0.32400000000000001</v>
      </c>
      <c r="BD319" s="18">
        <v>0.67600000000000005</v>
      </c>
      <c r="BE319" s="18" t="s">
        <v>19</v>
      </c>
      <c r="BL319" s="18"/>
      <c r="BO319" s="18"/>
      <c r="BR319" s="25">
        <v>49.57</v>
      </c>
      <c r="BS319">
        <v>0</v>
      </c>
      <c r="BT319">
        <v>1</v>
      </c>
      <c r="BU319">
        <v>0</v>
      </c>
      <c r="BV319">
        <v>0</v>
      </c>
      <c r="BW319">
        <v>0</v>
      </c>
      <c r="BX319">
        <v>0</v>
      </c>
      <c r="BY319">
        <v>0</v>
      </c>
      <c r="BZ319" s="18">
        <v>0</v>
      </c>
      <c r="CA319">
        <v>0</v>
      </c>
      <c r="CB319">
        <v>0</v>
      </c>
      <c r="CC319">
        <v>1</v>
      </c>
      <c r="CD319" s="18">
        <v>0</v>
      </c>
      <c r="CE319">
        <v>1</v>
      </c>
      <c r="CF319">
        <v>0</v>
      </c>
      <c r="CG319">
        <v>0</v>
      </c>
      <c r="CH319">
        <v>0</v>
      </c>
      <c r="CI319" s="18">
        <v>0</v>
      </c>
      <c r="CJ319">
        <v>1</v>
      </c>
      <c r="CK319">
        <v>0</v>
      </c>
      <c r="CL319">
        <v>0</v>
      </c>
      <c r="CM319">
        <v>0</v>
      </c>
      <c r="CN319">
        <v>0</v>
      </c>
      <c r="CO319">
        <v>1</v>
      </c>
      <c r="CP319">
        <v>1</v>
      </c>
      <c r="CQ319">
        <v>1</v>
      </c>
      <c r="CR319">
        <v>1</v>
      </c>
      <c r="CS319">
        <v>1</v>
      </c>
      <c r="CT319" s="18">
        <v>1</v>
      </c>
      <c r="CZ319" s="34" t="s">
        <v>87</v>
      </c>
    </row>
    <row r="320" spans="1:104" x14ac:dyDescent="0.25">
      <c r="A320">
        <v>319</v>
      </c>
      <c r="B320">
        <v>20</v>
      </c>
      <c r="C320" s="25" t="s">
        <v>232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0"/>
        <v>-1.7833424752291691</v>
      </c>
      <c r="H320" s="16">
        <f t="shared" si="221"/>
        <v>7.5829520375290702</v>
      </c>
      <c r="I320" s="11">
        <f t="shared" si="198"/>
        <v>8.8908424179269321E-3</v>
      </c>
      <c r="J320" s="33">
        <f t="shared" si="199"/>
        <v>1.4358595636186907E-2</v>
      </c>
      <c r="K320" s="33">
        <f t="shared" si="222"/>
        <v>69.644694045131686</v>
      </c>
      <c r="L320" s="33">
        <f t="shared" si="223"/>
        <v>-5.4677532182599749E-3</v>
      </c>
      <c r="M320" s="33">
        <f t="shared" si="224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195"/>
        <v>4850</v>
      </c>
      <c r="Y320" s="7">
        <v>12</v>
      </c>
      <c r="Z320" s="7">
        <f t="shared" si="218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9">
        <v>0</v>
      </c>
      <c r="AL320" s="30">
        <v>0</v>
      </c>
      <c r="AM320" s="21">
        <v>2011</v>
      </c>
      <c r="AN320" s="23"/>
      <c r="AO320" s="33">
        <f t="shared" si="225"/>
        <v>0.3972</v>
      </c>
      <c r="AP320" s="33">
        <v>0.26300000000000001</v>
      </c>
      <c r="AQ320" s="33">
        <v>0.2162</v>
      </c>
      <c r="AR320" s="43">
        <v>0.1236</v>
      </c>
      <c r="AS320" s="33" t="s">
        <v>107</v>
      </c>
      <c r="AT320" s="43" t="s">
        <v>107</v>
      </c>
      <c r="AU320" s="42">
        <v>1</v>
      </c>
      <c r="AV320" s="18">
        <v>0</v>
      </c>
      <c r="AW320">
        <v>0.18748699999999999</v>
      </c>
      <c r="AX320" s="40">
        <f t="shared" si="226"/>
        <v>0.81251300000000004</v>
      </c>
      <c r="AY320">
        <v>0.498</v>
      </c>
      <c r="AZ320" s="40">
        <v>0.502</v>
      </c>
      <c r="BB320" s="18"/>
      <c r="BC320">
        <v>0.32400000000000001</v>
      </c>
      <c r="BD320" s="18">
        <v>0.67600000000000005</v>
      </c>
      <c r="BE320" s="18" t="s">
        <v>19</v>
      </c>
      <c r="BL320" s="18"/>
      <c r="BO320" s="18"/>
      <c r="BR320" s="25">
        <v>49.57</v>
      </c>
      <c r="BS320">
        <v>0</v>
      </c>
      <c r="BT320">
        <v>1</v>
      </c>
      <c r="BU320">
        <v>0</v>
      </c>
      <c r="BV320">
        <v>0</v>
      </c>
      <c r="BW320">
        <v>0</v>
      </c>
      <c r="BX320">
        <v>0</v>
      </c>
      <c r="BY320">
        <v>0</v>
      </c>
      <c r="BZ320" s="18">
        <v>0</v>
      </c>
      <c r="CA320">
        <v>0</v>
      </c>
      <c r="CB320">
        <v>0</v>
      </c>
      <c r="CC320">
        <v>1</v>
      </c>
      <c r="CD320" s="18">
        <v>0</v>
      </c>
      <c r="CE320">
        <v>1</v>
      </c>
      <c r="CF320">
        <v>0</v>
      </c>
      <c r="CG320">
        <v>0</v>
      </c>
      <c r="CH320">
        <v>0</v>
      </c>
      <c r="CI320" s="18">
        <v>0</v>
      </c>
      <c r="CJ320">
        <v>1</v>
      </c>
      <c r="CK320">
        <v>0</v>
      </c>
      <c r="CL320">
        <v>0</v>
      </c>
      <c r="CM320">
        <v>0</v>
      </c>
      <c r="CN320">
        <v>0</v>
      </c>
      <c r="CO320">
        <v>1</v>
      </c>
      <c r="CP320">
        <v>1</v>
      </c>
      <c r="CQ320">
        <v>1</v>
      </c>
      <c r="CR320">
        <v>1</v>
      </c>
      <c r="CS320">
        <v>1</v>
      </c>
      <c r="CT320" s="18">
        <v>1</v>
      </c>
      <c r="CZ320" s="34" t="s">
        <v>87</v>
      </c>
    </row>
    <row r="321" spans="1:104" x14ac:dyDescent="0.25">
      <c r="A321">
        <v>320</v>
      </c>
      <c r="B321">
        <v>20</v>
      </c>
      <c r="C321" s="25" t="s">
        <v>232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0"/>
        <v>5.805682516116569</v>
      </c>
      <c r="H321" s="16">
        <f t="shared" si="221"/>
        <v>12.237484774641242</v>
      </c>
      <c r="I321" s="11">
        <f t="shared" si="198"/>
        <v>4.0249191357102643E-2</v>
      </c>
      <c r="J321" s="33">
        <f t="shared" si="199"/>
        <v>1.4347527554489122E-2</v>
      </c>
      <c r="K321" s="33">
        <f t="shared" si="222"/>
        <v>69.698419898633702</v>
      </c>
      <c r="L321" s="33">
        <f t="shared" si="223"/>
        <v>2.5901663802613523E-2</v>
      </c>
      <c r="M321" s="33">
        <f t="shared" si="224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195"/>
        <v>4850</v>
      </c>
      <c r="Y321" s="7">
        <v>16</v>
      </c>
      <c r="Z321" s="7">
        <f t="shared" si="218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9">
        <v>0</v>
      </c>
      <c r="AL321" s="30">
        <v>0</v>
      </c>
      <c r="AM321" s="21">
        <v>2011</v>
      </c>
      <c r="AN321" s="23"/>
      <c r="AO321" s="33">
        <f t="shared" si="225"/>
        <v>0.3972</v>
      </c>
      <c r="AP321" s="33">
        <v>0.26300000000000001</v>
      </c>
      <c r="AQ321" s="33">
        <v>0.2162</v>
      </c>
      <c r="AR321" s="43">
        <v>0.1236</v>
      </c>
      <c r="AS321" s="33" t="s">
        <v>107</v>
      </c>
      <c r="AT321" s="43" t="s">
        <v>107</v>
      </c>
      <c r="AU321" s="42">
        <v>1</v>
      </c>
      <c r="AV321" s="18">
        <v>0</v>
      </c>
      <c r="AW321">
        <v>0.18748699999999999</v>
      </c>
      <c r="AX321" s="40">
        <f t="shared" si="226"/>
        <v>0.81251300000000004</v>
      </c>
      <c r="AY321">
        <v>0.498</v>
      </c>
      <c r="AZ321" s="40">
        <v>0.502</v>
      </c>
      <c r="BB321" s="18"/>
      <c r="BC321">
        <v>0.32400000000000001</v>
      </c>
      <c r="BD321" s="18">
        <v>0.67600000000000005</v>
      </c>
      <c r="BE321" s="18" t="s">
        <v>19</v>
      </c>
      <c r="BL321" s="18"/>
      <c r="BO321" s="18"/>
      <c r="BR321" s="25">
        <v>49.57</v>
      </c>
      <c r="BS321">
        <v>0</v>
      </c>
      <c r="BT321">
        <v>1</v>
      </c>
      <c r="BU321">
        <v>0</v>
      </c>
      <c r="BV321">
        <v>0</v>
      </c>
      <c r="BW321">
        <v>0</v>
      </c>
      <c r="BX321">
        <v>0</v>
      </c>
      <c r="BY321">
        <v>0</v>
      </c>
      <c r="BZ321" s="18">
        <v>0</v>
      </c>
      <c r="CA321">
        <v>0</v>
      </c>
      <c r="CB321">
        <v>0</v>
      </c>
      <c r="CC321">
        <v>1</v>
      </c>
      <c r="CD321" s="18">
        <v>0</v>
      </c>
      <c r="CE321">
        <v>1</v>
      </c>
      <c r="CF321">
        <v>0</v>
      </c>
      <c r="CG321">
        <v>0</v>
      </c>
      <c r="CH321">
        <v>0</v>
      </c>
      <c r="CI321" s="18">
        <v>0</v>
      </c>
      <c r="CJ321">
        <v>1</v>
      </c>
      <c r="CK321">
        <v>0</v>
      </c>
      <c r="CL321">
        <v>0</v>
      </c>
      <c r="CM321">
        <v>0</v>
      </c>
      <c r="CN321">
        <v>0</v>
      </c>
      <c r="CO321">
        <v>1</v>
      </c>
      <c r="CP321">
        <v>1</v>
      </c>
      <c r="CQ321">
        <v>1</v>
      </c>
      <c r="CR321">
        <v>1</v>
      </c>
      <c r="CS321">
        <v>1</v>
      </c>
      <c r="CT321" s="18">
        <v>1</v>
      </c>
      <c r="CZ321" s="34" t="s">
        <v>87</v>
      </c>
    </row>
    <row r="322" spans="1:104" x14ac:dyDescent="0.25">
      <c r="A322">
        <v>321</v>
      </c>
      <c r="B322">
        <v>20</v>
      </c>
      <c r="C322" s="25" t="s">
        <v>232</v>
      </c>
      <c r="D322" s="12">
        <v>10.99528104162324</v>
      </c>
      <c r="E322" s="14">
        <v>2.0495530050392889</v>
      </c>
      <c r="F322" s="7">
        <v>5.36472148541114</v>
      </c>
      <c r="G322" s="7">
        <f t="shared" si="220"/>
        <v>8.9457280365839509</v>
      </c>
      <c r="H322" s="16">
        <f t="shared" si="221"/>
        <v>13.04483404666253</v>
      </c>
      <c r="I322" s="11">
        <f t="shared" ref="I322:I385" si="227">IFERROR(F322/SQRT(F322^2+W322), "X")</f>
        <v>7.6805364073472646E-2</v>
      </c>
      <c r="J322" s="33">
        <f t="shared" ref="J322:J385" si="228">IFERROR(SQRT((1-I322^2)/W322), "X")</f>
        <v>1.4316747716044097E-2</v>
      </c>
      <c r="K322" s="33">
        <f t="shared" si="222"/>
        <v>69.848265809653654</v>
      </c>
      <c r="L322" s="33">
        <f t="shared" si="223"/>
        <v>6.2488616357428549E-2</v>
      </c>
      <c r="M322" s="33">
        <f t="shared" si="224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195"/>
        <v>4850</v>
      </c>
      <c r="Y322" s="7">
        <v>21</v>
      </c>
      <c r="Z322" s="7">
        <f t="shared" si="218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9">
        <v>0</v>
      </c>
      <c r="AL322" s="30">
        <v>0</v>
      </c>
      <c r="AM322" s="21">
        <v>2011</v>
      </c>
      <c r="AN322" s="23"/>
      <c r="AO322" s="33">
        <f t="shared" si="225"/>
        <v>0.3972</v>
      </c>
      <c r="AP322" s="33">
        <v>0.26300000000000001</v>
      </c>
      <c r="AQ322" s="33">
        <v>0.2162</v>
      </c>
      <c r="AR322" s="43">
        <v>0.1236</v>
      </c>
      <c r="AS322" s="33" t="s">
        <v>107</v>
      </c>
      <c r="AT322" s="43" t="s">
        <v>107</v>
      </c>
      <c r="AU322" s="42">
        <v>1</v>
      </c>
      <c r="AV322" s="18">
        <v>0</v>
      </c>
      <c r="AW322">
        <v>0.18748699999999999</v>
      </c>
      <c r="AX322" s="40">
        <f t="shared" si="226"/>
        <v>0.81251300000000004</v>
      </c>
      <c r="AY322">
        <v>0.498</v>
      </c>
      <c r="AZ322" s="40">
        <v>0.502</v>
      </c>
      <c r="BB322" s="18"/>
      <c r="BC322">
        <v>0.32400000000000001</v>
      </c>
      <c r="BD322" s="18">
        <v>0.67600000000000005</v>
      </c>
      <c r="BE322" s="18" t="s">
        <v>19</v>
      </c>
      <c r="BL322" s="18"/>
      <c r="BO322" s="18"/>
      <c r="BR322" s="25">
        <v>49.57</v>
      </c>
      <c r="BS322">
        <v>0</v>
      </c>
      <c r="BT322">
        <v>1</v>
      </c>
      <c r="BU322">
        <v>0</v>
      </c>
      <c r="BV322">
        <v>0</v>
      </c>
      <c r="BW322">
        <v>0</v>
      </c>
      <c r="BX322">
        <v>0</v>
      </c>
      <c r="BY322">
        <v>0</v>
      </c>
      <c r="BZ322" s="18">
        <v>0</v>
      </c>
      <c r="CA322">
        <v>0</v>
      </c>
      <c r="CB322">
        <v>0</v>
      </c>
      <c r="CC322">
        <v>1</v>
      </c>
      <c r="CD322" s="18">
        <v>0</v>
      </c>
      <c r="CE322">
        <v>1</v>
      </c>
      <c r="CF322">
        <v>0</v>
      </c>
      <c r="CG322">
        <v>0</v>
      </c>
      <c r="CH322">
        <v>0</v>
      </c>
      <c r="CI322" s="18">
        <v>0</v>
      </c>
      <c r="CJ322">
        <v>1</v>
      </c>
      <c r="CK322">
        <v>0</v>
      </c>
      <c r="CL322">
        <v>0</v>
      </c>
      <c r="CM322">
        <v>0</v>
      </c>
      <c r="CN322">
        <v>0</v>
      </c>
      <c r="CO322">
        <v>1</v>
      </c>
      <c r="CP322">
        <v>1</v>
      </c>
      <c r="CQ322">
        <v>1</v>
      </c>
      <c r="CR322">
        <v>1</v>
      </c>
      <c r="CS322">
        <v>1</v>
      </c>
      <c r="CT322" s="18">
        <v>1</v>
      </c>
      <c r="CZ322" s="34" t="s">
        <v>87</v>
      </c>
    </row>
    <row r="323" spans="1:104" x14ac:dyDescent="0.25">
      <c r="A323">
        <v>322</v>
      </c>
      <c r="B323">
        <v>20</v>
      </c>
      <c r="C323" s="25" t="s">
        <v>232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0"/>
        <v>-3.8337287623726004</v>
      </c>
      <c r="H323" s="16">
        <f t="shared" si="221"/>
        <v>6.6214301306088599</v>
      </c>
      <c r="I323" s="11">
        <f t="shared" si="227"/>
        <v>3.8529197966167958E-3</v>
      </c>
      <c r="J323" s="33">
        <f t="shared" si="228"/>
        <v>1.44502166317151E-2</v>
      </c>
      <c r="K323" s="33">
        <f t="shared" si="222"/>
        <v>69.203114768896697</v>
      </c>
      <c r="L323" s="33">
        <f t="shared" si="223"/>
        <v>-1.0597296835098306E-2</v>
      </c>
      <c r="M323" s="33">
        <f t="shared" si="224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195"/>
        <v>4789</v>
      </c>
      <c r="Y323" s="7">
        <v>6</v>
      </c>
      <c r="Z323" s="7">
        <f t="shared" si="218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9">
        <v>0</v>
      </c>
      <c r="AL323" s="30">
        <v>0</v>
      </c>
      <c r="AM323" s="21">
        <v>2011</v>
      </c>
      <c r="AN323" s="23"/>
      <c r="AO323" s="33">
        <f t="shared" si="225"/>
        <v>0.3972</v>
      </c>
      <c r="AP323" s="33">
        <v>0.26300000000000001</v>
      </c>
      <c r="AQ323" s="33">
        <v>0.2162</v>
      </c>
      <c r="AR323" s="43">
        <v>0.1236</v>
      </c>
      <c r="AS323" s="33" t="s">
        <v>107</v>
      </c>
      <c r="AT323" s="43" t="s">
        <v>107</v>
      </c>
      <c r="AU323" s="42">
        <v>1</v>
      </c>
      <c r="AV323" s="18">
        <v>0</v>
      </c>
      <c r="AW323">
        <v>0.18748699999999999</v>
      </c>
      <c r="AX323" s="40">
        <f t="shared" si="226"/>
        <v>0.81251300000000004</v>
      </c>
      <c r="AY323">
        <v>0.498</v>
      </c>
      <c r="AZ323" s="40">
        <v>0.502</v>
      </c>
      <c r="BB323" s="18"/>
      <c r="BC323">
        <v>0.32400000000000001</v>
      </c>
      <c r="BD323" s="18">
        <v>0.67600000000000005</v>
      </c>
      <c r="BE323" s="18" t="s">
        <v>19</v>
      </c>
      <c r="BL323" s="18"/>
      <c r="BO323" s="18"/>
      <c r="BR323" s="25">
        <v>49.57</v>
      </c>
      <c r="BS323">
        <v>0</v>
      </c>
      <c r="BT323">
        <v>1</v>
      </c>
      <c r="BU323">
        <v>0</v>
      </c>
      <c r="BV323">
        <v>0</v>
      </c>
      <c r="BW323">
        <v>0</v>
      </c>
      <c r="BX323">
        <v>0</v>
      </c>
      <c r="BY323">
        <v>0</v>
      </c>
      <c r="BZ323" s="18">
        <v>0</v>
      </c>
      <c r="CA323">
        <v>0</v>
      </c>
      <c r="CB323">
        <v>1</v>
      </c>
      <c r="CC323">
        <v>0</v>
      </c>
      <c r="CD323" s="18">
        <v>0</v>
      </c>
      <c r="CE323">
        <v>1</v>
      </c>
      <c r="CF323">
        <v>0</v>
      </c>
      <c r="CG323">
        <v>0</v>
      </c>
      <c r="CH323">
        <v>0</v>
      </c>
      <c r="CI323" s="18">
        <v>0</v>
      </c>
      <c r="CJ323">
        <v>1</v>
      </c>
      <c r="CK323">
        <v>0</v>
      </c>
      <c r="CL323">
        <v>0</v>
      </c>
      <c r="CM323">
        <v>0</v>
      </c>
      <c r="CN323">
        <v>0</v>
      </c>
      <c r="CO323">
        <v>1</v>
      </c>
      <c r="CP323">
        <v>1</v>
      </c>
      <c r="CQ323">
        <v>1</v>
      </c>
      <c r="CR323">
        <v>1</v>
      </c>
      <c r="CS323">
        <v>1</v>
      </c>
      <c r="CT323" s="18">
        <v>1</v>
      </c>
      <c r="CZ323" s="34" t="s">
        <v>87</v>
      </c>
    </row>
    <row r="324" spans="1:104" x14ac:dyDescent="0.25">
      <c r="A324">
        <v>323</v>
      </c>
      <c r="B324">
        <v>20</v>
      </c>
      <c r="C324" s="25" t="s">
        <v>232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0"/>
        <v>-7.5210989644745894</v>
      </c>
      <c r="H324" s="16">
        <f t="shared" si="221"/>
        <v>10.315020718960263</v>
      </c>
      <c r="I324" s="11">
        <f t="shared" si="227"/>
        <v>2.2635512410683397E-3</v>
      </c>
      <c r="J324" s="33">
        <f t="shared" si="228"/>
        <v>1.4450286870225745E-2</v>
      </c>
      <c r="K324" s="33">
        <f t="shared" si="222"/>
        <v>69.202778393310737</v>
      </c>
      <c r="L324" s="33">
        <f t="shared" si="223"/>
        <v>-1.2186735629157406E-2</v>
      </c>
      <c r="M324" s="33">
        <f t="shared" si="224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195"/>
        <v>4789</v>
      </c>
      <c r="Y324" s="7">
        <v>12</v>
      </c>
      <c r="Z324" s="7">
        <f t="shared" si="218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9">
        <v>0</v>
      </c>
      <c r="AL324" s="30">
        <v>0</v>
      </c>
      <c r="AM324" s="21">
        <v>2011</v>
      </c>
      <c r="AN324" s="23"/>
      <c r="AO324" s="33">
        <f t="shared" si="225"/>
        <v>0.3972</v>
      </c>
      <c r="AP324" s="33">
        <v>0.26300000000000001</v>
      </c>
      <c r="AQ324" s="33">
        <v>0.2162</v>
      </c>
      <c r="AR324" s="43">
        <v>0.1236</v>
      </c>
      <c r="AS324" s="33" t="s">
        <v>107</v>
      </c>
      <c r="AT324" s="43" t="s">
        <v>107</v>
      </c>
      <c r="AU324" s="42">
        <v>1</v>
      </c>
      <c r="AV324" s="18">
        <v>0</v>
      </c>
      <c r="AW324">
        <v>0.18748699999999999</v>
      </c>
      <c r="AX324" s="40">
        <f t="shared" si="226"/>
        <v>0.81251300000000004</v>
      </c>
      <c r="AY324">
        <v>0.498</v>
      </c>
      <c r="AZ324" s="40">
        <v>0.502</v>
      </c>
      <c r="BB324" s="18"/>
      <c r="BC324">
        <v>0.32400000000000001</v>
      </c>
      <c r="BD324" s="18">
        <v>0.67600000000000005</v>
      </c>
      <c r="BE324" s="18" t="s">
        <v>19</v>
      </c>
      <c r="BL324" s="18"/>
      <c r="BO324" s="18"/>
      <c r="BR324" s="25">
        <v>49.57</v>
      </c>
      <c r="BS324">
        <v>0</v>
      </c>
      <c r="BT324">
        <v>1</v>
      </c>
      <c r="BU324">
        <v>0</v>
      </c>
      <c r="BV324">
        <v>0</v>
      </c>
      <c r="BW324">
        <v>0</v>
      </c>
      <c r="BX324">
        <v>0</v>
      </c>
      <c r="BY324">
        <v>0</v>
      </c>
      <c r="BZ324" s="18">
        <v>0</v>
      </c>
      <c r="CA324">
        <v>0</v>
      </c>
      <c r="CB324">
        <v>1</v>
      </c>
      <c r="CC324">
        <v>0</v>
      </c>
      <c r="CD324" s="18">
        <v>0</v>
      </c>
      <c r="CE324">
        <v>1</v>
      </c>
      <c r="CF324">
        <v>0</v>
      </c>
      <c r="CG324">
        <v>0</v>
      </c>
      <c r="CH324">
        <v>0</v>
      </c>
      <c r="CI324" s="18">
        <v>0</v>
      </c>
      <c r="CJ324">
        <v>1</v>
      </c>
      <c r="CK324">
        <v>0</v>
      </c>
      <c r="CL324">
        <v>0</v>
      </c>
      <c r="CM324">
        <v>0</v>
      </c>
      <c r="CN324">
        <v>0</v>
      </c>
      <c r="CO324">
        <v>1</v>
      </c>
      <c r="CP324">
        <v>1</v>
      </c>
      <c r="CQ324">
        <v>1</v>
      </c>
      <c r="CR324">
        <v>1</v>
      </c>
      <c r="CS324">
        <v>1</v>
      </c>
      <c r="CT324" s="18">
        <v>1</v>
      </c>
      <c r="CZ324" s="34" t="s">
        <v>87</v>
      </c>
    </row>
    <row r="325" spans="1:104" x14ac:dyDescent="0.25">
      <c r="A325">
        <v>324</v>
      </c>
      <c r="B325">
        <v>20</v>
      </c>
      <c r="C325" s="25" t="s">
        <v>232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0"/>
        <v>-0.93546953523465071</v>
      </c>
      <c r="H325" s="16">
        <f t="shared" si="221"/>
        <v>7.3320066036769269</v>
      </c>
      <c r="I325" s="11">
        <f t="shared" si="227"/>
        <v>1.1179500798345203E-2</v>
      </c>
      <c r="J325" s="33">
        <f t="shared" si="228"/>
        <v>1.4449420851674995E-2</v>
      </c>
      <c r="K325" s="33">
        <f t="shared" si="222"/>
        <v>69.206926025971399</v>
      </c>
      <c r="L325" s="33">
        <f t="shared" si="223"/>
        <v>-3.2699200533297928E-3</v>
      </c>
      <c r="M325" s="33">
        <f t="shared" si="224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195"/>
        <v>4789</v>
      </c>
      <c r="Y325" s="7">
        <v>16</v>
      </c>
      <c r="Z325" s="7">
        <f t="shared" si="218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9">
        <v>0</v>
      </c>
      <c r="AL325" s="30">
        <v>0</v>
      </c>
      <c r="AM325" s="21">
        <v>2011</v>
      </c>
      <c r="AN325" s="23"/>
      <c r="AO325" s="33">
        <f t="shared" si="225"/>
        <v>0.3972</v>
      </c>
      <c r="AP325" s="33">
        <v>0.26300000000000001</v>
      </c>
      <c r="AQ325" s="33">
        <v>0.2162</v>
      </c>
      <c r="AR325" s="43">
        <v>0.1236</v>
      </c>
      <c r="AS325" s="33" t="s">
        <v>107</v>
      </c>
      <c r="AT325" s="43" t="s">
        <v>107</v>
      </c>
      <c r="AU325" s="42">
        <v>1</v>
      </c>
      <c r="AV325" s="18">
        <v>0</v>
      </c>
      <c r="AW325">
        <v>0.18748699999999999</v>
      </c>
      <c r="AX325" s="40">
        <f t="shared" si="226"/>
        <v>0.81251300000000004</v>
      </c>
      <c r="AY325">
        <v>0.498</v>
      </c>
      <c r="AZ325" s="40">
        <v>0.502</v>
      </c>
      <c r="BB325" s="18"/>
      <c r="BC325">
        <v>0.32400000000000001</v>
      </c>
      <c r="BD325" s="18">
        <v>0.67600000000000005</v>
      </c>
      <c r="BE325" s="18" t="s">
        <v>19</v>
      </c>
      <c r="BL325" s="18"/>
      <c r="BO325" s="18"/>
      <c r="BR325" s="25">
        <v>49.57</v>
      </c>
      <c r="BS325">
        <v>0</v>
      </c>
      <c r="BT325">
        <v>1</v>
      </c>
      <c r="BU325">
        <v>0</v>
      </c>
      <c r="BV325">
        <v>0</v>
      </c>
      <c r="BW325">
        <v>0</v>
      </c>
      <c r="BX325">
        <v>0</v>
      </c>
      <c r="BY325">
        <v>0</v>
      </c>
      <c r="BZ325" s="18">
        <v>0</v>
      </c>
      <c r="CA325">
        <v>0</v>
      </c>
      <c r="CB325">
        <v>1</v>
      </c>
      <c r="CC325">
        <v>0</v>
      </c>
      <c r="CD325" s="18">
        <v>0</v>
      </c>
      <c r="CE325">
        <v>1</v>
      </c>
      <c r="CF325">
        <v>0</v>
      </c>
      <c r="CG325">
        <v>0</v>
      </c>
      <c r="CH325">
        <v>0</v>
      </c>
      <c r="CI325" s="18">
        <v>0</v>
      </c>
      <c r="CJ325">
        <v>1</v>
      </c>
      <c r="CK325">
        <v>0</v>
      </c>
      <c r="CL325">
        <v>0</v>
      </c>
      <c r="CM325">
        <v>0</v>
      </c>
      <c r="CN325">
        <v>0</v>
      </c>
      <c r="CO325">
        <v>1</v>
      </c>
      <c r="CP325">
        <v>1</v>
      </c>
      <c r="CQ325">
        <v>1</v>
      </c>
      <c r="CR325">
        <v>1</v>
      </c>
      <c r="CS325">
        <v>1</v>
      </c>
      <c r="CT325" s="18">
        <v>1</v>
      </c>
      <c r="CZ325" s="34" t="s">
        <v>87</v>
      </c>
    </row>
    <row r="326" spans="1:104" x14ac:dyDescent="0.25">
      <c r="A326">
        <v>325</v>
      </c>
      <c r="B326">
        <v>20</v>
      </c>
      <c r="C326" s="25" t="s">
        <v>232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0"/>
        <v>1.0646486563446858</v>
      </c>
      <c r="H326" s="16">
        <f t="shared" si="221"/>
        <v>7.714109096783778</v>
      </c>
      <c r="I326" s="11">
        <f t="shared" si="227"/>
        <v>1.9074151257265526E-2</v>
      </c>
      <c r="J326" s="33">
        <f t="shared" si="228"/>
        <v>1.4447694968566549E-2</v>
      </c>
      <c r="K326" s="33">
        <f t="shared" si="222"/>
        <v>69.215193300777216</v>
      </c>
      <c r="L326" s="33">
        <f t="shared" si="223"/>
        <v>4.6264562886989772E-3</v>
      </c>
      <c r="M326" s="33">
        <f t="shared" si="224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195"/>
        <v>4789</v>
      </c>
      <c r="Y326" s="7">
        <v>21</v>
      </c>
      <c r="Z326" s="7">
        <f t="shared" si="218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9">
        <v>0</v>
      </c>
      <c r="AL326" s="30">
        <v>0</v>
      </c>
      <c r="AM326" s="21">
        <v>2011</v>
      </c>
      <c r="AN326" s="23"/>
      <c r="AO326" s="33">
        <f t="shared" si="225"/>
        <v>0.3972</v>
      </c>
      <c r="AP326" s="33">
        <v>0.26300000000000001</v>
      </c>
      <c r="AQ326" s="33">
        <v>0.2162</v>
      </c>
      <c r="AR326" s="43">
        <v>0.1236</v>
      </c>
      <c r="AS326" s="33" t="s">
        <v>107</v>
      </c>
      <c r="AT326" s="43" t="s">
        <v>107</v>
      </c>
      <c r="AU326" s="42">
        <v>1</v>
      </c>
      <c r="AV326" s="18">
        <v>0</v>
      </c>
      <c r="AW326">
        <v>0.18748699999999999</v>
      </c>
      <c r="AX326" s="40">
        <f t="shared" si="226"/>
        <v>0.81251300000000004</v>
      </c>
      <c r="AY326">
        <v>0.498</v>
      </c>
      <c r="AZ326" s="40">
        <v>0.502</v>
      </c>
      <c r="BB326" s="18"/>
      <c r="BC326">
        <v>0.32400000000000001</v>
      </c>
      <c r="BD326" s="18">
        <v>0.67600000000000005</v>
      </c>
      <c r="BE326" s="18" t="s">
        <v>19</v>
      </c>
      <c r="BL326" s="18"/>
      <c r="BO326" s="18"/>
      <c r="BR326" s="25">
        <v>49.57</v>
      </c>
      <c r="BS326">
        <v>0</v>
      </c>
      <c r="BT326">
        <v>1</v>
      </c>
      <c r="BU326">
        <v>0</v>
      </c>
      <c r="BV326">
        <v>0</v>
      </c>
      <c r="BW326">
        <v>0</v>
      </c>
      <c r="BX326">
        <v>0</v>
      </c>
      <c r="BY326">
        <v>0</v>
      </c>
      <c r="BZ326" s="18">
        <v>0</v>
      </c>
      <c r="CA326">
        <v>0</v>
      </c>
      <c r="CB326">
        <v>1</v>
      </c>
      <c r="CC326">
        <v>0</v>
      </c>
      <c r="CD326" s="18">
        <v>0</v>
      </c>
      <c r="CE326">
        <v>1</v>
      </c>
      <c r="CF326">
        <v>0</v>
      </c>
      <c r="CG326">
        <v>0</v>
      </c>
      <c r="CH326">
        <v>0</v>
      </c>
      <c r="CI326" s="18">
        <v>0</v>
      </c>
      <c r="CJ326">
        <v>1</v>
      </c>
      <c r="CK326">
        <v>0</v>
      </c>
      <c r="CL326">
        <v>0</v>
      </c>
      <c r="CM326">
        <v>0</v>
      </c>
      <c r="CN326">
        <v>0</v>
      </c>
      <c r="CO326">
        <v>1</v>
      </c>
      <c r="CP326">
        <v>1</v>
      </c>
      <c r="CQ326">
        <v>1</v>
      </c>
      <c r="CR326">
        <v>1</v>
      </c>
      <c r="CS326">
        <v>1</v>
      </c>
      <c r="CT326" s="18">
        <v>1</v>
      </c>
      <c r="CZ326" s="34" t="s">
        <v>87</v>
      </c>
    </row>
    <row r="327" spans="1:104" x14ac:dyDescent="0.25">
      <c r="A327">
        <v>326</v>
      </c>
      <c r="B327">
        <v>20</v>
      </c>
      <c r="C327" s="25" t="s">
        <v>232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29">D327-E327</f>
        <v>-2.2397811324136576</v>
      </c>
      <c r="H327" s="16">
        <f t="shared" ref="H327:H358" si="230">D327+E327</f>
        <v>4.7309092746991723</v>
      </c>
      <c r="I327" s="11">
        <f t="shared" si="227"/>
        <v>5.1640693268210575E-3</v>
      </c>
      <c r="J327" s="33">
        <f t="shared" si="228"/>
        <v>1.445013121047686E-2</v>
      </c>
      <c r="K327" s="33">
        <f t="shared" ref="K327:K330" si="231">IFERROR(1/J327, "X")</f>
        <v>69.203523859697853</v>
      </c>
      <c r="L327" s="33">
        <f t="shared" ref="L327:L330" si="232">IFERROR(I327-J327, "X")</f>
        <v>-9.286061883655803E-3</v>
      </c>
      <c r="M327" s="33">
        <f t="shared" ref="M327:M330" si="233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195"/>
        <v>4789</v>
      </c>
      <c r="Y327" s="7">
        <v>6</v>
      </c>
      <c r="Z327" s="7">
        <f t="shared" si="218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9">
        <v>0</v>
      </c>
      <c r="AL327" s="30">
        <v>0</v>
      </c>
      <c r="AM327" s="21">
        <v>2011</v>
      </c>
      <c r="AN327" s="23"/>
      <c r="AO327" s="33">
        <f t="shared" si="225"/>
        <v>0.3972</v>
      </c>
      <c r="AP327" s="33">
        <v>0.26300000000000001</v>
      </c>
      <c r="AQ327" s="33">
        <v>0.2162</v>
      </c>
      <c r="AR327" s="43">
        <v>0.1236</v>
      </c>
      <c r="AS327" s="33" t="s">
        <v>107</v>
      </c>
      <c r="AT327" s="43" t="s">
        <v>107</v>
      </c>
      <c r="AU327" s="42">
        <v>1</v>
      </c>
      <c r="AV327" s="18">
        <v>0</v>
      </c>
      <c r="AW327">
        <v>0.18748699999999999</v>
      </c>
      <c r="AX327" s="40">
        <f t="shared" si="226"/>
        <v>0.81251300000000004</v>
      </c>
      <c r="AY327">
        <v>0.498</v>
      </c>
      <c r="AZ327" s="40">
        <v>0.502</v>
      </c>
      <c r="BB327" s="18"/>
      <c r="BC327">
        <v>0.32400000000000001</v>
      </c>
      <c r="BD327" s="18">
        <v>0.67600000000000005</v>
      </c>
      <c r="BE327" s="18" t="s">
        <v>19</v>
      </c>
      <c r="BL327" s="18"/>
      <c r="BO327" s="18"/>
      <c r="BR327" s="25">
        <v>49.57</v>
      </c>
      <c r="BS327">
        <v>0</v>
      </c>
      <c r="BT327">
        <v>1</v>
      </c>
      <c r="BU327">
        <v>0</v>
      </c>
      <c r="BV327">
        <v>0</v>
      </c>
      <c r="BW327">
        <v>0</v>
      </c>
      <c r="BX327">
        <v>0</v>
      </c>
      <c r="BY327">
        <v>0</v>
      </c>
      <c r="BZ327" s="18">
        <v>0</v>
      </c>
      <c r="CA327">
        <v>0</v>
      </c>
      <c r="CB327">
        <v>1</v>
      </c>
      <c r="CC327">
        <v>0</v>
      </c>
      <c r="CD327" s="18">
        <v>0</v>
      </c>
      <c r="CE327">
        <v>1</v>
      </c>
      <c r="CF327">
        <v>0</v>
      </c>
      <c r="CG327">
        <v>0</v>
      </c>
      <c r="CH327">
        <v>0</v>
      </c>
      <c r="CI327" s="18">
        <v>0</v>
      </c>
      <c r="CJ327">
        <v>1</v>
      </c>
      <c r="CK327">
        <v>0</v>
      </c>
      <c r="CL327">
        <v>0</v>
      </c>
      <c r="CM327">
        <v>0</v>
      </c>
      <c r="CN327">
        <v>0</v>
      </c>
      <c r="CO327">
        <v>1</v>
      </c>
      <c r="CP327">
        <v>1</v>
      </c>
      <c r="CQ327">
        <v>1</v>
      </c>
      <c r="CR327">
        <v>1</v>
      </c>
      <c r="CS327">
        <v>1</v>
      </c>
      <c r="CT327" s="18">
        <v>1</v>
      </c>
      <c r="CZ327" s="34" t="s">
        <v>87</v>
      </c>
    </row>
    <row r="328" spans="1:104" x14ac:dyDescent="0.25">
      <c r="A328">
        <v>327</v>
      </c>
      <c r="B328">
        <v>20</v>
      </c>
      <c r="C328" s="25" t="s">
        <v>232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29"/>
        <v>-1.1633964120130011</v>
      </c>
      <c r="H328" s="16">
        <f t="shared" si="230"/>
        <v>7.4370173004618065</v>
      </c>
      <c r="I328" s="11">
        <f t="shared" si="227"/>
        <v>1.054028571930227E-2</v>
      </c>
      <c r="J328" s="33">
        <f t="shared" si="228"/>
        <v>1.4449521168963026E-2</v>
      </c>
      <c r="K328" s="33">
        <f t="shared" si="231"/>
        <v>69.20644554976387</v>
      </c>
      <c r="L328" s="33">
        <f t="shared" si="232"/>
        <v>-3.9092354496607553E-3</v>
      </c>
      <c r="M328" s="33">
        <f t="shared" si="233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34">U328-V328-1</f>
        <v>4789</v>
      </c>
      <c r="Y328" s="7">
        <v>12</v>
      </c>
      <c r="Z328" s="7">
        <f t="shared" si="218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9">
        <v>0</v>
      </c>
      <c r="AL328" s="30">
        <v>0</v>
      </c>
      <c r="AM328" s="21">
        <v>2011</v>
      </c>
      <c r="AN328" s="23"/>
      <c r="AO328" s="33">
        <f t="shared" si="225"/>
        <v>0.3972</v>
      </c>
      <c r="AP328" s="33">
        <v>0.26300000000000001</v>
      </c>
      <c r="AQ328" s="33">
        <v>0.2162</v>
      </c>
      <c r="AR328" s="43">
        <v>0.1236</v>
      </c>
      <c r="AS328" s="33" t="s">
        <v>107</v>
      </c>
      <c r="AT328" s="43" t="s">
        <v>107</v>
      </c>
      <c r="AU328" s="42">
        <v>1</v>
      </c>
      <c r="AV328" s="18">
        <v>0</v>
      </c>
      <c r="AW328">
        <v>0.18748699999999999</v>
      </c>
      <c r="AX328" s="40">
        <f t="shared" si="226"/>
        <v>0.81251300000000004</v>
      </c>
      <c r="AY328">
        <v>0.498</v>
      </c>
      <c r="AZ328" s="40">
        <v>0.502</v>
      </c>
      <c r="BB328" s="18"/>
      <c r="BC328">
        <v>0.32400000000000001</v>
      </c>
      <c r="BD328" s="18">
        <v>0.67600000000000005</v>
      </c>
      <c r="BE328" s="18" t="s">
        <v>19</v>
      </c>
      <c r="BL328" s="18"/>
      <c r="BO328" s="18"/>
      <c r="BR328" s="25">
        <v>49.57</v>
      </c>
      <c r="BS328">
        <v>0</v>
      </c>
      <c r="BT328">
        <v>1</v>
      </c>
      <c r="BU328">
        <v>0</v>
      </c>
      <c r="BV328">
        <v>0</v>
      </c>
      <c r="BW328">
        <v>0</v>
      </c>
      <c r="BX328">
        <v>0</v>
      </c>
      <c r="BY328">
        <v>0</v>
      </c>
      <c r="BZ328" s="18">
        <v>0</v>
      </c>
      <c r="CA328">
        <v>0</v>
      </c>
      <c r="CB328">
        <v>1</v>
      </c>
      <c r="CC328">
        <v>0</v>
      </c>
      <c r="CD328" s="18">
        <v>0</v>
      </c>
      <c r="CE328">
        <v>1</v>
      </c>
      <c r="CF328">
        <v>0</v>
      </c>
      <c r="CG328">
        <v>0</v>
      </c>
      <c r="CH328">
        <v>0</v>
      </c>
      <c r="CI328" s="18">
        <v>0</v>
      </c>
      <c r="CJ328">
        <v>1</v>
      </c>
      <c r="CK328">
        <v>0</v>
      </c>
      <c r="CL328">
        <v>0</v>
      </c>
      <c r="CM328">
        <v>0</v>
      </c>
      <c r="CN328">
        <v>0</v>
      </c>
      <c r="CO328">
        <v>1</v>
      </c>
      <c r="CP328">
        <v>1</v>
      </c>
      <c r="CQ328">
        <v>1</v>
      </c>
      <c r="CR328">
        <v>1</v>
      </c>
      <c r="CS328">
        <v>1</v>
      </c>
      <c r="CT328" s="18">
        <v>1</v>
      </c>
      <c r="CZ328" s="34" t="s">
        <v>87</v>
      </c>
    </row>
    <row r="329" spans="1:104" x14ac:dyDescent="0.25">
      <c r="A329">
        <v>328</v>
      </c>
      <c r="B329">
        <v>20</v>
      </c>
      <c r="C329" s="25" t="s">
        <v>232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29"/>
        <v>5.9427397593278961</v>
      </c>
      <c r="H329" s="16">
        <f t="shared" si="230"/>
        <v>12.135146860672887</v>
      </c>
      <c r="I329" s="11">
        <f t="shared" si="227"/>
        <v>4.214825897840617E-2</v>
      </c>
      <c r="J329" s="33">
        <f t="shared" si="228"/>
        <v>1.4437482859221445E-2</v>
      </c>
      <c r="K329" s="33">
        <f t="shared" si="231"/>
        <v>69.26415149724555</v>
      </c>
      <c r="L329" s="33">
        <f t="shared" si="232"/>
        <v>2.7710776119184724E-2</v>
      </c>
      <c r="M329" s="33">
        <f t="shared" si="233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34"/>
        <v>4789</v>
      </c>
      <c r="Y329" s="7">
        <v>16</v>
      </c>
      <c r="Z329" s="7">
        <f t="shared" si="218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9">
        <v>0</v>
      </c>
      <c r="AL329" s="30">
        <v>0</v>
      </c>
      <c r="AM329" s="21">
        <v>2011</v>
      </c>
      <c r="AN329" s="23"/>
      <c r="AO329" s="33">
        <f t="shared" si="225"/>
        <v>0.3972</v>
      </c>
      <c r="AP329" s="33">
        <v>0.26300000000000001</v>
      </c>
      <c r="AQ329" s="33">
        <v>0.2162</v>
      </c>
      <c r="AR329" s="43">
        <v>0.1236</v>
      </c>
      <c r="AS329" s="33" t="s">
        <v>107</v>
      </c>
      <c r="AT329" s="43" t="s">
        <v>107</v>
      </c>
      <c r="AU329" s="42">
        <v>1</v>
      </c>
      <c r="AV329" s="18">
        <v>0</v>
      </c>
      <c r="AW329">
        <v>0.18748699999999999</v>
      </c>
      <c r="AX329" s="40">
        <f t="shared" si="226"/>
        <v>0.81251300000000004</v>
      </c>
      <c r="AY329">
        <v>0.498</v>
      </c>
      <c r="AZ329" s="40">
        <v>0.502</v>
      </c>
      <c r="BB329" s="18"/>
      <c r="BC329">
        <v>0.32400000000000001</v>
      </c>
      <c r="BD329" s="18">
        <v>0.67600000000000005</v>
      </c>
      <c r="BE329" s="18" t="s">
        <v>19</v>
      </c>
      <c r="BL329" s="18"/>
      <c r="BO329" s="18"/>
      <c r="BR329" s="25">
        <v>49.57</v>
      </c>
      <c r="BS329">
        <v>0</v>
      </c>
      <c r="BT329">
        <v>1</v>
      </c>
      <c r="BU329">
        <v>0</v>
      </c>
      <c r="BV329">
        <v>0</v>
      </c>
      <c r="BW329">
        <v>0</v>
      </c>
      <c r="BX329">
        <v>0</v>
      </c>
      <c r="BY329">
        <v>0</v>
      </c>
      <c r="BZ329" s="18">
        <v>0</v>
      </c>
      <c r="CA329">
        <v>0</v>
      </c>
      <c r="CB329">
        <v>1</v>
      </c>
      <c r="CC329">
        <v>0</v>
      </c>
      <c r="CD329" s="18">
        <v>0</v>
      </c>
      <c r="CE329">
        <v>1</v>
      </c>
      <c r="CF329">
        <v>0</v>
      </c>
      <c r="CG329">
        <v>0</v>
      </c>
      <c r="CH329">
        <v>0</v>
      </c>
      <c r="CI329" s="18">
        <v>0</v>
      </c>
      <c r="CJ329">
        <v>1</v>
      </c>
      <c r="CK329">
        <v>0</v>
      </c>
      <c r="CL329">
        <v>0</v>
      </c>
      <c r="CM329">
        <v>0</v>
      </c>
      <c r="CN329">
        <v>0</v>
      </c>
      <c r="CO329">
        <v>1</v>
      </c>
      <c r="CP329">
        <v>1</v>
      </c>
      <c r="CQ329">
        <v>1</v>
      </c>
      <c r="CR329">
        <v>1</v>
      </c>
      <c r="CS329">
        <v>1</v>
      </c>
      <c r="CT329" s="18">
        <v>1</v>
      </c>
      <c r="CZ329" s="34" t="s">
        <v>87</v>
      </c>
    </row>
    <row r="330" spans="1:104" s="52" customFormat="1" x14ac:dyDescent="0.25">
      <c r="A330" s="52">
        <v>329</v>
      </c>
      <c r="B330" s="52">
        <v>20</v>
      </c>
      <c r="C330" s="53" t="s">
        <v>232</v>
      </c>
      <c r="D330" s="54">
        <v>10.992645544450763</v>
      </c>
      <c r="E330" s="55">
        <v>2.0146061602763266</v>
      </c>
      <c r="F330" s="56">
        <v>5.4564737074679623</v>
      </c>
      <c r="G330" s="56">
        <f t="shared" si="229"/>
        <v>8.978039384174437</v>
      </c>
      <c r="H330" s="57">
        <f t="shared" si="230"/>
        <v>13.007251704727089</v>
      </c>
      <c r="I330" s="58">
        <f t="shared" si="227"/>
        <v>7.8603851765246743E-2</v>
      </c>
      <c r="J330" s="59">
        <f t="shared" si="228"/>
        <v>1.4405613584771087E-2</v>
      </c>
      <c r="K330" s="59">
        <f t="shared" si="231"/>
        <v>69.417383307931516</v>
      </c>
      <c r="L330" s="59">
        <f t="shared" si="232"/>
        <v>6.4198238180475653E-2</v>
      </c>
      <c r="M330" s="59">
        <f t="shared" si="233"/>
        <v>9.3009465350017834E-2</v>
      </c>
      <c r="N330" s="60">
        <v>1</v>
      </c>
      <c r="O330" s="61">
        <v>0</v>
      </c>
      <c r="P330" s="60">
        <v>0</v>
      </c>
      <c r="Q330" s="61">
        <v>1</v>
      </c>
      <c r="R330" s="61">
        <v>0</v>
      </c>
      <c r="S330" s="61">
        <v>0</v>
      </c>
      <c r="T330" s="61">
        <v>0</v>
      </c>
      <c r="U330" s="60">
        <v>4821</v>
      </c>
      <c r="V330" s="61">
        <v>31</v>
      </c>
      <c r="W330" s="61">
        <f t="shared" si="234"/>
        <v>4789</v>
      </c>
      <c r="X330" s="61"/>
      <c r="Y330" s="56">
        <v>21</v>
      </c>
      <c r="Z330" s="56">
        <f t="shared" si="218"/>
        <v>22.57</v>
      </c>
      <c r="AA330" s="61">
        <v>0</v>
      </c>
      <c r="AB330" s="61">
        <v>1</v>
      </c>
      <c r="AC330" s="61">
        <v>0</v>
      </c>
      <c r="AD330" s="61">
        <v>0</v>
      </c>
      <c r="AE330" s="61">
        <v>0</v>
      </c>
      <c r="AF330" s="61">
        <v>1</v>
      </c>
      <c r="AG330" s="60">
        <v>0</v>
      </c>
      <c r="AH330" s="61">
        <v>1</v>
      </c>
      <c r="AI330" s="62">
        <v>0</v>
      </c>
      <c r="AJ330" s="61">
        <v>1</v>
      </c>
      <c r="AK330" s="61">
        <v>0</v>
      </c>
      <c r="AL330" s="62">
        <v>0</v>
      </c>
      <c r="AM330" s="63">
        <v>2011</v>
      </c>
      <c r="AN330" s="64"/>
      <c r="AO330" s="59">
        <f t="shared" si="225"/>
        <v>0.3972</v>
      </c>
      <c r="AP330" s="59">
        <v>0.26300000000000001</v>
      </c>
      <c r="AQ330" s="59">
        <v>0.2162</v>
      </c>
      <c r="AR330" s="65">
        <v>0.1236</v>
      </c>
      <c r="AS330" s="59" t="s">
        <v>107</v>
      </c>
      <c r="AT330" s="65" t="s">
        <v>107</v>
      </c>
      <c r="AU330" s="66">
        <v>1</v>
      </c>
      <c r="AV330" s="67">
        <v>0</v>
      </c>
      <c r="AW330" s="52">
        <v>0.18748699999999999</v>
      </c>
      <c r="AX330" s="68">
        <f t="shared" si="226"/>
        <v>0.81251300000000004</v>
      </c>
      <c r="AY330" s="52">
        <v>0.498</v>
      </c>
      <c r="AZ330" s="68">
        <v>0.502</v>
      </c>
      <c r="BB330" s="67"/>
      <c r="BC330" s="52">
        <v>0.32400000000000001</v>
      </c>
      <c r="BD330" s="67">
        <v>0.67600000000000005</v>
      </c>
      <c r="BE330" s="67" t="s">
        <v>19</v>
      </c>
      <c r="BL330" s="67"/>
      <c r="BO330" s="67"/>
      <c r="BR330" s="53">
        <v>49.57</v>
      </c>
      <c r="BS330" s="52">
        <v>0</v>
      </c>
      <c r="BT330" s="52">
        <v>1</v>
      </c>
      <c r="BU330" s="52">
        <v>0</v>
      </c>
      <c r="BV330" s="52">
        <v>0</v>
      </c>
      <c r="BW330" s="52">
        <v>0</v>
      </c>
      <c r="BX330" s="52">
        <v>0</v>
      </c>
      <c r="BY330" s="52">
        <v>0</v>
      </c>
      <c r="BZ330" s="67">
        <v>0</v>
      </c>
      <c r="CA330" s="52">
        <v>0</v>
      </c>
      <c r="CB330" s="52">
        <v>1</v>
      </c>
      <c r="CC330" s="52">
        <v>0</v>
      </c>
      <c r="CD330" s="67">
        <v>0</v>
      </c>
      <c r="CE330" s="52">
        <v>1</v>
      </c>
      <c r="CF330" s="52">
        <v>0</v>
      </c>
      <c r="CG330" s="52">
        <v>0</v>
      </c>
      <c r="CH330" s="52">
        <v>0</v>
      </c>
      <c r="CI330" s="67">
        <v>0</v>
      </c>
      <c r="CJ330" s="52">
        <v>1</v>
      </c>
      <c r="CK330" s="52">
        <v>0</v>
      </c>
      <c r="CL330" s="52">
        <v>0</v>
      </c>
      <c r="CM330" s="52">
        <v>0</v>
      </c>
      <c r="CN330" s="52">
        <v>0</v>
      </c>
      <c r="CO330" s="52">
        <v>1</v>
      </c>
      <c r="CP330" s="52">
        <v>1</v>
      </c>
      <c r="CQ330" s="52">
        <v>1</v>
      </c>
      <c r="CR330" s="52">
        <v>1</v>
      </c>
      <c r="CS330" s="52">
        <v>1</v>
      </c>
      <c r="CT330" s="67">
        <v>1</v>
      </c>
      <c r="CY330" s="53"/>
      <c r="CZ330" s="69" t="s">
        <v>87</v>
      </c>
    </row>
    <row r="331" spans="1:104" x14ac:dyDescent="0.25">
      <c r="A331">
        <v>330</v>
      </c>
      <c r="B331">
        <v>21</v>
      </c>
      <c r="C331" s="25" t="s">
        <v>245</v>
      </c>
      <c r="D331" s="12">
        <v>7.3</v>
      </c>
      <c r="E331" s="14">
        <v>0.03</v>
      </c>
      <c r="F331" s="7">
        <f>D331/E331</f>
        <v>243.33333333333334</v>
      </c>
      <c r="G331" s="7">
        <f t="shared" si="229"/>
        <v>7.27</v>
      </c>
      <c r="H331" s="16">
        <f t="shared" si="230"/>
        <v>7.33</v>
      </c>
      <c r="I331" s="11">
        <f t="shared" si="227"/>
        <v>0.29748793755946545</v>
      </c>
      <c r="J331" s="33">
        <f t="shared" si="228"/>
        <v>1.2225531680525976E-3</v>
      </c>
      <c r="K331" s="33">
        <f t="shared" ref="K331:K345" si="235">IFERROR(1/J331, "X")</f>
        <v>817.96033590334389</v>
      </c>
      <c r="L331" s="33">
        <f t="shared" ref="L331:L345" si="236">IFERROR(I331-J331, "X")</f>
        <v>0.29626538439141287</v>
      </c>
      <c r="M331" s="33">
        <f t="shared" ref="M331:M345" si="237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34"/>
        <v>609848</v>
      </c>
      <c r="Y331" s="7">
        <v>11.59</v>
      </c>
      <c r="Z331" s="7">
        <f t="shared" ref="Z331:Z362" si="238">BR331-Y331-6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9">
        <v>0</v>
      </c>
      <c r="AL331" s="30">
        <v>1</v>
      </c>
      <c r="AM331" s="21">
        <v>1970</v>
      </c>
      <c r="AN331" s="23"/>
      <c r="AO331" s="33" t="s">
        <v>107</v>
      </c>
      <c r="AP331" s="33" t="s">
        <v>107</v>
      </c>
      <c r="AQ331" s="33" t="s">
        <v>107</v>
      </c>
      <c r="AR331" s="43" t="s">
        <v>107</v>
      </c>
      <c r="AS331" s="33" t="s">
        <v>107</v>
      </c>
      <c r="AT331" s="43" t="s">
        <v>107</v>
      </c>
      <c r="AU331" s="42" t="s">
        <v>107</v>
      </c>
      <c r="AV331" s="18" t="s">
        <v>107</v>
      </c>
      <c r="AW331">
        <v>1</v>
      </c>
      <c r="AX331" s="40">
        <v>0</v>
      </c>
      <c r="AY331" t="s">
        <v>107</v>
      </c>
      <c r="AZ331" s="40" t="s">
        <v>107</v>
      </c>
      <c r="BB331" s="18"/>
      <c r="BC331" t="s">
        <v>107</v>
      </c>
      <c r="BD331" s="18" t="s">
        <v>107</v>
      </c>
      <c r="BE331" s="18" t="s">
        <v>246</v>
      </c>
      <c r="BL331" s="18"/>
      <c r="BO331" s="18"/>
      <c r="BR331" s="25">
        <v>44.74</v>
      </c>
      <c r="BS331">
        <v>0</v>
      </c>
      <c r="BT331">
        <v>0</v>
      </c>
      <c r="BU331">
        <v>0</v>
      </c>
      <c r="BV331">
        <v>0</v>
      </c>
      <c r="BW331">
        <v>1</v>
      </c>
      <c r="BX331">
        <v>0</v>
      </c>
      <c r="BY331">
        <v>0</v>
      </c>
      <c r="BZ331" s="18">
        <v>0</v>
      </c>
      <c r="CA331">
        <v>0</v>
      </c>
      <c r="CB331">
        <v>0</v>
      </c>
      <c r="CC331">
        <v>0</v>
      </c>
      <c r="CD331" s="18">
        <v>1</v>
      </c>
      <c r="CE331">
        <v>0</v>
      </c>
      <c r="CF331">
        <v>0</v>
      </c>
      <c r="CG331">
        <v>0</v>
      </c>
      <c r="CH331">
        <v>0</v>
      </c>
      <c r="CI331" s="18">
        <v>0</v>
      </c>
      <c r="CJ331">
        <v>1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 s="18">
        <v>1</v>
      </c>
      <c r="CZ331" s="34" t="s">
        <v>87</v>
      </c>
    </row>
    <row r="332" spans="1:104" x14ac:dyDescent="0.25">
      <c r="A332">
        <v>331</v>
      </c>
      <c r="B332">
        <v>21</v>
      </c>
      <c r="C332" s="25" t="s">
        <v>245</v>
      </c>
      <c r="D332" s="12">
        <v>6.8</v>
      </c>
      <c r="E332" s="14">
        <v>0.03</v>
      </c>
      <c r="F332" s="7">
        <f t="shared" ref="F332:F358" si="239">D332/E332</f>
        <v>226.66666666666666</v>
      </c>
      <c r="G332" s="7">
        <f t="shared" si="229"/>
        <v>6.77</v>
      </c>
      <c r="H332" s="16">
        <f t="shared" si="230"/>
        <v>6.83</v>
      </c>
      <c r="I332" s="11">
        <f t="shared" si="227"/>
        <v>0.27530222229546214</v>
      </c>
      <c r="J332" s="33">
        <f t="shared" si="228"/>
        <v>1.2145686277740978E-3</v>
      </c>
      <c r="K332" s="33">
        <f t="shared" si="235"/>
        <v>823.33758433450487</v>
      </c>
      <c r="L332" s="33">
        <f t="shared" si="236"/>
        <v>0.27408765366768806</v>
      </c>
      <c r="M332" s="33">
        <f t="shared" si="237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34"/>
        <v>626507</v>
      </c>
      <c r="Y332" s="7">
        <v>10.52</v>
      </c>
      <c r="Z332" s="7">
        <f t="shared" si="238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9">
        <v>0</v>
      </c>
      <c r="AL332" s="30">
        <v>1</v>
      </c>
      <c r="AM332" s="21">
        <v>1965</v>
      </c>
      <c r="AN332" s="23"/>
      <c r="AO332" s="33" t="s">
        <v>107</v>
      </c>
      <c r="AP332" s="33" t="s">
        <v>107</v>
      </c>
      <c r="AQ332" s="33" t="s">
        <v>107</v>
      </c>
      <c r="AR332" s="43" t="s">
        <v>107</v>
      </c>
      <c r="AS332" s="33" t="s">
        <v>107</v>
      </c>
      <c r="AT332" s="43" t="s">
        <v>107</v>
      </c>
      <c r="AU332" s="42" t="s">
        <v>107</v>
      </c>
      <c r="AV332" s="18" t="s">
        <v>107</v>
      </c>
      <c r="AW332">
        <v>1</v>
      </c>
      <c r="AX332" s="40">
        <v>0</v>
      </c>
      <c r="AY332" t="s">
        <v>107</v>
      </c>
      <c r="AZ332" s="40" t="s">
        <v>107</v>
      </c>
      <c r="BB332" s="18"/>
      <c r="BC332" t="s">
        <v>107</v>
      </c>
      <c r="BD332" s="18" t="s">
        <v>107</v>
      </c>
      <c r="BE332" s="18" t="s">
        <v>246</v>
      </c>
      <c r="BL332" s="18"/>
      <c r="BO332" s="18"/>
      <c r="BR332" s="25">
        <v>44.55</v>
      </c>
      <c r="BS332">
        <v>0</v>
      </c>
      <c r="BT332">
        <v>0</v>
      </c>
      <c r="BU332">
        <v>0</v>
      </c>
      <c r="BV332">
        <v>0</v>
      </c>
      <c r="BW332">
        <v>1</v>
      </c>
      <c r="BX332">
        <v>0</v>
      </c>
      <c r="BY332">
        <v>0</v>
      </c>
      <c r="BZ332" s="18">
        <v>0</v>
      </c>
      <c r="CA332">
        <v>0</v>
      </c>
      <c r="CB332">
        <v>0</v>
      </c>
      <c r="CC332">
        <v>0</v>
      </c>
      <c r="CD332" s="18">
        <v>1</v>
      </c>
      <c r="CE332">
        <v>0</v>
      </c>
      <c r="CF332">
        <v>0</v>
      </c>
      <c r="CG332">
        <v>0</v>
      </c>
      <c r="CH332">
        <v>0</v>
      </c>
      <c r="CI332" s="18">
        <v>0</v>
      </c>
      <c r="CJ332">
        <v>1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 s="18">
        <v>1</v>
      </c>
      <c r="CZ332" s="34" t="s">
        <v>87</v>
      </c>
    </row>
    <row r="333" spans="1:104" x14ac:dyDescent="0.25">
      <c r="A333">
        <v>332</v>
      </c>
      <c r="B333">
        <v>21</v>
      </c>
      <c r="C333" s="25" t="s">
        <v>245</v>
      </c>
      <c r="D333" s="12">
        <v>7.5</v>
      </c>
      <c r="E333" s="14">
        <v>0.03</v>
      </c>
      <c r="F333" s="7">
        <f t="shared" si="239"/>
        <v>250</v>
      </c>
      <c r="G333" s="7">
        <f t="shared" si="229"/>
        <v>7.47</v>
      </c>
      <c r="H333" s="16">
        <f t="shared" si="230"/>
        <v>7.53</v>
      </c>
      <c r="I333" s="11">
        <f t="shared" si="227"/>
        <v>0.28088274233337129</v>
      </c>
      <c r="J333" s="33">
        <f t="shared" si="228"/>
        <v>1.1235309693334852E-3</v>
      </c>
      <c r="K333" s="33">
        <f t="shared" si="235"/>
        <v>890.05112212726294</v>
      </c>
      <c r="L333" s="33">
        <f t="shared" si="236"/>
        <v>0.27975921136403781</v>
      </c>
      <c r="M333" s="33">
        <f t="shared" si="237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34"/>
        <v>729691</v>
      </c>
      <c r="Y333" s="7">
        <v>11.59</v>
      </c>
      <c r="Z333" s="7">
        <f t="shared" si="238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9">
        <v>0</v>
      </c>
      <c r="AL333" s="30">
        <v>1</v>
      </c>
      <c r="AM333" s="21">
        <v>1970</v>
      </c>
      <c r="AN333" s="23"/>
      <c r="AO333" s="33" t="s">
        <v>107</v>
      </c>
      <c r="AP333" s="33" t="s">
        <v>107</v>
      </c>
      <c r="AQ333" s="33" t="s">
        <v>107</v>
      </c>
      <c r="AR333" s="43" t="s">
        <v>107</v>
      </c>
      <c r="AS333" s="33" t="s">
        <v>107</v>
      </c>
      <c r="AT333" s="43" t="s">
        <v>107</v>
      </c>
      <c r="AU333" s="42" t="s">
        <v>107</v>
      </c>
      <c r="AV333" s="18" t="s">
        <v>107</v>
      </c>
      <c r="AW333">
        <v>1</v>
      </c>
      <c r="AX333" s="40">
        <v>0</v>
      </c>
      <c r="AY333" t="s">
        <v>107</v>
      </c>
      <c r="AZ333" s="40" t="s">
        <v>107</v>
      </c>
      <c r="BB333" s="18"/>
      <c r="BC333" t="s">
        <v>107</v>
      </c>
      <c r="BD333" s="18" t="s">
        <v>107</v>
      </c>
      <c r="BE333" s="18" t="s">
        <v>246</v>
      </c>
      <c r="BL333" s="18"/>
      <c r="BO333" s="18"/>
      <c r="BR333" s="25">
        <v>44.74</v>
      </c>
      <c r="BS333">
        <v>0</v>
      </c>
      <c r="BT333">
        <v>0</v>
      </c>
      <c r="BU333">
        <v>0</v>
      </c>
      <c r="BV333">
        <v>0</v>
      </c>
      <c r="BW333">
        <v>1</v>
      </c>
      <c r="BX333">
        <v>0</v>
      </c>
      <c r="BY333">
        <v>0</v>
      </c>
      <c r="BZ333" s="18">
        <v>0</v>
      </c>
      <c r="CA333">
        <v>0</v>
      </c>
      <c r="CB333">
        <v>0</v>
      </c>
      <c r="CC333">
        <v>0</v>
      </c>
      <c r="CD333" s="18">
        <v>1</v>
      </c>
      <c r="CE333">
        <v>0</v>
      </c>
      <c r="CF333">
        <v>0</v>
      </c>
      <c r="CG333">
        <v>0</v>
      </c>
      <c r="CH333">
        <v>0</v>
      </c>
      <c r="CI333" s="18">
        <v>0</v>
      </c>
      <c r="CJ333">
        <v>1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 s="18">
        <v>1</v>
      </c>
      <c r="CZ333" s="34" t="s">
        <v>87</v>
      </c>
    </row>
    <row r="334" spans="1:104" x14ac:dyDescent="0.25">
      <c r="A334">
        <v>333</v>
      </c>
      <c r="B334">
        <v>21</v>
      </c>
      <c r="C334" s="25" t="s">
        <v>245</v>
      </c>
      <c r="D334" s="12">
        <v>5.5</v>
      </c>
      <c r="E334" s="14">
        <v>0.2</v>
      </c>
      <c r="F334" s="7">
        <f t="shared" si="239"/>
        <v>27.5</v>
      </c>
      <c r="G334" s="7">
        <f t="shared" si="229"/>
        <v>5.3</v>
      </c>
      <c r="H334" s="16">
        <f t="shared" si="230"/>
        <v>5.7</v>
      </c>
      <c r="I334" s="11">
        <f t="shared" si="227"/>
        <v>0.20840959907803441</v>
      </c>
      <c r="J334" s="33">
        <f t="shared" si="228"/>
        <v>7.5785308755648879E-3</v>
      </c>
      <c r="K334" s="33">
        <f t="shared" si="235"/>
        <v>131.95169570717914</v>
      </c>
      <c r="L334" s="33">
        <f t="shared" si="236"/>
        <v>0.20083106820246951</v>
      </c>
      <c r="M334" s="33">
        <f t="shared" si="237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34"/>
        <v>16655</v>
      </c>
      <c r="Y334" s="7">
        <v>6.97</v>
      </c>
      <c r="Z334" s="7">
        <f t="shared" si="238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9">
        <v>0</v>
      </c>
      <c r="AL334" s="30">
        <v>1</v>
      </c>
      <c r="AM334" s="21">
        <v>1950</v>
      </c>
      <c r="AN334" s="23"/>
      <c r="AO334" s="33" t="s">
        <v>107</v>
      </c>
      <c r="AP334" s="33" t="s">
        <v>107</v>
      </c>
      <c r="AQ334" s="33" t="s">
        <v>107</v>
      </c>
      <c r="AR334" s="43" t="s">
        <v>107</v>
      </c>
      <c r="AS334" s="33" t="s">
        <v>107</v>
      </c>
      <c r="AT334" s="43" t="s">
        <v>107</v>
      </c>
      <c r="AU334" s="42" t="s">
        <v>107</v>
      </c>
      <c r="AV334" s="18" t="s">
        <v>107</v>
      </c>
      <c r="AW334">
        <v>1</v>
      </c>
      <c r="AX334" s="40">
        <v>0</v>
      </c>
      <c r="AY334" t="s">
        <v>107</v>
      </c>
      <c r="AZ334" s="40" t="s">
        <v>107</v>
      </c>
      <c r="BB334" s="18"/>
      <c r="BC334" t="s">
        <v>107</v>
      </c>
      <c r="BD334" s="18" t="s">
        <v>107</v>
      </c>
      <c r="BE334" s="18" t="s">
        <v>246</v>
      </c>
      <c r="BL334" s="18"/>
      <c r="BO334" s="18"/>
      <c r="BR334" s="25">
        <v>44.16</v>
      </c>
      <c r="BS334">
        <v>0</v>
      </c>
      <c r="BT334">
        <v>0</v>
      </c>
      <c r="BU334">
        <v>0</v>
      </c>
      <c r="BV334">
        <v>0</v>
      </c>
      <c r="BW334">
        <v>1</v>
      </c>
      <c r="BX334">
        <v>0</v>
      </c>
      <c r="BY334">
        <v>0</v>
      </c>
      <c r="BZ334" s="18">
        <v>0</v>
      </c>
      <c r="CA334">
        <v>0</v>
      </c>
      <c r="CB334">
        <v>0</v>
      </c>
      <c r="CC334">
        <v>0</v>
      </c>
      <c r="CD334" s="18">
        <v>1</v>
      </c>
      <c r="CE334">
        <v>0</v>
      </c>
      <c r="CF334">
        <v>0</v>
      </c>
      <c r="CG334">
        <v>0</v>
      </c>
      <c r="CH334">
        <v>0</v>
      </c>
      <c r="CI334" s="18">
        <v>0</v>
      </c>
      <c r="CJ334">
        <v>1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 s="18">
        <v>1</v>
      </c>
      <c r="CZ334" s="34" t="s">
        <v>87</v>
      </c>
    </row>
    <row r="335" spans="1:104" x14ac:dyDescent="0.25">
      <c r="A335">
        <v>334</v>
      </c>
      <c r="B335">
        <v>21</v>
      </c>
      <c r="C335" s="25" t="s">
        <v>245</v>
      </c>
      <c r="D335" s="12">
        <v>6.9</v>
      </c>
      <c r="E335" s="14">
        <v>0.1</v>
      </c>
      <c r="F335" s="7">
        <f t="shared" si="239"/>
        <v>69</v>
      </c>
      <c r="G335" s="7">
        <f t="shared" si="229"/>
        <v>6.8000000000000007</v>
      </c>
      <c r="H335" s="16">
        <f t="shared" si="230"/>
        <v>7</v>
      </c>
      <c r="I335" s="11">
        <f t="shared" si="227"/>
        <v>0.248495818581531</v>
      </c>
      <c r="J335" s="33">
        <f t="shared" si="228"/>
        <v>3.6013886750946517E-3</v>
      </c>
      <c r="K335" s="33">
        <f t="shared" si="235"/>
        <v>277.67066823847279</v>
      </c>
      <c r="L335" s="33">
        <f t="shared" si="236"/>
        <v>0.24489442990643634</v>
      </c>
      <c r="M335" s="33">
        <f t="shared" si="237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34"/>
        <v>72340</v>
      </c>
      <c r="Y335" s="7">
        <v>10.52</v>
      </c>
      <c r="Z335" s="7">
        <f t="shared" si="238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9">
        <v>0</v>
      </c>
      <c r="AL335" s="30">
        <v>1</v>
      </c>
      <c r="AM335" s="21">
        <v>1960</v>
      </c>
      <c r="AN335" s="23"/>
      <c r="AO335" s="33" t="s">
        <v>107</v>
      </c>
      <c r="AP335" s="33" t="s">
        <v>107</v>
      </c>
      <c r="AQ335" s="33" t="s">
        <v>107</v>
      </c>
      <c r="AR335" s="43" t="s">
        <v>107</v>
      </c>
      <c r="AS335" s="33" t="s">
        <v>107</v>
      </c>
      <c r="AT335" s="43" t="s">
        <v>107</v>
      </c>
      <c r="AU335" s="42" t="s">
        <v>107</v>
      </c>
      <c r="AV335" s="18" t="s">
        <v>107</v>
      </c>
      <c r="AW335">
        <v>1</v>
      </c>
      <c r="AX335" s="40">
        <v>0</v>
      </c>
      <c r="AY335" t="s">
        <v>107</v>
      </c>
      <c r="AZ335" s="40" t="s">
        <v>107</v>
      </c>
      <c r="BB335" s="18"/>
      <c r="BC335" t="s">
        <v>107</v>
      </c>
      <c r="BD335" s="18" t="s">
        <v>107</v>
      </c>
      <c r="BE335" s="18" t="s">
        <v>246</v>
      </c>
      <c r="BL335" s="18"/>
      <c r="BO335" s="18"/>
      <c r="BR335" s="25">
        <v>44.55</v>
      </c>
      <c r="BS335">
        <v>0</v>
      </c>
      <c r="BT335">
        <v>0</v>
      </c>
      <c r="BU335">
        <v>0</v>
      </c>
      <c r="BV335">
        <v>0</v>
      </c>
      <c r="BW335">
        <v>1</v>
      </c>
      <c r="BX335">
        <v>0</v>
      </c>
      <c r="BY335">
        <v>0</v>
      </c>
      <c r="BZ335" s="18">
        <v>0</v>
      </c>
      <c r="CA335">
        <v>0</v>
      </c>
      <c r="CB335">
        <v>0</v>
      </c>
      <c r="CC335">
        <v>0</v>
      </c>
      <c r="CD335" s="18">
        <v>1</v>
      </c>
      <c r="CE335">
        <v>0</v>
      </c>
      <c r="CF335">
        <v>0</v>
      </c>
      <c r="CG335">
        <v>0</v>
      </c>
      <c r="CH335">
        <v>0</v>
      </c>
      <c r="CI335" s="18">
        <v>0</v>
      </c>
      <c r="CJ335">
        <v>1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 s="18">
        <v>1</v>
      </c>
      <c r="CZ335" s="34" t="s">
        <v>87</v>
      </c>
    </row>
    <row r="336" spans="1:104" x14ac:dyDescent="0.25">
      <c r="A336">
        <v>335</v>
      </c>
      <c r="B336">
        <v>21</v>
      </c>
      <c r="C336" s="25" t="s">
        <v>245</v>
      </c>
      <c r="D336" s="12">
        <v>7.6</v>
      </c>
      <c r="E336" s="14">
        <v>0.1</v>
      </c>
      <c r="F336" s="7">
        <f t="shared" si="239"/>
        <v>75.999999999999986</v>
      </c>
      <c r="G336" s="7">
        <f t="shared" si="229"/>
        <v>7.5</v>
      </c>
      <c r="H336" s="16">
        <f t="shared" si="230"/>
        <v>7.6999999999999993</v>
      </c>
      <c r="I336" s="11">
        <f t="shared" si="227"/>
        <v>0.18608624280062647</v>
      </c>
      <c r="J336" s="33">
        <f t="shared" si="228"/>
        <v>2.4485031947450858E-3</v>
      </c>
      <c r="K336" s="33">
        <f t="shared" si="235"/>
        <v>408.41278138667496</v>
      </c>
      <c r="L336" s="33">
        <f t="shared" si="236"/>
        <v>0.18363773960588137</v>
      </c>
      <c r="M336" s="33">
        <f t="shared" si="237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34"/>
        <v>161025</v>
      </c>
      <c r="Y336" s="7">
        <v>11.59</v>
      </c>
      <c r="Z336" s="7">
        <f t="shared" si="238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9">
        <v>0</v>
      </c>
      <c r="AL336" s="30">
        <v>1</v>
      </c>
      <c r="AM336" s="21">
        <v>1970</v>
      </c>
      <c r="AN336" s="23"/>
      <c r="AO336" s="33" t="s">
        <v>107</v>
      </c>
      <c r="AP336" s="33" t="s">
        <v>107</v>
      </c>
      <c r="AQ336" s="33" t="s">
        <v>107</v>
      </c>
      <c r="AR336" s="43" t="s">
        <v>107</v>
      </c>
      <c r="AS336" s="33" t="s">
        <v>107</v>
      </c>
      <c r="AT336" s="43" t="s">
        <v>107</v>
      </c>
      <c r="AU336" s="42" t="s">
        <v>107</v>
      </c>
      <c r="AV336" s="18" t="s">
        <v>107</v>
      </c>
      <c r="AW336">
        <v>1</v>
      </c>
      <c r="AX336" s="40">
        <v>0</v>
      </c>
      <c r="AY336" t="s">
        <v>107</v>
      </c>
      <c r="AZ336" s="40" t="s">
        <v>107</v>
      </c>
      <c r="BB336" s="18"/>
      <c r="BC336" t="s">
        <v>107</v>
      </c>
      <c r="BD336" s="18" t="s">
        <v>107</v>
      </c>
      <c r="BE336" s="18" t="s">
        <v>246</v>
      </c>
      <c r="BL336" s="18"/>
      <c r="BO336" s="18"/>
      <c r="BR336" s="25">
        <v>44.74</v>
      </c>
      <c r="BS336">
        <v>0</v>
      </c>
      <c r="BT336">
        <v>0</v>
      </c>
      <c r="BU336">
        <v>0</v>
      </c>
      <c r="BV336">
        <v>0</v>
      </c>
      <c r="BW336">
        <v>1</v>
      </c>
      <c r="BX336">
        <v>0</v>
      </c>
      <c r="BY336">
        <v>0</v>
      </c>
      <c r="BZ336" s="18">
        <v>0</v>
      </c>
      <c r="CA336">
        <v>0</v>
      </c>
      <c r="CB336">
        <v>0</v>
      </c>
      <c r="CC336">
        <v>0</v>
      </c>
      <c r="CD336" s="18">
        <v>1</v>
      </c>
      <c r="CE336">
        <v>0</v>
      </c>
      <c r="CF336">
        <v>0</v>
      </c>
      <c r="CG336">
        <v>0</v>
      </c>
      <c r="CH336">
        <v>0</v>
      </c>
      <c r="CI336" s="18">
        <v>0</v>
      </c>
      <c r="CJ336">
        <v>1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 s="18">
        <v>1</v>
      </c>
      <c r="CZ336" s="34" t="s">
        <v>87</v>
      </c>
    </row>
    <row r="337" spans="1:104" x14ac:dyDescent="0.25">
      <c r="A337">
        <v>336</v>
      </c>
      <c r="B337">
        <v>21</v>
      </c>
      <c r="C337" s="25" t="s">
        <v>245</v>
      </c>
      <c r="D337" s="12">
        <v>7.5</v>
      </c>
      <c r="E337" s="14">
        <v>0.1</v>
      </c>
      <c r="F337" s="7">
        <f t="shared" si="239"/>
        <v>75</v>
      </c>
      <c r="G337" s="7">
        <f t="shared" si="229"/>
        <v>7.4</v>
      </c>
      <c r="H337" s="16">
        <f t="shared" si="230"/>
        <v>7.6</v>
      </c>
      <c r="I337" s="11">
        <f t="shared" si="227"/>
        <v>0.1213312702998607</v>
      </c>
      <c r="J337" s="33">
        <f t="shared" si="228"/>
        <v>1.6177502706648094E-3</v>
      </c>
      <c r="K337" s="33">
        <f t="shared" si="235"/>
        <v>618.14237842102364</v>
      </c>
      <c r="L337" s="33">
        <f t="shared" si="236"/>
        <v>0.11971352002919589</v>
      </c>
      <c r="M337" s="33">
        <f t="shared" si="237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34"/>
        <v>376475</v>
      </c>
      <c r="Y337" s="7">
        <v>12.62</v>
      </c>
      <c r="Z337" s="7">
        <f t="shared" si="238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9">
        <v>0</v>
      </c>
      <c r="AL337" s="30">
        <v>1</v>
      </c>
      <c r="AM337" s="21">
        <v>1980</v>
      </c>
      <c r="AN337" s="23"/>
      <c r="AO337" s="33" t="s">
        <v>107</v>
      </c>
      <c r="AP337" s="33" t="s">
        <v>107</v>
      </c>
      <c r="AQ337" s="33" t="s">
        <v>107</v>
      </c>
      <c r="AR337" s="43" t="s">
        <v>107</v>
      </c>
      <c r="AS337" s="33" t="s">
        <v>107</v>
      </c>
      <c r="AT337" s="43" t="s">
        <v>107</v>
      </c>
      <c r="AU337" s="42" t="s">
        <v>107</v>
      </c>
      <c r="AV337" s="18" t="s">
        <v>107</v>
      </c>
      <c r="AW337">
        <v>1</v>
      </c>
      <c r="AX337" s="40">
        <v>0</v>
      </c>
      <c r="AY337" t="s">
        <v>107</v>
      </c>
      <c r="AZ337" s="40" t="s">
        <v>107</v>
      </c>
      <c r="BB337" s="18"/>
      <c r="BC337" t="s">
        <v>107</v>
      </c>
      <c r="BD337" s="18" t="s">
        <v>107</v>
      </c>
      <c r="BE337" s="18" t="s">
        <v>246</v>
      </c>
      <c r="BL337" s="18"/>
      <c r="BO337" s="18"/>
      <c r="BR337" s="25">
        <v>44.66</v>
      </c>
      <c r="BS337">
        <v>0</v>
      </c>
      <c r="BT337">
        <v>0</v>
      </c>
      <c r="BU337">
        <v>0</v>
      </c>
      <c r="BV337">
        <v>0</v>
      </c>
      <c r="BW337">
        <v>1</v>
      </c>
      <c r="BX337">
        <v>0</v>
      </c>
      <c r="BY337">
        <v>0</v>
      </c>
      <c r="BZ337" s="18">
        <v>0</v>
      </c>
      <c r="CA337">
        <v>0</v>
      </c>
      <c r="CB337">
        <v>0</v>
      </c>
      <c r="CC337">
        <v>0</v>
      </c>
      <c r="CD337" s="18">
        <v>1</v>
      </c>
      <c r="CE337">
        <v>0</v>
      </c>
      <c r="CF337">
        <v>0</v>
      </c>
      <c r="CG337">
        <v>0</v>
      </c>
      <c r="CH337">
        <v>0</v>
      </c>
      <c r="CI337" s="18">
        <v>0</v>
      </c>
      <c r="CJ337">
        <v>1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 s="18">
        <v>1</v>
      </c>
      <c r="CZ337" s="34" t="s">
        <v>87</v>
      </c>
    </row>
    <row r="338" spans="1:104" x14ac:dyDescent="0.25">
      <c r="A338">
        <v>337</v>
      </c>
      <c r="B338">
        <v>21</v>
      </c>
      <c r="C338" s="25" t="s">
        <v>245</v>
      </c>
      <c r="D338" s="12">
        <v>10.199999999999999</v>
      </c>
      <c r="E338" s="14">
        <v>0.1</v>
      </c>
      <c r="F338" s="7">
        <f t="shared" si="239"/>
        <v>101.99999999999999</v>
      </c>
      <c r="G338" s="7">
        <f t="shared" si="229"/>
        <v>10.1</v>
      </c>
      <c r="H338" s="16">
        <f t="shared" si="230"/>
        <v>10.299999999999999</v>
      </c>
      <c r="I338" s="11">
        <f t="shared" si="227"/>
        <v>0.30265063701510003</v>
      </c>
      <c r="J338" s="33">
        <f t="shared" si="228"/>
        <v>2.9671631079911773E-3</v>
      </c>
      <c r="K338" s="33">
        <f t="shared" si="235"/>
        <v>337.02225445806988</v>
      </c>
      <c r="L338" s="33">
        <f t="shared" si="236"/>
        <v>0.29968347390710887</v>
      </c>
      <c r="M338" s="33">
        <f t="shared" si="237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34"/>
        <v>103180</v>
      </c>
      <c r="Y338" s="7">
        <v>13.7</v>
      </c>
      <c r="Z338" s="7">
        <f t="shared" si="238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9">
        <v>0</v>
      </c>
      <c r="AL338" s="30">
        <v>1</v>
      </c>
      <c r="AM338" s="21">
        <v>1990</v>
      </c>
      <c r="AN338" s="23"/>
      <c r="AO338" s="33" t="s">
        <v>107</v>
      </c>
      <c r="AP338" s="33" t="s">
        <v>107</v>
      </c>
      <c r="AQ338" s="33" t="s">
        <v>107</v>
      </c>
      <c r="AR338" s="43" t="s">
        <v>107</v>
      </c>
      <c r="AS338" s="33" t="s">
        <v>107</v>
      </c>
      <c r="AT338" s="43" t="s">
        <v>107</v>
      </c>
      <c r="AU338" s="42" t="s">
        <v>107</v>
      </c>
      <c r="AV338" s="18" t="s">
        <v>107</v>
      </c>
      <c r="AW338">
        <v>1</v>
      </c>
      <c r="AX338" s="40">
        <v>0</v>
      </c>
      <c r="AY338" t="s">
        <v>107</v>
      </c>
      <c r="AZ338" s="40" t="s">
        <v>107</v>
      </c>
      <c r="BB338" s="18"/>
      <c r="BC338" t="s">
        <v>107</v>
      </c>
      <c r="BD338" s="18" t="s">
        <v>107</v>
      </c>
      <c r="BE338" s="18" t="s">
        <v>246</v>
      </c>
      <c r="BL338" s="18"/>
      <c r="BO338" s="18"/>
      <c r="BR338" s="25">
        <v>44.1</v>
      </c>
      <c r="BS338">
        <v>0</v>
      </c>
      <c r="BT338">
        <v>0</v>
      </c>
      <c r="BU338">
        <v>0</v>
      </c>
      <c r="BV338">
        <v>0</v>
      </c>
      <c r="BW338">
        <v>1</v>
      </c>
      <c r="BX338">
        <v>0</v>
      </c>
      <c r="BY338">
        <v>0</v>
      </c>
      <c r="BZ338" s="18">
        <v>0</v>
      </c>
      <c r="CA338">
        <v>0</v>
      </c>
      <c r="CB338">
        <v>0</v>
      </c>
      <c r="CC338">
        <v>0</v>
      </c>
      <c r="CD338" s="18">
        <v>1</v>
      </c>
      <c r="CE338">
        <v>0</v>
      </c>
      <c r="CF338">
        <v>0</v>
      </c>
      <c r="CG338">
        <v>0</v>
      </c>
      <c r="CH338">
        <v>0</v>
      </c>
      <c r="CI338" s="18">
        <v>0</v>
      </c>
      <c r="CJ338">
        <v>1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 s="18">
        <v>1</v>
      </c>
      <c r="CZ338" s="34" t="s">
        <v>87</v>
      </c>
    </row>
    <row r="339" spans="1:104" x14ac:dyDescent="0.25">
      <c r="A339">
        <v>338</v>
      </c>
      <c r="B339">
        <v>21</v>
      </c>
      <c r="C339" s="25" t="s">
        <v>245</v>
      </c>
      <c r="D339" s="12">
        <v>7.4</v>
      </c>
      <c r="E339" s="14">
        <v>1.2</v>
      </c>
      <c r="F339" s="7">
        <f t="shared" si="239"/>
        <v>6.166666666666667</v>
      </c>
      <c r="G339" s="7">
        <f t="shared" si="229"/>
        <v>6.2</v>
      </c>
      <c r="H339" s="16">
        <f t="shared" si="230"/>
        <v>8.6</v>
      </c>
      <c r="I339" s="11">
        <f t="shared" si="227"/>
        <v>7.8963906215058065E-3</v>
      </c>
      <c r="J339" s="33">
        <f t="shared" si="228"/>
        <v>1.280495776460401E-3</v>
      </c>
      <c r="K339" s="33">
        <f t="shared" si="235"/>
        <v>780.94751922121998</v>
      </c>
      <c r="L339" s="33">
        <f t="shared" si="236"/>
        <v>6.6158948450454058E-3</v>
      </c>
      <c r="M339" s="33">
        <f t="shared" si="237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34"/>
        <v>609841</v>
      </c>
      <c r="Y339" s="7">
        <v>11.59</v>
      </c>
      <c r="Z339" s="7">
        <f t="shared" si="238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9">
        <v>0</v>
      </c>
      <c r="AL339" s="30">
        <v>1</v>
      </c>
      <c r="AM339" s="21">
        <v>1970</v>
      </c>
      <c r="AN339" s="23"/>
      <c r="AO339" s="33" t="s">
        <v>107</v>
      </c>
      <c r="AP339" s="33" t="s">
        <v>107</v>
      </c>
      <c r="AQ339" s="33" t="s">
        <v>107</v>
      </c>
      <c r="AR339" s="43" t="s">
        <v>107</v>
      </c>
      <c r="AS339" s="33" t="s">
        <v>107</v>
      </c>
      <c r="AT339" s="43" t="s">
        <v>107</v>
      </c>
      <c r="AU339" s="42" t="s">
        <v>107</v>
      </c>
      <c r="AV339" s="18" t="s">
        <v>107</v>
      </c>
      <c r="AW339">
        <v>1</v>
      </c>
      <c r="AX339" s="40">
        <v>0</v>
      </c>
      <c r="AY339" t="s">
        <v>107</v>
      </c>
      <c r="AZ339" s="40" t="s">
        <v>107</v>
      </c>
      <c r="BB339" s="18"/>
      <c r="BC339" t="s">
        <v>107</v>
      </c>
      <c r="BD339" s="18" t="s">
        <v>107</v>
      </c>
      <c r="BE339" s="18" t="s">
        <v>246</v>
      </c>
      <c r="BL339" s="18"/>
      <c r="BO339" s="18"/>
      <c r="BR339" s="25">
        <v>44.74</v>
      </c>
      <c r="BS339">
        <v>0</v>
      </c>
      <c r="BT339">
        <v>0</v>
      </c>
      <c r="BU339">
        <v>0</v>
      </c>
      <c r="BV339">
        <v>0</v>
      </c>
      <c r="BW339">
        <v>1</v>
      </c>
      <c r="BX339">
        <v>0</v>
      </c>
      <c r="BY339">
        <v>0</v>
      </c>
      <c r="BZ339" s="18">
        <v>0</v>
      </c>
      <c r="CA339">
        <v>0</v>
      </c>
      <c r="CB339">
        <v>0</v>
      </c>
      <c r="CC339">
        <v>0</v>
      </c>
      <c r="CD339" s="18">
        <v>1</v>
      </c>
      <c r="CE339">
        <v>0</v>
      </c>
      <c r="CF339">
        <v>0</v>
      </c>
      <c r="CG339">
        <v>0</v>
      </c>
      <c r="CH339">
        <v>0</v>
      </c>
      <c r="CI339" s="18">
        <v>0</v>
      </c>
      <c r="CJ339">
        <v>1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 s="18">
        <v>1</v>
      </c>
      <c r="CZ339" s="34" t="s">
        <v>87</v>
      </c>
    </row>
    <row r="340" spans="1:104" x14ac:dyDescent="0.25">
      <c r="A340">
        <v>339</v>
      </c>
      <c r="B340">
        <v>21</v>
      </c>
      <c r="C340" s="25" t="s">
        <v>245</v>
      </c>
      <c r="D340" s="12">
        <v>7.4</v>
      </c>
      <c r="E340" s="14">
        <v>1.2</v>
      </c>
      <c r="F340" s="7">
        <f t="shared" si="239"/>
        <v>6.166666666666667</v>
      </c>
      <c r="G340" s="7">
        <f t="shared" si="229"/>
        <v>6.2</v>
      </c>
      <c r="H340" s="16">
        <f t="shared" si="230"/>
        <v>8.6</v>
      </c>
      <c r="I340" s="11">
        <f t="shared" si="227"/>
        <v>7.8963906215058065E-3</v>
      </c>
      <c r="J340" s="33">
        <f t="shared" si="228"/>
        <v>1.280495776460401E-3</v>
      </c>
      <c r="K340" s="33">
        <f t="shared" si="235"/>
        <v>780.94751922121998</v>
      </c>
      <c r="L340" s="33">
        <f t="shared" si="236"/>
        <v>6.6158948450454058E-3</v>
      </c>
      <c r="M340" s="33">
        <f t="shared" si="237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34"/>
        <v>609841</v>
      </c>
      <c r="Y340" s="7">
        <v>11.59</v>
      </c>
      <c r="Z340" s="7">
        <f t="shared" si="238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9">
        <v>0</v>
      </c>
      <c r="AL340" s="30">
        <v>1</v>
      </c>
      <c r="AM340" s="21">
        <v>1970</v>
      </c>
      <c r="AN340" s="23"/>
      <c r="AO340" s="33" t="s">
        <v>107</v>
      </c>
      <c r="AP340" s="33" t="s">
        <v>107</v>
      </c>
      <c r="AQ340" s="33" t="s">
        <v>107</v>
      </c>
      <c r="AR340" s="43" t="s">
        <v>107</v>
      </c>
      <c r="AS340" s="33" t="s">
        <v>107</v>
      </c>
      <c r="AT340" s="43" t="s">
        <v>107</v>
      </c>
      <c r="AU340" s="42" t="s">
        <v>107</v>
      </c>
      <c r="AV340" s="18" t="s">
        <v>107</v>
      </c>
      <c r="AW340">
        <v>1</v>
      </c>
      <c r="AX340" s="40">
        <v>0</v>
      </c>
      <c r="AY340" t="s">
        <v>107</v>
      </c>
      <c r="AZ340" s="40" t="s">
        <v>107</v>
      </c>
      <c r="BB340" s="18"/>
      <c r="BC340" t="s">
        <v>107</v>
      </c>
      <c r="BD340" s="18" t="s">
        <v>107</v>
      </c>
      <c r="BE340" s="18" t="s">
        <v>246</v>
      </c>
      <c r="BL340" s="18"/>
      <c r="BO340" s="18"/>
      <c r="BR340" s="25">
        <v>44.74</v>
      </c>
      <c r="BS340">
        <v>0</v>
      </c>
      <c r="BT340">
        <v>0</v>
      </c>
      <c r="BU340">
        <v>0</v>
      </c>
      <c r="BV340">
        <v>0</v>
      </c>
      <c r="BW340">
        <v>1</v>
      </c>
      <c r="BX340">
        <v>0</v>
      </c>
      <c r="BY340">
        <v>0</v>
      </c>
      <c r="BZ340" s="18">
        <v>0</v>
      </c>
      <c r="CA340">
        <v>0</v>
      </c>
      <c r="CB340">
        <v>0</v>
      </c>
      <c r="CC340">
        <v>0</v>
      </c>
      <c r="CD340" s="18">
        <v>1</v>
      </c>
      <c r="CE340">
        <v>0</v>
      </c>
      <c r="CF340">
        <v>0</v>
      </c>
      <c r="CG340">
        <v>0</v>
      </c>
      <c r="CH340">
        <v>0</v>
      </c>
      <c r="CI340" s="18">
        <v>0</v>
      </c>
      <c r="CJ340">
        <v>1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 s="18">
        <v>1</v>
      </c>
      <c r="CZ340" s="34" t="s">
        <v>87</v>
      </c>
    </row>
    <row r="341" spans="1:104" x14ac:dyDescent="0.25">
      <c r="A341">
        <v>340</v>
      </c>
      <c r="B341">
        <v>21</v>
      </c>
      <c r="C341" s="25" t="s">
        <v>245</v>
      </c>
      <c r="D341" s="12">
        <v>7.5</v>
      </c>
      <c r="E341" s="14">
        <v>1.2</v>
      </c>
      <c r="F341" s="7">
        <f t="shared" si="239"/>
        <v>6.25</v>
      </c>
      <c r="G341" s="7">
        <f t="shared" si="229"/>
        <v>6.3</v>
      </c>
      <c r="H341" s="16">
        <f t="shared" si="230"/>
        <v>8.6999999999999993</v>
      </c>
      <c r="I341" s="11">
        <f t="shared" si="227"/>
        <v>8.0030983750574436E-3</v>
      </c>
      <c r="J341" s="33">
        <f t="shared" si="228"/>
        <v>1.2804957400091911E-3</v>
      </c>
      <c r="K341" s="33">
        <f t="shared" si="235"/>
        <v>780.94754145204911</v>
      </c>
      <c r="L341" s="33">
        <f t="shared" si="236"/>
        <v>6.722602635048253E-3</v>
      </c>
      <c r="M341" s="33">
        <f t="shared" si="237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34"/>
        <v>609840</v>
      </c>
      <c r="Y341" s="7">
        <v>11.59</v>
      </c>
      <c r="Z341" s="7">
        <f t="shared" si="238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9">
        <v>0</v>
      </c>
      <c r="AL341" s="30">
        <v>1</v>
      </c>
      <c r="AM341" s="21">
        <v>1970</v>
      </c>
      <c r="AN341" s="23"/>
      <c r="AO341" s="33" t="s">
        <v>107</v>
      </c>
      <c r="AP341" s="33" t="s">
        <v>107</v>
      </c>
      <c r="AQ341" s="33" t="s">
        <v>107</v>
      </c>
      <c r="AR341" s="43" t="s">
        <v>107</v>
      </c>
      <c r="AS341" s="33" t="s">
        <v>107</v>
      </c>
      <c r="AT341" s="43" t="s">
        <v>107</v>
      </c>
      <c r="AU341" s="42" t="s">
        <v>107</v>
      </c>
      <c r="AV341" s="18" t="s">
        <v>107</v>
      </c>
      <c r="AW341">
        <v>1</v>
      </c>
      <c r="AX341" s="40">
        <v>0</v>
      </c>
      <c r="AY341" t="s">
        <v>107</v>
      </c>
      <c r="AZ341" s="40" t="s">
        <v>107</v>
      </c>
      <c r="BB341" s="18"/>
      <c r="BC341" t="s">
        <v>107</v>
      </c>
      <c r="BD341" s="18" t="s">
        <v>107</v>
      </c>
      <c r="BE341" s="18" t="s">
        <v>246</v>
      </c>
      <c r="BL341" s="18"/>
      <c r="BO341" s="18"/>
      <c r="BR341" s="25">
        <v>44.74</v>
      </c>
      <c r="BS341">
        <v>0</v>
      </c>
      <c r="BT341">
        <v>0</v>
      </c>
      <c r="BU341">
        <v>0</v>
      </c>
      <c r="BV341">
        <v>0</v>
      </c>
      <c r="BW341">
        <v>1</v>
      </c>
      <c r="BX341">
        <v>0</v>
      </c>
      <c r="BY341">
        <v>0</v>
      </c>
      <c r="BZ341" s="18">
        <v>0</v>
      </c>
      <c r="CA341">
        <v>0</v>
      </c>
      <c r="CB341">
        <v>0</v>
      </c>
      <c r="CC341">
        <v>0</v>
      </c>
      <c r="CD341" s="18">
        <v>1</v>
      </c>
      <c r="CE341">
        <v>0</v>
      </c>
      <c r="CF341">
        <v>0</v>
      </c>
      <c r="CG341">
        <v>0</v>
      </c>
      <c r="CH341">
        <v>0</v>
      </c>
      <c r="CI341" s="18">
        <v>0</v>
      </c>
      <c r="CJ341">
        <v>1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 s="18">
        <v>1</v>
      </c>
      <c r="CZ341" s="34" t="s">
        <v>87</v>
      </c>
    </row>
    <row r="342" spans="1:104" x14ac:dyDescent="0.25">
      <c r="A342">
        <v>341</v>
      </c>
      <c r="B342">
        <v>21</v>
      </c>
      <c r="C342" s="25" t="s">
        <v>245</v>
      </c>
      <c r="D342" s="12">
        <v>6</v>
      </c>
      <c r="E342" s="14">
        <v>1.3</v>
      </c>
      <c r="F342" s="7">
        <f t="shared" si="239"/>
        <v>4.615384615384615</v>
      </c>
      <c r="G342" s="7">
        <f t="shared" si="229"/>
        <v>4.7</v>
      </c>
      <c r="H342" s="16">
        <f t="shared" si="230"/>
        <v>7.3</v>
      </c>
      <c r="I342" s="11">
        <f t="shared" si="227"/>
        <v>5.9100712401924313E-3</v>
      </c>
      <c r="J342" s="33">
        <f t="shared" si="228"/>
        <v>1.2805154353750267E-3</v>
      </c>
      <c r="K342" s="33">
        <f t="shared" si="235"/>
        <v>780.93552984554879</v>
      </c>
      <c r="L342" s="33">
        <f t="shared" si="236"/>
        <v>4.6295558048174042E-3</v>
      </c>
      <c r="M342" s="33">
        <f t="shared" si="237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34"/>
        <v>609839</v>
      </c>
      <c r="Y342" s="7">
        <v>11.59</v>
      </c>
      <c r="Z342" s="7">
        <f t="shared" si="238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9">
        <v>0</v>
      </c>
      <c r="AL342" s="30">
        <v>1</v>
      </c>
      <c r="AM342" s="21">
        <v>1970</v>
      </c>
      <c r="AN342" s="23"/>
      <c r="AO342" s="33" t="s">
        <v>107</v>
      </c>
      <c r="AP342" s="33" t="s">
        <v>107</v>
      </c>
      <c r="AQ342" s="33" t="s">
        <v>107</v>
      </c>
      <c r="AR342" s="43" t="s">
        <v>107</v>
      </c>
      <c r="AS342" s="33" t="s">
        <v>107</v>
      </c>
      <c r="AT342" s="43" t="s">
        <v>107</v>
      </c>
      <c r="AU342" s="42" t="s">
        <v>107</v>
      </c>
      <c r="AV342" s="18" t="s">
        <v>107</v>
      </c>
      <c r="AW342">
        <v>1</v>
      </c>
      <c r="AX342" s="40">
        <v>0</v>
      </c>
      <c r="AY342" t="s">
        <v>107</v>
      </c>
      <c r="AZ342" s="40" t="s">
        <v>107</v>
      </c>
      <c r="BB342" s="18"/>
      <c r="BC342" t="s">
        <v>107</v>
      </c>
      <c r="BD342" s="18" t="s">
        <v>107</v>
      </c>
      <c r="BE342" s="18" t="s">
        <v>246</v>
      </c>
      <c r="BL342" s="18"/>
      <c r="BO342" s="18"/>
      <c r="BR342" s="25">
        <v>44.74</v>
      </c>
      <c r="BS342">
        <v>0</v>
      </c>
      <c r="BT342">
        <v>0</v>
      </c>
      <c r="BU342">
        <v>0</v>
      </c>
      <c r="BV342">
        <v>0</v>
      </c>
      <c r="BW342">
        <v>1</v>
      </c>
      <c r="BX342">
        <v>0</v>
      </c>
      <c r="BY342">
        <v>0</v>
      </c>
      <c r="BZ342" s="18">
        <v>0</v>
      </c>
      <c r="CA342">
        <v>0</v>
      </c>
      <c r="CB342">
        <v>0</v>
      </c>
      <c r="CC342">
        <v>0</v>
      </c>
      <c r="CD342" s="18">
        <v>1</v>
      </c>
      <c r="CE342">
        <v>0</v>
      </c>
      <c r="CF342">
        <v>0</v>
      </c>
      <c r="CG342">
        <v>0</v>
      </c>
      <c r="CH342">
        <v>0</v>
      </c>
      <c r="CI342" s="18">
        <v>0</v>
      </c>
      <c r="CJ342">
        <v>1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 s="18">
        <v>1</v>
      </c>
      <c r="CZ342" s="34" t="s">
        <v>87</v>
      </c>
    </row>
    <row r="343" spans="1:104" x14ac:dyDescent="0.25">
      <c r="A343">
        <v>342</v>
      </c>
      <c r="B343">
        <v>21</v>
      </c>
      <c r="C343" s="25" t="s">
        <v>245</v>
      </c>
      <c r="D343" s="12">
        <v>7.3</v>
      </c>
      <c r="E343" s="14">
        <v>0.03</v>
      </c>
      <c r="F343" s="7">
        <f t="shared" si="239"/>
        <v>243.33333333333334</v>
      </c>
      <c r="G343" s="7">
        <f t="shared" si="229"/>
        <v>7.27</v>
      </c>
      <c r="H343" s="16">
        <f t="shared" si="230"/>
        <v>7.33</v>
      </c>
      <c r="I343" s="11">
        <f t="shared" si="227"/>
        <v>0.29748927147720233</v>
      </c>
      <c r="J343" s="33">
        <f t="shared" si="228"/>
        <v>1.2225586499063107E-3</v>
      </c>
      <c r="K343" s="33">
        <f t="shared" si="235"/>
        <v>817.95666823561692</v>
      </c>
      <c r="L343" s="33">
        <f t="shared" si="236"/>
        <v>0.296266712827296</v>
      </c>
      <c r="M343" s="33">
        <f t="shared" si="237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34"/>
        <v>609842</v>
      </c>
      <c r="Y343" s="7">
        <v>11.59</v>
      </c>
      <c r="Z343" s="7">
        <f t="shared" si="238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9">
        <v>0</v>
      </c>
      <c r="AL343" s="30">
        <v>1</v>
      </c>
      <c r="AM343" s="21">
        <v>1970</v>
      </c>
      <c r="AN343" s="23"/>
      <c r="AO343" s="33" t="s">
        <v>107</v>
      </c>
      <c r="AP343" s="33" t="s">
        <v>107</v>
      </c>
      <c r="AQ343" s="33" t="s">
        <v>107</v>
      </c>
      <c r="AR343" s="43" t="s">
        <v>107</v>
      </c>
      <c r="AS343" s="33" t="s">
        <v>107</v>
      </c>
      <c r="AT343" s="43" t="s">
        <v>107</v>
      </c>
      <c r="AU343" s="42" t="s">
        <v>107</v>
      </c>
      <c r="AV343" s="18" t="s">
        <v>107</v>
      </c>
      <c r="AW343">
        <v>1</v>
      </c>
      <c r="AX343" s="40">
        <v>0</v>
      </c>
      <c r="AY343" t="s">
        <v>107</v>
      </c>
      <c r="AZ343" s="40" t="s">
        <v>107</v>
      </c>
      <c r="BB343" s="18"/>
      <c r="BC343" t="s">
        <v>107</v>
      </c>
      <c r="BD343" s="18" t="s">
        <v>107</v>
      </c>
      <c r="BE343" s="18" t="s">
        <v>246</v>
      </c>
      <c r="BL343" s="18"/>
      <c r="BO343" s="18"/>
      <c r="BR343" s="25">
        <v>44.74</v>
      </c>
      <c r="BS343">
        <v>0</v>
      </c>
      <c r="BT343">
        <v>0</v>
      </c>
      <c r="BU343">
        <v>0</v>
      </c>
      <c r="BV343">
        <v>0</v>
      </c>
      <c r="BW343">
        <v>1</v>
      </c>
      <c r="BX343">
        <v>0</v>
      </c>
      <c r="BY343">
        <v>0</v>
      </c>
      <c r="BZ343" s="18">
        <v>0</v>
      </c>
      <c r="CA343">
        <v>0</v>
      </c>
      <c r="CB343">
        <v>0</v>
      </c>
      <c r="CC343">
        <v>0</v>
      </c>
      <c r="CD343" s="18">
        <v>1</v>
      </c>
      <c r="CE343">
        <v>0</v>
      </c>
      <c r="CF343">
        <v>0</v>
      </c>
      <c r="CG343">
        <v>0</v>
      </c>
      <c r="CH343">
        <v>0</v>
      </c>
      <c r="CI343" s="18">
        <v>0</v>
      </c>
      <c r="CJ343">
        <v>1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 s="18">
        <v>1</v>
      </c>
      <c r="CZ343" s="34" t="s">
        <v>87</v>
      </c>
    </row>
    <row r="344" spans="1:104" x14ac:dyDescent="0.25">
      <c r="A344">
        <v>343</v>
      </c>
      <c r="B344">
        <v>21</v>
      </c>
      <c r="C344" s="25" t="s">
        <v>245</v>
      </c>
      <c r="D344" s="12">
        <v>7.3</v>
      </c>
      <c r="E344" s="14">
        <v>0.03</v>
      </c>
      <c r="F344" s="7">
        <f t="shared" si="239"/>
        <v>243.33333333333334</v>
      </c>
      <c r="G344" s="7">
        <f t="shared" si="229"/>
        <v>7.27</v>
      </c>
      <c r="H344" s="16">
        <f t="shared" si="230"/>
        <v>7.33</v>
      </c>
      <c r="I344" s="11">
        <f t="shared" si="227"/>
        <v>0.29748927147720233</v>
      </c>
      <c r="J344" s="33">
        <f t="shared" si="228"/>
        <v>1.2225586499063107E-3</v>
      </c>
      <c r="K344" s="33">
        <f t="shared" si="235"/>
        <v>817.95666823561692</v>
      </c>
      <c r="L344" s="33">
        <f t="shared" si="236"/>
        <v>0.296266712827296</v>
      </c>
      <c r="M344" s="33">
        <f t="shared" si="237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34"/>
        <v>609842</v>
      </c>
      <c r="Y344" s="7">
        <v>11.59</v>
      </c>
      <c r="Z344" s="7">
        <f t="shared" si="238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9">
        <v>0</v>
      </c>
      <c r="AL344" s="30">
        <v>1</v>
      </c>
      <c r="AM344" s="21">
        <v>1970</v>
      </c>
      <c r="AN344" s="23"/>
      <c r="AO344" s="33" t="s">
        <v>107</v>
      </c>
      <c r="AP344" s="33" t="s">
        <v>107</v>
      </c>
      <c r="AQ344" s="33" t="s">
        <v>107</v>
      </c>
      <c r="AR344" s="43" t="s">
        <v>107</v>
      </c>
      <c r="AS344" s="33" t="s">
        <v>107</v>
      </c>
      <c r="AT344" s="43" t="s">
        <v>107</v>
      </c>
      <c r="AU344" s="42" t="s">
        <v>107</v>
      </c>
      <c r="AV344" s="18" t="s">
        <v>107</v>
      </c>
      <c r="AW344">
        <v>1</v>
      </c>
      <c r="AX344" s="40">
        <v>0</v>
      </c>
      <c r="AY344" t="s">
        <v>107</v>
      </c>
      <c r="AZ344" s="40" t="s">
        <v>107</v>
      </c>
      <c r="BB344" s="18"/>
      <c r="BC344" t="s">
        <v>107</v>
      </c>
      <c r="BD344" s="18" t="s">
        <v>107</v>
      </c>
      <c r="BE344" s="18" t="s">
        <v>246</v>
      </c>
      <c r="BL344" s="18"/>
      <c r="BO344" s="18"/>
      <c r="BR344" s="25">
        <v>44.74</v>
      </c>
      <c r="BS344">
        <v>0</v>
      </c>
      <c r="BT344">
        <v>0</v>
      </c>
      <c r="BU344">
        <v>0</v>
      </c>
      <c r="BV344">
        <v>0</v>
      </c>
      <c r="BW344">
        <v>1</v>
      </c>
      <c r="BX344">
        <v>0</v>
      </c>
      <c r="BY344">
        <v>0</v>
      </c>
      <c r="BZ344" s="18">
        <v>0</v>
      </c>
      <c r="CA344">
        <v>0</v>
      </c>
      <c r="CB344">
        <v>0</v>
      </c>
      <c r="CC344">
        <v>0</v>
      </c>
      <c r="CD344" s="18">
        <v>1</v>
      </c>
      <c r="CE344">
        <v>0</v>
      </c>
      <c r="CF344">
        <v>0</v>
      </c>
      <c r="CG344">
        <v>0</v>
      </c>
      <c r="CH344">
        <v>0</v>
      </c>
      <c r="CI344" s="18">
        <v>0</v>
      </c>
      <c r="CJ344">
        <v>1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 s="18">
        <v>1</v>
      </c>
      <c r="CZ344" s="34" t="s">
        <v>87</v>
      </c>
    </row>
    <row r="345" spans="1:104" x14ac:dyDescent="0.25">
      <c r="A345">
        <v>344</v>
      </c>
      <c r="B345">
        <v>21</v>
      </c>
      <c r="C345" s="25" t="s">
        <v>245</v>
      </c>
      <c r="D345" s="12">
        <v>7.3</v>
      </c>
      <c r="E345" s="14">
        <v>0.03</v>
      </c>
      <c r="F345" s="7">
        <f t="shared" si="239"/>
        <v>243.33333333333334</v>
      </c>
      <c r="G345" s="7">
        <f t="shared" si="229"/>
        <v>7.27</v>
      </c>
      <c r="H345" s="16">
        <f t="shared" si="230"/>
        <v>7.33</v>
      </c>
      <c r="I345" s="11">
        <f t="shared" si="227"/>
        <v>0.29748949379856965</v>
      </c>
      <c r="J345" s="33">
        <f t="shared" si="228"/>
        <v>1.2225595635557657E-3</v>
      </c>
      <c r="K345" s="33">
        <f t="shared" si="235"/>
        <v>817.95605695606355</v>
      </c>
      <c r="L345" s="33">
        <f t="shared" si="236"/>
        <v>0.29626693423501388</v>
      </c>
      <c r="M345" s="33">
        <f t="shared" si="237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34"/>
        <v>609841</v>
      </c>
      <c r="Y345" s="7">
        <v>11.59</v>
      </c>
      <c r="Z345" s="7">
        <f t="shared" si="238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9">
        <v>0</v>
      </c>
      <c r="AL345" s="30">
        <v>1</v>
      </c>
      <c r="AM345" s="21">
        <v>1970</v>
      </c>
      <c r="AN345" s="23"/>
      <c r="AO345" s="33" t="s">
        <v>107</v>
      </c>
      <c r="AP345" s="33" t="s">
        <v>107</v>
      </c>
      <c r="AQ345" s="33" t="s">
        <v>107</v>
      </c>
      <c r="AR345" s="43" t="s">
        <v>107</v>
      </c>
      <c r="AS345" s="33" t="s">
        <v>107</v>
      </c>
      <c r="AT345" s="43" t="s">
        <v>107</v>
      </c>
      <c r="AU345" s="42" t="s">
        <v>107</v>
      </c>
      <c r="AV345" s="18" t="s">
        <v>107</v>
      </c>
      <c r="AW345">
        <v>1</v>
      </c>
      <c r="AX345" s="40">
        <v>0</v>
      </c>
      <c r="AY345" t="s">
        <v>107</v>
      </c>
      <c r="AZ345" s="40" t="s">
        <v>107</v>
      </c>
      <c r="BB345" s="18"/>
      <c r="BC345" t="s">
        <v>107</v>
      </c>
      <c r="BD345" s="18" t="s">
        <v>107</v>
      </c>
      <c r="BE345" s="18" t="s">
        <v>246</v>
      </c>
      <c r="BL345" s="18"/>
      <c r="BO345" s="18"/>
      <c r="BR345" s="25">
        <v>44.74</v>
      </c>
      <c r="BS345">
        <v>0</v>
      </c>
      <c r="BT345">
        <v>0</v>
      </c>
      <c r="BU345">
        <v>0</v>
      </c>
      <c r="BV345">
        <v>0</v>
      </c>
      <c r="BW345">
        <v>1</v>
      </c>
      <c r="BX345">
        <v>0</v>
      </c>
      <c r="BY345">
        <v>0</v>
      </c>
      <c r="BZ345" s="18">
        <v>0</v>
      </c>
      <c r="CA345">
        <v>0</v>
      </c>
      <c r="CB345">
        <v>0</v>
      </c>
      <c r="CC345">
        <v>0</v>
      </c>
      <c r="CD345" s="18">
        <v>1</v>
      </c>
      <c r="CE345">
        <v>0</v>
      </c>
      <c r="CF345">
        <v>0</v>
      </c>
      <c r="CG345">
        <v>0</v>
      </c>
      <c r="CH345">
        <v>0</v>
      </c>
      <c r="CI345" s="18">
        <v>0</v>
      </c>
      <c r="CJ345">
        <v>1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 s="18">
        <v>1</v>
      </c>
      <c r="CZ345" s="34" t="s">
        <v>87</v>
      </c>
    </row>
    <row r="346" spans="1:104" s="52" customFormat="1" x14ac:dyDescent="0.25">
      <c r="A346" s="52">
        <v>345</v>
      </c>
      <c r="B346" s="52">
        <v>21</v>
      </c>
      <c r="C346" s="53" t="s">
        <v>245</v>
      </c>
      <c r="D346" s="54">
        <v>7.3</v>
      </c>
      <c r="E346" s="55">
        <v>0.03</v>
      </c>
      <c r="F346" s="56">
        <f t="shared" si="239"/>
        <v>243.33333333333334</v>
      </c>
      <c r="G346" s="56">
        <f t="shared" si="229"/>
        <v>7.27</v>
      </c>
      <c r="H346" s="57">
        <f t="shared" si="230"/>
        <v>7.33</v>
      </c>
      <c r="I346" s="58">
        <f t="shared" si="227"/>
        <v>0.29748993844279964</v>
      </c>
      <c r="J346" s="59">
        <f t="shared" si="228"/>
        <v>1.2225613908608203E-3</v>
      </c>
      <c r="K346" s="59">
        <f t="shared" ref="K346:K358" si="240">IFERROR(1/J346, "X")</f>
        <v>817.95483439558632</v>
      </c>
      <c r="L346" s="59">
        <f t="shared" ref="L346:L358" si="241">IFERROR(I346-J346, "X")</f>
        <v>0.29626737705193884</v>
      </c>
      <c r="M346" s="59">
        <f t="shared" ref="M346:M358" si="242">IFERROR(I346+J346, "X")</f>
        <v>0.29871249983366044</v>
      </c>
      <c r="N346" s="60">
        <v>0</v>
      </c>
      <c r="O346" s="61">
        <v>1</v>
      </c>
      <c r="P346" s="60">
        <v>0</v>
      </c>
      <c r="Q346" s="61">
        <v>0</v>
      </c>
      <c r="R346" s="61">
        <v>0</v>
      </c>
      <c r="S346" s="61">
        <v>1</v>
      </c>
      <c r="T346" s="61">
        <v>0</v>
      </c>
      <c r="U346" s="60">
        <v>609852</v>
      </c>
      <c r="V346" s="61">
        <v>12</v>
      </c>
      <c r="W346" s="61">
        <f t="shared" si="234"/>
        <v>609839</v>
      </c>
      <c r="X346" s="61"/>
      <c r="Y346" s="56">
        <v>11.59</v>
      </c>
      <c r="Z346" s="56">
        <f t="shared" si="238"/>
        <v>27.150000000000006</v>
      </c>
      <c r="AA346" s="61">
        <v>1</v>
      </c>
      <c r="AB346" s="61">
        <v>0</v>
      </c>
      <c r="AC346" s="61">
        <v>0</v>
      </c>
      <c r="AD346" s="61">
        <v>0</v>
      </c>
      <c r="AE346" s="61">
        <v>1</v>
      </c>
      <c r="AF346" s="61">
        <v>0</v>
      </c>
      <c r="AG346" s="60">
        <v>1</v>
      </c>
      <c r="AH346" s="61">
        <v>0</v>
      </c>
      <c r="AI346" s="62">
        <v>0</v>
      </c>
      <c r="AJ346" s="61">
        <v>0</v>
      </c>
      <c r="AK346" s="61">
        <v>0</v>
      </c>
      <c r="AL346" s="62">
        <v>1</v>
      </c>
      <c r="AM346" s="63">
        <v>1970</v>
      </c>
      <c r="AN346" s="64"/>
      <c r="AO346" s="59" t="s">
        <v>107</v>
      </c>
      <c r="AP346" s="59" t="s">
        <v>107</v>
      </c>
      <c r="AQ346" s="59" t="s">
        <v>107</v>
      </c>
      <c r="AR346" s="65" t="s">
        <v>107</v>
      </c>
      <c r="AS346" s="59" t="s">
        <v>107</v>
      </c>
      <c r="AT346" s="65" t="s">
        <v>107</v>
      </c>
      <c r="AU346" s="66" t="s">
        <v>107</v>
      </c>
      <c r="AV346" s="67" t="s">
        <v>107</v>
      </c>
      <c r="AW346" s="52">
        <v>1</v>
      </c>
      <c r="AX346" s="68">
        <v>0</v>
      </c>
      <c r="AY346" s="52" t="s">
        <v>107</v>
      </c>
      <c r="AZ346" s="68" t="s">
        <v>107</v>
      </c>
      <c r="BB346" s="67"/>
      <c r="BC346" s="52" t="s">
        <v>107</v>
      </c>
      <c r="BD346" s="67" t="s">
        <v>107</v>
      </c>
      <c r="BE346" s="67" t="s">
        <v>246</v>
      </c>
      <c r="BL346" s="67"/>
      <c r="BO346" s="67"/>
      <c r="BR346" s="53">
        <v>44.74</v>
      </c>
      <c r="BS346" s="52">
        <v>0</v>
      </c>
      <c r="BT346" s="52">
        <v>0</v>
      </c>
      <c r="BU346" s="52">
        <v>0</v>
      </c>
      <c r="BV346" s="52">
        <v>0</v>
      </c>
      <c r="BW346" s="52">
        <v>1</v>
      </c>
      <c r="BX346" s="52">
        <v>0</v>
      </c>
      <c r="BY346" s="52">
        <v>0</v>
      </c>
      <c r="BZ346" s="67">
        <v>0</v>
      </c>
      <c r="CA346" s="52">
        <v>0</v>
      </c>
      <c r="CB346" s="52">
        <v>0</v>
      </c>
      <c r="CC346" s="52">
        <v>0</v>
      </c>
      <c r="CD346" s="67">
        <v>1</v>
      </c>
      <c r="CE346" s="52">
        <v>0</v>
      </c>
      <c r="CF346" s="52">
        <v>0</v>
      </c>
      <c r="CG346" s="52">
        <v>0</v>
      </c>
      <c r="CH346" s="52">
        <v>0</v>
      </c>
      <c r="CI346" s="67">
        <v>0</v>
      </c>
      <c r="CJ346" s="52">
        <v>1</v>
      </c>
      <c r="CK346" s="52">
        <v>0</v>
      </c>
      <c r="CL346" s="52">
        <v>0</v>
      </c>
      <c r="CM346" s="52">
        <v>0</v>
      </c>
      <c r="CN346" s="52">
        <v>0</v>
      </c>
      <c r="CO346" s="52">
        <v>0</v>
      </c>
      <c r="CP346" s="52">
        <v>0</v>
      </c>
      <c r="CQ346" s="52">
        <v>0</v>
      </c>
      <c r="CR346" s="52">
        <v>0</v>
      </c>
      <c r="CS346" s="52">
        <v>0</v>
      </c>
      <c r="CT346" s="67">
        <v>1</v>
      </c>
      <c r="CY346" s="53"/>
      <c r="CZ346" s="69" t="s">
        <v>87</v>
      </c>
    </row>
    <row r="347" spans="1:104" x14ac:dyDescent="0.25">
      <c r="A347">
        <v>346</v>
      </c>
      <c r="B347">
        <v>22</v>
      </c>
      <c r="C347" s="25" t="s">
        <v>247</v>
      </c>
      <c r="D347" s="12">
        <v>5</v>
      </c>
      <c r="E347" s="14">
        <v>0.1</v>
      </c>
      <c r="F347" s="7">
        <f t="shared" si="239"/>
        <v>50</v>
      </c>
      <c r="G347" s="7">
        <f t="shared" si="229"/>
        <v>4.9000000000000004</v>
      </c>
      <c r="H347" s="16">
        <f t="shared" si="230"/>
        <v>5.0999999999999996</v>
      </c>
      <c r="I347" s="11">
        <f t="shared" si="227"/>
        <v>0.21218275209520929</v>
      </c>
      <c r="J347" s="33">
        <f t="shared" si="228"/>
        <v>4.2436550419041857E-3</v>
      </c>
      <c r="K347" s="33">
        <f t="shared" si="240"/>
        <v>235.64592082189753</v>
      </c>
      <c r="L347" s="33">
        <f t="shared" si="241"/>
        <v>0.2079390970533051</v>
      </c>
      <c r="M347" s="33">
        <f t="shared" si="242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34"/>
        <v>53029</v>
      </c>
      <c r="Y347" s="7">
        <v>7.8040000000000003</v>
      </c>
      <c r="Z347" s="7">
        <f t="shared" si="238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9">
        <v>0</v>
      </c>
      <c r="AL347" s="30">
        <v>1</v>
      </c>
      <c r="AM347" s="21">
        <v>2013</v>
      </c>
      <c r="AN347" s="23"/>
      <c r="AO347" s="33">
        <v>0.14000000000000001</v>
      </c>
      <c r="AP347" s="33">
        <v>0.42</v>
      </c>
      <c r="AQ347" s="33">
        <v>0.33</v>
      </c>
      <c r="AR347" s="43">
        <v>0.11</v>
      </c>
      <c r="AS347" s="33" t="s">
        <v>107</v>
      </c>
      <c r="AT347" s="43" t="s">
        <v>107</v>
      </c>
      <c r="AU347" s="42">
        <v>1</v>
      </c>
      <c r="AV347" s="18">
        <v>0</v>
      </c>
      <c r="AW347" s="39">
        <f>1-AX347</f>
        <v>0.505</v>
      </c>
      <c r="AX347" s="40">
        <v>0.495</v>
      </c>
      <c r="AY347">
        <v>1</v>
      </c>
      <c r="AZ347" s="40">
        <v>0</v>
      </c>
      <c r="BB347" s="18"/>
      <c r="BC347">
        <f>1-BD347</f>
        <v>0.375</v>
      </c>
      <c r="BD347" s="18">
        <v>0.625</v>
      </c>
      <c r="BE347" s="18" t="s">
        <v>28</v>
      </c>
      <c r="BL347" s="18"/>
      <c r="BO347" s="18"/>
      <c r="BR347" s="25">
        <v>44.594000000000001</v>
      </c>
      <c r="BS347">
        <v>1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 s="18">
        <v>0</v>
      </c>
      <c r="CA347">
        <v>0</v>
      </c>
      <c r="CB347">
        <v>0</v>
      </c>
      <c r="CC347">
        <v>1</v>
      </c>
      <c r="CD347" s="18">
        <v>0</v>
      </c>
      <c r="CE347">
        <v>0</v>
      </c>
      <c r="CF347">
        <v>0</v>
      </c>
      <c r="CG347">
        <v>0</v>
      </c>
      <c r="CH347">
        <v>0</v>
      </c>
      <c r="CI347" s="18">
        <v>0</v>
      </c>
      <c r="CJ347">
        <v>1</v>
      </c>
      <c r="CK347">
        <v>1</v>
      </c>
      <c r="CL347">
        <v>0</v>
      </c>
      <c r="CM347">
        <v>0</v>
      </c>
      <c r="CN347">
        <v>0</v>
      </c>
      <c r="CO347">
        <v>0</v>
      </c>
      <c r="CP347">
        <v>1</v>
      </c>
      <c r="CQ347">
        <v>0</v>
      </c>
      <c r="CR347">
        <v>0</v>
      </c>
      <c r="CS347">
        <v>1</v>
      </c>
      <c r="CT347" s="18">
        <v>1</v>
      </c>
      <c r="CZ347" s="34" t="s">
        <v>87</v>
      </c>
    </row>
    <row r="348" spans="1:104" x14ac:dyDescent="0.25">
      <c r="A348">
        <v>347</v>
      </c>
      <c r="B348">
        <v>22</v>
      </c>
      <c r="C348" s="25" t="s">
        <v>247</v>
      </c>
      <c r="D348" s="12">
        <v>7.1</v>
      </c>
      <c r="E348" s="14">
        <v>0.1</v>
      </c>
      <c r="F348" s="7">
        <f t="shared" si="239"/>
        <v>70.999999999999986</v>
      </c>
      <c r="G348" s="7">
        <f t="shared" si="229"/>
        <v>7</v>
      </c>
      <c r="H348" s="16">
        <f t="shared" si="230"/>
        <v>7.1999999999999993</v>
      </c>
      <c r="I348" s="11">
        <f t="shared" si="227"/>
        <v>0.51647633440499785</v>
      </c>
      <c r="J348" s="33">
        <f t="shared" si="228"/>
        <v>7.2743145690844797E-3</v>
      </c>
      <c r="K348" s="33">
        <f t="shared" si="240"/>
        <v>137.46999672655846</v>
      </c>
      <c r="L348" s="33">
        <f t="shared" si="241"/>
        <v>0.5092020198359134</v>
      </c>
      <c r="M348" s="33">
        <f t="shared" si="242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34"/>
        <v>13857</v>
      </c>
      <c r="Y348" s="7">
        <v>10.032</v>
      </c>
      <c r="Z348" s="7">
        <f t="shared" si="238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9">
        <v>0</v>
      </c>
      <c r="AL348" s="30">
        <v>1</v>
      </c>
      <c r="AM348" s="21">
        <v>2013</v>
      </c>
      <c r="AN348" s="23"/>
      <c r="AO348" s="33">
        <v>0.14000000000000001</v>
      </c>
      <c r="AP348" s="33">
        <v>0.42</v>
      </c>
      <c r="AQ348" s="33">
        <v>0.33</v>
      </c>
      <c r="AR348" s="43">
        <v>0.11</v>
      </c>
      <c r="AS348" s="33" t="s">
        <v>107</v>
      </c>
      <c r="AT348" s="43" t="s">
        <v>107</v>
      </c>
      <c r="AU348" s="42">
        <v>1</v>
      </c>
      <c r="AV348" s="18">
        <v>0</v>
      </c>
      <c r="AW348" s="39">
        <f t="shared" ref="AW348:AW354" si="243">1-AX348</f>
        <v>0.52</v>
      </c>
      <c r="AX348" s="40">
        <v>0.48</v>
      </c>
      <c r="AY348">
        <v>1</v>
      </c>
      <c r="AZ348" s="40">
        <v>0</v>
      </c>
      <c r="BB348" s="18"/>
      <c r="BC348">
        <f t="shared" ref="BC348:BC358" si="244">1-BD348</f>
        <v>0.378</v>
      </c>
      <c r="BD348" s="18">
        <v>0.622</v>
      </c>
      <c r="BE348" s="18" t="s">
        <v>28</v>
      </c>
      <c r="BL348" s="18"/>
      <c r="BO348" s="18"/>
      <c r="BR348" s="25">
        <v>41.518000000000001</v>
      </c>
      <c r="BS348">
        <v>1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 s="18">
        <v>0</v>
      </c>
      <c r="CA348">
        <v>0</v>
      </c>
      <c r="CB348">
        <v>0</v>
      </c>
      <c r="CC348">
        <v>1</v>
      </c>
      <c r="CD348" s="18">
        <v>0</v>
      </c>
      <c r="CE348">
        <v>0</v>
      </c>
      <c r="CF348">
        <v>0</v>
      </c>
      <c r="CG348">
        <v>0</v>
      </c>
      <c r="CH348">
        <v>0</v>
      </c>
      <c r="CI348" s="18">
        <v>0</v>
      </c>
      <c r="CJ348">
        <v>1</v>
      </c>
      <c r="CK348">
        <v>1</v>
      </c>
      <c r="CL348">
        <v>0</v>
      </c>
      <c r="CM348">
        <v>0</v>
      </c>
      <c r="CN348">
        <v>0</v>
      </c>
      <c r="CO348">
        <v>0</v>
      </c>
      <c r="CP348">
        <v>1</v>
      </c>
      <c r="CQ348">
        <v>0</v>
      </c>
      <c r="CR348">
        <v>0</v>
      </c>
      <c r="CS348">
        <v>1</v>
      </c>
      <c r="CT348" s="18">
        <v>1</v>
      </c>
      <c r="CZ348" s="34" t="s">
        <v>87</v>
      </c>
    </row>
    <row r="349" spans="1:104" x14ac:dyDescent="0.25">
      <c r="A349">
        <v>348</v>
      </c>
      <c r="B349">
        <v>22</v>
      </c>
      <c r="C349" s="25" t="s">
        <v>247</v>
      </c>
      <c r="D349" s="12">
        <v>4.9000000000000004</v>
      </c>
      <c r="E349" s="14">
        <v>0.1</v>
      </c>
      <c r="F349" s="7">
        <f t="shared" si="239"/>
        <v>49</v>
      </c>
      <c r="G349" s="7">
        <f t="shared" si="229"/>
        <v>4.8000000000000007</v>
      </c>
      <c r="H349" s="16">
        <f t="shared" si="230"/>
        <v>5</v>
      </c>
      <c r="I349" s="11">
        <f t="shared" si="227"/>
        <v>0.33699468069112615</v>
      </c>
      <c r="J349" s="33">
        <f t="shared" si="228"/>
        <v>6.8774424630842074E-3</v>
      </c>
      <c r="K349" s="33">
        <f t="shared" si="240"/>
        <v>145.40288855452633</v>
      </c>
      <c r="L349" s="33">
        <f t="shared" si="241"/>
        <v>0.33011723822804195</v>
      </c>
      <c r="M349" s="33">
        <f t="shared" si="242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34"/>
        <v>18741</v>
      </c>
      <c r="Y349" s="7">
        <v>6.3079999999999998</v>
      </c>
      <c r="Z349" s="7">
        <f t="shared" si="238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9">
        <v>0</v>
      </c>
      <c r="AL349" s="30">
        <v>1</v>
      </c>
      <c r="AM349" s="21">
        <v>2013</v>
      </c>
      <c r="AN349" s="23"/>
      <c r="AO349" s="33">
        <v>0.14000000000000001</v>
      </c>
      <c r="AP349" s="33">
        <v>0.42</v>
      </c>
      <c r="AQ349" s="33">
        <v>0.33</v>
      </c>
      <c r="AR349" s="43">
        <v>0.11</v>
      </c>
      <c r="AS349" s="33" t="s">
        <v>107</v>
      </c>
      <c r="AT349" s="43" t="s">
        <v>107</v>
      </c>
      <c r="AU349" s="42">
        <v>1</v>
      </c>
      <c r="AV349" s="18">
        <v>0</v>
      </c>
      <c r="AW349" s="39">
        <f t="shared" si="243"/>
        <v>0.57200000000000006</v>
      </c>
      <c r="AX349" s="40">
        <v>0.42799999999999999</v>
      </c>
      <c r="AY349">
        <v>1</v>
      </c>
      <c r="AZ349" s="40">
        <v>0</v>
      </c>
      <c r="BB349" s="18"/>
      <c r="BC349">
        <f t="shared" si="244"/>
        <v>0.45799999999999996</v>
      </c>
      <c r="BD349" s="18">
        <v>0.54200000000000004</v>
      </c>
      <c r="BE349" s="18" t="s">
        <v>28</v>
      </c>
      <c r="BL349" s="18"/>
      <c r="BO349" s="18"/>
      <c r="BR349" s="25">
        <v>44.774000000000001</v>
      </c>
      <c r="BS349">
        <v>1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0</v>
      </c>
      <c r="BZ349" s="18">
        <v>0</v>
      </c>
      <c r="CA349">
        <v>0</v>
      </c>
      <c r="CB349">
        <v>0</v>
      </c>
      <c r="CC349">
        <v>1</v>
      </c>
      <c r="CD349" s="18">
        <v>0</v>
      </c>
      <c r="CE349">
        <v>0</v>
      </c>
      <c r="CF349">
        <v>0</v>
      </c>
      <c r="CG349">
        <v>0</v>
      </c>
      <c r="CH349">
        <v>0</v>
      </c>
      <c r="CI349" s="18">
        <v>0</v>
      </c>
      <c r="CJ349">
        <v>1</v>
      </c>
      <c r="CK349">
        <v>1</v>
      </c>
      <c r="CL349">
        <v>0</v>
      </c>
      <c r="CM349">
        <v>0</v>
      </c>
      <c r="CN349">
        <v>0</v>
      </c>
      <c r="CO349">
        <v>0</v>
      </c>
      <c r="CP349">
        <v>1</v>
      </c>
      <c r="CQ349">
        <v>0</v>
      </c>
      <c r="CR349">
        <v>0</v>
      </c>
      <c r="CS349">
        <v>1</v>
      </c>
      <c r="CT349" s="18">
        <v>1</v>
      </c>
      <c r="CZ349" s="34" t="s">
        <v>87</v>
      </c>
    </row>
    <row r="350" spans="1:104" x14ac:dyDescent="0.25">
      <c r="A350">
        <v>349</v>
      </c>
      <c r="B350">
        <v>22</v>
      </c>
      <c r="C350" s="25" t="s">
        <v>247</v>
      </c>
      <c r="D350" s="12">
        <v>3.5</v>
      </c>
      <c r="E350" s="14">
        <v>0.2</v>
      </c>
      <c r="F350" s="7">
        <f t="shared" si="239"/>
        <v>17.5</v>
      </c>
      <c r="G350" s="7">
        <f t="shared" si="229"/>
        <v>3.3</v>
      </c>
      <c r="H350" s="16">
        <f t="shared" si="230"/>
        <v>3.7</v>
      </c>
      <c r="I350" s="11">
        <f t="shared" si="227"/>
        <v>0.12159449831189598</v>
      </c>
      <c r="J350" s="33">
        <f t="shared" si="228"/>
        <v>6.9482570463940563E-3</v>
      </c>
      <c r="K350" s="33">
        <f t="shared" si="240"/>
        <v>143.92098526622169</v>
      </c>
      <c r="L350" s="33">
        <f t="shared" si="241"/>
        <v>0.11464624126550192</v>
      </c>
      <c r="M350" s="33">
        <f t="shared" si="242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34"/>
        <v>20407</v>
      </c>
      <c r="Y350" s="7">
        <v>7.6660000000000004</v>
      </c>
      <c r="Z350" s="7">
        <f t="shared" si="238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9">
        <v>0</v>
      </c>
      <c r="AL350" s="30">
        <v>1</v>
      </c>
      <c r="AM350" s="21">
        <v>2013</v>
      </c>
      <c r="AN350" s="23"/>
      <c r="AO350" s="33">
        <v>0.14000000000000001</v>
      </c>
      <c r="AP350" s="33">
        <v>0.42</v>
      </c>
      <c r="AQ350" s="33">
        <v>0.33</v>
      </c>
      <c r="AR350" s="43">
        <v>0.11</v>
      </c>
      <c r="AS350" s="33" t="s">
        <v>107</v>
      </c>
      <c r="AT350" s="43" t="s">
        <v>107</v>
      </c>
      <c r="AU350" s="42">
        <v>1</v>
      </c>
      <c r="AV350" s="18">
        <v>0</v>
      </c>
      <c r="AW350" s="39">
        <f t="shared" si="243"/>
        <v>0.43300000000000005</v>
      </c>
      <c r="AX350" s="40">
        <v>0.56699999999999995</v>
      </c>
      <c r="AY350">
        <v>1</v>
      </c>
      <c r="AZ350" s="40">
        <v>0</v>
      </c>
      <c r="BB350" s="18"/>
      <c r="BC350">
        <f t="shared" si="244"/>
        <v>0.29600000000000004</v>
      </c>
      <c r="BD350" s="18">
        <v>0.70399999999999996</v>
      </c>
      <c r="BE350" s="18" t="s">
        <v>28</v>
      </c>
      <c r="BL350" s="18"/>
      <c r="BO350" s="18"/>
      <c r="BR350" s="25">
        <v>46.518999999999998</v>
      </c>
      <c r="BS350">
        <v>1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0</v>
      </c>
      <c r="BZ350" s="18">
        <v>0</v>
      </c>
      <c r="CA350">
        <v>0</v>
      </c>
      <c r="CB350">
        <v>0</v>
      </c>
      <c r="CC350">
        <v>1</v>
      </c>
      <c r="CD350" s="18">
        <v>0</v>
      </c>
      <c r="CE350">
        <v>0</v>
      </c>
      <c r="CF350">
        <v>0</v>
      </c>
      <c r="CG350">
        <v>0</v>
      </c>
      <c r="CH350">
        <v>0</v>
      </c>
      <c r="CI350" s="18">
        <v>0</v>
      </c>
      <c r="CJ350">
        <v>1</v>
      </c>
      <c r="CK350">
        <v>1</v>
      </c>
      <c r="CL350">
        <v>0</v>
      </c>
      <c r="CM350">
        <v>0</v>
      </c>
      <c r="CN350">
        <v>0</v>
      </c>
      <c r="CO350">
        <v>0</v>
      </c>
      <c r="CP350">
        <v>1</v>
      </c>
      <c r="CQ350">
        <v>0</v>
      </c>
      <c r="CR350">
        <v>0</v>
      </c>
      <c r="CS350">
        <v>1</v>
      </c>
      <c r="CT350" s="18">
        <v>1</v>
      </c>
      <c r="CZ350" s="34" t="s">
        <v>87</v>
      </c>
    </row>
    <row r="351" spans="1:104" x14ac:dyDescent="0.25">
      <c r="A351">
        <v>350</v>
      </c>
      <c r="B351">
        <v>22</v>
      </c>
      <c r="C351" s="25" t="s">
        <v>247</v>
      </c>
      <c r="D351" s="12">
        <v>13.6</v>
      </c>
      <c r="E351" s="14">
        <v>1.5</v>
      </c>
      <c r="F351" s="7">
        <f t="shared" si="239"/>
        <v>9.0666666666666664</v>
      </c>
      <c r="G351" s="7">
        <f t="shared" si="229"/>
        <v>12.1</v>
      </c>
      <c r="H351" s="16">
        <f t="shared" si="230"/>
        <v>15.1</v>
      </c>
      <c r="I351" s="11">
        <f t="shared" si="227"/>
        <v>3.9341831513423985E-2</v>
      </c>
      <c r="J351" s="33">
        <f t="shared" si="228"/>
        <v>4.3391725933923514E-3</v>
      </c>
      <c r="K351" s="33">
        <f t="shared" si="240"/>
        <v>230.45868272739139</v>
      </c>
      <c r="L351" s="33">
        <f t="shared" si="241"/>
        <v>3.5002658920031633E-2</v>
      </c>
      <c r="M351" s="33">
        <f t="shared" si="242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34"/>
        <v>53029</v>
      </c>
      <c r="Y351" s="7">
        <v>7.8040000000000003</v>
      </c>
      <c r="Z351" s="7">
        <f t="shared" si="238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9">
        <v>0</v>
      </c>
      <c r="AL351" s="30">
        <v>1</v>
      </c>
      <c r="AM351" s="21">
        <v>2013</v>
      </c>
      <c r="AN351" s="23"/>
      <c r="AO351" s="33">
        <v>0.14000000000000001</v>
      </c>
      <c r="AP351" s="33">
        <v>0.42</v>
      </c>
      <c r="AQ351" s="33">
        <v>0.33</v>
      </c>
      <c r="AR351" s="43">
        <v>0.11</v>
      </c>
      <c r="AS351" s="33" t="s">
        <v>107</v>
      </c>
      <c r="AT351" s="43" t="s">
        <v>107</v>
      </c>
      <c r="AU351" s="42">
        <v>1</v>
      </c>
      <c r="AV351" s="18">
        <v>0</v>
      </c>
      <c r="AW351" s="39">
        <f>1-AX351</f>
        <v>0.505</v>
      </c>
      <c r="AX351" s="40">
        <v>0.495</v>
      </c>
      <c r="AY351">
        <v>1</v>
      </c>
      <c r="AZ351" s="40">
        <v>0</v>
      </c>
      <c r="BB351" s="18"/>
      <c r="BC351">
        <f t="shared" si="244"/>
        <v>0.375</v>
      </c>
      <c r="BD351" s="18">
        <v>0.625</v>
      </c>
      <c r="BE351" s="18" t="s">
        <v>28</v>
      </c>
      <c r="BL351" s="18"/>
      <c r="BO351" s="18"/>
      <c r="BR351" s="25">
        <v>44.594000000000001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0</v>
      </c>
      <c r="BZ351" s="18">
        <v>1</v>
      </c>
      <c r="CA351">
        <v>0</v>
      </c>
      <c r="CB351">
        <v>1</v>
      </c>
      <c r="CC351">
        <v>0</v>
      </c>
      <c r="CD351" s="18">
        <v>0</v>
      </c>
      <c r="CE351">
        <v>0</v>
      </c>
      <c r="CF351">
        <v>1</v>
      </c>
      <c r="CG351">
        <v>0</v>
      </c>
      <c r="CH351">
        <v>0</v>
      </c>
      <c r="CI351" s="18">
        <v>0</v>
      </c>
      <c r="CJ351">
        <v>1</v>
      </c>
      <c r="CK351">
        <v>1</v>
      </c>
      <c r="CL351">
        <v>0</v>
      </c>
      <c r="CM351">
        <v>0</v>
      </c>
      <c r="CN351">
        <v>0</v>
      </c>
      <c r="CO351">
        <v>0</v>
      </c>
      <c r="CP351">
        <v>1</v>
      </c>
      <c r="CQ351">
        <v>0</v>
      </c>
      <c r="CR351">
        <v>0</v>
      </c>
      <c r="CS351">
        <v>1</v>
      </c>
      <c r="CT351" s="18">
        <v>1</v>
      </c>
      <c r="CZ351" s="34" t="s">
        <v>87</v>
      </c>
    </row>
    <row r="352" spans="1:104" x14ac:dyDescent="0.25">
      <c r="A352">
        <v>351</v>
      </c>
      <c r="B352">
        <v>22</v>
      </c>
      <c r="C352" s="25" t="s">
        <v>247</v>
      </c>
      <c r="D352" s="12">
        <v>14.6</v>
      </c>
      <c r="E352" s="14">
        <v>1.5</v>
      </c>
      <c r="F352" s="7">
        <f t="shared" si="239"/>
        <v>9.7333333333333325</v>
      </c>
      <c r="G352" s="7">
        <f t="shared" si="229"/>
        <v>13.1</v>
      </c>
      <c r="H352" s="16">
        <f t="shared" si="230"/>
        <v>16.100000000000001</v>
      </c>
      <c r="I352" s="11">
        <f t="shared" si="227"/>
        <v>8.2403838857020115E-2</v>
      </c>
      <c r="J352" s="33">
        <f t="shared" si="228"/>
        <v>8.4661478277760407E-3</v>
      </c>
      <c r="K352" s="33">
        <f t="shared" si="240"/>
        <v>118.11747448103425</v>
      </c>
      <c r="L352" s="33">
        <f t="shared" si="241"/>
        <v>7.3937691029244079E-2</v>
      </c>
      <c r="M352" s="33">
        <f t="shared" si="242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34"/>
        <v>13857</v>
      </c>
      <c r="Y352" s="7">
        <v>10.032</v>
      </c>
      <c r="Z352" s="7">
        <f t="shared" si="238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9">
        <v>0</v>
      </c>
      <c r="AL352" s="30">
        <v>1</v>
      </c>
      <c r="AM352" s="21">
        <v>2013</v>
      </c>
      <c r="AN352" s="23"/>
      <c r="AO352" s="33">
        <v>0.14000000000000001</v>
      </c>
      <c r="AP352" s="33">
        <v>0.42</v>
      </c>
      <c r="AQ352" s="33">
        <v>0.33</v>
      </c>
      <c r="AR352" s="43">
        <v>0.11</v>
      </c>
      <c r="AS352" s="33" t="s">
        <v>107</v>
      </c>
      <c r="AT352" s="43" t="s">
        <v>107</v>
      </c>
      <c r="AU352" s="42">
        <v>1</v>
      </c>
      <c r="AV352" s="18">
        <v>0</v>
      </c>
      <c r="AW352" s="39">
        <f t="shared" si="243"/>
        <v>0.52</v>
      </c>
      <c r="AX352" s="40">
        <v>0.48</v>
      </c>
      <c r="AY352">
        <v>1</v>
      </c>
      <c r="AZ352" s="40">
        <v>0</v>
      </c>
      <c r="BB352" s="18"/>
      <c r="BC352">
        <f t="shared" si="244"/>
        <v>0.378</v>
      </c>
      <c r="BD352" s="18">
        <v>0.622</v>
      </c>
      <c r="BE352" s="18" t="s">
        <v>28</v>
      </c>
      <c r="BL352" s="18"/>
      <c r="BO352" s="18"/>
      <c r="BR352" s="25">
        <v>41.518000000000001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0</v>
      </c>
      <c r="BZ352" s="18">
        <v>1</v>
      </c>
      <c r="CA352">
        <v>0</v>
      </c>
      <c r="CB352">
        <v>1</v>
      </c>
      <c r="CC352">
        <v>0</v>
      </c>
      <c r="CD352" s="18">
        <v>0</v>
      </c>
      <c r="CE352">
        <v>0</v>
      </c>
      <c r="CF352">
        <v>1</v>
      </c>
      <c r="CG352">
        <v>0</v>
      </c>
      <c r="CH352">
        <v>0</v>
      </c>
      <c r="CI352" s="18">
        <v>0</v>
      </c>
      <c r="CJ352">
        <v>1</v>
      </c>
      <c r="CK352">
        <v>1</v>
      </c>
      <c r="CL352">
        <v>0</v>
      </c>
      <c r="CM352">
        <v>0</v>
      </c>
      <c r="CN352">
        <v>0</v>
      </c>
      <c r="CO352">
        <v>0</v>
      </c>
      <c r="CP352">
        <v>1</v>
      </c>
      <c r="CQ352">
        <v>0</v>
      </c>
      <c r="CR352">
        <v>0</v>
      </c>
      <c r="CS352">
        <v>1</v>
      </c>
      <c r="CT352" s="18">
        <v>1</v>
      </c>
      <c r="CZ352" s="34" t="s">
        <v>87</v>
      </c>
    </row>
    <row r="353" spans="1:104" x14ac:dyDescent="0.25">
      <c r="A353">
        <v>352</v>
      </c>
      <c r="B353">
        <v>22</v>
      </c>
      <c r="C353" s="25" t="s">
        <v>247</v>
      </c>
      <c r="D353" s="12">
        <v>11.2</v>
      </c>
      <c r="E353" s="14">
        <v>3</v>
      </c>
      <c r="F353" s="7">
        <f t="shared" si="239"/>
        <v>3.7333333333333329</v>
      </c>
      <c r="G353" s="7">
        <f t="shared" si="229"/>
        <v>8.1999999999999993</v>
      </c>
      <c r="H353" s="16">
        <f t="shared" si="230"/>
        <v>14.2</v>
      </c>
      <c r="I353" s="11">
        <f t="shared" si="227"/>
        <v>2.7260822444108244E-2</v>
      </c>
      <c r="J353" s="33">
        <f t="shared" si="228"/>
        <v>7.3020060118147078E-3</v>
      </c>
      <c r="K353" s="33">
        <f t="shared" si="240"/>
        <v>136.94866840454409</v>
      </c>
      <c r="L353" s="33">
        <f t="shared" si="241"/>
        <v>1.9958816432293535E-2</v>
      </c>
      <c r="M353" s="33">
        <f t="shared" si="242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34"/>
        <v>18741</v>
      </c>
      <c r="Y353" s="7">
        <v>6.3079999999999998</v>
      </c>
      <c r="Z353" s="7">
        <f t="shared" si="238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9">
        <v>0</v>
      </c>
      <c r="AL353" s="30">
        <v>1</v>
      </c>
      <c r="AM353" s="21">
        <v>2013</v>
      </c>
      <c r="AN353" s="23"/>
      <c r="AO353" s="33">
        <v>0.14000000000000001</v>
      </c>
      <c r="AP353" s="33">
        <v>0.42</v>
      </c>
      <c r="AQ353" s="33">
        <v>0.33</v>
      </c>
      <c r="AR353" s="43">
        <v>0.11</v>
      </c>
      <c r="AS353" s="33" t="s">
        <v>107</v>
      </c>
      <c r="AT353" s="43" t="s">
        <v>107</v>
      </c>
      <c r="AU353" s="42">
        <v>1</v>
      </c>
      <c r="AV353" s="18">
        <v>0</v>
      </c>
      <c r="AW353" s="39">
        <f t="shared" si="243"/>
        <v>0.57200000000000006</v>
      </c>
      <c r="AX353" s="40">
        <v>0.42799999999999999</v>
      </c>
      <c r="AY353">
        <v>1</v>
      </c>
      <c r="AZ353" s="40">
        <v>0</v>
      </c>
      <c r="BB353" s="18"/>
      <c r="BC353">
        <f t="shared" si="244"/>
        <v>0.45799999999999996</v>
      </c>
      <c r="BD353" s="18">
        <v>0.54200000000000004</v>
      </c>
      <c r="BE353" s="18" t="s">
        <v>28</v>
      </c>
      <c r="BL353" s="18"/>
      <c r="BO353" s="18"/>
      <c r="BR353" s="25">
        <v>44.774000000000001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0</v>
      </c>
      <c r="BZ353" s="18">
        <v>1</v>
      </c>
      <c r="CA353">
        <v>0</v>
      </c>
      <c r="CB353">
        <v>1</v>
      </c>
      <c r="CC353">
        <v>0</v>
      </c>
      <c r="CD353" s="18">
        <v>0</v>
      </c>
      <c r="CE353">
        <v>0</v>
      </c>
      <c r="CF353">
        <v>1</v>
      </c>
      <c r="CG353">
        <v>0</v>
      </c>
      <c r="CH353">
        <v>0</v>
      </c>
      <c r="CI353" s="18">
        <v>0</v>
      </c>
      <c r="CJ353">
        <v>1</v>
      </c>
      <c r="CK353">
        <v>1</v>
      </c>
      <c r="CL353">
        <v>0</v>
      </c>
      <c r="CM353">
        <v>0</v>
      </c>
      <c r="CN353">
        <v>0</v>
      </c>
      <c r="CO353">
        <v>0</v>
      </c>
      <c r="CP353">
        <v>1</v>
      </c>
      <c r="CQ353">
        <v>0</v>
      </c>
      <c r="CR353">
        <v>0</v>
      </c>
      <c r="CS353">
        <v>1</v>
      </c>
      <c r="CT353" s="18">
        <v>1</v>
      </c>
      <c r="CZ353" s="34" t="s">
        <v>87</v>
      </c>
    </row>
    <row r="354" spans="1:104" x14ac:dyDescent="0.25">
      <c r="A354">
        <v>353</v>
      </c>
      <c r="B354">
        <v>22</v>
      </c>
      <c r="C354" s="25" t="s">
        <v>247</v>
      </c>
      <c r="D354" s="12">
        <v>11.9</v>
      </c>
      <c r="E354" s="14">
        <v>3.6</v>
      </c>
      <c r="F354" s="7">
        <f t="shared" si="239"/>
        <v>3.3055555555555554</v>
      </c>
      <c r="G354" s="7">
        <f t="shared" si="229"/>
        <v>8.3000000000000007</v>
      </c>
      <c r="H354" s="16">
        <f t="shared" si="230"/>
        <v>15.5</v>
      </c>
      <c r="I354" s="11">
        <f t="shared" si="227"/>
        <v>2.3133355957210736E-2</v>
      </c>
      <c r="J354" s="33">
        <f t="shared" si="228"/>
        <v>6.9983261719292981E-3</v>
      </c>
      <c r="K354" s="33">
        <f t="shared" si="240"/>
        <v>142.89131078386421</v>
      </c>
      <c r="L354" s="33">
        <f t="shared" si="241"/>
        <v>1.6135029785281439E-2</v>
      </c>
      <c r="M354" s="33">
        <f t="shared" si="242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34"/>
        <v>20407</v>
      </c>
      <c r="Y354" s="7">
        <v>7.6660000000000004</v>
      </c>
      <c r="Z354" s="7">
        <f t="shared" si="238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9">
        <v>0</v>
      </c>
      <c r="AL354" s="30">
        <v>1</v>
      </c>
      <c r="AM354" s="21">
        <v>2013</v>
      </c>
      <c r="AN354" s="23"/>
      <c r="AO354" s="33">
        <v>0.14000000000000001</v>
      </c>
      <c r="AP354" s="33">
        <v>0.42</v>
      </c>
      <c r="AQ354" s="33">
        <v>0.33</v>
      </c>
      <c r="AR354" s="43">
        <v>0.11</v>
      </c>
      <c r="AS354" s="33" t="s">
        <v>107</v>
      </c>
      <c r="AT354" s="43" t="s">
        <v>107</v>
      </c>
      <c r="AU354" s="42">
        <v>1</v>
      </c>
      <c r="AV354" s="18">
        <v>0</v>
      </c>
      <c r="AW354" s="39">
        <f t="shared" si="243"/>
        <v>0.43300000000000005</v>
      </c>
      <c r="AX354" s="40">
        <v>0.56699999999999995</v>
      </c>
      <c r="AY354">
        <v>1</v>
      </c>
      <c r="AZ354" s="40">
        <v>0</v>
      </c>
      <c r="BB354" s="18"/>
      <c r="BC354">
        <f t="shared" si="244"/>
        <v>0.29600000000000004</v>
      </c>
      <c r="BD354" s="18">
        <v>0.70399999999999996</v>
      </c>
      <c r="BE354" s="18" t="s">
        <v>28</v>
      </c>
      <c r="BL354" s="18"/>
      <c r="BO354" s="18"/>
      <c r="BR354" s="25">
        <v>46.518999999999998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 s="18">
        <v>1</v>
      </c>
      <c r="CA354">
        <v>0</v>
      </c>
      <c r="CB354">
        <v>1</v>
      </c>
      <c r="CC354">
        <v>0</v>
      </c>
      <c r="CD354" s="18">
        <v>0</v>
      </c>
      <c r="CE354">
        <v>0</v>
      </c>
      <c r="CF354">
        <v>1</v>
      </c>
      <c r="CG354">
        <v>0</v>
      </c>
      <c r="CH354">
        <v>0</v>
      </c>
      <c r="CI354" s="18">
        <v>0</v>
      </c>
      <c r="CJ354">
        <v>1</v>
      </c>
      <c r="CK354">
        <v>1</v>
      </c>
      <c r="CL354">
        <v>0</v>
      </c>
      <c r="CM354">
        <v>0</v>
      </c>
      <c r="CN354">
        <v>0</v>
      </c>
      <c r="CO354">
        <v>0</v>
      </c>
      <c r="CP354">
        <v>1</v>
      </c>
      <c r="CQ354">
        <v>0</v>
      </c>
      <c r="CR354">
        <v>0</v>
      </c>
      <c r="CS354">
        <v>1</v>
      </c>
      <c r="CT354" s="18">
        <v>1</v>
      </c>
      <c r="CZ354" s="34" t="s">
        <v>87</v>
      </c>
    </row>
    <row r="355" spans="1:104" x14ac:dyDescent="0.25">
      <c r="A355">
        <v>354</v>
      </c>
      <c r="B355">
        <v>22</v>
      </c>
      <c r="C355" s="25" t="s">
        <v>247</v>
      </c>
      <c r="D355" s="12">
        <v>5.0999999999999996</v>
      </c>
      <c r="E355" s="14">
        <v>0.1</v>
      </c>
      <c r="F355" s="7">
        <f t="shared" si="239"/>
        <v>50.999999999999993</v>
      </c>
      <c r="G355" s="7">
        <f t="shared" si="229"/>
        <v>5</v>
      </c>
      <c r="H355" s="16">
        <f t="shared" si="230"/>
        <v>5.1999999999999993</v>
      </c>
      <c r="I355" s="11">
        <f t="shared" si="227"/>
        <v>0.2975544533148119</v>
      </c>
      <c r="J355" s="33">
        <f t="shared" si="228"/>
        <v>5.8344010453884694E-3</v>
      </c>
      <c r="K355" s="33">
        <f t="shared" si="240"/>
        <v>171.39719951037708</v>
      </c>
      <c r="L355" s="33">
        <f t="shared" si="241"/>
        <v>0.29172005226942344</v>
      </c>
      <c r="M355" s="33">
        <f t="shared" si="242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34"/>
        <v>26776</v>
      </c>
      <c r="Y355" s="7">
        <v>7.8040000000000003</v>
      </c>
      <c r="Z355" s="7">
        <f t="shared" si="238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9">
        <v>0</v>
      </c>
      <c r="AL355" s="30">
        <v>1</v>
      </c>
      <c r="AM355" s="21">
        <v>2013</v>
      </c>
      <c r="AN355" s="23"/>
      <c r="AO355" s="33">
        <v>0.14000000000000001</v>
      </c>
      <c r="AP355" s="33">
        <v>0.42</v>
      </c>
      <c r="AQ355" s="33">
        <v>0.33</v>
      </c>
      <c r="AR355" s="43">
        <v>0.11</v>
      </c>
      <c r="AS355" s="33" t="s">
        <v>107</v>
      </c>
      <c r="AT355" s="43" t="s">
        <v>107</v>
      </c>
      <c r="AU355" s="42">
        <v>1</v>
      </c>
      <c r="AV355" s="18">
        <v>0</v>
      </c>
      <c r="AW355">
        <v>1</v>
      </c>
      <c r="AX355" s="40">
        <v>0</v>
      </c>
      <c r="AY355">
        <v>1</v>
      </c>
      <c r="AZ355" s="40">
        <v>0</v>
      </c>
      <c r="BB355" s="18"/>
      <c r="BC355">
        <f t="shared" si="244"/>
        <v>0.375</v>
      </c>
      <c r="BD355" s="18">
        <v>0.625</v>
      </c>
      <c r="BE355" s="18" t="s">
        <v>28</v>
      </c>
      <c r="BL355" s="18"/>
      <c r="BO355" s="18"/>
      <c r="BR355" s="25">
        <v>44.594000000000001</v>
      </c>
      <c r="BS355">
        <v>1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0</v>
      </c>
      <c r="BZ355" s="18">
        <v>0</v>
      </c>
      <c r="CA355">
        <v>0</v>
      </c>
      <c r="CB355">
        <v>0</v>
      </c>
      <c r="CC355">
        <v>1</v>
      </c>
      <c r="CD355" s="18">
        <v>0</v>
      </c>
      <c r="CE355">
        <v>0</v>
      </c>
      <c r="CF355">
        <v>0</v>
      </c>
      <c r="CG355">
        <v>0</v>
      </c>
      <c r="CH355">
        <v>0</v>
      </c>
      <c r="CI355" s="18">
        <v>0</v>
      </c>
      <c r="CJ355">
        <v>1</v>
      </c>
      <c r="CK355">
        <v>1</v>
      </c>
      <c r="CL355">
        <v>0</v>
      </c>
      <c r="CM355">
        <v>0</v>
      </c>
      <c r="CN355">
        <v>0</v>
      </c>
      <c r="CO355">
        <v>0</v>
      </c>
      <c r="CP355">
        <v>1</v>
      </c>
      <c r="CQ355">
        <v>0</v>
      </c>
      <c r="CR355">
        <v>0</v>
      </c>
      <c r="CS355">
        <v>1</v>
      </c>
      <c r="CT355" s="18">
        <v>1</v>
      </c>
      <c r="CZ355" s="34" t="s">
        <v>87</v>
      </c>
    </row>
    <row r="356" spans="1:104" x14ac:dyDescent="0.25">
      <c r="A356">
        <v>355</v>
      </c>
      <c r="B356">
        <v>22</v>
      </c>
      <c r="C356" s="25" t="s">
        <v>247</v>
      </c>
      <c r="D356" s="12">
        <v>4.9000000000000004</v>
      </c>
      <c r="E356" s="14">
        <v>0.1</v>
      </c>
      <c r="F356" s="7">
        <f t="shared" si="239"/>
        <v>49</v>
      </c>
      <c r="G356" s="7">
        <f t="shared" si="229"/>
        <v>4.8000000000000007</v>
      </c>
      <c r="H356" s="16">
        <f t="shared" si="230"/>
        <v>5</v>
      </c>
      <c r="I356" s="11">
        <f t="shared" si="227"/>
        <v>0.28952550548973338</v>
      </c>
      <c r="J356" s="33">
        <f t="shared" si="228"/>
        <v>5.9086837855047633E-3</v>
      </c>
      <c r="K356" s="33">
        <f t="shared" si="240"/>
        <v>169.24242966821294</v>
      </c>
      <c r="L356" s="33">
        <f t="shared" si="241"/>
        <v>0.28361682170422864</v>
      </c>
      <c r="M356" s="33">
        <f t="shared" si="242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34"/>
        <v>26242</v>
      </c>
      <c r="Y356" s="7">
        <v>7.8040000000000003</v>
      </c>
      <c r="Z356" s="7">
        <f t="shared" si="238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9">
        <v>0</v>
      </c>
      <c r="AL356" s="30">
        <v>1</v>
      </c>
      <c r="AM356" s="21">
        <v>2013</v>
      </c>
      <c r="AN356" s="23"/>
      <c r="AO356" s="33">
        <v>0.14000000000000001</v>
      </c>
      <c r="AP356" s="33">
        <v>0.42</v>
      </c>
      <c r="AQ356" s="33">
        <v>0.33</v>
      </c>
      <c r="AR356" s="43">
        <v>0.11</v>
      </c>
      <c r="AS356" s="33" t="s">
        <v>107</v>
      </c>
      <c r="AT356" s="43" t="s">
        <v>107</v>
      </c>
      <c r="AU356" s="42">
        <v>1</v>
      </c>
      <c r="AV356" s="18">
        <v>0</v>
      </c>
      <c r="AW356">
        <v>0</v>
      </c>
      <c r="AX356" s="40">
        <v>1</v>
      </c>
      <c r="AY356">
        <v>1</v>
      </c>
      <c r="AZ356" s="40">
        <v>0</v>
      </c>
      <c r="BB356" s="18"/>
      <c r="BC356">
        <f t="shared" si="244"/>
        <v>0.375</v>
      </c>
      <c r="BD356" s="18">
        <v>0.625</v>
      </c>
      <c r="BE356" s="18" t="s">
        <v>28</v>
      </c>
      <c r="BL356" s="18"/>
      <c r="BO356" s="18"/>
      <c r="BR356" s="25">
        <v>44.594000000000001</v>
      </c>
      <c r="BS356">
        <v>1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0</v>
      </c>
      <c r="BZ356" s="18">
        <v>0</v>
      </c>
      <c r="CA356">
        <v>0</v>
      </c>
      <c r="CB356">
        <v>0</v>
      </c>
      <c r="CC356">
        <v>1</v>
      </c>
      <c r="CD356" s="18">
        <v>0</v>
      </c>
      <c r="CE356">
        <v>0</v>
      </c>
      <c r="CF356">
        <v>0</v>
      </c>
      <c r="CG356">
        <v>0</v>
      </c>
      <c r="CH356">
        <v>0</v>
      </c>
      <c r="CI356" s="18">
        <v>0</v>
      </c>
      <c r="CJ356">
        <v>1</v>
      </c>
      <c r="CK356">
        <v>1</v>
      </c>
      <c r="CL356">
        <v>0</v>
      </c>
      <c r="CM356">
        <v>0</v>
      </c>
      <c r="CN356">
        <v>0</v>
      </c>
      <c r="CO356">
        <v>0</v>
      </c>
      <c r="CP356">
        <v>1</v>
      </c>
      <c r="CQ356">
        <v>0</v>
      </c>
      <c r="CR356">
        <v>0</v>
      </c>
      <c r="CS356">
        <v>1</v>
      </c>
      <c r="CT356" s="18">
        <v>1</v>
      </c>
      <c r="CZ356" s="34" t="s">
        <v>87</v>
      </c>
    </row>
    <row r="357" spans="1:104" x14ac:dyDescent="0.25">
      <c r="A357">
        <v>356</v>
      </c>
      <c r="B357">
        <v>22</v>
      </c>
      <c r="C357" s="25" t="s">
        <v>247</v>
      </c>
      <c r="D357" s="12">
        <v>12.2</v>
      </c>
      <c r="E357" s="14">
        <v>1.7</v>
      </c>
      <c r="F357" s="7">
        <f t="shared" si="239"/>
        <v>7.1764705882352935</v>
      </c>
      <c r="G357" s="7">
        <f t="shared" si="229"/>
        <v>10.5</v>
      </c>
      <c r="H357" s="16">
        <f t="shared" si="230"/>
        <v>13.899999999999999</v>
      </c>
      <c r="I357" s="11">
        <f t="shared" si="227"/>
        <v>4.3814795954272248E-2</v>
      </c>
      <c r="J357" s="33">
        <f t="shared" si="228"/>
        <v>6.1053404198576086E-3</v>
      </c>
      <c r="K357" s="33">
        <f t="shared" si="240"/>
        <v>163.7910306766027</v>
      </c>
      <c r="L357" s="33">
        <f t="shared" si="241"/>
        <v>3.770945553441464E-2</v>
      </c>
      <c r="M357" s="33">
        <f t="shared" si="242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34"/>
        <v>26776</v>
      </c>
      <c r="Y357" s="7">
        <v>7.8040000000000003</v>
      </c>
      <c r="Z357" s="7">
        <f t="shared" si="238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9">
        <v>0</v>
      </c>
      <c r="AL357" s="30">
        <v>1</v>
      </c>
      <c r="AM357" s="21">
        <v>2013</v>
      </c>
      <c r="AN357" s="23"/>
      <c r="AO357" s="33">
        <v>0.14000000000000001</v>
      </c>
      <c r="AP357" s="33">
        <v>0.42</v>
      </c>
      <c r="AQ357" s="33">
        <v>0.33</v>
      </c>
      <c r="AR357" s="43">
        <v>0.11</v>
      </c>
      <c r="AS357" s="33" t="s">
        <v>107</v>
      </c>
      <c r="AT357" s="43" t="s">
        <v>107</v>
      </c>
      <c r="AU357" s="42">
        <v>1</v>
      </c>
      <c r="AV357" s="18">
        <v>0</v>
      </c>
      <c r="AW357">
        <v>1</v>
      </c>
      <c r="AX357" s="40">
        <v>0</v>
      </c>
      <c r="AY357">
        <v>1</v>
      </c>
      <c r="AZ357" s="40">
        <v>0</v>
      </c>
      <c r="BB357" s="18"/>
      <c r="BC357">
        <f t="shared" si="244"/>
        <v>0.375</v>
      </c>
      <c r="BD357" s="18">
        <v>0.625</v>
      </c>
      <c r="BE357" s="18" t="s">
        <v>28</v>
      </c>
      <c r="BL357" s="18"/>
      <c r="BO357" s="18"/>
      <c r="BR357" s="25">
        <v>44.594000000000001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 s="18">
        <v>1</v>
      </c>
      <c r="CA357">
        <v>0</v>
      </c>
      <c r="CB357">
        <v>1</v>
      </c>
      <c r="CC357">
        <v>0</v>
      </c>
      <c r="CD357" s="18">
        <v>0</v>
      </c>
      <c r="CE357">
        <v>0</v>
      </c>
      <c r="CF357">
        <v>1</v>
      </c>
      <c r="CG357">
        <v>0</v>
      </c>
      <c r="CH357">
        <v>0</v>
      </c>
      <c r="CI357" s="18">
        <v>0</v>
      </c>
      <c r="CJ357">
        <v>1</v>
      </c>
      <c r="CK357">
        <v>1</v>
      </c>
      <c r="CL357">
        <v>0</v>
      </c>
      <c r="CM357">
        <v>0</v>
      </c>
      <c r="CN357">
        <v>0</v>
      </c>
      <c r="CO357">
        <v>0</v>
      </c>
      <c r="CP357">
        <v>1</v>
      </c>
      <c r="CQ357">
        <v>0</v>
      </c>
      <c r="CR357">
        <v>0</v>
      </c>
      <c r="CS357">
        <v>1</v>
      </c>
      <c r="CT357" s="18">
        <v>1</v>
      </c>
      <c r="CZ357" s="34" t="s">
        <v>87</v>
      </c>
    </row>
    <row r="358" spans="1:104" s="52" customFormat="1" x14ac:dyDescent="0.25">
      <c r="A358" s="52">
        <v>357</v>
      </c>
      <c r="B358" s="52">
        <v>22</v>
      </c>
      <c r="C358" s="53" t="s">
        <v>247</v>
      </c>
      <c r="D358" s="54">
        <v>15.8</v>
      </c>
      <c r="E358" s="55">
        <v>2.2000000000000002</v>
      </c>
      <c r="F358" s="56">
        <f t="shared" si="239"/>
        <v>7.1818181818181817</v>
      </c>
      <c r="G358" s="56">
        <f t="shared" si="229"/>
        <v>13.600000000000001</v>
      </c>
      <c r="H358" s="57">
        <f t="shared" si="230"/>
        <v>18</v>
      </c>
      <c r="I358" s="58">
        <f t="shared" si="227"/>
        <v>4.4290395425208039E-2</v>
      </c>
      <c r="J358" s="59">
        <f t="shared" si="228"/>
        <v>6.1670170845226384E-3</v>
      </c>
      <c r="K358" s="59">
        <f t="shared" si="240"/>
        <v>162.15294789918772</v>
      </c>
      <c r="L358" s="59">
        <f t="shared" si="241"/>
        <v>3.8123378340685403E-2</v>
      </c>
      <c r="M358" s="59">
        <f t="shared" si="242"/>
        <v>5.0457412509730674E-2</v>
      </c>
      <c r="N358" s="60">
        <v>0</v>
      </c>
      <c r="O358" s="61">
        <v>1</v>
      </c>
      <c r="P358" s="60">
        <v>0</v>
      </c>
      <c r="Q358" s="61">
        <v>0</v>
      </c>
      <c r="R358" s="61">
        <v>1</v>
      </c>
      <c r="S358" s="61">
        <v>0</v>
      </c>
      <c r="T358" s="61">
        <v>0</v>
      </c>
      <c r="U358" s="60">
        <v>26255</v>
      </c>
      <c r="V358" s="61">
        <v>12</v>
      </c>
      <c r="W358" s="61">
        <f t="shared" si="234"/>
        <v>26242</v>
      </c>
      <c r="X358" s="61"/>
      <c r="Y358" s="56">
        <v>7.8040000000000003</v>
      </c>
      <c r="Z358" s="56">
        <f t="shared" si="238"/>
        <v>30.79</v>
      </c>
      <c r="AA358" s="61">
        <v>1</v>
      </c>
      <c r="AB358" s="61">
        <v>0</v>
      </c>
      <c r="AC358" s="61">
        <v>0</v>
      </c>
      <c r="AD358" s="61">
        <v>0</v>
      </c>
      <c r="AE358" s="61">
        <v>0</v>
      </c>
      <c r="AF358" s="61">
        <v>1</v>
      </c>
      <c r="AG358" s="60">
        <v>0</v>
      </c>
      <c r="AH358" s="61">
        <v>0</v>
      </c>
      <c r="AI358" s="62">
        <v>1</v>
      </c>
      <c r="AJ358" s="61">
        <v>0</v>
      </c>
      <c r="AK358" s="61">
        <v>0</v>
      </c>
      <c r="AL358" s="62">
        <v>1</v>
      </c>
      <c r="AM358" s="63">
        <v>2013</v>
      </c>
      <c r="AN358" s="64"/>
      <c r="AO358" s="59">
        <v>0.14000000000000001</v>
      </c>
      <c r="AP358" s="59">
        <v>0.42</v>
      </c>
      <c r="AQ358" s="59">
        <v>0.33</v>
      </c>
      <c r="AR358" s="65">
        <v>0.11</v>
      </c>
      <c r="AS358" s="59" t="s">
        <v>107</v>
      </c>
      <c r="AT358" s="65" t="s">
        <v>107</v>
      </c>
      <c r="AU358" s="66">
        <v>1</v>
      </c>
      <c r="AV358" s="67">
        <v>0</v>
      </c>
      <c r="AW358" s="52">
        <v>0</v>
      </c>
      <c r="AX358" s="68">
        <v>1</v>
      </c>
      <c r="AY358" s="52">
        <v>1</v>
      </c>
      <c r="AZ358" s="68">
        <v>0</v>
      </c>
      <c r="BB358" s="67"/>
      <c r="BC358" s="52">
        <f t="shared" si="244"/>
        <v>0.375</v>
      </c>
      <c r="BD358" s="67">
        <v>0.625</v>
      </c>
      <c r="BE358" s="67" t="s">
        <v>28</v>
      </c>
      <c r="BL358" s="67"/>
      <c r="BO358" s="67"/>
      <c r="BR358" s="53">
        <v>44.594000000000001</v>
      </c>
      <c r="BS358" s="52">
        <v>0</v>
      </c>
      <c r="BT358" s="52">
        <v>0</v>
      </c>
      <c r="BU358" s="52">
        <v>0</v>
      </c>
      <c r="BV358" s="52">
        <v>0</v>
      </c>
      <c r="BW358" s="52">
        <v>0</v>
      </c>
      <c r="BX358" s="52">
        <v>0</v>
      </c>
      <c r="BY358" s="52">
        <v>0</v>
      </c>
      <c r="BZ358" s="67">
        <v>1</v>
      </c>
      <c r="CA358" s="52">
        <v>0</v>
      </c>
      <c r="CB358" s="52">
        <v>1</v>
      </c>
      <c r="CC358" s="52">
        <v>0</v>
      </c>
      <c r="CD358" s="67">
        <v>0</v>
      </c>
      <c r="CE358" s="52">
        <v>0</v>
      </c>
      <c r="CF358" s="52">
        <v>1</v>
      </c>
      <c r="CG358" s="52">
        <v>0</v>
      </c>
      <c r="CH358" s="52">
        <v>0</v>
      </c>
      <c r="CI358" s="67">
        <v>0</v>
      </c>
      <c r="CJ358" s="52">
        <v>1</v>
      </c>
      <c r="CK358" s="52">
        <v>1</v>
      </c>
      <c r="CL358" s="52">
        <v>0</v>
      </c>
      <c r="CM358" s="52">
        <v>0</v>
      </c>
      <c r="CN358" s="52">
        <v>0</v>
      </c>
      <c r="CO358" s="52">
        <v>0</v>
      </c>
      <c r="CP358" s="52">
        <v>1</v>
      </c>
      <c r="CQ358" s="52">
        <v>0</v>
      </c>
      <c r="CR358" s="52">
        <v>0</v>
      </c>
      <c r="CS358" s="52">
        <v>1</v>
      </c>
      <c r="CT358" s="67">
        <v>1</v>
      </c>
      <c r="CY358" s="53"/>
      <c r="CZ358" s="69" t="s">
        <v>87</v>
      </c>
    </row>
    <row r="359" spans="1:104" x14ac:dyDescent="0.25">
      <c r="A359">
        <v>358</v>
      </c>
      <c r="B359">
        <v>23</v>
      </c>
      <c r="C359" s="25" t="s">
        <v>248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45">D359-E359</f>
        <v>3.3375770020533881</v>
      </c>
      <c r="H359" s="16">
        <f t="shared" ref="H359:H382" si="246">D359+E359</f>
        <v>5.0624229979466122</v>
      </c>
      <c r="I359" s="11">
        <f t="shared" si="227"/>
        <v>0.11280776361417817</v>
      </c>
      <c r="J359" s="33">
        <f t="shared" si="228"/>
        <v>2.3163811830426727E-2</v>
      </c>
      <c r="K359" s="33">
        <f t="shared" ref="K359:K380" si="247">IFERROR(1/J359, "X")</f>
        <v>43.170787576786225</v>
      </c>
      <c r="L359" s="33">
        <f t="shared" ref="L359:L380" si="248">IFERROR(I359-J359, "X")</f>
        <v>8.9643951783751452E-2</v>
      </c>
      <c r="M359" s="33">
        <f t="shared" ref="M359:M380" si="249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34"/>
        <v>1840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9">
        <v>0</v>
      </c>
      <c r="AL359" s="30">
        <v>1</v>
      </c>
      <c r="AM359" s="21">
        <v>1989</v>
      </c>
      <c r="AN359" s="23"/>
      <c r="AO359" s="33">
        <f t="shared" ref="AO359:AR362" si="250">$AW$359*AO371+$AX$359*AO363</f>
        <v>0.21501220000000001</v>
      </c>
      <c r="AP359" s="33">
        <f t="shared" si="250"/>
        <v>0.34625300000000003</v>
      </c>
      <c r="AQ359" s="33">
        <f t="shared" si="250"/>
        <v>0.30737340000000002</v>
      </c>
      <c r="AR359" s="43">
        <f t="shared" si="250"/>
        <v>0.13136140000000002</v>
      </c>
      <c r="AS359" s="33" t="s">
        <v>107</v>
      </c>
      <c r="AT359" s="43" t="s">
        <v>107</v>
      </c>
      <c r="AU359" s="42">
        <v>1</v>
      </c>
      <c r="AV359" s="18">
        <v>0</v>
      </c>
      <c r="AW359" s="39">
        <f>1-AX359</f>
        <v>0.55020000000000002</v>
      </c>
      <c r="AX359" s="40">
        <v>0.44979999999999998</v>
      </c>
      <c r="AY359">
        <v>8.5300000000000001E-2</v>
      </c>
      <c r="AZ359" s="40">
        <f>1-AY359</f>
        <v>0.91469999999999996</v>
      </c>
      <c r="BB359" s="18"/>
      <c r="BC359">
        <v>0</v>
      </c>
      <c r="BD359" s="18">
        <v>1</v>
      </c>
      <c r="BE359" s="18" t="s">
        <v>5</v>
      </c>
      <c r="BL359" s="18"/>
      <c r="BO359" s="18"/>
      <c r="BR359" s="25">
        <v>37.79</v>
      </c>
      <c r="BS359">
        <v>1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 s="18">
        <v>0</v>
      </c>
      <c r="CA359">
        <v>0</v>
      </c>
      <c r="CB359">
        <v>1</v>
      </c>
      <c r="CC359">
        <v>0</v>
      </c>
      <c r="CD359" s="18">
        <v>0</v>
      </c>
      <c r="CE359">
        <v>0</v>
      </c>
      <c r="CF359">
        <v>0</v>
      </c>
      <c r="CG359">
        <v>0</v>
      </c>
      <c r="CH359">
        <v>0</v>
      </c>
      <c r="CI359" s="18">
        <v>0</v>
      </c>
      <c r="CJ359">
        <v>0</v>
      </c>
      <c r="CK359">
        <v>0</v>
      </c>
      <c r="CL359">
        <v>1</v>
      </c>
      <c r="CM359">
        <v>1</v>
      </c>
      <c r="CN359">
        <v>0</v>
      </c>
      <c r="CO359">
        <v>0</v>
      </c>
      <c r="CP359">
        <v>1</v>
      </c>
      <c r="CQ359">
        <v>0</v>
      </c>
      <c r="CR359">
        <v>0</v>
      </c>
      <c r="CS359">
        <v>0</v>
      </c>
      <c r="CT359" s="18">
        <v>1</v>
      </c>
      <c r="CZ359" s="34" t="s">
        <v>87</v>
      </c>
    </row>
    <row r="360" spans="1:104" x14ac:dyDescent="0.25">
      <c r="A360">
        <v>359</v>
      </c>
      <c r="B360">
        <v>23</v>
      </c>
      <c r="C360" s="25" t="s">
        <v>248</v>
      </c>
      <c r="D360" s="12">
        <v>2</v>
      </c>
      <c r="E360" s="14">
        <f t="shared" ref="E360:E382" si="251">D360/F360</f>
        <v>0.77821011673151752</v>
      </c>
      <c r="F360" s="7">
        <v>2.57</v>
      </c>
      <c r="G360" s="7">
        <f t="shared" si="245"/>
        <v>1.2217898832684826</v>
      </c>
      <c r="H360" s="16">
        <f t="shared" si="246"/>
        <v>2.7782101167315174</v>
      </c>
      <c r="I360" s="11">
        <f t="shared" si="227"/>
        <v>6.6565906564949873E-2</v>
      </c>
      <c r="J360" s="33">
        <f t="shared" si="228"/>
        <v>2.5901130959124465E-2</v>
      </c>
      <c r="K360" s="33">
        <f t="shared" si="247"/>
        <v>38.608352723212633</v>
      </c>
      <c r="L360" s="33">
        <f t="shared" si="248"/>
        <v>4.0664775605825404E-2</v>
      </c>
      <c r="M360" s="33">
        <f t="shared" si="249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34"/>
        <v>1484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9">
        <v>0</v>
      </c>
      <c r="AL360" s="30">
        <v>1</v>
      </c>
      <c r="AM360" s="21">
        <v>1993</v>
      </c>
      <c r="AN360" s="23"/>
      <c r="AO360" s="33">
        <f t="shared" si="250"/>
        <v>0.21501220000000001</v>
      </c>
      <c r="AP360" s="33">
        <f t="shared" si="250"/>
        <v>0.34625300000000003</v>
      </c>
      <c r="AQ360" s="33">
        <f t="shared" si="250"/>
        <v>0.30737340000000002</v>
      </c>
      <c r="AR360" s="43">
        <f t="shared" si="250"/>
        <v>0.13136140000000002</v>
      </c>
      <c r="AS360" s="33" t="s">
        <v>107</v>
      </c>
      <c r="AT360" s="43" t="s">
        <v>107</v>
      </c>
      <c r="AU360" s="42">
        <v>1</v>
      </c>
      <c r="AV360" s="18">
        <v>0</v>
      </c>
      <c r="AW360" s="39">
        <f t="shared" ref="AW360:AW362" si="252">1-AX360</f>
        <v>0.54679999999999995</v>
      </c>
      <c r="AX360" s="40">
        <v>0.45319999999999999</v>
      </c>
      <c r="AY360">
        <v>8.5300000000000001E-2</v>
      </c>
      <c r="AZ360" s="40">
        <f>1-AY360</f>
        <v>0.91469999999999996</v>
      </c>
      <c r="BB360" s="18"/>
      <c r="BC360">
        <v>0</v>
      </c>
      <c r="BD360" s="18">
        <v>1</v>
      </c>
      <c r="BE360" s="18" t="s">
        <v>5</v>
      </c>
      <c r="BL360" s="18"/>
      <c r="BO360" s="18"/>
      <c r="BR360" s="25">
        <v>39</v>
      </c>
      <c r="BS360">
        <v>1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 s="18">
        <v>0</v>
      </c>
      <c r="CA360">
        <v>0</v>
      </c>
      <c r="CB360">
        <v>1</v>
      </c>
      <c r="CC360">
        <v>0</v>
      </c>
      <c r="CD360" s="18">
        <v>0</v>
      </c>
      <c r="CE360">
        <v>0</v>
      </c>
      <c r="CF360">
        <v>0</v>
      </c>
      <c r="CG360">
        <v>0</v>
      </c>
      <c r="CH360">
        <v>0</v>
      </c>
      <c r="CI360" s="18">
        <v>0</v>
      </c>
      <c r="CJ360">
        <v>0</v>
      </c>
      <c r="CK360">
        <v>0</v>
      </c>
      <c r="CL360">
        <v>1</v>
      </c>
      <c r="CM360">
        <v>1</v>
      </c>
      <c r="CN360">
        <v>0</v>
      </c>
      <c r="CO360">
        <v>0</v>
      </c>
      <c r="CP360">
        <v>1</v>
      </c>
      <c r="CQ360">
        <v>0</v>
      </c>
      <c r="CR360">
        <v>0</v>
      </c>
      <c r="CS360">
        <v>0</v>
      </c>
      <c r="CT360" s="18">
        <v>1</v>
      </c>
      <c r="CZ360" s="34" t="s">
        <v>87</v>
      </c>
    </row>
    <row r="361" spans="1:104" x14ac:dyDescent="0.25">
      <c r="A361">
        <v>360</v>
      </c>
      <c r="B361">
        <v>23</v>
      </c>
      <c r="C361" s="25" t="s">
        <v>248</v>
      </c>
      <c r="D361" s="12">
        <v>4.2</v>
      </c>
      <c r="E361" s="14">
        <f t="shared" si="251"/>
        <v>0.65015479876160998</v>
      </c>
      <c r="F361" s="7">
        <v>6.46</v>
      </c>
      <c r="G361" s="7">
        <f t="shared" si="245"/>
        <v>3.5498452012383903</v>
      </c>
      <c r="H361" s="16">
        <f t="shared" si="246"/>
        <v>4.8501547987616105</v>
      </c>
      <c r="I361" s="11">
        <f t="shared" si="227"/>
        <v>0.1858862658176324</v>
      </c>
      <c r="J361" s="33">
        <f t="shared" si="228"/>
        <v>2.8774963748859506E-2</v>
      </c>
      <c r="K361" s="33">
        <f t="shared" si="247"/>
        <v>34.752433008352092</v>
      </c>
      <c r="L361" s="33">
        <f t="shared" si="248"/>
        <v>0.15711130206877288</v>
      </c>
      <c r="M361" s="33">
        <f t="shared" si="249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34"/>
        <v>1166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9">
        <v>0</v>
      </c>
      <c r="AL361" s="30">
        <v>1</v>
      </c>
      <c r="AM361" s="21">
        <v>1997</v>
      </c>
      <c r="AN361" s="23"/>
      <c r="AO361" s="33">
        <f t="shared" si="250"/>
        <v>8.9482000000000006E-2</v>
      </c>
      <c r="AP361" s="33">
        <f t="shared" si="250"/>
        <v>0.30738960000000004</v>
      </c>
      <c r="AQ361" s="33">
        <f t="shared" si="250"/>
        <v>0.40731719999999999</v>
      </c>
      <c r="AR361" s="43">
        <f t="shared" si="250"/>
        <v>0.19581120000000007</v>
      </c>
      <c r="AS361" s="33" t="s">
        <v>107</v>
      </c>
      <c r="AT361" s="43" t="s">
        <v>107</v>
      </c>
      <c r="AU361" s="42">
        <v>1</v>
      </c>
      <c r="AV361" s="18">
        <v>0</v>
      </c>
      <c r="AW361" s="39">
        <f t="shared" si="252"/>
        <v>0.56369999999999998</v>
      </c>
      <c r="AX361" s="40">
        <v>0.43630000000000002</v>
      </c>
      <c r="AY361">
        <v>8.5300000000000001E-2</v>
      </c>
      <c r="AZ361" s="40">
        <f t="shared" ref="AZ361:AZ382" si="253">1-AY361</f>
        <v>0.91469999999999996</v>
      </c>
      <c r="BB361" s="18"/>
      <c r="BC361">
        <v>0</v>
      </c>
      <c r="BD361" s="18">
        <v>1</v>
      </c>
      <c r="BE361" s="18" t="s">
        <v>5</v>
      </c>
      <c r="BL361" s="18"/>
      <c r="BO361" s="18"/>
      <c r="BR361" s="25">
        <v>37.630000000000003</v>
      </c>
      <c r="BS361">
        <v>1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 s="18">
        <v>0</v>
      </c>
      <c r="CA361">
        <v>0</v>
      </c>
      <c r="CB361">
        <v>1</v>
      </c>
      <c r="CC361">
        <v>0</v>
      </c>
      <c r="CD361" s="18">
        <v>0</v>
      </c>
      <c r="CE361">
        <v>0</v>
      </c>
      <c r="CF361">
        <v>0</v>
      </c>
      <c r="CG361">
        <v>0</v>
      </c>
      <c r="CH361">
        <v>0</v>
      </c>
      <c r="CI361" s="18">
        <v>0</v>
      </c>
      <c r="CJ361">
        <v>0</v>
      </c>
      <c r="CK361">
        <v>0</v>
      </c>
      <c r="CL361">
        <v>1</v>
      </c>
      <c r="CM361">
        <v>1</v>
      </c>
      <c r="CN361">
        <v>0</v>
      </c>
      <c r="CO361">
        <v>0</v>
      </c>
      <c r="CP361">
        <v>1</v>
      </c>
      <c r="CQ361">
        <v>0</v>
      </c>
      <c r="CR361">
        <v>0</v>
      </c>
      <c r="CS361">
        <v>0</v>
      </c>
      <c r="CT361" s="18">
        <v>1</v>
      </c>
      <c r="CZ361" s="34" t="s">
        <v>87</v>
      </c>
    </row>
    <row r="362" spans="1:104" x14ac:dyDescent="0.25">
      <c r="A362">
        <v>361</v>
      </c>
      <c r="B362">
        <v>23</v>
      </c>
      <c r="C362" s="25" t="s">
        <v>248</v>
      </c>
      <c r="D362" s="12">
        <v>6.4</v>
      </c>
      <c r="E362" s="14">
        <f t="shared" si="251"/>
        <v>0.71991001124859388</v>
      </c>
      <c r="F362" s="7">
        <v>8.89</v>
      </c>
      <c r="G362" s="7">
        <f t="shared" si="245"/>
        <v>5.6800899887514067</v>
      </c>
      <c r="H362" s="16">
        <f t="shared" si="246"/>
        <v>7.119910011248594</v>
      </c>
      <c r="I362" s="11">
        <f t="shared" si="227"/>
        <v>0.26457488505143828</v>
      </c>
      <c r="J362" s="33">
        <f t="shared" si="228"/>
        <v>2.9760954448980682E-2</v>
      </c>
      <c r="K362" s="33">
        <f t="shared" si="247"/>
        <v>33.601072899537002</v>
      </c>
      <c r="L362" s="33">
        <f t="shared" si="248"/>
        <v>0.23481393060245759</v>
      </c>
      <c r="M362" s="33">
        <f t="shared" si="249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34"/>
        <v>1050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9">
        <v>0</v>
      </c>
      <c r="AL362" s="30">
        <v>1</v>
      </c>
      <c r="AM362" s="21">
        <v>2000</v>
      </c>
      <c r="AN362" s="23"/>
      <c r="AO362" s="33">
        <f t="shared" si="250"/>
        <v>8.9482000000000006E-2</v>
      </c>
      <c r="AP362" s="33">
        <f t="shared" si="250"/>
        <v>0.30738960000000004</v>
      </c>
      <c r="AQ362" s="33">
        <f t="shared" si="250"/>
        <v>0.40731719999999999</v>
      </c>
      <c r="AR362" s="43">
        <f t="shared" si="250"/>
        <v>0.19581120000000007</v>
      </c>
      <c r="AS362" s="33" t="s">
        <v>107</v>
      </c>
      <c r="AT362" s="43" t="s">
        <v>107</v>
      </c>
      <c r="AU362" s="42">
        <v>1</v>
      </c>
      <c r="AV362" s="18">
        <v>0</v>
      </c>
      <c r="AW362" s="39">
        <f t="shared" si="252"/>
        <v>0.57479999999999998</v>
      </c>
      <c r="AX362" s="40">
        <v>0.42520000000000002</v>
      </c>
      <c r="AY362">
        <v>8.5300000000000001E-2</v>
      </c>
      <c r="AZ362" s="40">
        <f t="shared" si="253"/>
        <v>0.91469999999999996</v>
      </c>
      <c r="BB362" s="18"/>
      <c r="BC362">
        <v>0</v>
      </c>
      <c r="BD362" s="18">
        <v>1</v>
      </c>
      <c r="BE362" s="18" t="s">
        <v>5</v>
      </c>
      <c r="BL362" s="18"/>
      <c r="BO362" s="18"/>
      <c r="BR362" s="25">
        <v>39.049999999999997</v>
      </c>
      <c r="BS362">
        <v>1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 s="18">
        <v>0</v>
      </c>
      <c r="CA362">
        <v>0</v>
      </c>
      <c r="CB362">
        <v>1</v>
      </c>
      <c r="CC362">
        <v>0</v>
      </c>
      <c r="CD362" s="18">
        <v>0</v>
      </c>
      <c r="CE362">
        <v>0</v>
      </c>
      <c r="CF362">
        <v>0</v>
      </c>
      <c r="CG362">
        <v>0</v>
      </c>
      <c r="CH362">
        <v>0</v>
      </c>
      <c r="CI362" s="18">
        <v>0</v>
      </c>
      <c r="CJ362">
        <v>0</v>
      </c>
      <c r="CK362">
        <v>0</v>
      </c>
      <c r="CL362">
        <v>1</v>
      </c>
      <c r="CM362">
        <v>1</v>
      </c>
      <c r="CN362">
        <v>0</v>
      </c>
      <c r="CO362">
        <v>0</v>
      </c>
      <c r="CP362">
        <v>1</v>
      </c>
      <c r="CQ362">
        <v>0</v>
      </c>
      <c r="CR362">
        <v>0</v>
      </c>
      <c r="CS362">
        <v>0</v>
      </c>
      <c r="CT362" s="18">
        <v>1</v>
      </c>
      <c r="CZ362" s="34" t="s">
        <v>87</v>
      </c>
    </row>
    <row r="363" spans="1:104" x14ac:dyDescent="0.25">
      <c r="A363">
        <v>362</v>
      </c>
      <c r="B363">
        <v>23</v>
      </c>
      <c r="C363" s="25" t="s">
        <v>248</v>
      </c>
      <c r="D363" s="12">
        <v>3</v>
      </c>
      <c r="E363" s="14">
        <f t="shared" si="251"/>
        <v>1.2987012987012987</v>
      </c>
      <c r="F363" s="7">
        <v>2.31</v>
      </c>
      <c r="G363" s="7">
        <f t="shared" si="245"/>
        <v>1.7012987012987013</v>
      </c>
      <c r="H363" s="16">
        <f t="shared" si="246"/>
        <v>4.2987012987012987</v>
      </c>
      <c r="I363" s="11">
        <f t="shared" si="227"/>
        <v>8.1198409743599181E-2</v>
      </c>
      <c r="J363" s="33">
        <f t="shared" si="228"/>
        <v>3.5150826728830811E-2</v>
      </c>
      <c r="K363" s="33">
        <f t="shared" si="247"/>
        <v>28.44883301648769</v>
      </c>
      <c r="L363" s="33">
        <f t="shared" si="248"/>
        <v>4.604758301476837E-2</v>
      </c>
      <c r="M363" s="33">
        <f t="shared" si="249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34"/>
        <v>804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9">
        <v>0</v>
      </c>
      <c r="AL363" s="30">
        <v>1</v>
      </c>
      <c r="AM363" s="21">
        <v>1989</v>
      </c>
      <c r="AN363" s="23"/>
      <c r="AO363" s="33">
        <v>0.31900000000000001</v>
      </c>
      <c r="AP363" s="33">
        <v>0.33800000000000002</v>
      </c>
      <c r="AQ363" s="33">
        <v>0.24299999999999999</v>
      </c>
      <c r="AR363" s="43">
        <f>1-SUM(AO363:AQ363)</f>
        <v>9.9999999999999978E-2</v>
      </c>
      <c r="AS363" s="33" t="s">
        <v>107</v>
      </c>
      <c r="AT363" s="43" t="s">
        <v>107</v>
      </c>
      <c r="AU363" s="42">
        <v>1</v>
      </c>
      <c r="AV363" s="18">
        <v>0</v>
      </c>
      <c r="AW363">
        <v>0</v>
      </c>
      <c r="AX363" s="40">
        <v>1</v>
      </c>
      <c r="AY363">
        <v>8.5300000000000001E-2</v>
      </c>
      <c r="AZ363" s="40">
        <f t="shared" si="253"/>
        <v>0.91469999999999996</v>
      </c>
      <c r="BB363" s="18"/>
      <c r="BC363">
        <v>0</v>
      </c>
      <c r="BD363" s="18">
        <v>1</v>
      </c>
      <c r="BE363" s="18" t="s">
        <v>5</v>
      </c>
      <c r="BL363" s="18"/>
      <c r="BO363" s="18"/>
      <c r="BR363" s="25">
        <v>37.79</v>
      </c>
      <c r="BS363">
        <v>1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 s="18">
        <v>0</v>
      </c>
      <c r="CA363">
        <v>0</v>
      </c>
      <c r="CB363">
        <v>1</v>
      </c>
      <c r="CC363">
        <v>0</v>
      </c>
      <c r="CD363" s="18">
        <v>0</v>
      </c>
      <c r="CE363">
        <v>0</v>
      </c>
      <c r="CF363">
        <v>0</v>
      </c>
      <c r="CG363">
        <v>0</v>
      </c>
      <c r="CH363">
        <v>0</v>
      </c>
      <c r="CI363" s="18">
        <v>0</v>
      </c>
      <c r="CJ363">
        <v>0</v>
      </c>
      <c r="CK363">
        <v>0</v>
      </c>
      <c r="CL363">
        <v>1</v>
      </c>
      <c r="CM363">
        <v>1</v>
      </c>
      <c r="CN363">
        <v>0</v>
      </c>
      <c r="CO363">
        <v>0</v>
      </c>
      <c r="CP363">
        <v>1</v>
      </c>
      <c r="CQ363">
        <v>0</v>
      </c>
      <c r="CR363">
        <v>1</v>
      </c>
      <c r="CS363">
        <v>0</v>
      </c>
      <c r="CT363" s="18">
        <v>1</v>
      </c>
      <c r="CZ363" s="34" t="s">
        <v>87</v>
      </c>
    </row>
    <row r="364" spans="1:104" x14ac:dyDescent="0.25">
      <c r="A364">
        <v>363</v>
      </c>
      <c r="B364">
        <v>23</v>
      </c>
      <c r="C364" s="25" t="s">
        <v>248</v>
      </c>
      <c r="D364" s="12">
        <v>2.8</v>
      </c>
      <c r="E364" s="14">
        <f t="shared" si="251"/>
        <v>3.2558139534883721</v>
      </c>
      <c r="F364" s="7">
        <v>0.86</v>
      </c>
      <c r="G364" s="7">
        <f t="shared" si="245"/>
        <v>-0.45581395348837228</v>
      </c>
      <c r="H364" s="16">
        <f t="shared" si="246"/>
        <v>6.0558139534883715</v>
      </c>
      <c r="I364" s="11">
        <f t="shared" si="227"/>
        <v>2.3486928885310506E-2</v>
      </c>
      <c r="J364" s="33">
        <f t="shared" si="228"/>
        <v>2.7310382424779657E-2</v>
      </c>
      <c r="K364" s="33">
        <f t="shared" si="247"/>
        <v>36.616111208046114</v>
      </c>
      <c r="L364" s="33">
        <f t="shared" si="248"/>
        <v>-3.8234535394691509E-3</v>
      </c>
      <c r="M364" s="33">
        <f t="shared" si="249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34"/>
        <v>1340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9">
        <v>0</v>
      </c>
      <c r="AL364" s="30">
        <v>1</v>
      </c>
      <c r="AM364" s="21">
        <v>1993</v>
      </c>
      <c r="AN364" s="23"/>
      <c r="AO364" s="33">
        <v>0.31900000000000001</v>
      </c>
      <c r="AP364" s="33">
        <v>0.33800000000000002</v>
      </c>
      <c r="AQ364" s="33">
        <v>0.24299999999999999</v>
      </c>
      <c r="AR364" s="43">
        <f t="shared" ref="AR364:AR374" si="254">1-SUM(AO364:AQ364)</f>
        <v>9.9999999999999978E-2</v>
      </c>
      <c r="AS364" s="33" t="s">
        <v>107</v>
      </c>
      <c r="AT364" s="43" t="s">
        <v>107</v>
      </c>
      <c r="AU364" s="42">
        <v>1</v>
      </c>
      <c r="AV364" s="18">
        <v>0</v>
      </c>
      <c r="AW364">
        <v>0</v>
      </c>
      <c r="AX364" s="40">
        <v>1</v>
      </c>
      <c r="AY364">
        <v>8.5300000000000001E-2</v>
      </c>
      <c r="AZ364" s="40">
        <f t="shared" si="253"/>
        <v>0.91469999999999996</v>
      </c>
      <c r="BB364" s="18"/>
      <c r="BC364">
        <v>0</v>
      </c>
      <c r="BD364" s="18">
        <v>1</v>
      </c>
      <c r="BE364" s="18" t="s">
        <v>5</v>
      </c>
      <c r="BL364" s="18"/>
      <c r="BO364" s="18"/>
      <c r="BR364" s="25">
        <v>39</v>
      </c>
      <c r="BS364">
        <v>1</v>
      </c>
      <c r="BT364">
        <v>0</v>
      </c>
      <c r="BU364">
        <v>0</v>
      </c>
      <c r="BV364">
        <v>0</v>
      </c>
      <c r="BW364">
        <v>0</v>
      </c>
      <c r="BX364">
        <v>1</v>
      </c>
      <c r="BY364">
        <v>0</v>
      </c>
      <c r="BZ364" s="18">
        <v>0</v>
      </c>
      <c r="CA364">
        <v>0</v>
      </c>
      <c r="CB364">
        <v>1</v>
      </c>
      <c r="CC364">
        <v>0</v>
      </c>
      <c r="CD364" s="18">
        <v>0</v>
      </c>
      <c r="CE364">
        <v>0</v>
      </c>
      <c r="CF364">
        <v>0</v>
      </c>
      <c r="CG364">
        <v>0</v>
      </c>
      <c r="CH364">
        <v>0</v>
      </c>
      <c r="CI364" s="18">
        <v>0</v>
      </c>
      <c r="CJ364">
        <v>0</v>
      </c>
      <c r="CK364">
        <v>0</v>
      </c>
      <c r="CL364">
        <v>1</v>
      </c>
      <c r="CM364">
        <v>1</v>
      </c>
      <c r="CN364">
        <v>0</v>
      </c>
      <c r="CO364">
        <v>0</v>
      </c>
      <c r="CP364">
        <v>1</v>
      </c>
      <c r="CQ364">
        <v>0</v>
      </c>
      <c r="CR364">
        <v>1</v>
      </c>
      <c r="CS364">
        <v>0</v>
      </c>
      <c r="CT364" s="18">
        <v>1</v>
      </c>
      <c r="CZ364" s="34" t="s">
        <v>87</v>
      </c>
    </row>
    <row r="365" spans="1:104" x14ac:dyDescent="0.25">
      <c r="A365">
        <v>364</v>
      </c>
      <c r="B365">
        <v>23</v>
      </c>
      <c r="C365" s="25" t="s">
        <v>248</v>
      </c>
      <c r="D365" s="12">
        <v>1.8</v>
      </c>
      <c r="E365" s="14">
        <f t="shared" si="251"/>
        <v>0.89552238805970164</v>
      </c>
      <c r="F365" s="7">
        <v>2.0099999999999998</v>
      </c>
      <c r="G365" s="7">
        <f t="shared" si="245"/>
        <v>0.90447761194029841</v>
      </c>
      <c r="H365" s="16">
        <f t="shared" si="246"/>
        <v>2.6955223880597017</v>
      </c>
      <c r="I365" s="11">
        <f t="shared" si="227"/>
        <v>7.9079937896204405E-2</v>
      </c>
      <c r="J365" s="33">
        <f t="shared" si="228"/>
        <v>3.9343252684678816E-2</v>
      </c>
      <c r="K365" s="33">
        <f t="shared" si="247"/>
        <v>25.417318898735168</v>
      </c>
      <c r="L365" s="33">
        <f t="shared" si="248"/>
        <v>3.9736685211525589E-2</v>
      </c>
      <c r="M365" s="33">
        <f t="shared" si="249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34"/>
        <v>642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9">
        <v>0</v>
      </c>
      <c r="AL365" s="30">
        <v>1</v>
      </c>
      <c r="AM365" s="21">
        <v>1997</v>
      </c>
      <c r="AN365" s="23"/>
      <c r="AO365" s="33">
        <v>0.13900000000000001</v>
      </c>
      <c r="AP365" s="33">
        <v>0.33600000000000002</v>
      </c>
      <c r="AQ365" s="33">
        <v>0.36</v>
      </c>
      <c r="AR365" s="43">
        <f t="shared" si="254"/>
        <v>0.16500000000000004</v>
      </c>
      <c r="AS365" s="33" t="s">
        <v>107</v>
      </c>
      <c r="AT365" s="43" t="s">
        <v>107</v>
      </c>
      <c r="AU365" s="42">
        <v>1</v>
      </c>
      <c r="AV365" s="18">
        <v>0</v>
      </c>
      <c r="AW365">
        <v>0</v>
      </c>
      <c r="AX365" s="40">
        <v>1</v>
      </c>
      <c r="AY365">
        <v>8.5300000000000001E-2</v>
      </c>
      <c r="AZ365" s="40">
        <f t="shared" si="253"/>
        <v>0.91469999999999996</v>
      </c>
      <c r="BB365" s="18"/>
      <c r="BC365">
        <v>0</v>
      </c>
      <c r="BD365" s="18">
        <v>1</v>
      </c>
      <c r="BE365" s="18" t="s">
        <v>5</v>
      </c>
      <c r="BL365" s="18"/>
      <c r="BO365" s="18"/>
      <c r="BR365" s="25">
        <v>37.630000000000003</v>
      </c>
      <c r="BS365">
        <v>1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 s="18">
        <v>0</v>
      </c>
      <c r="CA365">
        <v>0</v>
      </c>
      <c r="CB365">
        <v>1</v>
      </c>
      <c r="CC365">
        <v>0</v>
      </c>
      <c r="CD365" s="18">
        <v>0</v>
      </c>
      <c r="CE365">
        <v>0</v>
      </c>
      <c r="CF365">
        <v>0</v>
      </c>
      <c r="CG365">
        <v>0</v>
      </c>
      <c r="CH365">
        <v>0</v>
      </c>
      <c r="CI365" s="18">
        <v>0</v>
      </c>
      <c r="CJ365">
        <v>0</v>
      </c>
      <c r="CK365">
        <v>0</v>
      </c>
      <c r="CL365">
        <v>1</v>
      </c>
      <c r="CM365">
        <v>1</v>
      </c>
      <c r="CN365">
        <v>0</v>
      </c>
      <c r="CO365">
        <v>0</v>
      </c>
      <c r="CP365">
        <v>1</v>
      </c>
      <c r="CQ365">
        <v>0</v>
      </c>
      <c r="CR365">
        <v>1</v>
      </c>
      <c r="CS365">
        <v>0</v>
      </c>
      <c r="CT365" s="18">
        <v>1</v>
      </c>
      <c r="CZ365" s="34" t="s">
        <v>87</v>
      </c>
    </row>
    <row r="366" spans="1:104" x14ac:dyDescent="0.25">
      <c r="A366">
        <v>365</v>
      </c>
      <c r="B366">
        <v>23</v>
      </c>
      <c r="C366" s="25" t="s">
        <v>248</v>
      </c>
      <c r="D366" s="12">
        <v>-0.3</v>
      </c>
      <c r="E366" s="14">
        <f t="shared" si="251"/>
        <v>2.9999999999999996</v>
      </c>
      <c r="F366" s="7">
        <v>-0.1</v>
      </c>
      <c r="G366" s="7">
        <f t="shared" si="245"/>
        <v>-3.2999999999999994</v>
      </c>
      <c r="H366" s="16">
        <f t="shared" si="246"/>
        <v>2.6999999999999997</v>
      </c>
      <c r="I366" s="11">
        <f t="shared" si="227"/>
        <v>-3.2124462549688771E-3</v>
      </c>
      <c r="J366" s="33">
        <f t="shared" si="228"/>
        <v>3.2124462549688766E-2</v>
      </c>
      <c r="K366" s="33">
        <f t="shared" si="247"/>
        <v>31.128925455273908</v>
      </c>
      <c r="L366" s="33">
        <f t="shared" si="248"/>
        <v>-3.5336908804657646E-2</v>
      </c>
      <c r="M366" s="33">
        <f t="shared" si="249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34"/>
        <v>969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9">
        <v>0</v>
      </c>
      <c r="AL366" s="30">
        <v>1</v>
      </c>
      <c r="AM366" s="21">
        <v>2000</v>
      </c>
      <c r="AN366" s="23"/>
      <c r="AO366" s="33">
        <v>0.13900000000000001</v>
      </c>
      <c r="AP366" s="33">
        <v>0.33600000000000002</v>
      </c>
      <c r="AQ366" s="33">
        <v>0.36</v>
      </c>
      <c r="AR366" s="43">
        <f t="shared" si="254"/>
        <v>0.16500000000000004</v>
      </c>
      <c r="AS366" s="33" t="s">
        <v>107</v>
      </c>
      <c r="AT366" s="43" t="s">
        <v>107</v>
      </c>
      <c r="AU366" s="42">
        <v>1</v>
      </c>
      <c r="AV366" s="18">
        <v>0</v>
      </c>
      <c r="AW366">
        <v>0</v>
      </c>
      <c r="AX366" s="40">
        <v>1</v>
      </c>
      <c r="AY366">
        <v>8.5300000000000001E-2</v>
      </c>
      <c r="AZ366" s="40">
        <f t="shared" si="253"/>
        <v>0.91469999999999996</v>
      </c>
      <c r="BB366" s="18"/>
      <c r="BC366">
        <v>0</v>
      </c>
      <c r="BD366" s="18">
        <v>1</v>
      </c>
      <c r="BE366" s="18" t="s">
        <v>5</v>
      </c>
      <c r="BL366" s="18"/>
      <c r="BO366" s="18"/>
      <c r="BR366" s="25">
        <v>39.049999999999997</v>
      </c>
      <c r="BS366">
        <v>1</v>
      </c>
      <c r="BT366">
        <v>0</v>
      </c>
      <c r="BU366">
        <v>0</v>
      </c>
      <c r="BV366">
        <v>0</v>
      </c>
      <c r="BW366">
        <v>0</v>
      </c>
      <c r="BX366">
        <v>1</v>
      </c>
      <c r="BY366">
        <v>0</v>
      </c>
      <c r="BZ366" s="18">
        <v>0</v>
      </c>
      <c r="CA366">
        <v>0</v>
      </c>
      <c r="CB366">
        <v>1</v>
      </c>
      <c r="CC366">
        <v>0</v>
      </c>
      <c r="CD366" s="18">
        <v>0</v>
      </c>
      <c r="CE366">
        <v>0</v>
      </c>
      <c r="CF366">
        <v>0</v>
      </c>
      <c r="CG366">
        <v>0</v>
      </c>
      <c r="CH366">
        <v>0</v>
      </c>
      <c r="CI366" s="18">
        <v>0</v>
      </c>
      <c r="CJ366">
        <v>0</v>
      </c>
      <c r="CK366">
        <v>0</v>
      </c>
      <c r="CL366">
        <v>1</v>
      </c>
      <c r="CM366">
        <v>1</v>
      </c>
      <c r="CN366">
        <v>0</v>
      </c>
      <c r="CO366">
        <v>0</v>
      </c>
      <c r="CP366">
        <v>1</v>
      </c>
      <c r="CQ366">
        <v>0</v>
      </c>
      <c r="CR366">
        <v>1</v>
      </c>
      <c r="CS366">
        <v>0</v>
      </c>
      <c r="CT366" s="18">
        <v>1</v>
      </c>
      <c r="CZ366" s="34" t="s">
        <v>87</v>
      </c>
    </row>
    <row r="367" spans="1:104" x14ac:dyDescent="0.25">
      <c r="A367">
        <v>366</v>
      </c>
      <c r="B367">
        <v>23</v>
      </c>
      <c r="C367" s="25" t="s">
        <v>248</v>
      </c>
      <c r="D367" s="12">
        <v>4.5999999999999996</v>
      </c>
      <c r="E367" s="14">
        <f t="shared" si="251"/>
        <v>1.0772833723653397</v>
      </c>
      <c r="F367" s="7">
        <v>4.2699999999999996</v>
      </c>
      <c r="G367" s="7">
        <f t="shared" si="245"/>
        <v>3.5227166276346598</v>
      </c>
      <c r="H367" s="16">
        <f t="shared" si="246"/>
        <v>5.6772833723653395</v>
      </c>
      <c r="I367" s="11">
        <f t="shared" si="227"/>
        <v>0.18613964303252781</v>
      </c>
      <c r="J367" s="33">
        <f t="shared" si="228"/>
        <v>4.3592422255861317E-2</v>
      </c>
      <c r="K367" s="33">
        <f t="shared" si="247"/>
        <v>22.939766781726444</v>
      </c>
      <c r="L367" s="33">
        <f t="shared" si="248"/>
        <v>0.14254722077666648</v>
      </c>
      <c r="M367" s="33">
        <f t="shared" si="249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34"/>
        <v>508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9">
        <v>0</v>
      </c>
      <c r="AL367" s="30">
        <v>1</v>
      </c>
      <c r="AM367" s="21">
        <v>1989</v>
      </c>
      <c r="AN367" s="23"/>
      <c r="AO367" s="33">
        <v>0.31900000000000001</v>
      </c>
      <c r="AP367" s="33">
        <v>0.33800000000000002</v>
      </c>
      <c r="AQ367" s="33">
        <v>0.24299999999999999</v>
      </c>
      <c r="AR367" s="43">
        <f t="shared" si="254"/>
        <v>9.9999999999999978E-2</v>
      </c>
      <c r="AS367" s="33" t="s">
        <v>107</v>
      </c>
      <c r="AT367" s="43" t="s">
        <v>107</v>
      </c>
      <c r="AU367" s="42">
        <v>1</v>
      </c>
      <c r="AV367" s="18">
        <v>0</v>
      </c>
      <c r="AW367">
        <v>0</v>
      </c>
      <c r="AX367" s="40">
        <v>1</v>
      </c>
      <c r="AY367">
        <v>8.5300000000000001E-2</v>
      </c>
      <c r="AZ367" s="40">
        <f t="shared" si="253"/>
        <v>0.91469999999999996</v>
      </c>
      <c r="BB367" s="18"/>
      <c r="BC367">
        <v>0</v>
      </c>
      <c r="BD367" s="18">
        <v>1</v>
      </c>
      <c r="BE367" s="18" t="s">
        <v>5</v>
      </c>
      <c r="BL367" s="18"/>
      <c r="BO367" s="18"/>
      <c r="BR367" s="25">
        <v>37.79</v>
      </c>
      <c r="BS367">
        <v>1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 s="18">
        <v>0</v>
      </c>
      <c r="CA367">
        <v>0</v>
      </c>
      <c r="CB367">
        <v>1</v>
      </c>
      <c r="CC367">
        <v>0</v>
      </c>
      <c r="CD367" s="18">
        <v>0</v>
      </c>
      <c r="CE367">
        <v>0</v>
      </c>
      <c r="CF367">
        <v>0</v>
      </c>
      <c r="CG367">
        <v>0</v>
      </c>
      <c r="CH367">
        <v>0</v>
      </c>
      <c r="CI367" s="18">
        <v>0</v>
      </c>
      <c r="CJ367">
        <v>0</v>
      </c>
      <c r="CK367">
        <v>0</v>
      </c>
      <c r="CL367">
        <v>1</v>
      </c>
      <c r="CM367">
        <v>1</v>
      </c>
      <c r="CN367">
        <v>0</v>
      </c>
      <c r="CO367">
        <v>0</v>
      </c>
      <c r="CP367">
        <v>1</v>
      </c>
      <c r="CQ367">
        <v>0</v>
      </c>
      <c r="CR367">
        <v>1</v>
      </c>
      <c r="CS367">
        <v>0</v>
      </c>
      <c r="CT367" s="18">
        <v>1</v>
      </c>
      <c r="CZ367" s="34" t="s">
        <v>87</v>
      </c>
    </row>
    <row r="368" spans="1:104" x14ac:dyDescent="0.25">
      <c r="A368">
        <v>367</v>
      </c>
      <c r="B368">
        <v>23</v>
      </c>
      <c r="C368" s="25" t="s">
        <v>248</v>
      </c>
      <c r="D368" s="12">
        <v>3.9</v>
      </c>
      <c r="E368" s="14">
        <f t="shared" si="251"/>
        <v>1.7647058823529411</v>
      </c>
      <c r="F368" s="7">
        <v>2.21</v>
      </c>
      <c r="G368" s="7">
        <f t="shared" si="245"/>
        <v>2.1352941176470588</v>
      </c>
      <c r="H368" s="16">
        <f t="shared" si="246"/>
        <v>5.6647058823529406</v>
      </c>
      <c r="I368" s="11">
        <f t="shared" si="227"/>
        <v>7.2434333358581224E-2</v>
      </c>
      <c r="J368" s="33">
        <f t="shared" si="228"/>
        <v>3.2775716451846716E-2</v>
      </c>
      <c r="K368" s="33">
        <f t="shared" si="247"/>
        <v>30.510393311132514</v>
      </c>
      <c r="L368" s="33">
        <f t="shared" si="248"/>
        <v>3.9658616906734508E-2</v>
      </c>
      <c r="M368" s="33">
        <f t="shared" si="249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34"/>
        <v>926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9">
        <v>0</v>
      </c>
      <c r="AL368" s="30">
        <v>1</v>
      </c>
      <c r="AM368" s="21">
        <v>1993</v>
      </c>
      <c r="AN368" s="23"/>
      <c r="AO368" s="33">
        <v>0.31900000000000001</v>
      </c>
      <c r="AP368" s="33">
        <v>0.33800000000000002</v>
      </c>
      <c r="AQ368" s="33">
        <v>0.24299999999999999</v>
      </c>
      <c r="AR368" s="43">
        <f t="shared" si="254"/>
        <v>9.9999999999999978E-2</v>
      </c>
      <c r="AS368" s="33" t="s">
        <v>107</v>
      </c>
      <c r="AT368" s="43" t="s">
        <v>107</v>
      </c>
      <c r="AU368" s="42">
        <v>1</v>
      </c>
      <c r="AV368" s="18">
        <v>0</v>
      </c>
      <c r="AW368">
        <v>0</v>
      </c>
      <c r="AX368" s="40">
        <v>1</v>
      </c>
      <c r="AY368">
        <v>8.5300000000000001E-2</v>
      </c>
      <c r="AZ368" s="40">
        <f t="shared" si="253"/>
        <v>0.91469999999999996</v>
      </c>
      <c r="BB368" s="18"/>
      <c r="BC368">
        <v>0</v>
      </c>
      <c r="BD368" s="18">
        <v>1</v>
      </c>
      <c r="BE368" s="18" t="s">
        <v>5</v>
      </c>
      <c r="BL368" s="18"/>
      <c r="BO368" s="18"/>
      <c r="BR368" s="25">
        <v>39</v>
      </c>
      <c r="BS368">
        <v>1</v>
      </c>
      <c r="BT368">
        <v>0</v>
      </c>
      <c r="BU368">
        <v>0</v>
      </c>
      <c r="BV368">
        <v>0</v>
      </c>
      <c r="BW368">
        <v>0</v>
      </c>
      <c r="BX368">
        <v>1</v>
      </c>
      <c r="BY368">
        <v>0</v>
      </c>
      <c r="BZ368" s="18">
        <v>0</v>
      </c>
      <c r="CA368">
        <v>0</v>
      </c>
      <c r="CB368">
        <v>1</v>
      </c>
      <c r="CC368">
        <v>0</v>
      </c>
      <c r="CD368" s="18">
        <v>0</v>
      </c>
      <c r="CE368">
        <v>0</v>
      </c>
      <c r="CF368">
        <v>0</v>
      </c>
      <c r="CG368">
        <v>0</v>
      </c>
      <c r="CH368">
        <v>0</v>
      </c>
      <c r="CI368" s="18">
        <v>0</v>
      </c>
      <c r="CJ368">
        <v>0</v>
      </c>
      <c r="CK368">
        <v>0</v>
      </c>
      <c r="CL368">
        <v>1</v>
      </c>
      <c r="CM368">
        <v>1</v>
      </c>
      <c r="CN368">
        <v>0</v>
      </c>
      <c r="CO368">
        <v>0</v>
      </c>
      <c r="CP368">
        <v>1</v>
      </c>
      <c r="CQ368">
        <v>0</v>
      </c>
      <c r="CR368">
        <v>1</v>
      </c>
      <c r="CS368">
        <v>0</v>
      </c>
      <c r="CT368" s="18">
        <v>1</v>
      </c>
      <c r="CZ368" s="34" t="s">
        <v>87</v>
      </c>
    </row>
    <row r="369" spans="1:104" x14ac:dyDescent="0.25">
      <c r="A369">
        <v>368</v>
      </c>
      <c r="B369">
        <v>23</v>
      </c>
      <c r="C369" s="25" t="s">
        <v>248</v>
      </c>
      <c r="D369" s="12">
        <v>5.0999999999999996</v>
      </c>
      <c r="E369" s="14">
        <f t="shared" si="251"/>
        <v>1.2718204488778055</v>
      </c>
      <c r="F369" s="7">
        <v>4.01</v>
      </c>
      <c r="G369" s="7">
        <f t="shared" si="245"/>
        <v>3.8281795511221941</v>
      </c>
      <c r="H369" s="16">
        <f t="shared" si="246"/>
        <v>6.3718204488778056</v>
      </c>
      <c r="I369" s="11">
        <f t="shared" si="227"/>
        <v>0.1865459135354694</v>
      </c>
      <c r="J369" s="33">
        <f t="shared" si="228"/>
        <v>4.6520177939019809E-2</v>
      </c>
      <c r="K369" s="33">
        <f t="shared" si="247"/>
        <v>21.496048474080069</v>
      </c>
      <c r="L369" s="33">
        <f t="shared" si="248"/>
        <v>0.1400257355964496</v>
      </c>
      <c r="M369" s="33">
        <f t="shared" si="249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34"/>
        <v>446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9">
        <v>0</v>
      </c>
      <c r="AL369" s="30">
        <v>1</v>
      </c>
      <c r="AM369" s="21">
        <v>1997</v>
      </c>
      <c r="AN369" s="23"/>
      <c r="AO369" s="33">
        <v>0.13900000000000001</v>
      </c>
      <c r="AP369" s="33">
        <v>0.33600000000000002</v>
      </c>
      <c r="AQ369" s="33">
        <v>0.36</v>
      </c>
      <c r="AR369" s="43">
        <f t="shared" si="254"/>
        <v>0.16500000000000004</v>
      </c>
      <c r="AS369" s="33" t="s">
        <v>107</v>
      </c>
      <c r="AT369" s="43" t="s">
        <v>107</v>
      </c>
      <c r="AU369" s="42">
        <v>1</v>
      </c>
      <c r="AV369" s="18">
        <v>0</v>
      </c>
      <c r="AW369">
        <v>0</v>
      </c>
      <c r="AX369" s="40">
        <v>1</v>
      </c>
      <c r="AY369">
        <v>8.5300000000000001E-2</v>
      </c>
      <c r="AZ369" s="40">
        <f t="shared" si="253"/>
        <v>0.91469999999999996</v>
      </c>
      <c r="BB369" s="18"/>
      <c r="BC369">
        <v>0</v>
      </c>
      <c r="BD369" s="18">
        <v>1</v>
      </c>
      <c r="BE369" s="18" t="s">
        <v>5</v>
      </c>
      <c r="BL369" s="18"/>
      <c r="BO369" s="18"/>
      <c r="BR369" s="25">
        <v>37.630000000000003</v>
      </c>
      <c r="BS369">
        <v>1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 s="18">
        <v>0</v>
      </c>
      <c r="CA369">
        <v>0</v>
      </c>
      <c r="CB369">
        <v>1</v>
      </c>
      <c r="CC369">
        <v>0</v>
      </c>
      <c r="CD369" s="18">
        <v>0</v>
      </c>
      <c r="CE369">
        <v>0</v>
      </c>
      <c r="CF369">
        <v>0</v>
      </c>
      <c r="CG369">
        <v>0</v>
      </c>
      <c r="CH369">
        <v>0</v>
      </c>
      <c r="CI369" s="18">
        <v>0</v>
      </c>
      <c r="CJ369">
        <v>0</v>
      </c>
      <c r="CK369">
        <v>0</v>
      </c>
      <c r="CL369">
        <v>1</v>
      </c>
      <c r="CM369">
        <v>1</v>
      </c>
      <c r="CN369">
        <v>0</v>
      </c>
      <c r="CO369">
        <v>0</v>
      </c>
      <c r="CP369">
        <v>1</v>
      </c>
      <c r="CQ369">
        <v>0</v>
      </c>
      <c r="CR369">
        <v>1</v>
      </c>
      <c r="CS369">
        <v>0</v>
      </c>
      <c r="CT369" s="18">
        <v>1</v>
      </c>
      <c r="CZ369" s="34" t="s">
        <v>87</v>
      </c>
    </row>
    <row r="370" spans="1:104" x14ac:dyDescent="0.25">
      <c r="A370">
        <v>369</v>
      </c>
      <c r="B370">
        <v>23</v>
      </c>
      <c r="C370" s="25" t="s">
        <v>248</v>
      </c>
      <c r="D370" s="12">
        <v>5.5</v>
      </c>
      <c r="E370" s="14">
        <f t="shared" si="251"/>
        <v>2.4336283185840708</v>
      </c>
      <c r="F370" s="7">
        <v>2.2599999999999998</v>
      </c>
      <c r="G370" s="7">
        <f t="shared" si="245"/>
        <v>3.0663716814159292</v>
      </c>
      <c r="H370" s="16">
        <f t="shared" si="246"/>
        <v>7.9336283185840708</v>
      </c>
      <c r="I370" s="11">
        <f t="shared" si="227"/>
        <v>8.1704726615308823E-2</v>
      </c>
      <c r="J370" s="33">
        <f t="shared" si="228"/>
        <v>3.6152533900579126E-2</v>
      </c>
      <c r="K370" s="33">
        <f t="shared" si="247"/>
        <v>27.66057844659074</v>
      </c>
      <c r="L370" s="33">
        <f t="shared" si="248"/>
        <v>4.5552192714729697E-2</v>
      </c>
      <c r="M370" s="33">
        <f t="shared" si="249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34"/>
        <v>760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9">
        <v>0</v>
      </c>
      <c r="AL370" s="30">
        <v>1</v>
      </c>
      <c r="AM370" s="21">
        <v>2000</v>
      </c>
      <c r="AN370" s="23"/>
      <c r="AO370" s="33">
        <v>0.13900000000000001</v>
      </c>
      <c r="AP370" s="33">
        <v>0.33600000000000002</v>
      </c>
      <c r="AQ370" s="33">
        <v>0.36</v>
      </c>
      <c r="AR370" s="43">
        <f t="shared" si="254"/>
        <v>0.16500000000000004</v>
      </c>
      <c r="AS370" s="33" t="s">
        <v>107</v>
      </c>
      <c r="AT370" s="43" t="s">
        <v>107</v>
      </c>
      <c r="AU370" s="42">
        <v>1</v>
      </c>
      <c r="AV370" s="18">
        <v>0</v>
      </c>
      <c r="AW370">
        <v>0</v>
      </c>
      <c r="AX370" s="40">
        <v>1</v>
      </c>
      <c r="AY370">
        <v>8.5300000000000001E-2</v>
      </c>
      <c r="AZ370" s="40">
        <f t="shared" si="253"/>
        <v>0.91469999999999996</v>
      </c>
      <c r="BB370" s="18"/>
      <c r="BC370">
        <v>0</v>
      </c>
      <c r="BD370" s="18">
        <v>1</v>
      </c>
      <c r="BE370" s="18" t="s">
        <v>5</v>
      </c>
      <c r="BL370" s="18"/>
      <c r="BO370" s="18"/>
      <c r="BR370" s="25">
        <v>39.049999999999997</v>
      </c>
      <c r="BS370">
        <v>1</v>
      </c>
      <c r="BT370">
        <v>0</v>
      </c>
      <c r="BU370">
        <v>0</v>
      </c>
      <c r="BV370">
        <v>0</v>
      </c>
      <c r="BW370">
        <v>0</v>
      </c>
      <c r="BX370">
        <v>1</v>
      </c>
      <c r="BY370">
        <v>0</v>
      </c>
      <c r="BZ370" s="18">
        <v>0</v>
      </c>
      <c r="CA370">
        <v>0</v>
      </c>
      <c r="CB370">
        <v>1</v>
      </c>
      <c r="CC370">
        <v>0</v>
      </c>
      <c r="CD370" s="18">
        <v>0</v>
      </c>
      <c r="CE370">
        <v>0</v>
      </c>
      <c r="CF370">
        <v>0</v>
      </c>
      <c r="CG370">
        <v>0</v>
      </c>
      <c r="CH370">
        <v>0</v>
      </c>
      <c r="CI370" s="18">
        <v>0</v>
      </c>
      <c r="CJ370">
        <v>0</v>
      </c>
      <c r="CK370">
        <v>0</v>
      </c>
      <c r="CL370">
        <v>1</v>
      </c>
      <c r="CM370">
        <v>1</v>
      </c>
      <c r="CN370">
        <v>0</v>
      </c>
      <c r="CO370">
        <v>0</v>
      </c>
      <c r="CP370">
        <v>1</v>
      </c>
      <c r="CQ370">
        <v>0</v>
      </c>
      <c r="CR370">
        <v>1</v>
      </c>
      <c r="CS370">
        <v>0</v>
      </c>
      <c r="CT370" s="18">
        <v>1</v>
      </c>
      <c r="CZ370" s="34" t="s">
        <v>87</v>
      </c>
    </row>
    <row r="371" spans="1:104" x14ac:dyDescent="0.25">
      <c r="A371">
        <v>370</v>
      </c>
      <c r="B371">
        <v>23</v>
      </c>
      <c r="C371" s="25" t="s">
        <v>248</v>
      </c>
      <c r="D371" s="12">
        <v>2.4</v>
      </c>
      <c r="E371" s="14">
        <f t="shared" si="251"/>
        <v>1.1162790697674418</v>
      </c>
      <c r="F371" s="7">
        <v>2.15</v>
      </c>
      <c r="G371" s="7">
        <f t="shared" si="245"/>
        <v>1.2837209302325581</v>
      </c>
      <c r="H371" s="16">
        <f t="shared" si="246"/>
        <v>3.5162790697674415</v>
      </c>
      <c r="I371" s="11">
        <f t="shared" si="227"/>
        <v>6.7397705177461117E-2</v>
      </c>
      <c r="J371" s="33">
        <f t="shared" si="228"/>
        <v>3.1347769849981923E-2</v>
      </c>
      <c r="K371" s="33">
        <f t="shared" si="247"/>
        <v>31.900195924163221</v>
      </c>
      <c r="L371" s="33">
        <f t="shared" si="248"/>
        <v>3.6049935327479195E-2</v>
      </c>
      <c r="M371" s="33">
        <f t="shared" si="249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34"/>
        <v>1013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9">
        <v>0</v>
      </c>
      <c r="AL371" s="30">
        <v>1</v>
      </c>
      <c r="AM371" s="21">
        <v>1989</v>
      </c>
      <c r="AN371" s="23"/>
      <c r="AO371" s="33">
        <v>0.13</v>
      </c>
      <c r="AP371" s="33">
        <v>0.35299999999999998</v>
      </c>
      <c r="AQ371" s="33">
        <v>0.36</v>
      </c>
      <c r="AR371" s="43">
        <f t="shared" si="254"/>
        <v>0.15700000000000003</v>
      </c>
      <c r="AS371" s="33" t="s">
        <v>107</v>
      </c>
      <c r="AT371" s="43" t="s">
        <v>107</v>
      </c>
      <c r="AU371" s="42">
        <v>1</v>
      </c>
      <c r="AV371" s="18">
        <v>0</v>
      </c>
      <c r="AW371">
        <v>1</v>
      </c>
      <c r="AX371" s="40">
        <v>0</v>
      </c>
      <c r="AY371">
        <v>8.5300000000000001E-2</v>
      </c>
      <c r="AZ371" s="40">
        <f t="shared" si="253"/>
        <v>0.91469999999999996</v>
      </c>
      <c r="BB371" s="18"/>
      <c r="BC371">
        <v>0</v>
      </c>
      <c r="BD371" s="18">
        <v>1</v>
      </c>
      <c r="BE371" s="18" t="s">
        <v>5</v>
      </c>
      <c r="BL371" s="18"/>
      <c r="BO371" s="18"/>
      <c r="BR371" s="25">
        <v>37.79</v>
      </c>
      <c r="BS371">
        <v>1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 s="18">
        <v>0</v>
      </c>
      <c r="CA371">
        <v>0</v>
      </c>
      <c r="CB371">
        <v>1</v>
      </c>
      <c r="CC371">
        <v>0</v>
      </c>
      <c r="CD371" s="18">
        <v>0</v>
      </c>
      <c r="CE371">
        <v>0</v>
      </c>
      <c r="CF371">
        <v>0</v>
      </c>
      <c r="CG371">
        <v>0</v>
      </c>
      <c r="CH371">
        <v>0</v>
      </c>
      <c r="CI371" s="18">
        <v>0</v>
      </c>
      <c r="CJ371">
        <v>0</v>
      </c>
      <c r="CK371">
        <v>0</v>
      </c>
      <c r="CL371">
        <v>1</v>
      </c>
      <c r="CM371">
        <v>1</v>
      </c>
      <c r="CN371">
        <v>0</v>
      </c>
      <c r="CO371">
        <v>0</v>
      </c>
      <c r="CP371">
        <v>1</v>
      </c>
      <c r="CQ371">
        <v>0</v>
      </c>
      <c r="CR371">
        <v>1</v>
      </c>
      <c r="CS371">
        <v>0</v>
      </c>
      <c r="CT371" s="18">
        <v>1</v>
      </c>
      <c r="CZ371" s="34" t="s">
        <v>87</v>
      </c>
    </row>
    <row r="372" spans="1:104" x14ac:dyDescent="0.25">
      <c r="A372">
        <v>371</v>
      </c>
      <c r="B372">
        <v>23</v>
      </c>
      <c r="C372" s="25" t="s">
        <v>248</v>
      </c>
      <c r="D372" s="12">
        <v>-1.6</v>
      </c>
      <c r="E372" s="14">
        <f t="shared" si="251"/>
        <v>1.8181818181818183</v>
      </c>
      <c r="F372" s="7">
        <v>-0.88</v>
      </c>
      <c r="G372" s="7">
        <f t="shared" si="245"/>
        <v>-3.4181818181818184</v>
      </c>
      <c r="H372" s="16">
        <f t="shared" si="246"/>
        <v>0.21818181818181825</v>
      </c>
      <c r="I372" s="11">
        <f t="shared" si="227"/>
        <v>-2.3846798901517526E-2</v>
      </c>
      <c r="J372" s="33">
        <f t="shared" si="228"/>
        <v>2.7098635115360828E-2</v>
      </c>
      <c r="K372" s="33">
        <f t="shared" si="247"/>
        <v>36.902227575039426</v>
      </c>
      <c r="L372" s="33">
        <f t="shared" si="248"/>
        <v>-5.0945434016878358E-2</v>
      </c>
      <c r="M372" s="33">
        <f t="shared" si="249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34"/>
        <v>1361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9">
        <v>0</v>
      </c>
      <c r="AL372" s="30">
        <v>1</v>
      </c>
      <c r="AM372" s="21">
        <v>1993</v>
      </c>
      <c r="AN372" s="23"/>
      <c r="AO372" s="33">
        <v>0.13</v>
      </c>
      <c r="AP372" s="33">
        <v>0.35299999999999998</v>
      </c>
      <c r="AQ372" s="33">
        <v>0.36</v>
      </c>
      <c r="AR372" s="43">
        <f t="shared" si="254"/>
        <v>0.15700000000000003</v>
      </c>
      <c r="AS372" s="33" t="s">
        <v>107</v>
      </c>
      <c r="AT372" s="43" t="s">
        <v>107</v>
      </c>
      <c r="AU372" s="42">
        <v>1</v>
      </c>
      <c r="AV372" s="18">
        <v>0</v>
      </c>
      <c r="AW372">
        <v>1</v>
      </c>
      <c r="AX372" s="40">
        <v>0</v>
      </c>
      <c r="AY372">
        <v>8.5300000000000001E-2</v>
      </c>
      <c r="AZ372" s="40">
        <f t="shared" si="253"/>
        <v>0.91469999999999996</v>
      </c>
      <c r="BB372" s="18"/>
      <c r="BC372">
        <v>0</v>
      </c>
      <c r="BD372" s="18">
        <v>1</v>
      </c>
      <c r="BE372" s="18" t="s">
        <v>5</v>
      </c>
      <c r="BL372" s="18"/>
      <c r="BO372" s="18"/>
      <c r="BR372" s="25">
        <v>39</v>
      </c>
      <c r="BS372">
        <v>1</v>
      </c>
      <c r="BT372">
        <v>0</v>
      </c>
      <c r="BU372">
        <v>0</v>
      </c>
      <c r="BV372">
        <v>0</v>
      </c>
      <c r="BW372">
        <v>0</v>
      </c>
      <c r="BX372">
        <v>1</v>
      </c>
      <c r="BY372">
        <v>0</v>
      </c>
      <c r="BZ372" s="18">
        <v>0</v>
      </c>
      <c r="CA372">
        <v>0</v>
      </c>
      <c r="CB372">
        <v>1</v>
      </c>
      <c r="CC372">
        <v>0</v>
      </c>
      <c r="CD372" s="18">
        <v>0</v>
      </c>
      <c r="CE372">
        <v>0</v>
      </c>
      <c r="CF372">
        <v>0</v>
      </c>
      <c r="CG372">
        <v>0</v>
      </c>
      <c r="CH372">
        <v>0</v>
      </c>
      <c r="CI372" s="18">
        <v>0</v>
      </c>
      <c r="CJ372">
        <v>0</v>
      </c>
      <c r="CK372">
        <v>0</v>
      </c>
      <c r="CL372">
        <v>1</v>
      </c>
      <c r="CM372">
        <v>1</v>
      </c>
      <c r="CN372">
        <v>0</v>
      </c>
      <c r="CO372">
        <v>0</v>
      </c>
      <c r="CP372">
        <v>1</v>
      </c>
      <c r="CQ372">
        <v>0</v>
      </c>
      <c r="CR372">
        <v>1</v>
      </c>
      <c r="CS372">
        <v>0</v>
      </c>
      <c r="CT372" s="18">
        <v>1</v>
      </c>
      <c r="CZ372" s="34" t="s">
        <v>87</v>
      </c>
    </row>
    <row r="373" spans="1:104" x14ac:dyDescent="0.25">
      <c r="A373">
        <v>372</v>
      </c>
      <c r="B373">
        <v>23</v>
      </c>
      <c r="C373" s="25" t="s">
        <v>248</v>
      </c>
      <c r="D373" s="12">
        <v>0.7</v>
      </c>
      <c r="E373" s="14">
        <f t="shared" si="251"/>
        <v>1.044776119402985</v>
      </c>
      <c r="F373" s="7">
        <v>0.67</v>
      </c>
      <c r="G373" s="7">
        <f t="shared" si="245"/>
        <v>-0.34477611940298503</v>
      </c>
      <c r="H373" s="16">
        <f t="shared" si="246"/>
        <v>1.7447761194029849</v>
      </c>
      <c r="I373" s="11">
        <f t="shared" si="227"/>
        <v>2.3505894099012905E-2</v>
      </c>
      <c r="J373" s="33">
        <f t="shared" si="228"/>
        <v>3.5083424028377469E-2</v>
      </c>
      <c r="K373" s="33">
        <f t="shared" si="247"/>
        <v>28.503489260088841</v>
      </c>
      <c r="L373" s="33">
        <f t="shared" si="248"/>
        <v>-1.1577529929364564E-2</v>
      </c>
      <c r="M373" s="33">
        <f t="shared" si="249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34"/>
        <v>812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9">
        <v>0</v>
      </c>
      <c r="AL373" s="30">
        <v>1</v>
      </c>
      <c r="AM373" s="21">
        <v>1997</v>
      </c>
      <c r="AN373" s="23"/>
      <c r="AO373" s="33">
        <v>4.9000000000000002E-2</v>
      </c>
      <c r="AP373" s="33">
        <v>0.28399999999999997</v>
      </c>
      <c r="AQ373" s="33">
        <v>0.44600000000000001</v>
      </c>
      <c r="AR373" s="43">
        <f t="shared" si="254"/>
        <v>0.22100000000000009</v>
      </c>
      <c r="AS373" s="33" t="s">
        <v>107</v>
      </c>
      <c r="AT373" s="43" t="s">
        <v>107</v>
      </c>
      <c r="AU373" s="42">
        <v>1</v>
      </c>
      <c r="AV373" s="18">
        <v>0</v>
      </c>
      <c r="AW373">
        <v>1</v>
      </c>
      <c r="AX373" s="40">
        <v>0</v>
      </c>
      <c r="AY373">
        <v>8.5300000000000001E-2</v>
      </c>
      <c r="AZ373" s="40">
        <f t="shared" si="253"/>
        <v>0.91469999999999996</v>
      </c>
      <c r="BB373" s="18"/>
      <c r="BC373">
        <v>0</v>
      </c>
      <c r="BD373" s="18">
        <v>1</v>
      </c>
      <c r="BE373" s="18" t="s">
        <v>5</v>
      </c>
      <c r="BL373" s="18"/>
      <c r="BO373" s="18"/>
      <c r="BR373" s="25">
        <v>37.630000000000003</v>
      </c>
      <c r="BS373">
        <v>1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 s="18">
        <v>0</v>
      </c>
      <c r="CA373">
        <v>0</v>
      </c>
      <c r="CB373">
        <v>1</v>
      </c>
      <c r="CC373">
        <v>0</v>
      </c>
      <c r="CD373" s="18">
        <v>0</v>
      </c>
      <c r="CE373">
        <v>0</v>
      </c>
      <c r="CF373">
        <v>0</v>
      </c>
      <c r="CG373">
        <v>0</v>
      </c>
      <c r="CH373">
        <v>0</v>
      </c>
      <c r="CI373" s="18">
        <v>0</v>
      </c>
      <c r="CJ373">
        <v>0</v>
      </c>
      <c r="CK373">
        <v>0</v>
      </c>
      <c r="CL373">
        <v>1</v>
      </c>
      <c r="CM373">
        <v>1</v>
      </c>
      <c r="CN373">
        <v>0</v>
      </c>
      <c r="CO373">
        <v>0</v>
      </c>
      <c r="CP373">
        <v>1</v>
      </c>
      <c r="CQ373">
        <v>0</v>
      </c>
      <c r="CR373">
        <v>1</v>
      </c>
      <c r="CS373">
        <v>0</v>
      </c>
      <c r="CT373" s="18">
        <v>1</v>
      </c>
      <c r="CZ373" s="34" t="s">
        <v>87</v>
      </c>
    </row>
    <row r="374" spans="1:104" x14ac:dyDescent="0.25">
      <c r="A374">
        <v>373</v>
      </c>
      <c r="B374">
        <v>23</v>
      </c>
      <c r="C374" s="25" t="s">
        <v>248</v>
      </c>
      <c r="D374" s="12">
        <v>0.6</v>
      </c>
      <c r="E374" s="14">
        <f t="shared" si="251"/>
        <v>2.1428571428571428</v>
      </c>
      <c r="F374" s="7">
        <v>0.28000000000000003</v>
      </c>
      <c r="G374" s="7">
        <f t="shared" si="245"/>
        <v>-1.5428571428571427</v>
      </c>
      <c r="H374" s="16">
        <f t="shared" si="246"/>
        <v>2.7428571428571429</v>
      </c>
      <c r="I374" s="11">
        <f t="shared" si="227"/>
        <v>9.0984008236424802E-3</v>
      </c>
      <c r="J374" s="33">
        <f t="shared" si="228"/>
        <v>3.2494288655865997E-2</v>
      </c>
      <c r="K374" s="33">
        <f t="shared" si="247"/>
        <v>30.774638909335721</v>
      </c>
      <c r="L374" s="33">
        <f t="shared" si="248"/>
        <v>-2.3395887832223516E-2</v>
      </c>
      <c r="M374" s="33">
        <f t="shared" si="249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34"/>
        <v>947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9">
        <v>0</v>
      </c>
      <c r="AL374" s="30">
        <v>1</v>
      </c>
      <c r="AM374" s="21">
        <v>2000</v>
      </c>
      <c r="AN374" s="23"/>
      <c r="AO374" s="33">
        <v>4.9000000000000002E-2</v>
      </c>
      <c r="AP374" s="33">
        <v>0.28399999999999997</v>
      </c>
      <c r="AQ374" s="33">
        <v>0.44600000000000001</v>
      </c>
      <c r="AR374" s="43">
        <f t="shared" si="254"/>
        <v>0.22100000000000009</v>
      </c>
      <c r="AS374" s="33" t="s">
        <v>107</v>
      </c>
      <c r="AT374" s="43" t="s">
        <v>107</v>
      </c>
      <c r="AU374" s="42">
        <v>1</v>
      </c>
      <c r="AV374" s="18">
        <v>0</v>
      </c>
      <c r="AW374">
        <v>1</v>
      </c>
      <c r="AX374" s="40">
        <v>0</v>
      </c>
      <c r="AY374">
        <v>8.5300000000000001E-2</v>
      </c>
      <c r="AZ374" s="40">
        <f t="shared" si="253"/>
        <v>0.91469999999999996</v>
      </c>
      <c r="BB374" s="18"/>
      <c r="BC374">
        <v>0</v>
      </c>
      <c r="BD374" s="18">
        <v>1</v>
      </c>
      <c r="BE374" s="18" t="s">
        <v>5</v>
      </c>
      <c r="BL374" s="18"/>
      <c r="BO374" s="18"/>
      <c r="BR374" s="25">
        <v>39.049999999999997</v>
      </c>
      <c r="BS374">
        <v>1</v>
      </c>
      <c r="BT374">
        <v>0</v>
      </c>
      <c r="BU374">
        <v>0</v>
      </c>
      <c r="BV374">
        <v>0</v>
      </c>
      <c r="BW374">
        <v>0</v>
      </c>
      <c r="BX374">
        <v>1</v>
      </c>
      <c r="BY374">
        <v>0</v>
      </c>
      <c r="BZ374" s="18">
        <v>0</v>
      </c>
      <c r="CA374">
        <v>0</v>
      </c>
      <c r="CB374">
        <v>1</v>
      </c>
      <c r="CC374">
        <v>0</v>
      </c>
      <c r="CD374" s="18">
        <v>0</v>
      </c>
      <c r="CE374">
        <v>0</v>
      </c>
      <c r="CF374">
        <v>0</v>
      </c>
      <c r="CG374">
        <v>0</v>
      </c>
      <c r="CH374">
        <v>0</v>
      </c>
      <c r="CI374" s="18">
        <v>0</v>
      </c>
      <c r="CJ374">
        <v>0</v>
      </c>
      <c r="CK374">
        <v>0</v>
      </c>
      <c r="CL374">
        <v>1</v>
      </c>
      <c r="CM374">
        <v>1</v>
      </c>
      <c r="CN374">
        <v>0</v>
      </c>
      <c r="CO374">
        <v>0</v>
      </c>
      <c r="CP374">
        <v>1</v>
      </c>
      <c r="CQ374">
        <v>0</v>
      </c>
      <c r="CR374">
        <v>1</v>
      </c>
      <c r="CS374">
        <v>0</v>
      </c>
      <c r="CT374" s="18">
        <v>1</v>
      </c>
      <c r="CZ374" s="34" t="s">
        <v>87</v>
      </c>
    </row>
    <row r="375" spans="1:104" x14ac:dyDescent="0.25">
      <c r="A375">
        <v>374</v>
      </c>
      <c r="B375">
        <v>23</v>
      </c>
      <c r="C375" s="25" t="s">
        <v>248</v>
      </c>
      <c r="D375" s="12">
        <v>2.9</v>
      </c>
      <c r="E375" s="14">
        <f t="shared" si="251"/>
        <v>0.85545722713864303</v>
      </c>
      <c r="F375" s="7">
        <v>3.39</v>
      </c>
      <c r="G375" s="7">
        <f t="shared" si="245"/>
        <v>2.044542772861357</v>
      </c>
      <c r="H375" s="16">
        <f t="shared" si="246"/>
        <v>3.7554572271386428</v>
      </c>
      <c r="I375" s="11">
        <f t="shared" si="227"/>
        <v>0.13101679456485232</v>
      </c>
      <c r="J375" s="33">
        <f t="shared" si="228"/>
        <v>3.8648021995531662E-2</v>
      </c>
      <c r="K375" s="33">
        <f t="shared" si="247"/>
        <v>25.874545406634684</v>
      </c>
      <c r="L375" s="33">
        <f t="shared" si="248"/>
        <v>9.2368772569320662E-2</v>
      </c>
      <c r="M375" s="33">
        <f t="shared" si="249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34"/>
        <v>658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9">
        <v>0</v>
      </c>
      <c r="AL375" s="30">
        <v>1</v>
      </c>
      <c r="AM375" s="21">
        <v>1989</v>
      </c>
      <c r="AN375" s="23"/>
      <c r="AO375" s="33">
        <v>0.13</v>
      </c>
      <c r="AP375" s="33">
        <v>0.35299999999999998</v>
      </c>
      <c r="AQ375" s="33">
        <v>0.36</v>
      </c>
      <c r="AR375" s="43">
        <f t="shared" ref="AR375:AR378" si="255">1-SUM(AO375:AQ375)</f>
        <v>0.15700000000000003</v>
      </c>
      <c r="AS375" s="33" t="s">
        <v>107</v>
      </c>
      <c r="AT375" s="43" t="s">
        <v>107</v>
      </c>
      <c r="AU375" s="42">
        <v>1</v>
      </c>
      <c r="AV375" s="18">
        <v>0</v>
      </c>
      <c r="AW375">
        <v>1</v>
      </c>
      <c r="AX375" s="40">
        <v>0</v>
      </c>
      <c r="AY375">
        <v>8.5300000000000001E-2</v>
      </c>
      <c r="AZ375" s="40">
        <f t="shared" si="253"/>
        <v>0.91469999999999996</v>
      </c>
      <c r="BB375" s="18"/>
      <c r="BC375">
        <v>0</v>
      </c>
      <c r="BD375" s="18">
        <v>1</v>
      </c>
      <c r="BE375" s="18" t="s">
        <v>5</v>
      </c>
      <c r="BL375" s="18"/>
      <c r="BO375" s="18"/>
      <c r="BR375" s="25">
        <v>37.79</v>
      </c>
      <c r="BS375">
        <v>1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 s="18">
        <v>0</v>
      </c>
      <c r="CA375">
        <v>0</v>
      </c>
      <c r="CB375">
        <v>1</v>
      </c>
      <c r="CC375">
        <v>0</v>
      </c>
      <c r="CD375" s="18">
        <v>0</v>
      </c>
      <c r="CE375">
        <v>0</v>
      </c>
      <c r="CF375">
        <v>0</v>
      </c>
      <c r="CG375">
        <v>0</v>
      </c>
      <c r="CH375">
        <v>0</v>
      </c>
      <c r="CI375" s="18">
        <v>0</v>
      </c>
      <c r="CJ375">
        <v>0</v>
      </c>
      <c r="CK375">
        <v>0</v>
      </c>
      <c r="CL375">
        <v>1</v>
      </c>
      <c r="CM375">
        <v>1</v>
      </c>
      <c r="CN375">
        <v>0</v>
      </c>
      <c r="CO375">
        <v>0</v>
      </c>
      <c r="CP375">
        <v>1</v>
      </c>
      <c r="CQ375">
        <v>0</v>
      </c>
      <c r="CR375">
        <v>1</v>
      </c>
      <c r="CS375">
        <v>0</v>
      </c>
      <c r="CT375" s="18">
        <v>1</v>
      </c>
      <c r="CZ375" s="34" t="s">
        <v>87</v>
      </c>
    </row>
    <row r="376" spans="1:104" x14ac:dyDescent="0.25">
      <c r="A376">
        <v>375</v>
      </c>
      <c r="B376">
        <v>23</v>
      </c>
      <c r="C376" s="25" t="s">
        <v>248</v>
      </c>
      <c r="D376" s="12">
        <v>3.9</v>
      </c>
      <c r="E376" s="14">
        <f t="shared" si="251"/>
        <v>1.4285714285714286</v>
      </c>
      <c r="F376" s="7">
        <v>2.73</v>
      </c>
      <c r="G376" s="7">
        <f t="shared" si="245"/>
        <v>2.4714285714285715</v>
      </c>
      <c r="H376" s="16">
        <f t="shared" si="246"/>
        <v>5.3285714285714283</v>
      </c>
      <c r="I376" s="11">
        <f t="shared" si="227"/>
        <v>8.5169027029795424E-2</v>
      </c>
      <c r="J376" s="33">
        <f t="shared" si="228"/>
        <v>3.1197445798459868E-2</v>
      </c>
      <c r="K376" s="33">
        <f t="shared" si="247"/>
        <v>32.0539061582204</v>
      </c>
      <c r="L376" s="33">
        <f t="shared" si="248"/>
        <v>5.3971581231335553E-2</v>
      </c>
      <c r="M376" s="33">
        <f t="shared" si="249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34"/>
        <v>1020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9">
        <v>0</v>
      </c>
      <c r="AL376" s="30">
        <v>1</v>
      </c>
      <c r="AM376" s="21">
        <v>1993</v>
      </c>
      <c r="AN376" s="23"/>
      <c r="AO376" s="33">
        <v>0.13</v>
      </c>
      <c r="AP376" s="33">
        <v>0.35299999999999998</v>
      </c>
      <c r="AQ376" s="33">
        <v>0.36</v>
      </c>
      <c r="AR376" s="43">
        <f t="shared" si="255"/>
        <v>0.15700000000000003</v>
      </c>
      <c r="AS376" s="33" t="s">
        <v>107</v>
      </c>
      <c r="AT376" s="43" t="s">
        <v>107</v>
      </c>
      <c r="AU376" s="42">
        <v>1</v>
      </c>
      <c r="AV376" s="18">
        <v>0</v>
      </c>
      <c r="AW376">
        <v>1</v>
      </c>
      <c r="AX376" s="40">
        <v>0</v>
      </c>
      <c r="AY376">
        <v>8.5300000000000001E-2</v>
      </c>
      <c r="AZ376" s="40">
        <f t="shared" si="253"/>
        <v>0.91469999999999996</v>
      </c>
      <c r="BB376" s="18"/>
      <c r="BC376">
        <v>0</v>
      </c>
      <c r="BD376" s="18">
        <v>1</v>
      </c>
      <c r="BE376" s="18" t="s">
        <v>5</v>
      </c>
      <c r="BL376" s="18"/>
      <c r="BO376" s="18"/>
      <c r="BR376" s="25">
        <v>39</v>
      </c>
      <c r="BS376">
        <v>1</v>
      </c>
      <c r="BT376">
        <v>0</v>
      </c>
      <c r="BU376">
        <v>0</v>
      </c>
      <c r="BV376">
        <v>0</v>
      </c>
      <c r="BW376">
        <v>0</v>
      </c>
      <c r="BX376">
        <v>1</v>
      </c>
      <c r="BY376">
        <v>0</v>
      </c>
      <c r="BZ376" s="18">
        <v>0</v>
      </c>
      <c r="CA376">
        <v>0</v>
      </c>
      <c r="CB376">
        <v>1</v>
      </c>
      <c r="CC376">
        <v>0</v>
      </c>
      <c r="CD376" s="18">
        <v>0</v>
      </c>
      <c r="CE376">
        <v>0</v>
      </c>
      <c r="CF376">
        <v>0</v>
      </c>
      <c r="CG376">
        <v>0</v>
      </c>
      <c r="CH376">
        <v>0</v>
      </c>
      <c r="CI376" s="18">
        <v>0</v>
      </c>
      <c r="CJ376">
        <v>0</v>
      </c>
      <c r="CK376">
        <v>0</v>
      </c>
      <c r="CL376">
        <v>1</v>
      </c>
      <c r="CM376">
        <v>1</v>
      </c>
      <c r="CN376">
        <v>0</v>
      </c>
      <c r="CO376">
        <v>0</v>
      </c>
      <c r="CP376">
        <v>1</v>
      </c>
      <c r="CQ376">
        <v>0</v>
      </c>
      <c r="CR376">
        <v>1</v>
      </c>
      <c r="CS376">
        <v>0</v>
      </c>
      <c r="CT376" s="18">
        <v>1</v>
      </c>
      <c r="CZ376" s="34" t="s">
        <v>87</v>
      </c>
    </row>
    <row r="377" spans="1:104" x14ac:dyDescent="0.25">
      <c r="A377">
        <v>376</v>
      </c>
      <c r="B377">
        <v>23</v>
      </c>
      <c r="C377" s="25" t="s">
        <v>248</v>
      </c>
      <c r="D377" s="12">
        <v>5.2</v>
      </c>
      <c r="E377" s="14">
        <f t="shared" si="251"/>
        <v>1.0526315789473684</v>
      </c>
      <c r="F377" s="7">
        <v>4.9400000000000004</v>
      </c>
      <c r="G377" s="7">
        <f t="shared" si="245"/>
        <v>4.147368421052632</v>
      </c>
      <c r="H377" s="16">
        <f t="shared" si="246"/>
        <v>6.2526315789473683</v>
      </c>
      <c r="I377" s="11">
        <f t="shared" si="227"/>
        <v>0.19690753597255725</v>
      </c>
      <c r="J377" s="33">
        <f t="shared" si="228"/>
        <v>3.9859825095659357E-2</v>
      </c>
      <c r="K377" s="33">
        <f t="shared" si="247"/>
        <v>25.087917410578346</v>
      </c>
      <c r="L377" s="33">
        <f t="shared" si="248"/>
        <v>0.15704771087689789</v>
      </c>
      <c r="M377" s="33">
        <f t="shared" si="249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34"/>
        <v>605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9">
        <v>0</v>
      </c>
      <c r="AL377" s="30">
        <v>1</v>
      </c>
      <c r="AM377" s="21">
        <v>1997</v>
      </c>
      <c r="AN377" s="23"/>
      <c r="AO377" s="33">
        <v>4.9000000000000002E-2</v>
      </c>
      <c r="AP377" s="33">
        <v>0.28399999999999997</v>
      </c>
      <c r="AQ377" s="33">
        <v>0.44600000000000001</v>
      </c>
      <c r="AR377" s="43">
        <f t="shared" si="255"/>
        <v>0.22100000000000009</v>
      </c>
      <c r="AS377" s="33" t="s">
        <v>107</v>
      </c>
      <c r="AT377" s="43" t="s">
        <v>107</v>
      </c>
      <c r="AU377" s="42">
        <v>1</v>
      </c>
      <c r="AV377" s="18">
        <v>0</v>
      </c>
      <c r="AW377">
        <v>1</v>
      </c>
      <c r="AX377" s="40">
        <v>0</v>
      </c>
      <c r="AY377">
        <v>8.5300000000000001E-2</v>
      </c>
      <c r="AZ377" s="40">
        <f t="shared" si="253"/>
        <v>0.91469999999999996</v>
      </c>
      <c r="BB377" s="18"/>
      <c r="BC377">
        <v>0</v>
      </c>
      <c r="BD377" s="18">
        <v>1</v>
      </c>
      <c r="BE377" s="18" t="s">
        <v>5</v>
      </c>
      <c r="BL377" s="18"/>
      <c r="BO377" s="18"/>
      <c r="BR377" s="25">
        <v>37.630000000000003</v>
      </c>
      <c r="BS377">
        <v>1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 s="18">
        <v>0</v>
      </c>
      <c r="CA377">
        <v>0</v>
      </c>
      <c r="CB377">
        <v>1</v>
      </c>
      <c r="CC377">
        <v>0</v>
      </c>
      <c r="CD377" s="18">
        <v>0</v>
      </c>
      <c r="CE377">
        <v>0</v>
      </c>
      <c r="CF377">
        <v>0</v>
      </c>
      <c r="CG377">
        <v>0</v>
      </c>
      <c r="CH377">
        <v>0</v>
      </c>
      <c r="CI377" s="18">
        <v>0</v>
      </c>
      <c r="CJ377">
        <v>0</v>
      </c>
      <c r="CK377">
        <v>0</v>
      </c>
      <c r="CL377">
        <v>1</v>
      </c>
      <c r="CM377">
        <v>1</v>
      </c>
      <c r="CN377">
        <v>0</v>
      </c>
      <c r="CO377">
        <v>0</v>
      </c>
      <c r="CP377">
        <v>1</v>
      </c>
      <c r="CQ377">
        <v>0</v>
      </c>
      <c r="CR377">
        <v>1</v>
      </c>
      <c r="CS377">
        <v>0</v>
      </c>
      <c r="CT377" s="18">
        <v>1</v>
      </c>
      <c r="CZ377" s="34" t="s">
        <v>87</v>
      </c>
    </row>
    <row r="378" spans="1:104" x14ac:dyDescent="0.25">
      <c r="A378">
        <v>377</v>
      </c>
      <c r="B378">
        <v>23</v>
      </c>
      <c r="C378" s="25" t="s">
        <v>248</v>
      </c>
      <c r="D378" s="12">
        <v>5.5</v>
      </c>
      <c r="E378" s="14">
        <f t="shared" si="251"/>
        <v>2.477477477477477</v>
      </c>
      <c r="F378" s="7">
        <v>2.2200000000000002</v>
      </c>
      <c r="G378" s="7">
        <f t="shared" si="245"/>
        <v>3.022522522522523</v>
      </c>
      <c r="H378" s="16">
        <f t="shared" si="246"/>
        <v>7.9774774774774766</v>
      </c>
      <c r="I378" s="11">
        <f t="shared" si="227"/>
        <v>7.7481912916654835E-2</v>
      </c>
      <c r="J378" s="33">
        <f t="shared" si="228"/>
        <v>3.4901762575069745E-2</v>
      </c>
      <c r="K378" s="33">
        <f t="shared" si="247"/>
        <v>28.651848107931887</v>
      </c>
      <c r="L378" s="33">
        <f t="shared" si="248"/>
        <v>4.2580150341585091E-2</v>
      </c>
      <c r="M378" s="33">
        <f t="shared" si="249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34"/>
        <v>816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9">
        <v>0</v>
      </c>
      <c r="AL378" s="30">
        <v>1</v>
      </c>
      <c r="AM378" s="21">
        <v>2000</v>
      </c>
      <c r="AN378" s="23"/>
      <c r="AO378" s="33">
        <v>4.9000000000000002E-2</v>
      </c>
      <c r="AP378" s="33">
        <v>0.28399999999999997</v>
      </c>
      <c r="AQ378" s="33">
        <v>0.44600000000000001</v>
      </c>
      <c r="AR378" s="43">
        <f t="shared" si="255"/>
        <v>0.22100000000000009</v>
      </c>
      <c r="AS378" s="33" t="s">
        <v>107</v>
      </c>
      <c r="AT378" s="43" t="s">
        <v>107</v>
      </c>
      <c r="AU378" s="42">
        <v>1</v>
      </c>
      <c r="AV378" s="18">
        <v>0</v>
      </c>
      <c r="AW378">
        <v>1</v>
      </c>
      <c r="AX378" s="40">
        <v>0</v>
      </c>
      <c r="AY378">
        <v>8.5300000000000001E-2</v>
      </c>
      <c r="AZ378" s="40">
        <f t="shared" si="253"/>
        <v>0.91469999999999996</v>
      </c>
      <c r="BB378" s="18"/>
      <c r="BC378">
        <v>0</v>
      </c>
      <c r="BD378" s="18">
        <v>1</v>
      </c>
      <c r="BE378" s="18" t="s">
        <v>5</v>
      </c>
      <c r="BL378" s="18"/>
      <c r="BO378" s="18"/>
      <c r="BR378" s="25">
        <v>39.049999999999997</v>
      </c>
      <c r="BS378">
        <v>1</v>
      </c>
      <c r="BT378">
        <v>0</v>
      </c>
      <c r="BU378">
        <v>0</v>
      </c>
      <c r="BV378">
        <v>0</v>
      </c>
      <c r="BW378">
        <v>0</v>
      </c>
      <c r="BX378">
        <v>1</v>
      </c>
      <c r="BY378">
        <v>0</v>
      </c>
      <c r="BZ378" s="18">
        <v>0</v>
      </c>
      <c r="CA378">
        <v>0</v>
      </c>
      <c r="CB378">
        <v>1</v>
      </c>
      <c r="CC378">
        <v>0</v>
      </c>
      <c r="CD378" s="18">
        <v>0</v>
      </c>
      <c r="CE378">
        <v>0</v>
      </c>
      <c r="CF378">
        <v>0</v>
      </c>
      <c r="CG378">
        <v>0</v>
      </c>
      <c r="CH378">
        <v>0</v>
      </c>
      <c r="CI378" s="18">
        <v>0</v>
      </c>
      <c r="CJ378">
        <v>0</v>
      </c>
      <c r="CK378">
        <v>0</v>
      </c>
      <c r="CL378">
        <v>1</v>
      </c>
      <c r="CM378">
        <v>1</v>
      </c>
      <c r="CN378">
        <v>0</v>
      </c>
      <c r="CO378">
        <v>0</v>
      </c>
      <c r="CP378">
        <v>1</v>
      </c>
      <c r="CQ378">
        <v>0</v>
      </c>
      <c r="CR378">
        <v>1</v>
      </c>
      <c r="CS378">
        <v>0</v>
      </c>
      <c r="CT378" s="18">
        <v>1</v>
      </c>
      <c r="CZ378" s="34" t="s">
        <v>87</v>
      </c>
    </row>
    <row r="379" spans="1:104" x14ac:dyDescent="0.25">
      <c r="A379">
        <v>378</v>
      </c>
      <c r="B379">
        <v>23</v>
      </c>
      <c r="C379" s="25" t="s">
        <v>248</v>
      </c>
      <c r="D379" s="12">
        <v>2.2000000000000002</v>
      </c>
      <c r="E379" s="14">
        <f t="shared" si="251"/>
        <v>0.54590570719602982</v>
      </c>
      <c r="F379" s="7">
        <v>4.03</v>
      </c>
      <c r="G379" s="7">
        <f t="shared" si="245"/>
        <v>1.6540942928039704</v>
      </c>
      <c r="H379" s="16">
        <f t="shared" si="246"/>
        <v>2.7459057071960302</v>
      </c>
      <c r="I379" s="11">
        <f t="shared" si="227"/>
        <v>5.3914595065672373E-2</v>
      </c>
      <c r="J379" s="33">
        <f t="shared" si="228"/>
        <v>1.3378311430687934E-2</v>
      </c>
      <c r="K379" s="33">
        <f t="shared" si="247"/>
        <v>74.747848798477136</v>
      </c>
      <c r="L379" s="33">
        <f t="shared" si="248"/>
        <v>4.0536283634984439E-2</v>
      </c>
      <c r="M379" s="33">
        <f t="shared" si="249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34"/>
        <v>5571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9">
        <v>0</v>
      </c>
      <c r="AL379" s="30">
        <v>1</v>
      </c>
      <c r="AM379" s="21">
        <v>1995</v>
      </c>
      <c r="AN379" s="23"/>
      <c r="AO379" s="33">
        <f>AVERAGE($AO$360:$AO$361)</f>
        <v>0.15224710000000002</v>
      </c>
      <c r="AP379" s="33">
        <f>AVERAGE($AP$360:$AP$361)</f>
        <v>0.32682130000000004</v>
      </c>
      <c r="AQ379" s="33">
        <f>AVERAGE($AQ$360:$AQ$361)</f>
        <v>0.35734529999999998</v>
      </c>
      <c r="AR379" s="43">
        <f>AVERAGE($AR$360:$AR$361)</f>
        <v>0.16358630000000005</v>
      </c>
      <c r="AS379" s="33" t="s">
        <v>107</v>
      </c>
      <c r="AT379" s="43" t="s">
        <v>107</v>
      </c>
      <c r="AU379" s="42">
        <v>1</v>
      </c>
      <c r="AV379" s="18">
        <v>0</v>
      </c>
      <c r="AW379" s="39">
        <f t="shared" ref="AW379:AW382" si="256">1-AX379</f>
        <v>0.55679999999999996</v>
      </c>
      <c r="AX379" s="40">
        <v>0.44319999999999998</v>
      </c>
      <c r="AY379">
        <v>8.5300000000000001E-2</v>
      </c>
      <c r="AZ379" s="40">
        <f t="shared" si="253"/>
        <v>0.91469999999999996</v>
      </c>
      <c r="BB379" s="18"/>
      <c r="BC379">
        <v>0</v>
      </c>
      <c r="BD379" s="18">
        <v>1</v>
      </c>
      <c r="BE379" s="18" t="s">
        <v>5</v>
      </c>
      <c r="BL379" s="18"/>
      <c r="BO379" s="18"/>
      <c r="BR379" s="25">
        <v>38.32</v>
      </c>
      <c r="BS379">
        <v>0</v>
      </c>
      <c r="BT379">
        <v>0</v>
      </c>
      <c r="BU379">
        <v>0</v>
      </c>
      <c r="BV379">
        <v>1</v>
      </c>
      <c r="BW379">
        <v>0</v>
      </c>
      <c r="BX379">
        <v>0</v>
      </c>
      <c r="BY379">
        <v>0</v>
      </c>
      <c r="BZ379" s="18">
        <v>0</v>
      </c>
      <c r="CA379">
        <v>0</v>
      </c>
      <c r="CB379">
        <v>1</v>
      </c>
      <c r="CC379">
        <v>0</v>
      </c>
      <c r="CD379" s="18">
        <v>0</v>
      </c>
      <c r="CE379">
        <v>0</v>
      </c>
      <c r="CF379">
        <v>0</v>
      </c>
      <c r="CG379">
        <v>0</v>
      </c>
      <c r="CH379">
        <v>0</v>
      </c>
      <c r="CI379" s="18">
        <v>0</v>
      </c>
      <c r="CJ379">
        <v>0</v>
      </c>
      <c r="CK379">
        <v>0</v>
      </c>
      <c r="CL379">
        <v>1</v>
      </c>
      <c r="CM379">
        <v>1</v>
      </c>
      <c r="CN379">
        <v>0</v>
      </c>
      <c r="CO379">
        <v>0</v>
      </c>
      <c r="CP379">
        <v>1</v>
      </c>
      <c r="CQ379">
        <v>0</v>
      </c>
      <c r="CR379">
        <v>1</v>
      </c>
      <c r="CS379">
        <v>0</v>
      </c>
      <c r="CT379" s="18">
        <v>1</v>
      </c>
      <c r="CZ379" s="34" t="s">
        <v>87</v>
      </c>
    </row>
    <row r="380" spans="1:104" x14ac:dyDescent="0.25">
      <c r="A380">
        <v>379</v>
      </c>
      <c r="B380">
        <v>23</v>
      </c>
      <c r="C380" s="25" t="s">
        <v>248</v>
      </c>
      <c r="D380" s="12">
        <v>2.7</v>
      </c>
      <c r="E380" s="14">
        <f t="shared" si="251"/>
        <v>0.54655870445344124</v>
      </c>
      <c r="F380" s="7">
        <v>4.9400000000000004</v>
      </c>
      <c r="G380" s="7">
        <f t="shared" si="245"/>
        <v>2.1534412955465587</v>
      </c>
      <c r="H380" s="16">
        <f t="shared" si="246"/>
        <v>3.2465587044534416</v>
      </c>
      <c r="I380" s="11">
        <f t="shared" si="227"/>
        <v>6.6005255397725685E-2</v>
      </c>
      <c r="J380" s="33">
        <f t="shared" si="228"/>
        <v>1.3361387732333132E-2</v>
      </c>
      <c r="K380" s="33">
        <f t="shared" si="247"/>
        <v>74.842525344886653</v>
      </c>
      <c r="L380" s="33">
        <f t="shared" si="248"/>
        <v>5.2643867665392551E-2</v>
      </c>
      <c r="M380" s="33">
        <f t="shared" si="249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34"/>
        <v>5577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9">
        <v>0</v>
      </c>
      <c r="AL380" s="30">
        <v>1</v>
      </c>
      <c r="AM380" s="21">
        <v>1995</v>
      </c>
      <c r="AN380" s="23"/>
      <c r="AO380" s="33">
        <f t="shared" ref="AO380:AO382" si="257">AVERAGE($AO$360:$AO$361)</f>
        <v>0.15224710000000002</v>
      </c>
      <c r="AP380" s="33">
        <f t="shared" ref="AP380:AP382" si="258">AVERAGE($AP$360:$AP$361)</f>
        <v>0.32682130000000004</v>
      </c>
      <c r="AQ380" s="33">
        <f t="shared" ref="AQ380:AQ382" si="259">AVERAGE($AQ$360:$AQ$361)</f>
        <v>0.35734529999999998</v>
      </c>
      <c r="AR380" s="43">
        <f t="shared" ref="AR380:AR382" si="260">AVERAGE($AR$360:$AR$361)</f>
        <v>0.16358630000000005</v>
      </c>
      <c r="AS380" s="33" t="s">
        <v>107</v>
      </c>
      <c r="AT380" s="43" t="s">
        <v>107</v>
      </c>
      <c r="AU380" s="42">
        <v>1</v>
      </c>
      <c r="AV380" s="18">
        <v>0</v>
      </c>
      <c r="AW380" s="39">
        <f t="shared" si="256"/>
        <v>0.55679999999999996</v>
      </c>
      <c r="AX380" s="40">
        <v>0.44319999999999998</v>
      </c>
      <c r="AY380">
        <v>8.5300000000000001E-2</v>
      </c>
      <c r="AZ380" s="40">
        <f t="shared" si="253"/>
        <v>0.91469999999999996</v>
      </c>
      <c r="BB380" s="18"/>
      <c r="BC380">
        <v>0</v>
      </c>
      <c r="BD380" s="18">
        <v>1</v>
      </c>
      <c r="BE380" s="18" t="s">
        <v>5</v>
      </c>
      <c r="BL380" s="18"/>
      <c r="BO380" s="18"/>
      <c r="BR380" s="25">
        <v>38.32</v>
      </c>
      <c r="BS380">
        <v>0</v>
      </c>
      <c r="BT380">
        <v>0</v>
      </c>
      <c r="BU380">
        <v>0</v>
      </c>
      <c r="BV380">
        <v>1</v>
      </c>
      <c r="BW380">
        <v>0</v>
      </c>
      <c r="BX380">
        <v>0</v>
      </c>
      <c r="BY380">
        <v>0</v>
      </c>
      <c r="BZ380" s="18">
        <v>0</v>
      </c>
      <c r="CA380">
        <v>0</v>
      </c>
      <c r="CB380">
        <v>1</v>
      </c>
      <c r="CC380">
        <v>0</v>
      </c>
      <c r="CD380" s="18">
        <v>0</v>
      </c>
      <c r="CE380">
        <v>0</v>
      </c>
      <c r="CF380">
        <v>0</v>
      </c>
      <c r="CG380">
        <v>0</v>
      </c>
      <c r="CH380">
        <v>0</v>
      </c>
      <c r="CI380" s="18">
        <v>0</v>
      </c>
      <c r="CJ380">
        <v>0</v>
      </c>
      <c r="CK380">
        <v>0</v>
      </c>
      <c r="CL380">
        <v>1</v>
      </c>
      <c r="CM380">
        <v>1</v>
      </c>
      <c r="CN380">
        <v>0</v>
      </c>
      <c r="CO380">
        <v>0</v>
      </c>
      <c r="CP380">
        <v>1</v>
      </c>
      <c r="CQ380">
        <v>0</v>
      </c>
      <c r="CR380">
        <v>1</v>
      </c>
      <c r="CS380">
        <v>0</v>
      </c>
      <c r="CT380" s="18">
        <v>1</v>
      </c>
      <c r="CZ380" s="34" t="s">
        <v>87</v>
      </c>
    </row>
    <row r="381" spans="1:104" x14ac:dyDescent="0.25">
      <c r="A381">
        <v>380</v>
      </c>
      <c r="B381">
        <v>23</v>
      </c>
      <c r="C381" s="25" t="s">
        <v>248</v>
      </c>
      <c r="D381" s="12">
        <v>4.5999999999999996</v>
      </c>
      <c r="E381" s="14">
        <f t="shared" si="251"/>
        <v>1.1084337349397588</v>
      </c>
      <c r="F381" s="7">
        <v>4.1500000000000004</v>
      </c>
      <c r="G381" s="7">
        <f t="shared" si="245"/>
        <v>3.491566265060241</v>
      </c>
      <c r="H381" s="16">
        <f t="shared" si="246"/>
        <v>5.7084337349397583</v>
      </c>
      <c r="I381" s="11">
        <f t="shared" si="227"/>
        <v>5.549029692427087E-2</v>
      </c>
      <c r="J381" s="33">
        <f t="shared" si="228"/>
        <v>1.3371155885366474E-2</v>
      </c>
      <c r="K381" s="33">
        <f t="shared" ref="K381:K382" si="261">IFERROR(1/J381, "X")</f>
        <v>74.787849949039185</v>
      </c>
      <c r="L381" s="33">
        <f t="shared" ref="L381:L382" si="262">IFERROR(I381-J381, "X")</f>
        <v>4.2119141038904392E-2</v>
      </c>
      <c r="M381" s="33">
        <f t="shared" ref="M381:M382" si="263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34"/>
        <v>5576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9">
        <v>0</v>
      </c>
      <c r="AL381" s="30">
        <v>1</v>
      </c>
      <c r="AM381" s="21">
        <v>1995</v>
      </c>
      <c r="AN381" s="23"/>
      <c r="AO381" s="33">
        <f t="shared" si="257"/>
        <v>0.15224710000000002</v>
      </c>
      <c r="AP381" s="33">
        <f t="shared" si="258"/>
        <v>0.32682130000000004</v>
      </c>
      <c r="AQ381" s="33">
        <f t="shared" si="259"/>
        <v>0.35734529999999998</v>
      </c>
      <c r="AR381" s="43">
        <f t="shared" si="260"/>
        <v>0.16358630000000005</v>
      </c>
      <c r="AS381" s="33" t="s">
        <v>107</v>
      </c>
      <c r="AT381" s="43" t="s">
        <v>107</v>
      </c>
      <c r="AU381" s="42">
        <v>1</v>
      </c>
      <c r="AV381" s="18">
        <v>0</v>
      </c>
      <c r="AW381" s="39">
        <f t="shared" si="256"/>
        <v>0.55679999999999996</v>
      </c>
      <c r="AX381" s="40">
        <v>0.44319999999999998</v>
      </c>
      <c r="AY381">
        <v>8.5300000000000001E-2</v>
      </c>
      <c r="AZ381" s="40">
        <f t="shared" si="253"/>
        <v>0.91469999999999996</v>
      </c>
      <c r="BB381" s="18"/>
      <c r="BC381">
        <v>0</v>
      </c>
      <c r="BD381" s="18">
        <v>1</v>
      </c>
      <c r="BE381" s="18" t="s">
        <v>5</v>
      </c>
      <c r="BL381" s="18"/>
      <c r="BO381" s="18"/>
      <c r="BR381" s="25">
        <v>38.32</v>
      </c>
      <c r="BS381">
        <v>0</v>
      </c>
      <c r="BT381">
        <v>0</v>
      </c>
      <c r="BU381">
        <v>0</v>
      </c>
      <c r="BV381">
        <v>1</v>
      </c>
      <c r="BW381">
        <v>0</v>
      </c>
      <c r="BX381">
        <v>0</v>
      </c>
      <c r="BY381">
        <v>0</v>
      </c>
      <c r="BZ381" s="18">
        <v>0</v>
      </c>
      <c r="CA381">
        <v>0</v>
      </c>
      <c r="CB381">
        <v>1</v>
      </c>
      <c r="CC381">
        <v>0</v>
      </c>
      <c r="CD381" s="18">
        <v>0</v>
      </c>
      <c r="CE381">
        <v>0</v>
      </c>
      <c r="CF381">
        <v>0</v>
      </c>
      <c r="CG381">
        <v>0</v>
      </c>
      <c r="CH381">
        <v>0</v>
      </c>
      <c r="CI381" s="18">
        <v>1</v>
      </c>
      <c r="CJ381">
        <v>0</v>
      </c>
      <c r="CK381">
        <v>0</v>
      </c>
      <c r="CL381">
        <v>1</v>
      </c>
      <c r="CM381">
        <v>1</v>
      </c>
      <c r="CN381">
        <v>0</v>
      </c>
      <c r="CO381">
        <v>0</v>
      </c>
      <c r="CP381">
        <v>1</v>
      </c>
      <c r="CQ381">
        <v>0</v>
      </c>
      <c r="CR381">
        <v>1</v>
      </c>
      <c r="CS381">
        <v>0</v>
      </c>
      <c r="CT381" s="18">
        <v>1</v>
      </c>
      <c r="CZ381" s="34" t="s">
        <v>87</v>
      </c>
    </row>
    <row r="382" spans="1:104" s="52" customFormat="1" x14ac:dyDescent="0.25">
      <c r="A382" s="52">
        <v>381</v>
      </c>
      <c r="B382" s="52">
        <v>23</v>
      </c>
      <c r="C382" s="53" t="s">
        <v>248</v>
      </c>
      <c r="D382" s="54">
        <v>1.2</v>
      </c>
      <c r="E382" s="55">
        <f t="shared" si="251"/>
        <v>1.5789473684210527</v>
      </c>
      <c r="F382" s="56">
        <v>0.76</v>
      </c>
      <c r="G382" s="56">
        <f t="shared" si="245"/>
        <v>-0.3789473684210527</v>
      </c>
      <c r="H382" s="57">
        <f t="shared" si="246"/>
        <v>2.7789473684210524</v>
      </c>
      <c r="I382" s="58">
        <f t="shared" si="227"/>
        <v>1.0181798557149379E-2</v>
      </c>
      <c r="J382" s="59">
        <f t="shared" si="228"/>
        <v>1.3397103364670235E-2</v>
      </c>
      <c r="K382" s="59">
        <f t="shared" si="261"/>
        <v>74.643001011481303</v>
      </c>
      <c r="L382" s="59">
        <f t="shared" si="262"/>
        <v>-3.2153048075208562E-3</v>
      </c>
      <c r="M382" s="59">
        <f t="shared" si="263"/>
        <v>2.3578901921819613E-2</v>
      </c>
      <c r="N382" s="60">
        <v>0</v>
      </c>
      <c r="O382" s="61">
        <v>1</v>
      </c>
      <c r="P382" s="60">
        <v>0</v>
      </c>
      <c r="Q382" s="61">
        <v>0</v>
      </c>
      <c r="R382" s="61">
        <v>1</v>
      </c>
      <c r="S382" s="61">
        <v>0</v>
      </c>
      <c r="T382" s="61">
        <v>0</v>
      </c>
      <c r="U382" s="60">
        <v>5589</v>
      </c>
      <c r="V382" s="61">
        <v>17</v>
      </c>
      <c r="W382" s="61">
        <f t="shared" si="234"/>
        <v>5571</v>
      </c>
      <c r="X382" s="61"/>
      <c r="Y382" s="56">
        <v>9.16</v>
      </c>
      <c r="Z382" s="56">
        <v>23.17</v>
      </c>
      <c r="AA382" s="61">
        <v>1</v>
      </c>
      <c r="AB382" s="61">
        <v>0</v>
      </c>
      <c r="AC382" s="61">
        <v>0</v>
      </c>
      <c r="AD382" s="61">
        <v>0</v>
      </c>
      <c r="AE382" s="61">
        <v>0</v>
      </c>
      <c r="AF382" s="61">
        <v>1</v>
      </c>
      <c r="AG382" s="60">
        <v>0</v>
      </c>
      <c r="AH382" s="61">
        <v>1</v>
      </c>
      <c r="AI382" s="62">
        <v>0</v>
      </c>
      <c r="AJ382" s="61">
        <v>0</v>
      </c>
      <c r="AK382" s="61">
        <v>0</v>
      </c>
      <c r="AL382" s="62">
        <v>1</v>
      </c>
      <c r="AM382" s="63">
        <v>1995</v>
      </c>
      <c r="AN382" s="64"/>
      <c r="AO382" s="59">
        <f t="shared" si="257"/>
        <v>0.15224710000000002</v>
      </c>
      <c r="AP382" s="59">
        <f t="shared" si="258"/>
        <v>0.32682130000000004</v>
      </c>
      <c r="AQ382" s="59">
        <f t="shared" si="259"/>
        <v>0.35734529999999998</v>
      </c>
      <c r="AR382" s="65">
        <f t="shared" si="260"/>
        <v>0.16358630000000005</v>
      </c>
      <c r="AS382" s="59" t="s">
        <v>107</v>
      </c>
      <c r="AT382" s="65" t="s">
        <v>107</v>
      </c>
      <c r="AU382" s="66">
        <v>1</v>
      </c>
      <c r="AV382" s="67">
        <v>0</v>
      </c>
      <c r="AW382" s="70">
        <f t="shared" si="256"/>
        <v>0.55679999999999996</v>
      </c>
      <c r="AX382" s="68">
        <v>0.44319999999999998</v>
      </c>
      <c r="AY382" s="52">
        <v>8.5300000000000001E-2</v>
      </c>
      <c r="AZ382" s="68">
        <f t="shared" si="253"/>
        <v>0.91469999999999996</v>
      </c>
      <c r="BB382" s="67"/>
      <c r="BC382" s="52">
        <v>0</v>
      </c>
      <c r="BD382" s="67">
        <v>1</v>
      </c>
      <c r="BE382" s="67" t="s">
        <v>5</v>
      </c>
      <c r="BL382" s="67"/>
      <c r="BO382" s="67"/>
      <c r="BR382" s="53">
        <v>38.32</v>
      </c>
      <c r="BS382" s="52">
        <v>0</v>
      </c>
      <c r="BT382" s="52">
        <v>0</v>
      </c>
      <c r="BU382" s="52">
        <v>0</v>
      </c>
      <c r="BV382" s="52">
        <v>1</v>
      </c>
      <c r="BW382" s="52">
        <v>0</v>
      </c>
      <c r="BX382" s="52">
        <v>0</v>
      </c>
      <c r="BY382" s="52">
        <v>0</v>
      </c>
      <c r="BZ382" s="67">
        <v>0</v>
      </c>
      <c r="CA382" s="52">
        <v>0</v>
      </c>
      <c r="CB382" s="52">
        <v>1</v>
      </c>
      <c r="CC382" s="52">
        <v>0</v>
      </c>
      <c r="CD382" s="67">
        <v>0</v>
      </c>
      <c r="CE382" s="52">
        <v>0</v>
      </c>
      <c r="CF382" s="52">
        <v>0</v>
      </c>
      <c r="CG382" s="52">
        <v>0</v>
      </c>
      <c r="CH382" s="52">
        <v>0</v>
      </c>
      <c r="CI382" s="67">
        <v>1</v>
      </c>
      <c r="CJ382" s="52">
        <v>0</v>
      </c>
      <c r="CK382" s="52">
        <v>0</v>
      </c>
      <c r="CL382" s="52">
        <v>1</v>
      </c>
      <c r="CM382" s="52">
        <v>1</v>
      </c>
      <c r="CN382" s="52">
        <v>0</v>
      </c>
      <c r="CO382" s="52">
        <v>0</v>
      </c>
      <c r="CP382" s="52">
        <v>1</v>
      </c>
      <c r="CQ382" s="52">
        <v>0</v>
      </c>
      <c r="CR382" s="52">
        <v>1</v>
      </c>
      <c r="CS382" s="52">
        <v>0</v>
      </c>
      <c r="CT382" s="67">
        <v>1</v>
      </c>
      <c r="CY382" s="53"/>
      <c r="CZ382" s="69" t="s">
        <v>87</v>
      </c>
    </row>
    <row r="383" spans="1:104" x14ac:dyDescent="0.25">
      <c r="A383">
        <v>382</v>
      </c>
      <c r="B383">
        <v>24</v>
      </c>
      <c r="C383" s="25" t="s">
        <v>249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64">D383-E383</f>
        <v>17.096</v>
      </c>
      <c r="H383" s="16">
        <f t="shared" ref="H383:H398" si="265">D383+E383</f>
        <v>18.504000000000001</v>
      </c>
      <c r="I383" s="11">
        <f t="shared" si="227"/>
        <v>0.33366062720699335</v>
      </c>
      <c r="J383" s="33">
        <f t="shared" si="228"/>
        <v>1.319646525582715E-2</v>
      </c>
      <c r="K383" s="33">
        <f t="shared" ref="K383:K386" si="266">IFERROR(1/J383, "X")</f>
        <v>75.777867831571868</v>
      </c>
      <c r="L383" s="33">
        <f t="shared" ref="L383:L386" si="267">IFERROR(I383-J383, "X")</f>
        <v>0.32046416195116623</v>
      </c>
      <c r="M383" s="33">
        <f t="shared" ref="M383:M386" si="268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34"/>
        <v>5103</v>
      </c>
      <c r="Y383" s="7">
        <v>7.0203000000000007</v>
      </c>
      <c r="Z383" s="7">
        <f t="shared" ref="Z383:Z397" si="269">BR383-Y383-6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9">
        <v>0</v>
      </c>
      <c r="AL383" s="30">
        <v>1</v>
      </c>
      <c r="AM383" s="21">
        <v>2010</v>
      </c>
      <c r="AN383" s="23"/>
      <c r="AO383" s="33">
        <v>0.17945</v>
      </c>
      <c r="AP383" s="33">
        <v>0.59539999999999993</v>
      </c>
      <c r="AQ383" s="33">
        <v>0.18837499999999999</v>
      </c>
      <c r="AR383" s="43">
        <v>3.7000000000000005E-2</v>
      </c>
      <c r="AS383" s="33" t="s">
        <v>107</v>
      </c>
      <c r="AT383" s="43" t="s">
        <v>107</v>
      </c>
      <c r="AU383" s="42">
        <v>1</v>
      </c>
      <c r="AV383" s="18">
        <v>0</v>
      </c>
      <c r="AW383" s="33" t="s">
        <v>107</v>
      </c>
      <c r="AX383" s="40" t="s">
        <v>107</v>
      </c>
      <c r="AY383" t="s">
        <v>107</v>
      </c>
      <c r="AZ383" s="40" t="s">
        <v>107</v>
      </c>
      <c r="BB383" s="18"/>
      <c r="BC383" t="s">
        <v>107</v>
      </c>
      <c r="BD383" s="18" t="s">
        <v>107</v>
      </c>
      <c r="BE383" s="18" t="s">
        <v>30</v>
      </c>
      <c r="BL383" s="18"/>
      <c r="BO383" s="18"/>
      <c r="BR383" s="25">
        <v>32.5</v>
      </c>
      <c r="BS383">
        <v>1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 s="18">
        <v>0</v>
      </c>
      <c r="CA383">
        <v>0</v>
      </c>
      <c r="CB383">
        <v>0</v>
      </c>
      <c r="CC383">
        <v>1</v>
      </c>
      <c r="CD383" s="18">
        <v>0</v>
      </c>
      <c r="CE383">
        <v>0</v>
      </c>
      <c r="CF383">
        <v>0</v>
      </c>
      <c r="CG383">
        <v>0</v>
      </c>
      <c r="CH383">
        <v>0</v>
      </c>
      <c r="CI383" s="18">
        <v>0</v>
      </c>
      <c r="CJ383">
        <v>1</v>
      </c>
      <c r="CK383">
        <v>1</v>
      </c>
      <c r="CL383">
        <v>0</v>
      </c>
      <c r="CM383">
        <v>0</v>
      </c>
      <c r="CN383">
        <v>0</v>
      </c>
      <c r="CO383">
        <v>0</v>
      </c>
      <c r="CP383">
        <v>1</v>
      </c>
      <c r="CQ383">
        <v>1</v>
      </c>
      <c r="CR383">
        <v>0</v>
      </c>
      <c r="CS383">
        <v>1</v>
      </c>
      <c r="CT383" s="18">
        <v>0</v>
      </c>
      <c r="CZ383" s="34" t="s">
        <v>87</v>
      </c>
    </row>
    <row r="384" spans="1:104" x14ac:dyDescent="0.25">
      <c r="A384">
        <v>383</v>
      </c>
      <c r="B384">
        <v>24</v>
      </c>
      <c r="C384" s="25" t="s">
        <v>249</v>
      </c>
      <c r="D384" s="12">
        <v>14.7</v>
      </c>
      <c r="E384" s="14">
        <v>4.71</v>
      </c>
      <c r="F384" s="7">
        <f t="shared" ref="F384:F398" si="270">D384/E384</f>
        <v>3.1210191082802545</v>
      </c>
      <c r="G384" s="7">
        <f t="shared" si="264"/>
        <v>9.9899999999999984</v>
      </c>
      <c r="H384" s="16">
        <f t="shared" si="265"/>
        <v>19.41</v>
      </c>
      <c r="I384" s="11">
        <f t="shared" si="227"/>
        <v>4.3648521887384835E-2</v>
      </c>
      <c r="J384" s="33">
        <f t="shared" si="228"/>
        <v>1.3985342727182487E-2</v>
      </c>
      <c r="K384" s="33">
        <f t="shared" si="266"/>
        <v>71.503431807670964</v>
      </c>
      <c r="L384" s="33">
        <f t="shared" si="267"/>
        <v>2.9663179160202349E-2</v>
      </c>
      <c r="M384" s="33">
        <f t="shared" si="268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34"/>
        <v>5103</v>
      </c>
      <c r="Y384" s="7">
        <v>7.0203000000000007</v>
      </c>
      <c r="Z384" s="7">
        <f t="shared" si="269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9">
        <v>0</v>
      </c>
      <c r="AL384" s="30">
        <v>1</v>
      </c>
      <c r="AM384" s="21">
        <v>2010</v>
      </c>
      <c r="AN384" s="23"/>
      <c r="AO384" s="33">
        <v>0.17945</v>
      </c>
      <c r="AP384" s="33">
        <v>0.59539999999999993</v>
      </c>
      <c r="AQ384" s="33">
        <v>0.18837499999999999</v>
      </c>
      <c r="AR384" s="43">
        <v>3.7000000000000005E-2</v>
      </c>
      <c r="AS384" s="33" t="s">
        <v>107</v>
      </c>
      <c r="AT384" s="43" t="s">
        <v>107</v>
      </c>
      <c r="AU384" s="42">
        <v>1</v>
      </c>
      <c r="AV384" s="18">
        <v>0</v>
      </c>
      <c r="AW384" s="33" t="s">
        <v>107</v>
      </c>
      <c r="AX384" s="40" t="s">
        <v>107</v>
      </c>
      <c r="AY384" t="s">
        <v>107</v>
      </c>
      <c r="AZ384" s="40" t="s">
        <v>107</v>
      </c>
      <c r="BB384" s="18"/>
      <c r="BC384" t="s">
        <v>107</v>
      </c>
      <c r="BD384" s="18" t="s">
        <v>107</v>
      </c>
      <c r="BE384" s="18" t="s">
        <v>30</v>
      </c>
      <c r="BL384" s="18"/>
      <c r="BO384" s="18"/>
      <c r="BR384" s="25">
        <v>32.5</v>
      </c>
      <c r="BS384">
        <v>0</v>
      </c>
      <c r="BT384">
        <v>0</v>
      </c>
      <c r="BU384">
        <v>0</v>
      </c>
      <c r="BV384">
        <v>0</v>
      </c>
      <c r="BW384">
        <v>1</v>
      </c>
      <c r="BX384">
        <v>0</v>
      </c>
      <c r="BY384">
        <v>0</v>
      </c>
      <c r="BZ384" s="18">
        <v>0</v>
      </c>
      <c r="CA384">
        <v>0</v>
      </c>
      <c r="CB384">
        <v>0</v>
      </c>
      <c r="CC384">
        <v>1</v>
      </c>
      <c r="CD384" s="18">
        <v>0</v>
      </c>
      <c r="CE384">
        <v>0</v>
      </c>
      <c r="CF384">
        <v>0</v>
      </c>
      <c r="CG384">
        <v>0</v>
      </c>
      <c r="CH384">
        <v>0</v>
      </c>
      <c r="CI384" s="18">
        <v>0</v>
      </c>
      <c r="CJ384">
        <v>1</v>
      </c>
      <c r="CK384">
        <v>1</v>
      </c>
      <c r="CL384">
        <v>0</v>
      </c>
      <c r="CM384">
        <v>0</v>
      </c>
      <c r="CN384">
        <v>0</v>
      </c>
      <c r="CO384">
        <v>0</v>
      </c>
      <c r="CP384">
        <v>1</v>
      </c>
      <c r="CQ384">
        <v>1</v>
      </c>
      <c r="CR384">
        <v>0</v>
      </c>
      <c r="CS384">
        <v>1</v>
      </c>
      <c r="CT384" s="18">
        <v>0</v>
      </c>
      <c r="CZ384" s="34" t="s">
        <v>87</v>
      </c>
    </row>
    <row r="385" spans="1:104" x14ac:dyDescent="0.25">
      <c r="A385">
        <v>384</v>
      </c>
      <c r="B385">
        <v>24</v>
      </c>
      <c r="C385" s="25" t="s">
        <v>249</v>
      </c>
      <c r="D385" s="12">
        <v>15.1</v>
      </c>
      <c r="E385" s="14">
        <v>4.12</v>
      </c>
      <c r="F385" s="7">
        <f t="shared" si="270"/>
        <v>3.6650485436893203</v>
      </c>
      <c r="G385" s="7">
        <f t="shared" si="264"/>
        <v>10.98</v>
      </c>
      <c r="H385" s="16">
        <f t="shared" si="265"/>
        <v>19.22</v>
      </c>
      <c r="I385" s="11">
        <f t="shared" si="227"/>
        <v>5.1238464134782849E-2</v>
      </c>
      <c r="J385" s="33">
        <f t="shared" si="228"/>
        <v>1.3980296174523532E-2</v>
      </c>
      <c r="K385" s="33">
        <f t="shared" si="266"/>
        <v>71.529242836951653</v>
      </c>
      <c r="L385" s="33">
        <f t="shared" si="267"/>
        <v>3.7258167960259318E-2</v>
      </c>
      <c r="M385" s="33">
        <f t="shared" si="268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34"/>
        <v>5103</v>
      </c>
      <c r="Y385" s="7">
        <v>7.0203000000000007</v>
      </c>
      <c r="Z385" s="7">
        <f t="shared" si="269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9">
        <v>0</v>
      </c>
      <c r="AL385" s="30">
        <v>1</v>
      </c>
      <c r="AM385" s="21">
        <v>2010</v>
      </c>
      <c r="AN385" s="23"/>
      <c r="AO385" s="33">
        <v>0.17945</v>
      </c>
      <c r="AP385" s="33">
        <v>0.59539999999999993</v>
      </c>
      <c r="AQ385" s="33">
        <v>0.18837499999999999</v>
      </c>
      <c r="AR385" s="43">
        <v>3.7000000000000005E-2</v>
      </c>
      <c r="AS385" s="33" t="s">
        <v>107</v>
      </c>
      <c r="AT385" s="43" t="s">
        <v>107</v>
      </c>
      <c r="AU385" s="42">
        <v>1</v>
      </c>
      <c r="AV385" s="18">
        <v>0</v>
      </c>
      <c r="AW385" s="33" t="s">
        <v>107</v>
      </c>
      <c r="AX385" s="40" t="s">
        <v>107</v>
      </c>
      <c r="AY385" t="s">
        <v>107</v>
      </c>
      <c r="AZ385" s="40" t="s">
        <v>107</v>
      </c>
      <c r="BB385" s="18"/>
      <c r="BC385" t="s">
        <v>107</v>
      </c>
      <c r="BD385" s="18" t="s">
        <v>107</v>
      </c>
      <c r="BE385" s="18" t="s">
        <v>30</v>
      </c>
      <c r="BL385" s="18"/>
      <c r="BO385" s="18"/>
      <c r="BR385" s="25">
        <v>32.5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 s="18">
        <v>1</v>
      </c>
      <c r="CA385">
        <v>0</v>
      </c>
      <c r="CB385">
        <v>0</v>
      </c>
      <c r="CC385">
        <v>1</v>
      </c>
      <c r="CD385" s="18">
        <v>0</v>
      </c>
      <c r="CE385">
        <v>0</v>
      </c>
      <c r="CF385">
        <v>0</v>
      </c>
      <c r="CG385">
        <v>0</v>
      </c>
      <c r="CH385">
        <v>0</v>
      </c>
      <c r="CI385" s="18">
        <v>1</v>
      </c>
      <c r="CJ385">
        <v>1</v>
      </c>
      <c r="CK385">
        <v>1</v>
      </c>
      <c r="CL385">
        <v>0</v>
      </c>
      <c r="CM385">
        <v>0</v>
      </c>
      <c r="CN385">
        <v>0</v>
      </c>
      <c r="CO385">
        <v>0</v>
      </c>
      <c r="CP385">
        <v>1</v>
      </c>
      <c r="CQ385">
        <v>1</v>
      </c>
      <c r="CR385">
        <v>0</v>
      </c>
      <c r="CS385">
        <v>1</v>
      </c>
      <c r="CT385" s="18">
        <v>0</v>
      </c>
      <c r="CZ385" s="34" t="s">
        <v>87</v>
      </c>
    </row>
    <row r="386" spans="1:104" x14ac:dyDescent="0.25">
      <c r="A386">
        <v>385</v>
      </c>
      <c r="B386">
        <v>24</v>
      </c>
      <c r="C386" s="25" t="s">
        <v>249</v>
      </c>
      <c r="D386" s="12">
        <v>17.899999999999999</v>
      </c>
      <c r="E386" s="14">
        <v>0.83599999999999997</v>
      </c>
      <c r="F386" s="7">
        <f t="shared" si="270"/>
        <v>21.411483253588514</v>
      </c>
      <c r="G386" s="7">
        <f t="shared" si="264"/>
        <v>17.064</v>
      </c>
      <c r="H386" s="16">
        <f t="shared" si="265"/>
        <v>18.735999999999997</v>
      </c>
      <c r="I386" s="11">
        <f t="shared" ref="I386:I449" si="271">IFERROR(F386/SQRT(F386^2+W386), "X")</f>
        <v>0.34010261654193102</v>
      </c>
      <c r="J386" s="33">
        <f t="shared" ref="J386:J449" si="272">IFERROR(SQRT((1-I386^2)/W386), "X")</f>
        <v>1.5884122202740467E-2</v>
      </c>
      <c r="K386" s="33">
        <f t="shared" si="266"/>
        <v>62.955949799194521</v>
      </c>
      <c r="L386" s="33">
        <f t="shared" si="267"/>
        <v>0.32421849433919053</v>
      </c>
      <c r="M386" s="33">
        <f t="shared" si="268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34"/>
        <v>3505</v>
      </c>
      <c r="Y386" s="7">
        <v>7.0203000000000007</v>
      </c>
      <c r="Z386" s="7">
        <f t="shared" si="269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9">
        <v>0</v>
      </c>
      <c r="AL386" s="30">
        <v>1</v>
      </c>
      <c r="AM386" s="21">
        <v>2010</v>
      </c>
      <c r="AN386" s="23"/>
      <c r="AO386" s="33">
        <v>0.17945</v>
      </c>
      <c r="AP386" s="33">
        <v>0.59539999999999993</v>
      </c>
      <c r="AQ386" s="33">
        <v>0.18837499999999999</v>
      </c>
      <c r="AR386" s="43">
        <v>3.7000000000000005E-2</v>
      </c>
      <c r="AS386" s="33" t="s">
        <v>107</v>
      </c>
      <c r="AT386" s="43" t="s">
        <v>107</v>
      </c>
      <c r="AU386" s="42">
        <v>1</v>
      </c>
      <c r="AV386" s="18">
        <v>0</v>
      </c>
      <c r="AW386">
        <v>1</v>
      </c>
      <c r="AX386" s="40">
        <v>0</v>
      </c>
      <c r="AY386" t="s">
        <v>107</v>
      </c>
      <c r="AZ386" s="40" t="s">
        <v>107</v>
      </c>
      <c r="BB386" s="18"/>
      <c r="BC386" t="s">
        <v>107</v>
      </c>
      <c r="BD386" s="18" t="s">
        <v>107</v>
      </c>
      <c r="BE386" s="18" t="s">
        <v>30</v>
      </c>
      <c r="BL386" s="18"/>
      <c r="BO386" s="18"/>
      <c r="BR386" s="25">
        <v>32.5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 s="18">
        <v>0</v>
      </c>
      <c r="CA386">
        <v>0</v>
      </c>
      <c r="CB386">
        <v>0</v>
      </c>
      <c r="CC386">
        <v>1</v>
      </c>
      <c r="CD386" s="18">
        <v>0</v>
      </c>
      <c r="CE386">
        <v>0</v>
      </c>
      <c r="CF386">
        <v>0</v>
      </c>
      <c r="CG386">
        <v>0</v>
      </c>
      <c r="CH386">
        <v>0</v>
      </c>
      <c r="CI386" s="18">
        <v>0</v>
      </c>
      <c r="CJ386">
        <v>1</v>
      </c>
      <c r="CK386">
        <v>1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1</v>
      </c>
      <c r="CR386">
        <v>0</v>
      </c>
      <c r="CS386">
        <v>1</v>
      </c>
      <c r="CT386" s="18">
        <v>0</v>
      </c>
      <c r="CZ386" s="34" t="s">
        <v>87</v>
      </c>
    </row>
    <row r="387" spans="1:104" x14ac:dyDescent="0.25">
      <c r="A387">
        <v>386</v>
      </c>
      <c r="B387">
        <v>24</v>
      </c>
      <c r="C387" s="25" t="s">
        <v>249</v>
      </c>
      <c r="D387" s="12">
        <v>13</v>
      </c>
      <c r="E387" s="14">
        <v>4.0199999999999996</v>
      </c>
      <c r="F387" s="7">
        <f t="shared" si="270"/>
        <v>3.2338308457711444</v>
      </c>
      <c r="G387" s="7">
        <f t="shared" si="264"/>
        <v>8.98</v>
      </c>
      <c r="H387" s="16">
        <f t="shared" si="265"/>
        <v>17.02</v>
      </c>
      <c r="I387" s="11">
        <f t="shared" si="271"/>
        <v>5.4541410272056987E-2</v>
      </c>
      <c r="J387" s="33">
        <f t="shared" si="272"/>
        <v>1.6865882253359162E-2</v>
      </c>
      <c r="K387" s="33">
        <f t="shared" ref="K387:K398" si="273">IFERROR(1/J387, "X")</f>
        <v>59.291294992933494</v>
      </c>
      <c r="L387" s="33">
        <f t="shared" ref="L387:L398" si="274">IFERROR(I387-J387, "X")</f>
        <v>3.7675528018697821E-2</v>
      </c>
      <c r="M387" s="33">
        <f t="shared" ref="M387:M398" si="275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34"/>
        <v>3505</v>
      </c>
      <c r="Y387" s="7">
        <v>7.0203000000000007</v>
      </c>
      <c r="Z387" s="7">
        <f t="shared" si="269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9">
        <v>0</v>
      </c>
      <c r="AL387" s="30">
        <v>1</v>
      </c>
      <c r="AM387" s="21">
        <v>2010</v>
      </c>
      <c r="AN387" s="23"/>
      <c r="AO387" s="33">
        <v>0.17945</v>
      </c>
      <c r="AP387" s="33">
        <v>0.59539999999999993</v>
      </c>
      <c r="AQ387" s="33">
        <v>0.18837499999999999</v>
      </c>
      <c r="AR387" s="43">
        <v>3.7000000000000005E-2</v>
      </c>
      <c r="AS387" s="33" t="s">
        <v>107</v>
      </c>
      <c r="AT387" s="43" t="s">
        <v>107</v>
      </c>
      <c r="AU387" s="42">
        <v>1</v>
      </c>
      <c r="AV387" s="18">
        <v>0</v>
      </c>
      <c r="AW387">
        <v>0</v>
      </c>
      <c r="AX387" s="40">
        <v>1</v>
      </c>
      <c r="AY387" t="s">
        <v>107</v>
      </c>
      <c r="AZ387" s="40" t="s">
        <v>107</v>
      </c>
      <c r="BB387" s="18"/>
      <c r="BC387" t="s">
        <v>107</v>
      </c>
      <c r="BD387" s="18" t="s">
        <v>107</v>
      </c>
      <c r="BE387" s="18" t="s">
        <v>30</v>
      </c>
      <c r="BL387" s="18"/>
      <c r="BO387" s="18"/>
      <c r="BR387" s="25">
        <v>32.5</v>
      </c>
      <c r="BS387">
        <v>0</v>
      </c>
      <c r="BT387">
        <v>0</v>
      </c>
      <c r="BU387">
        <v>0</v>
      </c>
      <c r="BV387">
        <v>0</v>
      </c>
      <c r="BW387">
        <v>1</v>
      </c>
      <c r="BX387">
        <v>0</v>
      </c>
      <c r="BY387">
        <v>0</v>
      </c>
      <c r="BZ387" s="18">
        <v>0</v>
      </c>
      <c r="CA387">
        <v>0</v>
      </c>
      <c r="CB387">
        <v>0</v>
      </c>
      <c r="CC387">
        <v>1</v>
      </c>
      <c r="CD387" s="18">
        <v>0</v>
      </c>
      <c r="CE387">
        <v>0</v>
      </c>
      <c r="CF387">
        <v>0</v>
      </c>
      <c r="CG387">
        <v>0</v>
      </c>
      <c r="CH387">
        <v>0</v>
      </c>
      <c r="CI387" s="18">
        <v>0</v>
      </c>
      <c r="CJ387">
        <v>1</v>
      </c>
      <c r="CK387">
        <v>1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1</v>
      </c>
      <c r="CR387">
        <v>0</v>
      </c>
      <c r="CS387">
        <v>1</v>
      </c>
      <c r="CT387" s="18">
        <v>0</v>
      </c>
      <c r="CZ387" s="34" t="s">
        <v>87</v>
      </c>
    </row>
    <row r="388" spans="1:104" x14ac:dyDescent="0.25">
      <c r="A388">
        <v>387</v>
      </c>
      <c r="B388">
        <v>24</v>
      </c>
      <c r="C388" s="25" t="s">
        <v>249</v>
      </c>
      <c r="D388" s="12">
        <v>17.899999999999999</v>
      </c>
      <c r="E388" s="14">
        <v>0.83599999999999997</v>
      </c>
      <c r="F388" s="7">
        <f t="shared" si="270"/>
        <v>21.411483253588514</v>
      </c>
      <c r="G388" s="7">
        <f t="shared" si="264"/>
        <v>17.064</v>
      </c>
      <c r="H388" s="16">
        <f t="shared" si="265"/>
        <v>18.735999999999997</v>
      </c>
      <c r="I388" s="11">
        <f t="shared" si="271"/>
        <v>0.34010261654193102</v>
      </c>
      <c r="J388" s="33">
        <f t="shared" si="272"/>
        <v>1.5884122202740467E-2</v>
      </c>
      <c r="K388" s="33">
        <f t="shared" si="273"/>
        <v>62.955949799194521</v>
      </c>
      <c r="L388" s="33">
        <f t="shared" si="274"/>
        <v>0.32421849433919053</v>
      </c>
      <c r="M388" s="33">
        <f t="shared" si="275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34"/>
        <v>3505</v>
      </c>
      <c r="Y388" s="7">
        <v>7.0203000000000007</v>
      </c>
      <c r="Z388" s="7">
        <f t="shared" si="269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9">
        <v>0</v>
      </c>
      <c r="AL388" s="30">
        <v>1</v>
      </c>
      <c r="AM388" s="21">
        <v>2010</v>
      </c>
      <c r="AN388" s="23"/>
      <c r="AO388" s="33">
        <v>0.17945</v>
      </c>
      <c r="AP388" s="33">
        <v>0.59539999999999993</v>
      </c>
      <c r="AQ388" s="33">
        <v>0.18837499999999999</v>
      </c>
      <c r="AR388" s="43">
        <v>3.7000000000000005E-2</v>
      </c>
      <c r="AS388" s="33" t="s">
        <v>107</v>
      </c>
      <c r="AT388" s="43" t="s">
        <v>107</v>
      </c>
      <c r="AU388" s="42">
        <v>1</v>
      </c>
      <c r="AV388" s="18">
        <v>0</v>
      </c>
      <c r="AW388">
        <v>1</v>
      </c>
      <c r="AX388" s="40">
        <v>0</v>
      </c>
      <c r="AY388" t="s">
        <v>107</v>
      </c>
      <c r="AZ388" s="40" t="s">
        <v>107</v>
      </c>
      <c r="BB388" s="18"/>
      <c r="BC388" t="s">
        <v>107</v>
      </c>
      <c r="BD388" s="18" t="s">
        <v>107</v>
      </c>
      <c r="BE388" s="18" t="s">
        <v>30</v>
      </c>
      <c r="BL388" s="18"/>
      <c r="BO388" s="18"/>
      <c r="BR388" s="25">
        <v>32.5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 s="18">
        <v>0</v>
      </c>
      <c r="CA388">
        <v>0</v>
      </c>
      <c r="CB388">
        <v>0</v>
      </c>
      <c r="CC388">
        <v>1</v>
      </c>
      <c r="CD388" s="18">
        <v>0</v>
      </c>
      <c r="CE388">
        <v>0</v>
      </c>
      <c r="CF388">
        <v>0</v>
      </c>
      <c r="CG388">
        <v>0</v>
      </c>
      <c r="CH388">
        <v>0</v>
      </c>
      <c r="CI388" s="18">
        <v>0</v>
      </c>
      <c r="CJ388">
        <v>1</v>
      </c>
      <c r="CK388">
        <v>1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1</v>
      </c>
      <c r="CR388">
        <v>0</v>
      </c>
      <c r="CS388">
        <v>1</v>
      </c>
      <c r="CT388" s="18">
        <v>0</v>
      </c>
      <c r="CZ388" s="34" t="s">
        <v>87</v>
      </c>
    </row>
    <row r="389" spans="1:104" x14ac:dyDescent="0.25">
      <c r="A389">
        <v>388</v>
      </c>
      <c r="B389">
        <v>24</v>
      </c>
      <c r="C389" s="25" t="s">
        <v>249</v>
      </c>
      <c r="D389" s="12">
        <v>16.7</v>
      </c>
      <c r="E389" s="14">
        <v>6.41</v>
      </c>
      <c r="F389" s="7">
        <f t="shared" si="270"/>
        <v>2.6053042121684866</v>
      </c>
      <c r="G389" s="7">
        <f t="shared" si="264"/>
        <v>10.29</v>
      </c>
      <c r="H389" s="16">
        <f t="shared" si="265"/>
        <v>23.11</v>
      </c>
      <c r="I389" s="11">
        <f t="shared" si="271"/>
        <v>6.5116580253501172E-2</v>
      </c>
      <c r="J389" s="33">
        <f t="shared" si="272"/>
        <v>2.4993849067361823E-2</v>
      </c>
      <c r="K389" s="33">
        <f t="shared" si="273"/>
        <v>40.009843914191208</v>
      </c>
      <c r="L389" s="33">
        <f t="shared" si="274"/>
        <v>4.0122731186139349E-2</v>
      </c>
      <c r="M389" s="33">
        <f t="shared" si="275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34"/>
        <v>1594</v>
      </c>
      <c r="Y389" s="7">
        <v>7.0203000000000007</v>
      </c>
      <c r="Z389" s="7">
        <f t="shared" si="269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9">
        <v>0</v>
      </c>
      <c r="AL389" s="30">
        <v>1</v>
      </c>
      <c r="AM389" s="21">
        <v>2010</v>
      </c>
      <c r="AN389" s="23"/>
      <c r="AO389" s="33">
        <v>0.17945</v>
      </c>
      <c r="AP389" s="33">
        <v>0.59539999999999993</v>
      </c>
      <c r="AQ389" s="33">
        <v>0.18837499999999999</v>
      </c>
      <c r="AR389" s="43">
        <v>3.7000000000000005E-2</v>
      </c>
      <c r="AS389" s="33" t="s">
        <v>107</v>
      </c>
      <c r="AT389" s="43" t="s">
        <v>107</v>
      </c>
      <c r="AU389" s="42">
        <v>1</v>
      </c>
      <c r="AV389" s="18">
        <v>0</v>
      </c>
      <c r="AW389">
        <v>0</v>
      </c>
      <c r="AX389" s="40">
        <v>1</v>
      </c>
      <c r="AY389" t="s">
        <v>107</v>
      </c>
      <c r="AZ389" s="40" t="s">
        <v>107</v>
      </c>
      <c r="BB389" s="18"/>
      <c r="BC389" t="s">
        <v>107</v>
      </c>
      <c r="BD389" s="18" t="s">
        <v>107</v>
      </c>
      <c r="BE389" s="18" t="s">
        <v>30</v>
      </c>
      <c r="BL389" s="18"/>
      <c r="BO389" s="18"/>
      <c r="BR389" s="25">
        <v>32.5</v>
      </c>
      <c r="BS389">
        <v>0</v>
      </c>
      <c r="BT389">
        <v>0</v>
      </c>
      <c r="BU389">
        <v>0</v>
      </c>
      <c r="BV389">
        <v>0</v>
      </c>
      <c r="BW389">
        <v>1</v>
      </c>
      <c r="BX389">
        <v>0</v>
      </c>
      <c r="BY389">
        <v>0</v>
      </c>
      <c r="BZ389" s="18">
        <v>0</v>
      </c>
      <c r="CA389">
        <v>0</v>
      </c>
      <c r="CB389">
        <v>0</v>
      </c>
      <c r="CC389">
        <v>1</v>
      </c>
      <c r="CD389" s="18">
        <v>0</v>
      </c>
      <c r="CE389">
        <v>0</v>
      </c>
      <c r="CF389">
        <v>0</v>
      </c>
      <c r="CG389">
        <v>0</v>
      </c>
      <c r="CH389">
        <v>0</v>
      </c>
      <c r="CI389" s="18">
        <v>0</v>
      </c>
      <c r="CJ389">
        <v>1</v>
      </c>
      <c r="CK389">
        <v>1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1</v>
      </c>
      <c r="CR389">
        <v>0</v>
      </c>
      <c r="CS389">
        <v>1</v>
      </c>
      <c r="CT389" s="18">
        <v>0</v>
      </c>
      <c r="CZ389" s="34" t="s">
        <v>87</v>
      </c>
    </row>
    <row r="390" spans="1:104" x14ac:dyDescent="0.25">
      <c r="A390">
        <v>389</v>
      </c>
      <c r="B390">
        <v>24</v>
      </c>
      <c r="C390" s="25" t="s">
        <v>249</v>
      </c>
      <c r="D390" s="12">
        <v>14.4</v>
      </c>
      <c r="E390" s="14">
        <v>1.4</v>
      </c>
      <c r="F390" s="7">
        <f t="shared" si="270"/>
        <v>10.285714285714286</v>
      </c>
      <c r="G390" s="7">
        <f t="shared" si="264"/>
        <v>13</v>
      </c>
      <c r="H390" s="16">
        <f t="shared" si="265"/>
        <v>15.8</v>
      </c>
      <c r="I390" s="11">
        <f t="shared" si="271"/>
        <v>0.32677013083849349</v>
      </c>
      <c r="J390" s="33">
        <f t="shared" si="272"/>
        <v>3.1769318275964645E-2</v>
      </c>
      <c r="K390" s="33">
        <f t="shared" si="273"/>
        <v>31.476910877138927</v>
      </c>
      <c r="L390" s="33">
        <f t="shared" si="274"/>
        <v>0.29500081256252886</v>
      </c>
      <c r="M390" s="33">
        <f t="shared" si="275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34"/>
        <v>885</v>
      </c>
      <c r="Y390" s="7">
        <v>7.0203000000000007</v>
      </c>
      <c r="Z390" s="7">
        <f t="shared" si="269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9">
        <v>0</v>
      </c>
      <c r="AL390" s="30">
        <v>1</v>
      </c>
      <c r="AM390" s="21">
        <v>2010</v>
      </c>
      <c r="AN390" s="23"/>
      <c r="AO390" s="33">
        <v>0.17945</v>
      </c>
      <c r="AP390" s="33">
        <v>0.59539999999999993</v>
      </c>
      <c r="AQ390" s="33">
        <v>0.18837499999999999</v>
      </c>
      <c r="AR390" s="43">
        <v>3.7000000000000005E-2</v>
      </c>
      <c r="AS390" s="33" t="s">
        <v>107</v>
      </c>
      <c r="AT390" s="43" t="s">
        <v>107</v>
      </c>
      <c r="AU390" s="42">
        <v>1</v>
      </c>
      <c r="AV390" s="18">
        <v>0</v>
      </c>
      <c r="AW390" s="33" t="s">
        <v>107</v>
      </c>
      <c r="AX390" s="40" t="s">
        <v>107</v>
      </c>
      <c r="AY390" t="s">
        <v>107</v>
      </c>
      <c r="AZ390" s="40" t="s">
        <v>107</v>
      </c>
      <c r="BB390" s="18"/>
      <c r="BC390">
        <v>1</v>
      </c>
      <c r="BD390" s="18">
        <v>0</v>
      </c>
      <c r="BE390" s="18" t="s">
        <v>30</v>
      </c>
      <c r="BL390" s="18"/>
      <c r="BO390" s="18"/>
      <c r="BR390" s="25">
        <v>32.5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 s="18">
        <v>0</v>
      </c>
      <c r="CA390">
        <v>0</v>
      </c>
      <c r="CB390">
        <v>0</v>
      </c>
      <c r="CC390">
        <v>1</v>
      </c>
      <c r="CD390" s="18">
        <v>0</v>
      </c>
      <c r="CE390">
        <v>0</v>
      </c>
      <c r="CF390">
        <v>0</v>
      </c>
      <c r="CG390">
        <v>0</v>
      </c>
      <c r="CH390">
        <v>0</v>
      </c>
      <c r="CI390" s="18">
        <v>0</v>
      </c>
      <c r="CJ390">
        <v>1</v>
      </c>
      <c r="CK390">
        <v>1</v>
      </c>
      <c r="CL390">
        <v>0</v>
      </c>
      <c r="CM390">
        <v>0</v>
      </c>
      <c r="CN390">
        <v>0</v>
      </c>
      <c r="CO390">
        <v>0</v>
      </c>
      <c r="CP390">
        <v>1</v>
      </c>
      <c r="CQ390">
        <v>1</v>
      </c>
      <c r="CR390">
        <v>0</v>
      </c>
      <c r="CS390">
        <v>0</v>
      </c>
      <c r="CT390" s="18">
        <v>0</v>
      </c>
      <c r="CZ390" s="34" t="s">
        <v>87</v>
      </c>
    </row>
    <row r="391" spans="1:104" x14ac:dyDescent="0.25">
      <c r="A391">
        <v>390</v>
      </c>
      <c r="B391">
        <v>24</v>
      </c>
      <c r="C391" s="25" t="s">
        <v>249</v>
      </c>
      <c r="D391" s="12">
        <v>21.4</v>
      </c>
      <c r="E391" s="14">
        <v>4.41</v>
      </c>
      <c r="F391" s="7">
        <f t="shared" si="270"/>
        <v>4.8526077097505667</v>
      </c>
      <c r="G391" s="7">
        <f t="shared" si="264"/>
        <v>16.989999999999998</v>
      </c>
      <c r="H391" s="16">
        <f t="shared" si="265"/>
        <v>25.81</v>
      </c>
      <c r="I391" s="11">
        <f t="shared" si="271"/>
        <v>0.16090236206446146</v>
      </c>
      <c r="J391" s="33">
        <f t="shared" si="272"/>
        <v>3.3157916668424069E-2</v>
      </c>
      <c r="K391" s="33">
        <f t="shared" si="273"/>
        <v>30.158710210894803</v>
      </c>
      <c r="L391" s="33">
        <f t="shared" si="274"/>
        <v>0.12774444539603738</v>
      </c>
      <c r="M391" s="33">
        <f t="shared" si="275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34"/>
        <v>886</v>
      </c>
      <c r="Y391" s="7">
        <v>7.0203000000000007</v>
      </c>
      <c r="Z391" s="7">
        <f t="shared" si="269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9">
        <v>0</v>
      </c>
      <c r="AL391" s="30">
        <v>1</v>
      </c>
      <c r="AM391" s="21">
        <v>2010</v>
      </c>
      <c r="AN391" s="23"/>
      <c r="AO391" s="33">
        <v>0.17945</v>
      </c>
      <c r="AP391" s="33">
        <v>0.59539999999999993</v>
      </c>
      <c r="AQ391" s="33">
        <v>0.18837499999999999</v>
      </c>
      <c r="AR391" s="43">
        <v>3.7000000000000005E-2</v>
      </c>
      <c r="AS391" s="33" t="s">
        <v>107</v>
      </c>
      <c r="AT391" s="43" t="s">
        <v>107</v>
      </c>
      <c r="AU391" s="42">
        <v>1</v>
      </c>
      <c r="AV391" s="18">
        <v>0</v>
      </c>
      <c r="AW391" s="33" t="s">
        <v>107</v>
      </c>
      <c r="AX391" s="40" t="s">
        <v>107</v>
      </c>
      <c r="AY391" t="s">
        <v>107</v>
      </c>
      <c r="AZ391" s="40" t="s">
        <v>107</v>
      </c>
      <c r="BB391" s="18"/>
      <c r="BC391">
        <v>1</v>
      </c>
      <c r="BD391" s="18">
        <v>0</v>
      </c>
      <c r="BE391" s="18" t="s">
        <v>30</v>
      </c>
      <c r="BL391" s="18"/>
      <c r="BO391" s="18"/>
      <c r="BR391" s="25">
        <v>32.5</v>
      </c>
      <c r="BS391">
        <v>0</v>
      </c>
      <c r="BT391">
        <v>0</v>
      </c>
      <c r="BU391">
        <v>0</v>
      </c>
      <c r="BV391">
        <v>0</v>
      </c>
      <c r="BW391">
        <v>1</v>
      </c>
      <c r="BX391">
        <v>0</v>
      </c>
      <c r="BY391">
        <v>0</v>
      </c>
      <c r="BZ391" s="18">
        <v>0</v>
      </c>
      <c r="CA391">
        <v>0</v>
      </c>
      <c r="CB391">
        <v>0</v>
      </c>
      <c r="CC391">
        <v>1</v>
      </c>
      <c r="CD391" s="18">
        <v>0</v>
      </c>
      <c r="CE391">
        <v>0</v>
      </c>
      <c r="CF391">
        <v>0</v>
      </c>
      <c r="CG391">
        <v>0</v>
      </c>
      <c r="CH391">
        <v>0</v>
      </c>
      <c r="CI391" s="18">
        <v>0</v>
      </c>
      <c r="CJ391">
        <v>1</v>
      </c>
      <c r="CK391">
        <v>1</v>
      </c>
      <c r="CL391">
        <v>0</v>
      </c>
      <c r="CM391">
        <v>0</v>
      </c>
      <c r="CN391">
        <v>0</v>
      </c>
      <c r="CO391">
        <v>0</v>
      </c>
      <c r="CP391">
        <v>1</v>
      </c>
      <c r="CQ391">
        <v>1</v>
      </c>
      <c r="CR391">
        <v>0</v>
      </c>
      <c r="CS391">
        <v>0</v>
      </c>
      <c r="CT391" s="18">
        <v>0</v>
      </c>
      <c r="CZ391" s="34" t="s">
        <v>87</v>
      </c>
    </row>
    <row r="392" spans="1:104" x14ac:dyDescent="0.25">
      <c r="A392">
        <v>391</v>
      </c>
      <c r="B392">
        <v>24</v>
      </c>
      <c r="C392" s="25" t="s">
        <v>249</v>
      </c>
      <c r="D392" s="12">
        <v>14.4</v>
      </c>
      <c r="E392" s="14">
        <v>1.4</v>
      </c>
      <c r="F392" s="7">
        <f t="shared" si="270"/>
        <v>10.285714285714286</v>
      </c>
      <c r="G392" s="7">
        <f t="shared" si="264"/>
        <v>13</v>
      </c>
      <c r="H392" s="16">
        <f t="shared" si="265"/>
        <v>15.8</v>
      </c>
      <c r="I392" s="11">
        <f t="shared" si="271"/>
        <v>0.32677013083849349</v>
      </c>
      <c r="J392" s="33">
        <f t="shared" si="272"/>
        <v>3.1769318275964645E-2</v>
      </c>
      <c r="K392" s="33">
        <f t="shared" si="273"/>
        <v>31.476910877138927</v>
      </c>
      <c r="L392" s="33">
        <f t="shared" si="274"/>
        <v>0.29500081256252886</v>
      </c>
      <c r="M392" s="33">
        <f t="shared" si="275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34"/>
        <v>885</v>
      </c>
      <c r="Y392" s="7">
        <v>7.0203000000000007</v>
      </c>
      <c r="Z392" s="7">
        <f t="shared" si="269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9">
        <v>0</v>
      </c>
      <c r="AL392" s="30">
        <v>1</v>
      </c>
      <c r="AM392" s="21">
        <v>2010</v>
      </c>
      <c r="AN392" s="23"/>
      <c r="AO392" s="33">
        <v>0.17945</v>
      </c>
      <c r="AP392" s="33">
        <v>0.59539999999999993</v>
      </c>
      <c r="AQ392" s="33">
        <v>0.18837499999999999</v>
      </c>
      <c r="AR392" s="43">
        <v>3.7000000000000005E-2</v>
      </c>
      <c r="AS392" s="33" t="s">
        <v>107</v>
      </c>
      <c r="AT392" s="43" t="s">
        <v>107</v>
      </c>
      <c r="AU392" s="42">
        <v>1</v>
      </c>
      <c r="AV392" s="18">
        <v>0</v>
      </c>
      <c r="AW392" s="33" t="s">
        <v>107</v>
      </c>
      <c r="AX392" s="40" t="s">
        <v>107</v>
      </c>
      <c r="AY392" t="s">
        <v>107</v>
      </c>
      <c r="AZ392" s="40" t="s">
        <v>107</v>
      </c>
      <c r="BB392" s="18"/>
      <c r="BC392">
        <v>0</v>
      </c>
      <c r="BD392" s="18">
        <v>1</v>
      </c>
      <c r="BE392" s="18" t="s">
        <v>30</v>
      </c>
      <c r="BL392" s="18"/>
      <c r="BO392" s="18"/>
      <c r="BR392" s="25">
        <v>32.5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 s="18">
        <v>0</v>
      </c>
      <c r="CA392">
        <v>0</v>
      </c>
      <c r="CB392">
        <v>0</v>
      </c>
      <c r="CC392">
        <v>1</v>
      </c>
      <c r="CD392" s="18">
        <v>0</v>
      </c>
      <c r="CE392">
        <v>0</v>
      </c>
      <c r="CF392">
        <v>0</v>
      </c>
      <c r="CG392">
        <v>0</v>
      </c>
      <c r="CH392">
        <v>0</v>
      </c>
      <c r="CI392" s="18">
        <v>0</v>
      </c>
      <c r="CJ392">
        <v>1</v>
      </c>
      <c r="CK392">
        <v>1</v>
      </c>
      <c r="CL392">
        <v>0</v>
      </c>
      <c r="CM392">
        <v>0</v>
      </c>
      <c r="CN392">
        <v>0</v>
      </c>
      <c r="CO392">
        <v>0</v>
      </c>
      <c r="CP392">
        <v>1</v>
      </c>
      <c r="CQ392">
        <v>1</v>
      </c>
      <c r="CR392">
        <v>0</v>
      </c>
      <c r="CS392">
        <v>0</v>
      </c>
      <c r="CT392" s="18">
        <v>0</v>
      </c>
      <c r="CZ392" s="34" t="s">
        <v>87</v>
      </c>
    </row>
    <row r="393" spans="1:104" x14ac:dyDescent="0.25">
      <c r="A393">
        <v>392</v>
      </c>
      <c r="B393">
        <v>24</v>
      </c>
      <c r="C393" s="25" t="s">
        <v>249</v>
      </c>
      <c r="D393" s="12">
        <v>34.5</v>
      </c>
      <c r="E393" s="14">
        <v>5.26</v>
      </c>
      <c r="F393" s="7">
        <f t="shared" si="270"/>
        <v>6.5589353612167303</v>
      </c>
      <c r="G393" s="7">
        <f t="shared" si="264"/>
        <v>29.240000000000002</v>
      </c>
      <c r="H393" s="16">
        <f t="shared" si="265"/>
        <v>39.76</v>
      </c>
      <c r="I393" s="11">
        <f t="shared" si="271"/>
        <v>0.10051468619482916</v>
      </c>
      <c r="J393" s="33">
        <f t="shared" si="272"/>
        <v>1.5324847808255111E-2</v>
      </c>
      <c r="K393" s="33">
        <f t="shared" si="273"/>
        <v>65.253502841400163</v>
      </c>
      <c r="L393" s="33">
        <f t="shared" si="274"/>
        <v>8.5189838386574041E-2</v>
      </c>
      <c r="M393" s="33">
        <f t="shared" si="275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34"/>
        <v>4215</v>
      </c>
      <c r="Y393" s="7">
        <v>7.0203000000000007</v>
      </c>
      <c r="Z393" s="7">
        <f t="shared" si="269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9">
        <v>0</v>
      </c>
      <c r="AL393" s="30">
        <v>1</v>
      </c>
      <c r="AM393" s="21">
        <v>2010</v>
      </c>
      <c r="AN393" s="23"/>
      <c r="AO393" s="33">
        <v>0.17945</v>
      </c>
      <c r="AP393" s="33">
        <v>0.59539999999999993</v>
      </c>
      <c r="AQ393" s="33">
        <v>0.18837499999999999</v>
      </c>
      <c r="AR393" s="43">
        <v>3.7000000000000005E-2</v>
      </c>
      <c r="AS393" s="33" t="s">
        <v>107</v>
      </c>
      <c r="AT393" s="43" t="s">
        <v>107</v>
      </c>
      <c r="AU393" s="42">
        <v>1</v>
      </c>
      <c r="AV393" s="18">
        <v>0</v>
      </c>
      <c r="AW393" s="33" t="s">
        <v>107</v>
      </c>
      <c r="AX393" s="40" t="s">
        <v>107</v>
      </c>
      <c r="AY393" t="s">
        <v>107</v>
      </c>
      <c r="AZ393" s="40" t="s">
        <v>107</v>
      </c>
      <c r="BB393" s="18"/>
      <c r="BC393">
        <v>0</v>
      </c>
      <c r="BD393" s="18">
        <v>1</v>
      </c>
      <c r="BE393" s="18" t="s">
        <v>30</v>
      </c>
      <c r="BL393" s="18"/>
      <c r="BO393" s="18"/>
      <c r="BR393" s="25">
        <v>32.5</v>
      </c>
      <c r="BS393">
        <v>0</v>
      </c>
      <c r="BT393">
        <v>0</v>
      </c>
      <c r="BU393">
        <v>0</v>
      </c>
      <c r="BV393">
        <v>0</v>
      </c>
      <c r="BW393">
        <v>1</v>
      </c>
      <c r="BX393">
        <v>0</v>
      </c>
      <c r="BY393">
        <v>0</v>
      </c>
      <c r="BZ393" s="18">
        <v>0</v>
      </c>
      <c r="CA393">
        <v>0</v>
      </c>
      <c r="CB393">
        <v>0</v>
      </c>
      <c r="CC393">
        <v>1</v>
      </c>
      <c r="CD393" s="18">
        <v>0</v>
      </c>
      <c r="CE393">
        <v>0</v>
      </c>
      <c r="CF393">
        <v>0</v>
      </c>
      <c r="CG393">
        <v>0</v>
      </c>
      <c r="CH393">
        <v>0</v>
      </c>
      <c r="CI393" s="18">
        <v>0</v>
      </c>
      <c r="CJ393">
        <v>1</v>
      </c>
      <c r="CK393">
        <v>1</v>
      </c>
      <c r="CL393">
        <v>0</v>
      </c>
      <c r="CM393">
        <v>0</v>
      </c>
      <c r="CN393">
        <v>0</v>
      </c>
      <c r="CO393">
        <v>0</v>
      </c>
      <c r="CP393">
        <v>1</v>
      </c>
      <c r="CQ393">
        <v>1</v>
      </c>
      <c r="CR393">
        <v>0</v>
      </c>
      <c r="CS393">
        <v>0</v>
      </c>
      <c r="CT393" s="18">
        <v>0</v>
      </c>
      <c r="CZ393" s="34" t="s">
        <v>87</v>
      </c>
    </row>
    <row r="394" spans="1:104" x14ac:dyDescent="0.25">
      <c r="A394">
        <v>393</v>
      </c>
      <c r="B394">
        <v>24</v>
      </c>
      <c r="C394" s="25" t="s">
        <v>249</v>
      </c>
      <c r="D394" s="12">
        <v>5.62</v>
      </c>
      <c r="E394" s="14">
        <v>2.2999999999999998</v>
      </c>
      <c r="F394" s="7">
        <f t="shared" si="270"/>
        <v>2.4434782608695653</v>
      </c>
      <c r="G394" s="7">
        <f t="shared" si="264"/>
        <v>3.3200000000000003</v>
      </c>
      <c r="H394" s="16">
        <f t="shared" si="265"/>
        <v>7.92</v>
      </c>
      <c r="I394" s="11">
        <f t="shared" si="271"/>
        <v>0.10025960981878747</v>
      </c>
      <c r="J394" s="33">
        <f t="shared" si="272"/>
        <v>4.1031512915162126E-2</v>
      </c>
      <c r="K394" s="33">
        <f t="shared" si="273"/>
        <v>24.371511771150804</v>
      </c>
      <c r="L394" s="33">
        <f t="shared" si="274"/>
        <v>5.9228096903625342E-2</v>
      </c>
      <c r="M394" s="33">
        <f t="shared" si="275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34"/>
        <v>588</v>
      </c>
      <c r="Y394" s="7">
        <v>7.0203000000000007</v>
      </c>
      <c r="Z394" s="7">
        <f t="shared" si="269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9">
        <v>0</v>
      </c>
      <c r="AL394" s="30">
        <v>1</v>
      </c>
      <c r="AM394" s="21">
        <v>2010</v>
      </c>
      <c r="AN394" s="23"/>
      <c r="AO394" s="33">
        <v>0</v>
      </c>
      <c r="AP394" s="33">
        <v>1</v>
      </c>
      <c r="AQ394" s="33">
        <v>0</v>
      </c>
      <c r="AR394" s="43">
        <v>0</v>
      </c>
      <c r="AS394" s="33" t="s">
        <v>107</v>
      </c>
      <c r="AT394" s="43" t="s">
        <v>107</v>
      </c>
      <c r="AU394" s="42">
        <v>1</v>
      </c>
      <c r="AV394" s="18">
        <v>0</v>
      </c>
      <c r="AW394" s="33" t="s">
        <v>107</v>
      </c>
      <c r="AX394" s="40" t="s">
        <v>107</v>
      </c>
      <c r="AY394" t="s">
        <v>107</v>
      </c>
      <c r="AZ394" s="40" t="s">
        <v>107</v>
      </c>
      <c r="BB394" s="18"/>
      <c r="BC394" t="s">
        <v>107</v>
      </c>
      <c r="BD394" s="18" t="s">
        <v>107</v>
      </c>
      <c r="BE394" s="18" t="s">
        <v>30</v>
      </c>
      <c r="BL394" s="18"/>
      <c r="BO394" s="18"/>
      <c r="BR394" s="25">
        <v>32.5</v>
      </c>
      <c r="BS394">
        <v>1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 s="18">
        <v>0</v>
      </c>
      <c r="CA394">
        <v>0</v>
      </c>
      <c r="CB394">
        <v>0</v>
      </c>
      <c r="CC394">
        <v>1</v>
      </c>
      <c r="CD394" s="18">
        <v>0</v>
      </c>
      <c r="CE394">
        <v>0</v>
      </c>
      <c r="CF394">
        <v>0</v>
      </c>
      <c r="CG394">
        <v>0</v>
      </c>
      <c r="CH394">
        <v>0</v>
      </c>
      <c r="CI394" s="18">
        <v>0</v>
      </c>
      <c r="CJ394">
        <v>1</v>
      </c>
      <c r="CK394">
        <v>1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1</v>
      </c>
      <c r="CR394">
        <v>0</v>
      </c>
      <c r="CS394">
        <v>0</v>
      </c>
      <c r="CT394" s="18">
        <v>0</v>
      </c>
      <c r="CZ394" s="34" t="s">
        <v>87</v>
      </c>
    </row>
    <row r="395" spans="1:104" x14ac:dyDescent="0.25">
      <c r="A395">
        <v>394</v>
      </c>
      <c r="B395">
        <v>24</v>
      </c>
      <c r="C395" s="25" t="s">
        <v>249</v>
      </c>
      <c r="D395" s="12">
        <v>4.5999999999999996</v>
      </c>
      <c r="E395" s="14">
        <v>8.3699999999999992</v>
      </c>
      <c r="F395" s="7">
        <f t="shared" si="270"/>
        <v>0.54958183990442055</v>
      </c>
      <c r="G395" s="7">
        <f t="shared" si="264"/>
        <v>-3.7699999999999996</v>
      </c>
      <c r="H395" s="16">
        <f t="shared" si="265"/>
        <v>12.969999999999999</v>
      </c>
      <c r="I395" s="11">
        <f t="shared" si="271"/>
        <v>1.9500221059366833E-2</v>
      </c>
      <c r="J395" s="33">
        <f t="shared" si="272"/>
        <v>3.5481923971065296E-2</v>
      </c>
      <c r="K395" s="33">
        <f t="shared" si="273"/>
        <v>28.183364600394199</v>
      </c>
      <c r="L395" s="33">
        <f t="shared" si="274"/>
        <v>-1.5981702911698464E-2</v>
      </c>
      <c r="M395" s="33">
        <f t="shared" si="275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34"/>
        <v>794</v>
      </c>
      <c r="Y395" s="7">
        <v>7.0203000000000007</v>
      </c>
      <c r="Z395" s="7">
        <f t="shared" si="269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9">
        <v>0</v>
      </c>
      <c r="AL395" s="30">
        <v>1</v>
      </c>
      <c r="AM395" s="21">
        <v>2010</v>
      </c>
      <c r="AN395" s="23"/>
      <c r="AO395" s="33">
        <v>1</v>
      </c>
      <c r="AP395" s="33">
        <v>0</v>
      </c>
      <c r="AQ395" s="33">
        <v>0</v>
      </c>
      <c r="AR395" s="43">
        <v>0</v>
      </c>
      <c r="AS395" s="33" t="s">
        <v>107</v>
      </c>
      <c r="AT395" s="43" t="s">
        <v>107</v>
      </c>
      <c r="AU395" s="42">
        <v>1</v>
      </c>
      <c r="AV395" s="18">
        <v>0</v>
      </c>
      <c r="AW395" s="33" t="s">
        <v>107</v>
      </c>
      <c r="AX395" s="40" t="s">
        <v>107</v>
      </c>
      <c r="AY395" t="s">
        <v>107</v>
      </c>
      <c r="AZ395" s="40" t="s">
        <v>107</v>
      </c>
      <c r="BB395" s="18"/>
      <c r="BC395" t="s">
        <v>107</v>
      </c>
      <c r="BD395" s="18" t="s">
        <v>107</v>
      </c>
      <c r="BE395" s="18" t="s">
        <v>30</v>
      </c>
      <c r="BL395" s="18"/>
      <c r="BO395" s="18"/>
      <c r="BR395" s="25">
        <v>32.5</v>
      </c>
      <c r="BS395">
        <v>1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 s="18">
        <v>0</v>
      </c>
      <c r="CA395">
        <v>0</v>
      </c>
      <c r="CB395">
        <v>0</v>
      </c>
      <c r="CC395">
        <v>1</v>
      </c>
      <c r="CD395" s="18">
        <v>0</v>
      </c>
      <c r="CE395">
        <v>0</v>
      </c>
      <c r="CF395">
        <v>0</v>
      </c>
      <c r="CG395">
        <v>0</v>
      </c>
      <c r="CH395">
        <v>0</v>
      </c>
      <c r="CI395" s="18">
        <v>0</v>
      </c>
      <c r="CJ395">
        <v>1</v>
      </c>
      <c r="CK395">
        <v>1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1</v>
      </c>
      <c r="CR395">
        <v>0</v>
      </c>
      <c r="CS395">
        <v>0</v>
      </c>
      <c r="CT395" s="18">
        <v>0</v>
      </c>
      <c r="CZ395" s="34" t="s">
        <v>87</v>
      </c>
    </row>
    <row r="396" spans="1:104" x14ac:dyDescent="0.25">
      <c r="A396">
        <v>395</v>
      </c>
      <c r="B396">
        <v>24</v>
      </c>
      <c r="C396" s="25" t="s">
        <v>249</v>
      </c>
      <c r="D396" s="12">
        <v>15.5</v>
      </c>
      <c r="E396" s="14">
        <v>4.87</v>
      </c>
      <c r="F396" s="7">
        <f t="shared" si="270"/>
        <v>3.1827515400410675</v>
      </c>
      <c r="G396" s="7">
        <f t="shared" si="264"/>
        <v>10.629999999999999</v>
      </c>
      <c r="H396" s="16">
        <f t="shared" si="265"/>
        <v>20.37</v>
      </c>
      <c r="I396" s="11">
        <f t="shared" si="271"/>
        <v>7.9865593759938999E-2</v>
      </c>
      <c r="J396" s="33">
        <f t="shared" si="272"/>
        <v>2.5093254297477611E-2</v>
      </c>
      <c r="K396" s="33">
        <f t="shared" si="273"/>
        <v>39.851347622955409</v>
      </c>
      <c r="L396" s="33">
        <f t="shared" si="274"/>
        <v>5.4772339462461392E-2</v>
      </c>
      <c r="M396" s="33">
        <f t="shared" si="275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34"/>
        <v>1578</v>
      </c>
      <c r="Y396" s="7">
        <v>7.0203000000000007</v>
      </c>
      <c r="Z396" s="7">
        <f t="shared" si="269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9">
        <v>0</v>
      </c>
      <c r="AL396" s="30">
        <v>1</v>
      </c>
      <c r="AM396" s="21">
        <v>2010</v>
      </c>
      <c r="AN396" s="23"/>
      <c r="AO396" s="33">
        <v>0</v>
      </c>
      <c r="AP396" s="33">
        <v>0</v>
      </c>
      <c r="AQ396" s="33">
        <v>1</v>
      </c>
      <c r="AR396" s="43">
        <v>0</v>
      </c>
      <c r="AS396" s="33" t="s">
        <v>107</v>
      </c>
      <c r="AT396" s="43" t="s">
        <v>107</v>
      </c>
      <c r="AU396" s="42">
        <v>1</v>
      </c>
      <c r="AV396" s="18">
        <v>0</v>
      </c>
      <c r="AW396" s="33" t="s">
        <v>107</v>
      </c>
      <c r="AX396" s="40" t="s">
        <v>107</v>
      </c>
      <c r="AY396" t="s">
        <v>107</v>
      </c>
      <c r="AZ396" s="40" t="s">
        <v>107</v>
      </c>
      <c r="BB396" s="18"/>
      <c r="BC396" t="s">
        <v>107</v>
      </c>
      <c r="BD396" s="18" t="s">
        <v>107</v>
      </c>
      <c r="BE396" s="18" t="s">
        <v>30</v>
      </c>
      <c r="BL396" s="18"/>
      <c r="BO396" s="18"/>
      <c r="BR396" s="25">
        <v>32.5</v>
      </c>
      <c r="BS396">
        <v>1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 s="18">
        <v>0</v>
      </c>
      <c r="CA396">
        <v>0</v>
      </c>
      <c r="CB396">
        <v>0</v>
      </c>
      <c r="CC396">
        <v>1</v>
      </c>
      <c r="CD396" s="18">
        <v>0</v>
      </c>
      <c r="CE396">
        <v>0</v>
      </c>
      <c r="CF396">
        <v>0</v>
      </c>
      <c r="CG396">
        <v>0</v>
      </c>
      <c r="CH396">
        <v>0</v>
      </c>
      <c r="CI396" s="18">
        <v>0</v>
      </c>
      <c r="CJ396">
        <v>1</v>
      </c>
      <c r="CK396">
        <v>1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1</v>
      </c>
      <c r="CR396">
        <v>0</v>
      </c>
      <c r="CS396">
        <v>0</v>
      </c>
      <c r="CT396" s="18">
        <v>0</v>
      </c>
      <c r="CZ396" s="34" t="s">
        <v>87</v>
      </c>
    </row>
    <row r="397" spans="1:104" s="52" customFormat="1" x14ac:dyDescent="0.25">
      <c r="A397" s="52">
        <v>396</v>
      </c>
      <c r="B397" s="52">
        <v>24</v>
      </c>
      <c r="C397" s="53" t="s">
        <v>249</v>
      </c>
      <c r="D397" s="54">
        <v>37.700000000000003</v>
      </c>
      <c r="E397" s="55">
        <v>5.13</v>
      </c>
      <c r="F397" s="56">
        <f t="shared" si="270"/>
        <v>7.3489278752436658</v>
      </c>
      <c r="G397" s="56">
        <f t="shared" si="264"/>
        <v>32.57</v>
      </c>
      <c r="H397" s="57">
        <f t="shared" si="265"/>
        <v>42.830000000000005</v>
      </c>
      <c r="I397" s="58">
        <f t="shared" si="271"/>
        <v>0.15714440548743447</v>
      </c>
      <c r="J397" s="59">
        <f t="shared" si="272"/>
        <v>2.1383310348820659E-2</v>
      </c>
      <c r="K397" s="59">
        <f t="shared" si="273"/>
        <v>46.765443875959662</v>
      </c>
      <c r="L397" s="59">
        <f t="shared" si="274"/>
        <v>0.13576109513861381</v>
      </c>
      <c r="M397" s="59">
        <f t="shared" si="275"/>
        <v>0.17852771583625512</v>
      </c>
      <c r="N397" s="60">
        <v>0</v>
      </c>
      <c r="O397" s="61">
        <v>1</v>
      </c>
      <c r="P397" s="60">
        <v>0</v>
      </c>
      <c r="Q397" s="61">
        <v>0</v>
      </c>
      <c r="R397" s="61">
        <v>0</v>
      </c>
      <c r="S397" s="61">
        <v>1</v>
      </c>
      <c r="T397" s="61">
        <v>0</v>
      </c>
      <c r="U397" s="60">
        <v>2137</v>
      </c>
      <c r="V397" s="61">
        <v>3</v>
      </c>
      <c r="W397" s="61">
        <f t="shared" si="234"/>
        <v>2133</v>
      </c>
      <c r="X397" s="61"/>
      <c r="Y397" s="56">
        <v>7.0203000000000007</v>
      </c>
      <c r="Z397" s="56">
        <f t="shared" si="269"/>
        <v>19.479700000000001</v>
      </c>
      <c r="AA397" s="61">
        <v>1</v>
      </c>
      <c r="AB397" s="61">
        <v>0</v>
      </c>
      <c r="AC397" s="61">
        <v>0</v>
      </c>
      <c r="AD397" s="61">
        <v>0</v>
      </c>
      <c r="AE397" s="61">
        <v>0</v>
      </c>
      <c r="AF397" s="61">
        <v>1</v>
      </c>
      <c r="AG397" s="60">
        <v>0</v>
      </c>
      <c r="AH397" s="61">
        <v>1</v>
      </c>
      <c r="AI397" s="62">
        <v>0</v>
      </c>
      <c r="AJ397" s="61">
        <v>0</v>
      </c>
      <c r="AK397" s="61">
        <v>0</v>
      </c>
      <c r="AL397" s="62">
        <v>1</v>
      </c>
      <c r="AM397" s="63">
        <v>2010</v>
      </c>
      <c r="AN397" s="64"/>
      <c r="AO397" s="59">
        <v>0</v>
      </c>
      <c r="AP397" s="59">
        <v>0</v>
      </c>
      <c r="AQ397" s="59">
        <v>0</v>
      </c>
      <c r="AR397" s="65">
        <v>1</v>
      </c>
      <c r="AS397" s="59" t="s">
        <v>107</v>
      </c>
      <c r="AT397" s="65" t="s">
        <v>107</v>
      </c>
      <c r="AU397" s="66">
        <v>1</v>
      </c>
      <c r="AV397" s="67">
        <v>0</v>
      </c>
      <c r="AW397" s="59" t="s">
        <v>107</v>
      </c>
      <c r="AX397" s="68" t="s">
        <v>107</v>
      </c>
      <c r="AY397" s="52" t="s">
        <v>107</v>
      </c>
      <c r="AZ397" s="68" t="s">
        <v>107</v>
      </c>
      <c r="BB397" s="67"/>
      <c r="BC397" s="52" t="s">
        <v>107</v>
      </c>
      <c r="BD397" s="67" t="s">
        <v>107</v>
      </c>
      <c r="BE397" s="67" t="s">
        <v>30</v>
      </c>
      <c r="BL397" s="67"/>
      <c r="BO397" s="67"/>
      <c r="BR397" s="53">
        <v>32.5</v>
      </c>
      <c r="BS397" s="52">
        <v>1</v>
      </c>
      <c r="BT397" s="52">
        <v>0</v>
      </c>
      <c r="BU397" s="52">
        <v>0</v>
      </c>
      <c r="BV397" s="52">
        <v>0</v>
      </c>
      <c r="BW397" s="52">
        <v>0</v>
      </c>
      <c r="BX397" s="52">
        <v>0</v>
      </c>
      <c r="BY397" s="52">
        <v>0</v>
      </c>
      <c r="BZ397" s="67">
        <v>0</v>
      </c>
      <c r="CA397" s="52">
        <v>0</v>
      </c>
      <c r="CB397" s="52">
        <v>0</v>
      </c>
      <c r="CC397" s="52">
        <v>1</v>
      </c>
      <c r="CD397" s="67">
        <v>0</v>
      </c>
      <c r="CE397" s="52">
        <v>0</v>
      </c>
      <c r="CF397" s="52">
        <v>0</v>
      </c>
      <c r="CG397" s="52">
        <v>0</v>
      </c>
      <c r="CH397" s="52">
        <v>0</v>
      </c>
      <c r="CI397" s="67">
        <v>0</v>
      </c>
      <c r="CJ397" s="52">
        <v>1</v>
      </c>
      <c r="CK397" s="52">
        <v>1</v>
      </c>
      <c r="CL397" s="52">
        <v>0</v>
      </c>
      <c r="CM397" s="52">
        <v>0</v>
      </c>
      <c r="CN397" s="52">
        <v>0</v>
      </c>
      <c r="CO397" s="52">
        <v>0</v>
      </c>
      <c r="CP397" s="52">
        <v>0</v>
      </c>
      <c r="CQ397" s="52">
        <v>1</v>
      </c>
      <c r="CR397" s="52">
        <v>0</v>
      </c>
      <c r="CS397" s="52">
        <v>0</v>
      </c>
      <c r="CT397" s="67">
        <v>0</v>
      </c>
      <c r="CY397" s="53"/>
      <c r="CZ397" s="69" t="s">
        <v>87</v>
      </c>
    </row>
    <row r="398" spans="1:104" x14ac:dyDescent="0.25">
      <c r="A398">
        <v>397</v>
      </c>
      <c r="B398">
        <v>25</v>
      </c>
      <c r="C398" s="25" t="s">
        <v>260</v>
      </c>
      <c r="D398" s="12">
        <v>7.2</v>
      </c>
      <c r="E398" s="14">
        <v>0.5</v>
      </c>
      <c r="F398" s="7">
        <f t="shared" si="270"/>
        <v>14.4</v>
      </c>
      <c r="G398" s="7">
        <f t="shared" si="264"/>
        <v>6.7</v>
      </c>
      <c r="H398" s="16">
        <f t="shared" si="265"/>
        <v>7.7</v>
      </c>
      <c r="I398" s="11">
        <f t="shared" si="271"/>
        <v>0.13314306921085112</v>
      </c>
      <c r="J398" s="33">
        <f t="shared" si="272"/>
        <v>9.2460464729757722E-3</v>
      </c>
      <c r="K398" s="33">
        <f t="shared" si="273"/>
        <v>108.15433417112789</v>
      </c>
      <c r="L398" s="33">
        <f t="shared" si="274"/>
        <v>0.12389702273787534</v>
      </c>
      <c r="M398" s="33">
        <f t="shared" si="275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34"/>
        <v>11490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9">
        <v>0</v>
      </c>
      <c r="AL398" s="30">
        <v>0</v>
      </c>
      <c r="AM398" s="21">
        <v>2002</v>
      </c>
      <c r="AN398" s="23"/>
      <c r="AO398" s="33">
        <v>0.44</v>
      </c>
      <c r="AP398" s="33">
        <v>9.7000000000000003E-2</v>
      </c>
      <c r="AQ398" s="33">
        <v>0.35499999999999998</v>
      </c>
      <c r="AR398" s="43">
        <f>1-(SUM(AO398:AQ398))</f>
        <v>0.10799999999999998</v>
      </c>
      <c r="AS398" s="33">
        <v>0.64</v>
      </c>
      <c r="AT398" s="43">
        <v>0.33</v>
      </c>
      <c r="AU398" s="42">
        <v>0.57999999999999996</v>
      </c>
      <c r="AV398" s="18">
        <v>0.42</v>
      </c>
      <c r="AW398">
        <v>1</v>
      </c>
      <c r="AX398" s="40">
        <v>0</v>
      </c>
      <c r="AY398" t="s">
        <v>107</v>
      </c>
      <c r="AZ398" s="40" t="s">
        <v>107</v>
      </c>
      <c r="BB398" s="18"/>
      <c r="BC398">
        <f>1-BD398</f>
        <v>0.52700000000000002</v>
      </c>
      <c r="BD398" s="18">
        <v>0.47299999999999998</v>
      </c>
      <c r="BE398" s="18" t="s">
        <v>20</v>
      </c>
      <c r="BL398" s="18"/>
      <c r="BO398" s="18"/>
      <c r="BR398" s="25">
        <v>33.378</v>
      </c>
      <c r="BS398">
        <v>1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 s="18">
        <v>0</v>
      </c>
      <c r="CA398">
        <v>0</v>
      </c>
      <c r="CB398">
        <v>0</v>
      </c>
      <c r="CC398">
        <v>1</v>
      </c>
      <c r="CD398" s="18">
        <v>0</v>
      </c>
      <c r="CE398">
        <v>0</v>
      </c>
      <c r="CF398">
        <v>0</v>
      </c>
      <c r="CG398">
        <v>0</v>
      </c>
      <c r="CH398">
        <v>0</v>
      </c>
      <c r="CI398" s="18">
        <v>0</v>
      </c>
      <c r="CJ398">
        <v>0</v>
      </c>
      <c r="CK398">
        <v>0</v>
      </c>
      <c r="CL398">
        <v>1</v>
      </c>
      <c r="CM398">
        <v>1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1</v>
      </c>
      <c r="CT398" s="18">
        <v>1</v>
      </c>
      <c r="CZ398" s="34" t="s">
        <v>87</v>
      </c>
    </row>
    <row r="399" spans="1:104" x14ac:dyDescent="0.25">
      <c r="A399">
        <v>398</v>
      </c>
      <c r="B399">
        <v>25</v>
      </c>
      <c r="C399" s="25" t="s">
        <v>260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76">D399-E399</f>
        <v>2.3686173883754575</v>
      </c>
      <c r="H399" s="16">
        <f t="shared" ref="H399:H412" si="277">D399+E399</f>
        <v>3.1853820050566499</v>
      </c>
      <c r="I399" s="11">
        <f t="shared" si="271"/>
        <v>6.3329866538037571E-2</v>
      </c>
      <c r="J399" s="33">
        <f t="shared" si="272"/>
        <v>9.3132156673584668E-3</v>
      </c>
      <c r="K399" s="33">
        <f t="shared" ref="K399:K411" si="278">IFERROR(1/J399, "X")</f>
        <v>107.37429860073591</v>
      </c>
      <c r="L399" s="33">
        <f t="shared" ref="L399:L411" si="279">IFERROR(I399-J399, "X")</f>
        <v>5.4016650870679105E-2</v>
      </c>
      <c r="M399" s="33">
        <f t="shared" ref="M399:M411" si="280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34"/>
        <v>11483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9">
        <v>0</v>
      </c>
      <c r="AL399" s="30">
        <v>0</v>
      </c>
      <c r="AM399" s="21">
        <v>2002</v>
      </c>
      <c r="AN399" s="23"/>
      <c r="AO399" s="33">
        <v>0.44</v>
      </c>
      <c r="AP399" s="33">
        <v>9.7000000000000003E-2</v>
      </c>
      <c r="AQ399" s="33">
        <v>0.35499999999999998</v>
      </c>
      <c r="AR399" s="43">
        <f t="shared" ref="AR399:AR405" si="281">1-(SUM(AO399:AQ399))</f>
        <v>0.10799999999999998</v>
      </c>
      <c r="AS399" s="33">
        <v>0.64</v>
      </c>
      <c r="AT399" s="43">
        <v>0.33</v>
      </c>
      <c r="AU399" s="42">
        <v>0.57999999999999996</v>
      </c>
      <c r="AV399" s="18">
        <v>0.42</v>
      </c>
      <c r="AW399">
        <v>1</v>
      </c>
      <c r="AX399" s="40">
        <v>0</v>
      </c>
      <c r="AY399" t="s">
        <v>107</v>
      </c>
      <c r="AZ399" s="40" t="s">
        <v>107</v>
      </c>
      <c r="BB399" s="18"/>
      <c r="BC399">
        <f t="shared" ref="BC399:BC429" si="282">1-BD399</f>
        <v>0.52700000000000002</v>
      </c>
      <c r="BD399" s="18">
        <v>0.47299999999999998</v>
      </c>
      <c r="BE399" s="18" t="s">
        <v>20</v>
      </c>
      <c r="BL399" s="18"/>
      <c r="BO399" s="18"/>
      <c r="BR399" s="25">
        <v>33.378</v>
      </c>
      <c r="BS399">
        <v>1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 s="18">
        <v>0</v>
      </c>
      <c r="CA399">
        <v>0</v>
      </c>
      <c r="CB399">
        <v>0</v>
      </c>
      <c r="CC399">
        <v>1</v>
      </c>
      <c r="CD399" s="18">
        <v>0</v>
      </c>
      <c r="CE399">
        <v>0</v>
      </c>
      <c r="CF399">
        <v>0</v>
      </c>
      <c r="CG399">
        <v>0</v>
      </c>
      <c r="CH399">
        <v>0</v>
      </c>
      <c r="CI399" s="18">
        <v>0</v>
      </c>
      <c r="CJ399">
        <v>0</v>
      </c>
      <c r="CK399">
        <v>0</v>
      </c>
      <c r="CL399">
        <v>1</v>
      </c>
      <c r="CM399">
        <v>1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1</v>
      </c>
      <c r="CT399" s="18">
        <v>1</v>
      </c>
      <c r="CZ399" s="34" t="s">
        <v>87</v>
      </c>
    </row>
    <row r="400" spans="1:104" x14ac:dyDescent="0.25">
      <c r="A400">
        <v>399</v>
      </c>
      <c r="B400">
        <v>25</v>
      </c>
      <c r="C400" s="25" t="s">
        <v>260</v>
      </c>
      <c r="D400" s="12">
        <v>4.4633839671773368</v>
      </c>
      <c r="E400" s="14">
        <v>0.32940103078799532</v>
      </c>
      <c r="F400" s="7">
        <v>13.55</v>
      </c>
      <c r="G400" s="7">
        <f t="shared" si="276"/>
        <v>4.1339829363893417</v>
      </c>
      <c r="H400" s="16">
        <f t="shared" si="277"/>
        <v>4.7927849979653319</v>
      </c>
      <c r="I400" s="11">
        <f t="shared" si="271"/>
        <v>0.12544896850431847</v>
      </c>
      <c r="J400" s="33">
        <f t="shared" si="272"/>
        <v>9.2582264578832812E-3</v>
      </c>
      <c r="K400" s="33">
        <f t="shared" si="278"/>
        <v>108.01204793910725</v>
      </c>
      <c r="L400" s="33">
        <f t="shared" si="279"/>
        <v>0.11619074204643519</v>
      </c>
      <c r="M400" s="33">
        <f t="shared" si="280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34"/>
        <v>11483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9">
        <v>0</v>
      </c>
      <c r="AL400" s="30">
        <v>0</v>
      </c>
      <c r="AM400" s="21">
        <v>2002</v>
      </c>
      <c r="AN400" s="23"/>
      <c r="AO400" s="33">
        <v>0.44</v>
      </c>
      <c r="AP400" s="33">
        <v>9.7000000000000003E-2</v>
      </c>
      <c r="AQ400" s="33">
        <v>0.35499999999999998</v>
      </c>
      <c r="AR400" s="43">
        <f t="shared" si="281"/>
        <v>0.10799999999999998</v>
      </c>
      <c r="AS400" s="33">
        <v>0.64</v>
      </c>
      <c r="AT400" s="43">
        <v>0.33</v>
      </c>
      <c r="AU400" s="42">
        <v>0.57999999999999996</v>
      </c>
      <c r="AV400" s="18">
        <v>0.42</v>
      </c>
      <c r="AW400">
        <v>1</v>
      </c>
      <c r="AX400" s="40">
        <v>0</v>
      </c>
      <c r="AY400" t="s">
        <v>107</v>
      </c>
      <c r="AZ400" s="40" t="s">
        <v>107</v>
      </c>
      <c r="BB400" s="18"/>
      <c r="BC400">
        <f t="shared" si="282"/>
        <v>0.52700000000000002</v>
      </c>
      <c r="BD400" s="18">
        <v>0.47299999999999998</v>
      </c>
      <c r="BE400" s="18" t="s">
        <v>20</v>
      </c>
      <c r="BL400" s="18"/>
      <c r="BO400" s="18"/>
      <c r="BR400" s="25">
        <v>33.378</v>
      </c>
      <c r="BS400">
        <v>1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 s="18">
        <v>0</v>
      </c>
      <c r="CA400">
        <v>0</v>
      </c>
      <c r="CB400">
        <v>0</v>
      </c>
      <c r="CC400">
        <v>1</v>
      </c>
      <c r="CD400" s="18">
        <v>0</v>
      </c>
      <c r="CE400">
        <v>0</v>
      </c>
      <c r="CF400">
        <v>0</v>
      </c>
      <c r="CG400">
        <v>0</v>
      </c>
      <c r="CH400">
        <v>0</v>
      </c>
      <c r="CI400" s="18">
        <v>0</v>
      </c>
      <c r="CJ400">
        <v>0</v>
      </c>
      <c r="CK400">
        <v>0</v>
      </c>
      <c r="CL400">
        <v>1</v>
      </c>
      <c r="CM400">
        <v>1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1</v>
      </c>
      <c r="CT400" s="18">
        <v>1</v>
      </c>
      <c r="CZ400" s="34" t="s">
        <v>87</v>
      </c>
    </row>
    <row r="401" spans="1:104" x14ac:dyDescent="0.25">
      <c r="A401">
        <v>400</v>
      </c>
      <c r="B401">
        <v>25</v>
      </c>
      <c r="C401" s="25" t="s">
        <v>260</v>
      </c>
      <c r="D401" s="12">
        <v>13.075934214887063</v>
      </c>
      <c r="E401" s="14">
        <v>0.48973536385344807</v>
      </c>
      <c r="F401" s="7">
        <v>26.7</v>
      </c>
      <c r="G401" s="7">
        <f t="shared" si="276"/>
        <v>12.586198851033615</v>
      </c>
      <c r="H401" s="16">
        <f t="shared" si="277"/>
        <v>13.565669578740511</v>
      </c>
      <c r="I401" s="11">
        <f t="shared" si="271"/>
        <v>0.24177116993399661</v>
      </c>
      <c r="J401" s="33">
        <f t="shared" si="272"/>
        <v>9.0550999975279618E-3</v>
      </c>
      <c r="K401" s="33">
        <f t="shared" si="278"/>
        <v>110.43500350885131</v>
      </c>
      <c r="L401" s="33">
        <f t="shared" si="279"/>
        <v>0.23271606993646865</v>
      </c>
      <c r="M401" s="33">
        <f t="shared" si="280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83">U401-V401-1</f>
        <v>11483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9">
        <v>0</v>
      </c>
      <c r="AL401" s="30">
        <v>0</v>
      </c>
      <c r="AM401" s="21">
        <v>2002</v>
      </c>
      <c r="AN401" s="23"/>
      <c r="AO401" s="33">
        <v>0.44</v>
      </c>
      <c r="AP401" s="33">
        <v>9.7000000000000003E-2</v>
      </c>
      <c r="AQ401" s="33">
        <v>0.35499999999999998</v>
      </c>
      <c r="AR401" s="43">
        <f t="shared" si="281"/>
        <v>0.10799999999999998</v>
      </c>
      <c r="AS401" s="33">
        <v>0.64</v>
      </c>
      <c r="AT401" s="43">
        <v>0.33</v>
      </c>
      <c r="AU401" s="42">
        <v>0.57999999999999996</v>
      </c>
      <c r="AV401" s="18">
        <v>0.42</v>
      </c>
      <c r="AW401">
        <v>1</v>
      </c>
      <c r="AX401" s="40">
        <v>0</v>
      </c>
      <c r="AY401" t="s">
        <v>107</v>
      </c>
      <c r="AZ401" s="40" t="s">
        <v>107</v>
      </c>
      <c r="BB401" s="18"/>
      <c r="BC401">
        <f t="shared" si="282"/>
        <v>0.52700000000000002</v>
      </c>
      <c r="BD401" s="18">
        <v>0.47299999999999998</v>
      </c>
      <c r="BE401" s="18" t="s">
        <v>20</v>
      </c>
      <c r="BL401" s="18"/>
      <c r="BO401" s="18"/>
      <c r="BR401" s="25">
        <v>33.378</v>
      </c>
      <c r="BS401">
        <v>1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 s="18">
        <v>0</v>
      </c>
      <c r="CA401">
        <v>0</v>
      </c>
      <c r="CB401">
        <v>0</v>
      </c>
      <c r="CC401">
        <v>1</v>
      </c>
      <c r="CD401" s="18">
        <v>0</v>
      </c>
      <c r="CE401">
        <v>0</v>
      </c>
      <c r="CF401">
        <v>0</v>
      </c>
      <c r="CG401">
        <v>0</v>
      </c>
      <c r="CH401">
        <v>0</v>
      </c>
      <c r="CI401" s="18">
        <v>0</v>
      </c>
      <c r="CJ401">
        <v>0</v>
      </c>
      <c r="CK401">
        <v>0</v>
      </c>
      <c r="CL401">
        <v>1</v>
      </c>
      <c r="CM401">
        <v>1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1</v>
      </c>
      <c r="CT401" s="18">
        <v>1</v>
      </c>
      <c r="CZ401" s="34" t="s">
        <v>87</v>
      </c>
    </row>
    <row r="402" spans="1:104" x14ac:dyDescent="0.25">
      <c r="A402">
        <v>401</v>
      </c>
      <c r="B402">
        <v>25</v>
      </c>
      <c r="C402" s="25" t="s">
        <v>260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76"/>
        <v>10.966291492584547</v>
      </c>
      <c r="H402" s="16">
        <f t="shared" si="277"/>
        <v>11.86516784443574</v>
      </c>
      <c r="I402" s="11">
        <f t="shared" si="271"/>
        <v>0.2306408647800387</v>
      </c>
      <c r="J402" s="33">
        <f t="shared" si="272"/>
        <v>9.0803490070881371E-3</v>
      </c>
      <c r="K402" s="33">
        <f t="shared" si="278"/>
        <v>110.12792561380606</v>
      </c>
      <c r="L402" s="33">
        <f t="shared" si="279"/>
        <v>0.22156051577295055</v>
      </c>
      <c r="M402" s="33">
        <f t="shared" si="280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83"/>
        <v>11483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9">
        <v>0</v>
      </c>
      <c r="AL402" s="30">
        <v>0</v>
      </c>
      <c r="AM402" s="21">
        <v>2002</v>
      </c>
      <c r="AN402" s="23"/>
      <c r="AO402" s="33">
        <v>0.44</v>
      </c>
      <c r="AP402" s="33">
        <v>9.7000000000000003E-2</v>
      </c>
      <c r="AQ402" s="33">
        <v>0.35499999999999998</v>
      </c>
      <c r="AR402" s="43">
        <f t="shared" si="281"/>
        <v>0.10799999999999998</v>
      </c>
      <c r="AS402" s="33">
        <v>0.64</v>
      </c>
      <c r="AT402" s="43">
        <v>0.33</v>
      </c>
      <c r="AU402" s="42">
        <v>0.57999999999999996</v>
      </c>
      <c r="AV402" s="18">
        <v>0.42</v>
      </c>
      <c r="AW402">
        <v>1</v>
      </c>
      <c r="AX402" s="40">
        <v>0</v>
      </c>
      <c r="AY402" t="s">
        <v>107</v>
      </c>
      <c r="AZ402" s="40" t="s">
        <v>107</v>
      </c>
      <c r="BB402" s="18"/>
      <c r="BC402">
        <f t="shared" si="282"/>
        <v>0.52700000000000002</v>
      </c>
      <c r="BD402" s="18">
        <v>0.47299999999999998</v>
      </c>
      <c r="BE402" s="18" t="s">
        <v>20</v>
      </c>
      <c r="BL402" s="18"/>
      <c r="BO402" s="18"/>
      <c r="BR402" s="25">
        <v>33.378</v>
      </c>
      <c r="BS402">
        <v>1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 s="18">
        <v>0</v>
      </c>
      <c r="CA402">
        <v>0</v>
      </c>
      <c r="CB402">
        <v>0</v>
      </c>
      <c r="CC402">
        <v>1</v>
      </c>
      <c r="CD402" s="18">
        <v>0</v>
      </c>
      <c r="CE402">
        <v>0</v>
      </c>
      <c r="CF402">
        <v>0</v>
      </c>
      <c r="CG402">
        <v>0</v>
      </c>
      <c r="CH402">
        <v>0</v>
      </c>
      <c r="CI402" s="18">
        <v>0</v>
      </c>
      <c r="CJ402">
        <v>0</v>
      </c>
      <c r="CK402">
        <v>0</v>
      </c>
      <c r="CL402">
        <v>1</v>
      </c>
      <c r="CM402">
        <v>1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1</v>
      </c>
      <c r="CT402" s="18">
        <v>1</v>
      </c>
      <c r="CZ402" s="34" t="s">
        <v>87</v>
      </c>
    </row>
    <row r="403" spans="1:104" x14ac:dyDescent="0.25">
      <c r="A403">
        <v>402</v>
      </c>
      <c r="B403">
        <v>25</v>
      </c>
      <c r="C403" s="25" t="s">
        <v>260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76"/>
        <v>15.181602708287018</v>
      </c>
      <c r="H403" s="16">
        <f t="shared" si="277"/>
        <v>16.057464402995883</v>
      </c>
      <c r="I403" s="11">
        <f t="shared" si="271"/>
        <v>0.31580601670891845</v>
      </c>
      <c r="J403" s="33">
        <f t="shared" si="272"/>
        <v>8.8543743002500487E-3</v>
      </c>
      <c r="K403" s="33">
        <f t="shared" si="278"/>
        <v>112.93852801905605</v>
      </c>
      <c r="L403" s="33">
        <f t="shared" si="279"/>
        <v>0.3069516424086684</v>
      </c>
      <c r="M403" s="33">
        <f t="shared" si="280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83"/>
        <v>11483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9">
        <v>0</v>
      </c>
      <c r="AL403" s="30">
        <v>0</v>
      </c>
      <c r="AM403" s="21">
        <v>2002</v>
      </c>
      <c r="AN403" s="23"/>
      <c r="AO403" s="33">
        <v>0.44</v>
      </c>
      <c r="AP403" s="33">
        <v>9.7000000000000003E-2</v>
      </c>
      <c r="AQ403" s="33">
        <v>0.35499999999999998</v>
      </c>
      <c r="AR403" s="43">
        <f t="shared" si="281"/>
        <v>0.10799999999999998</v>
      </c>
      <c r="AS403" s="33">
        <v>0.64</v>
      </c>
      <c r="AT403" s="43">
        <v>0.33</v>
      </c>
      <c r="AU403" s="42">
        <v>0.57999999999999996</v>
      </c>
      <c r="AV403" s="18">
        <v>0.42</v>
      </c>
      <c r="AW403">
        <v>1</v>
      </c>
      <c r="AX403" s="40">
        <v>0</v>
      </c>
      <c r="AY403" t="s">
        <v>107</v>
      </c>
      <c r="AZ403" s="40" t="s">
        <v>107</v>
      </c>
      <c r="BB403" s="18"/>
      <c r="BC403">
        <f t="shared" si="282"/>
        <v>0.52700000000000002</v>
      </c>
      <c r="BD403" s="18">
        <v>0.47299999999999998</v>
      </c>
      <c r="BE403" s="18" t="s">
        <v>20</v>
      </c>
      <c r="BL403" s="18"/>
      <c r="BO403" s="18"/>
      <c r="BR403" s="25">
        <v>33.378</v>
      </c>
      <c r="BS403">
        <v>1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 s="18">
        <v>0</v>
      </c>
      <c r="CA403">
        <v>0</v>
      </c>
      <c r="CB403">
        <v>0</v>
      </c>
      <c r="CC403">
        <v>1</v>
      </c>
      <c r="CD403" s="18">
        <v>0</v>
      </c>
      <c r="CE403">
        <v>0</v>
      </c>
      <c r="CF403">
        <v>0</v>
      </c>
      <c r="CG403">
        <v>0</v>
      </c>
      <c r="CH403">
        <v>0</v>
      </c>
      <c r="CI403" s="18">
        <v>0</v>
      </c>
      <c r="CJ403">
        <v>0</v>
      </c>
      <c r="CK403">
        <v>0</v>
      </c>
      <c r="CL403">
        <v>1</v>
      </c>
      <c r="CM403">
        <v>1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1</v>
      </c>
      <c r="CT403" s="18">
        <v>1</v>
      </c>
      <c r="CZ403" s="34" t="s">
        <v>87</v>
      </c>
    </row>
    <row r="404" spans="1:104" x14ac:dyDescent="0.25">
      <c r="A404">
        <v>403</v>
      </c>
      <c r="B404">
        <v>25</v>
      </c>
      <c r="C404" s="25" t="s">
        <v>260</v>
      </c>
      <c r="D404" s="12">
        <v>15.109416852657521</v>
      </c>
      <c r="E404" s="14">
        <v>0.3306218129684359</v>
      </c>
      <c r="F404" s="7">
        <v>45.7</v>
      </c>
      <c r="G404" s="7">
        <f t="shared" si="276"/>
        <v>14.778795039689085</v>
      </c>
      <c r="H404" s="16">
        <f t="shared" si="277"/>
        <v>15.440038665625957</v>
      </c>
      <c r="I404" s="11">
        <f t="shared" si="271"/>
        <v>0.39228566159909373</v>
      </c>
      <c r="J404" s="33">
        <f t="shared" si="272"/>
        <v>8.5839313260195563E-3</v>
      </c>
      <c r="K404" s="33">
        <f t="shared" si="278"/>
        <v>116.49673815176114</v>
      </c>
      <c r="L404" s="33">
        <f t="shared" si="279"/>
        <v>0.38370173027307419</v>
      </c>
      <c r="M404" s="33">
        <f t="shared" si="280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83"/>
        <v>11483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9">
        <v>0</v>
      </c>
      <c r="AL404" s="30">
        <v>0</v>
      </c>
      <c r="AM404" s="21">
        <v>2002</v>
      </c>
      <c r="AN404" s="23"/>
      <c r="AO404" s="33">
        <v>0.44</v>
      </c>
      <c r="AP404" s="33">
        <v>9.7000000000000003E-2</v>
      </c>
      <c r="AQ404" s="33">
        <v>0.35499999999999998</v>
      </c>
      <c r="AR404" s="43">
        <f t="shared" si="281"/>
        <v>0.10799999999999998</v>
      </c>
      <c r="AS404" s="33">
        <v>0.64</v>
      </c>
      <c r="AT404" s="43">
        <v>0.33</v>
      </c>
      <c r="AU404" s="42">
        <v>0.57999999999999996</v>
      </c>
      <c r="AV404" s="18">
        <v>0.42</v>
      </c>
      <c r="AW404">
        <v>1</v>
      </c>
      <c r="AX404" s="40">
        <v>0</v>
      </c>
      <c r="AY404" t="s">
        <v>107</v>
      </c>
      <c r="AZ404" s="40" t="s">
        <v>107</v>
      </c>
      <c r="BB404" s="18"/>
      <c r="BC404">
        <f t="shared" si="282"/>
        <v>0.52700000000000002</v>
      </c>
      <c r="BD404" s="18">
        <v>0.47299999999999998</v>
      </c>
      <c r="BE404" s="18" t="s">
        <v>20</v>
      </c>
      <c r="BL404" s="18"/>
      <c r="BO404" s="18"/>
      <c r="BR404" s="25">
        <v>33.378</v>
      </c>
      <c r="BS404">
        <v>1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 s="18">
        <v>0</v>
      </c>
      <c r="CA404">
        <v>0</v>
      </c>
      <c r="CB404">
        <v>0</v>
      </c>
      <c r="CC404">
        <v>1</v>
      </c>
      <c r="CD404" s="18">
        <v>0</v>
      </c>
      <c r="CE404">
        <v>0</v>
      </c>
      <c r="CF404">
        <v>0</v>
      </c>
      <c r="CG404">
        <v>0</v>
      </c>
      <c r="CH404">
        <v>0</v>
      </c>
      <c r="CI404" s="18">
        <v>0</v>
      </c>
      <c r="CJ404">
        <v>0</v>
      </c>
      <c r="CK404">
        <v>0</v>
      </c>
      <c r="CL404">
        <v>1</v>
      </c>
      <c r="CM404">
        <v>1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1</v>
      </c>
      <c r="CT404" s="18">
        <v>1</v>
      </c>
      <c r="CZ404" s="34" t="s">
        <v>87</v>
      </c>
    </row>
    <row r="405" spans="1:104" x14ac:dyDescent="0.25">
      <c r="A405">
        <v>404</v>
      </c>
      <c r="B405">
        <v>25</v>
      </c>
      <c r="C405" s="25" t="s">
        <v>260</v>
      </c>
      <c r="D405" s="12">
        <v>16.600000000000001</v>
      </c>
      <c r="E405" s="14">
        <v>1</v>
      </c>
      <c r="F405" s="7">
        <f t="shared" ref="F405" si="284">D405/E405</f>
        <v>16.600000000000001</v>
      </c>
      <c r="G405" s="7">
        <f t="shared" si="276"/>
        <v>15.600000000000001</v>
      </c>
      <c r="H405" s="16">
        <f t="shared" si="277"/>
        <v>17.600000000000001</v>
      </c>
      <c r="I405" s="11">
        <f t="shared" si="271"/>
        <v>0.34745373685855596</v>
      </c>
      <c r="J405" s="33">
        <f t="shared" si="272"/>
        <v>2.0930948003527464E-2</v>
      </c>
      <c r="K405" s="33">
        <f t="shared" si="278"/>
        <v>47.776144674931651</v>
      </c>
      <c r="L405" s="33">
        <f t="shared" si="279"/>
        <v>0.3265227888550285</v>
      </c>
      <c r="M405" s="33">
        <f t="shared" si="280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83"/>
        <v>2007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9">
        <v>0</v>
      </c>
      <c r="AL405" s="30">
        <v>0</v>
      </c>
      <c r="AM405" s="21">
        <v>2002</v>
      </c>
      <c r="AN405" s="23"/>
      <c r="AO405" s="33">
        <v>0.58099999999999996</v>
      </c>
      <c r="AP405" s="33">
        <v>9.0999999999999998E-2</v>
      </c>
      <c r="AQ405" s="33">
        <v>0.20100000000000001</v>
      </c>
      <c r="AR405" s="43">
        <f t="shared" si="281"/>
        <v>0.127</v>
      </c>
      <c r="AS405" s="33">
        <v>0.33</v>
      </c>
      <c r="AT405" s="43">
        <v>0.64</v>
      </c>
      <c r="AU405" s="42">
        <v>0.16</v>
      </c>
      <c r="AV405" s="18">
        <v>0.84</v>
      </c>
      <c r="AW405">
        <v>0</v>
      </c>
      <c r="AX405" s="40">
        <v>1</v>
      </c>
      <c r="AY405" t="s">
        <v>107</v>
      </c>
      <c r="AZ405" s="40" t="s">
        <v>107</v>
      </c>
      <c r="BB405" s="18"/>
      <c r="BC405">
        <f t="shared" si="282"/>
        <v>0.499</v>
      </c>
      <c r="BD405" s="18">
        <v>0.501</v>
      </c>
      <c r="BE405" s="18" t="s">
        <v>20</v>
      </c>
      <c r="BL405" s="18"/>
      <c r="BO405" s="18"/>
      <c r="BR405" s="25">
        <v>32.451999999999998</v>
      </c>
      <c r="BS405">
        <v>1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 s="18">
        <v>0</v>
      </c>
      <c r="CA405">
        <v>0</v>
      </c>
      <c r="CB405">
        <v>0</v>
      </c>
      <c r="CC405">
        <v>1</v>
      </c>
      <c r="CD405" s="18">
        <v>0</v>
      </c>
      <c r="CE405">
        <v>0</v>
      </c>
      <c r="CF405">
        <v>0</v>
      </c>
      <c r="CG405">
        <v>0</v>
      </c>
      <c r="CH405">
        <v>0</v>
      </c>
      <c r="CI405" s="18">
        <v>0</v>
      </c>
      <c r="CJ405">
        <v>0</v>
      </c>
      <c r="CK405">
        <v>0</v>
      </c>
      <c r="CL405">
        <v>1</v>
      </c>
      <c r="CM405">
        <v>1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1</v>
      </c>
      <c r="CT405" s="18">
        <v>1</v>
      </c>
      <c r="CZ405" s="34" t="s">
        <v>87</v>
      </c>
    </row>
    <row r="406" spans="1:104" x14ac:dyDescent="0.25">
      <c r="A406">
        <v>405</v>
      </c>
      <c r="B406">
        <v>25</v>
      </c>
      <c r="C406" s="25" t="s">
        <v>260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76"/>
        <v>0.1149747094897305</v>
      </c>
      <c r="H406" s="16">
        <f t="shared" si="277"/>
        <v>0.25598142867524903</v>
      </c>
      <c r="I406" s="11">
        <f t="shared" si="271"/>
        <v>5.8724269196420077E-2</v>
      </c>
      <c r="J406" s="33">
        <f t="shared" si="272"/>
        <v>2.2322090630218158E-2</v>
      </c>
      <c r="K406" s="33">
        <f t="shared" si="278"/>
        <v>44.79867126093766</v>
      </c>
      <c r="L406" s="33">
        <f t="shared" si="279"/>
        <v>3.6402178566201919E-2</v>
      </c>
      <c r="M406" s="33">
        <f t="shared" si="280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83"/>
        <v>2000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9">
        <v>0</v>
      </c>
      <c r="AL406" s="30">
        <v>0</v>
      </c>
      <c r="AM406" s="21">
        <v>2002</v>
      </c>
      <c r="AN406" s="23"/>
      <c r="AO406" s="33">
        <v>0.58099999999999996</v>
      </c>
      <c r="AP406" s="33">
        <v>9.0999999999999998E-2</v>
      </c>
      <c r="AQ406" s="33">
        <v>0.20100000000000001</v>
      </c>
      <c r="AR406" s="43">
        <f t="shared" ref="AR406:AR410" si="285">1-(SUM(AO406:AQ406))</f>
        <v>0.127</v>
      </c>
      <c r="AS406" s="33">
        <v>0.33</v>
      </c>
      <c r="AT406" s="43">
        <v>0.64</v>
      </c>
      <c r="AU406" s="42">
        <v>0.16</v>
      </c>
      <c r="AV406" s="18">
        <v>0.84</v>
      </c>
      <c r="AW406">
        <v>0</v>
      </c>
      <c r="AX406" s="40">
        <v>1</v>
      </c>
      <c r="AY406" t="s">
        <v>107</v>
      </c>
      <c r="AZ406" s="40" t="s">
        <v>107</v>
      </c>
      <c r="BB406" s="18"/>
      <c r="BC406">
        <f t="shared" si="282"/>
        <v>0.499</v>
      </c>
      <c r="BD406" s="18">
        <v>0.501</v>
      </c>
      <c r="BE406" s="18" t="s">
        <v>20</v>
      </c>
      <c r="BL406" s="18"/>
      <c r="BO406" s="18"/>
      <c r="BR406" s="25">
        <v>32.451999999999998</v>
      </c>
      <c r="BS406">
        <v>1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 s="18">
        <v>0</v>
      </c>
      <c r="CA406">
        <v>0</v>
      </c>
      <c r="CB406">
        <v>0</v>
      </c>
      <c r="CC406">
        <v>1</v>
      </c>
      <c r="CD406" s="18">
        <v>0</v>
      </c>
      <c r="CE406">
        <v>0</v>
      </c>
      <c r="CF406">
        <v>0</v>
      </c>
      <c r="CG406">
        <v>0</v>
      </c>
      <c r="CH406">
        <v>0</v>
      </c>
      <c r="CI406" s="18">
        <v>0</v>
      </c>
      <c r="CJ406">
        <v>0</v>
      </c>
      <c r="CK406">
        <v>0</v>
      </c>
      <c r="CL406">
        <v>1</v>
      </c>
      <c r="CM406">
        <v>1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1</v>
      </c>
      <c r="CT406" s="18">
        <v>1</v>
      </c>
      <c r="CZ406" s="34" t="s">
        <v>87</v>
      </c>
    </row>
    <row r="407" spans="1:104" x14ac:dyDescent="0.25">
      <c r="A407">
        <v>406</v>
      </c>
      <c r="B407">
        <v>25</v>
      </c>
      <c r="C407" s="25" t="s">
        <v>260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76"/>
        <v>15.36820266922426</v>
      </c>
      <c r="H407" s="16">
        <f t="shared" si="277"/>
        <v>20.62871214035237</v>
      </c>
      <c r="I407" s="11">
        <f t="shared" si="271"/>
        <v>0.15125061508817442</v>
      </c>
      <c r="J407" s="33">
        <f t="shared" si="272"/>
        <v>2.2103430179900234E-2</v>
      </c>
      <c r="K407" s="33">
        <f t="shared" si="278"/>
        <v>45.241846711618116</v>
      </c>
      <c r="L407" s="33">
        <f t="shared" si="279"/>
        <v>0.12914718490827418</v>
      </c>
      <c r="M407" s="33">
        <f t="shared" si="280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83"/>
        <v>2000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9">
        <v>0</v>
      </c>
      <c r="AL407" s="30">
        <v>0</v>
      </c>
      <c r="AM407" s="21">
        <v>2002</v>
      </c>
      <c r="AN407" s="23"/>
      <c r="AO407" s="33">
        <v>0.58099999999999996</v>
      </c>
      <c r="AP407" s="33">
        <v>9.0999999999999998E-2</v>
      </c>
      <c r="AQ407" s="33">
        <v>0.20100000000000001</v>
      </c>
      <c r="AR407" s="43">
        <f t="shared" si="285"/>
        <v>0.127</v>
      </c>
      <c r="AS407" s="33">
        <v>0.33</v>
      </c>
      <c r="AT407" s="43">
        <v>0.64</v>
      </c>
      <c r="AU407" s="42">
        <v>0.16</v>
      </c>
      <c r="AV407" s="18">
        <v>0.84</v>
      </c>
      <c r="AW407">
        <v>0</v>
      </c>
      <c r="AX407" s="40">
        <v>1</v>
      </c>
      <c r="AY407" t="s">
        <v>107</v>
      </c>
      <c r="AZ407" s="40" t="s">
        <v>107</v>
      </c>
      <c r="BB407" s="18"/>
      <c r="BC407">
        <f t="shared" si="282"/>
        <v>0.499</v>
      </c>
      <c r="BD407" s="18">
        <v>0.501</v>
      </c>
      <c r="BE407" s="18" t="s">
        <v>20</v>
      </c>
      <c r="BL407" s="18"/>
      <c r="BO407" s="18"/>
      <c r="BR407" s="25">
        <v>32.451999999999998</v>
      </c>
      <c r="BS407">
        <v>1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 s="18">
        <v>0</v>
      </c>
      <c r="CA407">
        <v>0</v>
      </c>
      <c r="CB407">
        <v>0</v>
      </c>
      <c r="CC407">
        <v>1</v>
      </c>
      <c r="CD407" s="18">
        <v>0</v>
      </c>
      <c r="CE407">
        <v>0</v>
      </c>
      <c r="CF407">
        <v>0</v>
      </c>
      <c r="CG407">
        <v>0</v>
      </c>
      <c r="CH407">
        <v>0</v>
      </c>
      <c r="CI407" s="18">
        <v>0</v>
      </c>
      <c r="CJ407">
        <v>0</v>
      </c>
      <c r="CK407">
        <v>0</v>
      </c>
      <c r="CL407">
        <v>1</v>
      </c>
      <c r="CM407">
        <v>1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1</v>
      </c>
      <c r="CT407" s="18">
        <v>1</v>
      </c>
      <c r="CZ407" s="34" t="s">
        <v>87</v>
      </c>
    </row>
    <row r="408" spans="1:104" x14ac:dyDescent="0.25">
      <c r="A408">
        <v>407</v>
      </c>
      <c r="B408">
        <v>25</v>
      </c>
      <c r="C408" s="25" t="s">
        <v>260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76"/>
        <v>23.756480403544693</v>
      </c>
      <c r="H408" s="16">
        <f t="shared" si="277"/>
        <v>27.873126827263626</v>
      </c>
      <c r="I408" s="11">
        <f t="shared" si="271"/>
        <v>0.27002293046576498</v>
      </c>
      <c r="J408" s="33">
        <f t="shared" si="272"/>
        <v>2.1530067545443055E-2</v>
      </c>
      <c r="K408" s="33">
        <f t="shared" si="278"/>
        <v>46.446672677144242</v>
      </c>
      <c r="L408" s="33">
        <f t="shared" si="279"/>
        <v>0.24849286292032191</v>
      </c>
      <c r="M408" s="33">
        <f t="shared" si="280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83"/>
        <v>2000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9">
        <v>0</v>
      </c>
      <c r="AL408" s="30">
        <v>0</v>
      </c>
      <c r="AM408" s="21">
        <v>2002</v>
      </c>
      <c r="AN408" s="23"/>
      <c r="AO408" s="33">
        <v>0.58099999999999996</v>
      </c>
      <c r="AP408" s="33">
        <v>9.0999999999999998E-2</v>
      </c>
      <c r="AQ408" s="33">
        <v>0.20100000000000001</v>
      </c>
      <c r="AR408" s="43">
        <f t="shared" si="285"/>
        <v>0.127</v>
      </c>
      <c r="AS408" s="33">
        <v>0.33</v>
      </c>
      <c r="AT408" s="43">
        <v>0.64</v>
      </c>
      <c r="AU408" s="42">
        <v>0.16</v>
      </c>
      <c r="AV408" s="18">
        <v>0.84</v>
      </c>
      <c r="AW408">
        <v>0</v>
      </c>
      <c r="AX408" s="40">
        <v>1</v>
      </c>
      <c r="AY408" t="s">
        <v>107</v>
      </c>
      <c r="AZ408" s="40" t="s">
        <v>107</v>
      </c>
      <c r="BB408" s="18"/>
      <c r="BC408">
        <f t="shared" si="282"/>
        <v>0.499</v>
      </c>
      <c r="BD408" s="18">
        <v>0.501</v>
      </c>
      <c r="BE408" s="18" t="s">
        <v>20</v>
      </c>
      <c r="BL408" s="18"/>
      <c r="BO408" s="18"/>
      <c r="BR408" s="25">
        <v>32.451999999999998</v>
      </c>
      <c r="BS408">
        <v>1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 s="18">
        <v>0</v>
      </c>
      <c r="CA408">
        <v>0</v>
      </c>
      <c r="CB408">
        <v>0</v>
      </c>
      <c r="CC408">
        <v>1</v>
      </c>
      <c r="CD408" s="18">
        <v>0</v>
      </c>
      <c r="CE408">
        <v>0</v>
      </c>
      <c r="CF408">
        <v>0</v>
      </c>
      <c r="CG408">
        <v>0</v>
      </c>
      <c r="CH408">
        <v>0</v>
      </c>
      <c r="CI408" s="18">
        <v>0</v>
      </c>
      <c r="CJ408">
        <v>0</v>
      </c>
      <c r="CK408">
        <v>0</v>
      </c>
      <c r="CL408">
        <v>1</v>
      </c>
      <c r="CM408">
        <v>1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1</v>
      </c>
      <c r="CT408" s="18">
        <v>1</v>
      </c>
      <c r="CZ408" s="34" t="s">
        <v>87</v>
      </c>
    </row>
    <row r="409" spans="1:104" x14ac:dyDescent="0.25">
      <c r="A409">
        <v>408</v>
      </c>
      <c r="B409">
        <v>25</v>
      </c>
      <c r="C409" s="25" t="s">
        <v>260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76"/>
        <v>15.483341386656807</v>
      </c>
      <c r="H409" s="16">
        <f t="shared" si="277"/>
        <v>17.640045932679808</v>
      </c>
      <c r="I409" s="11">
        <f t="shared" si="271"/>
        <v>0.32480297517394524</v>
      </c>
      <c r="J409" s="33">
        <f t="shared" si="272"/>
        <v>2.1148321769329046E-2</v>
      </c>
      <c r="K409" s="33">
        <f t="shared" si="278"/>
        <v>47.285075899037928</v>
      </c>
      <c r="L409" s="33">
        <f t="shared" si="279"/>
        <v>0.30365465340461617</v>
      </c>
      <c r="M409" s="33">
        <f t="shared" si="280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83"/>
        <v>2000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9">
        <v>0</v>
      </c>
      <c r="AL409" s="30">
        <v>0</v>
      </c>
      <c r="AM409" s="21">
        <v>2002</v>
      </c>
      <c r="AN409" s="23"/>
      <c r="AO409" s="33">
        <v>0.58099999999999996</v>
      </c>
      <c r="AP409" s="33">
        <v>9.0999999999999998E-2</v>
      </c>
      <c r="AQ409" s="33">
        <v>0.20100000000000001</v>
      </c>
      <c r="AR409" s="43">
        <f t="shared" si="285"/>
        <v>0.127</v>
      </c>
      <c r="AS409" s="33">
        <v>0.33</v>
      </c>
      <c r="AT409" s="43">
        <v>0.64</v>
      </c>
      <c r="AU409" s="42">
        <v>0.16</v>
      </c>
      <c r="AV409" s="18">
        <v>0.84</v>
      </c>
      <c r="AW409">
        <v>0</v>
      </c>
      <c r="AX409" s="40">
        <v>1</v>
      </c>
      <c r="AY409" t="s">
        <v>107</v>
      </c>
      <c r="AZ409" s="40" t="s">
        <v>107</v>
      </c>
      <c r="BB409" s="18"/>
      <c r="BC409">
        <f t="shared" si="282"/>
        <v>0.499</v>
      </c>
      <c r="BD409" s="18">
        <v>0.501</v>
      </c>
      <c r="BE409" s="18" t="s">
        <v>20</v>
      </c>
      <c r="BL409" s="18"/>
      <c r="BO409" s="18"/>
      <c r="BR409" s="25">
        <v>32.451999999999998</v>
      </c>
      <c r="BS409">
        <v>1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 s="18">
        <v>0</v>
      </c>
      <c r="CA409">
        <v>0</v>
      </c>
      <c r="CB409">
        <v>0</v>
      </c>
      <c r="CC409">
        <v>1</v>
      </c>
      <c r="CD409" s="18">
        <v>0</v>
      </c>
      <c r="CE409">
        <v>0</v>
      </c>
      <c r="CF409">
        <v>0</v>
      </c>
      <c r="CG409">
        <v>0</v>
      </c>
      <c r="CH409">
        <v>0</v>
      </c>
      <c r="CI409" s="18">
        <v>0</v>
      </c>
      <c r="CJ409">
        <v>0</v>
      </c>
      <c r="CK409">
        <v>0</v>
      </c>
      <c r="CL409">
        <v>1</v>
      </c>
      <c r="CM409">
        <v>1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1</v>
      </c>
      <c r="CT409" s="18">
        <v>1</v>
      </c>
      <c r="CZ409" s="34" t="s">
        <v>87</v>
      </c>
    </row>
    <row r="410" spans="1:104" x14ac:dyDescent="0.25">
      <c r="A410">
        <v>409</v>
      </c>
      <c r="B410">
        <v>25</v>
      </c>
      <c r="C410" s="25" t="s">
        <v>260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76"/>
        <v>21.220322609547189</v>
      </c>
      <c r="H410" s="16">
        <f t="shared" si="277"/>
        <v>23.357900894391683</v>
      </c>
      <c r="I410" s="11">
        <f t="shared" si="271"/>
        <v>0.42262879884855603</v>
      </c>
      <c r="J410" s="33">
        <f t="shared" si="272"/>
        <v>2.0265548331883678E-2</v>
      </c>
      <c r="K410" s="33">
        <f t="shared" si="278"/>
        <v>49.34482815975452</v>
      </c>
      <c r="L410" s="33">
        <f t="shared" si="279"/>
        <v>0.40236325051667238</v>
      </c>
      <c r="M410" s="33">
        <f t="shared" si="280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83"/>
        <v>2000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9">
        <v>0</v>
      </c>
      <c r="AL410" s="30">
        <v>0</v>
      </c>
      <c r="AM410" s="21">
        <v>2002</v>
      </c>
      <c r="AN410" s="23"/>
      <c r="AO410" s="33">
        <v>0.58099999999999996</v>
      </c>
      <c r="AP410" s="33">
        <v>9.0999999999999998E-2</v>
      </c>
      <c r="AQ410" s="33">
        <v>0.20100000000000001</v>
      </c>
      <c r="AR410" s="43">
        <f t="shared" si="285"/>
        <v>0.127</v>
      </c>
      <c r="AS410" s="33">
        <v>0.33</v>
      </c>
      <c r="AT410" s="43">
        <v>0.64</v>
      </c>
      <c r="AU410" s="42">
        <v>0.16</v>
      </c>
      <c r="AV410" s="18">
        <v>0.84</v>
      </c>
      <c r="AW410">
        <v>0</v>
      </c>
      <c r="AX410" s="40">
        <v>1</v>
      </c>
      <c r="AY410" t="s">
        <v>107</v>
      </c>
      <c r="AZ410" s="40" t="s">
        <v>107</v>
      </c>
      <c r="BB410" s="18"/>
      <c r="BC410">
        <f t="shared" si="282"/>
        <v>0.499</v>
      </c>
      <c r="BD410" s="18">
        <v>0.501</v>
      </c>
      <c r="BE410" s="18" t="s">
        <v>20</v>
      </c>
      <c r="BL410" s="18"/>
      <c r="BO410" s="18"/>
      <c r="BR410" s="25">
        <v>32.451999999999998</v>
      </c>
      <c r="BS410">
        <v>1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 s="18">
        <v>0</v>
      </c>
      <c r="CA410">
        <v>0</v>
      </c>
      <c r="CB410">
        <v>0</v>
      </c>
      <c r="CC410">
        <v>1</v>
      </c>
      <c r="CD410" s="18">
        <v>0</v>
      </c>
      <c r="CE410">
        <v>0</v>
      </c>
      <c r="CF410">
        <v>0</v>
      </c>
      <c r="CG410">
        <v>0</v>
      </c>
      <c r="CH410">
        <v>0</v>
      </c>
      <c r="CI410" s="18">
        <v>0</v>
      </c>
      <c r="CJ410">
        <v>0</v>
      </c>
      <c r="CK410">
        <v>0</v>
      </c>
      <c r="CL410">
        <v>1</v>
      </c>
      <c r="CM410">
        <v>1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1</v>
      </c>
      <c r="CT410" s="18">
        <v>1</v>
      </c>
      <c r="CZ410" s="34" t="s">
        <v>87</v>
      </c>
    </row>
    <row r="411" spans="1:104" x14ac:dyDescent="0.25">
      <c r="A411">
        <v>410</v>
      </c>
      <c r="B411">
        <v>25</v>
      </c>
      <c r="C411" s="25" t="s">
        <v>260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76"/>
        <v>28.112928504150549</v>
      </c>
      <c r="H411" s="16">
        <f t="shared" si="277"/>
        <v>30.322590623090573</v>
      </c>
      <c r="I411" s="11">
        <f t="shared" si="271"/>
        <v>0.50900314512121547</v>
      </c>
      <c r="J411" s="33">
        <f t="shared" si="272"/>
        <v>1.9247282902486663E-2</v>
      </c>
      <c r="K411" s="33">
        <f t="shared" si="278"/>
        <v>51.955385342769837</v>
      </c>
      <c r="L411" s="33">
        <f t="shared" si="279"/>
        <v>0.4897558622187288</v>
      </c>
      <c r="M411" s="33">
        <f t="shared" si="280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83"/>
        <v>2000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9">
        <v>0</v>
      </c>
      <c r="AL411" s="30">
        <v>0</v>
      </c>
      <c r="AM411" s="21">
        <v>2002</v>
      </c>
      <c r="AN411" s="23"/>
      <c r="AO411" s="33">
        <v>0.58099999999999996</v>
      </c>
      <c r="AP411" s="33">
        <v>9.0999999999999998E-2</v>
      </c>
      <c r="AQ411" s="33">
        <v>0.20100000000000001</v>
      </c>
      <c r="AR411" s="43">
        <f t="shared" ref="AR411" si="286">1-(SUM(AO411:AQ411))</f>
        <v>0.127</v>
      </c>
      <c r="AS411" s="33">
        <v>0.33</v>
      </c>
      <c r="AT411" s="43">
        <v>0.64</v>
      </c>
      <c r="AU411" s="42">
        <v>0.16</v>
      </c>
      <c r="AV411" s="18">
        <v>0.84</v>
      </c>
      <c r="AW411">
        <v>0</v>
      </c>
      <c r="AX411" s="40">
        <v>1</v>
      </c>
      <c r="AY411" t="s">
        <v>107</v>
      </c>
      <c r="AZ411" s="40" t="s">
        <v>107</v>
      </c>
      <c r="BB411" s="18"/>
      <c r="BC411">
        <f t="shared" si="282"/>
        <v>0.499</v>
      </c>
      <c r="BD411" s="18">
        <v>0.501</v>
      </c>
      <c r="BE411" s="18" t="s">
        <v>20</v>
      </c>
      <c r="BL411" s="18"/>
      <c r="BO411" s="18"/>
      <c r="BR411" s="25">
        <v>32.451999999999998</v>
      </c>
      <c r="BS411">
        <v>1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 s="18">
        <v>0</v>
      </c>
      <c r="CA411">
        <v>0</v>
      </c>
      <c r="CB411">
        <v>0</v>
      </c>
      <c r="CC411">
        <v>1</v>
      </c>
      <c r="CD411" s="18">
        <v>0</v>
      </c>
      <c r="CE411">
        <v>0</v>
      </c>
      <c r="CF411">
        <v>0</v>
      </c>
      <c r="CG411">
        <v>0</v>
      </c>
      <c r="CH411">
        <v>0</v>
      </c>
      <c r="CI411" s="18">
        <v>0</v>
      </c>
      <c r="CJ411">
        <v>0</v>
      </c>
      <c r="CK411">
        <v>0</v>
      </c>
      <c r="CL411">
        <v>1</v>
      </c>
      <c r="CM411">
        <v>1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1</v>
      </c>
      <c r="CT411" s="18">
        <v>1</v>
      </c>
      <c r="CZ411" s="34" t="s">
        <v>87</v>
      </c>
    </row>
    <row r="412" spans="1:104" x14ac:dyDescent="0.25">
      <c r="A412">
        <v>411</v>
      </c>
      <c r="B412">
        <v>25</v>
      </c>
      <c r="C412" s="25" t="s">
        <v>260</v>
      </c>
      <c r="D412" s="12">
        <v>6.4</v>
      </c>
      <c r="E412" s="14">
        <v>0.5</v>
      </c>
      <c r="F412" s="7">
        <f>D412/E412</f>
        <v>12.8</v>
      </c>
      <c r="G412" s="7">
        <f t="shared" si="276"/>
        <v>5.9</v>
      </c>
      <c r="H412" s="16">
        <f t="shared" si="277"/>
        <v>6.9</v>
      </c>
      <c r="I412" s="11">
        <f t="shared" si="271"/>
        <v>0.1185752579115172</v>
      </c>
      <c r="J412" s="33">
        <f t="shared" si="272"/>
        <v>9.2636920243372809E-3</v>
      </c>
      <c r="K412" s="33">
        <f t="shared" ref="K412" si="287">IFERROR(1/J412, "X")</f>
        <v>107.94832096887843</v>
      </c>
      <c r="L412" s="33">
        <f t="shared" ref="L412" si="288">IFERROR(I412-J412, "X")</f>
        <v>0.10931156588717991</v>
      </c>
      <c r="M412" s="33">
        <f t="shared" ref="M412" si="289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83"/>
        <v>11489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9">
        <v>0</v>
      </c>
      <c r="AL412" s="30">
        <v>0</v>
      </c>
      <c r="AM412" s="21">
        <v>2002</v>
      </c>
      <c r="AN412" s="23"/>
      <c r="AO412" s="33">
        <v>0.44</v>
      </c>
      <c r="AP412" s="33">
        <v>9.7000000000000003E-2</v>
      </c>
      <c r="AQ412" s="33">
        <v>0.35499999999999998</v>
      </c>
      <c r="AR412" s="43">
        <f>1-(SUM(AO412:AQ412))</f>
        <v>0.10799999999999998</v>
      </c>
      <c r="AS412" s="33">
        <v>0.64</v>
      </c>
      <c r="AT412" s="43">
        <v>0.33</v>
      </c>
      <c r="AU412" s="42">
        <v>0.57999999999999996</v>
      </c>
      <c r="AV412" s="18">
        <v>0.42</v>
      </c>
      <c r="AW412">
        <v>1</v>
      </c>
      <c r="AX412" s="40">
        <v>0</v>
      </c>
      <c r="AY412" t="s">
        <v>107</v>
      </c>
      <c r="AZ412" s="40" t="s">
        <v>107</v>
      </c>
      <c r="BB412" s="18"/>
      <c r="BC412">
        <f t="shared" si="282"/>
        <v>0.52700000000000002</v>
      </c>
      <c r="BD412" s="18">
        <v>0.47299999999999998</v>
      </c>
      <c r="BE412" s="18" t="s">
        <v>20</v>
      </c>
      <c r="BL412" s="18"/>
      <c r="BO412" s="18"/>
      <c r="BR412" s="25">
        <v>33.378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1</v>
      </c>
      <c r="BY412">
        <v>0</v>
      </c>
      <c r="BZ412" s="18">
        <v>0</v>
      </c>
      <c r="CA412">
        <v>0</v>
      </c>
      <c r="CB412">
        <v>0</v>
      </c>
      <c r="CC412">
        <v>1</v>
      </c>
      <c r="CD412" s="18">
        <v>0</v>
      </c>
      <c r="CE412">
        <v>0</v>
      </c>
      <c r="CF412">
        <v>0</v>
      </c>
      <c r="CG412">
        <v>0</v>
      </c>
      <c r="CH412">
        <v>0</v>
      </c>
      <c r="CI412" s="18">
        <v>0</v>
      </c>
      <c r="CJ412">
        <v>0</v>
      </c>
      <c r="CK412">
        <v>0</v>
      </c>
      <c r="CL412">
        <v>1</v>
      </c>
      <c r="CM412">
        <v>1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1</v>
      </c>
      <c r="CT412" s="18">
        <v>1</v>
      </c>
      <c r="CZ412" s="34" t="s">
        <v>87</v>
      </c>
    </row>
    <row r="413" spans="1:104" x14ac:dyDescent="0.25">
      <c r="A413">
        <v>412</v>
      </c>
      <c r="B413">
        <v>25</v>
      </c>
      <c r="C413" s="25" t="s">
        <v>260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290">D413-E413</f>
        <v>2.4777242616841568</v>
      </c>
      <c r="H413" s="16">
        <f t="shared" ref="H413:H444" si="291">D413+E413</f>
        <v>3.2460108544544384</v>
      </c>
      <c r="I413" s="11">
        <f t="shared" si="271"/>
        <v>6.9358608038768421E-2</v>
      </c>
      <c r="J413" s="33">
        <f t="shared" si="272"/>
        <v>9.3098802736601913E-3</v>
      </c>
      <c r="K413" s="33">
        <f t="shared" ref="K413:K425" si="292">IFERROR(1/J413, "X")</f>
        <v>107.41276693205515</v>
      </c>
      <c r="L413" s="33">
        <f t="shared" ref="L413:L425" si="293">IFERROR(I413-J413, "X")</f>
        <v>6.004872776510823E-2</v>
      </c>
      <c r="M413" s="33">
        <f t="shared" ref="M413:M425" si="294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83"/>
        <v>11482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9">
        <v>0</v>
      </c>
      <c r="AL413" s="30">
        <v>0</v>
      </c>
      <c r="AM413" s="21">
        <v>2002</v>
      </c>
      <c r="AN413" s="23"/>
      <c r="AO413" s="33">
        <v>0.44</v>
      </c>
      <c r="AP413" s="33">
        <v>9.7000000000000003E-2</v>
      </c>
      <c r="AQ413" s="33">
        <v>0.35499999999999998</v>
      </c>
      <c r="AR413" s="43">
        <f t="shared" ref="AR413:AR419" si="295">1-(SUM(AO413:AQ413))</f>
        <v>0.10799999999999998</v>
      </c>
      <c r="AS413" s="33">
        <v>0.64</v>
      </c>
      <c r="AT413" s="43">
        <v>0.33</v>
      </c>
      <c r="AU413" s="42">
        <v>0.57999999999999996</v>
      </c>
      <c r="AV413" s="18">
        <v>0.42</v>
      </c>
      <c r="AW413">
        <v>1</v>
      </c>
      <c r="AX413" s="40">
        <v>0</v>
      </c>
      <c r="AY413" t="s">
        <v>107</v>
      </c>
      <c r="AZ413" s="40" t="s">
        <v>107</v>
      </c>
      <c r="BB413" s="18"/>
      <c r="BC413">
        <f t="shared" si="282"/>
        <v>0.52700000000000002</v>
      </c>
      <c r="BD413" s="18">
        <v>0.47299999999999998</v>
      </c>
      <c r="BE413" s="18" t="s">
        <v>20</v>
      </c>
      <c r="BL413" s="18"/>
      <c r="BO413" s="18"/>
      <c r="BR413" s="25">
        <v>33.378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1</v>
      </c>
      <c r="BY413">
        <v>0</v>
      </c>
      <c r="BZ413" s="18">
        <v>0</v>
      </c>
      <c r="CA413">
        <v>0</v>
      </c>
      <c r="CB413">
        <v>0</v>
      </c>
      <c r="CC413">
        <v>1</v>
      </c>
      <c r="CD413" s="18">
        <v>0</v>
      </c>
      <c r="CE413">
        <v>0</v>
      </c>
      <c r="CF413">
        <v>0</v>
      </c>
      <c r="CG413">
        <v>0</v>
      </c>
      <c r="CH413">
        <v>0</v>
      </c>
      <c r="CI413" s="18">
        <v>0</v>
      </c>
      <c r="CJ413">
        <v>0</v>
      </c>
      <c r="CK413">
        <v>0</v>
      </c>
      <c r="CL413">
        <v>1</v>
      </c>
      <c r="CM413">
        <v>1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1</v>
      </c>
      <c r="CT413" s="18">
        <v>1</v>
      </c>
      <c r="CZ413" s="34" t="s">
        <v>87</v>
      </c>
    </row>
    <row r="414" spans="1:104" x14ac:dyDescent="0.25">
      <c r="A414">
        <v>413</v>
      </c>
      <c r="B414">
        <v>25</v>
      </c>
      <c r="C414" s="25" t="s">
        <v>260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290"/>
        <v>4.1184475558850488</v>
      </c>
      <c r="H414" s="16">
        <f t="shared" si="291"/>
        <v>4.7448274122934206</v>
      </c>
      <c r="I414" s="11">
        <f t="shared" si="271"/>
        <v>0.13091629410405495</v>
      </c>
      <c r="J414" s="33">
        <f t="shared" si="272"/>
        <v>9.2520349190144836E-3</v>
      </c>
      <c r="K414" s="33">
        <f t="shared" si="292"/>
        <v>108.08433050169668</v>
      </c>
      <c r="L414" s="33">
        <f t="shared" si="293"/>
        <v>0.12166425918504047</v>
      </c>
      <c r="M414" s="33">
        <f t="shared" si="294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83"/>
        <v>11482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9">
        <v>0</v>
      </c>
      <c r="AL414" s="30">
        <v>0</v>
      </c>
      <c r="AM414" s="21">
        <v>2002</v>
      </c>
      <c r="AN414" s="23"/>
      <c r="AO414" s="33">
        <v>0.44</v>
      </c>
      <c r="AP414" s="33">
        <v>9.7000000000000003E-2</v>
      </c>
      <c r="AQ414" s="33">
        <v>0.35499999999999998</v>
      </c>
      <c r="AR414" s="43">
        <f t="shared" si="295"/>
        <v>0.10799999999999998</v>
      </c>
      <c r="AS414" s="33">
        <v>0.64</v>
      </c>
      <c r="AT414" s="43">
        <v>0.33</v>
      </c>
      <c r="AU414" s="42">
        <v>0.57999999999999996</v>
      </c>
      <c r="AV414" s="18">
        <v>0.42</v>
      </c>
      <c r="AW414">
        <v>1</v>
      </c>
      <c r="AX414" s="40">
        <v>0</v>
      </c>
      <c r="AY414" t="s">
        <v>107</v>
      </c>
      <c r="AZ414" s="40" t="s">
        <v>107</v>
      </c>
      <c r="BB414" s="18"/>
      <c r="BC414">
        <f t="shared" si="282"/>
        <v>0.52700000000000002</v>
      </c>
      <c r="BD414" s="18">
        <v>0.47299999999999998</v>
      </c>
      <c r="BE414" s="18" t="s">
        <v>20</v>
      </c>
      <c r="BL414" s="18"/>
      <c r="BO414" s="18"/>
      <c r="BR414" s="25">
        <v>33.378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1</v>
      </c>
      <c r="BY414">
        <v>0</v>
      </c>
      <c r="BZ414" s="18">
        <v>0</v>
      </c>
      <c r="CA414">
        <v>0</v>
      </c>
      <c r="CB414">
        <v>0</v>
      </c>
      <c r="CC414">
        <v>1</v>
      </c>
      <c r="CD414" s="18">
        <v>0</v>
      </c>
      <c r="CE414">
        <v>0</v>
      </c>
      <c r="CF414">
        <v>0</v>
      </c>
      <c r="CG414">
        <v>0</v>
      </c>
      <c r="CH414">
        <v>0</v>
      </c>
      <c r="CI414" s="18">
        <v>0</v>
      </c>
      <c r="CJ414">
        <v>0</v>
      </c>
      <c r="CK414">
        <v>0</v>
      </c>
      <c r="CL414">
        <v>1</v>
      </c>
      <c r="CM414">
        <v>1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1</v>
      </c>
      <c r="CT414" s="18">
        <v>1</v>
      </c>
      <c r="CZ414" s="34" t="s">
        <v>87</v>
      </c>
    </row>
    <row r="415" spans="1:104" x14ac:dyDescent="0.25">
      <c r="A415">
        <v>414</v>
      </c>
      <c r="B415">
        <v>25</v>
      </c>
      <c r="C415" s="25" t="s">
        <v>260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290"/>
        <v>11.994249986610363</v>
      </c>
      <c r="H415" s="16">
        <f t="shared" si="291"/>
        <v>12.929474157106299</v>
      </c>
      <c r="I415" s="11">
        <f t="shared" si="271"/>
        <v>0.24135470728117522</v>
      </c>
      <c r="J415" s="33">
        <f t="shared" si="272"/>
        <v>9.0564618116763685E-3</v>
      </c>
      <c r="K415" s="33">
        <f t="shared" si="292"/>
        <v>110.41839747071137</v>
      </c>
      <c r="L415" s="33">
        <f t="shared" si="293"/>
        <v>0.23229824546949884</v>
      </c>
      <c r="M415" s="33">
        <f t="shared" si="294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83"/>
        <v>11482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9">
        <v>0</v>
      </c>
      <c r="AL415" s="30">
        <v>0</v>
      </c>
      <c r="AM415" s="21">
        <v>2002</v>
      </c>
      <c r="AN415" s="23"/>
      <c r="AO415" s="33">
        <v>0.44</v>
      </c>
      <c r="AP415" s="33">
        <v>9.7000000000000003E-2</v>
      </c>
      <c r="AQ415" s="33">
        <v>0.35499999999999998</v>
      </c>
      <c r="AR415" s="43">
        <f t="shared" si="295"/>
        <v>0.10799999999999998</v>
      </c>
      <c r="AS415" s="33">
        <v>0.64</v>
      </c>
      <c r="AT415" s="43">
        <v>0.33</v>
      </c>
      <c r="AU415" s="42">
        <v>0.57999999999999996</v>
      </c>
      <c r="AV415" s="18">
        <v>0.42</v>
      </c>
      <c r="AW415">
        <v>1</v>
      </c>
      <c r="AX415" s="40">
        <v>0</v>
      </c>
      <c r="AY415" t="s">
        <v>107</v>
      </c>
      <c r="AZ415" s="40" t="s">
        <v>107</v>
      </c>
      <c r="BB415" s="18"/>
      <c r="BC415">
        <f t="shared" si="282"/>
        <v>0.52700000000000002</v>
      </c>
      <c r="BD415" s="18">
        <v>0.47299999999999998</v>
      </c>
      <c r="BE415" s="18" t="s">
        <v>20</v>
      </c>
      <c r="BL415" s="18"/>
      <c r="BO415" s="18"/>
      <c r="BR415" s="25">
        <v>33.378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1</v>
      </c>
      <c r="BY415">
        <v>0</v>
      </c>
      <c r="BZ415" s="18">
        <v>0</v>
      </c>
      <c r="CA415">
        <v>0</v>
      </c>
      <c r="CB415">
        <v>0</v>
      </c>
      <c r="CC415">
        <v>1</v>
      </c>
      <c r="CD415" s="18">
        <v>0</v>
      </c>
      <c r="CE415">
        <v>0</v>
      </c>
      <c r="CF415">
        <v>0</v>
      </c>
      <c r="CG415">
        <v>0</v>
      </c>
      <c r="CH415">
        <v>0</v>
      </c>
      <c r="CI415" s="18">
        <v>0</v>
      </c>
      <c r="CJ415">
        <v>0</v>
      </c>
      <c r="CK415">
        <v>0</v>
      </c>
      <c r="CL415">
        <v>1</v>
      </c>
      <c r="CM415">
        <v>1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1</v>
      </c>
      <c r="CT415" s="18">
        <v>1</v>
      </c>
      <c r="CZ415" s="34" t="s">
        <v>87</v>
      </c>
    </row>
    <row r="416" spans="1:104" x14ac:dyDescent="0.25">
      <c r="A416">
        <v>415</v>
      </c>
      <c r="B416">
        <v>25</v>
      </c>
      <c r="C416" s="25" t="s">
        <v>260</v>
      </c>
      <c r="D416" s="12">
        <v>10.023075465215992</v>
      </c>
      <c r="E416" s="14">
        <v>0.4107817813613111</v>
      </c>
      <c r="F416" s="7">
        <v>24.400000000000002</v>
      </c>
      <c r="G416" s="7">
        <f t="shared" si="290"/>
        <v>9.6122936838546806</v>
      </c>
      <c r="H416" s="16">
        <f t="shared" si="291"/>
        <v>10.433857246577304</v>
      </c>
      <c r="I416" s="11">
        <f t="shared" si="271"/>
        <v>0.22202599264435699</v>
      </c>
      <c r="J416" s="33">
        <f t="shared" si="272"/>
        <v>9.099425928047418E-3</v>
      </c>
      <c r="K416" s="33">
        <f t="shared" si="292"/>
        <v>109.89704272636274</v>
      </c>
      <c r="L416" s="33">
        <f t="shared" si="293"/>
        <v>0.21292656671630958</v>
      </c>
      <c r="M416" s="33">
        <f t="shared" si="294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83"/>
        <v>11482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9">
        <v>0</v>
      </c>
      <c r="AL416" s="30">
        <v>0</v>
      </c>
      <c r="AM416" s="21">
        <v>2002</v>
      </c>
      <c r="AN416" s="23"/>
      <c r="AO416" s="33">
        <v>0.44</v>
      </c>
      <c r="AP416" s="33">
        <v>9.7000000000000003E-2</v>
      </c>
      <c r="AQ416" s="33">
        <v>0.35499999999999998</v>
      </c>
      <c r="AR416" s="43">
        <f t="shared" si="295"/>
        <v>0.10799999999999998</v>
      </c>
      <c r="AS416" s="33">
        <v>0.64</v>
      </c>
      <c r="AT416" s="43">
        <v>0.33</v>
      </c>
      <c r="AU416" s="42">
        <v>0.57999999999999996</v>
      </c>
      <c r="AV416" s="18">
        <v>0.42</v>
      </c>
      <c r="AW416">
        <v>1</v>
      </c>
      <c r="AX416" s="40">
        <v>0</v>
      </c>
      <c r="AY416" t="s">
        <v>107</v>
      </c>
      <c r="AZ416" s="40" t="s">
        <v>107</v>
      </c>
      <c r="BB416" s="18"/>
      <c r="BC416">
        <f t="shared" si="282"/>
        <v>0.52700000000000002</v>
      </c>
      <c r="BD416" s="18">
        <v>0.47299999999999998</v>
      </c>
      <c r="BE416" s="18" t="s">
        <v>20</v>
      </c>
      <c r="BL416" s="18"/>
      <c r="BO416" s="18"/>
      <c r="BR416" s="25">
        <v>33.378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1</v>
      </c>
      <c r="BY416">
        <v>0</v>
      </c>
      <c r="BZ416" s="18">
        <v>0</v>
      </c>
      <c r="CA416">
        <v>0</v>
      </c>
      <c r="CB416">
        <v>0</v>
      </c>
      <c r="CC416">
        <v>1</v>
      </c>
      <c r="CD416" s="18">
        <v>0</v>
      </c>
      <c r="CE416">
        <v>0</v>
      </c>
      <c r="CF416">
        <v>0</v>
      </c>
      <c r="CG416">
        <v>0</v>
      </c>
      <c r="CH416">
        <v>0</v>
      </c>
      <c r="CI416" s="18">
        <v>0</v>
      </c>
      <c r="CJ416">
        <v>0</v>
      </c>
      <c r="CK416">
        <v>0</v>
      </c>
      <c r="CL416">
        <v>1</v>
      </c>
      <c r="CM416">
        <v>1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1</v>
      </c>
      <c r="CT416" s="18">
        <v>1</v>
      </c>
      <c r="CZ416" s="34" t="s">
        <v>87</v>
      </c>
    </row>
    <row r="417" spans="1:104" x14ac:dyDescent="0.25">
      <c r="A417">
        <v>416</v>
      </c>
      <c r="B417">
        <v>25</v>
      </c>
      <c r="C417" s="25" t="s">
        <v>260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290"/>
        <v>12.856413648150761</v>
      </c>
      <c r="H417" s="16">
        <f t="shared" si="291"/>
        <v>13.659103366037387</v>
      </c>
      <c r="I417" s="11">
        <f t="shared" si="271"/>
        <v>0.29459777921080099</v>
      </c>
      <c r="J417" s="33">
        <f t="shared" si="272"/>
        <v>8.9181971506801534E-3</v>
      </c>
      <c r="K417" s="33">
        <f t="shared" si="292"/>
        <v>112.13028632403963</v>
      </c>
      <c r="L417" s="33">
        <f t="shared" si="293"/>
        <v>0.28567958206012084</v>
      </c>
      <c r="M417" s="33">
        <f t="shared" si="294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83"/>
        <v>11482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9">
        <v>0</v>
      </c>
      <c r="AL417" s="30">
        <v>0</v>
      </c>
      <c r="AM417" s="21">
        <v>2002</v>
      </c>
      <c r="AN417" s="23"/>
      <c r="AO417" s="33">
        <v>0.44</v>
      </c>
      <c r="AP417" s="33">
        <v>9.7000000000000003E-2</v>
      </c>
      <c r="AQ417" s="33">
        <v>0.35499999999999998</v>
      </c>
      <c r="AR417" s="43">
        <f t="shared" si="295"/>
        <v>0.10799999999999998</v>
      </c>
      <c r="AS417" s="33">
        <v>0.64</v>
      </c>
      <c r="AT417" s="43">
        <v>0.33</v>
      </c>
      <c r="AU417" s="42">
        <v>0.57999999999999996</v>
      </c>
      <c r="AV417" s="18">
        <v>0.42</v>
      </c>
      <c r="AW417">
        <v>1</v>
      </c>
      <c r="AX417" s="40">
        <v>0</v>
      </c>
      <c r="AY417" t="s">
        <v>107</v>
      </c>
      <c r="AZ417" s="40" t="s">
        <v>107</v>
      </c>
      <c r="BB417" s="18"/>
      <c r="BC417">
        <f t="shared" si="282"/>
        <v>0.52700000000000002</v>
      </c>
      <c r="BD417" s="18">
        <v>0.47299999999999998</v>
      </c>
      <c r="BE417" s="18" t="s">
        <v>20</v>
      </c>
      <c r="BL417" s="18"/>
      <c r="BO417" s="18"/>
      <c r="BR417" s="25">
        <v>33.378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1</v>
      </c>
      <c r="BY417">
        <v>0</v>
      </c>
      <c r="BZ417" s="18">
        <v>0</v>
      </c>
      <c r="CA417">
        <v>0</v>
      </c>
      <c r="CB417">
        <v>0</v>
      </c>
      <c r="CC417">
        <v>1</v>
      </c>
      <c r="CD417" s="18">
        <v>0</v>
      </c>
      <c r="CE417">
        <v>0</v>
      </c>
      <c r="CF417">
        <v>0</v>
      </c>
      <c r="CG417">
        <v>0</v>
      </c>
      <c r="CH417">
        <v>0</v>
      </c>
      <c r="CI417" s="18">
        <v>0</v>
      </c>
      <c r="CJ417">
        <v>0</v>
      </c>
      <c r="CK417">
        <v>0</v>
      </c>
      <c r="CL417">
        <v>1</v>
      </c>
      <c r="CM417">
        <v>1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1</v>
      </c>
      <c r="CT417" s="18">
        <v>1</v>
      </c>
      <c r="CZ417" s="34" t="s">
        <v>87</v>
      </c>
    </row>
    <row r="418" spans="1:104" x14ac:dyDescent="0.25">
      <c r="A418">
        <v>417</v>
      </c>
      <c r="B418">
        <v>25</v>
      </c>
      <c r="C418" s="25" t="s">
        <v>260</v>
      </c>
      <c r="D418" s="12">
        <v>12.91474433343347</v>
      </c>
      <c r="E418" s="14">
        <v>0.31094890048395196</v>
      </c>
      <c r="F418" s="7">
        <v>41.533333333333331</v>
      </c>
      <c r="G418" s="7">
        <f t="shared" si="290"/>
        <v>12.603795432949518</v>
      </c>
      <c r="H418" s="16">
        <f t="shared" si="291"/>
        <v>13.225693233917422</v>
      </c>
      <c r="I418" s="11">
        <f t="shared" si="271"/>
        <v>0.36140520779130031</v>
      </c>
      <c r="J418" s="33">
        <f t="shared" si="272"/>
        <v>8.7015700110264927E-3</v>
      </c>
      <c r="K418" s="33">
        <f t="shared" si="292"/>
        <v>114.92178983020486</v>
      </c>
      <c r="L418" s="33">
        <f t="shared" si="293"/>
        <v>0.3527036377802738</v>
      </c>
      <c r="M418" s="33">
        <f t="shared" si="294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83"/>
        <v>11482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9">
        <v>0</v>
      </c>
      <c r="AL418" s="30">
        <v>0</v>
      </c>
      <c r="AM418" s="21">
        <v>2002</v>
      </c>
      <c r="AN418" s="23"/>
      <c r="AO418" s="33">
        <v>0.44</v>
      </c>
      <c r="AP418" s="33">
        <v>9.7000000000000003E-2</v>
      </c>
      <c r="AQ418" s="33">
        <v>0.35499999999999998</v>
      </c>
      <c r="AR418" s="43">
        <f t="shared" si="295"/>
        <v>0.10799999999999998</v>
      </c>
      <c r="AS418" s="33">
        <v>0.64</v>
      </c>
      <c r="AT418" s="43">
        <v>0.33</v>
      </c>
      <c r="AU418" s="42">
        <v>0.57999999999999996</v>
      </c>
      <c r="AV418" s="18">
        <v>0.42</v>
      </c>
      <c r="AW418">
        <v>1</v>
      </c>
      <c r="AX418" s="40">
        <v>0</v>
      </c>
      <c r="AY418" t="s">
        <v>107</v>
      </c>
      <c r="AZ418" s="40" t="s">
        <v>107</v>
      </c>
      <c r="BB418" s="18"/>
      <c r="BC418">
        <f t="shared" si="282"/>
        <v>0.52700000000000002</v>
      </c>
      <c r="BD418" s="18">
        <v>0.47299999999999998</v>
      </c>
      <c r="BE418" s="18" t="s">
        <v>20</v>
      </c>
      <c r="BL418" s="18"/>
      <c r="BO418" s="18"/>
      <c r="BR418" s="25">
        <v>33.378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1</v>
      </c>
      <c r="BY418">
        <v>0</v>
      </c>
      <c r="BZ418" s="18">
        <v>0</v>
      </c>
      <c r="CA418">
        <v>0</v>
      </c>
      <c r="CB418">
        <v>0</v>
      </c>
      <c r="CC418">
        <v>1</v>
      </c>
      <c r="CD418" s="18">
        <v>0</v>
      </c>
      <c r="CE418">
        <v>0</v>
      </c>
      <c r="CF418">
        <v>0</v>
      </c>
      <c r="CG418">
        <v>0</v>
      </c>
      <c r="CH418">
        <v>0</v>
      </c>
      <c r="CI418" s="18">
        <v>0</v>
      </c>
      <c r="CJ418">
        <v>0</v>
      </c>
      <c r="CK418">
        <v>0</v>
      </c>
      <c r="CL418">
        <v>1</v>
      </c>
      <c r="CM418">
        <v>1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1</v>
      </c>
      <c r="CT418" s="18">
        <v>1</v>
      </c>
      <c r="CZ418" s="34" t="s">
        <v>87</v>
      </c>
    </row>
    <row r="419" spans="1:104" x14ac:dyDescent="0.25">
      <c r="A419">
        <v>418</v>
      </c>
      <c r="B419">
        <v>25</v>
      </c>
      <c r="C419" s="25" t="s">
        <v>260</v>
      </c>
      <c r="D419" s="12">
        <v>14.2</v>
      </c>
      <c r="E419" s="14">
        <v>1</v>
      </c>
      <c r="F419" s="7">
        <f>D419/E419</f>
        <v>14.2</v>
      </c>
      <c r="G419" s="7">
        <f t="shared" si="290"/>
        <v>13.2</v>
      </c>
      <c r="H419" s="16">
        <f t="shared" si="291"/>
        <v>15.2</v>
      </c>
      <c r="I419" s="11">
        <f t="shared" si="271"/>
        <v>0.30222070698132025</v>
      </c>
      <c r="J419" s="33">
        <f t="shared" si="272"/>
        <v>2.1283148378966214E-2</v>
      </c>
      <c r="K419" s="33">
        <f t="shared" si="292"/>
        <v>46.985529687340971</v>
      </c>
      <c r="L419" s="33">
        <f t="shared" si="293"/>
        <v>0.28093755860235403</v>
      </c>
      <c r="M419" s="33">
        <f t="shared" si="294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83"/>
        <v>2006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9">
        <v>0</v>
      </c>
      <c r="AL419" s="30">
        <v>0</v>
      </c>
      <c r="AM419" s="21">
        <v>2002</v>
      </c>
      <c r="AN419" s="23"/>
      <c r="AO419" s="33">
        <v>0.58099999999999996</v>
      </c>
      <c r="AP419" s="33">
        <v>9.0999999999999998E-2</v>
      </c>
      <c r="AQ419" s="33">
        <v>0.20100000000000001</v>
      </c>
      <c r="AR419" s="43">
        <f t="shared" si="295"/>
        <v>0.127</v>
      </c>
      <c r="AS419" s="33">
        <v>0.33</v>
      </c>
      <c r="AT419" s="43">
        <v>0.64</v>
      </c>
      <c r="AU419" s="42">
        <v>0.16</v>
      </c>
      <c r="AV419" s="18">
        <v>0.84</v>
      </c>
      <c r="AW419">
        <v>0</v>
      </c>
      <c r="AX419" s="40">
        <v>1</v>
      </c>
      <c r="AY419" t="s">
        <v>107</v>
      </c>
      <c r="AZ419" s="40" t="s">
        <v>107</v>
      </c>
      <c r="BB419" s="18"/>
      <c r="BC419">
        <f t="shared" si="282"/>
        <v>0.499</v>
      </c>
      <c r="BD419" s="18">
        <v>0.501</v>
      </c>
      <c r="BE419" s="18" t="s">
        <v>20</v>
      </c>
      <c r="BL419" s="18"/>
      <c r="BO419" s="18"/>
      <c r="BR419" s="25">
        <v>32.451999999999998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1</v>
      </c>
      <c r="BY419">
        <v>0</v>
      </c>
      <c r="BZ419" s="18">
        <v>0</v>
      </c>
      <c r="CA419">
        <v>0</v>
      </c>
      <c r="CB419">
        <v>0</v>
      </c>
      <c r="CC419">
        <v>1</v>
      </c>
      <c r="CD419" s="18">
        <v>0</v>
      </c>
      <c r="CE419">
        <v>0</v>
      </c>
      <c r="CF419">
        <v>0</v>
      </c>
      <c r="CG419">
        <v>0</v>
      </c>
      <c r="CH419">
        <v>0</v>
      </c>
      <c r="CI419" s="18">
        <v>0</v>
      </c>
      <c r="CJ419">
        <v>0</v>
      </c>
      <c r="CK419">
        <v>0</v>
      </c>
      <c r="CL419">
        <v>1</v>
      </c>
      <c r="CM419">
        <v>1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1</v>
      </c>
      <c r="CT419" s="18">
        <v>1</v>
      </c>
      <c r="CZ419" s="34" t="s">
        <v>87</v>
      </c>
    </row>
    <row r="420" spans="1:104" x14ac:dyDescent="0.25">
      <c r="A420">
        <v>419</v>
      </c>
      <c r="B420">
        <v>25</v>
      </c>
      <c r="C420" s="25" t="s">
        <v>260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290"/>
        <v>0.13560955812310843</v>
      </c>
      <c r="H420" s="16">
        <f t="shared" si="291"/>
        <v>0.28155706462331481</v>
      </c>
      <c r="I420" s="11">
        <f t="shared" si="271"/>
        <v>6.3800016035671786E-2</v>
      </c>
      <c r="J420" s="33">
        <f t="shared" si="272"/>
        <v>2.2320705318602366E-2</v>
      </c>
      <c r="K420" s="33">
        <f t="shared" si="292"/>
        <v>44.801451644388088</v>
      </c>
      <c r="L420" s="33">
        <f t="shared" si="293"/>
        <v>4.1479310717069423E-2</v>
      </c>
      <c r="M420" s="33">
        <f t="shared" si="294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83"/>
        <v>1999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9">
        <v>0</v>
      </c>
      <c r="AL420" s="30">
        <v>0</v>
      </c>
      <c r="AM420" s="21">
        <v>2002</v>
      </c>
      <c r="AN420" s="23"/>
      <c r="AO420" s="33">
        <v>0.58099999999999996</v>
      </c>
      <c r="AP420" s="33">
        <v>9.0999999999999998E-2</v>
      </c>
      <c r="AQ420" s="33">
        <v>0.20100000000000001</v>
      </c>
      <c r="AR420" s="43">
        <f t="shared" ref="AR420:AR424" si="296">1-(SUM(AO420:AQ420))</f>
        <v>0.127</v>
      </c>
      <c r="AS420" s="33">
        <v>0.33</v>
      </c>
      <c r="AT420" s="43">
        <v>0.64</v>
      </c>
      <c r="AU420" s="42">
        <v>0.16</v>
      </c>
      <c r="AV420" s="18">
        <v>0.84</v>
      </c>
      <c r="AW420">
        <v>0</v>
      </c>
      <c r="AX420" s="40">
        <v>1</v>
      </c>
      <c r="AY420" t="s">
        <v>107</v>
      </c>
      <c r="AZ420" s="40" t="s">
        <v>107</v>
      </c>
      <c r="BB420" s="18"/>
      <c r="BC420">
        <f t="shared" si="282"/>
        <v>0.499</v>
      </c>
      <c r="BD420" s="18">
        <v>0.501</v>
      </c>
      <c r="BE420" s="18" t="s">
        <v>20</v>
      </c>
      <c r="BL420" s="18"/>
      <c r="BO420" s="18"/>
      <c r="BR420" s="25">
        <v>32.451999999999998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1</v>
      </c>
      <c r="BY420">
        <v>0</v>
      </c>
      <c r="BZ420" s="18">
        <v>0</v>
      </c>
      <c r="CA420">
        <v>0</v>
      </c>
      <c r="CB420">
        <v>0</v>
      </c>
      <c r="CC420">
        <v>1</v>
      </c>
      <c r="CD420" s="18">
        <v>0</v>
      </c>
      <c r="CE420">
        <v>0</v>
      </c>
      <c r="CF420">
        <v>0</v>
      </c>
      <c r="CG420">
        <v>0</v>
      </c>
      <c r="CH420">
        <v>0</v>
      </c>
      <c r="CI420" s="18">
        <v>0</v>
      </c>
      <c r="CJ420">
        <v>0</v>
      </c>
      <c r="CK420">
        <v>0</v>
      </c>
      <c r="CL420">
        <v>1</v>
      </c>
      <c r="CM420">
        <v>1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1</v>
      </c>
      <c r="CT420" s="18">
        <v>1</v>
      </c>
      <c r="CZ420" s="34" t="s">
        <v>87</v>
      </c>
    </row>
    <row r="421" spans="1:104" x14ac:dyDescent="0.25">
      <c r="A421">
        <v>420</v>
      </c>
      <c r="B421">
        <v>25</v>
      </c>
      <c r="C421" s="25" t="s">
        <v>260</v>
      </c>
      <c r="D421" s="12">
        <v>17.973273386022946</v>
      </c>
      <c r="E421" s="14">
        <v>2.6265743987924979</v>
      </c>
      <c r="F421" s="7">
        <v>6.8428571428571416</v>
      </c>
      <c r="G421" s="7">
        <f t="shared" si="290"/>
        <v>15.346698987230448</v>
      </c>
      <c r="H421" s="16">
        <f t="shared" si="291"/>
        <v>20.599847784815445</v>
      </c>
      <c r="I421" s="11">
        <f t="shared" si="271"/>
        <v>0.15128757625528103</v>
      </c>
      <c r="J421" s="33">
        <f t="shared" si="272"/>
        <v>2.2108831603068209E-2</v>
      </c>
      <c r="K421" s="33">
        <f t="shared" si="292"/>
        <v>45.230793646337354</v>
      </c>
      <c r="L421" s="33">
        <f t="shared" si="293"/>
        <v>0.12917874465221282</v>
      </c>
      <c r="M421" s="33">
        <f t="shared" si="294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83"/>
        <v>1999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9">
        <v>0</v>
      </c>
      <c r="AL421" s="30">
        <v>0</v>
      </c>
      <c r="AM421" s="21">
        <v>2002</v>
      </c>
      <c r="AN421" s="23"/>
      <c r="AO421" s="33">
        <v>0.58099999999999996</v>
      </c>
      <c r="AP421" s="33">
        <v>9.0999999999999998E-2</v>
      </c>
      <c r="AQ421" s="33">
        <v>0.20100000000000001</v>
      </c>
      <c r="AR421" s="43">
        <f t="shared" si="296"/>
        <v>0.127</v>
      </c>
      <c r="AS421" s="33">
        <v>0.33</v>
      </c>
      <c r="AT421" s="43">
        <v>0.64</v>
      </c>
      <c r="AU421" s="42">
        <v>0.16</v>
      </c>
      <c r="AV421" s="18">
        <v>0.84</v>
      </c>
      <c r="AW421">
        <v>0</v>
      </c>
      <c r="AX421" s="40">
        <v>1</v>
      </c>
      <c r="AY421" t="s">
        <v>107</v>
      </c>
      <c r="AZ421" s="40" t="s">
        <v>107</v>
      </c>
      <c r="BB421" s="18"/>
      <c r="BC421">
        <f t="shared" si="282"/>
        <v>0.499</v>
      </c>
      <c r="BD421" s="18">
        <v>0.501</v>
      </c>
      <c r="BE421" s="18" t="s">
        <v>20</v>
      </c>
      <c r="BL421" s="18"/>
      <c r="BO421" s="18"/>
      <c r="BR421" s="25">
        <v>32.451999999999998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1</v>
      </c>
      <c r="BY421">
        <v>0</v>
      </c>
      <c r="BZ421" s="18">
        <v>0</v>
      </c>
      <c r="CA421">
        <v>0</v>
      </c>
      <c r="CB421">
        <v>0</v>
      </c>
      <c r="CC421">
        <v>1</v>
      </c>
      <c r="CD421" s="18">
        <v>0</v>
      </c>
      <c r="CE421">
        <v>0</v>
      </c>
      <c r="CF421">
        <v>0</v>
      </c>
      <c r="CG421">
        <v>0</v>
      </c>
      <c r="CH421">
        <v>0</v>
      </c>
      <c r="CI421" s="18">
        <v>0</v>
      </c>
      <c r="CJ421">
        <v>0</v>
      </c>
      <c r="CK421">
        <v>0</v>
      </c>
      <c r="CL421">
        <v>1</v>
      </c>
      <c r="CM421">
        <v>1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1</v>
      </c>
      <c r="CT421" s="18">
        <v>1</v>
      </c>
      <c r="CZ421" s="34" t="s">
        <v>87</v>
      </c>
    </row>
    <row r="422" spans="1:104" x14ac:dyDescent="0.25">
      <c r="A422">
        <v>421</v>
      </c>
      <c r="B422">
        <v>25</v>
      </c>
      <c r="C422" s="25" t="s">
        <v>260</v>
      </c>
      <c r="D422" s="12">
        <v>25.771992717677406</v>
      </c>
      <c r="E422" s="14">
        <v>1.7135633455902533</v>
      </c>
      <c r="F422" s="7">
        <v>15.04</v>
      </c>
      <c r="G422" s="7">
        <f t="shared" si="290"/>
        <v>24.058429372087154</v>
      </c>
      <c r="H422" s="16">
        <f t="shared" si="291"/>
        <v>27.485556063267659</v>
      </c>
      <c r="I422" s="11">
        <f t="shared" si="271"/>
        <v>0.31883291842716138</v>
      </c>
      <c r="J422" s="33">
        <f t="shared" si="272"/>
        <v>2.1198997235848498E-2</v>
      </c>
      <c r="K422" s="33">
        <f t="shared" si="292"/>
        <v>47.172042567605658</v>
      </c>
      <c r="L422" s="33">
        <f t="shared" si="293"/>
        <v>0.29763392119131288</v>
      </c>
      <c r="M422" s="33">
        <f t="shared" si="294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83"/>
        <v>1999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9">
        <v>0</v>
      </c>
      <c r="AL422" s="30">
        <v>0</v>
      </c>
      <c r="AM422" s="21">
        <v>2002</v>
      </c>
      <c r="AN422" s="23"/>
      <c r="AO422" s="33">
        <v>0.58099999999999996</v>
      </c>
      <c r="AP422" s="33">
        <v>9.0999999999999998E-2</v>
      </c>
      <c r="AQ422" s="33">
        <v>0.20100000000000001</v>
      </c>
      <c r="AR422" s="43">
        <f t="shared" si="296"/>
        <v>0.127</v>
      </c>
      <c r="AS422" s="33">
        <v>0.33</v>
      </c>
      <c r="AT422" s="43">
        <v>0.64</v>
      </c>
      <c r="AU422" s="42">
        <v>0.16</v>
      </c>
      <c r="AV422" s="18">
        <v>0.84</v>
      </c>
      <c r="AW422">
        <v>0</v>
      </c>
      <c r="AX422" s="40">
        <v>1</v>
      </c>
      <c r="AY422" t="s">
        <v>107</v>
      </c>
      <c r="AZ422" s="40" t="s">
        <v>107</v>
      </c>
      <c r="BB422" s="18"/>
      <c r="BC422">
        <f t="shared" si="282"/>
        <v>0.499</v>
      </c>
      <c r="BD422" s="18">
        <v>0.501</v>
      </c>
      <c r="BE422" s="18" t="s">
        <v>20</v>
      </c>
      <c r="BL422" s="18"/>
      <c r="BO422" s="18"/>
      <c r="BR422" s="25">
        <v>32.451999999999998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1</v>
      </c>
      <c r="BY422">
        <v>0</v>
      </c>
      <c r="BZ422" s="18">
        <v>0</v>
      </c>
      <c r="CA422">
        <v>0</v>
      </c>
      <c r="CB422">
        <v>0</v>
      </c>
      <c r="CC422">
        <v>1</v>
      </c>
      <c r="CD422" s="18">
        <v>0</v>
      </c>
      <c r="CE422">
        <v>0</v>
      </c>
      <c r="CF422">
        <v>0</v>
      </c>
      <c r="CG422">
        <v>0</v>
      </c>
      <c r="CH422">
        <v>0</v>
      </c>
      <c r="CI422" s="18">
        <v>0</v>
      </c>
      <c r="CJ422">
        <v>0</v>
      </c>
      <c r="CK422">
        <v>0</v>
      </c>
      <c r="CL422">
        <v>1</v>
      </c>
      <c r="CM422">
        <v>1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1</v>
      </c>
      <c r="CT422" s="18">
        <v>1</v>
      </c>
      <c r="CZ422" s="34" t="s">
        <v>87</v>
      </c>
    </row>
    <row r="423" spans="1:104" x14ac:dyDescent="0.25">
      <c r="A423">
        <v>422</v>
      </c>
      <c r="B423">
        <v>25</v>
      </c>
      <c r="C423" s="25" t="s">
        <v>260</v>
      </c>
      <c r="D423" s="12">
        <v>16.561693659668308</v>
      </c>
      <c r="E423" s="14">
        <v>1.3486721221228262</v>
      </c>
      <c r="F423" s="7">
        <v>12.280000000000001</v>
      </c>
      <c r="G423" s="7">
        <f t="shared" si="290"/>
        <v>15.213021537545481</v>
      </c>
      <c r="H423" s="16">
        <f t="shared" si="291"/>
        <v>17.910365781791135</v>
      </c>
      <c r="I423" s="11">
        <f t="shared" si="271"/>
        <v>0.26484970841855721</v>
      </c>
      <c r="J423" s="33">
        <f t="shared" si="272"/>
        <v>2.1567565832130067E-2</v>
      </c>
      <c r="K423" s="33">
        <f t="shared" si="292"/>
        <v>46.365918517807884</v>
      </c>
      <c r="L423" s="33">
        <f t="shared" si="293"/>
        <v>0.24328214258642714</v>
      </c>
      <c r="M423" s="33">
        <f t="shared" si="294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83"/>
        <v>1999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9">
        <v>0</v>
      </c>
      <c r="AL423" s="30">
        <v>0</v>
      </c>
      <c r="AM423" s="21">
        <v>2002</v>
      </c>
      <c r="AN423" s="23"/>
      <c r="AO423" s="33">
        <v>0.58099999999999996</v>
      </c>
      <c r="AP423" s="33">
        <v>9.0999999999999998E-2</v>
      </c>
      <c r="AQ423" s="33">
        <v>0.20100000000000001</v>
      </c>
      <c r="AR423" s="43">
        <f t="shared" si="296"/>
        <v>0.127</v>
      </c>
      <c r="AS423" s="33">
        <v>0.33</v>
      </c>
      <c r="AT423" s="43">
        <v>0.64</v>
      </c>
      <c r="AU423" s="42">
        <v>0.16</v>
      </c>
      <c r="AV423" s="18">
        <v>0.84</v>
      </c>
      <c r="AW423">
        <v>0</v>
      </c>
      <c r="AX423" s="40">
        <v>1</v>
      </c>
      <c r="AY423" t="s">
        <v>107</v>
      </c>
      <c r="AZ423" s="40" t="s">
        <v>107</v>
      </c>
      <c r="BB423" s="18"/>
      <c r="BC423">
        <f t="shared" si="282"/>
        <v>0.499</v>
      </c>
      <c r="BD423" s="18">
        <v>0.501</v>
      </c>
      <c r="BE423" s="18" t="s">
        <v>20</v>
      </c>
      <c r="BL423" s="18"/>
      <c r="BO423" s="18"/>
      <c r="BR423" s="25">
        <v>32.451999999999998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1</v>
      </c>
      <c r="BY423">
        <v>0</v>
      </c>
      <c r="BZ423" s="18">
        <v>0</v>
      </c>
      <c r="CA423">
        <v>0</v>
      </c>
      <c r="CB423">
        <v>0</v>
      </c>
      <c r="CC423">
        <v>1</v>
      </c>
      <c r="CD423" s="18">
        <v>0</v>
      </c>
      <c r="CE423">
        <v>0</v>
      </c>
      <c r="CF423">
        <v>0</v>
      </c>
      <c r="CG423">
        <v>0</v>
      </c>
      <c r="CH423">
        <v>0</v>
      </c>
      <c r="CI423" s="18">
        <v>0</v>
      </c>
      <c r="CJ423">
        <v>0</v>
      </c>
      <c r="CK423">
        <v>0</v>
      </c>
      <c r="CL423">
        <v>1</v>
      </c>
      <c r="CM423">
        <v>1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1</v>
      </c>
      <c r="CT423" s="18">
        <v>1</v>
      </c>
      <c r="CZ423" s="34" t="s">
        <v>87</v>
      </c>
    </row>
    <row r="424" spans="1:104" x14ac:dyDescent="0.25">
      <c r="A424">
        <v>423</v>
      </c>
      <c r="B424">
        <v>25</v>
      </c>
      <c r="C424" s="25" t="s">
        <v>260</v>
      </c>
      <c r="D424" s="12">
        <v>22.289111751969436</v>
      </c>
      <c r="E424" s="14">
        <v>1.7496904122784553</v>
      </c>
      <c r="F424" s="7">
        <v>12.738888888888891</v>
      </c>
      <c r="G424" s="7">
        <f t="shared" si="290"/>
        <v>20.539421339690982</v>
      </c>
      <c r="H424" s="16">
        <f t="shared" si="291"/>
        <v>24.03880216424789</v>
      </c>
      <c r="I424" s="11">
        <f t="shared" si="271"/>
        <v>0.27401611438895046</v>
      </c>
      <c r="J424" s="33">
        <f t="shared" si="272"/>
        <v>2.1510205228962527E-2</v>
      </c>
      <c r="K424" s="33">
        <f t="shared" si="292"/>
        <v>46.489561087662004</v>
      </c>
      <c r="L424" s="33">
        <f t="shared" si="293"/>
        <v>0.25250590915998794</v>
      </c>
      <c r="M424" s="33">
        <f t="shared" si="294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83"/>
        <v>1999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9">
        <v>0</v>
      </c>
      <c r="AL424" s="30">
        <v>0</v>
      </c>
      <c r="AM424" s="21">
        <v>2002</v>
      </c>
      <c r="AN424" s="23"/>
      <c r="AO424" s="33">
        <v>0.58099999999999996</v>
      </c>
      <c r="AP424" s="33">
        <v>9.0999999999999998E-2</v>
      </c>
      <c r="AQ424" s="33">
        <v>0.20100000000000001</v>
      </c>
      <c r="AR424" s="43">
        <f t="shared" si="296"/>
        <v>0.127</v>
      </c>
      <c r="AS424" s="33">
        <v>0.33</v>
      </c>
      <c r="AT424" s="43">
        <v>0.64</v>
      </c>
      <c r="AU424" s="42">
        <v>0.16</v>
      </c>
      <c r="AV424" s="18">
        <v>0.84</v>
      </c>
      <c r="AW424">
        <v>0</v>
      </c>
      <c r="AX424" s="40">
        <v>1</v>
      </c>
      <c r="AY424" t="s">
        <v>107</v>
      </c>
      <c r="AZ424" s="40" t="s">
        <v>107</v>
      </c>
      <c r="BB424" s="18"/>
      <c r="BC424">
        <f t="shared" si="282"/>
        <v>0.499</v>
      </c>
      <c r="BD424" s="18">
        <v>0.501</v>
      </c>
      <c r="BE424" s="18" t="s">
        <v>20</v>
      </c>
      <c r="BL424" s="18"/>
      <c r="BO424" s="18"/>
      <c r="BR424" s="25">
        <v>32.451999999999998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1</v>
      </c>
      <c r="BY424">
        <v>0</v>
      </c>
      <c r="BZ424" s="18">
        <v>0</v>
      </c>
      <c r="CA424">
        <v>0</v>
      </c>
      <c r="CB424">
        <v>0</v>
      </c>
      <c r="CC424">
        <v>1</v>
      </c>
      <c r="CD424" s="18">
        <v>0</v>
      </c>
      <c r="CE424">
        <v>0</v>
      </c>
      <c r="CF424">
        <v>0</v>
      </c>
      <c r="CG424">
        <v>0</v>
      </c>
      <c r="CH424">
        <v>0</v>
      </c>
      <c r="CI424" s="18">
        <v>0</v>
      </c>
      <c r="CJ424">
        <v>0</v>
      </c>
      <c r="CK424">
        <v>0</v>
      </c>
      <c r="CL424">
        <v>1</v>
      </c>
      <c r="CM424">
        <v>1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1</v>
      </c>
      <c r="CT424" s="18">
        <v>1</v>
      </c>
      <c r="CZ424" s="34" t="s">
        <v>87</v>
      </c>
    </row>
    <row r="425" spans="1:104" x14ac:dyDescent="0.25">
      <c r="A425">
        <v>424</v>
      </c>
      <c r="B425">
        <v>25</v>
      </c>
      <c r="C425" s="25" t="s">
        <v>260</v>
      </c>
      <c r="D425" s="12">
        <v>29.217759563620561</v>
      </c>
      <c r="E425" s="14">
        <v>2.8132643321230253</v>
      </c>
      <c r="F425" s="7">
        <v>10.385714285714284</v>
      </c>
      <c r="G425" s="7">
        <f t="shared" si="290"/>
        <v>26.404495231497535</v>
      </c>
      <c r="H425" s="16">
        <f t="shared" si="291"/>
        <v>32.031023895743587</v>
      </c>
      <c r="I425" s="11">
        <f t="shared" si="271"/>
        <v>0.22626543579702996</v>
      </c>
      <c r="J425" s="33">
        <f t="shared" si="272"/>
        <v>2.1786218027224344E-2</v>
      </c>
      <c r="K425" s="33">
        <f t="shared" si="292"/>
        <v>45.900578005342041</v>
      </c>
      <c r="L425" s="33">
        <f t="shared" si="293"/>
        <v>0.2044792177698056</v>
      </c>
      <c r="M425" s="33">
        <f t="shared" si="294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83"/>
        <v>1999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9">
        <v>0</v>
      </c>
      <c r="AL425" s="30">
        <v>0</v>
      </c>
      <c r="AM425" s="21">
        <v>2002</v>
      </c>
      <c r="AN425" s="23"/>
      <c r="AO425" s="33">
        <v>0.58099999999999996</v>
      </c>
      <c r="AP425" s="33">
        <v>9.0999999999999998E-2</v>
      </c>
      <c r="AQ425" s="33">
        <v>0.20100000000000001</v>
      </c>
      <c r="AR425" s="43">
        <f t="shared" ref="AR425" si="297">1-(SUM(AO425:AQ425))</f>
        <v>0.127</v>
      </c>
      <c r="AS425" s="33">
        <v>0.33</v>
      </c>
      <c r="AT425" s="43">
        <v>0.64</v>
      </c>
      <c r="AU425" s="42">
        <v>0.16</v>
      </c>
      <c r="AV425" s="18">
        <v>0.84</v>
      </c>
      <c r="AW425">
        <v>0</v>
      </c>
      <c r="AX425" s="40">
        <v>1</v>
      </c>
      <c r="AY425" t="s">
        <v>107</v>
      </c>
      <c r="AZ425" s="40" t="s">
        <v>107</v>
      </c>
      <c r="BB425" s="18"/>
      <c r="BC425">
        <f t="shared" si="282"/>
        <v>0.499</v>
      </c>
      <c r="BD425" s="18">
        <v>0.501</v>
      </c>
      <c r="BE425" s="18" t="s">
        <v>20</v>
      </c>
      <c r="BL425" s="18"/>
      <c r="BO425" s="18"/>
      <c r="BR425" s="25">
        <v>32.451999999999998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1</v>
      </c>
      <c r="BY425">
        <v>0</v>
      </c>
      <c r="BZ425" s="18">
        <v>0</v>
      </c>
      <c r="CA425">
        <v>0</v>
      </c>
      <c r="CB425">
        <v>0</v>
      </c>
      <c r="CC425">
        <v>1</v>
      </c>
      <c r="CD425" s="18">
        <v>0</v>
      </c>
      <c r="CE425">
        <v>0</v>
      </c>
      <c r="CF425">
        <v>0</v>
      </c>
      <c r="CG425">
        <v>0</v>
      </c>
      <c r="CH425">
        <v>0</v>
      </c>
      <c r="CI425" s="18">
        <v>0</v>
      </c>
      <c r="CJ425">
        <v>0</v>
      </c>
      <c r="CK425">
        <v>0</v>
      </c>
      <c r="CL425">
        <v>1</v>
      </c>
      <c r="CM425">
        <v>1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1</v>
      </c>
      <c r="CT425" s="18">
        <v>1</v>
      </c>
      <c r="CZ425" s="34" t="s">
        <v>87</v>
      </c>
    </row>
    <row r="426" spans="1:104" x14ac:dyDescent="0.25">
      <c r="A426">
        <v>425</v>
      </c>
      <c r="B426">
        <v>25</v>
      </c>
      <c r="C426" s="25" t="s">
        <v>260</v>
      </c>
      <c r="D426" s="12">
        <v>9.9</v>
      </c>
      <c r="E426" s="14">
        <v>1</v>
      </c>
      <c r="F426" s="7">
        <f t="shared" ref="F426:F444" si="298">D426/E426</f>
        <v>9.9</v>
      </c>
      <c r="G426" s="7">
        <f t="shared" si="290"/>
        <v>8.9</v>
      </c>
      <c r="H426" s="16">
        <f t="shared" si="291"/>
        <v>10.9</v>
      </c>
      <c r="I426" s="11">
        <f t="shared" si="271"/>
        <v>0.15200201690536094</v>
      </c>
      <c r="J426" s="33">
        <f t="shared" si="272"/>
        <v>1.535373908134959E-2</v>
      </c>
      <c r="K426" s="33">
        <f t="shared" ref="K426:K434" si="299">IFERROR(1/J426, "X")</f>
        <v>65.13071472047578</v>
      </c>
      <c r="L426" s="33">
        <f t="shared" ref="L426:L434" si="300">IFERROR(I426-J426, "X")</f>
        <v>0.13664827782401134</v>
      </c>
      <c r="M426" s="33">
        <f t="shared" ref="M426:M434" si="301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83"/>
        <v>4144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9">
        <v>0</v>
      </c>
      <c r="AL426" s="30">
        <v>0</v>
      </c>
      <c r="AM426" s="21">
        <v>2002</v>
      </c>
      <c r="AN426" s="23"/>
      <c r="AO426" s="33">
        <v>0.44</v>
      </c>
      <c r="AP426" s="33">
        <v>9.7000000000000003E-2</v>
      </c>
      <c r="AQ426" s="33">
        <v>0.35499999999999998</v>
      </c>
      <c r="AR426" s="43">
        <f>1-(SUM(AO426:AQ426))</f>
        <v>0.10799999999999998</v>
      </c>
      <c r="AS426" s="33">
        <v>0.64</v>
      </c>
      <c r="AT426" s="43">
        <v>0.33</v>
      </c>
      <c r="AU426" s="42">
        <v>0.57999999999999996</v>
      </c>
      <c r="AV426" s="18">
        <v>0.42</v>
      </c>
      <c r="AW426">
        <v>1</v>
      </c>
      <c r="AX426" s="40">
        <v>0</v>
      </c>
      <c r="AY426" t="s">
        <v>107</v>
      </c>
      <c r="AZ426" s="40" t="s">
        <v>107</v>
      </c>
      <c r="BB426" s="18"/>
      <c r="BC426">
        <f t="shared" si="282"/>
        <v>0.52700000000000002</v>
      </c>
      <c r="BD426" s="18">
        <v>0.47299999999999998</v>
      </c>
      <c r="BE426" s="18" t="s">
        <v>20</v>
      </c>
      <c r="BL426" s="18"/>
      <c r="BO426" s="18"/>
      <c r="BR426" s="25">
        <v>33.378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 s="18">
        <v>1</v>
      </c>
      <c r="CA426">
        <v>0</v>
      </c>
      <c r="CB426">
        <v>1</v>
      </c>
      <c r="CC426">
        <v>0</v>
      </c>
      <c r="CD426" s="18">
        <v>0</v>
      </c>
      <c r="CE426">
        <v>1</v>
      </c>
      <c r="CF426">
        <v>0</v>
      </c>
      <c r="CG426">
        <v>0</v>
      </c>
      <c r="CH426">
        <v>0</v>
      </c>
      <c r="CI426" s="18">
        <v>0</v>
      </c>
      <c r="CJ426">
        <v>0</v>
      </c>
      <c r="CK426">
        <v>0</v>
      </c>
      <c r="CL426">
        <v>1</v>
      </c>
      <c r="CM426">
        <v>1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1</v>
      </c>
      <c r="CT426" s="18">
        <v>1</v>
      </c>
      <c r="CZ426" s="34" t="s">
        <v>87</v>
      </c>
    </row>
    <row r="427" spans="1:104" x14ac:dyDescent="0.25">
      <c r="A427">
        <v>426</v>
      </c>
      <c r="B427">
        <v>25</v>
      </c>
      <c r="C427" s="25" t="s">
        <v>260</v>
      </c>
      <c r="D427" s="12">
        <v>10.6</v>
      </c>
      <c r="E427" s="14">
        <v>0.5</v>
      </c>
      <c r="F427" s="7">
        <f t="shared" si="298"/>
        <v>21.2</v>
      </c>
      <c r="G427" s="7">
        <f t="shared" si="290"/>
        <v>10.1</v>
      </c>
      <c r="H427" s="16">
        <f t="shared" si="291"/>
        <v>11.1</v>
      </c>
      <c r="I427" s="11">
        <f t="shared" si="271"/>
        <v>0.27304447275129468</v>
      </c>
      <c r="J427" s="33">
        <f t="shared" si="272"/>
        <v>1.2879456261853524E-2</v>
      </c>
      <c r="K427" s="33">
        <f t="shared" si="299"/>
        <v>77.643029307208252</v>
      </c>
      <c r="L427" s="33">
        <f t="shared" si="300"/>
        <v>0.26016501648944113</v>
      </c>
      <c r="M427" s="33">
        <f t="shared" si="301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83"/>
        <v>5579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9">
        <v>0</v>
      </c>
      <c r="AL427" s="30">
        <v>0</v>
      </c>
      <c r="AM427" s="21">
        <v>2002</v>
      </c>
      <c r="AN427" s="23"/>
      <c r="AO427" s="33">
        <v>0.44</v>
      </c>
      <c r="AP427" s="33">
        <v>9.7000000000000003E-2</v>
      </c>
      <c r="AQ427" s="33">
        <v>0.35499999999999998</v>
      </c>
      <c r="AR427" s="43">
        <f t="shared" ref="AR427" si="302">1-(SUM(AO427:AQ427))</f>
        <v>0.10799999999999998</v>
      </c>
      <c r="AS427" s="33">
        <v>0.64</v>
      </c>
      <c r="AT427" s="43">
        <v>0.33</v>
      </c>
      <c r="AU427" s="42">
        <v>0.57999999999999996</v>
      </c>
      <c r="AV427" s="18">
        <v>0.42</v>
      </c>
      <c r="AW427">
        <v>1</v>
      </c>
      <c r="AX427" s="40">
        <v>0</v>
      </c>
      <c r="AY427" t="s">
        <v>107</v>
      </c>
      <c r="AZ427" s="40" t="s">
        <v>107</v>
      </c>
      <c r="BB427" s="18"/>
      <c r="BC427">
        <f t="shared" si="282"/>
        <v>0.52700000000000002</v>
      </c>
      <c r="BD427" s="18">
        <v>0.47299999999999998</v>
      </c>
      <c r="BE427" s="18" t="s">
        <v>20</v>
      </c>
      <c r="BL427" s="18"/>
      <c r="BO427" s="18"/>
      <c r="BR427" s="25">
        <v>33.378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 s="18">
        <v>1</v>
      </c>
      <c r="CA427">
        <v>0</v>
      </c>
      <c r="CB427">
        <v>1</v>
      </c>
      <c r="CC427">
        <v>0</v>
      </c>
      <c r="CD427" s="18">
        <v>0</v>
      </c>
      <c r="CE427">
        <v>0</v>
      </c>
      <c r="CF427">
        <v>0</v>
      </c>
      <c r="CG427">
        <v>1</v>
      </c>
      <c r="CH427">
        <v>0</v>
      </c>
      <c r="CI427" s="18">
        <v>0</v>
      </c>
      <c r="CJ427">
        <v>0</v>
      </c>
      <c r="CK427">
        <v>0</v>
      </c>
      <c r="CL427">
        <v>1</v>
      </c>
      <c r="CM427">
        <v>1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1</v>
      </c>
      <c r="CT427" s="18">
        <v>1</v>
      </c>
      <c r="CZ427" s="34" t="s">
        <v>87</v>
      </c>
    </row>
    <row r="428" spans="1:104" x14ac:dyDescent="0.25">
      <c r="A428">
        <v>427</v>
      </c>
      <c r="B428">
        <v>25</v>
      </c>
      <c r="C428" s="25" t="s">
        <v>260</v>
      </c>
      <c r="D428" s="12">
        <v>16.899999999999999</v>
      </c>
      <c r="E428" s="14">
        <v>3</v>
      </c>
      <c r="F428" s="7">
        <f t="shared" si="298"/>
        <v>5.6333333333333329</v>
      </c>
      <c r="G428" s="7">
        <f t="shared" si="290"/>
        <v>13.899999999999999</v>
      </c>
      <c r="H428" s="16">
        <f t="shared" si="291"/>
        <v>19.899999999999999</v>
      </c>
      <c r="I428" s="11">
        <f t="shared" si="271"/>
        <v>0.24805751063781942</v>
      </c>
      <c r="J428" s="33">
        <f t="shared" si="272"/>
        <v>4.4033877628015285E-2</v>
      </c>
      <c r="K428" s="33">
        <f t="shared" si="299"/>
        <v>22.709787415219115</v>
      </c>
      <c r="L428" s="33">
        <f t="shared" si="300"/>
        <v>0.20402363300980414</v>
      </c>
      <c r="M428" s="33">
        <f t="shared" si="301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83"/>
        <v>484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9">
        <v>0</v>
      </c>
      <c r="AL428" s="30">
        <v>0</v>
      </c>
      <c r="AM428" s="21">
        <v>2002</v>
      </c>
      <c r="AN428" s="23"/>
      <c r="AO428" s="33">
        <v>0.58099999999999996</v>
      </c>
      <c r="AP428" s="33">
        <v>9.0999999999999998E-2</v>
      </c>
      <c r="AQ428" s="33">
        <v>0.20100000000000001</v>
      </c>
      <c r="AR428" s="43">
        <f t="shared" ref="AR428" si="303">1-(SUM(AO428:AQ428))</f>
        <v>0.127</v>
      </c>
      <c r="AS428" s="33">
        <v>0.33</v>
      </c>
      <c r="AT428" s="43">
        <v>0.64</v>
      </c>
      <c r="AU428" s="42">
        <v>0.16</v>
      </c>
      <c r="AV428" s="18">
        <v>0.84</v>
      </c>
      <c r="AW428">
        <v>0</v>
      </c>
      <c r="AX428" s="40">
        <v>1</v>
      </c>
      <c r="AY428" t="s">
        <v>107</v>
      </c>
      <c r="AZ428" s="40" t="s">
        <v>107</v>
      </c>
      <c r="BB428" s="18"/>
      <c r="BC428">
        <f t="shared" si="282"/>
        <v>0.499</v>
      </c>
      <c r="BD428" s="18">
        <v>0.501</v>
      </c>
      <c r="BE428" s="18" t="s">
        <v>20</v>
      </c>
      <c r="BL428" s="18"/>
      <c r="BO428" s="18"/>
      <c r="BR428" s="25">
        <v>32.451999999999998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 s="18">
        <v>1</v>
      </c>
      <c r="CA428">
        <v>0</v>
      </c>
      <c r="CB428">
        <v>1</v>
      </c>
      <c r="CC428">
        <v>0</v>
      </c>
      <c r="CD428" s="18">
        <v>0</v>
      </c>
      <c r="CE428">
        <v>1</v>
      </c>
      <c r="CF428">
        <v>0</v>
      </c>
      <c r="CG428">
        <v>0</v>
      </c>
      <c r="CH428">
        <v>0</v>
      </c>
      <c r="CI428" s="18">
        <v>0</v>
      </c>
      <c r="CJ428">
        <v>0</v>
      </c>
      <c r="CK428">
        <v>0</v>
      </c>
      <c r="CL428">
        <v>1</v>
      </c>
      <c r="CM428">
        <v>1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1</v>
      </c>
      <c r="CT428" s="18">
        <v>1</v>
      </c>
      <c r="CZ428" s="34" t="s">
        <v>87</v>
      </c>
    </row>
    <row r="429" spans="1:104" s="52" customFormat="1" x14ac:dyDescent="0.25">
      <c r="A429" s="52">
        <v>428</v>
      </c>
      <c r="B429" s="52">
        <v>25</v>
      </c>
      <c r="C429" s="53" t="s">
        <v>260</v>
      </c>
      <c r="D429" s="54">
        <v>17.600000000000001</v>
      </c>
      <c r="E429" s="55">
        <v>1</v>
      </c>
      <c r="F429" s="56">
        <f t="shared" si="298"/>
        <v>17.600000000000001</v>
      </c>
      <c r="G429" s="56">
        <f t="shared" si="290"/>
        <v>16.600000000000001</v>
      </c>
      <c r="H429" s="57">
        <f t="shared" si="291"/>
        <v>18.600000000000001</v>
      </c>
      <c r="I429" s="58">
        <f t="shared" si="271"/>
        <v>0.5074849643669247</v>
      </c>
      <c r="J429" s="59">
        <f t="shared" si="272"/>
        <v>2.8834372975393447E-2</v>
      </c>
      <c r="K429" s="59">
        <f t="shared" si="299"/>
        <v>34.680830439884218</v>
      </c>
      <c r="L429" s="59">
        <f t="shared" si="300"/>
        <v>0.47865059139153127</v>
      </c>
      <c r="M429" s="59">
        <f t="shared" si="301"/>
        <v>0.53631933734231818</v>
      </c>
      <c r="N429" s="60">
        <v>1</v>
      </c>
      <c r="O429" s="61">
        <v>0</v>
      </c>
      <c r="P429" s="60">
        <v>0</v>
      </c>
      <c r="Q429" s="61">
        <v>0</v>
      </c>
      <c r="R429" s="61">
        <v>1</v>
      </c>
      <c r="S429" s="61">
        <v>0</v>
      </c>
      <c r="T429" s="61">
        <v>0</v>
      </c>
      <c r="U429" s="60">
        <v>903</v>
      </c>
      <c r="V429" s="61">
        <v>9</v>
      </c>
      <c r="W429" s="61">
        <f t="shared" si="283"/>
        <v>893</v>
      </c>
      <c r="X429" s="61"/>
      <c r="Y429" s="56">
        <v>4.3259999999999996</v>
      </c>
      <c r="Z429" s="56">
        <v>20.097000000000001</v>
      </c>
      <c r="AA429" s="61">
        <v>1</v>
      </c>
      <c r="AB429" s="61">
        <v>0</v>
      </c>
      <c r="AC429" s="61">
        <v>0</v>
      </c>
      <c r="AD429" s="61">
        <v>0</v>
      </c>
      <c r="AE429" s="61">
        <v>0</v>
      </c>
      <c r="AF429" s="61">
        <v>1</v>
      </c>
      <c r="AG429" s="60">
        <v>0</v>
      </c>
      <c r="AH429" s="61">
        <v>1</v>
      </c>
      <c r="AI429" s="62">
        <v>0</v>
      </c>
      <c r="AJ429" s="61">
        <v>1</v>
      </c>
      <c r="AK429" s="61">
        <v>0</v>
      </c>
      <c r="AL429" s="62">
        <v>0</v>
      </c>
      <c r="AM429" s="63">
        <v>2002</v>
      </c>
      <c r="AN429" s="64"/>
      <c r="AO429" s="59">
        <v>0.58099999999999996</v>
      </c>
      <c r="AP429" s="59">
        <v>9.0999999999999998E-2</v>
      </c>
      <c r="AQ429" s="59">
        <v>0.20100000000000001</v>
      </c>
      <c r="AR429" s="65">
        <f t="shared" ref="AR429" si="304">1-(SUM(AO429:AQ429))</f>
        <v>0.127</v>
      </c>
      <c r="AS429" s="59">
        <v>0.33</v>
      </c>
      <c r="AT429" s="65">
        <v>0.64</v>
      </c>
      <c r="AU429" s="66">
        <v>0.16</v>
      </c>
      <c r="AV429" s="67">
        <v>0.84</v>
      </c>
      <c r="AW429" s="52">
        <v>0</v>
      </c>
      <c r="AX429" s="68">
        <v>1</v>
      </c>
      <c r="AY429" s="52" t="s">
        <v>107</v>
      </c>
      <c r="AZ429" s="68" t="s">
        <v>107</v>
      </c>
      <c r="BB429" s="67"/>
      <c r="BC429" s="52">
        <f t="shared" si="282"/>
        <v>0.499</v>
      </c>
      <c r="BD429" s="67">
        <v>0.501</v>
      </c>
      <c r="BE429" s="67" t="s">
        <v>20</v>
      </c>
      <c r="BL429" s="67"/>
      <c r="BO429" s="67"/>
      <c r="BR429" s="53">
        <v>32.451999999999998</v>
      </c>
      <c r="BS429" s="52">
        <v>0</v>
      </c>
      <c r="BT429" s="52">
        <v>0</v>
      </c>
      <c r="BU429" s="52">
        <v>0</v>
      </c>
      <c r="BV429" s="52">
        <v>0</v>
      </c>
      <c r="BW429" s="52">
        <v>0</v>
      </c>
      <c r="BX429" s="52">
        <v>0</v>
      </c>
      <c r="BY429" s="52">
        <v>0</v>
      </c>
      <c r="BZ429" s="67">
        <v>1</v>
      </c>
      <c r="CA429" s="52">
        <v>0</v>
      </c>
      <c r="CB429" s="52">
        <v>1</v>
      </c>
      <c r="CC429" s="52">
        <v>0</v>
      </c>
      <c r="CD429" s="67">
        <v>0</v>
      </c>
      <c r="CE429" s="52">
        <v>0</v>
      </c>
      <c r="CF429" s="52">
        <v>0</v>
      </c>
      <c r="CG429" s="52">
        <v>1</v>
      </c>
      <c r="CH429" s="52">
        <v>0</v>
      </c>
      <c r="CI429" s="67">
        <v>0</v>
      </c>
      <c r="CJ429" s="52">
        <v>0</v>
      </c>
      <c r="CK429" s="52">
        <v>0</v>
      </c>
      <c r="CL429" s="52">
        <v>1</v>
      </c>
      <c r="CM429" s="52">
        <v>1</v>
      </c>
      <c r="CN429" s="52">
        <v>0</v>
      </c>
      <c r="CO429" s="52">
        <v>0</v>
      </c>
      <c r="CP429" s="52">
        <v>0</v>
      </c>
      <c r="CQ429" s="52">
        <v>0</v>
      </c>
      <c r="CR429" s="52">
        <v>0</v>
      </c>
      <c r="CS429" s="52">
        <v>1</v>
      </c>
      <c r="CT429" s="67">
        <v>1</v>
      </c>
      <c r="CY429" s="53"/>
      <c r="CZ429" s="69" t="s">
        <v>87</v>
      </c>
    </row>
    <row r="430" spans="1:104" x14ac:dyDescent="0.25">
      <c r="A430">
        <v>429</v>
      </c>
      <c r="B430">
        <v>26</v>
      </c>
      <c r="C430" s="25" t="s">
        <v>273</v>
      </c>
      <c r="D430" s="12">
        <v>8.61</v>
      </c>
      <c r="E430" s="14">
        <v>9.5899999999999999E-2</v>
      </c>
      <c r="F430" s="7">
        <f t="shared" si="298"/>
        <v>89.78102189781022</v>
      </c>
      <c r="G430" s="7">
        <f t="shared" si="290"/>
        <v>8.5140999999999991</v>
      </c>
      <c r="H430" s="16">
        <f t="shared" si="291"/>
        <v>8.7058999999999997</v>
      </c>
      <c r="I430" s="11">
        <f t="shared" si="271"/>
        <v>0.35823210569483238</v>
      </c>
      <c r="J430" s="33">
        <f t="shared" si="272"/>
        <v>3.9900649170887832E-3</v>
      </c>
      <c r="K430" s="33">
        <f t="shared" si="299"/>
        <v>250.62248880141439</v>
      </c>
      <c r="L430" s="33">
        <f t="shared" si="300"/>
        <v>0.35424204077774357</v>
      </c>
      <c r="M430" s="33">
        <f t="shared" si="301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83"/>
        <v>54751</v>
      </c>
      <c r="Y430" s="7">
        <v>8.5079999999999991</v>
      </c>
      <c r="Z430" s="7">
        <f>BR430-Y430-6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9">
        <v>0</v>
      </c>
      <c r="AL430" s="30">
        <v>0</v>
      </c>
      <c r="AM430" s="21">
        <v>2003</v>
      </c>
      <c r="AN430" s="23"/>
      <c r="AO430" s="33" t="s">
        <v>107</v>
      </c>
      <c r="AP430" s="33" t="s">
        <v>107</v>
      </c>
      <c r="AQ430" s="33" t="s">
        <v>107</v>
      </c>
      <c r="AR430" s="43" t="s">
        <v>107</v>
      </c>
      <c r="AS430" s="33" t="s">
        <v>107</v>
      </c>
      <c r="AT430" s="43" t="s">
        <v>107</v>
      </c>
      <c r="AU430" s="42" t="s">
        <v>107</v>
      </c>
      <c r="AV430" s="18" t="s">
        <v>107</v>
      </c>
      <c r="AW430">
        <v>1</v>
      </c>
      <c r="AX430" s="40">
        <v>0</v>
      </c>
      <c r="AY430" t="s">
        <v>107</v>
      </c>
      <c r="AZ430" s="40" t="s">
        <v>107</v>
      </c>
      <c r="BB430" s="18"/>
      <c r="BC430">
        <f>1-BD430</f>
        <v>0.66700000000000004</v>
      </c>
      <c r="BD430" s="18">
        <v>0.33300000000000002</v>
      </c>
      <c r="BE430" s="18" t="s">
        <v>27</v>
      </c>
      <c r="BL430" s="18"/>
      <c r="BO430" s="18"/>
      <c r="BR430" s="25">
        <v>38.226999999999997</v>
      </c>
      <c r="BS430">
        <v>1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 s="18">
        <v>0</v>
      </c>
      <c r="CA430">
        <v>0</v>
      </c>
      <c r="CB430">
        <v>0</v>
      </c>
      <c r="CC430">
        <v>1</v>
      </c>
      <c r="CD430" s="18">
        <v>0</v>
      </c>
      <c r="CE430">
        <v>0</v>
      </c>
      <c r="CF430">
        <v>0</v>
      </c>
      <c r="CG430">
        <v>0</v>
      </c>
      <c r="CH430">
        <v>0</v>
      </c>
      <c r="CI430" s="18">
        <v>0</v>
      </c>
      <c r="CJ430">
        <v>1</v>
      </c>
      <c r="CK430">
        <v>1</v>
      </c>
      <c r="CL430">
        <v>0</v>
      </c>
      <c r="CM430">
        <v>0</v>
      </c>
      <c r="CN430">
        <v>1</v>
      </c>
      <c r="CO430">
        <v>0</v>
      </c>
      <c r="CP430">
        <v>0</v>
      </c>
      <c r="CQ430">
        <v>0</v>
      </c>
      <c r="CR430">
        <v>0</v>
      </c>
      <c r="CS430">
        <v>1</v>
      </c>
      <c r="CT430" s="18">
        <v>0</v>
      </c>
      <c r="CZ430" s="34" t="s">
        <v>87</v>
      </c>
    </row>
    <row r="431" spans="1:104" x14ac:dyDescent="0.25">
      <c r="A431">
        <v>430</v>
      </c>
      <c r="B431">
        <v>26</v>
      </c>
      <c r="C431" s="25" t="s">
        <v>273</v>
      </c>
      <c r="D431" s="12">
        <v>7.11</v>
      </c>
      <c r="E431" s="14">
        <v>2.7</v>
      </c>
      <c r="F431" s="7">
        <f t="shared" si="298"/>
        <v>2.6333333333333333</v>
      </c>
      <c r="G431" s="7">
        <f t="shared" si="290"/>
        <v>4.41</v>
      </c>
      <c r="H431" s="16">
        <f t="shared" si="291"/>
        <v>9.81</v>
      </c>
      <c r="I431" s="11">
        <f t="shared" si="271"/>
        <v>1.1253362473406978E-2</v>
      </c>
      <c r="J431" s="33">
        <f t="shared" si="272"/>
        <v>4.2734287873697381E-3</v>
      </c>
      <c r="K431" s="33">
        <f t="shared" si="299"/>
        <v>234.00413339179383</v>
      </c>
      <c r="L431" s="33">
        <f t="shared" si="300"/>
        <v>6.9799336860372398E-3</v>
      </c>
      <c r="M431" s="33">
        <f t="shared" si="301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83"/>
        <v>54751</v>
      </c>
      <c r="Y431" s="7">
        <v>8.5079999999999991</v>
      </c>
      <c r="Z431" s="7">
        <f>BR431-Y431-6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9">
        <v>0</v>
      </c>
      <c r="AL431" s="30">
        <v>1</v>
      </c>
      <c r="AM431" s="21">
        <v>2003</v>
      </c>
      <c r="AN431" s="23"/>
      <c r="AO431" s="33" t="s">
        <v>107</v>
      </c>
      <c r="AP431" s="33" t="s">
        <v>107</v>
      </c>
      <c r="AQ431" s="33" t="s">
        <v>107</v>
      </c>
      <c r="AR431" s="43" t="s">
        <v>107</v>
      </c>
      <c r="AS431" s="33" t="s">
        <v>107</v>
      </c>
      <c r="AT431" s="43" t="s">
        <v>107</v>
      </c>
      <c r="AU431" s="42" t="s">
        <v>107</v>
      </c>
      <c r="AV431" s="18" t="s">
        <v>107</v>
      </c>
      <c r="AW431">
        <v>1</v>
      </c>
      <c r="AX431" s="40">
        <v>0</v>
      </c>
      <c r="AY431" t="s">
        <v>107</v>
      </c>
      <c r="AZ431" s="40" t="s">
        <v>107</v>
      </c>
      <c r="BB431" s="18"/>
      <c r="BC431">
        <f>1-BD431</f>
        <v>0.66700000000000004</v>
      </c>
      <c r="BD431" s="18">
        <v>0.33300000000000002</v>
      </c>
      <c r="BE431" s="18" t="s">
        <v>27</v>
      </c>
      <c r="BL431" s="18"/>
      <c r="BO431" s="18"/>
      <c r="BR431" s="25">
        <v>38.226999999999997</v>
      </c>
      <c r="BS431">
        <v>0</v>
      </c>
      <c r="BT431">
        <v>0</v>
      </c>
      <c r="BU431">
        <v>0</v>
      </c>
      <c r="BV431">
        <v>1</v>
      </c>
      <c r="BW431">
        <v>0</v>
      </c>
      <c r="BX431">
        <v>0</v>
      </c>
      <c r="BY431">
        <v>0</v>
      </c>
      <c r="BZ431" s="18">
        <v>0</v>
      </c>
      <c r="CA431">
        <v>0</v>
      </c>
      <c r="CB431">
        <v>0</v>
      </c>
      <c r="CC431">
        <v>1</v>
      </c>
      <c r="CD431" s="18">
        <v>0</v>
      </c>
      <c r="CE431">
        <v>0</v>
      </c>
      <c r="CF431">
        <v>0</v>
      </c>
      <c r="CG431">
        <v>0</v>
      </c>
      <c r="CH431">
        <v>0</v>
      </c>
      <c r="CI431" s="18">
        <v>0</v>
      </c>
      <c r="CJ431">
        <v>1</v>
      </c>
      <c r="CK431">
        <v>1</v>
      </c>
      <c r="CL431">
        <v>0</v>
      </c>
      <c r="CM431">
        <v>0</v>
      </c>
      <c r="CN431">
        <v>1</v>
      </c>
      <c r="CO431">
        <v>0</v>
      </c>
      <c r="CP431">
        <v>0</v>
      </c>
      <c r="CQ431">
        <v>0</v>
      </c>
      <c r="CR431">
        <v>0</v>
      </c>
      <c r="CS431">
        <v>1</v>
      </c>
      <c r="CT431" s="18">
        <v>0</v>
      </c>
      <c r="CZ431" s="34" t="s">
        <v>87</v>
      </c>
    </row>
    <row r="432" spans="1:104" x14ac:dyDescent="0.25">
      <c r="A432">
        <v>431</v>
      </c>
      <c r="B432">
        <v>26</v>
      </c>
      <c r="C432" s="25" t="s">
        <v>273</v>
      </c>
      <c r="D432" s="12">
        <v>8.5299999999999994</v>
      </c>
      <c r="E432" s="14">
        <v>3.6</v>
      </c>
      <c r="F432" s="7">
        <f t="shared" si="298"/>
        <v>2.369444444444444</v>
      </c>
      <c r="G432" s="7">
        <f t="shared" si="290"/>
        <v>4.93</v>
      </c>
      <c r="H432" s="16">
        <f t="shared" si="291"/>
        <v>12.129999999999999</v>
      </c>
      <c r="I432" s="11">
        <f t="shared" si="271"/>
        <v>1.0125774162546355E-2</v>
      </c>
      <c r="J432" s="33">
        <f t="shared" si="272"/>
        <v>4.2734803030676297E-3</v>
      </c>
      <c r="K432" s="33">
        <f t="shared" si="299"/>
        <v>234.00131253259099</v>
      </c>
      <c r="L432" s="33">
        <f t="shared" si="300"/>
        <v>5.8522938594787258E-3</v>
      </c>
      <c r="M432" s="33">
        <f t="shared" si="301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83"/>
        <v>54751</v>
      </c>
      <c r="Y432" s="7">
        <v>8.5079999999999991</v>
      </c>
      <c r="Z432" s="7">
        <f>BR432-Y432-6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9">
        <v>0</v>
      </c>
      <c r="AL432" s="30">
        <v>1</v>
      </c>
      <c r="AM432" s="21">
        <v>2003</v>
      </c>
      <c r="AN432" s="23"/>
      <c r="AO432" s="33" t="s">
        <v>107</v>
      </c>
      <c r="AP432" s="33" t="s">
        <v>107</v>
      </c>
      <c r="AQ432" s="33" t="s">
        <v>107</v>
      </c>
      <c r="AR432" s="43" t="s">
        <v>107</v>
      </c>
      <c r="AS432" s="33" t="s">
        <v>107</v>
      </c>
      <c r="AT432" s="43" t="s">
        <v>107</v>
      </c>
      <c r="AU432" s="42" t="s">
        <v>107</v>
      </c>
      <c r="AV432" s="18" t="s">
        <v>107</v>
      </c>
      <c r="AW432">
        <v>1</v>
      </c>
      <c r="AX432" s="40">
        <v>0</v>
      </c>
      <c r="AY432" t="s">
        <v>107</v>
      </c>
      <c r="AZ432" s="40" t="s">
        <v>107</v>
      </c>
      <c r="BB432" s="18"/>
      <c r="BC432">
        <f>1-BD432</f>
        <v>0.66700000000000004</v>
      </c>
      <c r="BD432" s="18">
        <v>0.33300000000000002</v>
      </c>
      <c r="BE432" s="18" t="s">
        <v>27</v>
      </c>
      <c r="BL432" s="18"/>
      <c r="BO432" s="18"/>
      <c r="BR432" s="25">
        <v>38.226999999999997</v>
      </c>
      <c r="BS432">
        <v>0</v>
      </c>
      <c r="BT432">
        <v>0</v>
      </c>
      <c r="BU432">
        <v>0</v>
      </c>
      <c r="BV432">
        <v>1</v>
      </c>
      <c r="BW432">
        <v>0</v>
      </c>
      <c r="BX432">
        <v>0</v>
      </c>
      <c r="BY432">
        <v>0</v>
      </c>
      <c r="BZ432" s="18">
        <v>0</v>
      </c>
      <c r="CA432">
        <v>0</v>
      </c>
      <c r="CB432">
        <v>0</v>
      </c>
      <c r="CC432">
        <v>1</v>
      </c>
      <c r="CD432" s="18">
        <v>0</v>
      </c>
      <c r="CE432">
        <v>0</v>
      </c>
      <c r="CF432">
        <v>0</v>
      </c>
      <c r="CG432">
        <v>0</v>
      </c>
      <c r="CH432">
        <v>0</v>
      </c>
      <c r="CI432" s="18">
        <v>0</v>
      </c>
      <c r="CJ432">
        <v>1</v>
      </c>
      <c r="CK432">
        <v>1</v>
      </c>
      <c r="CL432">
        <v>0</v>
      </c>
      <c r="CM432">
        <v>0</v>
      </c>
      <c r="CN432">
        <v>1</v>
      </c>
      <c r="CO432">
        <v>0</v>
      </c>
      <c r="CP432">
        <v>0</v>
      </c>
      <c r="CQ432">
        <v>0</v>
      </c>
      <c r="CR432">
        <v>0</v>
      </c>
      <c r="CS432">
        <v>1</v>
      </c>
      <c r="CT432" s="18">
        <v>0</v>
      </c>
      <c r="CZ432" s="34" t="s">
        <v>87</v>
      </c>
    </row>
    <row r="433" spans="1:104" s="52" customFormat="1" x14ac:dyDescent="0.25">
      <c r="A433" s="52">
        <v>432</v>
      </c>
      <c r="B433" s="52">
        <v>26</v>
      </c>
      <c r="C433" s="53" t="s">
        <v>273</v>
      </c>
      <c r="D433" s="54">
        <v>4.4000000000000004</v>
      </c>
      <c r="E433" s="55">
        <v>0.28999999999999998</v>
      </c>
      <c r="F433" s="56">
        <f t="shared" si="298"/>
        <v>15.17241379310345</v>
      </c>
      <c r="G433" s="56">
        <f t="shared" si="290"/>
        <v>4.1100000000000003</v>
      </c>
      <c r="H433" s="57">
        <f t="shared" si="291"/>
        <v>4.6900000000000004</v>
      </c>
      <c r="I433" s="58">
        <f t="shared" si="271"/>
        <v>0.10967410775251542</v>
      </c>
      <c r="J433" s="59">
        <f t="shared" si="272"/>
        <v>7.2285207382339692E-3</v>
      </c>
      <c r="K433" s="59">
        <f t="shared" si="299"/>
        <v>138.34089106373847</v>
      </c>
      <c r="L433" s="59">
        <f t="shared" si="300"/>
        <v>0.10244558701428144</v>
      </c>
      <c r="M433" s="59">
        <f t="shared" si="301"/>
        <v>0.11690262849074939</v>
      </c>
      <c r="N433" s="60">
        <v>0</v>
      </c>
      <c r="O433" s="61">
        <v>1</v>
      </c>
      <c r="P433" s="60">
        <v>0</v>
      </c>
      <c r="Q433" s="61">
        <v>0</v>
      </c>
      <c r="R433" s="61">
        <v>0</v>
      </c>
      <c r="S433" s="61">
        <v>1</v>
      </c>
      <c r="T433" s="61">
        <v>0</v>
      </c>
      <c r="U433" s="60">
        <v>18912</v>
      </c>
      <c r="V433" s="61">
        <v>3</v>
      </c>
      <c r="W433" s="61">
        <f t="shared" si="283"/>
        <v>18908</v>
      </c>
      <c r="X433" s="61"/>
      <c r="Y433" s="56">
        <v>8.5079999999999991</v>
      </c>
      <c r="Z433" s="56">
        <f>BR433-Y433-6</f>
        <v>23.718999999999998</v>
      </c>
      <c r="AA433" s="61">
        <v>1</v>
      </c>
      <c r="AB433" s="61">
        <v>0</v>
      </c>
      <c r="AC433" s="61">
        <v>0</v>
      </c>
      <c r="AD433" s="61">
        <v>0</v>
      </c>
      <c r="AE433" s="61">
        <v>0</v>
      </c>
      <c r="AF433" s="61">
        <v>1</v>
      </c>
      <c r="AG433" s="60">
        <v>0</v>
      </c>
      <c r="AH433" s="61">
        <v>1</v>
      </c>
      <c r="AI433" s="62">
        <v>0</v>
      </c>
      <c r="AJ433" s="61">
        <v>0</v>
      </c>
      <c r="AK433" s="61">
        <v>0</v>
      </c>
      <c r="AL433" s="62">
        <v>1</v>
      </c>
      <c r="AM433" s="63">
        <v>2003</v>
      </c>
      <c r="AN433" s="64"/>
      <c r="AO433" s="59" t="s">
        <v>107</v>
      </c>
      <c r="AP433" s="59" t="s">
        <v>107</v>
      </c>
      <c r="AQ433" s="59" t="s">
        <v>107</v>
      </c>
      <c r="AR433" s="65" t="s">
        <v>107</v>
      </c>
      <c r="AS433" s="59" t="s">
        <v>107</v>
      </c>
      <c r="AT433" s="65" t="s">
        <v>107</v>
      </c>
      <c r="AU433" s="66" t="s">
        <v>107</v>
      </c>
      <c r="AV433" s="67" t="s">
        <v>107</v>
      </c>
      <c r="AW433" s="52">
        <v>1</v>
      </c>
      <c r="AX433" s="68">
        <v>0</v>
      </c>
      <c r="AY433" s="52" t="s">
        <v>107</v>
      </c>
      <c r="AZ433" s="68" t="s">
        <v>107</v>
      </c>
      <c r="BB433" s="67"/>
      <c r="BC433" s="52">
        <f>1-BD433</f>
        <v>0.66700000000000004</v>
      </c>
      <c r="BD433" s="67">
        <v>0.33300000000000002</v>
      </c>
      <c r="BE433" s="67" t="s">
        <v>27</v>
      </c>
      <c r="BL433" s="67"/>
      <c r="BO433" s="67"/>
      <c r="BR433" s="53">
        <v>38.226999999999997</v>
      </c>
      <c r="BS433" s="52">
        <v>0</v>
      </c>
      <c r="BT433" s="52">
        <v>0</v>
      </c>
      <c r="BU433" s="52">
        <v>0</v>
      </c>
      <c r="BV433" s="52">
        <v>1</v>
      </c>
      <c r="BW433" s="52">
        <v>0</v>
      </c>
      <c r="BX433" s="52">
        <v>0</v>
      </c>
      <c r="BY433" s="52">
        <v>0</v>
      </c>
      <c r="BZ433" s="67">
        <v>0</v>
      </c>
      <c r="CA433" s="52">
        <v>1</v>
      </c>
      <c r="CB433" s="52">
        <v>0</v>
      </c>
      <c r="CC433" s="52">
        <v>0</v>
      </c>
      <c r="CD433" s="67">
        <v>0</v>
      </c>
      <c r="CE433" s="52">
        <v>0</v>
      </c>
      <c r="CF433" s="52">
        <v>0</v>
      </c>
      <c r="CG433" s="52">
        <v>0</v>
      </c>
      <c r="CH433" s="52">
        <v>0</v>
      </c>
      <c r="CI433" s="67">
        <v>0</v>
      </c>
      <c r="CJ433" s="52">
        <v>1</v>
      </c>
      <c r="CK433" s="52">
        <v>0</v>
      </c>
      <c r="CL433" s="52">
        <v>0</v>
      </c>
      <c r="CM433" s="52">
        <v>0</v>
      </c>
      <c r="CN433" s="52">
        <v>0</v>
      </c>
      <c r="CO433" s="52">
        <v>0</v>
      </c>
      <c r="CP433" s="52">
        <v>0</v>
      </c>
      <c r="CQ433" s="52">
        <v>0</v>
      </c>
      <c r="CR433" s="52">
        <v>0</v>
      </c>
      <c r="CS433" s="52">
        <v>1</v>
      </c>
      <c r="CT433" s="67">
        <v>0</v>
      </c>
      <c r="CY433" s="53"/>
      <c r="CZ433" s="69" t="s">
        <v>87</v>
      </c>
    </row>
    <row r="434" spans="1:104" x14ac:dyDescent="0.25">
      <c r="A434">
        <v>433</v>
      </c>
      <c r="B434">
        <v>27</v>
      </c>
      <c r="C434" s="82" t="s">
        <v>274</v>
      </c>
      <c r="D434" s="12">
        <v>11.5</v>
      </c>
      <c r="E434" s="14">
        <v>0.248</v>
      </c>
      <c r="F434" s="7">
        <f t="shared" si="298"/>
        <v>46.370967741935488</v>
      </c>
      <c r="G434" s="7">
        <f t="shared" si="290"/>
        <v>11.252000000000001</v>
      </c>
      <c r="H434" s="16">
        <f t="shared" si="291"/>
        <v>11.747999999999999</v>
      </c>
      <c r="I434" s="11">
        <f t="shared" si="271"/>
        <v>0.10318445318525869</v>
      </c>
      <c r="J434" s="33">
        <f t="shared" si="272"/>
        <v>2.2251951643429699E-3</v>
      </c>
      <c r="K434" s="33">
        <f t="shared" si="299"/>
        <v>449.39878354232741</v>
      </c>
      <c r="L434" s="33">
        <f t="shared" si="300"/>
        <v>0.10095925802091572</v>
      </c>
      <c r="M434" s="33">
        <f t="shared" si="301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83"/>
        <v>199809</v>
      </c>
      <c r="Y434" s="7" t="s">
        <v>107</v>
      </c>
      <c r="Z434" s="7" t="s">
        <v>107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9">
        <v>0</v>
      </c>
      <c r="AL434" s="30">
        <v>0</v>
      </c>
      <c r="AM434" s="21">
        <v>1996</v>
      </c>
      <c r="AN434" s="23"/>
      <c r="AO434" s="33" t="s">
        <v>107</v>
      </c>
      <c r="AP434" s="33" t="s">
        <v>107</v>
      </c>
      <c r="AQ434" s="33" t="s">
        <v>107</v>
      </c>
      <c r="AR434" s="43" t="s">
        <v>107</v>
      </c>
      <c r="AS434" s="33" t="s">
        <v>107</v>
      </c>
      <c r="AT434" s="43" t="s">
        <v>107</v>
      </c>
      <c r="AU434" s="42" t="s">
        <v>107</v>
      </c>
      <c r="AV434" s="18" t="s">
        <v>107</v>
      </c>
      <c r="AW434" t="s">
        <v>107</v>
      </c>
      <c r="AX434" s="40" t="s">
        <v>107</v>
      </c>
      <c r="AY434" t="s">
        <v>107</v>
      </c>
      <c r="AZ434" s="40" t="s">
        <v>107</v>
      </c>
      <c r="BB434" s="18"/>
      <c r="BC434" t="s">
        <v>107</v>
      </c>
      <c r="BD434" s="18" t="s">
        <v>107</v>
      </c>
      <c r="BE434" s="18" t="s">
        <v>28</v>
      </c>
      <c r="BL434" s="18"/>
      <c r="BO434" s="18"/>
      <c r="BR434" s="25">
        <v>41.5</v>
      </c>
      <c r="BS434">
        <v>1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 s="18">
        <v>0</v>
      </c>
      <c r="CA434">
        <v>0</v>
      </c>
      <c r="CB434">
        <v>0</v>
      </c>
      <c r="CC434">
        <v>1</v>
      </c>
      <c r="CD434" s="18">
        <v>0</v>
      </c>
      <c r="CE434">
        <v>0</v>
      </c>
      <c r="CF434">
        <v>0</v>
      </c>
      <c r="CG434">
        <v>0</v>
      </c>
      <c r="CH434">
        <v>0</v>
      </c>
      <c r="CI434" s="18">
        <v>0</v>
      </c>
      <c r="CJ434">
        <v>1</v>
      </c>
      <c r="CK434">
        <v>1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 s="18">
        <v>0</v>
      </c>
      <c r="CZ434" s="34" t="s">
        <v>87</v>
      </c>
    </row>
    <row r="435" spans="1:104" x14ac:dyDescent="0.25">
      <c r="A435">
        <v>434</v>
      </c>
      <c r="B435">
        <v>27</v>
      </c>
      <c r="C435" s="25" t="s">
        <v>274</v>
      </c>
      <c r="D435" s="12">
        <v>14.5</v>
      </c>
      <c r="E435" s="14">
        <v>0.41699999999999998</v>
      </c>
      <c r="F435" s="7">
        <f t="shared" si="298"/>
        <v>34.772182254196643</v>
      </c>
      <c r="G435" s="7">
        <f t="shared" si="290"/>
        <v>14.083</v>
      </c>
      <c r="H435" s="16">
        <f t="shared" si="291"/>
        <v>14.917</v>
      </c>
      <c r="I435" s="11">
        <f t="shared" si="271"/>
        <v>7.755581398730077E-2</v>
      </c>
      <c r="J435" s="33">
        <f t="shared" si="272"/>
        <v>2.2303982367382355E-3</v>
      </c>
      <c r="K435" s="33">
        <f t="shared" ref="K435:K436" si="305">IFERROR(1/J435, "X")</f>
        <v>448.35042618326918</v>
      </c>
      <c r="L435" s="33">
        <f t="shared" ref="L435:L436" si="306">IFERROR(I435-J435, "X")</f>
        <v>7.5325415750562535E-2</v>
      </c>
      <c r="M435" s="33">
        <f t="shared" ref="M435:M436" si="307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83"/>
        <v>199809</v>
      </c>
      <c r="Y435" s="7" t="s">
        <v>107</v>
      </c>
      <c r="Z435" s="7" t="s">
        <v>107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9">
        <v>0</v>
      </c>
      <c r="AL435" s="30">
        <v>1</v>
      </c>
      <c r="AM435" s="21">
        <v>1996</v>
      </c>
      <c r="AN435" s="23"/>
      <c r="AO435" s="33" t="s">
        <v>107</v>
      </c>
      <c r="AP435" s="33" t="s">
        <v>107</v>
      </c>
      <c r="AQ435" s="33" t="s">
        <v>107</v>
      </c>
      <c r="AR435" s="43" t="s">
        <v>107</v>
      </c>
      <c r="AS435" s="33" t="s">
        <v>107</v>
      </c>
      <c r="AT435" s="43" t="s">
        <v>107</v>
      </c>
      <c r="AU435" s="42" t="s">
        <v>107</v>
      </c>
      <c r="AV435" s="18" t="s">
        <v>107</v>
      </c>
      <c r="AW435" t="s">
        <v>107</v>
      </c>
      <c r="AX435" s="40" t="s">
        <v>107</v>
      </c>
      <c r="AY435" t="s">
        <v>107</v>
      </c>
      <c r="AZ435" s="40" t="s">
        <v>107</v>
      </c>
      <c r="BB435" s="18"/>
      <c r="BC435" t="s">
        <v>107</v>
      </c>
      <c r="BD435" s="18" t="s">
        <v>107</v>
      </c>
      <c r="BE435" s="18" t="s">
        <v>28</v>
      </c>
      <c r="BL435" s="18"/>
      <c r="BO435" s="18"/>
      <c r="BR435" s="25">
        <v>41.5</v>
      </c>
      <c r="BS435">
        <v>0</v>
      </c>
      <c r="BT435">
        <v>0</v>
      </c>
      <c r="BU435">
        <v>1</v>
      </c>
      <c r="BV435">
        <v>0</v>
      </c>
      <c r="BW435">
        <v>0</v>
      </c>
      <c r="BX435">
        <v>0</v>
      </c>
      <c r="BY435">
        <v>0</v>
      </c>
      <c r="BZ435" s="18">
        <v>0</v>
      </c>
      <c r="CA435">
        <v>0</v>
      </c>
      <c r="CB435">
        <v>1</v>
      </c>
      <c r="CC435">
        <v>0</v>
      </c>
      <c r="CD435" s="18">
        <v>0</v>
      </c>
      <c r="CE435">
        <v>0</v>
      </c>
      <c r="CF435">
        <v>0</v>
      </c>
      <c r="CG435">
        <v>0</v>
      </c>
      <c r="CH435">
        <v>0</v>
      </c>
      <c r="CI435" s="18">
        <v>0</v>
      </c>
      <c r="CJ435">
        <v>1</v>
      </c>
      <c r="CK435">
        <v>1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 s="18">
        <v>0</v>
      </c>
      <c r="CZ435" s="34" t="s">
        <v>87</v>
      </c>
    </row>
    <row r="436" spans="1:104" x14ac:dyDescent="0.25">
      <c r="A436">
        <v>435</v>
      </c>
      <c r="B436">
        <v>27</v>
      </c>
      <c r="C436" s="25" t="s">
        <v>274</v>
      </c>
      <c r="D436" s="12">
        <v>14.9</v>
      </c>
      <c r="E436" s="14">
        <v>0.54700000000000004</v>
      </c>
      <c r="F436" s="7">
        <f t="shared" si="298"/>
        <v>27.239488117001827</v>
      </c>
      <c r="G436" s="7">
        <f t="shared" si="290"/>
        <v>14.353</v>
      </c>
      <c r="H436" s="16">
        <f t="shared" si="291"/>
        <v>15.447000000000001</v>
      </c>
      <c r="I436" s="11">
        <f t="shared" si="271"/>
        <v>6.0825619003027735E-2</v>
      </c>
      <c r="J436" s="33">
        <f t="shared" si="272"/>
        <v>2.2329942009836358E-3</v>
      </c>
      <c r="K436" s="33">
        <f t="shared" si="305"/>
        <v>447.82919703038152</v>
      </c>
      <c r="L436" s="33">
        <f t="shared" si="306"/>
        <v>5.8592624802044101E-2</v>
      </c>
      <c r="M436" s="33">
        <f t="shared" si="307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83"/>
        <v>199809</v>
      </c>
      <c r="Y436" s="7" t="s">
        <v>107</v>
      </c>
      <c r="Z436" s="7" t="s">
        <v>107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9">
        <v>0</v>
      </c>
      <c r="AL436" s="30">
        <v>1</v>
      </c>
      <c r="AM436" s="21">
        <v>1996</v>
      </c>
      <c r="AN436" s="23"/>
      <c r="AO436" s="33" t="s">
        <v>107</v>
      </c>
      <c r="AP436" s="33" t="s">
        <v>107</v>
      </c>
      <c r="AQ436" s="33" t="s">
        <v>107</v>
      </c>
      <c r="AR436" s="43" t="s">
        <v>107</v>
      </c>
      <c r="AS436" s="33" t="s">
        <v>107</v>
      </c>
      <c r="AT436" s="43" t="s">
        <v>107</v>
      </c>
      <c r="AU436" s="42" t="s">
        <v>107</v>
      </c>
      <c r="AV436" s="18" t="s">
        <v>107</v>
      </c>
      <c r="AW436" t="s">
        <v>107</v>
      </c>
      <c r="AX436" s="40" t="s">
        <v>107</v>
      </c>
      <c r="AY436" t="s">
        <v>107</v>
      </c>
      <c r="AZ436" s="40" t="s">
        <v>107</v>
      </c>
      <c r="BB436" s="18"/>
      <c r="BC436" t="s">
        <v>107</v>
      </c>
      <c r="BD436" s="18" t="s">
        <v>107</v>
      </c>
      <c r="BE436" s="18" t="s">
        <v>28</v>
      </c>
      <c r="BL436" s="18"/>
      <c r="BO436" s="18"/>
      <c r="BR436" s="25">
        <v>41.5</v>
      </c>
      <c r="BS436">
        <v>0</v>
      </c>
      <c r="BT436">
        <v>0</v>
      </c>
      <c r="BU436">
        <v>1</v>
      </c>
      <c r="BV436">
        <v>0</v>
      </c>
      <c r="BW436">
        <v>0</v>
      </c>
      <c r="BX436">
        <v>0</v>
      </c>
      <c r="BY436">
        <v>0</v>
      </c>
      <c r="BZ436" s="18">
        <v>0</v>
      </c>
      <c r="CA436">
        <v>0</v>
      </c>
      <c r="CB436">
        <v>1</v>
      </c>
      <c r="CC436">
        <v>0</v>
      </c>
      <c r="CD436" s="18">
        <v>0</v>
      </c>
      <c r="CE436">
        <v>0</v>
      </c>
      <c r="CF436">
        <v>0</v>
      </c>
      <c r="CG436">
        <v>0</v>
      </c>
      <c r="CH436">
        <v>0</v>
      </c>
      <c r="CI436" s="18">
        <v>0</v>
      </c>
      <c r="CJ436">
        <v>1</v>
      </c>
      <c r="CK436">
        <v>1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 s="18">
        <v>0</v>
      </c>
      <c r="CZ436" s="34" t="s">
        <v>87</v>
      </c>
    </row>
    <row r="437" spans="1:104" x14ac:dyDescent="0.25">
      <c r="A437">
        <v>436</v>
      </c>
      <c r="B437">
        <v>27</v>
      </c>
      <c r="C437" s="85" t="s">
        <v>274</v>
      </c>
      <c r="D437" s="12">
        <v>10.7</v>
      </c>
      <c r="E437" s="14">
        <v>3.4000000000000002E-2</v>
      </c>
      <c r="F437" s="7">
        <f t="shared" si="298"/>
        <v>314.70588235294116</v>
      </c>
      <c r="G437" s="7">
        <f t="shared" si="290"/>
        <v>10.665999999999999</v>
      </c>
      <c r="H437" s="16">
        <f t="shared" si="291"/>
        <v>10.734</v>
      </c>
      <c r="I437" s="11">
        <f t="shared" si="271"/>
        <v>0.6844104528830901</v>
      </c>
      <c r="J437" s="33">
        <f t="shared" si="272"/>
        <v>2.1747621867313142E-3</v>
      </c>
      <c r="K437" s="33">
        <f t="shared" ref="K437:K440" si="308">IFERROR(1/J437, "X")</f>
        <v>459.82039144381503</v>
      </c>
      <c r="L437" s="33">
        <f t="shared" ref="L437:L440" si="309">IFERROR(I437-J437, "X")</f>
        <v>0.68223569069635881</v>
      </c>
      <c r="M437" s="33">
        <f t="shared" ref="M437:M440" si="310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11">U437-V437-1</f>
        <v>112395</v>
      </c>
      <c r="Y437" s="7" t="s">
        <v>107</v>
      </c>
      <c r="Z437" s="7" t="s">
        <v>107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9">
        <v>0</v>
      </c>
      <c r="AL437" s="30">
        <v>0</v>
      </c>
      <c r="AM437" s="21">
        <v>1996</v>
      </c>
      <c r="AN437" s="23"/>
      <c r="AO437" s="33" t="s">
        <v>107</v>
      </c>
      <c r="AP437" s="33" t="s">
        <v>107</v>
      </c>
      <c r="AQ437" s="33" t="s">
        <v>107</v>
      </c>
      <c r="AR437" s="43" t="s">
        <v>107</v>
      </c>
      <c r="AS437" s="33" t="s">
        <v>107</v>
      </c>
      <c r="AT437" s="43" t="s">
        <v>107</v>
      </c>
      <c r="AU437" s="42" t="s">
        <v>107</v>
      </c>
      <c r="AV437" s="18" t="s">
        <v>107</v>
      </c>
      <c r="AW437">
        <v>1</v>
      </c>
      <c r="AX437" s="40">
        <v>0</v>
      </c>
      <c r="AY437" t="s">
        <v>107</v>
      </c>
      <c r="AZ437" s="40" t="s">
        <v>107</v>
      </c>
      <c r="BB437" s="18"/>
      <c r="BC437" t="s">
        <v>107</v>
      </c>
      <c r="BD437" s="18" t="s">
        <v>107</v>
      </c>
      <c r="BE437" s="18" t="s">
        <v>28</v>
      </c>
      <c r="BL437" s="18"/>
      <c r="BO437" s="18"/>
      <c r="BR437" s="25">
        <v>41.5</v>
      </c>
      <c r="BS437">
        <v>1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 s="18">
        <v>0</v>
      </c>
      <c r="CA437">
        <v>0</v>
      </c>
      <c r="CB437">
        <v>0</v>
      </c>
      <c r="CC437">
        <v>1</v>
      </c>
      <c r="CD437" s="18">
        <v>0</v>
      </c>
      <c r="CE437">
        <v>0</v>
      </c>
      <c r="CF437">
        <v>0</v>
      </c>
      <c r="CG437">
        <v>0</v>
      </c>
      <c r="CH437">
        <v>0</v>
      </c>
      <c r="CI437" s="18">
        <v>0</v>
      </c>
      <c r="CJ437">
        <v>1</v>
      </c>
      <c r="CK437">
        <v>1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 s="18">
        <v>0</v>
      </c>
      <c r="CZ437" s="34" t="s">
        <v>87</v>
      </c>
    </row>
    <row r="438" spans="1:104" x14ac:dyDescent="0.25">
      <c r="A438">
        <v>437</v>
      </c>
      <c r="B438">
        <v>27</v>
      </c>
      <c r="C438" s="25" t="s">
        <v>274</v>
      </c>
      <c r="D438" s="12">
        <v>12</v>
      </c>
      <c r="E438" s="14">
        <v>0.64800000000000002</v>
      </c>
      <c r="F438" s="7">
        <f t="shared" si="298"/>
        <v>18.518518518518519</v>
      </c>
      <c r="G438" s="7">
        <f t="shared" si="290"/>
        <v>11.352</v>
      </c>
      <c r="H438" s="16">
        <f t="shared" si="291"/>
        <v>12.648</v>
      </c>
      <c r="I438" s="11">
        <f t="shared" si="271"/>
        <v>5.5153261715128153E-2</v>
      </c>
      <c r="J438" s="33">
        <f t="shared" si="272"/>
        <v>2.9782761326169198E-3</v>
      </c>
      <c r="K438" s="33">
        <f t="shared" si="308"/>
        <v>335.76470262390706</v>
      </c>
      <c r="L438" s="33">
        <f t="shared" si="309"/>
        <v>5.2174985582511234E-2</v>
      </c>
      <c r="M438" s="33">
        <f t="shared" si="310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11"/>
        <v>112395</v>
      </c>
      <c r="Y438" s="7" t="s">
        <v>107</v>
      </c>
      <c r="Z438" s="7" t="s">
        <v>107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9">
        <v>0</v>
      </c>
      <c r="AL438" s="30">
        <v>1</v>
      </c>
      <c r="AM438" s="21">
        <v>1996</v>
      </c>
      <c r="AN438" s="23"/>
      <c r="AO438" s="33" t="s">
        <v>107</v>
      </c>
      <c r="AP438" s="33" t="s">
        <v>107</v>
      </c>
      <c r="AQ438" s="33" t="s">
        <v>107</v>
      </c>
      <c r="AR438" s="43" t="s">
        <v>107</v>
      </c>
      <c r="AS438" s="33" t="s">
        <v>107</v>
      </c>
      <c r="AT438" s="43" t="s">
        <v>107</v>
      </c>
      <c r="AU438" s="42" t="s">
        <v>107</v>
      </c>
      <c r="AV438" s="18" t="s">
        <v>107</v>
      </c>
      <c r="AW438">
        <v>1</v>
      </c>
      <c r="AX438" s="40">
        <v>0</v>
      </c>
      <c r="AY438" t="s">
        <v>107</v>
      </c>
      <c r="AZ438" s="40" t="s">
        <v>107</v>
      </c>
      <c r="BB438" s="18"/>
      <c r="BC438" t="s">
        <v>107</v>
      </c>
      <c r="BD438" s="18" t="s">
        <v>107</v>
      </c>
      <c r="BE438" s="18" t="s">
        <v>28</v>
      </c>
      <c r="BL438" s="18"/>
      <c r="BO438" s="18"/>
      <c r="BR438" s="25">
        <v>41.5</v>
      </c>
      <c r="BS438">
        <v>0</v>
      </c>
      <c r="BT438">
        <v>0</v>
      </c>
      <c r="BU438">
        <v>1</v>
      </c>
      <c r="BV438">
        <v>0</v>
      </c>
      <c r="BW438">
        <v>0</v>
      </c>
      <c r="BX438">
        <v>0</v>
      </c>
      <c r="BY438">
        <v>0</v>
      </c>
      <c r="BZ438" s="18">
        <v>0</v>
      </c>
      <c r="CA438">
        <v>0</v>
      </c>
      <c r="CB438">
        <v>1</v>
      </c>
      <c r="CC438">
        <v>0</v>
      </c>
      <c r="CD438" s="18">
        <v>0</v>
      </c>
      <c r="CE438">
        <v>0</v>
      </c>
      <c r="CF438">
        <v>0</v>
      </c>
      <c r="CG438">
        <v>0</v>
      </c>
      <c r="CH438">
        <v>0</v>
      </c>
      <c r="CI438" s="18">
        <v>0</v>
      </c>
      <c r="CJ438">
        <v>1</v>
      </c>
      <c r="CK438">
        <v>1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 s="18">
        <v>0</v>
      </c>
      <c r="CZ438" s="34" t="s">
        <v>87</v>
      </c>
    </row>
    <row r="439" spans="1:104" x14ac:dyDescent="0.25">
      <c r="A439">
        <v>438</v>
      </c>
      <c r="B439">
        <v>27</v>
      </c>
      <c r="C439" s="85" t="s">
        <v>274</v>
      </c>
      <c r="D439" s="12">
        <v>12.9</v>
      </c>
      <c r="E439" s="14">
        <v>3.5900000000000001E-2</v>
      </c>
      <c r="F439" s="7">
        <f t="shared" si="298"/>
        <v>359.33147632311977</v>
      </c>
      <c r="G439" s="7">
        <f t="shared" si="290"/>
        <v>12.864100000000001</v>
      </c>
      <c r="H439" s="16">
        <f t="shared" si="291"/>
        <v>12.9359</v>
      </c>
      <c r="I439" s="11">
        <f t="shared" si="271"/>
        <v>0.77224867968019839</v>
      </c>
      <c r="J439" s="33">
        <f t="shared" si="272"/>
        <v>2.1491261705828776E-3</v>
      </c>
      <c r="K439" s="33">
        <f t="shared" si="308"/>
        <v>465.3053942053034</v>
      </c>
      <c r="L439" s="33">
        <f t="shared" si="309"/>
        <v>0.77009955350961556</v>
      </c>
      <c r="M439" s="33">
        <f t="shared" si="310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11"/>
        <v>87390</v>
      </c>
      <c r="Y439" s="7" t="s">
        <v>107</v>
      </c>
      <c r="Z439" s="7" t="s">
        <v>107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9">
        <v>0</v>
      </c>
      <c r="AL439" s="30">
        <v>0</v>
      </c>
      <c r="AM439" s="21">
        <v>1996</v>
      </c>
      <c r="AN439" s="23"/>
      <c r="AO439" s="33" t="s">
        <v>107</v>
      </c>
      <c r="AP439" s="33" t="s">
        <v>107</v>
      </c>
      <c r="AQ439" s="33" t="s">
        <v>107</v>
      </c>
      <c r="AR439" s="43" t="s">
        <v>107</v>
      </c>
      <c r="AS439" s="33" t="s">
        <v>107</v>
      </c>
      <c r="AT439" s="43" t="s">
        <v>107</v>
      </c>
      <c r="AU439" s="42" t="s">
        <v>107</v>
      </c>
      <c r="AV439" s="18" t="s">
        <v>107</v>
      </c>
      <c r="AW439">
        <v>0</v>
      </c>
      <c r="AX439" s="40">
        <v>1</v>
      </c>
      <c r="AY439" t="s">
        <v>107</v>
      </c>
      <c r="AZ439" s="40" t="s">
        <v>107</v>
      </c>
      <c r="BB439" s="18"/>
      <c r="BC439" t="s">
        <v>107</v>
      </c>
      <c r="BD439" s="18" t="s">
        <v>107</v>
      </c>
      <c r="BE439" s="18" t="s">
        <v>28</v>
      </c>
      <c r="BL439" s="18"/>
      <c r="BO439" s="18"/>
      <c r="BR439" s="25">
        <v>41.5</v>
      </c>
      <c r="BS439">
        <v>1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 s="18">
        <v>0</v>
      </c>
      <c r="CA439">
        <v>0</v>
      </c>
      <c r="CB439">
        <v>0</v>
      </c>
      <c r="CC439">
        <v>1</v>
      </c>
      <c r="CD439" s="18">
        <v>0</v>
      </c>
      <c r="CE439">
        <v>0</v>
      </c>
      <c r="CF439">
        <v>0</v>
      </c>
      <c r="CG439">
        <v>0</v>
      </c>
      <c r="CH439">
        <v>0</v>
      </c>
      <c r="CI439" s="18">
        <v>0</v>
      </c>
      <c r="CJ439">
        <v>1</v>
      </c>
      <c r="CK439">
        <v>1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 s="18">
        <v>0</v>
      </c>
      <c r="CZ439" s="34" t="s">
        <v>87</v>
      </c>
    </row>
    <row r="440" spans="1:104" x14ac:dyDescent="0.25">
      <c r="A440">
        <v>439</v>
      </c>
      <c r="B440">
        <v>27</v>
      </c>
      <c r="C440" s="25" t="s">
        <v>274</v>
      </c>
      <c r="D440" s="12">
        <v>16.7</v>
      </c>
      <c r="E440" s="14">
        <v>0.61</v>
      </c>
      <c r="F440" s="7">
        <f t="shared" si="298"/>
        <v>27.377049180327869</v>
      </c>
      <c r="G440" s="7">
        <f t="shared" si="290"/>
        <v>16.09</v>
      </c>
      <c r="H440" s="16">
        <f t="shared" si="291"/>
        <v>17.309999999999999</v>
      </c>
      <c r="I440" s="11">
        <f t="shared" si="271"/>
        <v>9.2214950598948575E-2</v>
      </c>
      <c r="J440" s="33">
        <f t="shared" si="272"/>
        <v>3.3683305308597985E-3</v>
      </c>
      <c r="K440" s="33">
        <f t="shared" si="308"/>
        <v>296.88297832954669</v>
      </c>
      <c r="L440" s="33">
        <f t="shared" si="309"/>
        <v>8.8846620068088772E-2</v>
      </c>
      <c r="M440" s="33">
        <f t="shared" si="310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11"/>
        <v>87390</v>
      </c>
      <c r="Y440" s="7" t="s">
        <v>107</v>
      </c>
      <c r="Z440" s="7" t="s">
        <v>107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9">
        <v>0</v>
      </c>
      <c r="AL440" s="30">
        <v>1</v>
      </c>
      <c r="AM440" s="21">
        <v>1996</v>
      </c>
      <c r="AN440" s="23"/>
      <c r="AO440" s="33" t="s">
        <v>107</v>
      </c>
      <c r="AP440" s="33" t="s">
        <v>107</v>
      </c>
      <c r="AQ440" s="33" t="s">
        <v>107</v>
      </c>
      <c r="AR440" s="43" t="s">
        <v>107</v>
      </c>
      <c r="AS440" s="33" t="s">
        <v>107</v>
      </c>
      <c r="AT440" s="43" t="s">
        <v>107</v>
      </c>
      <c r="AU440" s="42" t="s">
        <v>107</v>
      </c>
      <c r="AV440" s="18" t="s">
        <v>107</v>
      </c>
      <c r="AW440">
        <v>0</v>
      </c>
      <c r="AX440" s="40">
        <v>1</v>
      </c>
      <c r="AY440" t="s">
        <v>107</v>
      </c>
      <c r="AZ440" s="40" t="s">
        <v>107</v>
      </c>
      <c r="BB440" s="18"/>
      <c r="BC440" t="s">
        <v>107</v>
      </c>
      <c r="BD440" s="18" t="s">
        <v>107</v>
      </c>
      <c r="BE440" s="18" t="s">
        <v>28</v>
      </c>
      <c r="BL440" s="18"/>
      <c r="BO440" s="18"/>
      <c r="BR440" s="25">
        <v>41.5</v>
      </c>
      <c r="BS440">
        <v>0</v>
      </c>
      <c r="BT440">
        <v>0</v>
      </c>
      <c r="BU440">
        <v>1</v>
      </c>
      <c r="BV440">
        <v>0</v>
      </c>
      <c r="BW440">
        <v>0</v>
      </c>
      <c r="BX440">
        <v>0</v>
      </c>
      <c r="BY440">
        <v>0</v>
      </c>
      <c r="BZ440" s="18">
        <v>0</v>
      </c>
      <c r="CA440">
        <v>0</v>
      </c>
      <c r="CB440">
        <v>1</v>
      </c>
      <c r="CC440">
        <v>0</v>
      </c>
      <c r="CD440" s="18">
        <v>0</v>
      </c>
      <c r="CE440">
        <v>0</v>
      </c>
      <c r="CF440">
        <v>0</v>
      </c>
      <c r="CG440">
        <v>0</v>
      </c>
      <c r="CH440">
        <v>0</v>
      </c>
      <c r="CI440" s="18">
        <v>0</v>
      </c>
      <c r="CJ440">
        <v>1</v>
      </c>
      <c r="CK440">
        <v>1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 s="18">
        <v>0</v>
      </c>
      <c r="CZ440" s="34" t="s">
        <v>87</v>
      </c>
    </row>
    <row r="441" spans="1:104" x14ac:dyDescent="0.25">
      <c r="A441">
        <v>440</v>
      </c>
      <c r="B441">
        <v>27</v>
      </c>
      <c r="C441" s="85" t="s">
        <v>274</v>
      </c>
      <c r="D441" s="12">
        <v>11.5</v>
      </c>
      <c r="E441" s="14">
        <v>3.0599999999999999E-2</v>
      </c>
      <c r="F441" s="7">
        <f t="shared" si="298"/>
        <v>375.8169934640523</v>
      </c>
      <c r="G441" s="7">
        <f t="shared" si="290"/>
        <v>11.4694</v>
      </c>
      <c r="H441" s="16">
        <f t="shared" si="291"/>
        <v>11.5306</v>
      </c>
      <c r="I441" s="11">
        <f t="shared" si="271"/>
        <v>0.71475691727352053</v>
      </c>
      <c r="J441" s="33">
        <f t="shared" si="272"/>
        <v>1.9018749277017154E-3</v>
      </c>
      <c r="K441" s="33">
        <f t="shared" ref="K441:K444" si="312">IFERROR(1/J441, "X")</f>
        <v>525.79693093090566</v>
      </c>
      <c r="L441" s="33">
        <f t="shared" ref="L441:L444" si="313">IFERROR(I441-J441, "X")</f>
        <v>0.71285504234581887</v>
      </c>
      <c r="M441" s="33">
        <f t="shared" ref="M441:M444" si="314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11"/>
        <v>135224</v>
      </c>
      <c r="Y441" s="7" t="s">
        <v>107</v>
      </c>
      <c r="Z441" s="7" t="s">
        <v>107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9">
        <v>0</v>
      </c>
      <c r="AL441" s="30">
        <v>0</v>
      </c>
      <c r="AM441" s="21">
        <v>1996</v>
      </c>
      <c r="AN441" s="23"/>
      <c r="AO441" s="33" t="s">
        <v>107</v>
      </c>
      <c r="AP441" s="33" t="s">
        <v>107</v>
      </c>
      <c r="AQ441" s="33" t="s">
        <v>107</v>
      </c>
      <c r="AR441" s="43" t="s">
        <v>107</v>
      </c>
      <c r="AS441" s="33" t="s">
        <v>107</v>
      </c>
      <c r="AT441" s="43" t="s">
        <v>107</v>
      </c>
      <c r="AU441" s="42" t="s">
        <v>107</v>
      </c>
      <c r="AV441" s="18" t="s">
        <v>107</v>
      </c>
      <c r="AW441" t="s">
        <v>107</v>
      </c>
      <c r="AX441" s="40" t="s">
        <v>107</v>
      </c>
      <c r="AY441" t="s">
        <v>107</v>
      </c>
      <c r="AZ441" s="40" t="s">
        <v>107</v>
      </c>
      <c r="BB441" s="18"/>
      <c r="BC441">
        <v>0</v>
      </c>
      <c r="BD441" s="18">
        <v>1</v>
      </c>
      <c r="BE441" s="18" t="s">
        <v>28</v>
      </c>
      <c r="BL441" s="18"/>
      <c r="BO441" s="18"/>
      <c r="BR441" s="25">
        <v>41.5</v>
      </c>
      <c r="BS441">
        <v>1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 s="18">
        <v>0</v>
      </c>
      <c r="CA441">
        <v>0</v>
      </c>
      <c r="CB441">
        <v>0</v>
      </c>
      <c r="CC441">
        <v>1</v>
      </c>
      <c r="CD441" s="18">
        <v>0</v>
      </c>
      <c r="CE441">
        <v>0</v>
      </c>
      <c r="CF441">
        <v>0</v>
      </c>
      <c r="CG441">
        <v>0</v>
      </c>
      <c r="CH441">
        <v>0</v>
      </c>
      <c r="CI441" s="18">
        <v>0</v>
      </c>
      <c r="CJ441">
        <v>1</v>
      </c>
      <c r="CK441">
        <v>1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 s="18">
        <v>0</v>
      </c>
      <c r="CZ441" s="34" t="s">
        <v>87</v>
      </c>
    </row>
    <row r="442" spans="1:104" x14ac:dyDescent="0.25">
      <c r="A442">
        <v>441</v>
      </c>
      <c r="B442">
        <v>27</v>
      </c>
      <c r="C442" s="25" t="s">
        <v>274</v>
      </c>
      <c r="D442" s="12">
        <v>14.6</v>
      </c>
      <c r="E442" s="14">
        <v>0.60099999999999998</v>
      </c>
      <c r="F442" s="7">
        <f t="shared" si="298"/>
        <v>24.292845257903494</v>
      </c>
      <c r="G442" s="7">
        <f t="shared" si="290"/>
        <v>13.998999999999999</v>
      </c>
      <c r="H442" s="16">
        <f t="shared" si="291"/>
        <v>15.201000000000001</v>
      </c>
      <c r="I442" s="11">
        <f t="shared" si="271"/>
        <v>6.5918282922566435E-2</v>
      </c>
      <c r="J442" s="33">
        <f t="shared" si="272"/>
        <v>2.7134854819494815E-3</v>
      </c>
      <c r="K442" s="33">
        <f t="shared" si="312"/>
        <v>368.52970345784132</v>
      </c>
      <c r="L442" s="33">
        <f t="shared" si="313"/>
        <v>6.3204797440616953E-2</v>
      </c>
      <c r="M442" s="33">
        <f t="shared" si="314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11"/>
        <v>135224</v>
      </c>
      <c r="Y442" s="7" t="s">
        <v>107</v>
      </c>
      <c r="Z442" s="7" t="s">
        <v>107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9">
        <v>0</v>
      </c>
      <c r="AL442" s="30">
        <v>1</v>
      </c>
      <c r="AM442" s="21">
        <v>1996</v>
      </c>
      <c r="AN442" s="23"/>
      <c r="AO442" s="33" t="s">
        <v>107</v>
      </c>
      <c r="AP442" s="33" t="s">
        <v>107</v>
      </c>
      <c r="AQ442" s="33" t="s">
        <v>107</v>
      </c>
      <c r="AR442" s="43" t="s">
        <v>107</v>
      </c>
      <c r="AS442" s="33" t="s">
        <v>107</v>
      </c>
      <c r="AT442" s="43" t="s">
        <v>107</v>
      </c>
      <c r="AU442" s="42" t="s">
        <v>107</v>
      </c>
      <c r="AV442" s="18" t="s">
        <v>107</v>
      </c>
      <c r="AW442" t="s">
        <v>107</v>
      </c>
      <c r="AX442" s="40" t="s">
        <v>107</v>
      </c>
      <c r="AY442" t="s">
        <v>107</v>
      </c>
      <c r="AZ442" s="40" t="s">
        <v>107</v>
      </c>
      <c r="BB442" s="18"/>
      <c r="BC442">
        <v>0</v>
      </c>
      <c r="BD442" s="18">
        <v>1</v>
      </c>
      <c r="BE442" s="18" t="s">
        <v>28</v>
      </c>
      <c r="BL442" s="18"/>
      <c r="BO442" s="18"/>
      <c r="BR442" s="25">
        <v>41.5</v>
      </c>
      <c r="BS442">
        <v>0</v>
      </c>
      <c r="BT442">
        <v>0</v>
      </c>
      <c r="BU442">
        <v>1</v>
      </c>
      <c r="BV442">
        <v>0</v>
      </c>
      <c r="BW442">
        <v>0</v>
      </c>
      <c r="BX442">
        <v>0</v>
      </c>
      <c r="BY442">
        <v>0</v>
      </c>
      <c r="BZ442" s="18">
        <v>0</v>
      </c>
      <c r="CA442">
        <v>0</v>
      </c>
      <c r="CB442">
        <v>1</v>
      </c>
      <c r="CC442">
        <v>0</v>
      </c>
      <c r="CD442" s="18">
        <v>0</v>
      </c>
      <c r="CE442">
        <v>0</v>
      </c>
      <c r="CF442">
        <v>0</v>
      </c>
      <c r="CG442">
        <v>0</v>
      </c>
      <c r="CH442">
        <v>0</v>
      </c>
      <c r="CI442" s="18">
        <v>0</v>
      </c>
      <c r="CJ442">
        <v>1</v>
      </c>
      <c r="CK442">
        <v>1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 s="18">
        <v>0</v>
      </c>
      <c r="CZ442" s="34" t="s">
        <v>87</v>
      </c>
    </row>
    <row r="443" spans="1:104" x14ac:dyDescent="0.25">
      <c r="A443">
        <v>442</v>
      </c>
      <c r="B443">
        <v>27</v>
      </c>
      <c r="C443" s="85" t="s">
        <v>274</v>
      </c>
      <c r="D443" s="12">
        <v>11.4</v>
      </c>
      <c r="E443" s="14">
        <v>4.2999999999999997E-2</v>
      </c>
      <c r="F443" s="7">
        <f t="shared" si="298"/>
        <v>265.11627906976747</v>
      </c>
      <c r="G443" s="7">
        <f t="shared" si="290"/>
        <v>11.357000000000001</v>
      </c>
      <c r="H443" s="16">
        <f t="shared" si="291"/>
        <v>11.443</v>
      </c>
      <c r="I443" s="11">
        <f t="shared" si="271"/>
        <v>0.7219626300596641</v>
      </c>
      <c r="J443" s="33">
        <f t="shared" si="272"/>
        <v>2.7231923765408382E-3</v>
      </c>
      <c r="K443" s="33">
        <f t="shared" si="312"/>
        <v>367.21606913069428</v>
      </c>
      <c r="L443" s="33">
        <f t="shared" si="313"/>
        <v>0.71923943768312326</v>
      </c>
      <c r="M443" s="33">
        <f t="shared" si="314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11"/>
        <v>64561</v>
      </c>
      <c r="Y443" s="7" t="s">
        <v>107</v>
      </c>
      <c r="Z443" s="7" t="s">
        <v>107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9">
        <v>0</v>
      </c>
      <c r="AL443" s="30">
        <v>0</v>
      </c>
      <c r="AM443" s="21">
        <v>1996</v>
      </c>
      <c r="AN443" s="23"/>
      <c r="AO443" s="33" t="s">
        <v>107</v>
      </c>
      <c r="AP443" s="33" t="s">
        <v>107</v>
      </c>
      <c r="AQ443" s="33" t="s">
        <v>107</v>
      </c>
      <c r="AR443" s="43" t="s">
        <v>107</v>
      </c>
      <c r="AS443" s="33" t="s">
        <v>107</v>
      </c>
      <c r="AT443" s="43" t="s">
        <v>107</v>
      </c>
      <c r="AU443" s="42" t="s">
        <v>107</v>
      </c>
      <c r="AV443" s="18" t="s">
        <v>107</v>
      </c>
      <c r="AW443" t="s">
        <v>107</v>
      </c>
      <c r="AX443" s="40" t="s">
        <v>107</v>
      </c>
      <c r="AY443" t="s">
        <v>107</v>
      </c>
      <c r="AZ443" s="40" t="s">
        <v>107</v>
      </c>
      <c r="BB443" s="18"/>
      <c r="BC443">
        <v>1</v>
      </c>
      <c r="BD443" s="18">
        <v>0</v>
      </c>
      <c r="BE443" s="18" t="s">
        <v>28</v>
      </c>
      <c r="BL443" s="18"/>
      <c r="BO443" s="18"/>
      <c r="BR443" s="25">
        <v>41.5</v>
      </c>
      <c r="BS443">
        <v>1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 s="18">
        <v>0</v>
      </c>
      <c r="CA443">
        <v>0</v>
      </c>
      <c r="CB443">
        <v>0</v>
      </c>
      <c r="CC443">
        <v>1</v>
      </c>
      <c r="CD443" s="18">
        <v>0</v>
      </c>
      <c r="CE443">
        <v>0</v>
      </c>
      <c r="CF443">
        <v>0</v>
      </c>
      <c r="CG443">
        <v>0</v>
      </c>
      <c r="CH443">
        <v>0</v>
      </c>
      <c r="CI443" s="18">
        <v>0</v>
      </c>
      <c r="CJ443">
        <v>1</v>
      </c>
      <c r="CK443">
        <v>1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 s="18">
        <v>0</v>
      </c>
      <c r="CZ443" s="34" t="s">
        <v>87</v>
      </c>
    </row>
    <row r="444" spans="1:104" s="52" customFormat="1" x14ac:dyDescent="0.25">
      <c r="A444" s="52">
        <v>443</v>
      </c>
      <c r="B444" s="52">
        <v>27</v>
      </c>
      <c r="C444" s="53" t="s">
        <v>274</v>
      </c>
      <c r="D444" s="54">
        <v>14.1</v>
      </c>
      <c r="E444" s="55">
        <v>0.57799999999999996</v>
      </c>
      <c r="F444" s="56">
        <f t="shared" si="298"/>
        <v>24.394463667820069</v>
      </c>
      <c r="G444" s="56">
        <f t="shared" si="290"/>
        <v>13.522</v>
      </c>
      <c r="H444" s="57">
        <f t="shared" si="291"/>
        <v>14.677999999999999</v>
      </c>
      <c r="I444" s="58">
        <f t="shared" si="271"/>
        <v>9.5568279478523185E-2</v>
      </c>
      <c r="J444" s="59">
        <f t="shared" si="272"/>
        <v>3.9176216694032911E-3</v>
      </c>
      <c r="K444" s="59">
        <f t="shared" si="312"/>
        <v>255.25690951988074</v>
      </c>
      <c r="L444" s="59">
        <f t="shared" si="313"/>
        <v>9.1650657809119893E-2</v>
      </c>
      <c r="M444" s="59">
        <f t="shared" si="314"/>
        <v>9.9485901147926478E-2</v>
      </c>
      <c r="N444" s="60">
        <v>0</v>
      </c>
      <c r="O444" s="61">
        <v>1</v>
      </c>
      <c r="P444" s="60">
        <v>0</v>
      </c>
      <c r="Q444" s="61">
        <v>0</v>
      </c>
      <c r="R444" s="61">
        <v>0</v>
      </c>
      <c r="S444" s="61">
        <v>1</v>
      </c>
      <c r="T444" s="61">
        <v>0</v>
      </c>
      <c r="U444" s="60">
        <v>64585</v>
      </c>
      <c r="V444" s="61">
        <v>23</v>
      </c>
      <c r="W444" s="61">
        <f t="shared" si="311"/>
        <v>64561</v>
      </c>
      <c r="X444" s="61"/>
      <c r="Y444" s="56" t="s">
        <v>107</v>
      </c>
      <c r="Z444" s="56" t="s">
        <v>107</v>
      </c>
      <c r="AA444" s="61">
        <v>1</v>
      </c>
      <c r="AB444" s="61">
        <v>0</v>
      </c>
      <c r="AC444" s="61">
        <v>0</v>
      </c>
      <c r="AD444" s="61">
        <v>1</v>
      </c>
      <c r="AE444" s="61">
        <v>0</v>
      </c>
      <c r="AF444" s="61">
        <v>0</v>
      </c>
      <c r="AG444" s="60">
        <v>0</v>
      </c>
      <c r="AH444" s="61">
        <v>1</v>
      </c>
      <c r="AI444" s="62">
        <v>0</v>
      </c>
      <c r="AJ444" s="61">
        <v>0</v>
      </c>
      <c r="AK444" s="61">
        <v>0</v>
      </c>
      <c r="AL444" s="62">
        <v>1</v>
      </c>
      <c r="AM444" s="63">
        <v>1996</v>
      </c>
      <c r="AN444" s="64"/>
      <c r="AO444" s="59" t="s">
        <v>107</v>
      </c>
      <c r="AP444" s="59" t="s">
        <v>107</v>
      </c>
      <c r="AQ444" s="59" t="s">
        <v>107</v>
      </c>
      <c r="AR444" s="65" t="s">
        <v>107</v>
      </c>
      <c r="AS444" s="59" t="s">
        <v>107</v>
      </c>
      <c r="AT444" s="65" t="s">
        <v>107</v>
      </c>
      <c r="AU444" s="66" t="s">
        <v>107</v>
      </c>
      <c r="AV444" s="67" t="s">
        <v>107</v>
      </c>
      <c r="AW444" s="52" t="s">
        <v>107</v>
      </c>
      <c r="AX444" s="68" t="s">
        <v>107</v>
      </c>
      <c r="AY444" s="52" t="s">
        <v>107</v>
      </c>
      <c r="AZ444" s="68" t="s">
        <v>107</v>
      </c>
      <c r="BB444" s="67"/>
      <c r="BC444" s="52">
        <v>1</v>
      </c>
      <c r="BD444" s="67">
        <v>0</v>
      </c>
      <c r="BE444" s="67" t="s">
        <v>28</v>
      </c>
      <c r="BL444" s="67"/>
      <c r="BO444" s="67"/>
      <c r="BR444" s="53">
        <v>41.5</v>
      </c>
      <c r="BS444" s="52">
        <v>0</v>
      </c>
      <c r="BT444" s="52">
        <v>0</v>
      </c>
      <c r="BU444" s="52">
        <v>1</v>
      </c>
      <c r="BV444" s="52">
        <v>0</v>
      </c>
      <c r="BW444" s="52">
        <v>0</v>
      </c>
      <c r="BX444" s="52">
        <v>0</v>
      </c>
      <c r="BY444" s="52">
        <v>0</v>
      </c>
      <c r="BZ444" s="67">
        <v>0</v>
      </c>
      <c r="CA444" s="52">
        <v>0</v>
      </c>
      <c r="CB444" s="52">
        <v>1</v>
      </c>
      <c r="CC444" s="52">
        <v>0</v>
      </c>
      <c r="CD444" s="67">
        <v>0</v>
      </c>
      <c r="CE444" s="52">
        <v>0</v>
      </c>
      <c r="CF444" s="52">
        <v>0</v>
      </c>
      <c r="CG444" s="52">
        <v>0</v>
      </c>
      <c r="CH444" s="52">
        <v>0</v>
      </c>
      <c r="CI444" s="67">
        <v>0</v>
      </c>
      <c r="CJ444" s="52">
        <v>1</v>
      </c>
      <c r="CK444" s="52">
        <v>1</v>
      </c>
      <c r="CL444" s="52">
        <v>0</v>
      </c>
      <c r="CM444" s="52">
        <v>0</v>
      </c>
      <c r="CN444" s="52">
        <v>0</v>
      </c>
      <c r="CO444" s="52">
        <v>0</v>
      </c>
      <c r="CP444" s="52">
        <v>0</v>
      </c>
      <c r="CQ444" s="52">
        <v>0</v>
      </c>
      <c r="CR444" s="52">
        <v>0</v>
      </c>
      <c r="CS444" s="52">
        <v>0</v>
      </c>
      <c r="CT444" s="67">
        <v>0</v>
      </c>
      <c r="CY444" s="53"/>
      <c r="CZ444" s="69" t="s">
        <v>87</v>
      </c>
    </row>
    <row r="445" spans="1:104" x14ac:dyDescent="0.25">
      <c r="A445">
        <v>444</v>
      </c>
      <c r="B445">
        <v>28</v>
      </c>
      <c r="C445" s="25" t="s">
        <v>276</v>
      </c>
      <c r="D445" s="12">
        <v>4.5999999999999996</v>
      </c>
      <c r="E445" s="14">
        <f t="shared" ref="E445:E452" si="315">D445/F445</f>
        <v>0.13855421686746985</v>
      </c>
      <c r="F445" s="7">
        <v>33.200000000000003</v>
      </c>
      <c r="G445" s="7">
        <f t="shared" ref="G445:G448" si="316">D445-E445</f>
        <v>4.4614457831325298</v>
      </c>
      <c r="H445" s="16">
        <f t="shared" ref="H445:H448" si="317">D445+E445</f>
        <v>4.7385542168674695</v>
      </c>
      <c r="I445" s="11">
        <f t="shared" si="271"/>
        <v>0.3293553550615026</v>
      </c>
      <c r="J445" s="33">
        <f t="shared" si="272"/>
        <v>9.9203420199247758E-3</v>
      </c>
      <c r="K445" s="33">
        <f t="shared" ref="K445:K448" si="318">IFERROR(1/J445, "X")</f>
        <v>100.80297614654044</v>
      </c>
      <c r="L445" s="33">
        <f t="shared" ref="L445:L448" si="319">IFERROR(I445-J445, "X")</f>
        <v>0.31943501304157784</v>
      </c>
      <c r="M445" s="33">
        <f t="shared" ref="M445:M448" si="320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11"/>
        <v>9059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9">
        <v>0</v>
      </c>
      <c r="AL445" s="30">
        <v>1</v>
      </c>
      <c r="AM445" s="21">
        <v>1998</v>
      </c>
      <c r="AN445" s="23"/>
      <c r="AO445" s="33">
        <v>0.10999999999999999</v>
      </c>
      <c r="AP445" s="33">
        <v>0.52</v>
      </c>
      <c r="AQ445" s="33">
        <v>0.31</v>
      </c>
      <c r="AR445" s="43">
        <v>0.06</v>
      </c>
      <c r="AS445" s="33" t="s">
        <v>107</v>
      </c>
      <c r="AT445" s="43" t="s">
        <v>107</v>
      </c>
      <c r="AU445" s="42">
        <v>1</v>
      </c>
      <c r="AV445" s="18">
        <v>0</v>
      </c>
      <c r="AW445">
        <v>1</v>
      </c>
      <c r="AX445" s="40">
        <v>0</v>
      </c>
      <c r="AY445" t="s">
        <v>107</v>
      </c>
      <c r="AZ445" s="40" t="s">
        <v>107</v>
      </c>
      <c r="BB445" s="18"/>
      <c r="BC445" t="s">
        <v>107</v>
      </c>
      <c r="BD445" s="18" t="s">
        <v>107</v>
      </c>
      <c r="BE445" s="18" t="s">
        <v>19</v>
      </c>
      <c r="BL445" s="18"/>
      <c r="BO445" s="18"/>
      <c r="BR445" s="25">
        <v>34.03</v>
      </c>
      <c r="BS445">
        <v>1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 s="18">
        <v>0</v>
      </c>
      <c r="CA445">
        <v>0</v>
      </c>
      <c r="CB445">
        <v>0</v>
      </c>
      <c r="CC445">
        <v>1</v>
      </c>
      <c r="CD445" s="18">
        <v>0</v>
      </c>
      <c r="CE445">
        <v>0</v>
      </c>
      <c r="CF445">
        <v>0</v>
      </c>
      <c r="CG445">
        <v>0</v>
      </c>
      <c r="CH445">
        <v>0</v>
      </c>
      <c r="CI445" s="18">
        <v>0</v>
      </c>
      <c r="CJ445">
        <v>0</v>
      </c>
      <c r="CK445">
        <v>0</v>
      </c>
      <c r="CL445">
        <v>1</v>
      </c>
      <c r="CM445">
        <v>1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 s="18">
        <v>0</v>
      </c>
      <c r="CZ445" s="34" t="s">
        <v>87</v>
      </c>
    </row>
    <row r="446" spans="1:104" x14ac:dyDescent="0.25">
      <c r="A446">
        <v>445</v>
      </c>
      <c r="B446">
        <v>28</v>
      </c>
      <c r="C446" s="25" t="s">
        <v>276</v>
      </c>
      <c r="D446" s="12">
        <v>5.3</v>
      </c>
      <c r="E446" s="14">
        <f t="shared" si="315"/>
        <v>0.2264957264957265</v>
      </c>
      <c r="F446" s="7">
        <v>23.4</v>
      </c>
      <c r="G446" s="7">
        <f t="shared" si="316"/>
        <v>5.0735042735042732</v>
      </c>
      <c r="H446" s="16">
        <f t="shared" si="317"/>
        <v>5.5264957264957264</v>
      </c>
      <c r="I446" s="11">
        <f t="shared" si="271"/>
        <v>0.38591799382353975</v>
      </c>
      <c r="J446" s="33">
        <f t="shared" si="272"/>
        <v>1.6492221958270933E-2</v>
      </c>
      <c r="K446" s="33">
        <f t="shared" si="318"/>
        <v>60.634643562900564</v>
      </c>
      <c r="L446" s="33">
        <f t="shared" si="319"/>
        <v>0.36942577186526881</v>
      </c>
      <c r="M446" s="33">
        <f t="shared" si="320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11"/>
        <v>3129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9">
        <v>0</v>
      </c>
      <c r="AL446" s="30">
        <v>1</v>
      </c>
      <c r="AM446" s="21">
        <v>1998</v>
      </c>
      <c r="AN446" s="23"/>
      <c r="AO446" s="33">
        <v>0.26</v>
      </c>
      <c r="AP446" s="33">
        <v>0.47</v>
      </c>
      <c r="AQ446" s="33">
        <v>0.24700000000000003</v>
      </c>
      <c r="AR446" s="43">
        <v>2.3E-2</v>
      </c>
      <c r="AS446" s="33" t="s">
        <v>107</v>
      </c>
      <c r="AT446" s="43" t="s">
        <v>107</v>
      </c>
      <c r="AU446" s="42">
        <v>1</v>
      </c>
      <c r="AV446" s="18">
        <v>0</v>
      </c>
      <c r="AW446">
        <v>0</v>
      </c>
      <c r="AX446" s="40">
        <v>1</v>
      </c>
      <c r="AY446" t="s">
        <v>107</v>
      </c>
      <c r="AZ446" s="40" t="s">
        <v>107</v>
      </c>
      <c r="BB446" s="18"/>
      <c r="BC446" t="s">
        <v>107</v>
      </c>
      <c r="BD446" s="18" t="s">
        <v>107</v>
      </c>
      <c r="BE446" s="18" t="s">
        <v>19</v>
      </c>
      <c r="BL446" s="18"/>
      <c r="BO446" s="18"/>
      <c r="BR446" s="25">
        <v>31.8</v>
      </c>
      <c r="BS446">
        <v>1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 s="18">
        <v>0</v>
      </c>
      <c r="CA446">
        <v>0</v>
      </c>
      <c r="CB446">
        <v>0</v>
      </c>
      <c r="CC446">
        <v>1</v>
      </c>
      <c r="CD446" s="18">
        <v>0</v>
      </c>
      <c r="CE446">
        <v>0</v>
      </c>
      <c r="CF446">
        <v>0</v>
      </c>
      <c r="CG446">
        <v>0</v>
      </c>
      <c r="CH446">
        <v>0</v>
      </c>
      <c r="CI446" s="18">
        <v>0</v>
      </c>
      <c r="CJ446">
        <v>0</v>
      </c>
      <c r="CK446">
        <v>0</v>
      </c>
      <c r="CL446">
        <v>1</v>
      </c>
      <c r="CM446">
        <v>1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 s="18">
        <v>0</v>
      </c>
      <c r="CZ446" s="34" t="s">
        <v>87</v>
      </c>
    </row>
    <row r="447" spans="1:104" x14ac:dyDescent="0.25">
      <c r="A447">
        <v>446</v>
      </c>
      <c r="B447">
        <v>28</v>
      </c>
      <c r="C447" s="25" t="s">
        <v>276</v>
      </c>
      <c r="D447" s="12">
        <v>3.6</v>
      </c>
      <c r="E447" s="14">
        <f t="shared" si="315"/>
        <v>6.4285714285714293E-2</v>
      </c>
      <c r="F447" s="7">
        <v>56</v>
      </c>
      <c r="G447" s="7">
        <f t="shared" si="316"/>
        <v>3.5357142857142856</v>
      </c>
      <c r="H447" s="16">
        <f t="shared" si="317"/>
        <v>3.6642857142857146</v>
      </c>
      <c r="I447" s="11">
        <f t="shared" si="271"/>
        <v>0.23199795227200942</v>
      </c>
      <c r="J447" s="33">
        <f t="shared" si="272"/>
        <v>4.1428205762858829E-3</v>
      </c>
      <c r="K447" s="33">
        <f t="shared" si="318"/>
        <v>241.38144087729691</v>
      </c>
      <c r="L447" s="33">
        <f t="shared" si="319"/>
        <v>0.22785513169572355</v>
      </c>
      <c r="M447" s="33">
        <f t="shared" si="320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11"/>
        <v>55129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9">
        <v>0</v>
      </c>
      <c r="AL447" s="30">
        <v>1</v>
      </c>
      <c r="AM447" s="21">
        <v>1998</v>
      </c>
      <c r="AN447" s="23"/>
      <c r="AO447" s="33">
        <v>0.10999999999999999</v>
      </c>
      <c r="AP447" s="33">
        <v>0.52</v>
      </c>
      <c r="AQ447" s="33">
        <v>0.31</v>
      </c>
      <c r="AR447" s="43">
        <v>0.06</v>
      </c>
      <c r="AS447" s="33" t="s">
        <v>107</v>
      </c>
      <c r="AT447" s="43" t="s">
        <v>107</v>
      </c>
      <c r="AU447" s="42">
        <v>0</v>
      </c>
      <c r="AV447" s="18">
        <v>1</v>
      </c>
      <c r="AW447">
        <v>1</v>
      </c>
      <c r="AX447" s="40">
        <v>0</v>
      </c>
      <c r="AY447" t="s">
        <v>107</v>
      </c>
      <c r="AZ447" s="40" t="s">
        <v>107</v>
      </c>
      <c r="BB447" s="18"/>
      <c r="BC447" t="s">
        <v>107</v>
      </c>
      <c r="BD447" s="18" t="s">
        <v>107</v>
      </c>
      <c r="BE447" s="18" t="s">
        <v>19</v>
      </c>
      <c r="BL447" s="18"/>
      <c r="BO447" s="18"/>
      <c r="BR447" s="25">
        <v>34.03</v>
      </c>
      <c r="BS447">
        <v>1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 s="18">
        <v>0</v>
      </c>
      <c r="CA447">
        <v>0</v>
      </c>
      <c r="CB447">
        <v>0</v>
      </c>
      <c r="CC447">
        <v>1</v>
      </c>
      <c r="CD447" s="18">
        <v>0</v>
      </c>
      <c r="CE447">
        <v>0</v>
      </c>
      <c r="CF447">
        <v>0</v>
      </c>
      <c r="CG447">
        <v>0</v>
      </c>
      <c r="CH447">
        <v>0</v>
      </c>
      <c r="CI447" s="18">
        <v>0</v>
      </c>
      <c r="CJ447">
        <v>0</v>
      </c>
      <c r="CK447">
        <v>0</v>
      </c>
      <c r="CL447">
        <v>1</v>
      </c>
      <c r="CM447">
        <v>1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 s="18">
        <v>0</v>
      </c>
      <c r="CZ447" s="34" t="s">
        <v>87</v>
      </c>
    </row>
    <row r="448" spans="1:104" x14ac:dyDescent="0.25">
      <c r="A448">
        <v>447</v>
      </c>
      <c r="B448">
        <v>28</v>
      </c>
      <c r="C448" s="25" t="s">
        <v>276</v>
      </c>
      <c r="D448" s="12">
        <v>2.8</v>
      </c>
      <c r="E448" s="14">
        <f t="shared" si="315"/>
        <v>9.3023255813953473E-2</v>
      </c>
      <c r="F448" s="7">
        <v>30.1</v>
      </c>
      <c r="G448" s="7">
        <f t="shared" si="316"/>
        <v>2.7069767441860462</v>
      </c>
      <c r="H448" s="16">
        <f t="shared" si="317"/>
        <v>2.8930232558139535</v>
      </c>
      <c r="I448" s="11">
        <f t="shared" si="271"/>
        <v>0.18766370166751487</v>
      </c>
      <c r="J448" s="33">
        <f t="shared" si="272"/>
        <v>6.2346744740038162E-3</v>
      </c>
      <c r="K448" s="33">
        <f t="shared" si="318"/>
        <v>160.39329786496691</v>
      </c>
      <c r="L448" s="33">
        <f t="shared" si="319"/>
        <v>0.18142902719351106</v>
      </c>
      <c r="M448" s="33">
        <f t="shared" si="320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11"/>
        <v>24820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9">
        <v>0</v>
      </c>
      <c r="AL448" s="30">
        <v>1</v>
      </c>
      <c r="AM448" s="21">
        <v>1998</v>
      </c>
      <c r="AN448" s="23"/>
      <c r="AO448" s="33">
        <v>0.26</v>
      </c>
      <c r="AP448" s="33">
        <v>0.47</v>
      </c>
      <c r="AQ448" s="33">
        <v>0.24700000000000003</v>
      </c>
      <c r="AR448" s="43">
        <v>2.3E-2</v>
      </c>
      <c r="AS448" s="33" t="s">
        <v>107</v>
      </c>
      <c r="AT448" s="43" t="s">
        <v>107</v>
      </c>
      <c r="AU448" s="42">
        <v>0</v>
      </c>
      <c r="AV448" s="18">
        <v>1</v>
      </c>
      <c r="AW448">
        <v>0</v>
      </c>
      <c r="AX448" s="40">
        <v>1</v>
      </c>
      <c r="AY448" t="s">
        <v>107</v>
      </c>
      <c r="AZ448" s="40" t="s">
        <v>107</v>
      </c>
      <c r="BB448" s="18"/>
      <c r="BC448" t="s">
        <v>107</v>
      </c>
      <c r="BD448" s="18" t="s">
        <v>107</v>
      </c>
      <c r="BE448" s="18" t="s">
        <v>19</v>
      </c>
      <c r="BL448" s="18"/>
      <c r="BO448" s="18"/>
      <c r="BR448" s="25">
        <v>31.8</v>
      </c>
      <c r="BS448">
        <v>1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 s="18">
        <v>0</v>
      </c>
      <c r="CA448">
        <v>0</v>
      </c>
      <c r="CB448">
        <v>0</v>
      </c>
      <c r="CC448">
        <v>1</v>
      </c>
      <c r="CD448" s="18">
        <v>0</v>
      </c>
      <c r="CE448">
        <v>0</v>
      </c>
      <c r="CF448">
        <v>0</v>
      </c>
      <c r="CG448">
        <v>0</v>
      </c>
      <c r="CH448">
        <v>0</v>
      </c>
      <c r="CI448" s="18">
        <v>0</v>
      </c>
      <c r="CJ448">
        <v>0</v>
      </c>
      <c r="CK448">
        <v>0</v>
      </c>
      <c r="CL448">
        <v>1</v>
      </c>
      <c r="CM448">
        <v>1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 s="18">
        <v>0</v>
      </c>
      <c r="CZ448" s="34" t="s">
        <v>87</v>
      </c>
    </row>
    <row r="449" spans="1:104" x14ac:dyDescent="0.25">
      <c r="A449">
        <v>448</v>
      </c>
      <c r="B449">
        <v>28</v>
      </c>
      <c r="C449" s="25" t="s">
        <v>276</v>
      </c>
      <c r="D449" s="12">
        <v>2.5</v>
      </c>
      <c r="E449" s="14">
        <f t="shared" si="315"/>
        <v>0.39936102236421728</v>
      </c>
      <c r="F449" s="7">
        <v>6.26</v>
      </c>
      <c r="G449" s="7">
        <f t="shared" ref="G449:G452" si="321">D449-E449</f>
        <v>2.1006389776357826</v>
      </c>
      <c r="H449" s="16">
        <f t="shared" ref="H449:H452" si="322">D449+E449</f>
        <v>2.8993610223642174</v>
      </c>
      <c r="I449" s="11">
        <f t="shared" si="271"/>
        <v>6.5629166615310958E-2</v>
      </c>
      <c r="J449" s="33">
        <f t="shared" si="272"/>
        <v>1.0483892430560858E-2</v>
      </c>
      <c r="K449" s="33">
        <f t="shared" ref="K449:K452" si="323">IFERROR(1/J449, "X")</f>
        <v>95.384420111462646</v>
      </c>
      <c r="L449" s="33">
        <f t="shared" ref="L449:L452" si="324">IFERROR(I449-J449, "X")</f>
        <v>5.5145274184750098E-2</v>
      </c>
      <c r="M449" s="33">
        <f t="shared" ref="M449:M452" si="325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26">U449-V449-1</f>
        <v>9059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9">
        <v>0</v>
      </c>
      <c r="AL449" s="30">
        <v>1</v>
      </c>
      <c r="AM449" s="21">
        <v>1998</v>
      </c>
      <c r="AN449" s="23"/>
      <c r="AO449" s="33">
        <v>0.10999999999999999</v>
      </c>
      <c r="AP449" s="33">
        <v>0.52</v>
      </c>
      <c r="AQ449" s="33">
        <v>0.31</v>
      </c>
      <c r="AR449" s="43">
        <v>0.06</v>
      </c>
      <c r="AS449" s="33" t="s">
        <v>107</v>
      </c>
      <c r="AT449" s="43" t="s">
        <v>107</v>
      </c>
      <c r="AU449" s="42">
        <v>1</v>
      </c>
      <c r="AV449" s="18">
        <v>0</v>
      </c>
      <c r="AW449">
        <v>1</v>
      </c>
      <c r="AX449" s="40">
        <v>0</v>
      </c>
      <c r="AY449" t="s">
        <v>107</v>
      </c>
      <c r="AZ449" s="40" t="s">
        <v>107</v>
      </c>
      <c r="BB449" s="18"/>
      <c r="BC449" t="s">
        <v>107</v>
      </c>
      <c r="BD449" s="18" t="s">
        <v>107</v>
      </c>
      <c r="BE449" s="18" t="s">
        <v>19</v>
      </c>
      <c r="BL449" s="18"/>
      <c r="BO449" s="18"/>
      <c r="BR449" s="25">
        <v>34.03</v>
      </c>
      <c r="BS449">
        <v>1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 s="18">
        <v>0</v>
      </c>
      <c r="CA449">
        <v>0</v>
      </c>
      <c r="CB449">
        <v>0</v>
      </c>
      <c r="CC449">
        <v>1</v>
      </c>
      <c r="CD449" s="18">
        <v>0</v>
      </c>
      <c r="CE449">
        <v>0</v>
      </c>
      <c r="CF449">
        <v>0</v>
      </c>
      <c r="CG449">
        <v>0</v>
      </c>
      <c r="CH449">
        <v>0</v>
      </c>
      <c r="CI449" s="18">
        <v>0</v>
      </c>
      <c r="CJ449">
        <v>0</v>
      </c>
      <c r="CK449">
        <v>0</v>
      </c>
      <c r="CL449">
        <v>1</v>
      </c>
      <c r="CM449">
        <v>1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 s="18">
        <v>0</v>
      </c>
      <c r="CZ449" s="34" t="s">
        <v>87</v>
      </c>
    </row>
    <row r="450" spans="1:104" x14ac:dyDescent="0.25">
      <c r="A450">
        <v>449</v>
      </c>
      <c r="B450">
        <v>28</v>
      </c>
      <c r="C450" s="25" t="s">
        <v>276</v>
      </c>
      <c r="D450" s="12">
        <v>2.4</v>
      </c>
      <c r="E450" s="14">
        <f t="shared" si="315"/>
        <v>0.69364161849710981</v>
      </c>
      <c r="F450" s="7">
        <v>3.46</v>
      </c>
      <c r="G450" s="7">
        <f t="shared" si="321"/>
        <v>1.70635838150289</v>
      </c>
      <c r="H450" s="16">
        <f t="shared" si="322"/>
        <v>3.0936416184971098</v>
      </c>
      <c r="I450" s="11">
        <f t="shared" ref="I450:I513" si="327">IFERROR(F450/SQRT(F450^2+W450), "X")</f>
        <v>6.173679701695501E-2</v>
      </c>
      <c r="J450" s="33">
        <f t="shared" ref="J450:J513" si="328">IFERROR(SQRT((1-I450^2)/W450), "X")</f>
        <v>1.7843004918195092E-2</v>
      </c>
      <c r="K450" s="33">
        <f t="shared" si="323"/>
        <v>56.044371706711097</v>
      </c>
      <c r="L450" s="33">
        <f t="shared" si="324"/>
        <v>4.3893792098759918E-2</v>
      </c>
      <c r="M450" s="33">
        <f t="shared" si="325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26"/>
        <v>3129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9">
        <v>0</v>
      </c>
      <c r="AL450" s="30">
        <v>1</v>
      </c>
      <c r="AM450" s="21">
        <v>1998</v>
      </c>
      <c r="AN450" s="23"/>
      <c r="AO450" s="33">
        <v>0.26</v>
      </c>
      <c r="AP450" s="33">
        <v>0.47</v>
      </c>
      <c r="AQ450" s="33">
        <v>0.24700000000000003</v>
      </c>
      <c r="AR450" s="43">
        <v>2.3E-2</v>
      </c>
      <c r="AS450" s="33" t="s">
        <v>107</v>
      </c>
      <c r="AT450" s="43" t="s">
        <v>107</v>
      </c>
      <c r="AU450" s="42">
        <v>1</v>
      </c>
      <c r="AV450" s="18">
        <v>0</v>
      </c>
      <c r="AW450">
        <v>0</v>
      </c>
      <c r="AX450" s="40">
        <v>1</v>
      </c>
      <c r="AY450" t="s">
        <v>107</v>
      </c>
      <c r="AZ450" s="40" t="s">
        <v>107</v>
      </c>
      <c r="BB450" s="18"/>
      <c r="BC450" t="s">
        <v>107</v>
      </c>
      <c r="BD450" s="18" t="s">
        <v>107</v>
      </c>
      <c r="BE450" s="18" t="s">
        <v>19</v>
      </c>
      <c r="BL450" s="18"/>
      <c r="BO450" s="18"/>
      <c r="BR450" s="25">
        <v>31.8</v>
      </c>
      <c r="BS450">
        <v>1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 s="18">
        <v>0</v>
      </c>
      <c r="CA450">
        <v>0</v>
      </c>
      <c r="CB450">
        <v>0</v>
      </c>
      <c r="CC450">
        <v>1</v>
      </c>
      <c r="CD450" s="18">
        <v>0</v>
      </c>
      <c r="CE450">
        <v>0</v>
      </c>
      <c r="CF450">
        <v>0</v>
      </c>
      <c r="CG450">
        <v>0</v>
      </c>
      <c r="CH450">
        <v>0</v>
      </c>
      <c r="CI450" s="18">
        <v>0</v>
      </c>
      <c r="CJ450">
        <v>0</v>
      </c>
      <c r="CK450">
        <v>0</v>
      </c>
      <c r="CL450">
        <v>1</v>
      </c>
      <c r="CM450">
        <v>1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 s="18">
        <v>0</v>
      </c>
      <c r="CZ450" s="34" t="s">
        <v>87</v>
      </c>
    </row>
    <row r="451" spans="1:104" x14ac:dyDescent="0.25">
      <c r="A451">
        <v>450</v>
      </c>
      <c r="B451">
        <v>28</v>
      </c>
      <c r="C451" s="25" t="s">
        <v>276</v>
      </c>
      <c r="D451" s="12">
        <v>3.2</v>
      </c>
      <c r="E451" s="14">
        <f t="shared" si="315"/>
        <v>0.11228070175438597</v>
      </c>
      <c r="F451" s="7">
        <v>28.5</v>
      </c>
      <c r="G451" s="7">
        <f t="shared" si="321"/>
        <v>3.0877192982456143</v>
      </c>
      <c r="H451" s="16">
        <f t="shared" si="322"/>
        <v>3.312280701754386</v>
      </c>
      <c r="I451" s="11">
        <f t="shared" si="327"/>
        <v>0.12049770538708542</v>
      </c>
      <c r="J451" s="33">
        <f t="shared" si="328"/>
        <v>4.2279896627047519E-3</v>
      </c>
      <c r="K451" s="33">
        <f t="shared" si="323"/>
        <v>236.51902671878216</v>
      </c>
      <c r="L451" s="33">
        <f t="shared" si="324"/>
        <v>0.11626971572438066</v>
      </c>
      <c r="M451" s="33">
        <f t="shared" si="325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26"/>
        <v>55129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9">
        <v>0</v>
      </c>
      <c r="AL451" s="30">
        <v>1</v>
      </c>
      <c r="AM451" s="21">
        <v>1998</v>
      </c>
      <c r="AN451" s="23"/>
      <c r="AO451" s="33">
        <v>0.10999999999999999</v>
      </c>
      <c r="AP451" s="33">
        <v>0.52</v>
      </c>
      <c r="AQ451" s="33">
        <v>0.31</v>
      </c>
      <c r="AR451" s="43">
        <v>0.06</v>
      </c>
      <c r="AS451" s="33" t="s">
        <v>107</v>
      </c>
      <c r="AT451" s="43" t="s">
        <v>107</v>
      </c>
      <c r="AU451" s="42">
        <v>0</v>
      </c>
      <c r="AV451" s="18">
        <v>1</v>
      </c>
      <c r="AW451">
        <v>1</v>
      </c>
      <c r="AX451" s="40">
        <v>0</v>
      </c>
      <c r="AY451" t="s">
        <v>107</v>
      </c>
      <c r="AZ451" s="40" t="s">
        <v>107</v>
      </c>
      <c r="BB451" s="18"/>
      <c r="BC451" t="s">
        <v>107</v>
      </c>
      <c r="BD451" s="18" t="s">
        <v>107</v>
      </c>
      <c r="BE451" s="18" t="s">
        <v>19</v>
      </c>
      <c r="BL451" s="18"/>
      <c r="BO451" s="18"/>
      <c r="BR451" s="25">
        <v>34.03</v>
      </c>
      <c r="BS451">
        <v>1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 s="18">
        <v>0</v>
      </c>
      <c r="CA451">
        <v>0</v>
      </c>
      <c r="CB451">
        <v>0</v>
      </c>
      <c r="CC451">
        <v>1</v>
      </c>
      <c r="CD451" s="18">
        <v>0</v>
      </c>
      <c r="CE451">
        <v>0</v>
      </c>
      <c r="CF451">
        <v>0</v>
      </c>
      <c r="CG451">
        <v>0</v>
      </c>
      <c r="CH451">
        <v>0</v>
      </c>
      <c r="CI451" s="18">
        <v>0</v>
      </c>
      <c r="CJ451">
        <v>0</v>
      </c>
      <c r="CK451">
        <v>0</v>
      </c>
      <c r="CL451">
        <v>1</v>
      </c>
      <c r="CM451">
        <v>1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 s="18">
        <v>0</v>
      </c>
      <c r="CZ451" s="34" t="s">
        <v>87</v>
      </c>
    </row>
    <row r="452" spans="1:104" s="52" customFormat="1" x14ac:dyDescent="0.25">
      <c r="A452" s="52">
        <v>451</v>
      </c>
      <c r="B452" s="52">
        <v>28</v>
      </c>
      <c r="C452" s="53" t="s">
        <v>276</v>
      </c>
      <c r="D452" s="54">
        <v>1.9</v>
      </c>
      <c r="E452" s="55">
        <f t="shared" si="315"/>
        <v>0.14843749999999997</v>
      </c>
      <c r="F452" s="56">
        <v>12.8</v>
      </c>
      <c r="G452" s="56">
        <f t="shared" si="321"/>
        <v>1.7515624999999999</v>
      </c>
      <c r="H452" s="57">
        <f t="shared" si="322"/>
        <v>2.0484374999999999</v>
      </c>
      <c r="I452" s="58">
        <f t="shared" si="327"/>
        <v>8.0980485224041943E-2</v>
      </c>
      <c r="J452" s="59">
        <f t="shared" si="328"/>
        <v>6.3266004081282768E-3</v>
      </c>
      <c r="K452" s="59">
        <f t="shared" si="323"/>
        <v>158.06277234061156</v>
      </c>
      <c r="L452" s="59">
        <f t="shared" si="324"/>
        <v>7.465388481591366E-2</v>
      </c>
      <c r="M452" s="59">
        <f t="shared" si="325"/>
        <v>8.7307085632170225E-2</v>
      </c>
      <c r="N452" s="60">
        <v>0</v>
      </c>
      <c r="O452" s="61">
        <v>1</v>
      </c>
      <c r="P452" s="60">
        <v>0</v>
      </c>
      <c r="Q452" s="61">
        <v>0</v>
      </c>
      <c r="R452" s="61">
        <v>0</v>
      </c>
      <c r="S452" s="61">
        <v>1</v>
      </c>
      <c r="T452" s="61">
        <v>0</v>
      </c>
      <c r="U452" s="60">
        <v>24826</v>
      </c>
      <c r="V452" s="61">
        <v>5</v>
      </c>
      <c r="W452" s="61">
        <f t="shared" si="326"/>
        <v>24820</v>
      </c>
      <c r="X452" s="61"/>
      <c r="Y452" s="56">
        <v>3.53</v>
      </c>
      <c r="Z452" s="56">
        <v>16.399999999999999</v>
      </c>
      <c r="AA452" s="61">
        <v>1</v>
      </c>
      <c r="AB452" s="61">
        <v>0</v>
      </c>
      <c r="AC452" s="61">
        <v>0</v>
      </c>
      <c r="AD452" s="61">
        <v>1</v>
      </c>
      <c r="AE452" s="61">
        <v>0</v>
      </c>
      <c r="AF452" s="61">
        <v>0</v>
      </c>
      <c r="AG452" s="60">
        <v>0</v>
      </c>
      <c r="AH452" s="61">
        <v>1</v>
      </c>
      <c r="AI452" s="62">
        <v>0</v>
      </c>
      <c r="AJ452" s="61">
        <v>0</v>
      </c>
      <c r="AK452" s="61">
        <v>0</v>
      </c>
      <c r="AL452" s="62">
        <v>1</v>
      </c>
      <c r="AM452" s="63">
        <v>1998</v>
      </c>
      <c r="AN452" s="64"/>
      <c r="AO452" s="59">
        <v>0.26</v>
      </c>
      <c r="AP452" s="59">
        <v>0.47</v>
      </c>
      <c r="AQ452" s="59">
        <v>0.24700000000000003</v>
      </c>
      <c r="AR452" s="65">
        <v>2.3E-2</v>
      </c>
      <c r="AS452" s="59" t="s">
        <v>107</v>
      </c>
      <c r="AT452" s="65" t="s">
        <v>107</v>
      </c>
      <c r="AU452" s="66">
        <v>0</v>
      </c>
      <c r="AV452" s="67">
        <v>1</v>
      </c>
      <c r="AW452" s="52">
        <v>0</v>
      </c>
      <c r="AX452" s="68">
        <v>1</v>
      </c>
      <c r="AY452" s="52" t="s">
        <v>107</v>
      </c>
      <c r="AZ452" s="68" t="s">
        <v>107</v>
      </c>
      <c r="BB452" s="67"/>
      <c r="BC452" s="52" t="s">
        <v>107</v>
      </c>
      <c r="BD452" s="67" t="s">
        <v>107</v>
      </c>
      <c r="BE452" s="67" t="s">
        <v>19</v>
      </c>
      <c r="BL452" s="67"/>
      <c r="BO452" s="67"/>
      <c r="BR452" s="53">
        <v>31.8</v>
      </c>
      <c r="BS452" s="52">
        <v>1</v>
      </c>
      <c r="BT452" s="52">
        <v>0</v>
      </c>
      <c r="BU452" s="52">
        <v>0</v>
      </c>
      <c r="BV452" s="52">
        <v>0</v>
      </c>
      <c r="BW452" s="52">
        <v>0</v>
      </c>
      <c r="BX452" s="52">
        <v>0</v>
      </c>
      <c r="BY452" s="52">
        <v>0</v>
      </c>
      <c r="BZ452" s="67">
        <v>0</v>
      </c>
      <c r="CA452" s="52">
        <v>0</v>
      </c>
      <c r="CB452" s="52">
        <v>0</v>
      </c>
      <c r="CC452" s="52">
        <v>1</v>
      </c>
      <c r="CD452" s="67">
        <v>0</v>
      </c>
      <c r="CE452" s="52">
        <v>0</v>
      </c>
      <c r="CF452" s="52">
        <v>0</v>
      </c>
      <c r="CG452" s="52">
        <v>0</v>
      </c>
      <c r="CH452" s="52">
        <v>0</v>
      </c>
      <c r="CI452" s="67">
        <v>0</v>
      </c>
      <c r="CJ452" s="52">
        <v>0</v>
      </c>
      <c r="CK452" s="52">
        <v>0</v>
      </c>
      <c r="CL452" s="52">
        <v>1</v>
      </c>
      <c r="CM452" s="52">
        <v>1</v>
      </c>
      <c r="CN452" s="52">
        <v>0</v>
      </c>
      <c r="CO452" s="52">
        <v>0</v>
      </c>
      <c r="CP452" s="52">
        <v>0</v>
      </c>
      <c r="CQ452" s="52">
        <v>0</v>
      </c>
      <c r="CR452" s="52">
        <v>0</v>
      </c>
      <c r="CS452" s="52">
        <v>0</v>
      </c>
      <c r="CT452" s="67">
        <v>0</v>
      </c>
      <c r="CY452" s="53"/>
      <c r="CZ452" s="69" t="s">
        <v>87</v>
      </c>
    </row>
    <row r="453" spans="1:104" x14ac:dyDescent="0.25">
      <c r="A453">
        <v>452</v>
      </c>
      <c r="B453">
        <v>29</v>
      </c>
      <c r="C453" s="25" t="s">
        <v>288</v>
      </c>
      <c r="D453" s="12">
        <v>4.8</v>
      </c>
      <c r="E453" s="14">
        <v>0.3</v>
      </c>
      <c r="F453" s="7">
        <f>D453/E453</f>
        <v>16</v>
      </c>
      <c r="G453" s="7">
        <f t="shared" ref="G453:G461" si="329">D453-E453</f>
        <v>4.5</v>
      </c>
      <c r="H453" s="16">
        <f t="shared" ref="H453:H461" si="330">D453+E453</f>
        <v>5.0999999999999996</v>
      </c>
      <c r="I453" s="11">
        <f t="shared" si="327"/>
        <v>0.36891438072857313</v>
      </c>
      <c r="J453" s="33">
        <f t="shared" si="328"/>
        <v>2.3057148795535824E-2</v>
      </c>
      <c r="K453" s="33">
        <f t="shared" ref="K453:K461" si="331">IFERROR(1/J453, "X")</f>
        <v>43.370496884402876</v>
      </c>
      <c r="L453" s="33">
        <f t="shared" ref="L453:L461" si="332">IFERROR(I453-J453, "X")</f>
        <v>0.3458572319330373</v>
      </c>
      <c r="M453" s="33">
        <f t="shared" ref="M453:M461" si="333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26"/>
        <v>1625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9">
        <v>0</v>
      </c>
      <c r="AL453" s="30">
        <v>1</v>
      </c>
      <c r="AM453" s="21">
        <v>1988</v>
      </c>
      <c r="AN453" s="23"/>
      <c r="AO453" s="33">
        <v>0.3407</v>
      </c>
      <c r="AP453" s="33">
        <v>7.7300000000000008E-2</v>
      </c>
      <c r="AQ453" s="33">
        <v>0.35670000000000002</v>
      </c>
      <c r="AR453" s="43">
        <v>0.2253</v>
      </c>
      <c r="AS453" s="33">
        <v>0.51586901563501386</v>
      </c>
      <c r="AT453" s="43">
        <v>0.48413098436498614</v>
      </c>
      <c r="AU453" s="42">
        <v>1</v>
      </c>
      <c r="AV453" s="18">
        <v>0</v>
      </c>
      <c r="AW453">
        <v>1</v>
      </c>
      <c r="AX453" s="40">
        <v>0</v>
      </c>
      <c r="AY453" s="39">
        <f>1-AZ453</f>
        <v>0.36770000000000003</v>
      </c>
      <c r="AZ453" s="40">
        <v>0.63229999999999997</v>
      </c>
      <c r="BB453" s="18"/>
      <c r="BC453">
        <v>0</v>
      </c>
      <c r="BD453" s="18">
        <v>1</v>
      </c>
      <c r="BE453" s="18" t="s">
        <v>6</v>
      </c>
      <c r="BL453" s="18"/>
      <c r="BO453" s="18"/>
      <c r="BR453" s="25">
        <v>35.659999999999997</v>
      </c>
      <c r="BS453">
        <v>1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</v>
      </c>
      <c r="BZ453" s="18">
        <v>0</v>
      </c>
      <c r="CA453">
        <v>0</v>
      </c>
      <c r="CB453">
        <v>0</v>
      </c>
      <c r="CC453">
        <v>1</v>
      </c>
      <c r="CD453" s="18">
        <v>0</v>
      </c>
      <c r="CE453">
        <v>0</v>
      </c>
      <c r="CF453">
        <v>0</v>
      </c>
      <c r="CG453">
        <v>0</v>
      </c>
      <c r="CH453">
        <v>0</v>
      </c>
      <c r="CI453" s="18">
        <v>0</v>
      </c>
      <c r="CJ453">
        <v>0</v>
      </c>
      <c r="CK453">
        <v>0</v>
      </c>
      <c r="CL453">
        <v>1</v>
      </c>
      <c r="CM453">
        <v>1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 s="18">
        <v>0</v>
      </c>
      <c r="CZ453" s="34" t="s">
        <v>87</v>
      </c>
    </row>
    <row r="454" spans="1:104" x14ac:dyDescent="0.25">
      <c r="A454">
        <v>453</v>
      </c>
      <c r="B454">
        <v>29</v>
      </c>
      <c r="C454" s="25" t="s">
        <v>288</v>
      </c>
      <c r="D454" s="12">
        <v>4.5999999999999996</v>
      </c>
      <c r="E454" s="14">
        <v>0.3</v>
      </c>
      <c r="F454" s="7">
        <f t="shared" ref="F454:F461" si="334">D454/E454</f>
        <v>15.333333333333332</v>
      </c>
      <c r="G454" s="7">
        <f t="shared" si="329"/>
        <v>4.3</v>
      </c>
      <c r="H454" s="16">
        <f t="shared" si="330"/>
        <v>4.8999999999999995</v>
      </c>
      <c r="I454" s="11">
        <f t="shared" si="327"/>
        <v>0.32167832167832161</v>
      </c>
      <c r="J454" s="33">
        <f t="shared" si="328"/>
        <v>2.097902097902098E-2</v>
      </c>
      <c r="K454" s="33">
        <f t="shared" si="331"/>
        <v>47.666666666666664</v>
      </c>
      <c r="L454" s="33">
        <f t="shared" si="332"/>
        <v>0.30069930069930062</v>
      </c>
      <c r="M454" s="33">
        <f t="shared" si="333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35">U454-V454-1</f>
        <v>2037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9">
        <v>0</v>
      </c>
      <c r="AL454" s="30">
        <v>1</v>
      </c>
      <c r="AM454" s="21">
        <v>1998</v>
      </c>
      <c r="AN454" s="23"/>
      <c r="AO454" s="33">
        <v>0.19259999999999999</v>
      </c>
      <c r="AP454" s="33">
        <v>0.11460000000000001</v>
      </c>
      <c r="AQ454" s="33">
        <v>0.44299999999999995</v>
      </c>
      <c r="AR454" s="43">
        <v>0.24989999999999998</v>
      </c>
      <c r="AS454" s="33">
        <v>0.46650659646909842</v>
      </c>
      <c r="AT454" s="43">
        <v>0.53349340353090169</v>
      </c>
      <c r="AU454" s="42">
        <v>1</v>
      </c>
      <c r="AV454" s="18">
        <v>0</v>
      </c>
      <c r="AW454">
        <v>1</v>
      </c>
      <c r="AX454" s="40">
        <v>0</v>
      </c>
      <c r="AY454" s="39">
        <f t="shared" ref="AY454:AY461" si="336">1-AZ454</f>
        <v>0.44810000000000005</v>
      </c>
      <c r="AZ454" s="40">
        <v>0.55189999999999995</v>
      </c>
      <c r="BB454" s="18"/>
      <c r="BC454">
        <v>0</v>
      </c>
      <c r="BD454" s="18">
        <v>1</v>
      </c>
      <c r="BE454" s="18" t="s">
        <v>6</v>
      </c>
      <c r="BL454" s="18"/>
      <c r="BO454" s="18"/>
      <c r="BR454" s="25">
        <v>36.31</v>
      </c>
      <c r="BS454">
        <v>1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</v>
      </c>
      <c r="BZ454" s="18">
        <v>0</v>
      </c>
      <c r="CA454">
        <v>0</v>
      </c>
      <c r="CB454">
        <v>0</v>
      </c>
      <c r="CC454">
        <v>1</v>
      </c>
      <c r="CD454" s="18">
        <v>0</v>
      </c>
      <c r="CE454">
        <v>0</v>
      </c>
      <c r="CF454">
        <v>0</v>
      </c>
      <c r="CG454">
        <v>0</v>
      </c>
      <c r="CH454">
        <v>0</v>
      </c>
      <c r="CI454" s="18">
        <v>0</v>
      </c>
      <c r="CJ454">
        <v>0</v>
      </c>
      <c r="CK454">
        <v>0</v>
      </c>
      <c r="CL454">
        <v>1</v>
      </c>
      <c r="CM454">
        <v>1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 s="18">
        <v>0</v>
      </c>
      <c r="CZ454" s="34" t="s">
        <v>87</v>
      </c>
    </row>
    <row r="455" spans="1:104" x14ac:dyDescent="0.25">
      <c r="A455">
        <v>454</v>
      </c>
      <c r="B455">
        <v>29</v>
      </c>
      <c r="C455" s="25" t="s">
        <v>288</v>
      </c>
      <c r="D455" s="12">
        <v>5.3</v>
      </c>
      <c r="E455" s="14">
        <v>0.3</v>
      </c>
      <c r="F455" s="7">
        <f t="shared" si="334"/>
        <v>17.666666666666668</v>
      </c>
      <c r="G455" s="7">
        <f t="shared" si="329"/>
        <v>5</v>
      </c>
      <c r="H455" s="16">
        <f t="shared" si="330"/>
        <v>5.6</v>
      </c>
      <c r="I455" s="11">
        <f t="shared" si="327"/>
        <v>0.30955535968034781</v>
      </c>
      <c r="J455" s="33">
        <f t="shared" si="328"/>
        <v>1.7522001491340439E-2</v>
      </c>
      <c r="K455" s="33">
        <f t="shared" si="331"/>
        <v>57.071105746350419</v>
      </c>
      <c r="L455" s="33">
        <f t="shared" si="332"/>
        <v>0.29203335818900739</v>
      </c>
      <c r="M455" s="33">
        <f t="shared" si="333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35"/>
        <v>2945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9">
        <v>0</v>
      </c>
      <c r="AL455" s="30">
        <v>1</v>
      </c>
      <c r="AM455" s="21">
        <v>2006</v>
      </c>
      <c r="AN455" s="23"/>
      <c r="AO455" s="33">
        <v>0.13970000000000002</v>
      </c>
      <c r="AP455" s="33">
        <v>9.8699999999999996E-2</v>
      </c>
      <c r="AQ455" s="33">
        <v>0.48859999999999998</v>
      </c>
      <c r="AR455" s="43">
        <v>0.27300000000000002</v>
      </c>
      <c r="AS455" s="33">
        <v>0.43550776972755101</v>
      </c>
      <c r="AT455" s="43">
        <v>0.56449223027244899</v>
      </c>
      <c r="AU455" s="42">
        <v>1</v>
      </c>
      <c r="AV455" s="18">
        <v>0</v>
      </c>
      <c r="AW455">
        <v>1</v>
      </c>
      <c r="AX455" s="40">
        <v>0</v>
      </c>
      <c r="AY455" s="39">
        <f t="shared" si="336"/>
        <v>0.56109999999999993</v>
      </c>
      <c r="AZ455" s="40">
        <v>0.43890000000000001</v>
      </c>
      <c r="BB455" s="18"/>
      <c r="BC455">
        <v>0</v>
      </c>
      <c r="BD455" s="18">
        <v>1</v>
      </c>
      <c r="BE455" s="18" t="s">
        <v>6</v>
      </c>
      <c r="BL455" s="18"/>
      <c r="BO455" s="18"/>
      <c r="BR455" s="25">
        <v>34.93</v>
      </c>
      <c r="BS455">
        <v>1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</v>
      </c>
      <c r="BZ455" s="18">
        <v>0</v>
      </c>
      <c r="CA455">
        <v>0</v>
      </c>
      <c r="CB455">
        <v>0</v>
      </c>
      <c r="CC455">
        <v>1</v>
      </c>
      <c r="CD455" s="18">
        <v>0</v>
      </c>
      <c r="CE455">
        <v>0</v>
      </c>
      <c r="CF455">
        <v>0</v>
      </c>
      <c r="CG455">
        <v>0</v>
      </c>
      <c r="CH455">
        <v>0</v>
      </c>
      <c r="CI455" s="18">
        <v>0</v>
      </c>
      <c r="CJ455">
        <v>0</v>
      </c>
      <c r="CK455">
        <v>0</v>
      </c>
      <c r="CL455">
        <v>1</v>
      </c>
      <c r="CM455">
        <v>1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 s="18">
        <v>0</v>
      </c>
      <c r="CZ455" s="34" t="s">
        <v>87</v>
      </c>
    </row>
    <row r="456" spans="1:104" x14ac:dyDescent="0.25">
      <c r="A456">
        <v>455</v>
      </c>
      <c r="B456">
        <v>29</v>
      </c>
      <c r="C456" s="25" t="s">
        <v>288</v>
      </c>
      <c r="D456" s="12">
        <v>7</v>
      </c>
      <c r="E456" s="14">
        <v>0.6</v>
      </c>
      <c r="F456" s="7">
        <f t="shared" si="334"/>
        <v>11.666666666666668</v>
      </c>
      <c r="G456" s="7">
        <f t="shared" si="329"/>
        <v>6.4</v>
      </c>
      <c r="H456" s="16">
        <f t="shared" si="330"/>
        <v>7.6</v>
      </c>
      <c r="I456" s="11">
        <f t="shared" si="327"/>
        <v>0.28395287839479089</v>
      </c>
      <c r="J456" s="33">
        <f t="shared" si="328"/>
        <v>2.4338818148124934E-2</v>
      </c>
      <c r="K456" s="33">
        <f t="shared" si="331"/>
        <v>41.08662934716245</v>
      </c>
      <c r="L456" s="33">
        <f t="shared" si="332"/>
        <v>0.25961406024666595</v>
      </c>
      <c r="M456" s="33">
        <f t="shared" si="333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35"/>
        <v>1552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9">
        <v>0</v>
      </c>
      <c r="AL456" s="30">
        <v>1</v>
      </c>
      <c r="AM456" s="21">
        <v>1988</v>
      </c>
      <c r="AN456" s="23"/>
      <c r="AO456" s="33">
        <v>0.28729999999999994</v>
      </c>
      <c r="AP456" s="33">
        <v>0.25640000000000002</v>
      </c>
      <c r="AQ456" s="33">
        <v>0.43579999999999997</v>
      </c>
      <c r="AR456" s="43">
        <v>2.06E-2</v>
      </c>
      <c r="AS456" s="33">
        <v>0.62153235807182938</v>
      </c>
      <c r="AT456" s="43">
        <v>0.37846764192817062</v>
      </c>
      <c r="AU456" s="42">
        <v>1</v>
      </c>
      <c r="AV456" s="18">
        <v>0</v>
      </c>
      <c r="AW456">
        <v>1</v>
      </c>
      <c r="AX456" s="40">
        <v>0</v>
      </c>
      <c r="AY456" s="39">
        <f t="shared" si="336"/>
        <v>0.33290000000000008</v>
      </c>
      <c r="AZ456" s="40">
        <v>0.66709999999999992</v>
      </c>
      <c r="BB456" s="18"/>
      <c r="BC456">
        <v>0</v>
      </c>
      <c r="BD456" s="18">
        <v>1</v>
      </c>
      <c r="BE456" s="18" t="s">
        <v>15</v>
      </c>
      <c r="BL456" s="18"/>
      <c r="BO456" s="18"/>
      <c r="BR456" s="25">
        <v>32.450000000000003</v>
      </c>
      <c r="BS456">
        <v>1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</v>
      </c>
      <c r="BZ456" s="18">
        <v>0</v>
      </c>
      <c r="CA456">
        <v>0</v>
      </c>
      <c r="CB456">
        <v>0</v>
      </c>
      <c r="CC456">
        <v>1</v>
      </c>
      <c r="CD456" s="18">
        <v>0</v>
      </c>
      <c r="CE456">
        <v>0</v>
      </c>
      <c r="CF456">
        <v>0</v>
      </c>
      <c r="CG456">
        <v>0</v>
      </c>
      <c r="CH456">
        <v>0</v>
      </c>
      <c r="CI456" s="18">
        <v>0</v>
      </c>
      <c r="CJ456">
        <v>0</v>
      </c>
      <c r="CK456">
        <v>0</v>
      </c>
      <c r="CL456">
        <v>1</v>
      </c>
      <c r="CM456">
        <v>1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 s="18">
        <v>0</v>
      </c>
      <c r="CZ456" s="34" t="s">
        <v>87</v>
      </c>
    </row>
    <row r="457" spans="1:104" x14ac:dyDescent="0.25">
      <c r="A457">
        <v>456</v>
      </c>
      <c r="B457">
        <v>29</v>
      </c>
      <c r="C457" s="25" t="s">
        <v>288</v>
      </c>
      <c r="D457" s="12">
        <v>9.1</v>
      </c>
      <c r="E457" s="14">
        <v>0.4</v>
      </c>
      <c r="F457" s="7">
        <f t="shared" si="334"/>
        <v>22.749999999999996</v>
      </c>
      <c r="G457" s="7">
        <f t="shared" si="329"/>
        <v>8.6999999999999993</v>
      </c>
      <c r="H457" s="16">
        <f t="shared" si="330"/>
        <v>9.5</v>
      </c>
      <c r="I457" s="11">
        <f t="shared" si="327"/>
        <v>0.44230554911311321</v>
      </c>
      <c r="J457" s="33">
        <f t="shared" si="328"/>
        <v>1.9442002158818167E-2</v>
      </c>
      <c r="K457" s="33">
        <f t="shared" si="331"/>
        <v>51.435031836288388</v>
      </c>
      <c r="L457" s="33">
        <f t="shared" si="332"/>
        <v>0.42286354695429507</v>
      </c>
      <c r="M457" s="33">
        <f t="shared" si="333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35"/>
        <v>2128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9">
        <v>0</v>
      </c>
      <c r="AL457" s="30">
        <v>1</v>
      </c>
      <c r="AM457" s="21">
        <v>1998</v>
      </c>
      <c r="AN457" s="23"/>
      <c r="AO457" s="33">
        <v>0.1116</v>
      </c>
      <c r="AP457" s="33">
        <v>0.20399999999999999</v>
      </c>
      <c r="AQ457" s="33">
        <v>0.62340000000000007</v>
      </c>
      <c r="AR457" s="43">
        <v>6.0999999999999999E-2</v>
      </c>
      <c r="AS457" s="33">
        <v>0.51158818833382491</v>
      </c>
      <c r="AT457" s="43">
        <v>0.48841181166617514</v>
      </c>
      <c r="AU457" s="42">
        <v>1</v>
      </c>
      <c r="AV457" s="18">
        <v>0</v>
      </c>
      <c r="AW457">
        <v>1</v>
      </c>
      <c r="AX457" s="40">
        <v>0</v>
      </c>
      <c r="AY457" s="39">
        <f t="shared" si="336"/>
        <v>0.51</v>
      </c>
      <c r="AZ457" s="40">
        <v>0.49</v>
      </c>
      <c r="BB457" s="18"/>
      <c r="BC457">
        <v>0</v>
      </c>
      <c r="BD457" s="18">
        <v>1</v>
      </c>
      <c r="BE457" s="18" t="s">
        <v>15</v>
      </c>
      <c r="BL457" s="18"/>
      <c r="BO457" s="18"/>
      <c r="BR457" s="25">
        <v>34.99</v>
      </c>
      <c r="BS457">
        <v>1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</v>
      </c>
      <c r="BZ457" s="18">
        <v>0</v>
      </c>
      <c r="CA457">
        <v>0</v>
      </c>
      <c r="CB457">
        <v>0</v>
      </c>
      <c r="CC457">
        <v>1</v>
      </c>
      <c r="CD457" s="18">
        <v>0</v>
      </c>
      <c r="CE457">
        <v>0</v>
      </c>
      <c r="CF457">
        <v>0</v>
      </c>
      <c r="CG457">
        <v>0</v>
      </c>
      <c r="CH457">
        <v>0</v>
      </c>
      <c r="CI457" s="18">
        <v>0</v>
      </c>
      <c r="CJ457">
        <v>0</v>
      </c>
      <c r="CK457">
        <v>0</v>
      </c>
      <c r="CL457">
        <v>1</v>
      </c>
      <c r="CM457">
        <v>1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 s="18">
        <v>0</v>
      </c>
      <c r="CZ457" s="34" t="s">
        <v>87</v>
      </c>
    </row>
    <row r="458" spans="1:104" x14ac:dyDescent="0.25">
      <c r="A458">
        <v>457</v>
      </c>
      <c r="B458">
        <v>29</v>
      </c>
      <c r="C458" s="25" t="s">
        <v>288</v>
      </c>
      <c r="D458" s="12">
        <v>8.1</v>
      </c>
      <c r="E458" s="14">
        <v>0.2</v>
      </c>
      <c r="F458" s="7">
        <f t="shared" si="334"/>
        <v>40.499999999999993</v>
      </c>
      <c r="G458" s="7">
        <f t="shared" si="329"/>
        <v>7.8999999999999995</v>
      </c>
      <c r="H458" s="16">
        <f t="shared" si="330"/>
        <v>8.2999999999999989</v>
      </c>
      <c r="I458" s="11">
        <f t="shared" si="327"/>
        <v>0.42586185739690013</v>
      </c>
      <c r="J458" s="33">
        <f t="shared" si="328"/>
        <v>1.051510759004692E-2</v>
      </c>
      <c r="K458" s="33">
        <f t="shared" si="331"/>
        <v>95.101261821281838</v>
      </c>
      <c r="L458" s="33">
        <f t="shared" si="332"/>
        <v>0.41534674980685321</v>
      </c>
      <c r="M458" s="33">
        <f t="shared" si="333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35"/>
        <v>7404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9">
        <v>0</v>
      </c>
      <c r="AL458" s="30">
        <v>1</v>
      </c>
      <c r="AM458" s="21">
        <v>2006</v>
      </c>
      <c r="AN458" s="23"/>
      <c r="AO458" s="33">
        <v>0.1016</v>
      </c>
      <c r="AP458" s="33">
        <v>0.22159999999999999</v>
      </c>
      <c r="AQ458" s="33">
        <v>0.54919999999999991</v>
      </c>
      <c r="AR458" s="43">
        <v>0.12759999999999999</v>
      </c>
      <c r="AS458" s="33">
        <v>0.46264810380035254</v>
      </c>
      <c r="AT458" s="43">
        <v>0.53735189619964752</v>
      </c>
      <c r="AU458" s="42">
        <v>1</v>
      </c>
      <c r="AV458" s="18">
        <v>0</v>
      </c>
      <c r="AW458">
        <v>1</v>
      </c>
      <c r="AX458" s="40">
        <v>0</v>
      </c>
      <c r="AY458" s="39">
        <f t="shared" si="336"/>
        <v>0.64929999999999999</v>
      </c>
      <c r="AZ458" s="40">
        <v>0.35070000000000001</v>
      </c>
      <c r="BB458" s="18"/>
      <c r="BC458">
        <v>0</v>
      </c>
      <c r="BD458" s="18">
        <v>1</v>
      </c>
      <c r="BE458" s="18" t="s">
        <v>15</v>
      </c>
      <c r="BL458" s="18"/>
      <c r="BO458" s="18"/>
      <c r="BR458" s="25">
        <v>34.47</v>
      </c>
      <c r="BS458">
        <v>1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</v>
      </c>
      <c r="BZ458" s="18">
        <v>0</v>
      </c>
      <c r="CA458">
        <v>0</v>
      </c>
      <c r="CB458">
        <v>0</v>
      </c>
      <c r="CC458">
        <v>1</v>
      </c>
      <c r="CD458" s="18">
        <v>0</v>
      </c>
      <c r="CE458">
        <v>0</v>
      </c>
      <c r="CF458">
        <v>0</v>
      </c>
      <c r="CG458">
        <v>0</v>
      </c>
      <c r="CH458">
        <v>0</v>
      </c>
      <c r="CI458" s="18">
        <v>0</v>
      </c>
      <c r="CJ458">
        <v>0</v>
      </c>
      <c r="CK458">
        <v>0</v>
      </c>
      <c r="CL458">
        <v>1</v>
      </c>
      <c r="CM458">
        <v>1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 s="18">
        <v>0</v>
      </c>
      <c r="CZ458" s="34" t="s">
        <v>87</v>
      </c>
    </row>
    <row r="459" spans="1:104" x14ac:dyDescent="0.25">
      <c r="A459">
        <v>458</v>
      </c>
      <c r="B459">
        <v>29</v>
      </c>
      <c r="C459" s="25" t="s">
        <v>288</v>
      </c>
      <c r="D459" s="12">
        <v>6.5</v>
      </c>
      <c r="E459" s="14">
        <v>0.2</v>
      </c>
      <c r="F459" s="7">
        <f t="shared" si="334"/>
        <v>32.5</v>
      </c>
      <c r="G459" s="7">
        <f t="shared" si="329"/>
        <v>6.3</v>
      </c>
      <c r="H459" s="16">
        <f t="shared" si="330"/>
        <v>6.7</v>
      </c>
      <c r="I459" s="11">
        <f t="shared" si="327"/>
        <v>0.34632820004060327</v>
      </c>
      <c r="J459" s="33">
        <f t="shared" si="328"/>
        <v>1.0656252308941638E-2</v>
      </c>
      <c r="K459" s="33">
        <f t="shared" si="331"/>
        <v>93.841621895617294</v>
      </c>
      <c r="L459" s="33">
        <f t="shared" si="332"/>
        <v>0.33567194773166165</v>
      </c>
      <c r="M459" s="33">
        <f t="shared" si="333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35"/>
        <v>7750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9">
        <v>0</v>
      </c>
      <c r="AL459" s="30">
        <v>1</v>
      </c>
      <c r="AM459" s="21">
        <v>1988</v>
      </c>
      <c r="AN459" s="23"/>
      <c r="AO459" s="33">
        <v>0.1018</v>
      </c>
      <c r="AP459" s="33">
        <v>0.53220000000000001</v>
      </c>
      <c r="AQ459" s="33">
        <v>0.2636</v>
      </c>
      <c r="AR459" s="43">
        <v>0.1024</v>
      </c>
      <c r="AS459" s="33">
        <v>0.48948427725124305</v>
      </c>
      <c r="AT459" s="43">
        <v>0.51051572274875689</v>
      </c>
      <c r="AU459" s="42">
        <v>1</v>
      </c>
      <c r="AV459" s="18">
        <v>0</v>
      </c>
      <c r="AW459">
        <v>1</v>
      </c>
      <c r="AX459" s="40">
        <v>0</v>
      </c>
      <c r="AY459" s="39">
        <f t="shared" si="336"/>
        <v>0.77629999999999999</v>
      </c>
      <c r="AZ459" s="40">
        <v>0.22370000000000001</v>
      </c>
      <c r="BB459" s="18"/>
      <c r="BC459">
        <v>0</v>
      </c>
      <c r="BD459" s="18">
        <v>1</v>
      </c>
      <c r="BE459" s="18" t="s">
        <v>29</v>
      </c>
      <c r="BL459" s="18"/>
      <c r="BO459" s="18"/>
      <c r="BR459" s="25">
        <v>33.72</v>
      </c>
      <c r="BS459">
        <v>1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</v>
      </c>
      <c r="BZ459" s="18">
        <v>0</v>
      </c>
      <c r="CA459">
        <v>0</v>
      </c>
      <c r="CB459">
        <v>0</v>
      </c>
      <c r="CC459">
        <v>1</v>
      </c>
      <c r="CD459" s="18">
        <v>0</v>
      </c>
      <c r="CE459">
        <v>0</v>
      </c>
      <c r="CF459">
        <v>0</v>
      </c>
      <c r="CG459">
        <v>0</v>
      </c>
      <c r="CH459">
        <v>0</v>
      </c>
      <c r="CI459" s="18">
        <v>0</v>
      </c>
      <c r="CJ459">
        <v>0</v>
      </c>
      <c r="CK459">
        <v>0</v>
      </c>
      <c r="CL459">
        <v>1</v>
      </c>
      <c r="CM459">
        <v>1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 s="18">
        <v>0</v>
      </c>
      <c r="CZ459" s="34" t="s">
        <v>87</v>
      </c>
    </row>
    <row r="460" spans="1:104" x14ac:dyDescent="0.25">
      <c r="A460">
        <v>459</v>
      </c>
      <c r="B460">
        <v>29</v>
      </c>
      <c r="C460" s="25" t="s">
        <v>288</v>
      </c>
      <c r="D460" s="12">
        <v>9.3000000000000007</v>
      </c>
      <c r="E460" s="14">
        <v>0.3</v>
      </c>
      <c r="F460" s="7">
        <f t="shared" si="334"/>
        <v>31.000000000000004</v>
      </c>
      <c r="G460" s="7">
        <f t="shared" si="329"/>
        <v>9</v>
      </c>
      <c r="H460" s="16">
        <f t="shared" si="330"/>
        <v>9.6000000000000014</v>
      </c>
      <c r="I460" s="11">
        <f t="shared" si="327"/>
        <v>0.2861186337195587</v>
      </c>
      <c r="J460" s="33">
        <f t="shared" si="328"/>
        <v>9.2296333457922153E-3</v>
      </c>
      <c r="K460" s="33">
        <f t="shared" si="331"/>
        <v>108.34666584625482</v>
      </c>
      <c r="L460" s="33">
        <f t="shared" si="332"/>
        <v>0.27688900037376651</v>
      </c>
      <c r="M460" s="33">
        <f t="shared" si="333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35"/>
        <v>10778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9">
        <v>0</v>
      </c>
      <c r="AL460" s="30">
        <v>1</v>
      </c>
      <c r="AM460" s="21">
        <v>1998</v>
      </c>
      <c r="AN460" s="23"/>
      <c r="AO460" s="33">
        <v>4.2699999999999995E-2</v>
      </c>
      <c r="AP460" s="33">
        <v>0.50719999999999998</v>
      </c>
      <c r="AQ460" s="33">
        <v>0.33500000000000002</v>
      </c>
      <c r="AR460" s="43">
        <v>0.1152</v>
      </c>
      <c r="AS460" s="33">
        <v>0.43074865236748022</v>
      </c>
      <c r="AT460" s="43">
        <v>0.56925134763251983</v>
      </c>
      <c r="AU460" s="42">
        <v>1</v>
      </c>
      <c r="AV460" s="18">
        <v>0</v>
      </c>
      <c r="AW460">
        <v>1</v>
      </c>
      <c r="AX460" s="40">
        <v>0</v>
      </c>
      <c r="AY460" s="39">
        <f t="shared" si="336"/>
        <v>0.80569999999999997</v>
      </c>
      <c r="AZ460" s="40">
        <v>0.1943</v>
      </c>
      <c r="BB460" s="18"/>
      <c r="BC460">
        <v>0</v>
      </c>
      <c r="BD460" s="18">
        <v>1</v>
      </c>
      <c r="BE460" s="18" t="s">
        <v>29</v>
      </c>
      <c r="BL460" s="18"/>
      <c r="BO460" s="18"/>
      <c r="BR460" s="25">
        <v>34.79</v>
      </c>
      <c r="BS460">
        <v>1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</v>
      </c>
      <c r="BZ460" s="18">
        <v>0</v>
      </c>
      <c r="CA460">
        <v>0</v>
      </c>
      <c r="CB460">
        <v>0</v>
      </c>
      <c r="CC460">
        <v>1</v>
      </c>
      <c r="CD460" s="18">
        <v>0</v>
      </c>
      <c r="CE460">
        <v>0</v>
      </c>
      <c r="CF460">
        <v>0</v>
      </c>
      <c r="CG460">
        <v>0</v>
      </c>
      <c r="CH460">
        <v>0</v>
      </c>
      <c r="CI460" s="18">
        <v>0</v>
      </c>
      <c r="CJ460">
        <v>0</v>
      </c>
      <c r="CK460">
        <v>0</v>
      </c>
      <c r="CL460">
        <v>1</v>
      </c>
      <c r="CM460">
        <v>1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 s="18">
        <v>0</v>
      </c>
      <c r="CZ460" s="34" t="s">
        <v>87</v>
      </c>
    </row>
    <row r="461" spans="1:104" x14ac:dyDescent="0.25">
      <c r="A461">
        <v>460</v>
      </c>
      <c r="B461">
        <v>29</v>
      </c>
      <c r="C461" s="25" t="s">
        <v>288</v>
      </c>
      <c r="D461" s="12">
        <v>11.6</v>
      </c>
      <c r="E461" s="14">
        <v>0.3</v>
      </c>
      <c r="F461" s="7">
        <f t="shared" si="334"/>
        <v>38.666666666666664</v>
      </c>
      <c r="G461" s="7">
        <f t="shared" si="329"/>
        <v>11.299999999999999</v>
      </c>
      <c r="H461" s="16">
        <f t="shared" si="330"/>
        <v>11.9</v>
      </c>
      <c r="I461" s="11">
        <f t="shared" si="327"/>
        <v>0.49193630773042418</v>
      </c>
      <c r="J461" s="33">
        <f t="shared" si="328"/>
        <v>1.2722490717166144E-2</v>
      </c>
      <c r="K461" s="33">
        <f t="shared" si="331"/>
        <v>78.60096126073212</v>
      </c>
      <c r="L461" s="33">
        <f t="shared" si="332"/>
        <v>0.47921381701325805</v>
      </c>
      <c r="M461" s="33">
        <f t="shared" si="333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35"/>
        <v>4683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9">
        <v>0</v>
      </c>
      <c r="AL461" s="30">
        <v>1</v>
      </c>
      <c r="AM461" s="21">
        <v>2006</v>
      </c>
      <c r="AN461" s="23"/>
      <c r="AO461" s="33">
        <v>3.5000000000000003E-2</v>
      </c>
      <c r="AP461" s="33">
        <v>0.44450000000000001</v>
      </c>
      <c r="AQ461" s="33">
        <v>0.37890000000000001</v>
      </c>
      <c r="AR461" s="43">
        <v>0.14150000000000001</v>
      </c>
      <c r="AS461" s="33">
        <v>0.4185962674287485</v>
      </c>
      <c r="AT461" s="43">
        <v>0.58140373257125155</v>
      </c>
      <c r="AU461" s="42">
        <v>1</v>
      </c>
      <c r="AV461" s="18">
        <v>0</v>
      </c>
      <c r="AW461">
        <v>1</v>
      </c>
      <c r="AX461" s="40">
        <v>0</v>
      </c>
      <c r="AY461" s="39">
        <f t="shared" si="336"/>
        <v>0.72070000000000001</v>
      </c>
      <c r="AZ461" s="40">
        <v>0.27929999999999999</v>
      </c>
      <c r="BB461" s="18"/>
      <c r="BC461">
        <v>0</v>
      </c>
      <c r="BD461" s="18">
        <v>1</v>
      </c>
      <c r="BE461" s="18" t="s">
        <v>29</v>
      </c>
      <c r="BL461" s="18"/>
      <c r="BO461" s="18"/>
      <c r="BR461" s="25">
        <v>35.299999999999997</v>
      </c>
      <c r="BS461">
        <v>1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</v>
      </c>
      <c r="BZ461" s="18">
        <v>0</v>
      </c>
      <c r="CA461">
        <v>0</v>
      </c>
      <c r="CB461">
        <v>0</v>
      </c>
      <c r="CC461">
        <v>1</v>
      </c>
      <c r="CD461" s="18">
        <v>0</v>
      </c>
      <c r="CE461">
        <v>0</v>
      </c>
      <c r="CF461">
        <v>0</v>
      </c>
      <c r="CG461">
        <v>0</v>
      </c>
      <c r="CH461">
        <v>0</v>
      </c>
      <c r="CI461" s="18">
        <v>0</v>
      </c>
      <c r="CJ461">
        <v>0</v>
      </c>
      <c r="CK461">
        <v>0</v>
      </c>
      <c r="CL461">
        <v>1</v>
      </c>
      <c r="CM461">
        <v>1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 s="18">
        <v>0</v>
      </c>
      <c r="CZ461" s="34" t="s">
        <v>87</v>
      </c>
    </row>
    <row r="462" spans="1:104" x14ac:dyDescent="0.25">
      <c r="A462">
        <v>461</v>
      </c>
      <c r="B462">
        <v>29</v>
      </c>
      <c r="C462" s="25" t="s">
        <v>288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37">D462-E462</f>
        <v>-0.39574868787070938</v>
      </c>
      <c r="H462" s="16">
        <f t="shared" ref="H462:H489" si="338">D462+E462</f>
        <v>1.4642701451216245</v>
      </c>
      <c r="I462" s="11">
        <f t="shared" si="327"/>
        <v>1.3980967807515428E-2</v>
      </c>
      <c r="J462" s="33">
        <f t="shared" si="328"/>
        <v>2.4337240257526857E-2</v>
      </c>
      <c r="K462" s="33">
        <f t="shared" ref="K462:K479" si="339">IFERROR(1/J462, "X")</f>
        <v>41.089293174509663</v>
      </c>
      <c r="L462" s="33">
        <f t="shared" ref="L462:L479" si="340">IFERROR(I462-J462, "X")</f>
        <v>-1.0356272450011429E-2</v>
      </c>
      <c r="M462" s="33">
        <f t="shared" ref="M462:M479" si="341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35"/>
        <v>1688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9">
        <v>0</v>
      </c>
      <c r="AL462" s="30">
        <v>1</v>
      </c>
      <c r="AM462" s="21">
        <v>1988</v>
      </c>
      <c r="AN462" s="23"/>
      <c r="AO462" s="33">
        <v>0.3407</v>
      </c>
      <c r="AP462" s="33">
        <v>7.7300000000000008E-2</v>
      </c>
      <c r="AQ462" s="33">
        <v>0.35670000000000002</v>
      </c>
      <c r="AR462" s="43">
        <v>0.2253</v>
      </c>
      <c r="AS462" s="33">
        <v>0.51586901563501386</v>
      </c>
      <c r="AT462" s="43">
        <v>0.48413098436498614</v>
      </c>
      <c r="AU462" s="42">
        <v>1</v>
      </c>
      <c r="AV462" s="18">
        <v>0</v>
      </c>
      <c r="AW462">
        <v>1</v>
      </c>
      <c r="AX462" s="40">
        <v>0</v>
      </c>
      <c r="AY462" s="39">
        <f>1-AZ462</f>
        <v>0.36770000000000003</v>
      </c>
      <c r="AZ462" s="40">
        <v>0.63229999999999997</v>
      </c>
      <c r="BB462" s="18"/>
      <c r="BC462">
        <v>0</v>
      </c>
      <c r="BD462" s="18">
        <v>1</v>
      </c>
      <c r="BE462" s="18" t="s">
        <v>6</v>
      </c>
      <c r="BL462" s="18"/>
      <c r="BO462" s="18"/>
      <c r="BR462" s="25">
        <v>35.659999999999997</v>
      </c>
      <c r="BS462">
        <v>1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</v>
      </c>
      <c r="BZ462" s="18">
        <v>0</v>
      </c>
      <c r="CA462">
        <v>0</v>
      </c>
      <c r="CB462">
        <v>0</v>
      </c>
      <c r="CC462">
        <v>1</v>
      </c>
      <c r="CD462" s="18">
        <v>0</v>
      </c>
      <c r="CE462">
        <v>0</v>
      </c>
      <c r="CF462">
        <v>0</v>
      </c>
      <c r="CG462">
        <v>0</v>
      </c>
      <c r="CH462">
        <v>0</v>
      </c>
      <c r="CI462" s="18">
        <v>0</v>
      </c>
      <c r="CJ462">
        <v>0</v>
      </c>
      <c r="CK462">
        <v>0</v>
      </c>
      <c r="CL462">
        <v>1</v>
      </c>
      <c r="CM462">
        <v>1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 s="18">
        <v>0</v>
      </c>
      <c r="CZ462" s="34" t="s">
        <v>87</v>
      </c>
    </row>
    <row r="463" spans="1:104" x14ac:dyDescent="0.25">
      <c r="A463">
        <v>462</v>
      </c>
      <c r="B463">
        <v>29</v>
      </c>
      <c r="C463" s="25" t="s">
        <v>288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37"/>
        <v>4.4421375533010643</v>
      </c>
      <c r="H463" s="16">
        <f t="shared" si="338"/>
        <v>7.1695289994008071</v>
      </c>
      <c r="I463" s="11">
        <f t="shared" si="327"/>
        <v>0.10307220635875566</v>
      </c>
      <c r="J463" s="33">
        <f t="shared" si="328"/>
        <v>2.4209983354033311E-2</v>
      </c>
      <c r="K463" s="33">
        <f t="shared" si="339"/>
        <v>41.305274166303917</v>
      </c>
      <c r="L463" s="33">
        <f t="shared" si="340"/>
        <v>7.8862223004722357E-2</v>
      </c>
      <c r="M463" s="33">
        <f t="shared" si="341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35"/>
        <v>1688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9">
        <v>0</v>
      </c>
      <c r="AL463" s="30">
        <v>1</v>
      </c>
      <c r="AM463" s="21">
        <v>1988</v>
      </c>
      <c r="AN463" s="23"/>
      <c r="AO463" s="33">
        <v>0.3407</v>
      </c>
      <c r="AP463" s="33">
        <v>7.7300000000000008E-2</v>
      </c>
      <c r="AQ463" s="33">
        <v>0.35670000000000002</v>
      </c>
      <c r="AR463" s="43">
        <v>0.2253</v>
      </c>
      <c r="AS463" s="33">
        <v>0.51586901563501386</v>
      </c>
      <c r="AT463" s="43">
        <v>0.48413098436498614</v>
      </c>
      <c r="AU463" s="42">
        <v>1</v>
      </c>
      <c r="AV463" s="18">
        <v>0</v>
      </c>
      <c r="AW463">
        <v>1</v>
      </c>
      <c r="AX463" s="40">
        <v>0</v>
      </c>
      <c r="AY463" s="39">
        <f t="shared" ref="AY463:AY464" si="342">1-AZ463</f>
        <v>0.36770000000000003</v>
      </c>
      <c r="AZ463" s="40">
        <v>0.63229999999999997</v>
      </c>
      <c r="BB463" s="18"/>
      <c r="BC463">
        <v>0</v>
      </c>
      <c r="BD463" s="18">
        <v>1</v>
      </c>
      <c r="BE463" s="18" t="s">
        <v>6</v>
      </c>
      <c r="BL463" s="18"/>
      <c r="BO463" s="18"/>
      <c r="BR463" s="25">
        <v>35.659999999999997</v>
      </c>
      <c r="BS463">
        <v>1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</v>
      </c>
      <c r="BZ463" s="18">
        <v>0</v>
      </c>
      <c r="CA463">
        <v>0</v>
      </c>
      <c r="CB463">
        <v>0</v>
      </c>
      <c r="CC463">
        <v>1</v>
      </c>
      <c r="CD463" s="18">
        <v>0</v>
      </c>
      <c r="CE463">
        <v>0</v>
      </c>
      <c r="CF463">
        <v>0</v>
      </c>
      <c r="CG463">
        <v>0</v>
      </c>
      <c r="CH463">
        <v>0</v>
      </c>
      <c r="CI463" s="18">
        <v>0</v>
      </c>
      <c r="CJ463">
        <v>0</v>
      </c>
      <c r="CK463">
        <v>0</v>
      </c>
      <c r="CL463">
        <v>1</v>
      </c>
      <c r="CM463">
        <v>1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 s="18">
        <v>0</v>
      </c>
      <c r="CZ463" s="34" t="s">
        <v>87</v>
      </c>
    </row>
    <row r="464" spans="1:104" x14ac:dyDescent="0.25">
      <c r="A464">
        <v>463</v>
      </c>
      <c r="B464">
        <v>29</v>
      </c>
      <c r="C464" s="25" t="s">
        <v>288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37"/>
        <v>3.5321851937623943</v>
      </c>
      <c r="H464" s="16">
        <f t="shared" si="338"/>
        <v>4.0333736334178694</v>
      </c>
      <c r="I464" s="11">
        <f t="shared" si="327"/>
        <v>0.34487155734135666</v>
      </c>
      <c r="J464" s="33">
        <f t="shared" si="328"/>
        <v>2.2846380770247605E-2</v>
      </c>
      <c r="K464" s="33">
        <f t="shared" si="339"/>
        <v>43.770609010521284</v>
      </c>
      <c r="L464" s="33">
        <f t="shared" si="340"/>
        <v>0.32202517657110907</v>
      </c>
      <c r="M464" s="33">
        <f t="shared" si="341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35"/>
        <v>1688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9">
        <v>0</v>
      </c>
      <c r="AL464" s="30">
        <v>1</v>
      </c>
      <c r="AM464" s="21">
        <v>1988</v>
      </c>
      <c r="AN464" s="23"/>
      <c r="AO464" s="33">
        <v>0.3407</v>
      </c>
      <c r="AP464" s="33">
        <v>7.7300000000000008E-2</v>
      </c>
      <c r="AQ464" s="33">
        <v>0.35670000000000002</v>
      </c>
      <c r="AR464" s="43">
        <v>0.2253</v>
      </c>
      <c r="AS464" s="33">
        <v>0.51586901563501386</v>
      </c>
      <c r="AT464" s="43">
        <v>0.48413098436498614</v>
      </c>
      <c r="AU464" s="42">
        <v>1</v>
      </c>
      <c r="AV464" s="18">
        <v>0</v>
      </c>
      <c r="AW464">
        <v>1</v>
      </c>
      <c r="AX464" s="40">
        <v>0</v>
      </c>
      <c r="AY464" s="39">
        <f t="shared" si="342"/>
        <v>0.36770000000000003</v>
      </c>
      <c r="AZ464" s="40">
        <v>0.63229999999999997</v>
      </c>
      <c r="BB464" s="18"/>
      <c r="BC464">
        <v>0</v>
      </c>
      <c r="BD464" s="18">
        <v>1</v>
      </c>
      <c r="BE464" s="18" t="s">
        <v>6</v>
      </c>
      <c r="BL464" s="18"/>
      <c r="BO464" s="18"/>
      <c r="BR464" s="25">
        <v>35.659999999999997</v>
      </c>
      <c r="BS464">
        <v>1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</v>
      </c>
      <c r="BZ464" s="18">
        <v>0</v>
      </c>
      <c r="CA464">
        <v>0</v>
      </c>
      <c r="CB464">
        <v>0</v>
      </c>
      <c r="CC464">
        <v>1</v>
      </c>
      <c r="CD464" s="18">
        <v>0</v>
      </c>
      <c r="CE464">
        <v>0</v>
      </c>
      <c r="CF464">
        <v>0</v>
      </c>
      <c r="CG464">
        <v>0</v>
      </c>
      <c r="CH464">
        <v>0</v>
      </c>
      <c r="CI464" s="18">
        <v>0</v>
      </c>
      <c r="CJ464">
        <v>0</v>
      </c>
      <c r="CK464">
        <v>0</v>
      </c>
      <c r="CL464">
        <v>1</v>
      </c>
      <c r="CM464">
        <v>1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 s="18">
        <v>0</v>
      </c>
      <c r="CZ464" s="34" t="s">
        <v>87</v>
      </c>
    </row>
    <row r="465" spans="1:104" x14ac:dyDescent="0.25">
      <c r="A465">
        <v>464</v>
      </c>
      <c r="B465">
        <v>29</v>
      </c>
      <c r="C465" s="25" t="s">
        <v>288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37"/>
        <v>2.1331661296125546</v>
      </c>
      <c r="H465" s="16">
        <f t="shared" si="338"/>
        <v>3.6433722390727699</v>
      </c>
      <c r="I465" s="11">
        <f t="shared" si="327"/>
        <v>8.3435955787929145E-2</v>
      </c>
      <c r="J465" s="33">
        <f t="shared" si="328"/>
        <v>2.1813321774621999E-2</v>
      </c>
      <c r="K465" s="33">
        <f t="shared" si="339"/>
        <v>45.84354507452494</v>
      </c>
      <c r="L465" s="33">
        <f t="shared" si="340"/>
        <v>6.1622634013307143E-2</v>
      </c>
      <c r="M465" s="33">
        <f t="shared" si="341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43">U465-V465-1</f>
        <v>2087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9">
        <v>0</v>
      </c>
      <c r="AL465" s="30">
        <v>1</v>
      </c>
      <c r="AM465" s="21">
        <v>1998</v>
      </c>
      <c r="AN465" s="23"/>
      <c r="AO465" s="33">
        <v>0.19259999999999999</v>
      </c>
      <c r="AP465" s="33">
        <v>0.11460000000000001</v>
      </c>
      <c r="AQ465" s="33">
        <v>0.44299999999999995</v>
      </c>
      <c r="AR465" s="43">
        <v>0.24989999999999998</v>
      </c>
      <c r="AS465" s="33">
        <v>0.46650659646909842</v>
      </c>
      <c r="AT465" s="43">
        <v>0.53349340353090169</v>
      </c>
      <c r="AU465" s="42">
        <v>1</v>
      </c>
      <c r="AV465" s="18">
        <v>0</v>
      </c>
      <c r="AW465">
        <v>1</v>
      </c>
      <c r="AX465" s="40">
        <v>0</v>
      </c>
      <c r="AY465" s="39">
        <f t="shared" ref="AY465:AY467" si="344">1-AZ465</f>
        <v>0.44810000000000005</v>
      </c>
      <c r="AZ465" s="40">
        <v>0.55189999999999995</v>
      </c>
      <c r="BB465" s="18"/>
      <c r="BC465">
        <v>0</v>
      </c>
      <c r="BD465" s="18">
        <v>1</v>
      </c>
      <c r="BE465" s="18" t="s">
        <v>6</v>
      </c>
      <c r="BL465" s="18"/>
      <c r="BO465" s="18"/>
      <c r="BR465" s="25">
        <v>36.31</v>
      </c>
      <c r="BS465">
        <v>1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 s="18">
        <v>0</v>
      </c>
      <c r="CA465">
        <v>0</v>
      </c>
      <c r="CB465">
        <v>0</v>
      </c>
      <c r="CC465">
        <v>1</v>
      </c>
      <c r="CD465" s="18">
        <v>0</v>
      </c>
      <c r="CE465">
        <v>0</v>
      </c>
      <c r="CF465">
        <v>0</v>
      </c>
      <c r="CG465">
        <v>0</v>
      </c>
      <c r="CH465">
        <v>0</v>
      </c>
      <c r="CI465" s="18">
        <v>0</v>
      </c>
      <c r="CJ465">
        <v>0</v>
      </c>
      <c r="CK465">
        <v>0</v>
      </c>
      <c r="CL465">
        <v>1</v>
      </c>
      <c r="CM465">
        <v>1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 s="18">
        <v>0</v>
      </c>
      <c r="CZ465" s="34" t="s">
        <v>87</v>
      </c>
    </row>
    <row r="466" spans="1:104" x14ac:dyDescent="0.25">
      <c r="A466">
        <v>465</v>
      </c>
      <c r="B466">
        <v>29</v>
      </c>
      <c r="C466" s="25" t="s">
        <v>288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37"/>
        <v>4.1047829933429973</v>
      </c>
      <c r="H466" s="16">
        <f t="shared" si="338"/>
        <v>6.1011538784428172</v>
      </c>
      <c r="I466" s="11">
        <f t="shared" si="327"/>
        <v>0.11121107110684131</v>
      </c>
      <c r="J466" s="33">
        <f t="shared" si="328"/>
        <v>2.1753862212515865E-2</v>
      </c>
      <c r="K466" s="33">
        <f t="shared" si="339"/>
        <v>45.968848668383131</v>
      </c>
      <c r="L466" s="33">
        <f t="shared" si="340"/>
        <v>8.9457208894325443E-2</v>
      </c>
      <c r="M466" s="33">
        <f t="shared" si="341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43"/>
        <v>2087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9">
        <v>0</v>
      </c>
      <c r="AL466" s="30">
        <v>1</v>
      </c>
      <c r="AM466" s="21">
        <v>1998</v>
      </c>
      <c r="AN466" s="23"/>
      <c r="AO466" s="33">
        <v>0.19259999999999999</v>
      </c>
      <c r="AP466" s="33">
        <v>0.11460000000000001</v>
      </c>
      <c r="AQ466" s="33">
        <v>0.44299999999999995</v>
      </c>
      <c r="AR466" s="43">
        <v>0.24989999999999998</v>
      </c>
      <c r="AS466" s="33">
        <v>0.46650659646909842</v>
      </c>
      <c r="AT466" s="43">
        <v>0.53349340353090169</v>
      </c>
      <c r="AU466" s="42">
        <v>1</v>
      </c>
      <c r="AV466" s="18">
        <v>0</v>
      </c>
      <c r="AW466">
        <v>1</v>
      </c>
      <c r="AX466" s="40">
        <v>0</v>
      </c>
      <c r="AY466" s="39">
        <f t="shared" si="344"/>
        <v>0.44810000000000005</v>
      </c>
      <c r="AZ466" s="40">
        <v>0.55189999999999995</v>
      </c>
      <c r="BB466" s="18"/>
      <c r="BC466">
        <v>0</v>
      </c>
      <c r="BD466" s="18">
        <v>1</v>
      </c>
      <c r="BE466" s="18" t="s">
        <v>6</v>
      </c>
      <c r="BL466" s="18"/>
      <c r="BO466" s="18"/>
      <c r="BR466" s="25">
        <v>36.31</v>
      </c>
      <c r="BS466">
        <v>1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 s="18">
        <v>0</v>
      </c>
      <c r="CA466">
        <v>0</v>
      </c>
      <c r="CB466">
        <v>0</v>
      </c>
      <c r="CC466">
        <v>1</v>
      </c>
      <c r="CD466" s="18">
        <v>0</v>
      </c>
      <c r="CE466">
        <v>0</v>
      </c>
      <c r="CF466">
        <v>0</v>
      </c>
      <c r="CG466">
        <v>0</v>
      </c>
      <c r="CH466">
        <v>0</v>
      </c>
      <c r="CI466" s="18">
        <v>0</v>
      </c>
      <c r="CJ466">
        <v>0</v>
      </c>
      <c r="CK466">
        <v>0</v>
      </c>
      <c r="CL466">
        <v>1</v>
      </c>
      <c r="CM466">
        <v>1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 s="18">
        <v>0</v>
      </c>
      <c r="CZ466" s="34" t="s">
        <v>87</v>
      </c>
    </row>
    <row r="467" spans="1:104" x14ac:dyDescent="0.25">
      <c r="A467">
        <v>466</v>
      </c>
      <c r="B467">
        <v>29</v>
      </c>
      <c r="C467" s="25" t="s">
        <v>288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37"/>
        <v>2.4764843249679225</v>
      </c>
      <c r="H467" s="16">
        <f t="shared" si="338"/>
        <v>2.7978916084080185</v>
      </c>
      <c r="I467" s="11">
        <f t="shared" si="327"/>
        <v>0.33806514481568661</v>
      </c>
      <c r="J467" s="33">
        <f t="shared" si="328"/>
        <v>2.0600844762205903E-2</v>
      </c>
      <c r="K467" s="33">
        <f t="shared" si="339"/>
        <v>48.541698728519606</v>
      </c>
      <c r="L467" s="33">
        <f t="shared" si="340"/>
        <v>0.3174643000534807</v>
      </c>
      <c r="M467" s="33">
        <f t="shared" si="341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43"/>
        <v>2087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9">
        <v>0</v>
      </c>
      <c r="AL467" s="30">
        <v>1</v>
      </c>
      <c r="AM467" s="21">
        <v>1998</v>
      </c>
      <c r="AN467" s="23"/>
      <c r="AO467" s="33">
        <v>0.19259999999999999</v>
      </c>
      <c r="AP467" s="33">
        <v>0.11460000000000001</v>
      </c>
      <c r="AQ467" s="33">
        <v>0.44299999999999995</v>
      </c>
      <c r="AR467" s="43">
        <v>0.24989999999999998</v>
      </c>
      <c r="AS467" s="33">
        <v>0.46650659646909842</v>
      </c>
      <c r="AT467" s="43">
        <v>0.53349340353090169</v>
      </c>
      <c r="AU467" s="42">
        <v>1</v>
      </c>
      <c r="AV467" s="18">
        <v>0</v>
      </c>
      <c r="AW467">
        <v>1</v>
      </c>
      <c r="AX467" s="40">
        <v>0</v>
      </c>
      <c r="AY467" s="39">
        <f t="shared" si="344"/>
        <v>0.44810000000000005</v>
      </c>
      <c r="AZ467" s="40">
        <v>0.55189999999999995</v>
      </c>
      <c r="BB467" s="18"/>
      <c r="BC467">
        <v>0</v>
      </c>
      <c r="BD467" s="18">
        <v>1</v>
      </c>
      <c r="BE467" s="18" t="s">
        <v>6</v>
      </c>
      <c r="BL467" s="18"/>
      <c r="BO467" s="18"/>
      <c r="BR467" s="25">
        <v>36.31</v>
      </c>
      <c r="BS467">
        <v>1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</v>
      </c>
      <c r="BZ467" s="18">
        <v>0</v>
      </c>
      <c r="CA467">
        <v>0</v>
      </c>
      <c r="CB467">
        <v>0</v>
      </c>
      <c r="CC467">
        <v>1</v>
      </c>
      <c r="CD467" s="18">
        <v>0</v>
      </c>
      <c r="CE467">
        <v>0</v>
      </c>
      <c r="CF467">
        <v>0</v>
      </c>
      <c r="CG467">
        <v>0</v>
      </c>
      <c r="CH467">
        <v>0</v>
      </c>
      <c r="CI467" s="18">
        <v>0</v>
      </c>
      <c r="CJ467">
        <v>0</v>
      </c>
      <c r="CK467">
        <v>0</v>
      </c>
      <c r="CL467">
        <v>1</v>
      </c>
      <c r="CM467">
        <v>1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 s="18">
        <v>0</v>
      </c>
      <c r="CZ467" s="34" t="s">
        <v>87</v>
      </c>
    </row>
    <row r="468" spans="1:104" x14ac:dyDescent="0.25">
      <c r="A468">
        <v>467</v>
      </c>
      <c r="B468">
        <v>29</v>
      </c>
      <c r="C468" s="25" t="s">
        <v>288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37"/>
        <v>0.56441034200667695</v>
      </c>
      <c r="H468" s="16">
        <f t="shared" si="338"/>
        <v>2.160329240094522</v>
      </c>
      <c r="I468" s="11">
        <f t="shared" si="327"/>
        <v>3.1376263115216206E-2</v>
      </c>
      <c r="J468" s="33">
        <f t="shared" si="328"/>
        <v>1.8377525538912347E-2</v>
      </c>
      <c r="K468" s="33">
        <f t="shared" si="339"/>
        <v>54.414289773811618</v>
      </c>
      <c r="L468" s="33">
        <f t="shared" si="340"/>
        <v>1.2998737576303859E-2</v>
      </c>
      <c r="M468" s="33">
        <f t="shared" si="341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43"/>
        <v>2958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9">
        <v>0</v>
      </c>
      <c r="AL468" s="30">
        <v>1</v>
      </c>
      <c r="AM468" s="21">
        <v>2006</v>
      </c>
      <c r="AN468" s="23"/>
      <c r="AO468" s="33">
        <v>0.13970000000000002</v>
      </c>
      <c r="AP468" s="33">
        <v>9.8699999999999996E-2</v>
      </c>
      <c r="AQ468" s="33">
        <v>0.48859999999999998</v>
      </c>
      <c r="AR468" s="43">
        <v>0.27300000000000002</v>
      </c>
      <c r="AS468" s="33">
        <v>0.43550776972755101</v>
      </c>
      <c r="AT468" s="43">
        <v>0.56449223027244899</v>
      </c>
      <c r="AU468" s="42">
        <v>1</v>
      </c>
      <c r="AV468" s="18">
        <v>0</v>
      </c>
      <c r="AW468">
        <v>1</v>
      </c>
      <c r="AX468" s="40">
        <v>0</v>
      </c>
      <c r="AY468" s="39">
        <f t="shared" ref="AY468:AY470" si="345">1-AZ468</f>
        <v>0.56109999999999993</v>
      </c>
      <c r="AZ468" s="40">
        <v>0.43890000000000001</v>
      </c>
      <c r="BB468" s="18"/>
      <c r="BC468">
        <v>0</v>
      </c>
      <c r="BD468" s="18">
        <v>1</v>
      </c>
      <c r="BE468" s="18" t="s">
        <v>6</v>
      </c>
      <c r="BL468" s="18"/>
      <c r="BO468" s="18"/>
      <c r="BR468" s="25">
        <v>34.93</v>
      </c>
      <c r="BS468">
        <v>1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0</v>
      </c>
      <c r="BZ468" s="18">
        <v>0</v>
      </c>
      <c r="CA468">
        <v>0</v>
      </c>
      <c r="CB468">
        <v>0</v>
      </c>
      <c r="CC468">
        <v>1</v>
      </c>
      <c r="CD468" s="18">
        <v>0</v>
      </c>
      <c r="CE468">
        <v>0</v>
      </c>
      <c r="CF468">
        <v>0</v>
      </c>
      <c r="CG468">
        <v>0</v>
      </c>
      <c r="CH468">
        <v>0</v>
      </c>
      <c r="CI468" s="18">
        <v>0</v>
      </c>
      <c r="CJ468">
        <v>0</v>
      </c>
      <c r="CK468">
        <v>0</v>
      </c>
      <c r="CL468">
        <v>1</v>
      </c>
      <c r="CM468">
        <v>1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 s="18">
        <v>0</v>
      </c>
      <c r="CZ468" s="34" t="s">
        <v>87</v>
      </c>
    </row>
    <row r="469" spans="1:104" x14ac:dyDescent="0.25">
      <c r="A469">
        <v>468</v>
      </c>
      <c r="B469">
        <v>29</v>
      </c>
      <c r="C469" s="25" t="s">
        <v>288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37"/>
        <v>3.064801451172861</v>
      </c>
      <c r="H469" s="16">
        <f t="shared" si="338"/>
        <v>6.1417167420736769</v>
      </c>
      <c r="I469" s="11">
        <f t="shared" si="327"/>
        <v>5.493189176422196E-2</v>
      </c>
      <c r="J469" s="33">
        <f t="shared" si="328"/>
        <v>1.8358816458042604E-2</v>
      </c>
      <c r="K469" s="33">
        <f t="shared" si="339"/>
        <v>54.469742223601862</v>
      </c>
      <c r="L469" s="33">
        <f t="shared" si="340"/>
        <v>3.6573075306179356E-2</v>
      </c>
      <c r="M469" s="33">
        <f t="shared" si="341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43"/>
        <v>2958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9">
        <v>0</v>
      </c>
      <c r="AL469" s="30">
        <v>1</v>
      </c>
      <c r="AM469" s="21">
        <v>2006</v>
      </c>
      <c r="AN469" s="23"/>
      <c r="AO469" s="33">
        <v>0.13970000000000002</v>
      </c>
      <c r="AP469" s="33">
        <v>9.8699999999999996E-2</v>
      </c>
      <c r="AQ469" s="33">
        <v>0.48859999999999998</v>
      </c>
      <c r="AR469" s="43">
        <v>0.27300000000000002</v>
      </c>
      <c r="AS469" s="33">
        <v>0.43550776972755101</v>
      </c>
      <c r="AT469" s="43">
        <v>0.56449223027244899</v>
      </c>
      <c r="AU469" s="42">
        <v>1</v>
      </c>
      <c r="AV469" s="18">
        <v>0</v>
      </c>
      <c r="AW469">
        <v>1</v>
      </c>
      <c r="AX469" s="40">
        <v>0</v>
      </c>
      <c r="AY469" s="39">
        <f t="shared" si="345"/>
        <v>0.56109999999999993</v>
      </c>
      <c r="AZ469" s="40">
        <v>0.43890000000000001</v>
      </c>
      <c r="BB469" s="18"/>
      <c r="BC469">
        <v>0</v>
      </c>
      <c r="BD469" s="18">
        <v>1</v>
      </c>
      <c r="BE469" s="18" t="s">
        <v>6</v>
      </c>
      <c r="BL469" s="18"/>
      <c r="BO469" s="18"/>
      <c r="BR469" s="25">
        <v>34.93</v>
      </c>
      <c r="BS469">
        <v>1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0</v>
      </c>
      <c r="BZ469" s="18">
        <v>0</v>
      </c>
      <c r="CA469">
        <v>0</v>
      </c>
      <c r="CB469">
        <v>0</v>
      </c>
      <c r="CC469">
        <v>1</v>
      </c>
      <c r="CD469" s="18">
        <v>0</v>
      </c>
      <c r="CE469">
        <v>0</v>
      </c>
      <c r="CF469">
        <v>0</v>
      </c>
      <c r="CG469">
        <v>0</v>
      </c>
      <c r="CH469">
        <v>0</v>
      </c>
      <c r="CI469" s="18">
        <v>0</v>
      </c>
      <c r="CJ469">
        <v>0</v>
      </c>
      <c r="CK469">
        <v>0</v>
      </c>
      <c r="CL469">
        <v>1</v>
      </c>
      <c r="CM469">
        <v>1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 s="18">
        <v>0</v>
      </c>
      <c r="CZ469" s="34" t="s">
        <v>87</v>
      </c>
    </row>
    <row r="470" spans="1:104" x14ac:dyDescent="0.25">
      <c r="A470">
        <v>469</v>
      </c>
      <c r="B470">
        <v>29</v>
      </c>
      <c r="C470" s="25" t="s">
        <v>288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37"/>
        <v>5.7478025045359642</v>
      </c>
      <c r="H470" s="16">
        <f t="shared" si="338"/>
        <v>6.4032536673339253</v>
      </c>
      <c r="I470" s="11">
        <f t="shared" si="327"/>
        <v>0.32263134511512193</v>
      </c>
      <c r="J470" s="33">
        <f t="shared" si="328"/>
        <v>1.7403350566375875E-2</v>
      </c>
      <c r="K470" s="33">
        <f t="shared" si="339"/>
        <v>57.460199757858639</v>
      </c>
      <c r="L470" s="33">
        <f t="shared" si="340"/>
        <v>0.30522799454874605</v>
      </c>
      <c r="M470" s="33">
        <f t="shared" si="341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43"/>
        <v>2958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9">
        <v>0</v>
      </c>
      <c r="AL470" s="30">
        <v>1</v>
      </c>
      <c r="AM470" s="21">
        <v>2006</v>
      </c>
      <c r="AN470" s="23"/>
      <c r="AO470" s="33">
        <v>0.13970000000000002</v>
      </c>
      <c r="AP470" s="33">
        <v>9.8699999999999996E-2</v>
      </c>
      <c r="AQ470" s="33">
        <v>0.48859999999999998</v>
      </c>
      <c r="AR470" s="43">
        <v>0.27300000000000002</v>
      </c>
      <c r="AS470" s="33">
        <v>0.43550776972755101</v>
      </c>
      <c r="AT470" s="43">
        <v>0.56449223027244899</v>
      </c>
      <c r="AU470" s="42">
        <v>1</v>
      </c>
      <c r="AV470" s="18">
        <v>0</v>
      </c>
      <c r="AW470">
        <v>1</v>
      </c>
      <c r="AX470" s="40">
        <v>0</v>
      </c>
      <c r="AY470" s="39">
        <f t="shared" si="345"/>
        <v>0.56109999999999993</v>
      </c>
      <c r="AZ470" s="40">
        <v>0.43890000000000001</v>
      </c>
      <c r="BB470" s="18"/>
      <c r="BC470">
        <v>0</v>
      </c>
      <c r="BD470" s="18">
        <v>1</v>
      </c>
      <c r="BE470" s="18" t="s">
        <v>6</v>
      </c>
      <c r="BL470" s="18"/>
      <c r="BO470" s="18"/>
      <c r="BR470" s="25">
        <v>34.93</v>
      </c>
      <c r="BS470">
        <v>1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0</v>
      </c>
      <c r="BZ470" s="18">
        <v>0</v>
      </c>
      <c r="CA470">
        <v>0</v>
      </c>
      <c r="CB470">
        <v>0</v>
      </c>
      <c r="CC470">
        <v>1</v>
      </c>
      <c r="CD470" s="18">
        <v>0</v>
      </c>
      <c r="CE470">
        <v>0</v>
      </c>
      <c r="CF470">
        <v>0</v>
      </c>
      <c r="CG470">
        <v>0</v>
      </c>
      <c r="CH470">
        <v>0</v>
      </c>
      <c r="CI470" s="18">
        <v>0</v>
      </c>
      <c r="CJ470">
        <v>0</v>
      </c>
      <c r="CK470">
        <v>0</v>
      </c>
      <c r="CL470">
        <v>1</v>
      </c>
      <c r="CM470">
        <v>1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 s="18">
        <v>0</v>
      </c>
      <c r="CZ470" s="34" t="s">
        <v>87</v>
      </c>
    </row>
    <row r="471" spans="1:104" x14ac:dyDescent="0.25">
      <c r="A471">
        <v>470</v>
      </c>
      <c r="B471">
        <v>29</v>
      </c>
      <c r="C471" s="25" t="s">
        <v>288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37"/>
        <v>0.88297678300967997</v>
      </c>
      <c r="H471" s="16">
        <f t="shared" si="338"/>
        <v>3.2247847727310055</v>
      </c>
      <c r="I471" s="11">
        <f t="shared" si="327"/>
        <v>4.4524323599036228E-2</v>
      </c>
      <c r="J471" s="33">
        <f t="shared" si="328"/>
        <v>2.5383025603188881E-2</v>
      </c>
      <c r="K471" s="33">
        <f t="shared" si="339"/>
        <v>39.396406702373952</v>
      </c>
      <c r="L471" s="33">
        <f t="shared" si="340"/>
        <v>1.9141297995847347E-2</v>
      </c>
      <c r="M471" s="33">
        <f t="shared" si="341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43"/>
        <v>1549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9">
        <v>0</v>
      </c>
      <c r="AL471" s="30">
        <v>1</v>
      </c>
      <c r="AM471" s="21">
        <v>1987</v>
      </c>
      <c r="AN471" s="23"/>
      <c r="AO471" s="33">
        <v>0.1018</v>
      </c>
      <c r="AP471" s="33">
        <v>0.53220000000000001</v>
      </c>
      <c r="AQ471" s="33">
        <v>0.2636</v>
      </c>
      <c r="AR471" s="43">
        <v>0.1024</v>
      </c>
      <c r="AS471" s="33">
        <v>0.48948427725124305</v>
      </c>
      <c r="AT471" s="43">
        <v>0.51051572274875689</v>
      </c>
      <c r="AU471" s="42">
        <v>1</v>
      </c>
      <c r="AV471" s="18">
        <v>0</v>
      </c>
      <c r="AW471">
        <v>1</v>
      </c>
      <c r="AX471" s="40">
        <v>0</v>
      </c>
      <c r="AY471" s="39">
        <f t="shared" ref="AY471:AY473" si="346">1-AZ471</f>
        <v>0.77629999999999999</v>
      </c>
      <c r="AZ471" s="40">
        <v>0.22370000000000001</v>
      </c>
      <c r="BB471" s="18"/>
      <c r="BC471">
        <v>0</v>
      </c>
      <c r="BD471" s="18">
        <v>1</v>
      </c>
      <c r="BE471" s="18" t="s">
        <v>29</v>
      </c>
      <c r="BL471" s="18"/>
      <c r="BO471" s="18"/>
      <c r="BR471" s="25">
        <v>33.72</v>
      </c>
      <c r="BS471">
        <v>1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0</v>
      </c>
      <c r="BZ471" s="18">
        <v>0</v>
      </c>
      <c r="CA471">
        <v>0</v>
      </c>
      <c r="CB471">
        <v>0</v>
      </c>
      <c r="CC471">
        <v>1</v>
      </c>
      <c r="CD471" s="18">
        <v>0</v>
      </c>
      <c r="CE471">
        <v>0</v>
      </c>
      <c r="CF471">
        <v>0</v>
      </c>
      <c r="CG471">
        <v>0</v>
      </c>
      <c r="CH471">
        <v>0</v>
      </c>
      <c r="CI471" s="18">
        <v>0</v>
      </c>
      <c r="CJ471">
        <v>0</v>
      </c>
      <c r="CK471">
        <v>0</v>
      </c>
      <c r="CL471">
        <v>1</v>
      </c>
      <c r="CM471">
        <v>1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 s="18">
        <v>0</v>
      </c>
      <c r="CZ471" s="34" t="s">
        <v>87</v>
      </c>
    </row>
    <row r="472" spans="1:104" x14ac:dyDescent="0.25">
      <c r="A472">
        <v>471</v>
      </c>
      <c r="B472">
        <v>29</v>
      </c>
      <c r="C472" s="25" t="s">
        <v>288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37"/>
        <v>6.9192554648999192</v>
      </c>
      <c r="H472" s="16">
        <f t="shared" si="338"/>
        <v>8.8105186253058978</v>
      </c>
      <c r="I472" s="11">
        <f t="shared" si="327"/>
        <v>0.2067559194316444</v>
      </c>
      <c r="J472" s="33">
        <f t="shared" si="328"/>
        <v>2.4859216119347275E-2</v>
      </c>
      <c r="K472" s="33">
        <f t="shared" si="339"/>
        <v>40.226529879263822</v>
      </c>
      <c r="L472" s="33">
        <f t="shared" si="340"/>
        <v>0.18189670331229713</v>
      </c>
      <c r="M472" s="33">
        <f t="shared" si="341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43"/>
        <v>1549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9">
        <v>0</v>
      </c>
      <c r="AL472" s="30">
        <v>1</v>
      </c>
      <c r="AM472" s="21">
        <v>1987</v>
      </c>
      <c r="AN472" s="23"/>
      <c r="AO472" s="33">
        <v>0.1018</v>
      </c>
      <c r="AP472" s="33">
        <v>0.53220000000000001</v>
      </c>
      <c r="AQ472" s="33">
        <v>0.2636</v>
      </c>
      <c r="AR472" s="43">
        <v>0.1024</v>
      </c>
      <c r="AS472" s="33">
        <v>0.48948427725124305</v>
      </c>
      <c r="AT472" s="43">
        <v>0.51051572274875689</v>
      </c>
      <c r="AU472" s="42">
        <v>1</v>
      </c>
      <c r="AV472" s="18">
        <v>0</v>
      </c>
      <c r="AW472">
        <v>1</v>
      </c>
      <c r="AX472" s="40">
        <v>0</v>
      </c>
      <c r="AY472" s="39">
        <f t="shared" si="346"/>
        <v>0.77629999999999999</v>
      </c>
      <c r="AZ472" s="40">
        <v>0.22370000000000001</v>
      </c>
      <c r="BB472" s="18"/>
      <c r="BC472">
        <v>0</v>
      </c>
      <c r="BD472" s="18">
        <v>1</v>
      </c>
      <c r="BE472" s="18" t="s">
        <v>29</v>
      </c>
      <c r="BL472" s="18"/>
      <c r="BO472" s="18"/>
      <c r="BR472" s="25">
        <v>33.72</v>
      </c>
      <c r="BS472">
        <v>1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0</v>
      </c>
      <c r="BZ472" s="18">
        <v>0</v>
      </c>
      <c r="CA472">
        <v>0</v>
      </c>
      <c r="CB472">
        <v>0</v>
      </c>
      <c r="CC472">
        <v>1</v>
      </c>
      <c r="CD472" s="18">
        <v>0</v>
      </c>
      <c r="CE472">
        <v>0</v>
      </c>
      <c r="CF472">
        <v>0</v>
      </c>
      <c r="CG472">
        <v>0</v>
      </c>
      <c r="CH472">
        <v>0</v>
      </c>
      <c r="CI472" s="18">
        <v>0</v>
      </c>
      <c r="CJ472">
        <v>0</v>
      </c>
      <c r="CK472">
        <v>0</v>
      </c>
      <c r="CL472">
        <v>1</v>
      </c>
      <c r="CM472">
        <v>1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 s="18">
        <v>0</v>
      </c>
      <c r="CZ472" s="34" t="s">
        <v>87</v>
      </c>
    </row>
    <row r="473" spans="1:104" x14ac:dyDescent="0.25">
      <c r="A473">
        <v>472</v>
      </c>
      <c r="B473">
        <v>29</v>
      </c>
      <c r="C473" s="25" t="s">
        <v>288</v>
      </c>
      <c r="D473" s="12">
        <v>9.745977902720405</v>
      </c>
      <c r="E473" s="14">
        <v>1.0097873494184408</v>
      </c>
      <c r="F473" s="7">
        <v>9.6515151515151505</v>
      </c>
      <c r="G473" s="7">
        <f t="shared" si="337"/>
        <v>8.7361905533019648</v>
      </c>
      <c r="H473" s="16">
        <f t="shared" si="338"/>
        <v>10.755765252138845</v>
      </c>
      <c r="I473" s="11">
        <f t="shared" si="327"/>
        <v>0.23817098554182045</v>
      </c>
      <c r="J473" s="33">
        <f t="shared" si="328"/>
        <v>2.467705658675063E-2</v>
      </c>
      <c r="K473" s="33">
        <f t="shared" si="339"/>
        <v>40.523471528484905</v>
      </c>
      <c r="L473" s="33">
        <f t="shared" si="340"/>
        <v>0.21349392895506983</v>
      </c>
      <c r="M473" s="33">
        <f t="shared" si="341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43"/>
        <v>1549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9">
        <v>0</v>
      </c>
      <c r="AL473" s="30">
        <v>1</v>
      </c>
      <c r="AM473" s="21">
        <v>1987</v>
      </c>
      <c r="AN473" s="23"/>
      <c r="AO473" s="33">
        <v>0.1018</v>
      </c>
      <c r="AP473" s="33">
        <v>0.53220000000000001</v>
      </c>
      <c r="AQ473" s="33">
        <v>0.2636</v>
      </c>
      <c r="AR473" s="43">
        <v>0.1024</v>
      </c>
      <c r="AS473" s="33">
        <v>0.48948427725124305</v>
      </c>
      <c r="AT473" s="43">
        <v>0.51051572274875689</v>
      </c>
      <c r="AU473" s="42">
        <v>1</v>
      </c>
      <c r="AV473" s="18">
        <v>0</v>
      </c>
      <c r="AW473">
        <v>1</v>
      </c>
      <c r="AX473" s="40">
        <v>0</v>
      </c>
      <c r="AY473" s="39">
        <f t="shared" si="346"/>
        <v>0.77629999999999999</v>
      </c>
      <c r="AZ473" s="40">
        <v>0.22370000000000001</v>
      </c>
      <c r="BB473" s="18"/>
      <c r="BC473">
        <v>0</v>
      </c>
      <c r="BD473" s="18">
        <v>1</v>
      </c>
      <c r="BE473" s="18" t="s">
        <v>29</v>
      </c>
      <c r="BL473" s="18"/>
      <c r="BO473" s="18"/>
      <c r="BR473" s="25">
        <v>33.72</v>
      </c>
      <c r="BS473">
        <v>1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0</v>
      </c>
      <c r="BZ473" s="18">
        <v>0</v>
      </c>
      <c r="CA473">
        <v>0</v>
      </c>
      <c r="CB473">
        <v>0</v>
      </c>
      <c r="CC473">
        <v>1</v>
      </c>
      <c r="CD473" s="18">
        <v>0</v>
      </c>
      <c r="CE473">
        <v>0</v>
      </c>
      <c r="CF473">
        <v>0</v>
      </c>
      <c r="CG473">
        <v>0</v>
      </c>
      <c r="CH473">
        <v>0</v>
      </c>
      <c r="CI473" s="18">
        <v>0</v>
      </c>
      <c r="CJ473">
        <v>0</v>
      </c>
      <c r="CK473">
        <v>0</v>
      </c>
      <c r="CL473">
        <v>1</v>
      </c>
      <c r="CM473">
        <v>1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 s="18">
        <v>0</v>
      </c>
      <c r="CZ473" s="34" t="s">
        <v>87</v>
      </c>
    </row>
    <row r="474" spans="1:104" x14ac:dyDescent="0.25">
      <c r="A474">
        <v>473</v>
      </c>
      <c r="B474">
        <v>29</v>
      </c>
      <c r="C474" s="25" t="s">
        <v>288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37"/>
        <v>3.5563204725313646</v>
      </c>
      <c r="H474" s="16">
        <f t="shared" si="338"/>
        <v>5.6718752151654073</v>
      </c>
      <c r="I474" s="11">
        <f t="shared" si="327"/>
        <v>9.4205733875260531E-2</v>
      </c>
      <c r="J474" s="33">
        <f t="shared" si="328"/>
        <v>2.1596571402233637E-2</v>
      </c>
      <c r="K474" s="33">
        <f t="shared" si="339"/>
        <v>46.303646137857534</v>
      </c>
      <c r="L474" s="33">
        <f t="shared" si="340"/>
        <v>7.26091624730269E-2</v>
      </c>
      <c r="M474" s="33">
        <f t="shared" si="341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43"/>
        <v>2125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9">
        <v>0</v>
      </c>
      <c r="AL474" s="30">
        <v>1</v>
      </c>
      <c r="AM474" s="21">
        <v>2001</v>
      </c>
      <c r="AN474" s="23"/>
      <c r="AO474" s="33">
        <v>4.2699999999999995E-2</v>
      </c>
      <c r="AP474" s="33">
        <v>0.50719999999999998</v>
      </c>
      <c r="AQ474" s="33">
        <v>0.33500000000000002</v>
      </c>
      <c r="AR474" s="43">
        <v>0.1152</v>
      </c>
      <c r="AS474" s="33">
        <v>0.43074865236748022</v>
      </c>
      <c r="AT474" s="43">
        <v>0.56925134763251983</v>
      </c>
      <c r="AU474" s="42">
        <v>1</v>
      </c>
      <c r="AV474" s="18">
        <v>0</v>
      </c>
      <c r="AW474">
        <v>1</v>
      </c>
      <c r="AX474" s="40">
        <v>0</v>
      </c>
      <c r="AY474" s="39">
        <f t="shared" ref="AY474:AY476" si="347">1-AZ474</f>
        <v>0.80569999999999997</v>
      </c>
      <c r="AZ474" s="40">
        <v>0.1943</v>
      </c>
      <c r="BB474" s="18"/>
      <c r="BC474">
        <v>0</v>
      </c>
      <c r="BD474" s="18">
        <v>1</v>
      </c>
      <c r="BE474" s="18" t="s">
        <v>29</v>
      </c>
      <c r="BL474" s="18"/>
      <c r="BO474" s="18"/>
      <c r="BR474" s="25">
        <v>34.79</v>
      </c>
      <c r="BS474">
        <v>1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0</v>
      </c>
      <c r="BZ474" s="18">
        <v>0</v>
      </c>
      <c r="CA474">
        <v>0</v>
      </c>
      <c r="CB474">
        <v>0</v>
      </c>
      <c r="CC474">
        <v>1</v>
      </c>
      <c r="CD474" s="18">
        <v>0</v>
      </c>
      <c r="CE474">
        <v>0</v>
      </c>
      <c r="CF474">
        <v>0</v>
      </c>
      <c r="CG474">
        <v>0</v>
      </c>
      <c r="CH474">
        <v>0</v>
      </c>
      <c r="CI474" s="18">
        <v>0</v>
      </c>
      <c r="CJ474">
        <v>0</v>
      </c>
      <c r="CK474">
        <v>0</v>
      </c>
      <c r="CL474">
        <v>1</v>
      </c>
      <c r="CM474">
        <v>1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 s="18">
        <v>0</v>
      </c>
      <c r="CZ474" s="34" t="s">
        <v>87</v>
      </c>
    </row>
    <row r="475" spans="1:104" x14ac:dyDescent="0.25">
      <c r="A475">
        <v>474</v>
      </c>
      <c r="B475">
        <v>29</v>
      </c>
      <c r="C475" s="25" t="s">
        <v>288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37"/>
        <v>5.8812405354916715</v>
      </c>
      <c r="H475" s="16">
        <f t="shared" si="338"/>
        <v>7.0666068449706136</v>
      </c>
      <c r="I475" s="11">
        <f t="shared" si="327"/>
        <v>0.23057022351054179</v>
      </c>
      <c r="J475" s="33">
        <f t="shared" si="328"/>
        <v>2.1108541588993265E-2</v>
      </c>
      <c r="K475" s="33">
        <f t="shared" si="339"/>
        <v>47.374187164187369</v>
      </c>
      <c r="L475" s="33">
        <f t="shared" si="340"/>
        <v>0.20946168192154851</v>
      </c>
      <c r="M475" s="33">
        <f t="shared" si="341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43"/>
        <v>2125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9">
        <v>0</v>
      </c>
      <c r="AL475" s="30">
        <v>1</v>
      </c>
      <c r="AM475" s="21">
        <v>2001</v>
      </c>
      <c r="AN475" s="23"/>
      <c r="AO475" s="33">
        <v>4.2699999999999995E-2</v>
      </c>
      <c r="AP475" s="33">
        <v>0.50719999999999998</v>
      </c>
      <c r="AQ475" s="33">
        <v>0.33500000000000002</v>
      </c>
      <c r="AR475" s="43">
        <v>0.1152</v>
      </c>
      <c r="AS475" s="33">
        <v>0.43074865236748022</v>
      </c>
      <c r="AT475" s="43">
        <v>0.56925134763251983</v>
      </c>
      <c r="AU475" s="42">
        <v>1</v>
      </c>
      <c r="AV475" s="18">
        <v>0</v>
      </c>
      <c r="AW475">
        <v>1</v>
      </c>
      <c r="AX475" s="40">
        <v>0</v>
      </c>
      <c r="AY475" s="39">
        <f t="shared" si="347"/>
        <v>0.80569999999999997</v>
      </c>
      <c r="AZ475" s="40">
        <v>0.1943</v>
      </c>
      <c r="BB475" s="18"/>
      <c r="BC475">
        <v>0</v>
      </c>
      <c r="BD475" s="18">
        <v>1</v>
      </c>
      <c r="BE475" s="18" t="s">
        <v>29</v>
      </c>
      <c r="BL475" s="18"/>
      <c r="BO475" s="18"/>
      <c r="BR475" s="25">
        <v>34.79</v>
      </c>
      <c r="BS475">
        <v>1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0</v>
      </c>
      <c r="BZ475" s="18">
        <v>0</v>
      </c>
      <c r="CA475">
        <v>0</v>
      </c>
      <c r="CB475">
        <v>0</v>
      </c>
      <c r="CC475">
        <v>1</v>
      </c>
      <c r="CD475" s="18">
        <v>0</v>
      </c>
      <c r="CE475">
        <v>0</v>
      </c>
      <c r="CF475">
        <v>0</v>
      </c>
      <c r="CG475">
        <v>0</v>
      </c>
      <c r="CH475">
        <v>0</v>
      </c>
      <c r="CI475" s="18">
        <v>0</v>
      </c>
      <c r="CJ475">
        <v>0</v>
      </c>
      <c r="CK475">
        <v>0</v>
      </c>
      <c r="CL475">
        <v>1</v>
      </c>
      <c r="CM475">
        <v>1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 s="18">
        <v>0</v>
      </c>
      <c r="CZ475" s="34" t="s">
        <v>87</v>
      </c>
    </row>
    <row r="476" spans="1:104" x14ac:dyDescent="0.25">
      <c r="A476">
        <v>475</v>
      </c>
      <c r="B476">
        <v>29</v>
      </c>
      <c r="C476" s="25" t="s">
        <v>288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37"/>
        <v>7.5665734186020002</v>
      </c>
      <c r="H476" s="16">
        <f t="shared" si="338"/>
        <v>9.4144692396111846</v>
      </c>
      <c r="I476" s="11">
        <f t="shared" si="327"/>
        <v>0.19549933117032514</v>
      </c>
      <c r="J476" s="33">
        <f t="shared" si="328"/>
        <v>2.127445318588864E-2</v>
      </c>
      <c r="K476" s="33">
        <f t="shared" si="339"/>
        <v>47.004733389025517</v>
      </c>
      <c r="L476" s="33">
        <f t="shared" si="340"/>
        <v>0.1742248779844365</v>
      </c>
      <c r="M476" s="33">
        <f t="shared" si="341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43"/>
        <v>2125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9">
        <v>0</v>
      </c>
      <c r="AL476" s="30">
        <v>1</v>
      </c>
      <c r="AM476" s="21">
        <v>2001</v>
      </c>
      <c r="AN476" s="23"/>
      <c r="AO476" s="33">
        <v>4.2699999999999995E-2</v>
      </c>
      <c r="AP476" s="33">
        <v>0.50719999999999998</v>
      </c>
      <c r="AQ476" s="33">
        <v>0.33500000000000002</v>
      </c>
      <c r="AR476" s="43">
        <v>0.1152</v>
      </c>
      <c r="AS476" s="33">
        <v>0.43074865236748022</v>
      </c>
      <c r="AT476" s="43">
        <v>0.56925134763251983</v>
      </c>
      <c r="AU476" s="42">
        <v>1</v>
      </c>
      <c r="AV476" s="18">
        <v>0</v>
      </c>
      <c r="AW476">
        <v>1</v>
      </c>
      <c r="AX476" s="40">
        <v>0</v>
      </c>
      <c r="AY476" s="39">
        <f t="shared" si="347"/>
        <v>0.80569999999999997</v>
      </c>
      <c r="AZ476" s="40">
        <v>0.1943</v>
      </c>
      <c r="BB476" s="18"/>
      <c r="BC476">
        <v>0</v>
      </c>
      <c r="BD476" s="18">
        <v>1</v>
      </c>
      <c r="BE476" s="18" t="s">
        <v>29</v>
      </c>
      <c r="BL476" s="18"/>
      <c r="BO476" s="18"/>
      <c r="BR476" s="25">
        <v>34.79</v>
      </c>
      <c r="BS476">
        <v>1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0</v>
      </c>
      <c r="BZ476" s="18">
        <v>0</v>
      </c>
      <c r="CA476">
        <v>0</v>
      </c>
      <c r="CB476">
        <v>0</v>
      </c>
      <c r="CC476">
        <v>1</v>
      </c>
      <c r="CD476" s="18">
        <v>0</v>
      </c>
      <c r="CE476">
        <v>0</v>
      </c>
      <c r="CF476">
        <v>0</v>
      </c>
      <c r="CG476">
        <v>0</v>
      </c>
      <c r="CH476">
        <v>0</v>
      </c>
      <c r="CI476" s="18">
        <v>0</v>
      </c>
      <c r="CJ476">
        <v>0</v>
      </c>
      <c r="CK476">
        <v>0</v>
      </c>
      <c r="CL476">
        <v>1</v>
      </c>
      <c r="CM476">
        <v>1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 s="18">
        <v>0</v>
      </c>
      <c r="CZ476" s="34" t="s">
        <v>87</v>
      </c>
    </row>
    <row r="477" spans="1:104" x14ac:dyDescent="0.25">
      <c r="A477">
        <v>476</v>
      </c>
      <c r="B477">
        <v>29</v>
      </c>
      <c r="C477" s="25" t="s">
        <v>288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37"/>
        <v>2.4317391856150845</v>
      </c>
      <c r="H477" s="16">
        <f t="shared" si="338"/>
        <v>3.4873779018510902</v>
      </c>
      <c r="I477" s="11">
        <f t="shared" si="327"/>
        <v>6.5039308263637657E-2</v>
      </c>
      <c r="J477" s="33">
        <f t="shared" si="328"/>
        <v>1.1599367078865316E-2</v>
      </c>
      <c r="K477" s="33">
        <f t="shared" si="339"/>
        <v>86.211600443446173</v>
      </c>
      <c r="L477" s="33">
        <f t="shared" si="340"/>
        <v>5.3439941184772341E-2</v>
      </c>
      <c r="M477" s="33">
        <f t="shared" si="341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43"/>
        <v>7401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9">
        <v>0</v>
      </c>
      <c r="AL477" s="30">
        <v>1</v>
      </c>
      <c r="AM477" s="21">
        <v>2006</v>
      </c>
      <c r="AN477" s="23"/>
      <c r="AO477" s="33">
        <v>3.5000000000000003E-2</v>
      </c>
      <c r="AP477" s="33">
        <v>0.44450000000000001</v>
      </c>
      <c r="AQ477" s="33">
        <v>0.37890000000000001</v>
      </c>
      <c r="AR477" s="43">
        <v>0.14150000000000001</v>
      </c>
      <c r="AS477" s="33">
        <v>0.4185962674287485</v>
      </c>
      <c r="AT477" s="43">
        <v>0.58140373257125155</v>
      </c>
      <c r="AU477" s="42">
        <v>1</v>
      </c>
      <c r="AV477" s="18">
        <v>0</v>
      </c>
      <c r="AW477">
        <v>1</v>
      </c>
      <c r="AX477" s="40">
        <v>0</v>
      </c>
      <c r="AY477" s="39">
        <f t="shared" ref="AY477:AY481" si="348">1-AZ477</f>
        <v>0.72070000000000001</v>
      </c>
      <c r="AZ477" s="40">
        <v>0.27929999999999999</v>
      </c>
      <c r="BB477" s="18"/>
      <c r="BC477">
        <v>0</v>
      </c>
      <c r="BD477" s="18">
        <v>1</v>
      </c>
      <c r="BE477" s="18" t="s">
        <v>29</v>
      </c>
      <c r="BL477" s="18"/>
      <c r="BO477" s="18"/>
      <c r="BR477" s="25">
        <v>35.299999999999997</v>
      </c>
      <c r="BS477">
        <v>1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0</v>
      </c>
      <c r="BZ477" s="18">
        <v>0</v>
      </c>
      <c r="CA477">
        <v>0</v>
      </c>
      <c r="CB477">
        <v>0</v>
      </c>
      <c r="CC477">
        <v>1</v>
      </c>
      <c r="CD477" s="18">
        <v>0</v>
      </c>
      <c r="CE477">
        <v>0</v>
      </c>
      <c r="CF477">
        <v>0</v>
      </c>
      <c r="CG477">
        <v>0</v>
      </c>
      <c r="CH477">
        <v>0</v>
      </c>
      <c r="CI477" s="18">
        <v>0</v>
      </c>
      <c r="CJ477">
        <v>0</v>
      </c>
      <c r="CK477">
        <v>0</v>
      </c>
      <c r="CL477">
        <v>1</v>
      </c>
      <c r="CM477">
        <v>1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 s="18">
        <v>0</v>
      </c>
      <c r="CZ477" s="34" t="s">
        <v>87</v>
      </c>
    </row>
    <row r="478" spans="1:104" x14ac:dyDescent="0.25">
      <c r="A478">
        <v>477</v>
      </c>
      <c r="B478">
        <v>29</v>
      </c>
      <c r="C478" s="25" t="s">
        <v>288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37"/>
        <v>5.635277850392244</v>
      </c>
      <c r="H478" s="16">
        <f t="shared" si="338"/>
        <v>6.3019280951706236</v>
      </c>
      <c r="I478" s="11">
        <f t="shared" si="327"/>
        <v>0.20377459718790983</v>
      </c>
      <c r="J478" s="33">
        <f t="shared" si="328"/>
        <v>1.1380082216427776E-2</v>
      </c>
      <c r="K478" s="33">
        <f t="shared" si="339"/>
        <v>87.872827364677988</v>
      </c>
      <c r="L478" s="33">
        <f t="shared" si="340"/>
        <v>0.19239451497148205</v>
      </c>
      <c r="M478" s="33">
        <f t="shared" si="341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43"/>
        <v>7401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9">
        <v>0</v>
      </c>
      <c r="AL478" s="30">
        <v>1</v>
      </c>
      <c r="AM478" s="21">
        <v>2006</v>
      </c>
      <c r="AN478" s="23"/>
      <c r="AO478" s="33">
        <v>3.5000000000000003E-2</v>
      </c>
      <c r="AP478" s="33">
        <v>0.44450000000000001</v>
      </c>
      <c r="AQ478" s="33">
        <v>0.37890000000000001</v>
      </c>
      <c r="AR478" s="43">
        <v>0.14150000000000001</v>
      </c>
      <c r="AS478" s="33">
        <v>0.4185962674287485</v>
      </c>
      <c r="AT478" s="43">
        <v>0.58140373257125155</v>
      </c>
      <c r="AU478" s="42">
        <v>1</v>
      </c>
      <c r="AV478" s="18">
        <v>0</v>
      </c>
      <c r="AW478">
        <v>1</v>
      </c>
      <c r="AX478" s="40">
        <v>0</v>
      </c>
      <c r="AY478" s="39">
        <f t="shared" si="348"/>
        <v>0.72070000000000001</v>
      </c>
      <c r="AZ478" s="40">
        <v>0.27929999999999999</v>
      </c>
      <c r="BB478" s="18"/>
      <c r="BC478">
        <v>0</v>
      </c>
      <c r="BD478" s="18">
        <v>1</v>
      </c>
      <c r="BE478" s="18" t="s">
        <v>29</v>
      </c>
      <c r="BL478" s="18"/>
      <c r="BO478" s="18"/>
      <c r="BR478" s="25">
        <v>35.299999999999997</v>
      </c>
      <c r="BS478">
        <v>1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0</v>
      </c>
      <c r="BZ478" s="18">
        <v>0</v>
      </c>
      <c r="CA478">
        <v>0</v>
      </c>
      <c r="CB478">
        <v>0</v>
      </c>
      <c r="CC478">
        <v>1</v>
      </c>
      <c r="CD478" s="18">
        <v>0</v>
      </c>
      <c r="CE478">
        <v>0</v>
      </c>
      <c r="CF478">
        <v>0</v>
      </c>
      <c r="CG478">
        <v>0</v>
      </c>
      <c r="CH478">
        <v>0</v>
      </c>
      <c r="CI478" s="18">
        <v>0</v>
      </c>
      <c r="CJ478">
        <v>0</v>
      </c>
      <c r="CK478">
        <v>0</v>
      </c>
      <c r="CL478">
        <v>1</v>
      </c>
      <c r="CM478">
        <v>1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 s="18">
        <v>0</v>
      </c>
      <c r="CZ478" s="34" t="s">
        <v>87</v>
      </c>
    </row>
    <row r="479" spans="1:104" s="52" customFormat="1" x14ac:dyDescent="0.25">
      <c r="A479" s="52">
        <v>478</v>
      </c>
      <c r="B479" s="52">
        <v>29</v>
      </c>
      <c r="C479" s="53" t="s">
        <v>288</v>
      </c>
      <c r="D479" s="54">
        <v>8.6632090658934402</v>
      </c>
      <c r="E479" s="55">
        <v>0.28665029997441527</v>
      </c>
      <c r="F479" s="56">
        <v>30.222222222222225</v>
      </c>
      <c r="G479" s="56">
        <f t="shared" si="337"/>
        <v>8.3765587659190253</v>
      </c>
      <c r="H479" s="57">
        <f t="shared" si="338"/>
        <v>8.9498593658678551</v>
      </c>
      <c r="I479" s="58">
        <f t="shared" si="327"/>
        <v>0.33144493664839791</v>
      </c>
      <c r="J479" s="59">
        <f t="shared" si="328"/>
        <v>1.0966928050866107E-2</v>
      </c>
      <c r="K479" s="59">
        <f t="shared" si="339"/>
        <v>91.183237034278307</v>
      </c>
      <c r="L479" s="59">
        <f t="shared" si="340"/>
        <v>0.32047800859753178</v>
      </c>
      <c r="M479" s="59">
        <f t="shared" si="341"/>
        <v>0.34241186469926405</v>
      </c>
      <c r="N479" s="60">
        <v>1</v>
      </c>
      <c r="O479" s="61">
        <v>0</v>
      </c>
      <c r="P479" s="60">
        <v>0</v>
      </c>
      <c r="Q479" s="61">
        <v>0</v>
      </c>
      <c r="R479" s="61">
        <v>0</v>
      </c>
      <c r="S479" s="61">
        <v>0</v>
      </c>
      <c r="T479" s="61">
        <v>1</v>
      </c>
      <c r="U479" s="60">
        <v>7408</v>
      </c>
      <c r="V479" s="61">
        <v>6</v>
      </c>
      <c r="W479" s="61">
        <f t="shared" si="343"/>
        <v>7401</v>
      </c>
      <c r="X479" s="61"/>
      <c r="Y479" s="56">
        <v>8.3000000000000007</v>
      </c>
      <c r="Z479" s="56">
        <v>20.41</v>
      </c>
      <c r="AA479" s="61">
        <v>0</v>
      </c>
      <c r="AB479" s="61">
        <v>1</v>
      </c>
      <c r="AC479" s="61">
        <v>0</v>
      </c>
      <c r="AD479" s="61">
        <v>1</v>
      </c>
      <c r="AE479" s="61">
        <v>0</v>
      </c>
      <c r="AF479" s="61">
        <v>0</v>
      </c>
      <c r="AG479" s="60">
        <v>0</v>
      </c>
      <c r="AH479" s="61">
        <v>1</v>
      </c>
      <c r="AI479" s="62">
        <v>0</v>
      </c>
      <c r="AJ479" s="61">
        <v>0</v>
      </c>
      <c r="AK479" s="61">
        <v>0</v>
      </c>
      <c r="AL479" s="62">
        <v>1</v>
      </c>
      <c r="AM479" s="63">
        <v>2006</v>
      </c>
      <c r="AN479" s="64"/>
      <c r="AO479" s="59">
        <v>3.5000000000000003E-2</v>
      </c>
      <c r="AP479" s="59">
        <v>0.44450000000000001</v>
      </c>
      <c r="AQ479" s="59">
        <v>0.37890000000000001</v>
      </c>
      <c r="AR479" s="65">
        <v>0.14150000000000001</v>
      </c>
      <c r="AS479" s="59">
        <v>0.4185962674287485</v>
      </c>
      <c r="AT479" s="65">
        <v>0.58140373257125155</v>
      </c>
      <c r="AU479" s="66">
        <v>1</v>
      </c>
      <c r="AV479" s="67">
        <v>0</v>
      </c>
      <c r="AW479" s="52">
        <v>1</v>
      </c>
      <c r="AX479" s="68">
        <v>0</v>
      </c>
      <c r="AY479" s="70">
        <f t="shared" si="348"/>
        <v>0.72070000000000001</v>
      </c>
      <c r="AZ479" s="68">
        <v>0.27929999999999999</v>
      </c>
      <c r="BB479" s="67"/>
      <c r="BC479" s="52">
        <v>0</v>
      </c>
      <c r="BD479" s="67">
        <v>1</v>
      </c>
      <c r="BE479" s="67" t="s">
        <v>29</v>
      </c>
      <c r="BL479" s="67"/>
      <c r="BO479" s="67"/>
      <c r="BR479" s="53">
        <v>35.299999999999997</v>
      </c>
      <c r="BS479" s="52">
        <v>1</v>
      </c>
      <c r="BT479" s="52">
        <v>0</v>
      </c>
      <c r="BU479" s="52">
        <v>0</v>
      </c>
      <c r="BV479" s="52">
        <v>0</v>
      </c>
      <c r="BW479" s="52">
        <v>0</v>
      </c>
      <c r="BX479" s="52">
        <v>0</v>
      </c>
      <c r="BY479" s="52">
        <v>0</v>
      </c>
      <c r="BZ479" s="67">
        <v>0</v>
      </c>
      <c r="CA479" s="52">
        <v>0</v>
      </c>
      <c r="CB479" s="52">
        <v>0</v>
      </c>
      <c r="CC479" s="52">
        <v>1</v>
      </c>
      <c r="CD479" s="67">
        <v>0</v>
      </c>
      <c r="CE479" s="52">
        <v>0</v>
      </c>
      <c r="CF479" s="52">
        <v>0</v>
      </c>
      <c r="CG479" s="52">
        <v>0</v>
      </c>
      <c r="CH479" s="52">
        <v>0</v>
      </c>
      <c r="CI479" s="67">
        <v>0</v>
      </c>
      <c r="CJ479" s="52">
        <v>0</v>
      </c>
      <c r="CK479" s="52">
        <v>0</v>
      </c>
      <c r="CL479" s="52">
        <v>1</v>
      </c>
      <c r="CM479" s="52">
        <v>1</v>
      </c>
      <c r="CN479" s="52">
        <v>0</v>
      </c>
      <c r="CO479" s="52">
        <v>0</v>
      </c>
      <c r="CP479" s="52">
        <v>0</v>
      </c>
      <c r="CQ479" s="52">
        <v>0</v>
      </c>
      <c r="CR479" s="52">
        <v>0</v>
      </c>
      <c r="CS479" s="52">
        <v>0</v>
      </c>
      <c r="CT479" s="67">
        <v>0</v>
      </c>
      <c r="CY479" s="53"/>
      <c r="CZ479" s="69" t="s">
        <v>87</v>
      </c>
    </row>
    <row r="480" spans="1:104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49">D480/E480</f>
        <v>11.76271186440678</v>
      </c>
      <c r="G480" s="7">
        <f t="shared" si="337"/>
        <v>6.3500000000000005</v>
      </c>
      <c r="H480" s="16">
        <f t="shared" si="338"/>
        <v>7.53</v>
      </c>
      <c r="I480" s="11">
        <f t="shared" si="327"/>
        <v>0.23963844097900014</v>
      </c>
      <c r="J480" s="33">
        <f t="shared" si="328"/>
        <v>2.037272048668733E-2</v>
      </c>
      <c r="K480" s="33">
        <f t="shared" ref="K480:K482" si="350">IFERROR(1/J480, "X")</f>
        <v>49.08524615813856</v>
      </c>
      <c r="L480" s="33">
        <f t="shared" ref="L480:L482" si="351">IFERROR(I480-J480, "X")</f>
        <v>0.2192657204923128</v>
      </c>
      <c r="M480" s="33">
        <f t="shared" ref="M480:M482" si="352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43"/>
        <v>2271</v>
      </c>
      <c r="Y480" s="7">
        <v>13.2</v>
      </c>
      <c r="Z480" s="7">
        <f t="shared" ref="Z480:Z489" si="353">BR390-Y390-6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9">
        <v>0</v>
      </c>
      <c r="AL480" s="30">
        <v>0</v>
      </c>
      <c r="AM480" s="21">
        <v>2006</v>
      </c>
      <c r="AN480" s="23"/>
      <c r="AO480" s="33">
        <v>0</v>
      </c>
      <c r="AP480" s="33">
        <v>7.0000000000000001E-3</v>
      </c>
      <c r="AQ480" s="33">
        <f t="shared" ref="AQ480:AQ489" si="354">1-AO480-AP480-AR480</f>
        <v>0.59399999999999997</v>
      </c>
      <c r="AR480" s="43">
        <v>0.39900000000000002</v>
      </c>
      <c r="AS480" s="33" t="s">
        <v>107</v>
      </c>
      <c r="AT480" s="43" t="s">
        <v>107</v>
      </c>
      <c r="AU480" s="42">
        <v>1</v>
      </c>
      <c r="AV480" s="18">
        <v>0</v>
      </c>
      <c r="AW480">
        <v>0.59599999999999997</v>
      </c>
      <c r="AX480" s="40">
        <f>1-AW480</f>
        <v>0.40400000000000003</v>
      </c>
      <c r="AY480" s="39">
        <f t="shared" si="348"/>
        <v>0.64400000000000002</v>
      </c>
      <c r="AZ480" s="40">
        <v>0.35599999999999998</v>
      </c>
      <c r="BB480" s="18"/>
      <c r="BC480" t="s">
        <v>107</v>
      </c>
      <c r="BD480" s="18" t="s">
        <v>107</v>
      </c>
      <c r="BE480" s="18" t="s">
        <v>8</v>
      </c>
      <c r="BL480" s="18"/>
      <c r="BO480" s="18"/>
      <c r="BR480" s="25">
        <v>41.8</v>
      </c>
      <c r="BS480">
        <v>1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0</v>
      </c>
      <c r="BZ480" s="18">
        <v>0</v>
      </c>
      <c r="CA480">
        <v>0</v>
      </c>
      <c r="CB480">
        <v>0</v>
      </c>
      <c r="CC480">
        <v>1</v>
      </c>
      <c r="CD480" s="18">
        <v>0</v>
      </c>
      <c r="CE480">
        <v>0</v>
      </c>
      <c r="CF480">
        <v>0</v>
      </c>
      <c r="CG480">
        <v>0</v>
      </c>
      <c r="CH480">
        <v>0</v>
      </c>
      <c r="CI480" s="18">
        <v>0</v>
      </c>
      <c r="CJ480">
        <v>1</v>
      </c>
      <c r="CK480">
        <v>1</v>
      </c>
      <c r="CL480">
        <v>0</v>
      </c>
      <c r="CM480">
        <v>0</v>
      </c>
      <c r="CN480">
        <v>0</v>
      </c>
      <c r="CO480">
        <v>0</v>
      </c>
      <c r="CP480">
        <v>1</v>
      </c>
      <c r="CQ480">
        <v>0</v>
      </c>
      <c r="CR480">
        <v>0</v>
      </c>
      <c r="CS480">
        <v>0</v>
      </c>
      <c r="CT480" s="18">
        <v>0</v>
      </c>
      <c r="CZ480" s="34" t="s">
        <v>87</v>
      </c>
    </row>
    <row r="481" spans="1:104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49"/>
        <v>10.636363636363635</v>
      </c>
      <c r="G481" s="7">
        <f t="shared" si="337"/>
        <v>7.42</v>
      </c>
      <c r="H481" s="16">
        <f t="shared" si="338"/>
        <v>8.9599999999999991</v>
      </c>
      <c r="I481" s="11">
        <f t="shared" si="327"/>
        <v>0.27778360252890461</v>
      </c>
      <c r="J481" s="33">
        <f t="shared" si="328"/>
        <v>2.6116407075367106E-2</v>
      </c>
      <c r="K481" s="33">
        <f t="shared" si="350"/>
        <v>38.290106181688223</v>
      </c>
      <c r="L481" s="33">
        <f t="shared" si="351"/>
        <v>0.2516671954535375</v>
      </c>
      <c r="M481" s="33">
        <f t="shared" si="352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43"/>
        <v>1353</v>
      </c>
      <c r="Y481" s="7">
        <v>12.9</v>
      </c>
      <c r="Z481" s="7">
        <f t="shared" si="353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9">
        <v>0</v>
      </c>
      <c r="AL481" s="30">
        <v>0</v>
      </c>
      <c r="AM481" s="21">
        <v>2006</v>
      </c>
      <c r="AN481" s="23"/>
      <c r="AO481" s="33">
        <v>0</v>
      </c>
      <c r="AP481" s="33">
        <v>7.0000000000000001E-3</v>
      </c>
      <c r="AQ481" s="33">
        <f t="shared" si="354"/>
        <v>0.65100000000000002</v>
      </c>
      <c r="AR481" s="43">
        <v>0.34200000000000003</v>
      </c>
      <c r="AS481" s="33" t="s">
        <v>107</v>
      </c>
      <c r="AT481" s="43" t="s">
        <v>107</v>
      </c>
      <c r="AU481" s="42">
        <v>1</v>
      </c>
      <c r="AV481" s="18">
        <v>0</v>
      </c>
      <c r="AW481">
        <v>1</v>
      </c>
      <c r="AX481" s="40">
        <v>0</v>
      </c>
      <c r="AY481" s="39">
        <f t="shared" si="348"/>
        <v>0.64400000000000002</v>
      </c>
      <c r="AZ481" s="40">
        <v>0.35599999999999998</v>
      </c>
      <c r="BB481" s="18"/>
      <c r="BC481" t="s">
        <v>107</v>
      </c>
      <c r="BD481" s="18" t="s">
        <v>107</v>
      </c>
      <c r="BE481" s="18" t="s">
        <v>8</v>
      </c>
      <c r="BL481" s="18"/>
      <c r="BO481" s="18"/>
      <c r="BR481" s="25">
        <v>41.6</v>
      </c>
      <c r="BS481">
        <v>1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0</v>
      </c>
      <c r="BZ481" s="18">
        <v>0</v>
      </c>
      <c r="CA481">
        <v>0</v>
      </c>
      <c r="CB481">
        <v>0</v>
      </c>
      <c r="CC481">
        <v>1</v>
      </c>
      <c r="CD481" s="18">
        <v>0</v>
      </c>
      <c r="CE481">
        <v>0</v>
      </c>
      <c r="CF481">
        <v>0</v>
      </c>
      <c r="CG481">
        <v>0</v>
      </c>
      <c r="CH481">
        <v>0</v>
      </c>
      <c r="CI481" s="18">
        <v>0</v>
      </c>
      <c r="CJ481">
        <v>1</v>
      </c>
      <c r="CK481">
        <v>1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 s="18">
        <v>0</v>
      </c>
      <c r="CZ481" s="34" t="s">
        <v>87</v>
      </c>
    </row>
    <row r="482" spans="1:104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49"/>
        <v>5.7840909090909092</v>
      </c>
      <c r="G482" s="7">
        <f t="shared" si="337"/>
        <v>4.21</v>
      </c>
      <c r="H482" s="16">
        <f t="shared" si="338"/>
        <v>5.97</v>
      </c>
      <c r="I482" s="11">
        <f t="shared" si="327"/>
        <v>0.1878134035333307</v>
      </c>
      <c r="J482" s="33">
        <f t="shared" si="328"/>
        <v>3.2470686661951083E-2</v>
      </c>
      <c r="K482" s="33">
        <f t="shared" si="350"/>
        <v>30.797008095667803</v>
      </c>
      <c r="L482" s="33">
        <f t="shared" si="351"/>
        <v>0.15534271687137963</v>
      </c>
      <c r="M482" s="33">
        <f t="shared" si="352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43"/>
        <v>915</v>
      </c>
      <c r="Y482" s="7">
        <v>13.6</v>
      </c>
      <c r="Z482" s="7">
        <f t="shared" si="353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9">
        <v>0</v>
      </c>
      <c r="AL482" s="30">
        <v>0</v>
      </c>
      <c r="AM482" s="21">
        <v>2006</v>
      </c>
      <c r="AN482" s="23"/>
      <c r="AO482" s="33">
        <v>0</v>
      </c>
      <c r="AP482" s="33">
        <v>5.0000000000000001E-3</v>
      </c>
      <c r="AQ482" s="33">
        <f t="shared" si="354"/>
        <v>0.51200000000000001</v>
      </c>
      <c r="AR482" s="43">
        <v>0.48299999999999998</v>
      </c>
      <c r="AS482" s="33" t="s">
        <v>107</v>
      </c>
      <c r="AT482" s="43" t="s">
        <v>107</v>
      </c>
      <c r="AU482" s="42">
        <v>1</v>
      </c>
      <c r="AV482" s="18">
        <v>0</v>
      </c>
      <c r="AW482">
        <v>0</v>
      </c>
      <c r="AX482" s="40">
        <v>1</v>
      </c>
      <c r="AY482" s="39">
        <f t="shared" ref="AY482:AY489" si="355">1-AZ482</f>
        <v>0.64400000000000002</v>
      </c>
      <c r="AZ482" s="40">
        <v>0.35599999999999998</v>
      </c>
      <c r="BB482" s="18"/>
      <c r="BC482" t="s">
        <v>107</v>
      </c>
      <c r="BD482" s="18" t="s">
        <v>107</v>
      </c>
      <c r="BE482" s="18" t="s">
        <v>8</v>
      </c>
      <c r="BL482" s="18"/>
      <c r="BO482" s="18"/>
      <c r="BR482" s="25">
        <v>42.2</v>
      </c>
      <c r="BS482">
        <v>1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 s="18">
        <v>0</v>
      </c>
      <c r="CA482">
        <v>0</v>
      </c>
      <c r="CB482">
        <v>0</v>
      </c>
      <c r="CC482">
        <v>1</v>
      </c>
      <c r="CD482" s="18">
        <v>0</v>
      </c>
      <c r="CE482">
        <v>0</v>
      </c>
      <c r="CF482">
        <v>0</v>
      </c>
      <c r="CG482">
        <v>0</v>
      </c>
      <c r="CH482">
        <v>0</v>
      </c>
      <c r="CI482" s="18">
        <v>0</v>
      </c>
      <c r="CJ482">
        <v>1</v>
      </c>
      <c r="CK482">
        <v>1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 s="18">
        <v>0</v>
      </c>
      <c r="CZ482" s="34" t="s">
        <v>87</v>
      </c>
    </row>
    <row r="483" spans="1:104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49"/>
        <v>11.333333333333334</v>
      </c>
      <c r="G483" s="7">
        <f t="shared" si="337"/>
        <v>6.2</v>
      </c>
      <c r="H483" s="16">
        <f t="shared" si="338"/>
        <v>7.3999999999999995</v>
      </c>
      <c r="I483" s="11">
        <f t="shared" si="327"/>
        <v>0.23189964848373007</v>
      </c>
      <c r="J483" s="33">
        <f t="shared" si="328"/>
        <v>2.0461733689740885E-2</v>
      </c>
      <c r="K483" s="33">
        <f t="shared" ref="K483:K485" si="356">IFERROR(1/J483, "X")</f>
        <v>48.87171415496335</v>
      </c>
      <c r="L483" s="33">
        <f t="shared" ref="L483:L485" si="357">IFERROR(I483-J483, "X")</f>
        <v>0.21143791479398918</v>
      </c>
      <c r="M483" s="33">
        <f t="shared" ref="M483:M485" si="358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59">U483-V483-1</f>
        <v>2260</v>
      </c>
      <c r="Y483" s="7">
        <v>13.2</v>
      </c>
      <c r="Z483" s="7">
        <f t="shared" si="353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9">
        <v>0</v>
      </c>
      <c r="AL483" s="30">
        <v>0</v>
      </c>
      <c r="AM483" s="21">
        <v>2006</v>
      </c>
      <c r="AN483" s="23"/>
      <c r="AO483" s="33">
        <v>0</v>
      </c>
      <c r="AP483" s="33">
        <v>7.0000000000000001E-3</v>
      </c>
      <c r="AQ483" s="33">
        <f t="shared" si="354"/>
        <v>0.59399999999999997</v>
      </c>
      <c r="AR483" s="43">
        <v>0.39900000000000002</v>
      </c>
      <c r="AS483" s="33" t="s">
        <v>107</v>
      </c>
      <c r="AT483" s="43" t="s">
        <v>107</v>
      </c>
      <c r="AU483" s="42">
        <v>1</v>
      </c>
      <c r="AV483" s="18">
        <v>0</v>
      </c>
      <c r="AW483">
        <v>0.59599999999999997</v>
      </c>
      <c r="AX483" s="40">
        <f>1-AW483</f>
        <v>0.40400000000000003</v>
      </c>
      <c r="AY483" s="39">
        <f t="shared" si="355"/>
        <v>0.64400000000000002</v>
      </c>
      <c r="AZ483" s="40">
        <v>0.35599999999999998</v>
      </c>
      <c r="BB483" s="18"/>
      <c r="BC483" t="s">
        <v>107</v>
      </c>
      <c r="BD483" s="18" t="s">
        <v>107</v>
      </c>
      <c r="BE483" s="18" t="s">
        <v>8</v>
      </c>
      <c r="BL483" s="18"/>
      <c r="BO483" s="18"/>
      <c r="BR483" s="25">
        <v>41.8</v>
      </c>
      <c r="BS483">
        <v>1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0</v>
      </c>
      <c r="BZ483" s="18">
        <v>0</v>
      </c>
      <c r="CA483">
        <v>0</v>
      </c>
      <c r="CB483">
        <v>0</v>
      </c>
      <c r="CC483">
        <v>1</v>
      </c>
      <c r="CD483" s="18">
        <v>0</v>
      </c>
      <c r="CE483">
        <v>0</v>
      </c>
      <c r="CF483">
        <v>0</v>
      </c>
      <c r="CG483">
        <v>0</v>
      </c>
      <c r="CH483">
        <v>0</v>
      </c>
      <c r="CI483" s="18">
        <v>0</v>
      </c>
      <c r="CJ483">
        <v>1</v>
      </c>
      <c r="CK483">
        <v>1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1</v>
      </c>
      <c r="CR483">
        <v>0</v>
      </c>
      <c r="CS483">
        <v>0</v>
      </c>
      <c r="CT483" s="18">
        <v>1</v>
      </c>
      <c r="CZ483" s="34" t="s">
        <v>87</v>
      </c>
    </row>
    <row r="484" spans="1:104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49"/>
        <v>9.0512820512820511</v>
      </c>
      <c r="G484" s="7">
        <f t="shared" si="337"/>
        <v>6.2799999999999994</v>
      </c>
      <c r="H484" s="16">
        <f t="shared" si="338"/>
        <v>7.84</v>
      </c>
      <c r="I484" s="11">
        <f t="shared" si="327"/>
        <v>0.23986475186127454</v>
      </c>
      <c r="J484" s="33">
        <f t="shared" si="328"/>
        <v>2.6500638307619565E-2</v>
      </c>
      <c r="K484" s="33">
        <f t="shared" si="356"/>
        <v>37.734940132082635</v>
      </c>
      <c r="L484" s="33">
        <f t="shared" si="357"/>
        <v>0.21336411355365498</v>
      </c>
      <c r="M484" s="33">
        <f t="shared" si="358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59"/>
        <v>1342</v>
      </c>
      <c r="Y484" s="7">
        <v>12.9</v>
      </c>
      <c r="Z484" s="7">
        <f t="shared" si="353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9">
        <v>0</v>
      </c>
      <c r="AL484" s="30">
        <v>0</v>
      </c>
      <c r="AM484" s="21">
        <v>2006</v>
      </c>
      <c r="AN484" s="23"/>
      <c r="AO484" s="33">
        <v>0</v>
      </c>
      <c r="AP484" s="33">
        <v>7.0000000000000001E-3</v>
      </c>
      <c r="AQ484" s="33">
        <f t="shared" si="354"/>
        <v>0.65100000000000002</v>
      </c>
      <c r="AR484" s="43">
        <v>0.34200000000000003</v>
      </c>
      <c r="AS484" s="33" t="s">
        <v>107</v>
      </c>
      <c r="AT484" s="43" t="s">
        <v>107</v>
      </c>
      <c r="AU484" s="42">
        <v>1</v>
      </c>
      <c r="AV484" s="18">
        <v>0</v>
      </c>
      <c r="AW484">
        <v>1</v>
      </c>
      <c r="AX484" s="40">
        <v>0</v>
      </c>
      <c r="AY484" s="39">
        <f t="shared" si="355"/>
        <v>0.64400000000000002</v>
      </c>
      <c r="AZ484" s="40">
        <v>0.35599999999999998</v>
      </c>
      <c r="BB484" s="18"/>
      <c r="BC484" t="s">
        <v>107</v>
      </c>
      <c r="BD484" s="18" t="s">
        <v>107</v>
      </c>
      <c r="BE484" s="18" t="s">
        <v>8</v>
      </c>
      <c r="BL484" s="18"/>
      <c r="BO484" s="18"/>
      <c r="BR484" s="25">
        <v>41.6</v>
      </c>
      <c r="BS484">
        <v>1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0</v>
      </c>
      <c r="BZ484" s="18">
        <v>0</v>
      </c>
      <c r="CA484">
        <v>0</v>
      </c>
      <c r="CB484">
        <v>0</v>
      </c>
      <c r="CC484">
        <v>1</v>
      </c>
      <c r="CD484" s="18">
        <v>0</v>
      </c>
      <c r="CE484">
        <v>0</v>
      </c>
      <c r="CF484">
        <v>0</v>
      </c>
      <c r="CG484">
        <v>0</v>
      </c>
      <c r="CH484">
        <v>0</v>
      </c>
      <c r="CI484" s="18">
        <v>0</v>
      </c>
      <c r="CJ484">
        <v>1</v>
      </c>
      <c r="CK484">
        <v>1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1</v>
      </c>
      <c r="CR484">
        <v>0</v>
      </c>
      <c r="CS484">
        <v>0</v>
      </c>
      <c r="CT484" s="18">
        <v>1</v>
      </c>
      <c r="CZ484" s="34" t="s">
        <v>87</v>
      </c>
    </row>
    <row r="485" spans="1:104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49"/>
        <v>6.6063829787234045</v>
      </c>
      <c r="G485" s="7">
        <f t="shared" si="337"/>
        <v>5.27</v>
      </c>
      <c r="H485" s="16">
        <f t="shared" si="338"/>
        <v>7.15</v>
      </c>
      <c r="I485" s="11">
        <f t="shared" si="327"/>
        <v>0.21460560973649845</v>
      </c>
      <c r="J485" s="33">
        <f t="shared" si="328"/>
        <v>3.2484585048680924E-2</v>
      </c>
      <c r="K485" s="33">
        <f t="shared" si="356"/>
        <v>30.783831731309316</v>
      </c>
      <c r="L485" s="33">
        <f t="shared" si="357"/>
        <v>0.18212102468781752</v>
      </c>
      <c r="M485" s="33">
        <f t="shared" si="358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59"/>
        <v>904</v>
      </c>
      <c r="Y485" s="7">
        <v>13.6</v>
      </c>
      <c r="Z485" s="7">
        <f t="shared" si="353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9">
        <v>0</v>
      </c>
      <c r="AL485" s="30">
        <v>0</v>
      </c>
      <c r="AM485" s="21">
        <v>2006</v>
      </c>
      <c r="AN485" s="23"/>
      <c r="AO485" s="33">
        <v>0</v>
      </c>
      <c r="AP485" s="33">
        <v>5.0000000000000001E-3</v>
      </c>
      <c r="AQ485" s="33">
        <f t="shared" si="354"/>
        <v>0.51200000000000001</v>
      </c>
      <c r="AR485" s="43">
        <v>0.48299999999999998</v>
      </c>
      <c r="AS485" s="33" t="s">
        <v>107</v>
      </c>
      <c r="AT485" s="43" t="s">
        <v>107</v>
      </c>
      <c r="AU485" s="42">
        <v>1</v>
      </c>
      <c r="AV485" s="18">
        <v>0</v>
      </c>
      <c r="AW485">
        <v>0</v>
      </c>
      <c r="AX485" s="40">
        <v>1</v>
      </c>
      <c r="AY485" s="39">
        <f t="shared" si="355"/>
        <v>0.64400000000000002</v>
      </c>
      <c r="AZ485" s="40">
        <v>0.35599999999999998</v>
      </c>
      <c r="BB485" s="18"/>
      <c r="BC485" t="s">
        <v>107</v>
      </c>
      <c r="BD485" s="18" t="s">
        <v>107</v>
      </c>
      <c r="BE485" s="18" t="s">
        <v>8</v>
      </c>
      <c r="BL485" s="18"/>
      <c r="BO485" s="18"/>
      <c r="BR485" s="25">
        <v>42.2</v>
      </c>
      <c r="BS485">
        <v>1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0</v>
      </c>
      <c r="BZ485" s="18">
        <v>0</v>
      </c>
      <c r="CA485">
        <v>0</v>
      </c>
      <c r="CB485">
        <v>0</v>
      </c>
      <c r="CC485">
        <v>1</v>
      </c>
      <c r="CD485" s="18">
        <v>0</v>
      </c>
      <c r="CE485">
        <v>0</v>
      </c>
      <c r="CF485">
        <v>0</v>
      </c>
      <c r="CG485">
        <v>0</v>
      </c>
      <c r="CH485">
        <v>0</v>
      </c>
      <c r="CI485" s="18">
        <v>0</v>
      </c>
      <c r="CJ485">
        <v>1</v>
      </c>
      <c r="CK485">
        <v>1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1</v>
      </c>
      <c r="CR485">
        <v>0</v>
      </c>
      <c r="CS485">
        <v>0</v>
      </c>
      <c r="CT485" s="18">
        <v>1</v>
      </c>
      <c r="CZ485" s="34" t="s">
        <v>87</v>
      </c>
    </row>
    <row r="486" spans="1:104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49"/>
        <v>7.1627906976744189</v>
      </c>
      <c r="G486" s="7">
        <f t="shared" si="337"/>
        <v>5.3</v>
      </c>
      <c r="H486" s="16">
        <f t="shared" si="338"/>
        <v>7.0200000000000005</v>
      </c>
      <c r="I486" s="11">
        <f t="shared" si="327"/>
        <v>0.19189297421546586</v>
      </c>
      <c r="J486" s="33">
        <f t="shared" si="328"/>
        <v>2.6790252893717639E-2</v>
      </c>
      <c r="K486" s="33">
        <f t="shared" ref="K486:K489" si="360">IFERROR(1/J486, "X")</f>
        <v>37.327008594028676</v>
      </c>
      <c r="L486" s="33">
        <f t="shared" ref="L486:L489" si="361">IFERROR(I486-J486, "X")</f>
        <v>0.16510272132174822</v>
      </c>
      <c r="M486" s="33">
        <f t="shared" ref="M486:M489" si="362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59"/>
        <v>1342</v>
      </c>
      <c r="Y486" s="7">
        <v>12.9</v>
      </c>
      <c r="Z486" s="7">
        <f t="shared" si="353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9">
        <v>0</v>
      </c>
      <c r="AL486" s="30">
        <v>0</v>
      </c>
      <c r="AM486" s="21">
        <v>2006</v>
      </c>
      <c r="AN486" s="23"/>
      <c r="AO486" s="33">
        <v>0</v>
      </c>
      <c r="AP486" s="33">
        <v>7.0000000000000001E-3</v>
      </c>
      <c r="AQ486" s="33">
        <f t="shared" si="354"/>
        <v>0.65100000000000002</v>
      </c>
      <c r="AR486" s="43">
        <v>0.34200000000000003</v>
      </c>
      <c r="AS486" s="33" t="s">
        <v>107</v>
      </c>
      <c r="AT486" s="43" t="s">
        <v>107</v>
      </c>
      <c r="AU486" s="42">
        <v>1</v>
      </c>
      <c r="AV486" s="18">
        <v>0</v>
      </c>
      <c r="AW486">
        <v>1</v>
      </c>
      <c r="AX486" s="40">
        <v>0</v>
      </c>
      <c r="AY486" s="39">
        <f t="shared" si="355"/>
        <v>0.64400000000000002</v>
      </c>
      <c r="AZ486" s="40">
        <v>0.35599999999999998</v>
      </c>
      <c r="BB486" s="18"/>
      <c r="BC486" t="s">
        <v>107</v>
      </c>
      <c r="BD486" s="18" t="s">
        <v>107</v>
      </c>
      <c r="BE486" s="18" t="s">
        <v>8</v>
      </c>
      <c r="BL486" s="18"/>
      <c r="BO486" s="18"/>
      <c r="BR486" s="25">
        <v>41.6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1</v>
      </c>
      <c r="BY486">
        <v>0</v>
      </c>
      <c r="BZ486" s="18">
        <v>0</v>
      </c>
      <c r="CA486">
        <v>0</v>
      </c>
      <c r="CB486">
        <v>0</v>
      </c>
      <c r="CC486">
        <v>1</v>
      </c>
      <c r="CD486" s="18">
        <v>0</v>
      </c>
      <c r="CE486">
        <v>0</v>
      </c>
      <c r="CF486">
        <v>0</v>
      </c>
      <c r="CG486">
        <v>0</v>
      </c>
      <c r="CH486">
        <v>0</v>
      </c>
      <c r="CI486" s="18">
        <v>0</v>
      </c>
      <c r="CJ486">
        <v>1</v>
      </c>
      <c r="CK486">
        <v>1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1</v>
      </c>
      <c r="CR486">
        <v>0</v>
      </c>
      <c r="CS486">
        <v>0</v>
      </c>
      <c r="CT486" s="18">
        <v>1</v>
      </c>
      <c r="CZ486" s="34" t="s">
        <v>87</v>
      </c>
    </row>
    <row r="487" spans="1:104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49"/>
        <v>4.2153846153846155</v>
      </c>
      <c r="G487" s="7">
        <f t="shared" si="337"/>
        <v>4.1800000000000006</v>
      </c>
      <c r="H487" s="16">
        <f t="shared" si="338"/>
        <v>6.78</v>
      </c>
      <c r="I487" s="11">
        <f t="shared" si="327"/>
        <v>0.13884365792453493</v>
      </c>
      <c r="J487" s="33">
        <f t="shared" si="328"/>
        <v>3.2937364106185293E-2</v>
      </c>
      <c r="K487" s="33">
        <f t="shared" si="360"/>
        <v>30.360656571550315</v>
      </c>
      <c r="L487" s="33">
        <f t="shared" si="361"/>
        <v>0.10590629381834964</v>
      </c>
      <c r="M487" s="33">
        <f t="shared" si="362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59"/>
        <v>904</v>
      </c>
      <c r="Y487" s="7">
        <v>13.6</v>
      </c>
      <c r="Z487" s="7">
        <f t="shared" si="353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9">
        <v>0</v>
      </c>
      <c r="AL487" s="30">
        <v>0</v>
      </c>
      <c r="AM487" s="21">
        <v>2006</v>
      </c>
      <c r="AN487" s="23"/>
      <c r="AO487" s="33">
        <v>0</v>
      </c>
      <c r="AP487" s="33">
        <v>5.0000000000000001E-3</v>
      </c>
      <c r="AQ487" s="33">
        <f t="shared" si="354"/>
        <v>0.51200000000000001</v>
      </c>
      <c r="AR487" s="43">
        <v>0.48299999999999998</v>
      </c>
      <c r="AS487" s="33" t="s">
        <v>107</v>
      </c>
      <c r="AT487" s="43" t="s">
        <v>107</v>
      </c>
      <c r="AU487" s="42">
        <v>1</v>
      </c>
      <c r="AV487" s="18">
        <v>0</v>
      </c>
      <c r="AW487">
        <v>0</v>
      </c>
      <c r="AX487" s="40">
        <v>1</v>
      </c>
      <c r="AY487" s="39">
        <f t="shared" si="355"/>
        <v>0.64400000000000002</v>
      </c>
      <c r="AZ487" s="40">
        <v>0.35599999999999998</v>
      </c>
      <c r="BB487" s="18"/>
      <c r="BC487" t="s">
        <v>107</v>
      </c>
      <c r="BD487" s="18" t="s">
        <v>107</v>
      </c>
      <c r="BE487" s="18" t="s">
        <v>8</v>
      </c>
      <c r="BL487" s="18"/>
      <c r="BO487" s="18"/>
      <c r="BR487" s="25">
        <v>42.2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1</v>
      </c>
      <c r="BY487">
        <v>0</v>
      </c>
      <c r="BZ487" s="18">
        <v>0</v>
      </c>
      <c r="CA487">
        <v>0</v>
      </c>
      <c r="CB487">
        <v>0</v>
      </c>
      <c r="CC487">
        <v>1</v>
      </c>
      <c r="CD487" s="18">
        <v>0</v>
      </c>
      <c r="CE487">
        <v>0</v>
      </c>
      <c r="CF487">
        <v>0</v>
      </c>
      <c r="CG487">
        <v>0</v>
      </c>
      <c r="CH487">
        <v>0</v>
      </c>
      <c r="CI487" s="18">
        <v>0</v>
      </c>
      <c r="CJ487">
        <v>1</v>
      </c>
      <c r="CK487">
        <v>1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1</v>
      </c>
      <c r="CR487">
        <v>0</v>
      </c>
      <c r="CS487">
        <v>0</v>
      </c>
      <c r="CT487" s="18">
        <v>1</v>
      </c>
      <c r="CZ487" s="34" t="s">
        <v>87</v>
      </c>
    </row>
    <row r="488" spans="1:104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49"/>
        <v>5</v>
      </c>
      <c r="G488" s="7">
        <f t="shared" si="337"/>
        <v>4.8</v>
      </c>
      <c r="H488" s="16">
        <f t="shared" si="338"/>
        <v>7.2</v>
      </c>
      <c r="I488" s="11">
        <f t="shared" si="327"/>
        <v>0.16602227504272984</v>
      </c>
      <c r="J488" s="33">
        <f t="shared" si="328"/>
        <v>3.320445500854597E-2</v>
      </c>
      <c r="K488" s="33">
        <f t="shared" si="360"/>
        <v>30.116440692751194</v>
      </c>
      <c r="L488" s="33">
        <f t="shared" si="361"/>
        <v>0.13281782003418388</v>
      </c>
      <c r="M488" s="33">
        <f t="shared" si="362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59"/>
        <v>882</v>
      </c>
      <c r="Y488" s="7">
        <v>13.3</v>
      </c>
      <c r="Z488" s="7">
        <f t="shared" si="353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9">
        <v>0</v>
      </c>
      <c r="AL488" s="30">
        <v>0</v>
      </c>
      <c r="AM488" s="21">
        <v>2006</v>
      </c>
      <c r="AN488" s="23"/>
      <c r="AO488" s="33">
        <v>0</v>
      </c>
      <c r="AP488" s="33">
        <v>8.0000000000000002E-3</v>
      </c>
      <c r="AQ488" s="33">
        <f t="shared" si="354"/>
        <v>0.56800000000000006</v>
      </c>
      <c r="AR488" s="43">
        <v>0.42399999999999999</v>
      </c>
      <c r="AS488" s="33" t="s">
        <v>107</v>
      </c>
      <c r="AT488" s="43" t="s">
        <v>107</v>
      </c>
      <c r="AU488" s="42">
        <v>1</v>
      </c>
      <c r="AV488" s="18">
        <v>0</v>
      </c>
      <c r="AW488">
        <v>1</v>
      </c>
      <c r="AX488" s="40">
        <v>0</v>
      </c>
      <c r="AY488" s="39">
        <f t="shared" si="355"/>
        <v>0.64400000000000002</v>
      </c>
      <c r="AZ488" s="40">
        <v>0.35599999999999998</v>
      </c>
      <c r="BB488" s="18"/>
      <c r="BC488" t="s">
        <v>107</v>
      </c>
      <c r="BD488" s="18" t="s">
        <v>107</v>
      </c>
      <c r="BE488" s="18" t="s">
        <v>8</v>
      </c>
      <c r="BL488" s="18"/>
      <c r="BO488" s="18"/>
      <c r="BR488" s="25">
        <v>41.2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1</v>
      </c>
      <c r="BY488">
        <v>0</v>
      </c>
      <c r="BZ488" s="18">
        <v>0</v>
      </c>
      <c r="CA488">
        <v>0</v>
      </c>
      <c r="CB488">
        <v>0</v>
      </c>
      <c r="CC488">
        <v>1</v>
      </c>
      <c r="CD488" s="18">
        <v>0</v>
      </c>
      <c r="CE488">
        <v>0</v>
      </c>
      <c r="CF488">
        <v>0</v>
      </c>
      <c r="CG488">
        <v>0</v>
      </c>
      <c r="CH488">
        <v>0</v>
      </c>
      <c r="CI488" s="18">
        <v>0</v>
      </c>
      <c r="CJ488">
        <v>1</v>
      </c>
      <c r="CK488">
        <v>1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1</v>
      </c>
      <c r="CR488">
        <v>0</v>
      </c>
      <c r="CS488">
        <v>0</v>
      </c>
      <c r="CT488" s="18">
        <v>1</v>
      </c>
      <c r="CZ488" s="34" t="s">
        <v>87</v>
      </c>
    </row>
    <row r="489" spans="1:104" s="52" customFormat="1" x14ac:dyDescent="0.25">
      <c r="A489" s="52">
        <v>488</v>
      </c>
      <c r="B489" s="52">
        <v>30</v>
      </c>
      <c r="C489" s="53" t="s">
        <v>9</v>
      </c>
      <c r="D489" s="54">
        <v>6.29</v>
      </c>
      <c r="E489" s="55">
        <v>1.6</v>
      </c>
      <c r="F489" s="56">
        <f t="shared" si="349"/>
        <v>3.9312499999999999</v>
      </c>
      <c r="G489" s="56">
        <f t="shared" si="337"/>
        <v>4.6899999999999995</v>
      </c>
      <c r="H489" s="57">
        <f t="shared" si="338"/>
        <v>7.8900000000000006</v>
      </c>
      <c r="I489" s="58">
        <f t="shared" si="327"/>
        <v>0.14555646222812504</v>
      </c>
      <c r="J489" s="59">
        <f t="shared" si="328"/>
        <v>3.7025491186804461E-2</v>
      </c>
      <c r="K489" s="59">
        <f t="shared" si="360"/>
        <v>27.008419549512706</v>
      </c>
      <c r="L489" s="59">
        <f t="shared" si="361"/>
        <v>0.10853097104132059</v>
      </c>
      <c r="M489" s="59">
        <f t="shared" si="362"/>
        <v>0.1825819534149295</v>
      </c>
      <c r="N489" s="60">
        <v>0</v>
      </c>
      <c r="O489" s="61">
        <v>1</v>
      </c>
      <c r="P489" s="60">
        <v>0</v>
      </c>
      <c r="Q489" s="61">
        <v>0</v>
      </c>
      <c r="R489" s="61">
        <v>1</v>
      </c>
      <c r="S489" s="61">
        <v>0</v>
      </c>
      <c r="T489" s="61">
        <v>0</v>
      </c>
      <c r="U489" s="60">
        <v>729</v>
      </c>
      <c r="V489" s="61">
        <v>14</v>
      </c>
      <c r="W489" s="61">
        <f t="shared" si="359"/>
        <v>714</v>
      </c>
      <c r="X489" s="61"/>
      <c r="Y489" s="56">
        <v>14</v>
      </c>
      <c r="Z489" s="56">
        <f t="shared" si="353"/>
        <v>22.378</v>
      </c>
      <c r="AA489" s="61">
        <v>1</v>
      </c>
      <c r="AB489" s="61">
        <v>0</v>
      </c>
      <c r="AC489" s="61">
        <v>0</v>
      </c>
      <c r="AD489" s="61">
        <v>0</v>
      </c>
      <c r="AE489" s="61">
        <v>0</v>
      </c>
      <c r="AF489" s="61">
        <v>1</v>
      </c>
      <c r="AG489" s="60">
        <v>0</v>
      </c>
      <c r="AH489" s="61">
        <v>1</v>
      </c>
      <c r="AI489" s="62">
        <v>0</v>
      </c>
      <c r="AJ489" s="61">
        <v>1</v>
      </c>
      <c r="AK489" s="61">
        <v>0</v>
      </c>
      <c r="AL489" s="62">
        <v>0</v>
      </c>
      <c r="AM489" s="63">
        <v>2006</v>
      </c>
      <c r="AN489" s="64"/>
      <c r="AO489" s="59">
        <v>0</v>
      </c>
      <c r="AP489" s="59">
        <v>3.0000000000000001E-3</v>
      </c>
      <c r="AQ489" s="59">
        <f t="shared" si="354"/>
        <v>0.43899999999999995</v>
      </c>
      <c r="AR489" s="65">
        <v>0.55800000000000005</v>
      </c>
      <c r="AS489" s="59" t="s">
        <v>107</v>
      </c>
      <c r="AT489" s="65" t="s">
        <v>107</v>
      </c>
      <c r="AU489" s="66">
        <v>1</v>
      </c>
      <c r="AV489" s="67">
        <v>0</v>
      </c>
      <c r="AW489" s="52">
        <v>0</v>
      </c>
      <c r="AX489" s="68">
        <v>1</v>
      </c>
      <c r="AY489" s="70">
        <f t="shared" si="355"/>
        <v>0.64400000000000002</v>
      </c>
      <c r="AZ489" s="68">
        <v>0.35599999999999998</v>
      </c>
      <c r="BB489" s="67"/>
      <c r="BC489" s="52" t="s">
        <v>107</v>
      </c>
      <c r="BD489" s="67" t="s">
        <v>107</v>
      </c>
      <c r="BE489" s="67" t="s">
        <v>8</v>
      </c>
      <c r="BL489" s="67"/>
      <c r="BO489" s="67"/>
      <c r="BR489" s="53">
        <v>42.1</v>
      </c>
      <c r="BS489" s="52">
        <v>0</v>
      </c>
      <c r="BT489" s="52">
        <v>0</v>
      </c>
      <c r="BU489" s="52">
        <v>0</v>
      </c>
      <c r="BV489" s="52">
        <v>0</v>
      </c>
      <c r="BW489" s="52">
        <v>0</v>
      </c>
      <c r="BX489" s="52">
        <v>1</v>
      </c>
      <c r="BY489" s="52">
        <v>0</v>
      </c>
      <c r="BZ489" s="67">
        <v>0</v>
      </c>
      <c r="CA489" s="52">
        <v>0</v>
      </c>
      <c r="CB489" s="52">
        <v>0</v>
      </c>
      <c r="CC489" s="52">
        <v>1</v>
      </c>
      <c r="CD489" s="67">
        <v>0</v>
      </c>
      <c r="CE489" s="52">
        <v>0</v>
      </c>
      <c r="CF489" s="52">
        <v>0</v>
      </c>
      <c r="CG489" s="52">
        <v>0</v>
      </c>
      <c r="CH489" s="52">
        <v>0</v>
      </c>
      <c r="CI489" s="67">
        <v>0</v>
      </c>
      <c r="CJ489" s="52">
        <v>1</v>
      </c>
      <c r="CK489" s="52">
        <v>1</v>
      </c>
      <c r="CL489" s="52">
        <v>0</v>
      </c>
      <c r="CM489" s="52">
        <v>0</v>
      </c>
      <c r="CN489" s="52">
        <v>0</v>
      </c>
      <c r="CO489" s="52">
        <v>0</v>
      </c>
      <c r="CP489" s="52">
        <v>0</v>
      </c>
      <c r="CQ489" s="52">
        <v>1</v>
      </c>
      <c r="CR489" s="52">
        <v>0</v>
      </c>
      <c r="CS489" s="52">
        <v>0</v>
      </c>
      <c r="CT489" s="67">
        <v>1</v>
      </c>
      <c r="CY489" s="53"/>
      <c r="CZ489" s="69" t="s">
        <v>87</v>
      </c>
    </row>
    <row r="490" spans="1:104" x14ac:dyDescent="0.25">
      <c r="A490">
        <v>489</v>
      </c>
      <c r="B490">
        <v>31</v>
      </c>
      <c r="C490" s="25" t="s">
        <v>325</v>
      </c>
      <c r="D490" s="12">
        <v>14.7</v>
      </c>
      <c r="E490" s="14">
        <f t="shared" ref="E490:E504" si="363">D490/F490</f>
        <v>0.8207705192629815</v>
      </c>
      <c r="F490" s="7">
        <v>17.91</v>
      </c>
      <c r="G490" s="7">
        <f t="shared" ref="G490:G504" si="364">D490-E490</f>
        <v>13.879229480737017</v>
      </c>
      <c r="H490" s="16">
        <f t="shared" ref="H490:H504" si="365">D490+E490</f>
        <v>15.520770519262982</v>
      </c>
      <c r="I490" s="11">
        <f t="shared" si="327"/>
        <v>0.42346601809461165</v>
      </c>
      <c r="J490" s="33">
        <f t="shared" si="328"/>
        <v>2.3644110446376973E-2</v>
      </c>
      <c r="K490" s="33">
        <f t="shared" ref="K490:K504" si="366">IFERROR(1/J490, "X")</f>
        <v>42.2938305193559</v>
      </c>
      <c r="L490" s="33">
        <f t="shared" ref="L490:L504" si="367">IFERROR(I490-J490, "X")</f>
        <v>0.39982190764823466</v>
      </c>
      <c r="M490" s="33">
        <f t="shared" ref="M490:M504" si="368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59"/>
        <v>1468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9">
        <v>0</v>
      </c>
      <c r="AL490" s="30">
        <v>1</v>
      </c>
      <c r="AM490" s="21">
        <v>1995</v>
      </c>
      <c r="AN490" s="23"/>
      <c r="AO490" s="33" t="s">
        <v>107</v>
      </c>
      <c r="AP490" s="33" t="s">
        <v>107</v>
      </c>
      <c r="AQ490" s="33" t="s">
        <v>107</v>
      </c>
      <c r="AR490" s="43" t="s">
        <v>107</v>
      </c>
      <c r="AS490" s="33" t="s">
        <v>107</v>
      </c>
      <c r="AT490" s="43" t="s">
        <v>107</v>
      </c>
      <c r="AU490" s="42">
        <v>1</v>
      </c>
      <c r="AV490" s="18">
        <v>0</v>
      </c>
      <c r="AW490" s="39">
        <f>1-AX490</f>
        <v>0.63200000000000001</v>
      </c>
      <c r="AX490" s="40">
        <v>0.36799999999999999</v>
      </c>
      <c r="AY490" s="39">
        <f>1-AZ490</f>
        <v>0.371</v>
      </c>
      <c r="AZ490" s="40">
        <v>0.629</v>
      </c>
      <c r="BB490" s="18"/>
      <c r="BC490">
        <v>0</v>
      </c>
      <c r="BD490" s="18">
        <v>1</v>
      </c>
      <c r="BE490" s="18" t="s">
        <v>7</v>
      </c>
      <c r="BL490" s="18"/>
      <c r="BO490" s="18"/>
      <c r="BR490" s="25">
        <v>37</v>
      </c>
      <c r="BS490">
        <v>0</v>
      </c>
      <c r="BT490">
        <v>0</v>
      </c>
      <c r="BU490">
        <v>0</v>
      </c>
      <c r="BV490">
        <v>1</v>
      </c>
      <c r="BW490">
        <v>0</v>
      </c>
      <c r="BX490">
        <v>0</v>
      </c>
      <c r="BY490">
        <v>0</v>
      </c>
      <c r="BZ490" s="18">
        <v>0</v>
      </c>
      <c r="CA490">
        <v>0</v>
      </c>
      <c r="CB490">
        <v>0</v>
      </c>
      <c r="CC490">
        <f>1</f>
        <v>1</v>
      </c>
      <c r="CD490" s="18">
        <v>0</v>
      </c>
      <c r="CE490">
        <v>0</v>
      </c>
      <c r="CF490">
        <v>0</v>
      </c>
      <c r="CG490">
        <v>0</v>
      </c>
      <c r="CH490">
        <v>0</v>
      </c>
      <c r="CI490" s="18">
        <v>0</v>
      </c>
      <c r="CJ490">
        <v>0</v>
      </c>
      <c r="CK490">
        <v>0</v>
      </c>
      <c r="CL490">
        <v>1</v>
      </c>
      <c r="CM490">
        <v>1</v>
      </c>
      <c r="CN490">
        <v>1</v>
      </c>
      <c r="CO490">
        <v>0</v>
      </c>
      <c r="CP490">
        <v>1</v>
      </c>
      <c r="CQ490">
        <v>0</v>
      </c>
      <c r="CR490">
        <v>0</v>
      </c>
      <c r="CS490">
        <v>1</v>
      </c>
      <c r="CT490" s="18">
        <v>0</v>
      </c>
      <c r="CZ490" s="34" t="s">
        <v>87</v>
      </c>
    </row>
    <row r="491" spans="1:104" x14ac:dyDescent="0.25">
      <c r="A491">
        <v>490</v>
      </c>
      <c r="B491">
        <v>31</v>
      </c>
      <c r="C491" s="25" t="s">
        <v>325</v>
      </c>
      <c r="D491" s="12">
        <v>19.3</v>
      </c>
      <c r="E491" s="14">
        <f t="shared" si="363"/>
        <v>1.2363869314541962</v>
      </c>
      <c r="F491" s="7">
        <v>15.61</v>
      </c>
      <c r="G491" s="7">
        <f t="shared" si="364"/>
        <v>18.063613068545806</v>
      </c>
      <c r="H491" s="16">
        <f t="shared" si="365"/>
        <v>20.536386931454196</v>
      </c>
      <c r="I491" s="11">
        <f t="shared" si="327"/>
        <v>0.37730504926893033</v>
      </c>
      <c r="J491" s="33">
        <f t="shared" si="328"/>
        <v>2.4170727051180674E-2</v>
      </c>
      <c r="K491" s="33">
        <f t="shared" si="366"/>
        <v>41.372359130221227</v>
      </c>
      <c r="L491" s="33">
        <f t="shared" si="367"/>
        <v>0.35313432221774965</v>
      </c>
      <c r="M491" s="33">
        <f t="shared" si="368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69">U491-V491-1</f>
        <v>1468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9">
        <v>0</v>
      </c>
      <c r="AL491" s="30">
        <v>1</v>
      </c>
      <c r="AM491" s="21">
        <v>1995</v>
      </c>
      <c r="AN491" s="23"/>
      <c r="AO491" s="33" t="s">
        <v>107</v>
      </c>
      <c r="AP491" s="33" t="s">
        <v>107</v>
      </c>
      <c r="AQ491" s="33" t="s">
        <v>107</v>
      </c>
      <c r="AR491" s="43" t="s">
        <v>107</v>
      </c>
      <c r="AS491" s="33" t="s">
        <v>107</v>
      </c>
      <c r="AT491" s="43" t="s">
        <v>107</v>
      </c>
      <c r="AU491" s="42">
        <v>1</v>
      </c>
      <c r="AV491" s="18">
        <v>0</v>
      </c>
      <c r="AW491" s="39">
        <f>1-AX491</f>
        <v>0.63200000000000001</v>
      </c>
      <c r="AX491" s="40">
        <v>0.36799999999999999</v>
      </c>
      <c r="AY491" s="39">
        <f>1-AZ491</f>
        <v>0.371</v>
      </c>
      <c r="AZ491" s="40">
        <v>0.629</v>
      </c>
      <c r="BB491" s="18"/>
      <c r="BC491">
        <v>0</v>
      </c>
      <c r="BD491" s="18">
        <v>1</v>
      </c>
      <c r="BE491" s="18" t="s">
        <v>7</v>
      </c>
      <c r="BL491" s="18"/>
      <c r="BO491" s="18"/>
      <c r="BR491" s="25">
        <v>37</v>
      </c>
      <c r="BS491">
        <v>0</v>
      </c>
      <c r="BT491">
        <v>0</v>
      </c>
      <c r="BU491">
        <v>0</v>
      </c>
      <c r="BV491">
        <v>1</v>
      </c>
      <c r="BW491">
        <v>0</v>
      </c>
      <c r="BX491">
        <v>0</v>
      </c>
      <c r="BY491">
        <v>0</v>
      </c>
      <c r="BZ491" s="18">
        <v>0</v>
      </c>
      <c r="CA491">
        <v>0</v>
      </c>
      <c r="CB491">
        <v>0</v>
      </c>
      <c r="CC491">
        <f>1</f>
        <v>1</v>
      </c>
      <c r="CD491" s="18">
        <v>0</v>
      </c>
      <c r="CE491">
        <v>0</v>
      </c>
      <c r="CF491">
        <v>0</v>
      </c>
      <c r="CG491">
        <v>0</v>
      </c>
      <c r="CH491">
        <v>0</v>
      </c>
      <c r="CI491" s="18">
        <v>0</v>
      </c>
      <c r="CJ491">
        <v>0</v>
      </c>
      <c r="CK491">
        <v>0</v>
      </c>
      <c r="CL491">
        <v>1</v>
      </c>
      <c r="CM491">
        <v>1</v>
      </c>
      <c r="CN491">
        <v>1</v>
      </c>
      <c r="CO491">
        <v>0</v>
      </c>
      <c r="CP491">
        <v>1</v>
      </c>
      <c r="CQ491">
        <v>0</v>
      </c>
      <c r="CR491">
        <v>0</v>
      </c>
      <c r="CS491">
        <v>1</v>
      </c>
      <c r="CT491" s="18">
        <v>0</v>
      </c>
      <c r="CZ491" s="34" t="s">
        <v>87</v>
      </c>
    </row>
    <row r="492" spans="1:104" x14ac:dyDescent="0.25">
      <c r="A492">
        <v>491</v>
      </c>
      <c r="B492">
        <v>31</v>
      </c>
      <c r="C492" s="25" t="s">
        <v>325</v>
      </c>
      <c r="D492" s="12">
        <v>18.899999999999999</v>
      </c>
      <c r="E492" s="14">
        <f t="shared" si="363"/>
        <v>0.84074733096085397</v>
      </c>
      <c r="F492" s="7">
        <v>22.48</v>
      </c>
      <c r="G492" s="7">
        <f t="shared" si="364"/>
        <v>18.059252669039143</v>
      </c>
      <c r="H492" s="16">
        <f t="shared" si="365"/>
        <v>19.740747330960854</v>
      </c>
      <c r="I492" s="11">
        <f t="shared" si="327"/>
        <v>0.50605090150970966</v>
      </c>
      <c r="J492" s="33">
        <f t="shared" si="328"/>
        <v>2.2511161099186373E-2</v>
      </c>
      <c r="K492" s="33">
        <f t="shared" si="366"/>
        <v>44.42240875954387</v>
      </c>
      <c r="L492" s="33">
        <f t="shared" si="367"/>
        <v>0.48353974041052328</v>
      </c>
      <c r="M492" s="33">
        <f t="shared" si="368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69"/>
        <v>1468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9">
        <v>0</v>
      </c>
      <c r="AL492" s="30">
        <v>1</v>
      </c>
      <c r="AM492" s="21">
        <v>1995</v>
      </c>
      <c r="AN492" s="23"/>
      <c r="AO492" s="33" t="s">
        <v>107</v>
      </c>
      <c r="AP492" s="33" t="s">
        <v>107</v>
      </c>
      <c r="AQ492" s="33" t="s">
        <v>107</v>
      </c>
      <c r="AR492" s="43" t="s">
        <v>107</v>
      </c>
      <c r="AS492" s="33" t="s">
        <v>107</v>
      </c>
      <c r="AT492" s="43" t="s">
        <v>107</v>
      </c>
      <c r="AU492" s="42">
        <v>1</v>
      </c>
      <c r="AV492" s="18">
        <v>0</v>
      </c>
      <c r="AW492" s="39">
        <f t="shared" ref="AW492:AW501" si="370">1-AX492</f>
        <v>0.63200000000000001</v>
      </c>
      <c r="AX492" s="40">
        <v>0.36799999999999999</v>
      </c>
      <c r="AY492" s="39">
        <f t="shared" ref="AY492:AY501" si="371">1-AZ492</f>
        <v>0.371</v>
      </c>
      <c r="AZ492" s="40">
        <v>0.629</v>
      </c>
      <c r="BB492" s="18"/>
      <c r="BC492">
        <v>0</v>
      </c>
      <c r="BD492" s="18">
        <v>1</v>
      </c>
      <c r="BE492" s="18" t="s">
        <v>7</v>
      </c>
      <c r="BL492" s="18"/>
      <c r="BO492" s="18"/>
      <c r="BR492" s="25">
        <v>37</v>
      </c>
      <c r="BS492">
        <v>0</v>
      </c>
      <c r="BT492">
        <v>0</v>
      </c>
      <c r="BU492">
        <v>0</v>
      </c>
      <c r="BV492">
        <v>1</v>
      </c>
      <c r="BW492">
        <v>0</v>
      </c>
      <c r="BX492">
        <v>0</v>
      </c>
      <c r="BY492">
        <v>0</v>
      </c>
      <c r="BZ492" s="18">
        <v>0</v>
      </c>
      <c r="CA492">
        <v>0</v>
      </c>
      <c r="CB492">
        <v>0</v>
      </c>
      <c r="CC492">
        <f>1</f>
        <v>1</v>
      </c>
      <c r="CD492" s="18">
        <v>0</v>
      </c>
      <c r="CE492">
        <v>0</v>
      </c>
      <c r="CF492">
        <v>0</v>
      </c>
      <c r="CG492">
        <v>0</v>
      </c>
      <c r="CH492">
        <v>0</v>
      </c>
      <c r="CI492" s="18">
        <v>0</v>
      </c>
      <c r="CJ492">
        <v>0</v>
      </c>
      <c r="CK492">
        <v>0</v>
      </c>
      <c r="CL492">
        <v>1</v>
      </c>
      <c r="CM492">
        <v>1</v>
      </c>
      <c r="CN492">
        <v>1</v>
      </c>
      <c r="CO492">
        <v>0</v>
      </c>
      <c r="CP492">
        <v>1</v>
      </c>
      <c r="CQ492">
        <v>0</v>
      </c>
      <c r="CR492">
        <v>0</v>
      </c>
      <c r="CS492">
        <v>1</v>
      </c>
      <c r="CT492" s="18">
        <v>0</v>
      </c>
      <c r="CZ492" s="34" t="s">
        <v>87</v>
      </c>
    </row>
    <row r="493" spans="1:104" x14ac:dyDescent="0.25">
      <c r="A493">
        <v>492</v>
      </c>
      <c r="B493">
        <v>31</v>
      </c>
      <c r="C493" s="25" t="s">
        <v>325</v>
      </c>
      <c r="D493" s="12">
        <v>15.2</v>
      </c>
      <c r="E493" s="14">
        <f t="shared" si="363"/>
        <v>0.58800773694390707</v>
      </c>
      <c r="F493" s="7">
        <v>25.85</v>
      </c>
      <c r="G493" s="7">
        <f t="shared" si="364"/>
        <v>14.611992263056091</v>
      </c>
      <c r="H493" s="16">
        <f t="shared" si="365"/>
        <v>15.788007736943907</v>
      </c>
      <c r="I493" s="11">
        <f t="shared" si="327"/>
        <v>0.55929032276646651</v>
      </c>
      <c r="J493" s="33">
        <f t="shared" si="328"/>
        <v>2.1635989275298514E-2</v>
      </c>
      <c r="K493" s="33">
        <f t="shared" si="366"/>
        <v>46.219287099651368</v>
      </c>
      <c r="L493" s="33">
        <f t="shared" si="367"/>
        <v>0.53765433349116798</v>
      </c>
      <c r="M493" s="33">
        <f t="shared" si="368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69"/>
        <v>1468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9">
        <v>0</v>
      </c>
      <c r="AL493" s="30">
        <v>1</v>
      </c>
      <c r="AM493" s="21">
        <v>1995</v>
      </c>
      <c r="AN493" s="23"/>
      <c r="AO493" s="33" t="s">
        <v>107</v>
      </c>
      <c r="AP493" s="33" t="s">
        <v>107</v>
      </c>
      <c r="AQ493" s="33" t="s">
        <v>107</v>
      </c>
      <c r="AR493" s="43" t="s">
        <v>107</v>
      </c>
      <c r="AS493" s="33" t="s">
        <v>107</v>
      </c>
      <c r="AT493" s="43" t="s">
        <v>107</v>
      </c>
      <c r="AU493" s="42">
        <v>1</v>
      </c>
      <c r="AV493" s="18">
        <v>0</v>
      </c>
      <c r="AW493" s="39">
        <f t="shared" si="370"/>
        <v>0.63200000000000001</v>
      </c>
      <c r="AX493" s="40">
        <v>0.36799999999999999</v>
      </c>
      <c r="AY493" s="39">
        <f t="shared" si="371"/>
        <v>0.371</v>
      </c>
      <c r="AZ493" s="40">
        <v>0.629</v>
      </c>
      <c r="BB493" s="18"/>
      <c r="BC493">
        <v>0</v>
      </c>
      <c r="BD493" s="18">
        <v>1</v>
      </c>
      <c r="BE493" s="18" t="s">
        <v>7</v>
      </c>
      <c r="BL493" s="18"/>
      <c r="BO493" s="18"/>
      <c r="BR493" s="25">
        <v>37</v>
      </c>
      <c r="BS493">
        <v>0</v>
      </c>
      <c r="BT493">
        <v>0</v>
      </c>
      <c r="BU493">
        <v>0</v>
      </c>
      <c r="BV493">
        <v>1</v>
      </c>
      <c r="BW493">
        <v>0</v>
      </c>
      <c r="BX493">
        <v>0</v>
      </c>
      <c r="BY493">
        <v>0</v>
      </c>
      <c r="BZ493" s="18">
        <v>0</v>
      </c>
      <c r="CA493">
        <v>0</v>
      </c>
      <c r="CB493">
        <v>0</v>
      </c>
      <c r="CC493">
        <f>1</f>
        <v>1</v>
      </c>
      <c r="CD493" s="18">
        <v>0</v>
      </c>
      <c r="CE493">
        <v>0</v>
      </c>
      <c r="CF493">
        <v>0</v>
      </c>
      <c r="CG493">
        <v>0</v>
      </c>
      <c r="CH493">
        <v>0</v>
      </c>
      <c r="CI493" s="18">
        <v>0</v>
      </c>
      <c r="CJ493">
        <v>0</v>
      </c>
      <c r="CK493">
        <v>0</v>
      </c>
      <c r="CL493">
        <v>1</v>
      </c>
      <c r="CM493">
        <v>1</v>
      </c>
      <c r="CN493">
        <v>1</v>
      </c>
      <c r="CO493">
        <v>0</v>
      </c>
      <c r="CP493">
        <v>1</v>
      </c>
      <c r="CQ493">
        <v>0</v>
      </c>
      <c r="CR493">
        <v>0</v>
      </c>
      <c r="CS493">
        <v>1</v>
      </c>
      <c r="CT493" s="18">
        <v>0</v>
      </c>
      <c r="CZ493" s="34" t="s">
        <v>87</v>
      </c>
    </row>
    <row r="494" spans="1:104" x14ac:dyDescent="0.25">
      <c r="A494">
        <v>493</v>
      </c>
      <c r="B494">
        <v>31</v>
      </c>
      <c r="C494" s="25" t="s">
        <v>325</v>
      </c>
      <c r="D494" s="12">
        <v>12.1</v>
      </c>
      <c r="E494" s="14">
        <f t="shared" si="363"/>
        <v>0.57318806252960686</v>
      </c>
      <c r="F494" s="7">
        <v>21.11</v>
      </c>
      <c r="G494" s="7">
        <f t="shared" si="364"/>
        <v>11.526811937470393</v>
      </c>
      <c r="H494" s="16">
        <f t="shared" si="365"/>
        <v>12.673188062529606</v>
      </c>
      <c r="I494" s="11">
        <f t="shared" si="327"/>
        <v>0.48256854443850716</v>
      </c>
      <c r="J494" s="33">
        <f t="shared" si="328"/>
        <v>2.2859713142515736E-2</v>
      </c>
      <c r="K494" s="33">
        <f t="shared" si="366"/>
        <v>43.745080866309983</v>
      </c>
      <c r="L494" s="33">
        <f t="shared" si="367"/>
        <v>0.45970883129599144</v>
      </c>
      <c r="M494" s="33">
        <f t="shared" si="368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69"/>
        <v>1468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9">
        <v>0</v>
      </c>
      <c r="AL494" s="30">
        <v>1</v>
      </c>
      <c r="AM494" s="21">
        <v>1995</v>
      </c>
      <c r="AN494" s="23"/>
      <c r="AO494" s="33" t="s">
        <v>107</v>
      </c>
      <c r="AP494" s="33" t="s">
        <v>107</v>
      </c>
      <c r="AQ494" s="33" t="s">
        <v>107</v>
      </c>
      <c r="AR494" s="43" t="s">
        <v>107</v>
      </c>
      <c r="AS494" s="33" t="s">
        <v>107</v>
      </c>
      <c r="AT494" s="43" t="s">
        <v>107</v>
      </c>
      <c r="AU494" s="42">
        <v>1</v>
      </c>
      <c r="AV494" s="18">
        <v>0</v>
      </c>
      <c r="AW494" s="39">
        <f t="shared" si="370"/>
        <v>0.63200000000000001</v>
      </c>
      <c r="AX494" s="40">
        <v>0.36799999999999999</v>
      </c>
      <c r="AY494" s="39">
        <f t="shared" si="371"/>
        <v>0.371</v>
      </c>
      <c r="AZ494" s="40">
        <v>0.629</v>
      </c>
      <c r="BB494" s="18"/>
      <c r="BC494">
        <v>0</v>
      </c>
      <c r="BD494" s="18">
        <v>1</v>
      </c>
      <c r="BE494" s="18" t="s">
        <v>7</v>
      </c>
      <c r="BL494" s="18"/>
      <c r="BO494" s="18"/>
      <c r="BR494" s="25">
        <v>37</v>
      </c>
      <c r="BS494">
        <v>0</v>
      </c>
      <c r="BT494">
        <v>0</v>
      </c>
      <c r="BU494">
        <v>0</v>
      </c>
      <c r="BV494">
        <v>1</v>
      </c>
      <c r="BW494">
        <v>0</v>
      </c>
      <c r="BX494">
        <v>0</v>
      </c>
      <c r="BY494">
        <v>0</v>
      </c>
      <c r="BZ494" s="18">
        <v>0</v>
      </c>
      <c r="CA494">
        <v>0</v>
      </c>
      <c r="CB494">
        <v>0</v>
      </c>
      <c r="CC494">
        <f>1</f>
        <v>1</v>
      </c>
      <c r="CD494" s="18">
        <v>0</v>
      </c>
      <c r="CE494">
        <v>0</v>
      </c>
      <c r="CF494">
        <v>0</v>
      </c>
      <c r="CG494">
        <v>0</v>
      </c>
      <c r="CH494">
        <v>0</v>
      </c>
      <c r="CI494" s="18">
        <v>0</v>
      </c>
      <c r="CJ494">
        <v>0</v>
      </c>
      <c r="CK494">
        <v>0</v>
      </c>
      <c r="CL494">
        <v>1</v>
      </c>
      <c r="CM494">
        <v>1</v>
      </c>
      <c r="CN494">
        <v>1</v>
      </c>
      <c r="CO494">
        <v>0</v>
      </c>
      <c r="CP494">
        <v>1</v>
      </c>
      <c r="CQ494">
        <v>0</v>
      </c>
      <c r="CR494">
        <v>0</v>
      </c>
      <c r="CS494">
        <v>1</v>
      </c>
      <c r="CT494" s="18">
        <v>0</v>
      </c>
      <c r="CZ494" s="34" t="s">
        <v>87</v>
      </c>
    </row>
    <row r="495" spans="1:104" x14ac:dyDescent="0.25">
      <c r="A495">
        <v>494</v>
      </c>
      <c r="B495">
        <v>31</v>
      </c>
      <c r="C495" s="25" t="s">
        <v>325</v>
      </c>
      <c r="D495" s="12">
        <v>10.9</v>
      </c>
      <c r="E495" s="14">
        <f t="shared" si="363"/>
        <v>1.0976837865055389</v>
      </c>
      <c r="F495" s="7">
        <v>9.93</v>
      </c>
      <c r="G495" s="7">
        <f t="shared" si="364"/>
        <v>9.8023162134944606</v>
      </c>
      <c r="H495" s="16">
        <f t="shared" si="365"/>
        <v>11.99768378650554</v>
      </c>
      <c r="I495" s="11">
        <f t="shared" si="327"/>
        <v>0.25088200291266882</v>
      </c>
      <c r="J495" s="33">
        <f t="shared" si="328"/>
        <v>2.5265055681034123E-2</v>
      </c>
      <c r="K495" s="33">
        <f t="shared" si="366"/>
        <v>39.580360028680886</v>
      </c>
      <c r="L495" s="33">
        <f t="shared" si="367"/>
        <v>0.2256169472316347</v>
      </c>
      <c r="M495" s="33">
        <f t="shared" si="368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69"/>
        <v>1468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9">
        <v>0</v>
      </c>
      <c r="AL495" s="30">
        <v>1</v>
      </c>
      <c r="AM495" s="21">
        <v>1995</v>
      </c>
      <c r="AN495" s="23"/>
      <c r="AO495" s="33" t="s">
        <v>107</v>
      </c>
      <c r="AP495" s="33" t="s">
        <v>107</v>
      </c>
      <c r="AQ495" s="33" t="s">
        <v>107</v>
      </c>
      <c r="AR495" s="43" t="s">
        <v>107</v>
      </c>
      <c r="AS495" s="33" t="s">
        <v>107</v>
      </c>
      <c r="AT495" s="43" t="s">
        <v>107</v>
      </c>
      <c r="AU495" s="42">
        <v>1</v>
      </c>
      <c r="AV495" s="18">
        <v>0</v>
      </c>
      <c r="AW495" s="39">
        <f t="shared" si="370"/>
        <v>0.63200000000000001</v>
      </c>
      <c r="AX495" s="40">
        <v>0.36799999999999999</v>
      </c>
      <c r="AY495" s="39">
        <f t="shared" si="371"/>
        <v>0.371</v>
      </c>
      <c r="AZ495" s="40">
        <v>0.629</v>
      </c>
      <c r="BB495" s="18"/>
      <c r="BC495">
        <v>0</v>
      </c>
      <c r="BD495" s="18">
        <v>1</v>
      </c>
      <c r="BE495" s="18" t="s">
        <v>7</v>
      </c>
      <c r="BL495" s="18"/>
      <c r="BO495" s="18"/>
      <c r="BR495" s="25">
        <v>37</v>
      </c>
      <c r="BS495">
        <v>0</v>
      </c>
      <c r="BT495">
        <v>0</v>
      </c>
      <c r="BU495">
        <v>0</v>
      </c>
      <c r="BV495">
        <v>1</v>
      </c>
      <c r="BW495">
        <v>0</v>
      </c>
      <c r="BX495">
        <v>0</v>
      </c>
      <c r="BY495">
        <v>0</v>
      </c>
      <c r="BZ495" s="18">
        <v>0</v>
      </c>
      <c r="CA495">
        <v>0</v>
      </c>
      <c r="CB495">
        <v>0</v>
      </c>
      <c r="CC495">
        <f>1</f>
        <v>1</v>
      </c>
      <c r="CD495" s="18">
        <v>0</v>
      </c>
      <c r="CE495">
        <v>0</v>
      </c>
      <c r="CF495">
        <v>0</v>
      </c>
      <c r="CG495">
        <v>0</v>
      </c>
      <c r="CH495">
        <v>0</v>
      </c>
      <c r="CI495" s="18">
        <v>0</v>
      </c>
      <c r="CJ495">
        <v>0</v>
      </c>
      <c r="CK495">
        <v>0</v>
      </c>
      <c r="CL495">
        <v>1</v>
      </c>
      <c r="CM495">
        <v>1</v>
      </c>
      <c r="CN495">
        <v>1</v>
      </c>
      <c r="CO495">
        <v>0</v>
      </c>
      <c r="CP495">
        <v>1</v>
      </c>
      <c r="CQ495">
        <v>0</v>
      </c>
      <c r="CR495">
        <v>0</v>
      </c>
      <c r="CS495">
        <v>1</v>
      </c>
      <c r="CT495" s="18">
        <v>0</v>
      </c>
      <c r="CZ495" s="34" t="s">
        <v>87</v>
      </c>
    </row>
    <row r="496" spans="1:104" x14ac:dyDescent="0.25">
      <c r="A496">
        <v>495</v>
      </c>
      <c r="B496">
        <v>31</v>
      </c>
      <c r="C496" s="25" t="s">
        <v>325</v>
      </c>
      <c r="D496" s="12">
        <v>13.7</v>
      </c>
      <c r="E496" s="14">
        <f t="shared" si="363"/>
        <v>3.3171912832929782</v>
      </c>
      <c r="F496" s="7">
        <v>4.13</v>
      </c>
      <c r="G496" s="7">
        <f t="shared" si="364"/>
        <v>10.382808716707022</v>
      </c>
      <c r="H496" s="16">
        <f t="shared" si="365"/>
        <v>17.017191283292977</v>
      </c>
      <c r="I496" s="11">
        <f t="shared" si="327"/>
        <v>0.10717130145140812</v>
      </c>
      <c r="J496" s="33">
        <f t="shared" si="328"/>
        <v>2.5949467663779209E-2</v>
      </c>
      <c r="K496" s="33">
        <f t="shared" si="366"/>
        <v>38.536436005422189</v>
      </c>
      <c r="L496" s="33">
        <f t="shared" si="367"/>
        <v>8.12218337876289E-2</v>
      </c>
      <c r="M496" s="33">
        <f t="shared" si="368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69"/>
        <v>1468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9">
        <v>0</v>
      </c>
      <c r="AL496" s="30">
        <v>1</v>
      </c>
      <c r="AM496" s="21">
        <v>1995</v>
      </c>
      <c r="AN496" s="23"/>
      <c r="AO496" s="33" t="s">
        <v>107</v>
      </c>
      <c r="AP496" s="33" t="s">
        <v>107</v>
      </c>
      <c r="AQ496" s="33" t="s">
        <v>107</v>
      </c>
      <c r="AR496" s="43" t="s">
        <v>107</v>
      </c>
      <c r="AS496" s="33" t="s">
        <v>107</v>
      </c>
      <c r="AT496" s="43" t="s">
        <v>107</v>
      </c>
      <c r="AU496" s="42">
        <v>1</v>
      </c>
      <c r="AV496" s="18">
        <v>0</v>
      </c>
      <c r="AW496" s="39">
        <f t="shared" si="370"/>
        <v>0.63200000000000001</v>
      </c>
      <c r="AX496" s="40">
        <v>0.36799999999999999</v>
      </c>
      <c r="AY496" s="39">
        <f t="shared" si="371"/>
        <v>0.371</v>
      </c>
      <c r="AZ496" s="40">
        <v>0.629</v>
      </c>
      <c r="BB496" s="18"/>
      <c r="BC496">
        <v>0</v>
      </c>
      <c r="BD496" s="18">
        <v>1</v>
      </c>
      <c r="BE496" s="18" t="s">
        <v>7</v>
      </c>
      <c r="BL496" s="18"/>
      <c r="BO496" s="18"/>
      <c r="BR496" s="25">
        <v>37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0</v>
      </c>
      <c r="BZ496" s="18">
        <v>1</v>
      </c>
      <c r="CA496">
        <v>0</v>
      </c>
      <c r="CB496">
        <v>1</v>
      </c>
      <c r="CC496">
        <v>0</v>
      </c>
      <c r="CD496" s="18">
        <v>0</v>
      </c>
      <c r="CE496">
        <v>1</v>
      </c>
      <c r="CF496">
        <v>0</v>
      </c>
      <c r="CG496">
        <v>0</v>
      </c>
      <c r="CH496">
        <v>0</v>
      </c>
      <c r="CI496" s="18">
        <v>0</v>
      </c>
      <c r="CJ496">
        <v>0</v>
      </c>
      <c r="CK496">
        <v>0</v>
      </c>
      <c r="CL496">
        <v>1</v>
      </c>
      <c r="CM496">
        <v>1</v>
      </c>
      <c r="CN496">
        <v>1</v>
      </c>
      <c r="CO496">
        <v>0</v>
      </c>
      <c r="CP496">
        <v>1</v>
      </c>
      <c r="CQ496">
        <v>0</v>
      </c>
      <c r="CR496">
        <v>0</v>
      </c>
      <c r="CS496">
        <v>1</v>
      </c>
      <c r="CT496" s="18">
        <v>0</v>
      </c>
      <c r="CZ496" s="34" t="s">
        <v>87</v>
      </c>
    </row>
    <row r="497" spans="1:104" x14ac:dyDescent="0.25">
      <c r="A497">
        <v>496</v>
      </c>
      <c r="B497">
        <v>31</v>
      </c>
      <c r="C497" s="25" t="s">
        <v>325</v>
      </c>
      <c r="D497" s="12">
        <v>12.6</v>
      </c>
      <c r="E497" s="14">
        <f t="shared" si="363"/>
        <v>5.25</v>
      </c>
      <c r="F497" s="7">
        <v>2.4</v>
      </c>
      <c r="G497" s="7">
        <f t="shared" si="364"/>
        <v>7.35</v>
      </c>
      <c r="H497" s="16">
        <f t="shared" si="365"/>
        <v>17.850000000000001</v>
      </c>
      <c r="I497" s="11">
        <f t="shared" si="327"/>
        <v>6.2516961111875644E-2</v>
      </c>
      <c r="J497" s="33">
        <f t="shared" si="328"/>
        <v>2.6048733796614851E-2</v>
      </c>
      <c r="K497" s="33">
        <f t="shared" si="366"/>
        <v>38.389581920099104</v>
      </c>
      <c r="L497" s="33">
        <f t="shared" si="367"/>
        <v>3.6468227315260796E-2</v>
      </c>
      <c r="M497" s="33">
        <f t="shared" si="368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69"/>
        <v>1468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9">
        <v>0</v>
      </c>
      <c r="AL497" s="30">
        <v>1</v>
      </c>
      <c r="AM497" s="21">
        <v>1995</v>
      </c>
      <c r="AN497" s="23"/>
      <c r="AO497" s="33" t="s">
        <v>107</v>
      </c>
      <c r="AP497" s="33" t="s">
        <v>107</v>
      </c>
      <c r="AQ497" s="33" t="s">
        <v>107</v>
      </c>
      <c r="AR497" s="43" t="s">
        <v>107</v>
      </c>
      <c r="AS497" s="33" t="s">
        <v>107</v>
      </c>
      <c r="AT497" s="43" t="s">
        <v>107</v>
      </c>
      <c r="AU497" s="42">
        <v>1</v>
      </c>
      <c r="AV497" s="18">
        <v>0</v>
      </c>
      <c r="AW497" s="39">
        <f t="shared" si="370"/>
        <v>0.63200000000000001</v>
      </c>
      <c r="AX497" s="40">
        <v>0.36799999999999999</v>
      </c>
      <c r="AY497" s="39">
        <f t="shared" si="371"/>
        <v>0.371</v>
      </c>
      <c r="AZ497" s="40">
        <v>0.629</v>
      </c>
      <c r="BB497" s="18"/>
      <c r="BC497">
        <v>0</v>
      </c>
      <c r="BD497" s="18">
        <v>1</v>
      </c>
      <c r="BE497" s="18" t="s">
        <v>7</v>
      </c>
      <c r="BL497" s="18"/>
      <c r="BO497" s="18"/>
      <c r="BR497" s="25">
        <v>37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0</v>
      </c>
      <c r="BZ497" s="18">
        <v>1</v>
      </c>
      <c r="CA497">
        <v>0</v>
      </c>
      <c r="CB497">
        <v>1</v>
      </c>
      <c r="CC497">
        <v>0</v>
      </c>
      <c r="CD497" s="18">
        <v>0</v>
      </c>
      <c r="CE497">
        <v>1</v>
      </c>
      <c r="CF497">
        <v>0</v>
      </c>
      <c r="CG497">
        <v>0</v>
      </c>
      <c r="CH497">
        <v>0</v>
      </c>
      <c r="CI497" s="18">
        <v>0</v>
      </c>
      <c r="CJ497">
        <v>0</v>
      </c>
      <c r="CK497">
        <v>0</v>
      </c>
      <c r="CL497">
        <v>1</v>
      </c>
      <c r="CM497">
        <v>1</v>
      </c>
      <c r="CN497">
        <v>1</v>
      </c>
      <c r="CO497">
        <v>0</v>
      </c>
      <c r="CP497">
        <v>1</v>
      </c>
      <c r="CQ497">
        <v>0</v>
      </c>
      <c r="CR497">
        <v>0</v>
      </c>
      <c r="CS497">
        <v>1</v>
      </c>
      <c r="CT497" s="18">
        <v>0</v>
      </c>
      <c r="CZ497" s="34" t="s">
        <v>87</v>
      </c>
    </row>
    <row r="498" spans="1:104" x14ac:dyDescent="0.25">
      <c r="A498">
        <v>497</v>
      </c>
      <c r="B498">
        <v>31</v>
      </c>
      <c r="C498" s="25" t="s">
        <v>325</v>
      </c>
      <c r="D498" s="12">
        <v>19.600000000000001</v>
      </c>
      <c r="E498" s="14">
        <f t="shared" si="363"/>
        <v>2.5000000000000004</v>
      </c>
      <c r="F498" s="7">
        <v>7.84</v>
      </c>
      <c r="G498" s="7">
        <f t="shared" si="364"/>
        <v>17.100000000000001</v>
      </c>
      <c r="H498" s="16">
        <f t="shared" si="365"/>
        <v>22.1</v>
      </c>
      <c r="I498" s="11">
        <f t="shared" si="327"/>
        <v>0.20046853007196822</v>
      </c>
      <c r="J498" s="33">
        <f t="shared" si="328"/>
        <v>2.5569965570404109E-2</v>
      </c>
      <c r="K498" s="33">
        <f t="shared" si="366"/>
        <v>39.108382733117459</v>
      </c>
      <c r="L498" s="33">
        <f t="shared" si="367"/>
        <v>0.1748985645015641</v>
      </c>
      <c r="M498" s="33">
        <f t="shared" si="368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69"/>
        <v>1468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9">
        <v>0</v>
      </c>
      <c r="AL498" s="30">
        <v>1</v>
      </c>
      <c r="AM498" s="21">
        <v>1995</v>
      </c>
      <c r="AN498" s="23"/>
      <c r="AO498" s="33" t="s">
        <v>107</v>
      </c>
      <c r="AP498" s="33" t="s">
        <v>107</v>
      </c>
      <c r="AQ498" s="33" t="s">
        <v>107</v>
      </c>
      <c r="AR498" s="43" t="s">
        <v>107</v>
      </c>
      <c r="AS498" s="33" t="s">
        <v>107</v>
      </c>
      <c r="AT498" s="43" t="s">
        <v>107</v>
      </c>
      <c r="AU498" s="42">
        <v>1</v>
      </c>
      <c r="AV498" s="18">
        <v>0</v>
      </c>
      <c r="AW498" s="39">
        <f t="shared" si="370"/>
        <v>0.63200000000000001</v>
      </c>
      <c r="AX498" s="40">
        <v>0.36799999999999999</v>
      </c>
      <c r="AY498" s="39">
        <f t="shared" si="371"/>
        <v>0.371</v>
      </c>
      <c r="AZ498" s="40">
        <v>0.629</v>
      </c>
      <c r="BB498" s="18"/>
      <c r="BC498">
        <v>0</v>
      </c>
      <c r="BD498" s="18">
        <v>1</v>
      </c>
      <c r="BE498" s="18" t="s">
        <v>7</v>
      </c>
      <c r="BL498" s="18"/>
      <c r="BO498" s="18"/>
      <c r="BR498" s="25">
        <v>37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0</v>
      </c>
      <c r="BZ498" s="18">
        <v>1</v>
      </c>
      <c r="CA498">
        <v>0</v>
      </c>
      <c r="CB498">
        <v>1</v>
      </c>
      <c r="CC498">
        <v>0</v>
      </c>
      <c r="CD498" s="18">
        <v>0</v>
      </c>
      <c r="CE498">
        <v>1</v>
      </c>
      <c r="CF498">
        <v>0</v>
      </c>
      <c r="CG498">
        <v>0</v>
      </c>
      <c r="CH498">
        <v>0</v>
      </c>
      <c r="CI498" s="18">
        <v>0</v>
      </c>
      <c r="CJ498">
        <v>0</v>
      </c>
      <c r="CK498">
        <v>0</v>
      </c>
      <c r="CL498">
        <v>1</v>
      </c>
      <c r="CM498">
        <v>1</v>
      </c>
      <c r="CN498">
        <v>1</v>
      </c>
      <c r="CO498">
        <v>0</v>
      </c>
      <c r="CP498">
        <v>1</v>
      </c>
      <c r="CQ498">
        <v>0</v>
      </c>
      <c r="CR498">
        <v>0</v>
      </c>
      <c r="CS498">
        <v>1</v>
      </c>
      <c r="CT498" s="18">
        <v>0</v>
      </c>
      <c r="CZ498" s="34" t="s">
        <v>87</v>
      </c>
    </row>
    <row r="499" spans="1:104" x14ac:dyDescent="0.25">
      <c r="A499">
        <v>498</v>
      </c>
      <c r="B499">
        <v>31</v>
      </c>
      <c r="C499" s="25" t="s">
        <v>325</v>
      </c>
      <c r="D499" s="12">
        <v>18.600000000000001</v>
      </c>
      <c r="E499" s="14">
        <f t="shared" si="363"/>
        <v>2.4281984334203655</v>
      </c>
      <c r="F499" s="7">
        <v>7.66</v>
      </c>
      <c r="G499" s="7">
        <f t="shared" si="364"/>
        <v>16.171801566579635</v>
      </c>
      <c r="H499" s="16">
        <f t="shared" si="365"/>
        <v>21.028198433420368</v>
      </c>
      <c r="I499" s="11">
        <f t="shared" si="327"/>
        <v>0.19604482709698576</v>
      </c>
      <c r="J499" s="33">
        <f t="shared" si="328"/>
        <v>2.5593319464358451E-2</v>
      </c>
      <c r="K499" s="33">
        <f t="shared" si="366"/>
        <v>39.072696349241113</v>
      </c>
      <c r="L499" s="33">
        <f t="shared" si="367"/>
        <v>0.17045150763262731</v>
      </c>
      <c r="M499" s="33">
        <f t="shared" si="368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69"/>
        <v>1468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9">
        <v>0</v>
      </c>
      <c r="AL499" s="30">
        <v>1</v>
      </c>
      <c r="AM499" s="21">
        <v>1995</v>
      </c>
      <c r="AN499" s="23"/>
      <c r="AO499" s="33" t="s">
        <v>107</v>
      </c>
      <c r="AP499" s="33" t="s">
        <v>107</v>
      </c>
      <c r="AQ499" s="33" t="s">
        <v>107</v>
      </c>
      <c r="AR499" s="43" t="s">
        <v>107</v>
      </c>
      <c r="AS499" s="33" t="s">
        <v>107</v>
      </c>
      <c r="AT499" s="43" t="s">
        <v>107</v>
      </c>
      <c r="AU499" s="42">
        <v>1</v>
      </c>
      <c r="AV499" s="18">
        <v>0</v>
      </c>
      <c r="AW499" s="39">
        <f t="shared" si="370"/>
        <v>0.63200000000000001</v>
      </c>
      <c r="AX499" s="40">
        <v>0.36799999999999999</v>
      </c>
      <c r="AY499" s="39">
        <f t="shared" si="371"/>
        <v>0.371</v>
      </c>
      <c r="AZ499" s="40">
        <v>0.629</v>
      </c>
      <c r="BB499" s="18"/>
      <c r="BC499">
        <v>0</v>
      </c>
      <c r="BD499" s="18">
        <v>1</v>
      </c>
      <c r="BE499" s="18" t="s">
        <v>7</v>
      </c>
      <c r="BL499" s="18"/>
      <c r="BO499" s="18"/>
      <c r="BR499" s="25">
        <v>37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0</v>
      </c>
      <c r="BZ499" s="18">
        <v>1</v>
      </c>
      <c r="CA499">
        <v>0</v>
      </c>
      <c r="CB499">
        <v>1</v>
      </c>
      <c r="CC499">
        <v>0</v>
      </c>
      <c r="CD499" s="18">
        <v>0</v>
      </c>
      <c r="CE499">
        <v>1</v>
      </c>
      <c r="CF499">
        <v>0</v>
      </c>
      <c r="CG499">
        <v>0</v>
      </c>
      <c r="CH499">
        <v>0</v>
      </c>
      <c r="CI499" s="18">
        <v>0</v>
      </c>
      <c r="CJ499">
        <v>0</v>
      </c>
      <c r="CK499">
        <v>0</v>
      </c>
      <c r="CL499">
        <v>1</v>
      </c>
      <c r="CM499">
        <v>1</v>
      </c>
      <c r="CN499">
        <v>1</v>
      </c>
      <c r="CO499">
        <v>0</v>
      </c>
      <c r="CP499">
        <v>1</v>
      </c>
      <c r="CQ499">
        <v>0</v>
      </c>
      <c r="CR499">
        <v>0</v>
      </c>
      <c r="CS499">
        <v>1</v>
      </c>
      <c r="CT499" s="18">
        <v>0</v>
      </c>
      <c r="CZ499" s="34" t="s">
        <v>87</v>
      </c>
    </row>
    <row r="500" spans="1:104" x14ac:dyDescent="0.25">
      <c r="A500">
        <v>499</v>
      </c>
      <c r="B500">
        <v>31</v>
      </c>
      <c r="C500" s="25" t="s">
        <v>325</v>
      </c>
      <c r="D500" s="12">
        <v>10.7</v>
      </c>
      <c r="E500" s="14">
        <f t="shared" si="363"/>
        <v>1.9814814814814812</v>
      </c>
      <c r="F500" s="7">
        <v>5.4</v>
      </c>
      <c r="G500" s="7">
        <f t="shared" si="364"/>
        <v>8.7185185185185183</v>
      </c>
      <c r="H500" s="16">
        <f t="shared" si="365"/>
        <v>12.68148148148148</v>
      </c>
      <c r="I500" s="11">
        <f t="shared" si="327"/>
        <v>0.13955957945972247</v>
      </c>
      <c r="J500" s="33">
        <f t="shared" si="328"/>
        <v>2.5844366566615273E-2</v>
      </c>
      <c r="K500" s="33">
        <f t="shared" si="366"/>
        <v>38.693151848873725</v>
      </c>
      <c r="L500" s="33">
        <f t="shared" si="367"/>
        <v>0.1137152128931072</v>
      </c>
      <c r="M500" s="33">
        <f t="shared" si="368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69"/>
        <v>1468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9">
        <v>0</v>
      </c>
      <c r="AL500" s="30">
        <v>1</v>
      </c>
      <c r="AM500" s="21">
        <v>1995</v>
      </c>
      <c r="AN500" s="23"/>
      <c r="AO500" s="33" t="s">
        <v>107</v>
      </c>
      <c r="AP500" s="33" t="s">
        <v>107</v>
      </c>
      <c r="AQ500" s="33" t="s">
        <v>107</v>
      </c>
      <c r="AR500" s="43" t="s">
        <v>107</v>
      </c>
      <c r="AS500" s="33" t="s">
        <v>107</v>
      </c>
      <c r="AT500" s="43" t="s">
        <v>107</v>
      </c>
      <c r="AU500" s="42">
        <v>1</v>
      </c>
      <c r="AV500" s="18">
        <v>0</v>
      </c>
      <c r="AW500" s="39">
        <f t="shared" si="370"/>
        <v>0.63200000000000001</v>
      </c>
      <c r="AX500" s="40">
        <v>0.36799999999999999</v>
      </c>
      <c r="AY500" s="39">
        <f t="shared" si="371"/>
        <v>0.371</v>
      </c>
      <c r="AZ500" s="40">
        <v>0.629</v>
      </c>
      <c r="BB500" s="18"/>
      <c r="BC500">
        <v>0</v>
      </c>
      <c r="BD500" s="18">
        <v>1</v>
      </c>
      <c r="BE500" s="18" t="s">
        <v>7</v>
      </c>
      <c r="BL500" s="18"/>
      <c r="BO500" s="18"/>
      <c r="BR500" s="25">
        <v>37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0</v>
      </c>
      <c r="BZ500" s="18">
        <v>1</v>
      </c>
      <c r="CA500">
        <v>0</v>
      </c>
      <c r="CB500">
        <v>1</v>
      </c>
      <c r="CC500">
        <v>0</v>
      </c>
      <c r="CD500" s="18">
        <v>0</v>
      </c>
      <c r="CE500">
        <v>1</v>
      </c>
      <c r="CF500">
        <v>0</v>
      </c>
      <c r="CG500">
        <v>0</v>
      </c>
      <c r="CH500">
        <v>0</v>
      </c>
      <c r="CI500" s="18">
        <v>0</v>
      </c>
      <c r="CJ500">
        <v>0</v>
      </c>
      <c r="CK500">
        <v>0</v>
      </c>
      <c r="CL500">
        <v>1</v>
      </c>
      <c r="CM500">
        <v>1</v>
      </c>
      <c r="CN500">
        <v>1</v>
      </c>
      <c r="CO500">
        <v>0</v>
      </c>
      <c r="CP500">
        <v>1</v>
      </c>
      <c r="CQ500">
        <v>0</v>
      </c>
      <c r="CR500">
        <v>0</v>
      </c>
      <c r="CS500">
        <v>1</v>
      </c>
      <c r="CT500" s="18">
        <v>0</v>
      </c>
      <c r="CZ500" s="34" t="s">
        <v>87</v>
      </c>
    </row>
    <row r="501" spans="1:104" s="52" customFormat="1" x14ac:dyDescent="0.25">
      <c r="A501" s="52">
        <v>500</v>
      </c>
      <c r="B501" s="52">
        <v>31</v>
      </c>
      <c r="C501" s="53" t="s">
        <v>325</v>
      </c>
      <c r="D501" s="54">
        <v>9.1999999999999993</v>
      </c>
      <c r="E501" s="55">
        <f t="shared" si="363"/>
        <v>4.7179487179487181</v>
      </c>
      <c r="F501" s="56">
        <v>1.95</v>
      </c>
      <c r="G501" s="56">
        <f t="shared" si="364"/>
        <v>4.4820512820512812</v>
      </c>
      <c r="H501" s="57">
        <f t="shared" si="365"/>
        <v>13.917948717948718</v>
      </c>
      <c r="I501" s="58">
        <f t="shared" si="327"/>
        <v>5.0828798421125441E-2</v>
      </c>
      <c r="J501" s="59">
        <f t="shared" si="328"/>
        <v>2.606605047237202E-2</v>
      </c>
      <c r="K501" s="59">
        <f t="shared" si="366"/>
        <v>38.36407825036332</v>
      </c>
      <c r="L501" s="59">
        <f t="shared" si="367"/>
        <v>2.4762747948753421E-2</v>
      </c>
      <c r="M501" s="59">
        <f t="shared" si="368"/>
        <v>7.6894848893497458E-2</v>
      </c>
      <c r="N501" s="60">
        <v>0</v>
      </c>
      <c r="O501" s="61">
        <v>1</v>
      </c>
      <c r="P501" s="60">
        <v>0</v>
      </c>
      <c r="Q501" s="61">
        <v>1</v>
      </c>
      <c r="R501" s="61">
        <v>0</v>
      </c>
      <c r="S501" s="61">
        <v>0</v>
      </c>
      <c r="T501" s="61">
        <v>0</v>
      </c>
      <c r="U501" s="60">
        <v>1476</v>
      </c>
      <c r="V501" s="61">
        <v>7</v>
      </c>
      <c r="W501" s="61">
        <f t="shared" si="369"/>
        <v>1468</v>
      </c>
      <c r="X501" s="61"/>
      <c r="Y501" s="56">
        <v>9</v>
      </c>
      <c r="Z501" s="56">
        <v>10.6</v>
      </c>
      <c r="AA501" s="61">
        <v>1</v>
      </c>
      <c r="AB501" s="61">
        <v>0</v>
      </c>
      <c r="AC501" s="61">
        <v>0</v>
      </c>
      <c r="AD501" s="61">
        <v>1</v>
      </c>
      <c r="AE501" s="61">
        <v>0</v>
      </c>
      <c r="AF501" s="61">
        <v>0</v>
      </c>
      <c r="AG501" s="60">
        <v>0</v>
      </c>
      <c r="AH501" s="61">
        <v>1</v>
      </c>
      <c r="AI501" s="62">
        <v>0</v>
      </c>
      <c r="AJ501" s="61">
        <v>0</v>
      </c>
      <c r="AK501" s="61">
        <v>0</v>
      </c>
      <c r="AL501" s="62">
        <v>1</v>
      </c>
      <c r="AM501" s="63">
        <v>1995</v>
      </c>
      <c r="AN501" s="64"/>
      <c r="AO501" s="59" t="s">
        <v>107</v>
      </c>
      <c r="AP501" s="59" t="s">
        <v>107</v>
      </c>
      <c r="AQ501" s="59" t="s">
        <v>107</v>
      </c>
      <c r="AR501" s="65" t="s">
        <v>107</v>
      </c>
      <c r="AS501" s="59" t="s">
        <v>107</v>
      </c>
      <c r="AT501" s="65" t="s">
        <v>107</v>
      </c>
      <c r="AU501" s="66">
        <v>1</v>
      </c>
      <c r="AV501" s="67">
        <v>0</v>
      </c>
      <c r="AW501" s="70">
        <f t="shared" si="370"/>
        <v>0.63200000000000001</v>
      </c>
      <c r="AX501" s="68">
        <v>0.36799999999999999</v>
      </c>
      <c r="AY501" s="70">
        <f t="shared" si="371"/>
        <v>0.371</v>
      </c>
      <c r="AZ501" s="68">
        <v>0.629</v>
      </c>
      <c r="BB501" s="67"/>
      <c r="BC501" s="52">
        <v>0</v>
      </c>
      <c r="BD501" s="67">
        <v>1</v>
      </c>
      <c r="BE501" s="67" t="s">
        <v>7</v>
      </c>
      <c r="BL501" s="67"/>
      <c r="BO501" s="67"/>
      <c r="BR501" s="53">
        <v>37</v>
      </c>
      <c r="BS501" s="52">
        <v>0</v>
      </c>
      <c r="BT501" s="52">
        <v>0</v>
      </c>
      <c r="BU501" s="52">
        <v>0</v>
      </c>
      <c r="BV501" s="52">
        <v>0</v>
      </c>
      <c r="BW501" s="52">
        <v>0</v>
      </c>
      <c r="BX501" s="52">
        <v>0</v>
      </c>
      <c r="BY501" s="52">
        <v>0</v>
      </c>
      <c r="BZ501" s="67">
        <v>1</v>
      </c>
      <c r="CA501" s="52">
        <v>0</v>
      </c>
      <c r="CB501" s="52">
        <v>1</v>
      </c>
      <c r="CC501" s="52">
        <v>0</v>
      </c>
      <c r="CD501" s="67">
        <v>0</v>
      </c>
      <c r="CE501" s="52">
        <v>1</v>
      </c>
      <c r="CF501" s="52">
        <v>0</v>
      </c>
      <c r="CG501" s="52">
        <v>0</v>
      </c>
      <c r="CH501" s="52">
        <v>0</v>
      </c>
      <c r="CI501" s="67">
        <v>0</v>
      </c>
      <c r="CJ501" s="52">
        <v>0</v>
      </c>
      <c r="CK501" s="52">
        <v>0</v>
      </c>
      <c r="CL501" s="52">
        <v>1</v>
      </c>
      <c r="CM501" s="52">
        <v>1</v>
      </c>
      <c r="CN501" s="52">
        <v>1</v>
      </c>
      <c r="CO501" s="52">
        <v>0</v>
      </c>
      <c r="CP501" s="52">
        <v>1</v>
      </c>
      <c r="CQ501" s="52">
        <v>0</v>
      </c>
      <c r="CR501" s="52">
        <v>0</v>
      </c>
      <c r="CS501" s="52">
        <v>1</v>
      </c>
      <c r="CT501" s="67">
        <v>0</v>
      </c>
      <c r="CY501" s="53"/>
      <c r="CZ501" s="69" t="s">
        <v>87</v>
      </c>
    </row>
    <row r="502" spans="1:104" x14ac:dyDescent="0.25">
      <c r="A502">
        <v>501</v>
      </c>
      <c r="B502">
        <v>32</v>
      </c>
      <c r="C502" s="25" t="s">
        <v>324</v>
      </c>
      <c r="D502" s="12">
        <v>6.3</v>
      </c>
      <c r="E502" s="14">
        <f t="shared" si="363"/>
        <v>0.83776595744680848</v>
      </c>
      <c r="F502" s="7">
        <v>7.52</v>
      </c>
      <c r="G502" s="7">
        <f t="shared" si="364"/>
        <v>5.4622340425531917</v>
      </c>
      <c r="H502" s="16">
        <f t="shared" si="365"/>
        <v>7.137765957446808</v>
      </c>
      <c r="I502" s="11">
        <f t="shared" si="327"/>
        <v>0.22951264688149664</v>
      </c>
      <c r="J502" s="33">
        <f t="shared" si="328"/>
        <v>3.0520298787433064E-2</v>
      </c>
      <c r="K502" s="33">
        <f t="shared" si="366"/>
        <v>32.765078971368283</v>
      </c>
      <c r="L502" s="33">
        <f t="shared" si="367"/>
        <v>0.19899234809406358</v>
      </c>
      <c r="M502" s="33">
        <f t="shared" si="368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69"/>
        <v>1017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9">
        <v>0</v>
      </c>
      <c r="AL502" s="30">
        <v>0</v>
      </c>
      <c r="AM502" s="21">
        <v>2000</v>
      </c>
      <c r="AN502" s="23"/>
      <c r="AO502" s="33" t="s">
        <v>107</v>
      </c>
      <c r="AP502" s="33" t="s">
        <v>107</v>
      </c>
      <c r="AQ502" s="33" t="s">
        <v>107</v>
      </c>
      <c r="AR502" s="43" t="s">
        <v>107</v>
      </c>
      <c r="AS502" s="33" t="s">
        <v>107</v>
      </c>
      <c r="AT502" s="43" t="s">
        <v>107</v>
      </c>
      <c r="AU502" s="42">
        <v>0.64</v>
      </c>
      <c r="AV502" s="18">
        <v>0.36</v>
      </c>
      <c r="AW502" t="s">
        <v>107</v>
      </c>
      <c r="AX502" s="40" t="s">
        <v>107</v>
      </c>
      <c r="AY502" t="s">
        <v>107</v>
      </c>
      <c r="AZ502" s="40" t="s">
        <v>107</v>
      </c>
      <c r="BB502" s="18"/>
      <c r="BC502">
        <v>1</v>
      </c>
      <c r="BD502" s="18">
        <v>0</v>
      </c>
      <c r="BE502" s="18" t="s">
        <v>5</v>
      </c>
      <c r="BL502" s="18"/>
      <c r="BO502" s="18"/>
      <c r="BR502" s="25">
        <v>35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1</v>
      </c>
      <c r="BY502">
        <v>0</v>
      </c>
      <c r="BZ502" s="18">
        <v>0</v>
      </c>
      <c r="CA502">
        <v>0</v>
      </c>
      <c r="CB502">
        <v>0</v>
      </c>
      <c r="CC502">
        <v>1</v>
      </c>
      <c r="CD502" s="18">
        <v>0</v>
      </c>
      <c r="CE502">
        <v>0</v>
      </c>
      <c r="CF502">
        <v>0</v>
      </c>
      <c r="CG502">
        <v>0</v>
      </c>
      <c r="CH502">
        <v>0</v>
      </c>
      <c r="CI502" s="18">
        <v>0</v>
      </c>
      <c r="CJ502">
        <v>0</v>
      </c>
      <c r="CK502">
        <v>0</v>
      </c>
      <c r="CL502">
        <v>1</v>
      </c>
      <c r="CM502">
        <v>1</v>
      </c>
      <c r="CN502">
        <v>0</v>
      </c>
      <c r="CO502">
        <v>0</v>
      </c>
      <c r="CP502">
        <v>1</v>
      </c>
      <c r="CQ502">
        <v>1</v>
      </c>
      <c r="CR502">
        <v>0</v>
      </c>
      <c r="CS502">
        <v>0</v>
      </c>
      <c r="CT502" s="18">
        <v>0</v>
      </c>
      <c r="CZ502" s="34" t="s">
        <v>87</v>
      </c>
    </row>
    <row r="503" spans="1:104" x14ac:dyDescent="0.25">
      <c r="A503">
        <v>502</v>
      </c>
      <c r="B503">
        <v>32</v>
      </c>
      <c r="C503" t="s">
        <v>324</v>
      </c>
      <c r="D503" s="12">
        <v>6.1</v>
      </c>
      <c r="E503" s="14">
        <f t="shared" si="363"/>
        <v>0.8276797829036634</v>
      </c>
      <c r="F503" s="7">
        <v>7.37</v>
      </c>
      <c r="G503" s="7">
        <f t="shared" si="364"/>
        <v>5.2723202170963361</v>
      </c>
      <c r="H503" s="16">
        <f t="shared" si="365"/>
        <v>6.9276797829036632</v>
      </c>
      <c r="I503" s="11">
        <f t="shared" si="327"/>
        <v>0.2252741171820597</v>
      </c>
      <c r="J503" s="33">
        <f t="shared" si="328"/>
        <v>3.0566365967715021E-2</v>
      </c>
      <c r="K503" s="33">
        <f t="shared" si="366"/>
        <v>32.715698066830242</v>
      </c>
      <c r="L503" s="33">
        <f t="shared" si="367"/>
        <v>0.19470775121434467</v>
      </c>
      <c r="M503" s="33">
        <f t="shared" si="368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69"/>
        <v>1016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9">
        <v>0</v>
      </c>
      <c r="AL503" s="30">
        <v>0</v>
      </c>
      <c r="AM503" s="21">
        <v>2000</v>
      </c>
      <c r="AN503" s="23"/>
      <c r="AO503" s="33" t="s">
        <v>107</v>
      </c>
      <c r="AP503" s="33" t="s">
        <v>107</v>
      </c>
      <c r="AQ503" s="33" t="s">
        <v>107</v>
      </c>
      <c r="AR503" s="43" t="s">
        <v>107</v>
      </c>
      <c r="AS503" s="33" t="s">
        <v>107</v>
      </c>
      <c r="AT503" s="43" t="s">
        <v>107</v>
      </c>
      <c r="AU503" s="42">
        <v>0.64</v>
      </c>
      <c r="AV503" s="18">
        <v>0.36</v>
      </c>
      <c r="AW503" t="s">
        <v>107</v>
      </c>
      <c r="AX503" s="40" t="s">
        <v>107</v>
      </c>
      <c r="AY503" t="s">
        <v>107</v>
      </c>
      <c r="AZ503" s="40" t="s">
        <v>107</v>
      </c>
      <c r="BB503" s="18"/>
      <c r="BC503">
        <v>1</v>
      </c>
      <c r="BD503" s="18">
        <v>0</v>
      </c>
      <c r="BE503" s="18" t="s">
        <v>5</v>
      </c>
      <c r="BL503" s="18"/>
      <c r="BO503" s="18"/>
      <c r="BR503" s="25">
        <v>35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1</v>
      </c>
      <c r="BY503">
        <v>0</v>
      </c>
      <c r="BZ503" s="18">
        <v>0</v>
      </c>
      <c r="CA503">
        <v>0</v>
      </c>
      <c r="CB503">
        <v>0</v>
      </c>
      <c r="CC503">
        <v>1</v>
      </c>
      <c r="CD503" s="18">
        <v>0</v>
      </c>
      <c r="CE503">
        <v>0</v>
      </c>
      <c r="CF503">
        <v>0</v>
      </c>
      <c r="CG503">
        <v>0</v>
      </c>
      <c r="CH503">
        <v>0</v>
      </c>
      <c r="CI503" s="18">
        <v>0</v>
      </c>
      <c r="CJ503">
        <v>0</v>
      </c>
      <c r="CK503">
        <v>0</v>
      </c>
      <c r="CL503">
        <v>1</v>
      </c>
      <c r="CM503">
        <v>1</v>
      </c>
      <c r="CN503">
        <v>0</v>
      </c>
      <c r="CO503">
        <v>0</v>
      </c>
      <c r="CP503">
        <v>1</v>
      </c>
      <c r="CQ503">
        <v>1</v>
      </c>
      <c r="CR503">
        <v>0</v>
      </c>
      <c r="CS503">
        <v>0</v>
      </c>
      <c r="CT503" s="18">
        <v>0</v>
      </c>
      <c r="CZ503" s="34" t="s">
        <v>87</v>
      </c>
    </row>
    <row r="504" spans="1:104" x14ac:dyDescent="0.25">
      <c r="A504">
        <v>503</v>
      </c>
      <c r="B504">
        <v>32</v>
      </c>
      <c r="C504" s="25" t="s">
        <v>324</v>
      </c>
      <c r="D504" s="12">
        <v>6.5</v>
      </c>
      <c r="E504" s="14">
        <f t="shared" si="363"/>
        <v>0.8904109589041096</v>
      </c>
      <c r="F504" s="7">
        <v>7.3</v>
      </c>
      <c r="G504" s="7">
        <f t="shared" si="364"/>
        <v>5.6095890410958908</v>
      </c>
      <c r="H504" s="16">
        <f t="shared" si="365"/>
        <v>7.3904109589041092</v>
      </c>
      <c r="I504" s="11">
        <f t="shared" si="327"/>
        <v>0.22742757354036125</v>
      </c>
      <c r="J504" s="33">
        <f t="shared" si="328"/>
        <v>3.1154462128816611E-2</v>
      </c>
      <c r="K504" s="33">
        <f t="shared" si="366"/>
        <v>32.098130786698469</v>
      </c>
      <c r="L504" s="33">
        <f t="shared" si="367"/>
        <v>0.19627311141154463</v>
      </c>
      <c r="M504" s="33">
        <f t="shared" si="368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69"/>
        <v>977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9">
        <v>0</v>
      </c>
      <c r="AL504" s="30">
        <v>0</v>
      </c>
      <c r="AM504" s="21">
        <v>2000</v>
      </c>
      <c r="AN504" s="23"/>
      <c r="AO504" s="33" t="s">
        <v>107</v>
      </c>
      <c r="AP504" s="33" t="s">
        <v>107</v>
      </c>
      <c r="AQ504" s="33" t="s">
        <v>107</v>
      </c>
      <c r="AR504" s="43" t="s">
        <v>107</v>
      </c>
      <c r="AS504" s="33" t="s">
        <v>107</v>
      </c>
      <c r="AT504" s="43" t="s">
        <v>107</v>
      </c>
      <c r="AU504" s="42">
        <v>0.64</v>
      </c>
      <c r="AV504" s="18">
        <v>0.36</v>
      </c>
      <c r="AW504" t="s">
        <v>107</v>
      </c>
      <c r="AX504" s="40" t="s">
        <v>107</v>
      </c>
      <c r="AY504" t="s">
        <v>107</v>
      </c>
      <c r="AZ504" s="40" t="s">
        <v>107</v>
      </c>
      <c r="BB504" s="18"/>
      <c r="BC504">
        <v>1</v>
      </c>
      <c r="BD504" s="18">
        <v>0</v>
      </c>
      <c r="BE504" s="18" t="s">
        <v>5</v>
      </c>
      <c r="BL504" s="18"/>
      <c r="BO504" s="18"/>
      <c r="BR504" s="25">
        <v>35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1</v>
      </c>
      <c r="BY504">
        <v>0</v>
      </c>
      <c r="BZ504" s="18">
        <v>0</v>
      </c>
      <c r="CA504">
        <v>0</v>
      </c>
      <c r="CB504">
        <v>1</v>
      </c>
      <c r="CC504">
        <v>0</v>
      </c>
      <c r="CD504" s="18">
        <v>0</v>
      </c>
      <c r="CE504">
        <v>1</v>
      </c>
      <c r="CF504">
        <v>0</v>
      </c>
      <c r="CG504">
        <v>0</v>
      </c>
      <c r="CH504">
        <v>0</v>
      </c>
      <c r="CI504" s="18">
        <v>0</v>
      </c>
      <c r="CJ504">
        <v>0</v>
      </c>
      <c r="CK504">
        <v>0</v>
      </c>
      <c r="CL504">
        <v>1</v>
      </c>
      <c r="CM504">
        <v>1</v>
      </c>
      <c r="CN504">
        <v>0</v>
      </c>
      <c r="CO504">
        <v>0</v>
      </c>
      <c r="CP504">
        <v>1</v>
      </c>
      <c r="CQ504">
        <v>1</v>
      </c>
      <c r="CR504">
        <v>0</v>
      </c>
      <c r="CS504">
        <v>0</v>
      </c>
      <c r="CT504" s="18">
        <v>0</v>
      </c>
      <c r="CZ504" s="34" t="s">
        <v>87</v>
      </c>
    </row>
    <row r="505" spans="1:104" x14ac:dyDescent="0.25">
      <c r="A505">
        <v>504</v>
      </c>
      <c r="B505">
        <v>32</v>
      </c>
      <c r="C505" s="25" t="s">
        <v>324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72">D505-E505</f>
        <v>5.5316146540027145</v>
      </c>
      <c r="H505" s="16">
        <f t="shared" ref="H505:H517" si="373">D505+E505</f>
        <v>7.2683853459972863</v>
      </c>
      <c r="I505" s="11">
        <f t="shared" si="327"/>
        <v>0.12618462893964844</v>
      </c>
      <c r="J505" s="33">
        <f t="shared" si="328"/>
        <v>1.7121387915827468E-2</v>
      </c>
      <c r="K505" s="33">
        <f t="shared" ref="K505:K517" si="374">IFERROR(1/J505, "X")</f>
        <v>58.406479948718022</v>
      </c>
      <c r="L505" s="33">
        <f t="shared" ref="L505:L517" si="375">IFERROR(I505-J505, "X")</f>
        <v>0.10906324102382096</v>
      </c>
      <c r="M505" s="33">
        <f t="shared" ref="M505:M517" si="376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69"/>
        <v>3357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9">
        <v>0</v>
      </c>
      <c r="AL505" s="30">
        <v>0</v>
      </c>
      <c r="AM505" s="21">
        <v>2000</v>
      </c>
      <c r="AN505" s="23"/>
      <c r="AO505" s="33" t="s">
        <v>107</v>
      </c>
      <c r="AP505" s="33" t="s">
        <v>107</v>
      </c>
      <c r="AQ505" s="33" t="s">
        <v>107</v>
      </c>
      <c r="AR505" s="43" t="s">
        <v>107</v>
      </c>
      <c r="AS505" s="33" t="s">
        <v>107</v>
      </c>
      <c r="AT505" s="43" t="s">
        <v>107</v>
      </c>
      <c r="AU505" s="42">
        <v>0.64</v>
      </c>
      <c r="AV505" s="18">
        <v>0.36</v>
      </c>
      <c r="AW505" t="s">
        <v>107</v>
      </c>
      <c r="AX505" s="40" t="s">
        <v>107</v>
      </c>
      <c r="AY505" t="s">
        <v>107</v>
      </c>
      <c r="AZ505" s="40" t="s">
        <v>107</v>
      </c>
      <c r="BB505" s="18"/>
      <c r="BC505">
        <v>1</v>
      </c>
      <c r="BD505" s="18">
        <v>0</v>
      </c>
      <c r="BE505" s="18" t="s">
        <v>5</v>
      </c>
      <c r="BL505" s="18"/>
      <c r="BO505" s="18"/>
      <c r="BR505" s="25">
        <v>35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1</v>
      </c>
      <c r="BY505">
        <v>0</v>
      </c>
      <c r="BZ505" s="18">
        <v>0</v>
      </c>
      <c r="CA505">
        <v>0</v>
      </c>
      <c r="CB505">
        <v>0</v>
      </c>
      <c r="CC505">
        <v>1</v>
      </c>
      <c r="CD505" s="18">
        <v>0</v>
      </c>
      <c r="CE505">
        <v>0</v>
      </c>
      <c r="CF505">
        <v>0</v>
      </c>
      <c r="CG505">
        <v>0</v>
      </c>
      <c r="CH505">
        <v>0</v>
      </c>
      <c r="CI505" s="18">
        <v>0</v>
      </c>
      <c r="CJ505">
        <v>0</v>
      </c>
      <c r="CK505">
        <v>0</v>
      </c>
      <c r="CL505">
        <v>1</v>
      </c>
      <c r="CM505">
        <v>1</v>
      </c>
      <c r="CN505">
        <v>0</v>
      </c>
      <c r="CO505">
        <v>0</v>
      </c>
      <c r="CP505">
        <v>1</v>
      </c>
      <c r="CQ505">
        <v>1</v>
      </c>
      <c r="CR505">
        <v>0</v>
      </c>
      <c r="CS505">
        <v>0</v>
      </c>
      <c r="CT505" s="18">
        <v>0</v>
      </c>
      <c r="CZ505" s="34" t="s">
        <v>87</v>
      </c>
    </row>
    <row r="506" spans="1:104" x14ac:dyDescent="0.25">
      <c r="A506">
        <v>505</v>
      </c>
      <c r="B506">
        <v>32</v>
      </c>
      <c r="C506" s="25" t="s">
        <v>324</v>
      </c>
      <c r="D506" s="12">
        <v>4.3</v>
      </c>
      <c r="E506" s="14">
        <f t="shared" ref="E506:E517" si="377">D506/F506</f>
        <v>1.4625850340136055</v>
      </c>
      <c r="F506" s="7">
        <v>2.94</v>
      </c>
      <c r="G506" s="7">
        <f t="shared" si="372"/>
        <v>2.8374149659863943</v>
      </c>
      <c r="H506" s="16">
        <f t="shared" si="373"/>
        <v>5.7625850340136058</v>
      </c>
      <c r="I506" s="11">
        <f t="shared" si="327"/>
        <v>5.0677276605177769E-2</v>
      </c>
      <c r="J506" s="33">
        <f t="shared" si="328"/>
        <v>1.7237168913325773E-2</v>
      </c>
      <c r="K506" s="33">
        <f t="shared" si="374"/>
        <v>58.014167235253836</v>
      </c>
      <c r="L506" s="33">
        <f t="shared" si="375"/>
        <v>3.3440107691851996E-2</v>
      </c>
      <c r="M506" s="33">
        <f t="shared" si="376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69"/>
        <v>3357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9">
        <v>0</v>
      </c>
      <c r="AL506" s="30">
        <v>0</v>
      </c>
      <c r="AM506" s="21">
        <v>2000</v>
      </c>
      <c r="AN506" s="23"/>
      <c r="AO506" s="33" t="s">
        <v>107</v>
      </c>
      <c r="AP506" s="33" t="s">
        <v>107</v>
      </c>
      <c r="AQ506" s="33" t="s">
        <v>107</v>
      </c>
      <c r="AR506" s="43" t="s">
        <v>107</v>
      </c>
      <c r="AS506" s="33" t="s">
        <v>107</v>
      </c>
      <c r="AT506" s="43" t="s">
        <v>107</v>
      </c>
      <c r="AU506" s="42">
        <v>0.64</v>
      </c>
      <c r="AV506" s="18">
        <v>0.36</v>
      </c>
      <c r="AW506" t="s">
        <v>107</v>
      </c>
      <c r="AX506" s="40" t="s">
        <v>107</v>
      </c>
      <c r="AY506" t="s">
        <v>107</v>
      </c>
      <c r="AZ506" s="40" t="s">
        <v>107</v>
      </c>
      <c r="BB506" s="18"/>
      <c r="BC506">
        <v>1</v>
      </c>
      <c r="BD506" s="18">
        <v>0</v>
      </c>
      <c r="BE506" s="18" t="s">
        <v>5</v>
      </c>
      <c r="BL506" s="18"/>
      <c r="BO506" s="18"/>
      <c r="BR506" s="25">
        <v>35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1</v>
      </c>
      <c r="BY506">
        <v>0</v>
      </c>
      <c r="BZ506" s="18">
        <v>0</v>
      </c>
      <c r="CA506">
        <v>0</v>
      </c>
      <c r="CB506">
        <v>0</v>
      </c>
      <c r="CC506">
        <v>1</v>
      </c>
      <c r="CD506" s="18">
        <v>0</v>
      </c>
      <c r="CE506">
        <v>0</v>
      </c>
      <c r="CF506">
        <v>0</v>
      </c>
      <c r="CG506">
        <v>0</v>
      </c>
      <c r="CH506">
        <v>0</v>
      </c>
      <c r="CI506" s="18">
        <v>0</v>
      </c>
      <c r="CJ506">
        <v>0</v>
      </c>
      <c r="CK506">
        <v>0</v>
      </c>
      <c r="CL506">
        <v>1</v>
      </c>
      <c r="CM506">
        <v>1</v>
      </c>
      <c r="CN506">
        <v>0</v>
      </c>
      <c r="CO506">
        <v>0</v>
      </c>
      <c r="CP506">
        <v>1</v>
      </c>
      <c r="CQ506">
        <v>1</v>
      </c>
      <c r="CR506">
        <v>0</v>
      </c>
      <c r="CS506">
        <v>0</v>
      </c>
      <c r="CT506" s="18">
        <v>0</v>
      </c>
      <c r="CZ506" s="34" t="s">
        <v>87</v>
      </c>
    </row>
    <row r="507" spans="1:104" x14ac:dyDescent="0.25">
      <c r="A507">
        <v>506</v>
      </c>
      <c r="B507">
        <v>32</v>
      </c>
      <c r="C507" s="25" t="s">
        <v>324</v>
      </c>
      <c r="D507" s="12">
        <v>7.8</v>
      </c>
      <c r="E507" s="14">
        <f t="shared" si="377"/>
        <v>1.1854103343465046</v>
      </c>
      <c r="F507" s="7">
        <v>6.58</v>
      </c>
      <c r="G507" s="7">
        <f t="shared" si="372"/>
        <v>6.6145896656534955</v>
      </c>
      <c r="H507" s="16">
        <f t="shared" si="373"/>
        <v>8.9854103343465042</v>
      </c>
      <c r="I507" s="11">
        <f t="shared" si="327"/>
        <v>0.112841150584339</v>
      </c>
      <c r="J507" s="33">
        <f t="shared" si="328"/>
        <v>1.714911103105456E-2</v>
      </c>
      <c r="K507" s="33">
        <f t="shared" si="374"/>
        <v>58.3120605020951</v>
      </c>
      <c r="L507" s="33">
        <f t="shared" si="375"/>
        <v>9.5692039553284439E-2</v>
      </c>
      <c r="M507" s="33">
        <f t="shared" si="376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69"/>
        <v>3357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9">
        <v>0</v>
      </c>
      <c r="AL507" s="30">
        <v>0</v>
      </c>
      <c r="AM507" s="21">
        <v>2000</v>
      </c>
      <c r="AN507" s="23"/>
      <c r="AO507" s="33" t="s">
        <v>107</v>
      </c>
      <c r="AP507" s="33" t="s">
        <v>107</v>
      </c>
      <c r="AQ507" s="33" t="s">
        <v>107</v>
      </c>
      <c r="AR507" s="43" t="s">
        <v>107</v>
      </c>
      <c r="AS507" s="33" t="s">
        <v>107</v>
      </c>
      <c r="AT507" s="43" t="s">
        <v>107</v>
      </c>
      <c r="AU507" s="42">
        <v>0.64</v>
      </c>
      <c r="AV507" s="18">
        <v>0.36</v>
      </c>
      <c r="AW507" t="s">
        <v>107</v>
      </c>
      <c r="AX507" s="40" t="s">
        <v>107</v>
      </c>
      <c r="AY507" t="s">
        <v>107</v>
      </c>
      <c r="AZ507" s="40" t="s">
        <v>107</v>
      </c>
      <c r="BB507" s="18"/>
      <c r="BC507">
        <v>1</v>
      </c>
      <c r="BD507" s="18">
        <v>0</v>
      </c>
      <c r="BE507" s="18" t="s">
        <v>5</v>
      </c>
      <c r="BL507" s="18"/>
      <c r="BO507" s="18"/>
      <c r="BR507" s="25">
        <v>35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1</v>
      </c>
      <c r="BY507">
        <v>0</v>
      </c>
      <c r="BZ507" s="18">
        <v>0</v>
      </c>
      <c r="CA507">
        <v>0</v>
      </c>
      <c r="CB507">
        <v>0</v>
      </c>
      <c r="CC507">
        <v>1</v>
      </c>
      <c r="CD507" s="18">
        <v>0</v>
      </c>
      <c r="CE507">
        <v>0</v>
      </c>
      <c r="CF507">
        <v>0</v>
      </c>
      <c r="CG507">
        <v>0</v>
      </c>
      <c r="CH507">
        <v>0</v>
      </c>
      <c r="CI507" s="18">
        <v>0</v>
      </c>
      <c r="CJ507">
        <v>0</v>
      </c>
      <c r="CK507">
        <v>0</v>
      </c>
      <c r="CL507">
        <v>1</v>
      </c>
      <c r="CM507">
        <v>1</v>
      </c>
      <c r="CN507">
        <v>0</v>
      </c>
      <c r="CO507">
        <v>0</v>
      </c>
      <c r="CP507">
        <v>1</v>
      </c>
      <c r="CQ507">
        <v>1</v>
      </c>
      <c r="CR507">
        <v>0</v>
      </c>
      <c r="CS507">
        <v>0</v>
      </c>
      <c r="CT507" s="18">
        <v>0</v>
      </c>
      <c r="CZ507" s="34" t="s">
        <v>87</v>
      </c>
    </row>
    <row r="508" spans="1:104" x14ac:dyDescent="0.25">
      <c r="A508">
        <v>507</v>
      </c>
      <c r="B508">
        <v>32</v>
      </c>
      <c r="C508" s="25" t="s">
        <v>324</v>
      </c>
      <c r="D508" s="12">
        <v>10.5</v>
      </c>
      <c r="E508" s="14">
        <f t="shared" si="377"/>
        <v>1.2804878048780488</v>
      </c>
      <c r="F508" s="7">
        <v>8.1999999999999993</v>
      </c>
      <c r="G508" s="7">
        <f t="shared" si="372"/>
        <v>9.2195121951219505</v>
      </c>
      <c r="H508" s="16">
        <f t="shared" si="373"/>
        <v>11.780487804878049</v>
      </c>
      <c r="I508" s="11">
        <f t="shared" si="327"/>
        <v>0.20660483785702163</v>
      </c>
      <c r="J508" s="33">
        <f t="shared" si="328"/>
        <v>2.5195711933783126E-2</v>
      </c>
      <c r="K508" s="33">
        <f t="shared" si="374"/>
        <v>39.689293266572541</v>
      </c>
      <c r="L508" s="33">
        <f t="shared" si="375"/>
        <v>0.18140912592323852</v>
      </c>
      <c r="M508" s="33">
        <f t="shared" si="376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69"/>
        <v>1508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9">
        <v>0</v>
      </c>
      <c r="AL508" s="30">
        <v>0</v>
      </c>
      <c r="AM508" s="21">
        <v>2000</v>
      </c>
      <c r="AN508" s="23"/>
      <c r="AO508" s="33" t="s">
        <v>107</v>
      </c>
      <c r="AP508" s="33" t="s">
        <v>107</v>
      </c>
      <c r="AQ508" s="33" t="s">
        <v>107</v>
      </c>
      <c r="AR508" s="43" t="s">
        <v>107</v>
      </c>
      <c r="AS508" s="33" t="s">
        <v>107</v>
      </c>
      <c r="AT508" s="43" t="s">
        <v>107</v>
      </c>
      <c r="AU508" s="42">
        <v>0.64</v>
      </c>
      <c r="AV508" s="18">
        <v>0.36</v>
      </c>
      <c r="AW508" t="s">
        <v>107</v>
      </c>
      <c r="AX508" s="40" t="s">
        <v>107</v>
      </c>
      <c r="AY508" t="s">
        <v>107</v>
      </c>
      <c r="AZ508" s="40" t="s">
        <v>107</v>
      </c>
      <c r="BB508" s="18"/>
      <c r="BC508">
        <v>1</v>
      </c>
      <c r="BD508" s="18">
        <v>0</v>
      </c>
      <c r="BE508" s="18" t="s">
        <v>5</v>
      </c>
      <c r="BL508" s="18"/>
      <c r="BO508" s="18"/>
      <c r="BR508" s="25">
        <v>35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1</v>
      </c>
      <c r="BY508">
        <v>0</v>
      </c>
      <c r="BZ508" s="18">
        <v>0</v>
      </c>
      <c r="CA508">
        <v>0</v>
      </c>
      <c r="CB508">
        <v>0</v>
      </c>
      <c r="CC508">
        <v>1</v>
      </c>
      <c r="CD508" s="18">
        <v>0</v>
      </c>
      <c r="CE508">
        <v>0</v>
      </c>
      <c r="CF508">
        <v>0</v>
      </c>
      <c r="CG508">
        <v>0</v>
      </c>
      <c r="CH508">
        <v>0</v>
      </c>
      <c r="CI508" s="18">
        <v>0</v>
      </c>
      <c r="CJ508">
        <v>0</v>
      </c>
      <c r="CK508">
        <v>0</v>
      </c>
      <c r="CL508">
        <v>1</v>
      </c>
      <c r="CM508">
        <v>1</v>
      </c>
      <c r="CN508">
        <v>0</v>
      </c>
      <c r="CO508">
        <v>0</v>
      </c>
      <c r="CP508">
        <v>1</v>
      </c>
      <c r="CQ508">
        <v>1</v>
      </c>
      <c r="CR508">
        <v>0</v>
      </c>
      <c r="CS508">
        <v>0</v>
      </c>
      <c r="CT508" s="18">
        <v>0</v>
      </c>
      <c r="CZ508" s="34" t="s">
        <v>87</v>
      </c>
    </row>
    <row r="509" spans="1:104" x14ac:dyDescent="0.25">
      <c r="A509">
        <v>508</v>
      </c>
      <c r="B509">
        <v>32</v>
      </c>
      <c r="C509" s="25" t="s">
        <v>324</v>
      </c>
      <c r="D509" s="12">
        <v>8.9</v>
      </c>
      <c r="E509" s="14">
        <f t="shared" si="377"/>
        <v>2.8253968253968256</v>
      </c>
      <c r="F509" s="7">
        <v>3.15</v>
      </c>
      <c r="G509" s="7">
        <f t="shared" si="372"/>
        <v>6.0746031746031743</v>
      </c>
      <c r="H509" s="16">
        <f t="shared" si="373"/>
        <v>11.725396825396826</v>
      </c>
      <c r="I509" s="11">
        <f t="shared" si="327"/>
        <v>8.0851066780717365E-2</v>
      </c>
      <c r="J509" s="33">
        <f t="shared" si="328"/>
        <v>2.5667005327211861E-2</v>
      </c>
      <c r="K509" s="33">
        <f t="shared" si="374"/>
        <v>38.960524893794741</v>
      </c>
      <c r="L509" s="33">
        <f t="shared" si="375"/>
        <v>5.5184061453505504E-2</v>
      </c>
      <c r="M509" s="33">
        <f t="shared" si="376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69"/>
        <v>1508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9">
        <v>0</v>
      </c>
      <c r="AL509" s="30">
        <v>0</v>
      </c>
      <c r="AM509" s="21">
        <v>2000</v>
      </c>
      <c r="AN509" s="23"/>
      <c r="AO509" s="33" t="s">
        <v>107</v>
      </c>
      <c r="AP509" s="33" t="s">
        <v>107</v>
      </c>
      <c r="AQ509" s="33" t="s">
        <v>107</v>
      </c>
      <c r="AR509" s="43" t="s">
        <v>107</v>
      </c>
      <c r="AS509" s="33" t="s">
        <v>107</v>
      </c>
      <c r="AT509" s="43" t="s">
        <v>107</v>
      </c>
      <c r="AU509" s="42">
        <v>0.64</v>
      </c>
      <c r="AV509" s="18">
        <v>0.36</v>
      </c>
      <c r="AW509" t="s">
        <v>107</v>
      </c>
      <c r="AX509" s="40" t="s">
        <v>107</v>
      </c>
      <c r="AY509" t="s">
        <v>107</v>
      </c>
      <c r="AZ509" s="40" t="s">
        <v>107</v>
      </c>
      <c r="BB509" s="18"/>
      <c r="BC509">
        <v>1</v>
      </c>
      <c r="BD509" s="18">
        <v>0</v>
      </c>
      <c r="BE509" s="18" t="s">
        <v>5</v>
      </c>
      <c r="BL509" s="18"/>
      <c r="BO509" s="18"/>
      <c r="BR509" s="25">
        <v>35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1</v>
      </c>
      <c r="BY509">
        <v>0</v>
      </c>
      <c r="BZ509" s="18">
        <v>0</v>
      </c>
      <c r="CA509">
        <v>0</v>
      </c>
      <c r="CB509">
        <v>0</v>
      </c>
      <c r="CC509">
        <v>1</v>
      </c>
      <c r="CD509" s="18">
        <v>0</v>
      </c>
      <c r="CE509">
        <v>0</v>
      </c>
      <c r="CF509">
        <v>0</v>
      </c>
      <c r="CG509">
        <v>0</v>
      </c>
      <c r="CH509">
        <v>0</v>
      </c>
      <c r="CI509" s="18">
        <v>0</v>
      </c>
      <c r="CJ509">
        <v>0</v>
      </c>
      <c r="CK509">
        <v>0</v>
      </c>
      <c r="CL509">
        <v>1</v>
      </c>
      <c r="CM509">
        <v>1</v>
      </c>
      <c r="CN509">
        <v>0</v>
      </c>
      <c r="CO509">
        <v>0</v>
      </c>
      <c r="CP509">
        <v>1</v>
      </c>
      <c r="CQ509">
        <v>1</v>
      </c>
      <c r="CR509">
        <v>0</v>
      </c>
      <c r="CS509">
        <v>0</v>
      </c>
      <c r="CT509" s="18">
        <v>0</v>
      </c>
      <c r="CZ509" s="34" t="s">
        <v>87</v>
      </c>
    </row>
    <row r="510" spans="1:104" x14ac:dyDescent="0.25">
      <c r="A510">
        <v>509</v>
      </c>
      <c r="B510">
        <v>32</v>
      </c>
      <c r="C510" s="25" t="s">
        <v>324</v>
      </c>
      <c r="D510" s="12">
        <v>11.7</v>
      </c>
      <c r="E510" s="14">
        <f t="shared" si="377"/>
        <v>1.4516129032258063</v>
      </c>
      <c r="F510" s="7">
        <v>8.06</v>
      </c>
      <c r="G510" s="7">
        <f t="shared" si="372"/>
        <v>10.248387096774193</v>
      </c>
      <c r="H510" s="16">
        <f t="shared" si="373"/>
        <v>13.151612903225805</v>
      </c>
      <c r="I510" s="11">
        <f t="shared" si="327"/>
        <v>0.20322433235021214</v>
      </c>
      <c r="J510" s="33">
        <f t="shared" si="328"/>
        <v>2.5213937016155347E-2</v>
      </c>
      <c r="K510" s="33">
        <f t="shared" si="374"/>
        <v>39.66060513910498</v>
      </c>
      <c r="L510" s="33">
        <f t="shared" si="375"/>
        <v>0.1780103953340568</v>
      </c>
      <c r="M510" s="33">
        <f t="shared" si="376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69"/>
        <v>1508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9">
        <v>0</v>
      </c>
      <c r="AL510" s="30">
        <v>0</v>
      </c>
      <c r="AM510" s="21">
        <v>2000</v>
      </c>
      <c r="AN510" s="23"/>
      <c r="AO510" s="33" t="s">
        <v>107</v>
      </c>
      <c r="AP510" s="33" t="s">
        <v>107</v>
      </c>
      <c r="AQ510" s="33" t="s">
        <v>107</v>
      </c>
      <c r="AR510" s="43" t="s">
        <v>107</v>
      </c>
      <c r="AS510" s="33" t="s">
        <v>107</v>
      </c>
      <c r="AT510" s="43" t="s">
        <v>107</v>
      </c>
      <c r="AU510" s="42">
        <v>0.64</v>
      </c>
      <c r="AV510" s="18">
        <v>0.36</v>
      </c>
      <c r="AW510" t="s">
        <v>107</v>
      </c>
      <c r="AX510" s="40" t="s">
        <v>107</v>
      </c>
      <c r="AY510" t="s">
        <v>107</v>
      </c>
      <c r="AZ510" s="40" t="s">
        <v>107</v>
      </c>
      <c r="BB510" s="18"/>
      <c r="BC510">
        <v>1</v>
      </c>
      <c r="BD510" s="18">
        <v>0</v>
      </c>
      <c r="BE510" s="18" t="s">
        <v>5</v>
      </c>
      <c r="BL510" s="18"/>
      <c r="BO510" s="18"/>
      <c r="BR510" s="25">
        <v>35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1</v>
      </c>
      <c r="BY510">
        <v>0</v>
      </c>
      <c r="BZ510" s="18">
        <v>0</v>
      </c>
      <c r="CA510">
        <v>0</v>
      </c>
      <c r="CB510">
        <v>0</v>
      </c>
      <c r="CC510">
        <v>1</v>
      </c>
      <c r="CD510" s="18">
        <v>0</v>
      </c>
      <c r="CE510">
        <v>0</v>
      </c>
      <c r="CF510">
        <v>0</v>
      </c>
      <c r="CG510">
        <v>0</v>
      </c>
      <c r="CH510">
        <v>0</v>
      </c>
      <c r="CI510" s="18">
        <v>0</v>
      </c>
      <c r="CJ510">
        <v>0</v>
      </c>
      <c r="CK510">
        <v>0</v>
      </c>
      <c r="CL510">
        <v>1</v>
      </c>
      <c r="CM510">
        <v>1</v>
      </c>
      <c r="CN510">
        <v>0</v>
      </c>
      <c r="CO510">
        <v>0</v>
      </c>
      <c r="CP510">
        <v>1</v>
      </c>
      <c r="CQ510">
        <v>1</v>
      </c>
      <c r="CR510">
        <v>0</v>
      </c>
      <c r="CS510">
        <v>0</v>
      </c>
      <c r="CT510" s="18">
        <v>0</v>
      </c>
      <c r="CZ510" s="34" t="s">
        <v>87</v>
      </c>
    </row>
    <row r="511" spans="1:104" x14ac:dyDescent="0.25">
      <c r="A511">
        <v>510</v>
      </c>
      <c r="B511">
        <v>32</v>
      </c>
      <c r="C511" s="25" t="s">
        <v>324</v>
      </c>
      <c r="D511" s="12">
        <v>2.9</v>
      </c>
      <c r="E511" s="14">
        <f t="shared" si="377"/>
        <v>1.5025906735751295</v>
      </c>
      <c r="F511" s="7">
        <v>1.93</v>
      </c>
      <c r="G511" s="7">
        <f t="shared" si="372"/>
        <v>1.3974093264248704</v>
      </c>
      <c r="H511" s="16">
        <f t="shared" si="373"/>
        <v>4.4025906735751299</v>
      </c>
      <c r="I511" s="11">
        <f t="shared" si="327"/>
        <v>4.4245520473194209E-2</v>
      </c>
      <c r="J511" s="33">
        <f t="shared" si="328"/>
        <v>2.2925140141551403E-2</v>
      </c>
      <c r="K511" s="33">
        <f t="shared" si="374"/>
        <v>43.620234983319385</v>
      </c>
      <c r="L511" s="33">
        <f t="shared" si="375"/>
        <v>2.1320380331642807E-2</v>
      </c>
      <c r="M511" s="33">
        <f t="shared" si="376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69"/>
        <v>1899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9">
        <v>0</v>
      </c>
      <c r="AL511" s="30">
        <v>0</v>
      </c>
      <c r="AM511" s="21">
        <v>2000</v>
      </c>
      <c r="AN511" s="23"/>
      <c r="AO511" s="33" t="s">
        <v>107</v>
      </c>
      <c r="AP511" s="33" t="s">
        <v>107</v>
      </c>
      <c r="AQ511" s="33" t="s">
        <v>107</v>
      </c>
      <c r="AR511" s="43" t="s">
        <v>107</v>
      </c>
      <c r="AS511" s="33" t="s">
        <v>107</v>
      </c>
      <c r="AT511" s="43" t="s">
        <v>107</v>
      </c>
      <c r="AU511" s="42">
        <v>0.64</v>
      </c>
      <c r="AV511" s="18">
        <v>0.36</v>
      </c>
      <c r="AW511" t="s">
        <v>107</v>
      </c>
      <c r="AX511" s="40" t="s">
        <v>107</v>
      </c>
      <c r="AY511" t="s">
        <v>107</v>
      </c>
      <c r="AZ511" s="40" t="s">
        <v>107</v>
      </c>
      <c r="BB511" s="18"/>
      <c r="BC511">
        <v>1</v>
      </c>
      <c r="BD511" s="18">
        <v>0</v>
      </c>
      <c r="BE511" s="18" t="s">
        <v>5</v>
      </c>
      <c r="BL511" s="18"/>
      <c r="BO511" s="18"/>
      <c r="BR511" s="25">
        <v>35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1</v>
      </c>
      <c r="BY511">
        <v>0</v>
      </c>
      <c r="BZ511" s="18">
        <v>0</v>
      </c>
      <c r="CA511">
        <v>0</v>
      </c>
      <c r="CB511">
        <v>0</v>
      </c>
      <c r="CC511">
        <v>1</v>
      </c>
      <c r="CD511" s="18">
        <v>0</v>
      </c>
      <c r="CE511">
        <v>0</v>
      </c>
      <c r="CF511">
        <v>0</v>
      </c>
      <c r="CG511">
        <v>0</v>
      </c>
      <c r="CH511">
        <v>0</v>
      </c>
      <c r="CI511" s="18">
        <v>0</v>
      </c>
      <c r="CJ511">
        <v>0</v>
      </c>
      <c r="CK511">
        <v>0</v>
      </c>
      <c r="CL511">
        <v>1</v>
      </c>
      <c r="CM511">
        <v>1</v>
      </c>
      <c r="CN511">
        <v>0</v>
      </c>
      <c r="CO511">
        <v>0</v>
      </c>
      <c r="CP511">
        <v>1</v>
      </c>
      <c r="CQ511">
        <v>1</v>
      </c>
      <c r="CR511">
        <v>0</v>
      </c>
      <c r="CS511">
        <v>0</v>
      </c>
      <c r="CT511" s="18">
        <v>0</v>
      </c>
      <c r="CZ511" s="34" t="s">
        <v>87</v>
      </c>
    </row>
    <row r="512" spans="1:104" x14ac:dyDescent="0.25">
      <c r="A512">
        <v>511</v>
      </c>
      <c r="B512">
        <v>32</v>
      </c>
      <c r="C512" s="25" t="s">
        <v>324</v>
      </c>
      <c r="D512" s="12">
        <v>2.6</v>
      </c>
      <c r="E512" s="14">
        <f t="shared" si="377"/>
        <v>1.8978102189781021</v>
      </c>
      <c r="F512" s="7">
        <v>1.37</v>
      </c>
      <c r="G512" s="7">
        <f t="shared" si="372"/>
        <v>0.702189781021898</v>
      </c>
      <c r="H512" s="16">
        <f t="shared" si="373"/>
        <v>4.4978102189781026</v>
      </c>
      <c r="I512" s="11">
        <f t="shared" si="327"/>
        <v>3.1422705174053607E-2</v>
      </c>
      <c r="J512" s="33">
        <f t="shared" si="328"/>
        <v>2.2936281148944235E-2</v>
      </c>
      <c r="K512" s="33">
        <f t="shared" si="374"/>
        <v>43.599047007933557</v>
      </c>
      <c r="L512" s="33">
        <f t="shared" si="375"/>
        <v>8.4864240251093723E-3</v>
      </c>
      <c r="M512" s="33">
        <f t="shared" si="376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69"/>
        <v>1899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9">
        <v>0</v>
      </c>
      <c r="AL512" s="30">
        <v>0</v>
      </c>
      <c r="AM512" s="21">
        <v>2000</v>
      </c>
      <c r="AN512" s="23"/>
      <c r="AO512" s="33" t="s">
        <v>107</v>
      </c>
      <c r="AP512" s="33" t="s">
        <v>107</v>
      </c>
      <c r="AQ512" s="33" t="s">
        <v>107</v>
      </c>
      <c r="AR512" s="43" t="s">
        <v>107</v>
      </c>
      <c r="AS512" s="33" t="s">
        <v>107</v>
      </c>
      <c r="AT512" s="43" t="s">
        <v>107</v>
      </c>
      <c r="AU512" s="42">
        <v>0.64</v>
      </c>
      <c r="AV512" s="18">
        <v>0.36</v>
      </c>
      <c r="AW512" t="s">
        <v>107</v>
      </c>
      <c r="AX512" s="40" t="s">
        <v>107</v>
      </c>
      <c r="AY512" t="s">
        <v>107</v>
      </c>
      <c r="AZ512" s="40" t="s">
        <v>107</v>
      </c>
      <c r="BB512" s="18"/>
      <c r="BC512">
        <v>1</v>
      </c>
      <c r="BD512" s="18">
        <v>0</v>
      </c>
      <c r="BE512" s="18" t="s">
        <v>5</v>
      </c>
      <c r="BL512" s="18"/>
      <c r="BO512" s="18"/>
      <c r="BR512" s="25">
        <v>35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1</v>
      </c>
      <c r="BY512">
        <v>0</v>
      </c>
      <c r="BZ512" s="18">
        <v>0</v>
      </c>
      <c r="CA512">
        <v>0</v>
      </c>
      <c r="CB512">
        <v>0</v>
      </c>
      <c r="CC512">
        <v>1</v>
      </c>
      <c r="CD512" s="18">
        <v>0</v>
      </c>
      <c r="CE512">
        <v>0</v>
      </c>
      <c r="CF512">
        <v>0</v>
      </c>
      <c r="CG512">
        <v>0</v>
      </c>
      <c r="CH512">
        <v>0</v>
      </c>
      <c r="CI512" s="18">
        <v>0</v>
      </c>
      <c r="CJ512">
        <v>0</v>
      </c>
      <c r="CK512">
        <v>0</v>
      </c>
      <c r="CL512">
        <v>1</v>
      </c>
      <c r="CM512">
        <v>1</v>
      </c>
      <c r="CN512">
        <v>0</v>
      </c>
      <c r="CO512">
        <v>0</v>
      </c>
      <c r="CP512">
        <v>1</v>
      </c>
      <c r="CQ512">
        <v>1</v>
      </c>
      <c r="CR512">
        <v>0</v>
      </c>
      <c r="CS512">
        <v>0</v>
      </c>
      <c r="CT512" s="18">
        <v>0</v>
      </c>
      <c r="CZ512" s="34" t="s">
        <v>87</v>
      </c>
    </row>
    <row r="513" spans="1:104" x14ac:dyDescent="0.25">
      <c r="A513">
        <v>512</v>
      </c>
      <c r="B513">
        <v>32</v>
      </c>
      <c r="C513" s="25" t="s">
        <v>324</v>
      </c>
      <c r="D513" s="12">
        <v>-1</v>
      </c>
      <c r="E513" s="14">
        <f t="shared" si="377"/>
        <v>3.8461538461538458</v>
      </c>
      <c r="F513" s="7">
        <v>-0.26</v>
      </c>
      <c r="G513" s="7">
        <f t="shared" si="372"/>
        <v>-4.8461538461538458</v>
      </c>
      <c r="H513" s="16">
        <f t="shared" si="373"/>
        <v>2.8461538461538458</v>
      </c>
      <c r="I513" s="11">
        <f t="shared" si="327"/>
        <v>-5.966273195313905E-3</v>
      </c>
      <c r="J513" s="33">
        <f t="shared" si="328"/>
        <v>2.294720459736117E-2</v>
      </c>
      <c r="K513" s="33">
        <f t="shared" si="374"/>
        <v>43.578292761419654</v>
      </c>
      <c r="L513" s="33">
        <f t="shared" si="375"/>
        <v>-2.8913477792675075E-2</v>
      </c>
      <c r="M513" s="33">
        <f t="shared" si="376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69"/>
        <v>1899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9">
        <v>0</v>
      </c>
      <c r="AL513" s="30">
        <v>0</v>
      </c>
      <c r="AM513" s="21">
        <v>2000</v>
      </c>
      <c r="AN513" s="23"/>
      <c r="AO513" s="33" t="s">
        <v>107</v>
      </c>
      <c r="AP513" s="33" t="s">
        <v>107</v>
      </c>
      <c r="AQ513" s="33" t="s">
        <v>107</v>
      </c>
      <c r="AR513" s="43" t="s">
        <v>107</v>
      </c>
      <c r="AS513" s="33" t="s">
        <v>107</v>
      </c>
      <c r="AT513" s="43" t="s">
        <v>107</v>
      </c>
      <c r="AU513" s="42">
        <v>0.64</v>
      </c>
      <c r="AV513" s="18">
        <v>0.36</v>
      </c>
      <c r="AW513" t="s">
        <v>107</v>
      </c>
      <c r="AX513" s="40" t="s">
        <v>107</v>
      </c>
      <c r="AY513" t="s">
        <v>107</v>
      </c>
      <c r="AZ513" s="40" t="s">
        <v>107</v>
      </c>
      <c r="BB513" s="18"/>
      <c r="BC513">
        <v>1</v>
      </c>
      <c r="BD513" s="18">
        <v>0</v>
      </c>
      <c r="BE513" s="18" t="s">
        <v>5</v>
      </c>
      <c r="BL513" s="18"/>
      <c r="BO513" s="18"/>
      <c r="BR513" s="25">
        <v>35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1</v>
      </c>
      <c r="BY513">
        <v>0</v>
      </c>
      <c r="BZ513" s="18">
        <v>0</v>
      </c>
      <c r="CA513">
        <v>0</v>
      </c>
      <c r="CB513">
        <v>0</v>
      </c>
      <c r="CC513">
        <v>1</v>
      </c>
      <c r="CD513" s="18">
        <v>0</v>
      </c>
      <c r="CE513">
        <v>0</v>
      </c>
      <c r="CF513">
        <v>0</v>
      </c>
      <c r="CG513">
        <v>0</v>
      </c>
      <c r="CH513">
        <v>0</v>
      </c>
      <c r="CI513" s="18">
        <v>0</v>
      </c>
      <c r="CJ513">
        <v>0</v>
      </c>
      <c r="CK513">
        <v>0</v>
      </c>
      <c r="CL513">
        <v>1</v>
      </c>
      <c r="CM513">
        <v>1</v>
      </c>
      <c r="CN513">
        <v>0</v>
      </c>
      <c r="CO513">
        <v>0</v>
      </c>
      <c r="CP513">
        <v>1</v>
      </c>
      <c r="CQ513">
        <v>1</v>
      </c>
      <c r="CR513">
        <v>0</v>
      </c>
      <c r="CS513">
        <v>0</v>
      </c>
      <c r="CT513" s="18">
        <v>0</v>
      </c>
      <c r="CZ513" s="34" t="s">
        <v>87</v>
      </c>
    </row>
    <row r="514" spans="1:104" x14ac:dyDescent="0.25">
      <c r="A514">
        <v>513</v>
      </c>
      <c r="B514">
        <v>32</v>
      </c>
      <c r="C514" s="25" t="s">
        <v>324</v>
      </c>
      <c r="D514" s="12">
        <v>3.9</v>
      </c>
      <c r="E514" s="14">
        <f t="shared" si="377"/>
        <v>1.9509754877438719</v>
      </c>
      <c r="F514" s="7">
        <v>1.9990000000000001</v>
      </c>
      <c r="G514" s="7">
        <f t="shared" si="372"/>
        <v>1.949024512256128</v>
      </c>
      <c r="H514" s="16">
        <f t="shared" si="373"/>
        <v>5.850975487743872</v>
      </c>
      <c r="I514" s="11">
        <f t="shared" ref="I514:I577" si="378">IFERROR(F514/SQRT(F514^2+W514), "X")</f>
        <v>6.2621945271200061E-2</v>
      </c>
      <c r="J514" s="33">
        <f t="shared" ref="J514:J577" si="379">IFERROR(SQRT((1-I514^2)/W514), "X")</f>
        <v>3.132663595357682E-2</v>
      </c>
      <c r="K514" s="33">
        <f t="shared" si="374"/>
        <v>31.921716761477601</v>
      </c>
      <c r="L514" s="33">
        <f t="shared" si="375"/>
        <v>3.1295309317623241E-2</v>
      </c>
      <c r="M514" s="33">
        <f t="shared" si="376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69"/>
        <v>1015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9">
        <v>0</v>
      </c>
      <c r="AL514" s="30">
        <v>0</v>
      </c>
      <c r="AM514" s="21">
        <v>2000</v>
      </c>
      <c r="AN514" s="23"/>
      <c r="AO514" s="33" t="s">
        <v>107</v>
      </c>
      <c r="AP514" s="33" t="s">
        <v>107</v>
      </c>
      <c r="AQ514" s="33" t="s">
        <v>107</v>
      </c>
      <c r="AR514" s="43" t="s">
        <v>107</v>
      </c>
      <c r="AS514" s="33" t="s">
        <v>107</v>
      </c>
      <c r="AT514" s="43" t="s">
        <v>107</v>
      </c>
      <c r="AU514" s="42">
        <v>0.64</v>
      </c>
      <c r="AV514" s="18">
        <v>0.36</v>
      </c>
      <c r="AW514" t="s">
        <v>107</v>
      </c>
      <c r="AX514" s="40" t="s">
        <v>107</v>
      </c>
      <c r="AY514" t="s">
        <v>107</v>
      </c>
      <c r="AZ514" s="40" t="s">
        <v>107</v>
      </c>
      <c r="BB514" s="18"/>
      <c r="BC514">
        <v>1</v>
      </c>
      <c r="BD514" s="18">
        <v>0</v>
      </c>
      <c r="BE514" s="18" t="s">
        <v>5</v>
      </c>
      <c r="BL514" s="18"/>
      <c r="BO514" s="18"/>
      <c r="BR514" s="25">
        <v>35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1</v>
      </c>
      <c r="BY514">
        <v>0</v>
      </c>
      <c r="BZ514" s="18">
        <v>0</v>
      </c>
      <c r="CA514">
        <v>0</v>
      </c>
      <c r="CB514">
        <v>0</v>
      </c>
      <c r="CC514">
        <v>1</v>
      </c>
      <c r="CD514" s="18">
        <v>0</v>
      </c>
      <c r="CE514">
        <v>0</v>
      </c>
      <c r="CF514">
        <v>0</v>
      </c>
      <c r="CG514">
        <v>0</v>
      </c>
      <c r="CH514">
        <v>0</v>
      </c>
      <c r="CI514" s="18">
        <v>0</v>
      </c>
      <c r="CJ514">
        <v>0</v>
      </c>
      <c r="CK514">
        <v>0</v>
      </c>
      <c r="CL514">
        <v>1</v>
      </c>
      <c r="CM514">
        <v>1</v>
      </c>
      <c r="CN514">
        <v>0</v>
      </c>
      <c r="CO514">
        <v>0</v>
      </c>
      <c r="CP514">
        <v>1</v>
      </c>
      <c r="CQ514">
        <v>1</v>
      </c>
      <c r="CR514">
        <v>0</v>
      </c>
      <c r="CS514">
        <v>0</v>
      </c>
      <c r="CT514" s="18">
        <v>0</v>
      </c>
      <c r="CZ514" s="34" t="s">
        <v>87</v>
      </c>
    </row>
    <row r="515" spans="1:104" x14ac:dyDescent="0.25">
      <c r="A515">
        <v>514</v>
      </c>
      <c r="B515">
        <v>32</v>
      </c>
      <c r="C515" s="25" t="s">
        <v>324</v>
      </c>
      <c r="D515" s="12">
        <v>7.4</v>
      </c>
      <c r="E515" s="14">
        <f t="shared" si="377"/>
        <v>1.1297709923664123</v>
      </c>
      <c r="F515" s="7">
        <v>6.55</v>
      </c>
      <c r="G515" s="7">
        <f t="shared" si="372"/>
        <v>6.2702290076335885</v>
      </c>
      <c r="H515" s="16">
        <f t="shared" si="373"/>
        <v>8.5297709923664122</v>
      </c>
      <c r="I515" s="11">
        <f t="shared" si="378"/>
        <v>0.20138099312014243</v>
      </c>
      <c r="J515" s="33">
        <f t="shared" si="379"/>
        <v>3.0745189789334722E-2</v>
      </c>
      <c r="K515" s="33">
        <f t="shared" si="374"/>
        <v>32.52541314111167</v>
      </c>
      <c r="L515" s="33">
        <f t="shared" si="375"/>
        <v>0.17063580333080772</v>
      </c>
      <c r="M515" s="33">
        <f t="shared" si="376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69"/>
        <v>1015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9">
        <v>0</v>
      </c>
      <c r="AL515" s="30">
        <v>0</v>
      </c>
      <c r="AM515" s="21">
        <v>2000</v>
      </c>
      <c r="AN515" s="23"/>
      <c r="AO515" s="33" t="s">
        <v>107</v>
      </c>
      <c r="AP515" s="33" t="s">
        <v>107</v>
      </c>
      <c r="AQ515" s="33" t="s">
        <v>107</v>
      </c>
      <c r="AR515" s="43" t="s">
        <v>107</v>
      </c>
      <c r="AS515" s="33" t="s">
        <v>107</v>
      </c>
      <c r="AT515" s="43" t="s">
        <v>107</v>
      </c>
      <c r="AU515" s="42">
        <v>0.64</v>
      </c>
      <c r="AV515" s="18">
        <v>0.36</v>
      </c>
      <c r="AW515" t="s">
        <v>107</v>
      </c>
      <c r="AX515" s="40" t="s">
        <v>107</v>
      </c>
      <c r="AY515" t="s">
        <v>107</v>
      </c>
      <c r="AZ515" s="40" t="s">
        <v>107</v>
      </c>
      <c r="BB515" s="18"/>
      <c r="BC515">
        <v>1</v>
      </c>
      <c r="BD515" s="18">
        <v>0</v>
      </c>
      <c r="BE515" s="18" t="s">
        <v>5</v>
      </c>
      <c r="BL515" s="18"/>
      <c r="BO515" s="18"/>
      <c r="BR515" s="25">
        <v>35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1</v>
      </c>
      <c r="BY515">
        <v>0</v>
      </c>
      <c r="BZ515" s="18">
        <v>0</v>
      </c>
      <c r="CA515">
        <v>0</v>
      </c>
      <c r="CB515">
        <v>0</v>
      </c>
      <c r="CC515">
        <v>1</v>
      </c>
      <c r="CD515" s="18">
        <v>0</v>
      </c>
      <c r="CE515">
        <v>0</v>
      </c>
      <c r="CF515">
        <v>0</v>
      </c>
      <c r="CG515">
        <v>0</v>
      </c>
      <c r="CH515">
        <v>0</v>
      </c>
      <c r="CI515" s="18">
        <v>0</v>
      </c>
      <c r="CJ515">
        <v>0</v>
      </c>
      <c r="CK515">
        <v>0</v>
      </c>
      <c r="CL515">
        <v>1</v>
      </c>
      <c r="CM515">
        <v>1</v>
      </c>
      <c r="CN515">
        <v>0</v>
      </c>
      <c r="CO515">
        <v>0</v>
      </c>
      <c r="CP515">
        <v>1</v>
      </c>
      <c r="CQ515">
        <v>1</v>
      </c>
      <c r="CR515">
        <v>0</v>
      </c>
      <c r="CS515">
        <v>0</v>
      </c>
      <c r="CT515" s="18">
        <v>0</v>
      </c>
      <c r="CZ515" s="34" t="s">
        <v>87</v>
      </c>
    </row>
    <row r="516" spans="1:104" x14ac:dyDescent="0.25">
      <c r="A516">
        <v>515</v>
      </c>
      <c r="B516">
        <v>32</v>
      </c>
      <c r="C516" s="25" t="s">
        <v>324</v>
      </c>
      <c r="D516" s="12">
        <v>6</v>
      </c>
      <c r="E516" s="14">
        <f t="shared" si="377"/>
        <v>3.333333333333333</v>
      </c>
      <c r="F516" s="7">
        <v>1.8</v>
      </c>
      <c r="G516" s="7">
        <f t="shared" si="372"/>
        <v>2.666666666666667</v>
      </c>
      <c r="H516" s="16">
        <f t="shared" si="373"/>
        <v>9.3333333333333321</v>
      </c>
      <c r="I516" s="11">
        <f t="shared" si="378"/>
        <v>6.9683742661882223E-2</v>
      </c>
      <c r="J516" s="33">
        <f t="shared" si="379"/>
        <v>3.8713190367712341E-2</v>
      </c>
      <c r="K516" s="33">
        <f t="shared" si="374"/>
        <v>25.830989140952386</v>
      </c>
      <c r="L516" s="33">
        <f t="shared" si="375"/>
        <v>3.0970552294169881E-2</v>
      </c>
      <c r="M516" s="33">
        <f t="shared" si="376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69"/>
        <v>664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9">
        <v>0</v>
      </c>
      <c r="AL516" s="30">
        <v>0</v>
      </c>
      <c r="AM516" s="21">
        <v>2000</v>
      </c>
      <c r="AN516" s="23"/>
      <c r="AO516" s="33" t="s">
        <v>107</v>
      </c>
      <c r="AP516" s="33" t="s">
        <v>107</v>
      </c>
      <c r="AQ516" s="33" t="s">
        <v>107</v>
      </c>
      <c r="AR516" s="43" t="s">
        <v>107</v>
      </c>
      <c r="AS516" s="33" t="s">
        <v>107</v>
      </c>
      <c r="AT516" s="43" t="s">
        <v>107</v>
      </c>
      <c r="AU516" s="42">
        <v>0.64</v>
      </c>
      <c r="AV516" s="18">
        <v>0.36</v>
      </c>
      <c r="AW516" t="s">
        <v>107</v>
      </c>
      <c r="AX516" s="40" t="s">
        <v>107</v>
      </c>
      <c r="AY516" t="s">
        <v>107</v>
      </c>
      <c r="AZ516" s="40" t="s">
        <v>107</v>
      </c>
      <c r="BB516" s="18"/>
      <c r="BC516">
        <v>1</v>
      </c>
      <c r="BD516" s="18">
        <v>0</v>
      </c>
      <c r="BE516" s="18" t="s">
        <v>5</v>
      </c>
      <c r="BL516" s="18"/>
      <c r="BO516" s="18"/>
      <c r="BR516" s="25">
        <v>35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1</v>
      </c>
      <c r="BY516">
        <v>0</v>
      </c>
      <c r="BZ516" s="18">
        <v>0</v>
      </c>
      <c r="CA516">
        <v>0</v>
      </c>
      <c r="CB516">
        <v>0</v>
      </c>
      <c r="CC516">
        <v>1</v>
      </c>
      <c r="CD516" s="18">
        <v>0</v>
      </c>
      <c r="CE516">
        <v>0</v>
      </c>
      <c r="CF516">
        <v>0</v>
      </c>
      <c r="CG516">
        <v>0</v>
      </c>
      <c r="CH516">
        <v>0</v>
      </c>
      <c r="CI516" s="18">
        <v>0</v>
      </c>
      <c r="CJ516">
        <v>0</v>
      </c>
      <c r="CK516">
        <v>0</v>
      </c>
      <c r="CL516">
        <v>1</v>
      </c>
      <c r="CM516">
        <v>1</v>
      </c>
      <c r="CN516">
        <v>0</v>
      </c>
      <c r="CO516">
        <v>0</v>
      </c>
      <c r="CP516">
        <v>1</v>
      </c>
      <c r="CQ516">
        <v>1</v>
      </c>
      <c r="CR516">
        <v>0</v>
      </c>
      <c r="CS516">
        <v>0</v>
      </c>
      <c r="CT516" s="18">
        <v>0</v>
      </c>
      <c r="CZ516" s="34" t="s">
        <v>87</v>
      </c>
    </row>
    <row r="517" spans="1:104" s="52" customFormat="1" x14ac:dyDescent="0.25">
      <c r="A517" s="52">
        <v>516</v>
      </c>
      <c r="B517" s="52">
        <v>32</v>
      </c>
      <c r="C517" s="53" t="s">
        <v>324</v>
      </c>
      <c r="D517" s="54">
        <v>11.5</v>
      </c>
      <c r="E517" s="55">
        <f t="shared" si="377"/>
        <v>1.4631043256997456</v>
      </c>
      <c r="F517" s="56">
        <v>7.86</v>
      </c>
      <c r="G517" s="56">
        <f t="shared" si="372"/>
        <v>10.036895674300254</v>
      </c>
      <c r="H517" s="57">
        <f t="shared" si="373"/>
        <v>12.963104325699746</v>
      </c>
      <c r="I517" s="58">
        <f t="shared" si="378"/>
        <v>0.29175624950447748</v>
      </c>
      <c r="J517" s="59">
        <f t="shared" si="379"/>
        <v>3.7119115713037845E-2</v>
      </c>
      <c r="K517" s="59">
        <f t="shared" si="374"/>
        <v>26.940296954562324</v>
      </c>
      <c r="L517" s="59">
        <f t="shared" si="375"/>
        <v>0.25463713379143965</v>
      </c>
      <c r="M517" s="59">
        <f t="shared" si="376"/>
        <v>0.32887536521751531</v>
      </c>
      <c r="N517" s="60">
        <v>1</v>
      </c>
      <c r="O517" s="61">
        <v>0</v>
      </c>
      <c r="P517" s="60">
        <v>1</v>
      </c>
      <c r="Q517" s="61">
        <v>0</v>
      </c>
      <c r="R517" s="61">
        <v>0</v>
      </c>
      <c r="S517" s="61">
        <v>0</v>
      </c>
      <c r="T517" s="61">
        <v>0</v>
      </c>
      <c r="U517" s="60">
        <v>672</v>
      </c>
      <c r="V517" s="61">
        <v>7</v>
      </c>
      <c r="W517" s="61">
        <f t="shared" si="369"/>
        <v>664</v>
      </c>
      <c r="X517" s="61"/>
      <c r="Y517" s="56">
        <v>7.68</v>
      </c>
      <c r="Z517" s="56">
        <v>17.46</v>
      </c>
      <c r="AA517" s="61">
        <v>1</v>
      </c>
      <c r="AB517" s="61">
        <v>0</v>
      </c>
      <c r="AC517" s="61">
        <v>0</v>
      </c>
      <c r="AD517" s="61">
        <v>1</v>
      </c>
      <c r="AE517" s="61">
        <v>0</v>
      </c>
      <c r="AF517" s="61">
        <v>0</v>
      </c>
      <c r="AG517" s="60">
        <v>1</v>
      </c>
      <c r="AH517" s="61">
        <v>0</v>
      </c>
      <c r="AI517" s="62">
        <v>0</v>
      </c>
      <c r="AJ517" s="61">
        <v>1</v>
      </c>
      <c r="AK517" s="61">
        <v>0</v>
      </c>
      <c r="AL517" s="62">
        <v>0</v>
      </c>
      <c r="AM517" s="63">
        <v>2000</v>
      </c>
      <c r="AN517" s="64"/>
      <c r="AO517" s="59" t="s">
        <v>107</v>
      </c>
      <c r="AP517" s="59" t="s">
        <v>107</v>
      </c>
      <c r="AQ517" s="59" t="s">
        <v>107</v>
      </c>
      <c r="AR517" s="65" t="s">
        <v>107</v>
      </c>
      <c r="AS517" s="59" t="s">
        <v>107</v>
      </c>
      <c r="AT517" s="65" t="s">
        <v>107</v>
      </c>
      <c r="AU517" s="66">
        <v>0.64</v>
      </c>
      <c r="AV517" s="67">
        <v>0.36</v>
      </c>
      <c r="AW517" s="52" t="s">
        <v>107</v>
      </c>
      <c r="AX517" s="68" t="s">
        <v>107</v>
      </c>
      <c r="AY517" s="52" t="s">
        <v>107</v>
      </c>
      <c r="AZ517" s="68" t="s">
        <v>107</v>
      </c>
      <c r="BB517" s="67"/>
      <c r="BC517" s="52">
        <v>1</v>
      </c>
      <c r="BD517" s="67">
        <v>0</v>
      </c>
      <c r="BE517" s="67" t="s">
        <v>5</v>
      </c>
      <c r="BL517" s="67"/>
      <c r="BO517" s="67"/>
      <c r="BR517" s="53">
        <v>35</v>
      </c>
      <c r="BS517" s="52">
        <v>0</v>
      </c>
      <c r="BT517" s="52">
        <v>0</v>
      </c>
      <c r="BU517" s="52">
        <v>0</v>
      </c>
      <c r="BV517" s="52">
        <v>0</v>
      </c>
      <c r="BW517" s="52">
        <v>0</v>
      </c>
      <c r="BX517" s="52">
        <v>1</v>
      </c>
      <c r="BY517" s="52">
        <v>0</v>
      </c>
      <c r="BZ517" s="67">
        <v>0</v>
      </c>
      <c r="CA517" s="52">
        <v>0</v>
      </c>
      <c r="CB517" s="52">
        <v>0</v>
      </c>
      <c r="CC517" s="52">
        <v>1</v>
      </c>
      <c r="CD517" s="67">
        <v>0</v>
      </c>
      <c r="CE517" s="52">
        <v>0</v>
      </c>
      <c r="CF517" s="52">
        <v>0</v>
      </c>
      <c r="CG517" s="52">
        <v>0</v>
      </c>
      <c r="CH517" s="52">
        <v>0</v>
      </c>
      <c r="CI517" s="67">
        <v>0</v>
      </c>
      <c r="CJ517" s="52">
        <v>0</v>
      </c>
      <c r="CK517" s="52">
        <v>0</v>
      </c>
      <c r="CL517" s="52">
        <v>1</v>
      </c>
      <c r="CM517" s="52">
        <v>1</v>
      </c>
      <c r="CN517" s="52">
        <v>0</v>
      </c>
      <c r="CO517" s="52">
        <v>0</v>
      </c>
      <c r="CP517" s="52">
        <v>1</v>
      </c>
      <c r="CQ517" s="52">
        <v>1</v>
      </c>
      <c r="CR517" s="52">
        <v>0</v>
      </c>
      <c r="CS517" s="52">
        <v>0</v>
      </c>
      <c r="CT517" s="67">
        <v>0</v>
      </c>
      <c r="CY517" s="53"/>
      <c r="CZ517" s="69" t="s">
        <v>87</v>
      </c>
    </row>
    <row r="518" spans="1:104" x14ac:dyDescent="0.25">
      <c r="A518">
        <v>517</v>
      </c>
      <c r="B518">
        <v>33</v>
      </c>
      <c r="C518" s="25" t="s">
        <v>326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80">D518-E518</f>
        <v>6.23</v>
      </c>
      <c r="H518" s="16">
        <f t="shared" ref="H518:H523" si="381">D518+E518</f>
        <v>7.01</v>
      </c>
      <c r="I518" s="11">
        <f t="shared" si="378"/>
        <v>0.7442826674266283</v>
      </c>
      <c r="J518" s="33">
        <f t="shared" si="379"/>
        <v>4.3847468322716771E-2</v>
      </c>
      <c r="K518" s="33">
        <f t="shared" ref="K518:K523" si="382">IFERROR(1/J518, "X")</f>
        <v>22.806333826163318</v>
      </c>
      <c r="L518" s="33">
        <f t="shared" ref="L518:L523" si="383">IFERROR(I518-J518, "X")</f>
        <v>0.7004351991039115</v>
      </c>
      <c r="M518" s="33">
        <f t="shared" ref="M518:M523" si="384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69"/>
        <v>232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9">
        <v>0</v>
      </c>
      <c r="AL518" s="30">
        <v>0</v>
      </c>
      <c r="AM518" s="21">
        <v>2017</v>
      </c>
      <c r="AN518" s="7">
        <v>534.59439714285702</v>
      </c>
      <c r="AO518" s="33">
        <v>0</v>
      </c>
      <c r="AP518" s="33">
        <v>0</v>
      </c>
      <c r="AQ518" s="33">
        <v>0.185</v>
      </c>
      <c r="AR518" s="43">
        <f>1-AQ518</f>
        <v>0.81499999999999995</v>
      </c>
      <c r="AS518" s="33" t="s">
        <v>107</v>
      </c>
      <c r="AT518" s="43" t="s">
        <v>107</v>
      </c>
      <c r="AU518" s="42">
        <v>1</v>
      </c>
      <c r="AV518" s="18">
        <v>0</v>
      </c>
      <c r="AW518">
        <v>0.36969999999999997</v>
      </c>
      <c r="AX518" s="40">
        <v>0.63029999999999997</v>
      </c>
      <c r="AY518">
        <v>0</v>
      </c>
      <c r="AZ518" s="40">
        <v>1</v>
      </c>
      <c r="BB518" s="18"/>
      <c r="BC518">
        <v>0</v>
      </c>
      <c r="BD518" s="18">
        <v>1</v>
      </c>
      <c r="BE518" s="18" t="s">
        <v>11</v>
      </c>
      <c r="BL518" s="18"/>
      <c r="BO518" s="18"/>
      <c r="BR518" s="25">
        <v>40.193300000000001</v>
      </c>
      <c r="BS518">
        <v>1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0</v>
      </c>
      <c r="BZ518" s="18">
        <v>0</v>
      </c>
      <c r="CA518">
        <v>0</v>
      </c>
      <c r="CB518">
        <v>0</v>
      </c>
      <c r="CC518">
        <v>1</v>
      </c>
      <c r="CD518" s="18">
        <v>0</v>
      </c>
      <c r="CE518">
        <v>0</v>
      </c>
      <c r="CF518">
        <v>0</v>
      </c>
      <c r="CG518">
        <v>0</v>
      </c>
      <c r="CH518">
        <v>0</v>
      </c>
      <c r="CI518" s="18">
        <v>0</v>
      </c>
      <c r="CJ518">
        <v>0</v>
      </c>
      <c r="CK518">
        <v>0</v>
      </c>
      <c r="CL518">
        <v>1</v>
      </c>
      <c r="CM518">
        <v>1</v>
      </c>
      <c r="CN518">
        <v>0</v>
      </c>
      <c r="CO518">
        <v>0</v>
      </c>
      <c r="CP518">
        <v>1</v>
      </c>
      <c r="CQ518">
        <v>0</v>
      </c>
      <c r="CR518">
        <v>0</v>
      </c>
      <c r="CS518">
        <v>0</v>
      </c>
      <c r="CT518" s="18">
        <v>0</v>
      </c>
      <c r="CZ518" s="34" t="s">
        <v>87</v>
      </c>
    </row>
    <row r="519" spans="1:104" x14ac:dyDescent="0.25">
      <c r="A519">
        <v>518</v>
      </c>
      <c r="B519">
        <v>33</v>
      </c>
      <c r="C519" s="25" t="s">
        <v>326</v>
      </c>
      <c r="D519" s="12">
        <v>9.9700000000000006</v>
      </c>
      <c r="E519" s="14">
        <v>1.1100000000000001</v>
      </c>
      <c r="F519" s="7">
        <f t="shared" ref="F519:F523" si="385">D519/E519</f>
        <v>8.9819819819819813</v>
      </c>
      <c r="G519" s="7">
        <f t="shared" si="380"/>
        <v>8.8600000000000012</v>
      </c>
      <c r="H519" s="16">
        <f t="shared" si="381"/>
        <v>11.08</v>
      </c>
      <c r="I519" s="11">
        <f t="shared" si="378"/>
        <v>0.51040909554348857</v>
      </c>
      <c r="J519" s="33">
        <f t="shared" si="379"/>
        <v>5.6825887267128616E-2</v>
      </c>
      <c r="K519" s="33">
        <f t="shared" si="382"/>
        <v>17.597613483783789</v>
      </c>
      <c r="L519" s="33">
        <f t="shared" si="383"/>
        <v>0.45358320827635995</v>
      </c>
      <c r="M519" s="33">
        <f t="shared" si="384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69"/>
        <v>229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9">
        <v>0</v>
      </c>
      <c r="AL519" s="30">
        <v>0</v>
      </c>
      <c r="AM519" s="21">
        <v>2017</v>
      </c>
      <c r="AN519" s="7">
        <v>534.59439714285702</v>
      </c>
      <c r="AO519" s="33">
        <v>0</v>
      </c>
      <c r="AP519" s="33">
        <v>0</v>
      </c>
      <c r="AQ519" s="33">
        <v>0.185</v>
      </c>
      <c r="AR519" s="43">
        <f t="shared" ref="AR519:AR523" si="386">1-AQ519</f>
        <v>0.81499999999999995</v>
      </c>
      <c r="AS519" s="33" t="s">
        <v>107</v>
      </c>
      <c r="AT519" s="43" t="s">
        <v>107</v>
      </c>
      <c r="AU519" s="42">
        <v>1</v>
      </c>
      <c r="AV519" s="18">
        <v>0</v>
      </c>
      <c r="AW519">
        <v>0.36969999999999997</v>
      </c>
      <c r="AX519" s="40">
        <v>0.63029999999999997</v>
      </c>
      <c r="AY519">
        <v>0</v>
      </c>
      <c r="AZ519" s="40">
        <v>1</v>
      </c>
      <c r="BB519" s="18"/>
      <c r="BC519">
        <v>0</v>
      </c>
      <c r="BD519" s="18">
        <v>1</v>
      </c>
      <c r="BE519" s="18" t="s">
        <v>11</v>
      </c>
      <c r="BL519" s="18"/>
      <c r="BO519" s="18"/>
      <c r="BR519" s="25">
        <v>40.193300000000001</v>
      </c>
      <c r="BS519">
        <v>0</v>
      </c>
      <c r="BT519">
        <v>0</v>
      </c>
      <c r="BU519">
        <v>0</v>
      </c>
      <c r="BV519">
        <v>0</v>
      </c>
      <c r="BW519">
        <v>1</v>
      </c>
      <c r="BX519">
        <v>0</v>
      </c>
      <c r="BY519">
        <v>0</v>
      </c>
      <c r="BZ519" s="18">
        <v>0</v>
      </c>
      <c r="CA519">
        <v>1</v>
      </c>
      <c r="CB519">
        <v>0</v>
      </c>
      <c r="CC519">
        <v>0</v>
      </c>
      <c r="CD519" s="18">
        <v>0</v>
      </c>
      <c r="CE519">
        <v>0</v>
      </c>
      <c r="CF519">
        <v>0</v>
      </c>
      <c r="CG519">
        <v>0</v>
      </c>
      <c r="CH519">
        <v>1</v>
      </c>
      <c r="CI519" s="18">
        <v>0</v>
      </c>
      <c r="CJ519">
        <v>0</v>
      </c>
      <c r="CK519">
        <v>0</v>
      </c>
      <c r="CL519">
        <v>1</v>
      </c>
      <c r="CM519">
        <v>1</v>
      </c>
      <c r="CN519">
        <v>0</v>
      </c>
      <c r="CO519">
        <v>0</v>
      </c>
      <c r="CP519">
        <v>1</v>
      </c>
      <c r="CQ519">
        <v>0</v>
      </c>
      <c r="CR519">
        <v>0</v>
      </c>
      <c r="CS519">
        <v>0</v>
      </c>
      <c r="CT519" s="18">
        <v>0</v>
      </c>
      <c r="CZ519" s="34" t="s">
        <v>87</v>
      </c>
    </row>
    <row r="520" spans="1:104" x14ac:dyDescent="0.25">
      <c r="A520">
        <v>519</v>
      </c>
      <c r="B520">
        <v>33</v>
      </c>
      <c r="C520" s="25" t="s">
        <v>326</v>
      </c>
      <c r="D520" s="12">
        <v>5.72</v>
      </c>
      <c r="E520" s="14">
        <v>0.67</v>
      </c>
      <c r="F520" s="7">
        <f t="shared" si="385"/>
        <v>8.5373134328358198</v>
      </c>
      <c r="G520" s="7">
        <f t="shared" si="380"/>
        <v>5.05</v>
      </c>
      <c r="H520" s="16">
        <f t="shared" si="381"/>
        <v>6.39</v>
      </c>
      <c r="I520" s="11">
        <f t="shared" si="378"/>
        <v>0.49217600558469293</v>
      </c>
      <c r="J520" s="33">
        <f t="shared" si="379"/>
        <v>5.7649986668137115E-2</v>
      </c>
      <c r="K520" s="33">
        <f t="shared" si="382"/>
        <v>17.346057784132938</v>
      </c>
      <c r="L520" s="33">
        <f t="shared" si="383"/>
        <v>0.43452601891655585</v>
      </c>
      <c r="M520" s="33">
        <f t="shared" si="384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69"/>
        <v>228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9">
        <v>0</v>
      </c>
      <c r="AL520" s="30">
        <v>0</v>
      </c>
      <c r="AM520" s="21">
        <v>2017</v>
      </c>
      <c r="AN520" s="7">
        <v>534.59439714285702</v>
      </c>
      <c r="AO520" s="33">
        <v>0</v>
      </c>
      <c r="AP520" s="33">
        <v>0</v>
      </c>
      <c r="AQ520" s="33">
        <v>0.185</v>
      </c>
      <c r="AR520" s="43">
        <f t="shared" si="386"/>
        <v>0.81499999999999995</v>
      </c>
      <c r="AS520" s="33" t="s">
        <v>107</v>
      </c>
      <c r="AT520" s="43" t="s">
        <v>107</v>
      </c>
      <c r="AU520" s="42">
        <v>1</v>
      </c>
      <c r="AV520" s="18">
        <v>0</v>
      </c>
      <c r="AW520">
        <v>0.36969999999999997</v>
      </c>
      <c r="AX520" s="40">
        <v>0.63029999999999997</v>
      </c>
      <c r="AY520">
        <v>0</v>
      </c>
      <c r="AZ520" s="40">
        <v>1</v>
      </c>
      <c r="BB520" s="18"/>
      <c r="BC520">
        <v>0</v>
      </c>
      <c r="BD520" s="18">
        <v>1</v>
      </c>
      <c r="BE520" s="18" t="s">
        <v>11</v>
      </c>
      <c r="BL520" s="18"/>
      <c r="BO520" s="18"/>
      <c r="BR520" s="25">
        <v>40.193300000000001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1</v>
      </c>
      <c r="BZ520" s="18">
        <v>0</v>
      </c>
      <c r="CA520">
        <v>0</v>
      </c>
      <c r="CB520">
        <v>1</v>
      </c>
      <c r="CC520">
        <v>0</v>
      </c>
      <c r="CD520" s="18">
        <v>0</v>
      </c>
      <c r="CE520">
        <v>0</v>
      </c>
      <c r="CF520">
        <v>0</v>
      </c>
      <c r="CG520">
        <v>0</v>
      </c>
      <c r="CH520">
        <v>1</v>
      </c>
      <c r="CI520" s="18">
        <v>0</v>
      </c>
      <c r="CJ520">
        <v>0</v>
      </c>
      <c r="CK520">
        <v>0</v>
      </c>
      <c r="CL520">
        <v>1</v>
      </c>
      <c r="CM520">
        <v>1</v>
      </c>
      <c r="CN520">
        <v>0</v>
      </c>
      <c r="CO520">
        <v>0</v>
      </c>
      <c r="CP520">
        <v>1</v>
      </c>
      <c r="CQ520">
        <v>0</v>
      </c>
      <c r="CR520">
        <v>0</v>
      </c>
      <c r="CS520">
        <v>0</v>
      </c>
      <c r="CT520" s="18">
        <v>0</v>
      </c>
      <c r="CZ520" s="34" t="s">
        <v>87</v>
      </c>
    </row>
    <row r="521" spans="1:104" x14ac:dyDescent="0.25">
      <c r="A521">
        <v>520</v>
      </c>
      <c r="B521">
        <v>33</v>
      </c>
      <c r="C521" s="25" t="s">
        <v>326</v>
      </c>
      <c r="D521" s="12">
        <v>5.28</v>
      </c>
      <c r="E521" s="14">
        <v>0.7</v>
      </c>
      <c r="F521" s="7">
        <f t="shared" si="385"/>
        <v>7.5428571428571436</v>
      </c>
      <c r="G521" s="7">
        <f t="shared" si="380"/>
        <v>4.58</v>
      </c>
      <c r="H521" s="16">
        <f t="shared" si="381"/>
        <v>5.98</v>
      </c>
      <c r="I521" s="11">
        <f t="shared" si="378"/>
        <v>0.44688286452391052</v>
      </c>
      <c r="J521" s="33">
        <f t="shared" si="379"/>
        <v>5.924583431188208E-2</v>
      </c>
      <c r="K521" s="33">
        <f t="shared" si="382"/>
        <v>16.87882382980375</v>
      </c>
      <c r="L521" s="33">
        <f t="shared" si="383"/>
        <v>0.38763703021202844</v>
      </c>
      <c r="M521" s="33">
        <f t="shared" si="384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69"/>
        <v>228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9">
        <v>0</v>
      </c>
      <c r="AL521" s="30">
        <v>0</v>
      </c>
      <c r="AM521" s="21">
        <v>2017</v>
      </c>
      <c r="AN521" s="7">
        <v>534.59439714285702</v>
      </c>
      <c r="AO521" s="33">
        <v>0</v>
      </c>
      <c r="AP521" s="33">
        <v>0</v>
      </c>
      <c r="AQ521" s="33">
        <v>0.185</v>
      </c>
      <c r="AR521" s="43">
        <f t="shared" si="386"/>
        <v>0.81499999999999995</v>
      </c>
      <c r="AS521" s="33" t="s">
        <v>107</v>
      </c>
      <c r="AT521" s="43" t="s">
        <v>107</v>
      </c>
      <c r="AU521" s="42">
        <v>1</v>
      </c>
      <c r="AV521" s="18">
        <v>0</v>
      </c>
      <c r="AW521">
        <v>0.36969999999999997</v>
      </c>
      <c r="AX521" s="40">
        <v>0.63029999999999997</v>
      </c>
      <c r="AY521">
        <v>0</v>
      </c>
      <c r="AZ521" s="40">
        <v>1</v>
      </c>
      <c r="BB521" s="18"/>
      <c r="BC521">
        <v>0</v>
      </c>
      <c r="BD521" s="18">
        <v>1</v>
      </c>
      <c r="BE521" s="18" t="s">
        <v>11</v>
      </c>
      <c r="BL521" s="18"/>
      <c r="BO521" s="18"/>
      <c r="BR521" s="25">
        <v>40.193300000000001</v>
      </c>
      <c r="BS521">
        <v>0</v>
      </c>
      <c r="BT521">
        <v>0</v>
      </c>
      <c r="BU521">
        <v>0</v>
      </c>
      <c r="BV521">
        <v>0</v>
      </c>
      <c r="BW521">
        <v>1</v>
      </c>
      <c r="BX521">
        <v>0</v>
      </c>
      <c r="BY521">
        <v>0</v>
      </c>
      <c r="BZ521" s="18">
        <v>0</v>
      </c>
      <c r="CA521">
        <v>0</v>
      </c>
      <c r="CB521">
        <v>1</v>
      </c>
      <c r="CC521">
        <v>0</v>
      </c>
      <c r="CD521" s="18">
        <v>0</v>
      </c>
      <c r="CE521">
        <v>0</v>
      </c>
      <c r="CF521">
        <v>0</v>
      </c>
      <c r="CG521">
        <v>0</v>
      </c>
      <c r="CH521">
        <v>1</v>
      </c>
      <c r="CI521" s="18">
        <v>0</v>
      </c>
      <c r="CJ521">
        <v>0</v>
      </c>
      <c r="CK521">
        <v>0</v>
      </c>
      <c r="CL521">
        <v>1</v>
      </c>
      <c r="CM521">
        <v>1</v>
      </c>
      <c r="CN521">
        <v>0</v>
      </c>
      <c r="CO521">
        <v>0</v>
      </c>
      <c r="CP521">
        <v>1</v>
      </c>
      <c r="CQ521">
        <v>0</v>
      </c>
      <c r="CR521">
        <v>0</v>
      </c>
      <c r="CS521">
        <v>0</v>
      </c>
      <c r="CT521" s="18">
        <v>0</v>
      </c>
      <c r="CZ521" s="34" t="s">
        <v>87</v>
      </c>
    </row>
    <row r="522" spans="1:104" x14ac:dyDescent="0.25">
      <c r="A522">
        <v>521</v>
      </c>
      <c r="B522">
        <v>33</v>
      </c>
      <c r="C522" s="25" t="s">
        <v>326</v>
      </c>
      <c r="D522" s="12">
        <v>8.99</v>
      </c>
      <c r="E522" s="14">
        <v>1.39</v>
      </c>
      <c r="F522" s="7">
        <f t="shared" si="385"/>
        <v>6.4676258992805762</v>
      </c>
      <c r="G522" s="7">
        <f t="shared" si="380"/>
        <v>7.6000000000000005</v>
      </c>
      <c r="H522" s="16">
        <f t="shared" si="381"/>
        <v>10.38</v>
      </c>
      <c r="I522" s="11">
        <f t="shared" si="378"/>
        <v>0.39373101472301469</v>
      </c>
      <c r="J522" s="33">
        <f t="shared" si="379"/>
        <v>6.0877209172968898E-2</v>
      </c>
      <c r="K522" s="33">
        <f t="shared" si="382"/>
        <v>16.426508599609502</v>
      </c>
      <c r="L522" s="33">
        <f t="shared" si="383"/>
        <v>0.33285380555004579</v>
      </c>
      <c r="M522" s="33">
        <f t="shared" si="384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69"/>
        <v>228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9">
        <v>0</v>
      </c>
      <c r="AL522" s="30">
        <v>0</v>
      </c>
      <c r="AM522" s="21">
        <v>2017</v>
      </c>
      <c r="AN522" s="7">
        <v>534.59439714285702</v>
      </c>
      <c r="AO522" s="33">
        <v>0</v>
      </c>
      <c r="AP522" s="33">
        <v>0</v>
      </c>
      <c r="AQ522" s="33">
        <v>0.185</v>
      </c>
      <c r="AR522" s="43">
        <f t="shared" si="386"/>
        <v>0.81499999999999995</v>
      </c>
      <c r="AS522" s="33" t="s">
        <v>107</v>
      </c>
      <c r="AT522" s="43" t="s">
        <v>107</v>
      </c>
      <c r="AU522" s="42">
        <v>1</v>
      </c>
      <c r="AV522" s="18">
        <v>0</v>
      </c>
      <c r="AW522">
        <v>0.36969999999999997</v>
      </c>
      <c r="AX522" s="40">
        <v>0.63029999999999997</v>
      </c>
      <c r="AY522">
        <v>0</v>
      </c>
      <c r="AZ522" s="40">
        <v>1</v>
      </c>
      <c r="BB522" s="18"/>
      <c r="BC522">
        <v>0</v>
      </c>
      <c r="BD522" s="18">
        <v>1</v>
      </c>
      <c r="BE522" s="18" t="s">
        <v>11</v>
      </c>
      <c r="BL522" s="18"/>
      <c r="BO522" s="18"/>
      <c r="BR522" s="25">
        <v>40.193300000000001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1</v>
      </c>
      <c r="BZ522" s="18">
        <v>0</v>
      </c>
      <c r="CA522">
        <v>0</v>
      </c>
      <c r="CB522">
        <v>1</v>
      </c>
      <c r="CC522">
        <v>0</v>
      </c>
      <c r="CD522" s="18">
        <v>0</v>
      </c>
      <c r="CE522">
        <v>0</v>
      </c>
      <c r="CF522">
        <v>0</v>
      </c>
      <c r="CG522">
        <v>0</v>
      </c>
      <c r="CH522">
        <v>1</v>
      </c>
      <c r="CI522" s="18">
        <v>0</v>
      </c>
      <c r="CJ522">
        <v>0</v>
      </c>
      <c r="CK522">
        <v>0</v>
      </c>
      <c r="CL522">
        <v>1</v>
      </c>
      <c r="CM522">
        <v>1</v>
      </c>
      <c r="CN522">
        <v>0</v>
      </c>
      <c r="CO522">
        <v>0</v>
      </c>
      <c r="CP522">
        <v>1</v>
      </c>
      <c r="CQ522">
        <v>0</v>
      </c>
      <c r="CR522">
        <v>0</v>
      </c>
      <c r="CS522">
        <v>0</v>
      </c>
      <c r="CT522" s="18">
        <v>0</v>
      </c>
      <c r="CZ522" s="34" t="s">
        <v>87</v>
      </c>
    </row>
    <row r="523" spans="1:104" s="52" customFormat="1" x14ac:dyDescent="0.25">
      <c r="A523" s="52">
        <v>522</v>
      </c>
      <c r="B523" s="52">
        <v>33</v>
      </c>
      <c r="C523" s="53" t="s">
        <v>326</v>
      </c>
      <c r="D523" s="54">
        <v>7.98</v>
      </c>
      <c r="E523" s="55">
        <v>1.8</v>
      </c>
      <c r="F523" s="56">
        <f t="shared" si="385"/>
        <v>4.4333333333333336</v>
      </c>
      <c r="G523" s="56">
        <f t="shared" si="380"/>
        <v>6.1800000000000006</v>
      </c>
      <c r="H523" s="57">
        <f t="shared" si="381"/>
        <v>9.7800000000000011</v>
      </c>
      <c r="I523" s="58">
        <f t="shared" si="378"/>
        <v>0.28171328190061568</v>
      </c>
      <c r="J523" s="59">
        <f t="shared" si="379"/>
        <v>6.3544349300890743E-2</v>
      </c>
      <c r="K523" s="59">
        <f t="shared" si="382"/>
        <v>15.737040523695823</v>
      </c>
      <c r="L523" s="59">
        <f t="shared" si="383"/>
        <v>0.21816893259972492</v>
      </c>
      <c r="M523" s="59">
        <f t="shared" si="384"/>
        <v>0.34525763120150643</v>
      </c>
      <c r="N523" s="60">
        <v>1</v>
      </c>
      <c r="O523" s="61">
        <v>0</v>
      </c>
      <c r="P523" s="60">
        <v>1</v>
      </c>
      <c r="Q523" s="61">
        <v>0</v>
      </c>
      <c r="R523" s="61">
        <v>0</v>
      </c>
      <c r="S523" s="61">
        <v>0</v>
      </c>
      <c r="T523" s="61">
        <v>0</v>
      </c>
      <c r="U523" s="60">
        <v>237</v>
      </c>
      <c r="V523" s="61">
        <v>8</v>
      </c>
      <c r="W523" s="61">
        <f t="shared" si="369"/>
        <v>228</v>
      </c>
      <c r="X523" s="61"/>
      <c r="Y523" s="56">
        <v>15.046200000000001</v>
      </c>
      <c r="Z523" s="56">
        <v>15.176500000000001</v>
      </c>
      <c r="AA523" s="61">
        <v>1</v>
      </c>
      <c r="AB523" s="61">
        <v>0</v>
      </c>
      <c r="AC523" s="61">
        <v>0</v>
      </c>
      <c r="AD523" s="61">
        <v>0</v>
      </c>
      <c r="AE523" s="61">
        <v>0</v>
      </c>
      <c r="AF523" s="61">
        <v>1</v>
      </c>
      <c r="AG523" s="60">
        <v>0</v>
      </c>
      <c r="AH523" s="61">
        <v>0</v>
      </c>
      <c r="AI523" s="62">
        <v>1</v>
      </c>
      <c r="AJ523" s="61">
        <v>1</v>
      </c>
      <c r="AK523" s="61">
        <v>0</v>
      </c>
      <c r="AL523" s="62">
        <v>0</v>
      </c>
      <c r="AM523" s="63">
        <v>2017</v>
      </c>
      <c r="AN523" s="64"/>
      <c r="AO523" s="59">
        <v>0</v>
      </c>
      <c r="AP523" s="59">
        <v>0</v>
      </c>
      <c r="AQ523" s="59">
        <v>0.185</v>
      </c>
      <c r="AR523" s="65">
        <f t="shared" si="386"/>
        <v>0.81499999999999995</v>
      </c>
      <c r="AS523" s="59" t="s">
        <v>107</v>
      </c>
      <c r="AT523" s="65" t="s">
        <v>107</v>
      </c>
      <c r="AU523" s="66">
        <v>1</v>
      </c>
      <c r="AV523" s="67">
        <v>0</v>
      </c>
      <c r="AW523" s="52">
        <v>0.36969999999999997</v>
      </c>
      <c r="AX523" s="68">
        <v>0.63029999999999997</v>
      </c>
      <c r="AY523" s="52">
        <v>0</v>
      </c>
      <c r="AZ523" s="68">
        <v>1</v>
      </c>
      <c r="BB523" s="67"/>
      <c r="BC523" s="52">
        <v>0</v>
      </c>
      <c r="BD523" s="67">
        <v>1</v>
      </c>
      <c r="BE523" s="67" t="s">
        <v>11</v>
      </c>
      <c r="BL523" s="67"/>
      <c r="BO523" s="67"/>
      <c r="BR523" s="53">
        <v>40.193300000000001</v>
      </c>
      <c r="BS523" s="52">
        <v>0</v>
      </c>
      <c r="BT523" s="52">
        <v>0</v>
      </c>
      <c r="BU523" s="52">
        <v>0</v>
      </c>
      <c r="BV523" s="52">
        <v>0</v>
      </c>
      <c r="BW523" s="52">
        <v>1</v>
      </c>
      <c r="BX523" s="52">
        <v>0</v>
      </c>
      <c r="BY523" s="52">
        <v>0</v>
      </c>
      <c r="BZ523" s="67">
        <v>0</v>
      </c>
      <c r="CA523" s="52">
        <v>0</v>
      </c>
      <c r="CB523" s="52">
        <v>1</v>
      </c>
      <c r="CC523" s="52">
        <v>0</v>
      </c>
      <c r="CD523" s="67">
        <v>0</v>
      </c>
      <c r="CE523" s="52">
        <v>0</v>
      </c>
      <c r="CF523" s="52">
        <v>0</v>
      </c>
      <c r="CG523" s="52">
        <v>0</v>
      </c>
      <c r="CH523" s="52">
        <v>1</v>
      </c>
      <c r="CI523" s="67">
        <v>0</v>
      </c>
      <c r="CJ523" s="52">
        <v>0</v>
      </c>
      <c r="CK523" s="52">
        <v>0</v>
      </c>
      <c r="CL523" s="52">
        <v>1</v>
      </c>
      <c r="CM523" s="52">
        <v>1</v>
      </c>
      <c r="CN523" s="52">
        <v>0</v>
      </c>
      <c r="CO523" s="52">
        <v>0</v>
      </c>
      <c r="CP523" s="52">
        <v>1</v>
      </c>
      <c r="CQ523" s="52">
        <v>0</v>
      </c>
      <c r="CR523" s="52">
        <v>0</v>
      </c>
      <c r="CS523" s="52">
        <v>0</v>
      </c>
      <c r="CT523" s="67">
        <v>0</v>
      </c>
      <c r="CY523" s="53"/>
      <c r="CZ523" s="69" t="s">
        <v>87</v>
      </c>
    </row>
    <row r="524" spans="1:104" x14ac:dyDescent="0.25">
      <c r="A524">
        <v>523</v>
      </c>
      <c r="B524">
        <v>34</v>
      </c>
      <c r="C524" s="25" t="s">
        <v>334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387">D524-E524</f>
        <v>10.562404479908292</v>
      </c>
      <c r="H524" s="16">
        <f t="shared" ref="H524:H553" si="388">D524+E524</f>
        <v>11.104066248108715</v>
      </c>
      <c r="I524" s="11">
        <f t="shared" si="378"/>
        <v>0.18815249919273908</v>
      </c>
      <c r="J524" s="33">
        <f t="shared" si="379"/>
        <v>4.7038124798184765E-3</v>
      </c>
      <c r="K524" s="33">
        <f t="shared" ref="K524:K539" si="389">IFERROR(1/J524, "X")</f>
        <v>212.59350883787585</v>
      </c>
      <c r="L524" s="33">
        <f t="shared" ref="L524:L539" si="390">IFERROR(I524-J524, "X")</f>
        <v>0.18344868671292061</v>
      </c>
      <c r="M524" s="33">
        <f t="shared" ref="M524:M539" si="391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69"/>
        <v>43596</v>
      </c>
      <c r="Y524" s="7">
        <v>16</v>
      </c>
      <c r="Z524" s="7" t="s">
        <v>107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9">
        <v>0</v>
      </c>
      <c r="AL524" s="30">
        <v>1</v>
      </c>
      <c r="AM524" s="21">
        <v>2008</v>
      </c>
      <c r="AN524" s="23"/>
      <c r="AO524" s="33">
        <v>0</v>
      </c>
      <c r="AP524" s="33">
        <v>0</v>
      </c>
      <c r="AQ524" s="33">
        <v>0.20100000000000001</v>
      </c>
      <c r="AR524" s="43">
        <v>0.79900000000000004</v>
      </c>
      <c r="AS524" s="33" t="s">
        <v>107</v>
      </c>
      <c r="AT524" s="43" t="s">
        <v>107</v>
      </c>
      <c r="AU524" s="42" t="s">
        <v>107</v>
      </c>
      <c r="AV524" s="18" t="s">
        <v>107</v>
      </c>
      <c r="AW524" s="39">
        <f>1-AX524</f>
        <v>0.42900000000000005</v>
      </c>
      <c r="AX524" s="40">
        <v>0.57099999999999995</v>
      </c>
      <c r="AY524">
        <v>0.61499999999999999</v>
      </c>
      <c r="AZ524" s="40">
        <f>1-AY524</f>
        <v>0.38500000000000001</v>
      </c>
      <c r="BB524" s="18"/>
      <c r="BC524">
        <f>1-BD524</f>
        <v>0.47399999999999998</v>
      </c>
      <c r="BD524" s="18">
        <v>0.52600000000000002</v>
      </c>
      <c r="BE524" s="18" t="s">
        <v>28</v>
      </c>
      <c r="BL524" s="18"/>
      <c r="BO524" s="18"/>
      <c r="BR524" s="25">
        <v>37.829000000000001</v>
      </c>
      <c r="BS524">
        <v>1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0</v>
      </c>
      <c r="BZ524" s="18">
        <v>0</v>
      </c>
      <c r="CA524">
        <v>0</v>
      </c>
      <c r="CB524">
        <v>0</v>
      </c>
      <c r="CC524">
        <v>1</v>
      </c>
      <c r="CD524" s="18">
        <v>0</v>
      </c>
      <c r="CE524">
        <v>0</v>
      </c>
      <c r="CF524">
        <v>0</v>
      </c>
      <c r="CG524">
        <v>0</v>
      </c>
      <c r="CH524">
        <v>0</v>
      </c>
      <c r="CI524" s="18">
        <v>0</v>
      </c>
      <c r="CJ524">
        <v>1</v>
      </c>
      <c r="CK524">
        <v>1</v>
      </c>
      <c r="CL524">
        <v>0</v>
      </c>
      <c r="CM524">
        <v>0</v>
      </c>
      <c r="CN524">
        <v>0</v>
      </c>
      <c r="CO524">
        <v>0</v>
      </c>
      <c r="CP524">
        <v>1</v>
      </c>
      <c r="CQ524">
        <v>1</v>
      </c>
      <c r="CR524">
        <v>0</v>
      </c>
      <c r="CS524">
        <v>1</v>
      </c>
      <c r="CT524" s="18">
        <v>1</v>
      </c>
      <c r="CZ524" s="34" t="s">
        <v>87</v>
      </c>
    </row>
    <row r="525" spans="1:104" x14ac:dyDescent="0.25">
      <c r="A525">
        <v>524</v>
      </c>
      <c r="B525">
        <v>34</v>
      </c>
      <c r="C525" s="25" t="s">
        <v>334</v>
      </c>
      <c r="D525" s="12">
        <v>14.89125293076059</v>
      </c>
      <c r="E525" s="14">
        <v>0.28468571779395241</v>
      </c>
      <c r="F525" s="7">
        <v>52.307692307692314</v>
      </c>
      <c r="G525" s="7">
        <f t="shared" si="387"/>
        <v>14.606567212966638</v>
      </c>
      <c r="H525" s="16">
        <f t="shared" si="388"/>
        <v>15.175938648554542</v>
      </c>
      <c r="I525" s="11">
        <f t="shared" si="378"/>
        <v>0.24301025035175569</v>
      </c>
      <c r="J525" s="33">
        <f t="shared" si="379"/>
        <v>4.6457841979012111E-3</v>
      </c>
      <c r="K525" s="33">
        <f t="shared" si="389"/>
        <v>215.24891329471612</v>
      </c>
      <c r="L525" s="33">
        <f t="shared" si="390"/>
        <v>0.23836446615385448</v>
      </c>
      <c r="M525" s="33">
        <f t="shared" si="391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69"/>
        <v>43596</v>
      </c>
      <c r="Y525" s="7">
        <v>18</v>
      </c>
      <c r="Z525" s="7" t="s">
        <v>107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9">
        <v>0</v>
      </c>
      <c r="AL525" s="30">
        <v>1</v>
      </c>
      <c r="AM525" s="21">
        <v>2008</v>
      </c>
      <c r="AN525" s="23"/>
      <c r="AO525" s="33">
        <v>0</v>
      </c>
      <c r="AP525" s="33">
        <v>0</v>
      </c>
      <c r="AQ525" s="33">
        <v>0.20100000000000001</v>
      </c>
      <c r="AR525" s="43">
        <v>0.79900000000000004</v>
      </c>
      <c r="AS525" s="33" t="s">
        <v>107</v>
      </c>
      <c r="AT525" s="43" t="s">
        <v>107</v>
      </c>
      <c r="AU525" s="42" t="s">
        <v>107</v>
      </c>
      <c r="AV525" s="18" t="s">
        <v>107</v>
      </c>
      <c r="AW525" s="39">
        <f>1-AX525</f>
        <v>0.42900000000000005</v>
      </c>
      <c r="AX525" s="40">
        <v>0.57099999999999995</v>
      </c>
      <c r="AY525">
        <v>0.61499999999999999</v>
      </c>
      <c r="AZ525" s="40">
        <f>1-AY525</f>
        <v>0.38500000000000001</v>
      </c>
      <c r="BB525" s="18"/>
      <c r="BC525">
        <f>1-BD525</f>
        <v>0.47399999999999998</v>
      </c>
      <c r="BD525" s="18">
        <v>0.52600000000000002</v>
      </c>
      <c r="BE525" s="18" t="s">
        <v>28</v>
      </c>
      <c r="BL525" s="18"/>
      <c r="BO525" s="18"/>
      <c r="BR525" s="25">
        <v>37.829000000000001</v>
      </c>
      <c r="BS525">
        <v>1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0</v>
      </c>
      <c r="BZ525" s="18">
        <v>0</v>
      </c>
      <c r="CA525">
        <v>0</v>
      </c>
      <c r="CB525">
        <v>0</v>
      </c>
      <c r="CC525">
        <v>1</v>
      </c>
      <c r="CD525" s="18">
        <v>0</v>
      </c>
      <c r="CE525">
        <v>0</v>
      </c>
      <c r="CF525">
        <v>0</v>
      </c>
      <c r="CG525">
        <v>0</v>
      </c>
      <c r="CH525">
        <v>0</v>
      </c>
      <c r="CI525" s="18">
        <v>0</v>
      </c>
      <c r="CJ525">
        <v>1</v>
      </c>
      <c r="CK525">
        <v>1</v>
      </c>
      <c r="CL525">
        <v>0</v>
      </c>
      <c r="CM525">
        <v>0</v>
      </c>
      <c r="CN525">
        <v>0</v>
      </c>
      <c r="CO525">
        <v>0</v>
      </c>
      <c r="CP525">
        <v>1</v>
      </c>
      <c r="CQ525">
        <v>1</v>
      </c>
      <c r="CR525">
        <v>0</v>
      </c>
      <c r="CS525">
        <v>1</v>
      </c>
      <c r="CT525" s="18">
        <v>1</v>
      </c>
      <c r="CZ525" s="34" t="s">
        <v>87</v>
      </c>
    </row>
    <row r="526" spans="1:104" x14ac:dyDescent="0.25">
      <c r="A526">
        <v>525</v>
      </c>
      <c r="B526">
        <v>34</v>
      </c>
      <c r="C526" s="25" t="s">
        <v>334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387"/>
        <v>11.011851333611496</v>
      </c>
      <c r="H526" s="16">
        <f t="shared" si="388"/>
        <v>11.374879399554732</v>
      </c>
      <c r="I526" s="11">
        <f t="shared" si="378"/>
        <v>0.28325102065209717</v>
      </c>
      <c r="J526" s="33">
        <f t="shared" si="379"/>
        <v>4.5932597943583323E-3</v>
      </c>
      <c r="K526" s="33">
        <f t="shared" si="389"/>
        <v>217.71030700859751</v>
      </c>
      <c r="L526" s="33">
        <f t="shared" si="390"/>
        <v>0.27865776085773886</v>
      </c>
      <c r="M526" s="33">
        <f t="shared" si="391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69"/>
        <v>43595</v>
      </c>
      <c r="Y526" s="7">
        <v>16</v>
      </c>
      <c r="Z526" s="7" t="s">
        <v>107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9">
        <v>0</v>
      </c>
      <c r="AL526" s="30">
        <v>1</v>
      </c>
      <c r="AM526" s="21">
        <v>2008</v>
      </c>
      <c r="AN526" s="23"/>
      <c r="AO526" s="33">
        <v>0</v>
      </c>
      <c r="AP526" s="33">
        <v>0</v>
      </c>
      <c r="AQ526" s="33">
        <v>0.20100000000000001</v>
      </c>
      <c r="AR526" s="43">
        <v>0.79900000000000004</v>
      </c>
      <c r="AS526" s="33" t="s">
        <v>107</v>
      </c>
      <c r="AT526" s="43" t="s">
        <v>107</v>
      </c>
      <c r="AU526" s="42" t="s">
        <v>107</v>
      </c>
      <c r="AV526" s="18" t="s">
        <v>107</v>
      </c>
      <c r="AW526" s="39">
        <f t="shared" ref="AW526:AW535" si="392">1-AX526</f>
        <v>0.42900000000000005</v>
      </c>
      <c r="AX526" s="40">
        <v>0.57099999999999995</v>
      </c>
      <c r="AY526">
        <v>0.61499999999999999</v>
      </c>
      <c r="AZ526" s="40">
        <f t="shared" ref="AZ526:AZ539" si="393">1-AY526</f>
        <v>0.38500000000000001</v>
      </c>
      <c r="BB526" s="18"/>
      <c r="BC526">
        <f t="shared" ref="BC526:BC539" si="394">1-BD526</f>
        <v>0.47399999999999998</v>
      </c>
      <c r="BD526" s="18">
        <v>0.52600000000000002</v>
      </c>
      <c r="BE526" s="18" t="s">
        <v>28</v>
      </c>
      <c r="BL526" s="18"/>
      <c r="BO526" s="18"/>
      <c r="BR526" s="25">
        <v>37.829000000000001</v>
      </c>
      <c r="BS526">
        <v>1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0</v>
      </c>
      <c r="BZ526" s="18">
        <v>0</v>
      </c>
      <c r="CA526">
        <v>0</v>
      </c>
      <c r="CB526">
        <v>0</v>
      </c>
      <c r="CC526">
        <v>1</v>
      </c>
      <c r="CD526" s="18">
        <v>0</v>
      </c>
      <c r="CE526">
        <v>0</v>
      </c>
      <c r="CF526">
        <v>0</v>
      </c>
      <c r="CG526">
        <v>0</v>
      </c>
      <c r="CH526">
        <v>0</v>
      </c>
      <c r="CI526" s="18">
        <v>0</v>
      </c>
      <c r="CJ526">
        <v>1</v>
      </c>
      <c r="CK526">
        <v>1</v>
      </c>
      <c r="CL526">
        <v>0</v>
      </c>
      <c r="CM526">
        <v>0</v>
      </c>
      <c r="CN526">
        <v>0</v>
      </c>
      <c r="CO526">
        <v>0</v>
      </c>
      <c r="CP526">
        <v>1</v>
      </c>
      <c r="CQ526">
        <v>1</v>
      </c>
      <c r="CR526">
        <v>0</v>
      </c>
      <c r="CS526">
        <v>1</v>
      </c>
      <c r="CT526" s="18">
        <v>1</v>
      </c>
      <c r="CZ526" s="34" t="s">
        <v>87</v>
      </c>
    </row>
    <row r="527" spans="1:104" x14ac:dyDescent="0.25">
      <c r="A527">
        <v>526</v>
      </c>
      <c r="B527">
        <v>34</v>
      </c>
      <c r="C527" s="25" t="s">
        <v>334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387"/>
        <v>14.697019196881083</v>
      </c>
      <c r="H527" s="16">
        <f t="shared" si="388"/>
        <v>15.085486664640054</v>
      </c>
      <c r="I527" s="11">
        <f t="shared" si="378"/>
        <v>0.34468583278159914</v>
      </c>
      <c r="J527" s="33">
        <f t="shared" si="379"/>
        <v>4.4959021667165108E-3</v>
      </c>
      <c r="K527" s="33">
        <f t="shared" si="389"/>
        <v>222.42476880459552</v>
      </c>
      <c r="L527" s="33">
        <f t="shared" si="390"/>
        <v>0.34018993061488262</v>
      </c>
      <c r="M527" s="33">
        <f t="shared" si="391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69"/>
        <v>43595</v>
      </c>
      <c r="Y527" s="7">
        <v>18</v>
      </c>
      <c r="Z527" s="7" t="s">
        <v>107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9">
        <v>0</v>
      </c>
      <c r="AL527" s="30">
        <v>1</v>
      </c>
      <c r="AM527" s="21">
        <v>2008</v>
      </c>
      <c r="AN527" s="23"/>
      <c r="AO527" s="33">
        <v>0</v>
      </c>
      <c r="AP527" s="33">
        <v>0</v>
      </c>
      <c r="AQ527" s="33">
        <v>0.20100000000000001</v>
      </c>
      <c r="AR527" s="43">
        <v>0.79900000000000004</v>
      </c>
      <c r="AS527" s="33" t="s">
        <v>107</v>
      </c>
      <c r="AT527" s="43" t="s">
        <v>107</v>
      </c>
      <c r="AU527" s="42" t="s">
        <v>107</v>
      </c>
      <c r="AV527" s="18" t="s">
        <v>107</v>
      </c>
      <c r="AW527" s="39">
        <f t="shared" si="392"/>
        <v>0.42900000000000005</v>
      </c>
      <c r="AX527" s="40">
        <v>0.57099999999999995</v>
      </c>
      <c r="AY527">
        <v>0.61499999999999999</v>
      </c>
      <c r="AZ527" s="40">
        <f t="shared" si="393"/>
        <v>0.38500000000000001</v>
      </c>
      <c r="BB527" s="18"/>
      <c r="BC527">
        <f t="shared" si="394"/>
        <v>0.47399999999999998</v>
      </c>
      <c r="BD527" s="18">
        <v>0.52600000000000002</v>
      </c>
      <c r="BE527" s="18" t="s">
        <v>28</v>
      </c>
      <c r="BL527" s="18"/>
      <c r="BO527" s="18"/>
      <c r="BR527" s="25">
        <v>37.829000000000001</v>
      </c>
      <c r="BS527">
        <v>1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0</v>
      </c>
      <c r="BZ527" s="18">
        <v>0</v>
      </c>
      <c r="CA527">
        <v>0</v>
      </c>
      <c r="CB527">
        <v>0</v>
      </c>
      <c r="CC527">
        <v>1</v>
      </c>
      <c r="CD527" s="18">
        <v>0</v>
      </c>
      <c r="CE527">
        <v>0</v>
      </c>
      <c r="CF527">
        <v>0</v>
      </c>
      <c r="CG527">
        <v>0</v>
      </c>
      <c r="CH527">
        <v>0</v>
      </c>
      <c r="CI527" s="18">
        <v>0</v>
      </c>
      <c r="CJ527">
        <v>1</v>
      </c>
      <c r="CK527">
        <v>1</v>
      </c>
      <c r="CL527">
        <v>0</v>
      </c>
      <c r="CM527">
        <v>0</v>
      </c>
      <c r="CN527">
        <v>0</v>
      </c>
      <c r="CO527">
        <v>0</v>
      </c>
      <c r="CP527">
        <v>1</v>
      </c>
      <c r="CQ527">
        <v>1</v>
      </c>
      <c r="CR527">
        <v>0</v>
      </c>
      <c r="CS527">
        <v>1</v>
      </c>
      <c r="CT527" s="18">
        <v>1</v>
      </c>
      <c r="CZ527" s="34" t="s">
        <v>87</v>
      </c>
    </row>
    <row r="528" spans="1:104" x14ac:dyDescent="0.25">
      <c r="A528">
        <v>527</v>
      </c>
      <c r="B528">
        <v>34</v>
      </c>
      <c r="C528" s="25" t="s">
        <v>334</v>
      </c>
      <c r="D528" s="12">
        <v>10.833235364008504</v>
      </c>
      <c r="E528" s="14">
        <v>0.18055392273347506</v>
      </c>
      <c r="F528" s="7">
        <v>60</v>
      </c>
      <c r="G528" s="7">
        <f t="shared" si="387"/>
        <v>10.652681441275028</v>
      </c>
      <c r="H528" s="16">
        <f t="shared" si="388"/>
        <v>11.013789286741979</v>
      </c>
      <c r="I528" s="11">
        <f t="shared" si="378"/>
        <v>0.2761899403727695</v>
      </c>
      <c r="J528" s="33">
        <f t="shared" si="379"/>
        <v>4.603165672879491E-3</v>
      </c>
      <c r="K528" s="33">
        <f t="shared" si="389"/>
        <v>217.2418007658747</v>
      </c>
      <c r="L528" s="33">
        <f t="shared" si="390"/>
        <v>0.27158677469989001</v>
      </c>
      <c r="M528" s="33">
        <f t="shared" si="391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69"/>
        <v>43594</v>
      </c>
      <c r="Y528" s="7">
        <v>16</v>
      </c>
      <c r="Z528" s="7" t="s">
        <v>107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9">
        <v>0</v>
      </c>
      <c r="AL528" s="30">
        <v>1</v>
      </c>
      <c r="AM528" s="21">
        <v>2008</v>
      </c>
      <c r="AN528" s="23"/>
      <c r="AO528" s="33">
        <v>0</v>
      </c>
      <c r="AP528" s="33">
        <v>0</v>
      </c>
      <c r="AQ528" s="33">
        <v>0.20100000000000001</v>
      </c>
      <c r="AR528" s="43">
        <v>0.79900000000000004</v>
      </c>
      <c r="AS528" s="33" t="s">
        <v>107</v>
      </c>
      <c r="AT528" s="43" t="s">
        <v>107</v>
      </c>
      <c r="AU528" s="42" t="s">
        <v>107</v>
      </c>
      <c r="AV528" s="18" t="s">
        <v>107</v>
      </c>
      <c r="AW528" s="39">
        <f t="shared" si="392"/>
        <v>0.42900000000000005</v>
      </c>
      <c r="AX528" s="40">
        <v>0.57099999999999995</v>
      </c>
      <c r="AY528">
        <v>0.61499999999999999</v>
      </c>
      <c r="AZ528" s="40">
        <f t="shared" si="393"/>
        <v>0.38500000000000001</v>
      </c>
      <c r="BB528" s="18"/>
      <c r="BC528">
        <f t="shared" si="394"/>
        <v>0.47399999999999998</v>
      </c>
      <c r="BD528" s="18">
        <v>0.52600000000000002</v>
      </c>
      <c r="BE528" s="18" t="s">
        <v>28</v>
      </c>
      <c r="BL528" s="18"/>
      <c r="BO528" s="18"/>
      <c r="BR528" s="25">
        <v>37.829000000000001</v>
      </c>
      <c r="BS528">
        <v>1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0</v>
      </c>
      <c r="BZ528" s="18">
        <v>0</v>
      </c>
      <c r="CA528">
        <v>0</v>
      </c>
      <c r="CB528">
        <v>0</v>
      </c>
      <c r="CC528">
        <v>1</v>
      </c>
      <c r="CD528" s="18">
        <v>0</v>
      </c>
      <c r="CE528">
        <v>0</v>
      </c>
      <c r="CF528">
        <v>0</v>
      </c>
      <c r="CG528">
        <v>0</v>
      </c>
      <c r="CH528">
        <v>0</v>
      </c>
      <c r="CI528" s="18">
        <v>0</v>
      </c>
      <c r="CJ528">
        <v>1</v>
      </c>
      <c r="CK528">
        <v>1</v>
      </c>
      <c r="CL528">
        <v>0</v>
      </c>
      <c r="CM528">
        <v>0</v>
      </c>
      <c r="CN528">
        <v>0</v>
      </c>
      <c r="CO528">
        <v>0</v>
      </c>
      <c r="CP528">
        <v>1</v>
      </c>
      <c r="CQ528">
        <v>1</v>
      </c>
      <c r="CR528">
        <v>0</v>
      </c>
      <c r="CS528">
        <v>1</v>
      </c>
      <c r="CT528" s="18">
        <v>1</v>
      </c>
      <c r="CZ528" s="34" t="s">
        <v>87</v>
      </c>
    </row>
    <row r="529" spans="1:104" x14ac:dyDescent="0.25">
      <c r="A529">
        <v>528</v>
      </c>
      <c r="B529">
        <v>34</v>
      </c>
      <c r="C529" s="25" t="s">
        <v>334</v>
      </c>
      <c r="D529" s="12">
        <v>14.89125293076059</v>
      </c>
      <c r="E529" s="14">
        <v>0.19709011231889012</v>
      </c>
      <c r="F529" s="7">
        <v>75.555555555555571</v>
      </c>
      <c r="G529" s="7">
        <f t="shared" si="387"/>
        <v>14.694162818441701</v>
      </c>
      <c r="H529" s="16">
        <f t="shared" si="388"/>
        <v>15.08834304307948</v>
      </c>
      <c r="I529" s="11">
        <f t="shared" si="378"/>
        <v>0.34027599068456138</v>
      </c>
      <c r="J529" s="33">
        <f t="shared" si="379"/>
        <v>4.5036528178838998E-3</v>
      </c>
      <c r="K529" s="33">
        <f t="shared" si="389"/>
        <v>222.04198246121979</v>
      </c>
      <c r="L529" s="33">
        <f t="shared" si="390"/>
        <v>0.33577233786667748</v>
      </c>
      <c r="M529" s="33">
        <f t="shared" si="391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69"/>
        <v>43594</v>
      </c>
      <c r="Y529" s="7">
        <v>18</v>
      </c>
      <c r="Z529" s="7" t="s">
        <v>107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9">
        <v>0</v>
      </c>
      <c r="AL529" s="30">
        <v>1</v>
      </c>
      <c r="AM529" s="21">
        <v>2008</v>
      </c>
      <c r="AN529" s="23"/>
      <c r="AO529" s="33">
        <v>0</v>
      </c>
      <c r="AP529" s="33">
        <v>0</v>
      </c>
      <c r="AQ529" s="33">
        <v>0.20100000000000001</v>
      </c>
      <c r="AR529" s="43">
        <v>0.79900000000000004</v>
      </c>
      <c r="AS529" s="33" t="s">
        <v>107</v>
      </c>
      <c r="AT529" s="43" t="s">
        <v>107</v>
      </c>
      <c r="AU529" s="42" t="s">
        <v>107</v>
      </c>
      <c r="AV529" s="18" t="s">
        <v>107</v>
      </c>
      <c r="AW529" s="39">
        <f t="shared" si="392"/>
        <v>0.42900000000000005</v>
      </c>
      <c r="AX529" s="40">
        <v>0.57099999999999995</v>
      </c>
      <c r="AY529">
        <v>0.61499999999999999</v>
      </c>
      <c r="AZ529" s="40">
        <f t="shared" si="393"/>
        <v>0.38500000000000001</v>
      </c>
      <c r="BB529" s="18"/>
      <c r="BC529">
        <f t="shared" si="394"/>
        <v>0.47399999999999998</v>
      </c>
      <c r="BD529" s="18">
        <v>0.52600000000000002</v>
      </c>
      <c r="BE529" s="18" t="s">
        <v>28</v>
      </c>
      <c r="BL529" s="18"/>
      <c r="BO529" s="18"/>
      <c r="BR529" s="25">
        <v>37.829000000000001</v>
      </c>
      <c r="BS529">
        <v>1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0</v>
      </c>
      <c r="BZ529" s="18">
        <v>0</v>
      </c>
      <c r="CA529">
        <v>0</v>
      </c>
      <c r="CB529">
        <v>0</v>
      </c>
      <c r="CC529">
        <v>1</v>
      </c>
      <c r="CD529" s="18">
        <v>0</v>
      </c>
      <c r="CE529">
        <v>0</v>
      </c>
      <c r="CF529">
        <v>0</v>
      </c>
      <c r="CG529">
        <v>0</v>
      </c>
      <c r="CH529">
        <v>0</v>
      </c>
      <c r="CI529" s="18">
        <v>0</v>
      </c>
      <c r="CJ529">
        <v>1</v>
      </c>
      <c r="CK529">
        <v>1</v>
      </c>
      <c r="CL529">
        <v>0</v>
      </c>
      <c r="CM529">
        <v>0</v>
      </c>
      <c r="CN529">
        <v>0</v>
      </c>
      <c r="CO529">
        <v>0</v>
      </c>
      <c r="CP529">
        <v>1</v>
      </c>
      <c r="CQ529">
        <v>1</v>
      </c>
      <c r="CR529">
        <v>0</v>
      </c>
      <c r="CS529">
        <v>1</v>
      </c>
      <c r="CT529" s="18">
        <v>1</v>
      </c>
      <c r="CZ529" s="34" t="s">
        <v>87</v>
      </c>
    </row>
    <row r="530" spans="1:104" x14ac:dyDescent="0.25">
      <c r="A530">
        <v>529</v>
      </c>
      <c r="B530">
        <v>34</v>
      </c>
      <c r="C530" s="25" t="s">
        <v>334</v>
      </c>
      <c r="D530" s="12">
        <v>10.833235364008504</v>
      </c>
      <c r="E530" s="14">
        <v>0.18055392273347506</v>
      </c>
      <c r="F530" s="7">
        <v>60</v>
      </c>
      <c r="G530" s="7">
        <f t="shared" si="387"/>
        <v>10.652681441275028</v>
      </c>
      <c r="H530" s="16">
        <f t="shared" si="388"/>
        <v>11.013789286741979</v>
      </c>
      <c r="I530" s="11">
        <f t="shared" si="378"/>
        <v>0.27619286653212893</v>
      </c>
      <c r="J530" s="33">
        <f t="shared" si="379"/>
        <v>4.6032144422021486E-3</v>
      </c>
      <c r="K530" s="33">
        <f t="shared" si="389"/>
        <v>217.23949917084599</v>
      </c>
      <c r="L530" s="33">
        <f t="shared" si="390"/>
        <v>0.2715896520899268</v>
      </c>
      <c r="M530" s="33">
        <f t="shared" si="391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69"/>
        <v>43593</v>
      </c>
      <c r="Y530" s="7">
        <v>16</v>
      </c>
      <c r="Z530" s="7" t="s">
        <v>107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9">
        <v>0</v>
      </c>
      <c r="AL530" s="30">
        <v>1</v>
      </c>
      <c r="AM530" s="21">
        <v>2008</v>
      </c>
      <c r="AN530" s="23"/>
      <c r="AO530" s="33">
        <v>0</v>
      </c>
      <c r="AP530" s="33">
        <v>0</v>
      </c>
      <c r="AQ530" s="33">
        <v>0.20100000000000001</v>
      </c>
      <c r="AR530" s="43">
        <v>0.79900000000000004</v>
      </c>
      <c r="AS530" s="33" t="s">
        <v>107</v>
      </c>
      <c r="AT530" s="43" t="s">
        <v>107</v>
      </c>
      <c r="AU530" s="42" t="s">
        <v>107</v>
      </c>
      <c r="AV530" s="18" t="s">
        <v>107</v>
      </c>
      <c r="AW530" s="39">
        <f t="shared" si="392"/>
        <v>0.42900000000000005</v>
      </c>
      <c r="AX530" s="40">
        <v>0.57099999999999995</v>
      </c>
      <c r="AY530">
        <v>0.61499999999999999</v>
      </c>
      <c r="AZ530" s="40">
        <f t="shared" si="393"/>
        <v>0.38500000000000001</v>
      </c>
      <c r="BB530" s="18"/>
      <c r="BC530">
        <f t="shared" si="394"/>
        <v>0.47399999999999998</v>
      </c>
      <c r="BD530" s="18">
        <v>0.52600000000000002</v>
      </c>
      <c r="BE530" s="18" t="s">
        <v>28</v>
      </c>
      <c r="BL530" s="18"/>
      <c r="BO530" s="18"/>
      <c r="BR530" s="25">
        <v>37.829000000000001</v>
      </c>
      <c r="BS530">
        <v>1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0</v>
      </c>
      <c r="BZ530" s="18">
        <v>0</v>
      </c>
      <c r="CA530">
        <v>0</v>
      </c>
      <c r="CB530">
        <v>0</v>
      </c>
      <c r="CC530">
        <v>1</v>
      </c>
      <c r="CD530" s="18">
        <v>0</v>
      </c>
      <c r="CE530">
        <v>0</v>
      </c>
      <c r="CF530">
        <v>0</v>
      </c>
      <c r="CG530">
        <v>0</v>
      </c>
      <c r="CH530">
        <v>0</v>
      </c>
      <c r="CI530" s="18">
        <v>0</v>
      </c>
      <c r="CJ530">
        <v>1</v>
      </c>
      <c r="CK530">
        <v>1</v>
      </c>
      <c r="CL530">
        <v>0</v>
      </c>
      <c r="CM530">
        <v>0</v>
      </c>
      <c r="CN530">
        <v>0</v>
      </c>
      <c r="CO530">
        <v>0</v>
      </c>
      <c r="CP530">
        <v>1</v>
      </c>
      <c r="CQ530">
        <v>1</v>
      </c>
      <c r="CR530">
        <v>0</v>
      </c>
      <c r="CS530">
        <v>1</v>
      </c>
      <c r="CT530" s="18">
        <v>1</v>
      </c>
      <c r="CZ530" s="34" t="s">
        <v>87</v>
      </c>
    </row>
    <row r="531" spans="1:104" x14ac:dyDescent="0.25">
      <c r="A531">
        <v>530</v>
      </c>
      <c r="B531">
        <v>34</v>
      </c>
      <c r="C531" s="25" t="s">
        <v>334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387"/>
        <v>14.261056672143191</v>
      </c>
      <c r="H531" s="16">
        <f t="shared" si="388"/>
        <v>14.649406173048753</v>
      </c>
      <c r="I531" s="11">
        <f t="shared" si="378"/>
        <v>0.33584348060361058</v>
      </c>
      <c r="J531" s="33">
        <f t="shared" si="379"/>
        <v>4.5113303364664112E-3</v>
      </c>
      <c r="K531" s="33">
        <f t="shared" si="389"/>
        <v>221.66410469140459</v>
      </c>
      <c r="L531" s="33">
        <f t="shared" si="390"/>
        <v>0.33133215026714419</v>
      </c>
      <c r="M531" s="33">
        <f t="shared" si="391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69"/>
        <v>43593</v>
      </c>
      <c r="Y531" s="7">
        <v>18</v>
      </c>
      <c r="Z531" s="7" t="s">
        <v>107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9">
        <v>0</v>
      </c>
      <c r="AL531" s="30">
        <v>1</v>
      </c>
      <c r="AM531" s="21">
        <v>2008</v>
      </c>
      <c r="AN531" s="23"/>
      <c r="AO531" s="33">
        <v>0</v>
      </c>
      <c r="AP531" s="33">
        <v>0</v>
      </c>
      <c r="AQ531" s="33">
        <v>0.20100000000000001</v>
      </c>
      <c r="AR531" s="43">
        <v>0.79900000000000004</v>
      </c>
      <c r="AS531" s="33" t="s">
        <v>107</v>
      </c>
      <c r="AT531" s="43" t="s">
        <v>107</v>
      </c>
      <c r="AU531" s="42" t="s">
        <v>107</v>
      </c>
      <c r="AV531" s="18" t="s">
        <v>107</v>
      </c>
      <c r="AW531" s="39">
        <f t="shared" si="392"/>
        <v>0.42900000000000005</v>
      </c>
      <c r="AX531" s="40">
        <v>0.57099999999999995</v>
      </c>
      <c r="AY531">
        <v>0.61499999999999999</v>
      </c>
      <c r="AZ531" s="40">
        <f t="shared" si="393"/>
        <v>0.38500000000000001</v>
      </c>
      <c r="BB531" s="18"/>
      <c r="BC531">
        <f t="shared" si="394"/>
        <v>0.47399999999999998</v>
      </c>
      <c r="BD531" s="18">
        <v>0.52600000000000002</v>
      </c>
      <c r="BE531" s="18" t="s">
        <v>28</v>
      </c>
      <c r="BL531" s="18"/>
      <c r="BO531" s="18"/>
      <c r="BR531" s="25">
        <v>37.829000000000001</v>
      </c>
      <c r="BS531">
        <v>1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0</v>
      </c>
      <c r="BZ531" s="18">
        <v>0</v>
      </c>
      <c r="CA531">
        <v>0</v>
      </c>
      <c r="CB531">
        <v>0</v>
      </c>
      <c r="CC531">
        <v>1</v>
      </c>
      <c r="CD531" s="18">
        <v>0</v>
      </c>
      <c r="CE531">
        <v>0</v>
      </c>
      <c r="CF531">
        <v>0</v>
      </c>
      <c r="CG531">
        <v>0</v>
      </c>
      <c r="CH531">
        <v>0</v>
      </c>
      <c r="CI531" s="18">
        <v>0</v>
      </c>
      <c r="CJ531">
        <v>1</v>
      </c>
      <c r="CK531">
        <v>1</v>
      </c>
      <c r="CL531">
        <v>0</v>
      </c>
      <c r="CM531">
        <v>0</v>
      </c>
      <c r="CN531">
        <v>0</v>
      </c>
      <c r="CO531">
        <v>0</v>
      </c>
      <c r="CP531">
        <v>1</v>
      </c>
      <c r="CQ531">
        <v>1</v>
      </c>
      <c r="CR531">
        <v>0</v>
      </c>
      <c r="CS531">
        <v>1</v>
      </c>
      <c r="CT531" s="18">
        <v>1</v>
      </c>
      <c r="CZ531" s="34" t="s">
        <v>87</v>
      </c>
    </row>
    <row r="532" spans="1:104" x14ac:dyDescent="0.25">
      <c r="A532">
        <v>531</v>
      </c>
      <c r="B532">
        <v>34</v>
      </c>
      <c r="C532" s="25" t="s">
        <v>334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387"/>
        <v>11.496460160248311</v>
      </c>
      <c r="H532" s="16">
        <f t="shared" si="388"/>
        <v>12.352579533883823</v>
      </c>
      <c r="I532" s="11">
        <f t="shared" si="378"/>
        <v>0.13839588612814366</v>
      </c>
      <c r="J532" s="33">
        <f t="shared" si="379"/>
        <v>4.9680574507538749E-3</v>
      </c>
      <c r="K532" s="33">
        <f t="shared" si="389"/>
        <v>201.28591706367155</v>
      </c>
      <c r="L532" s="33">
        <f t="shared" si="390"/>
        <v>0.13342782867738978</v>
      </c>
      <c r="M532" s="33">
        <f t="shared" si="391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69"/>
        <v>39740</v>
      </c>
      <c r="Y532" s="7">
        <v>16</v>
      </c>
      <c r="Z532" s="7" t="s">
        <v>107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9">
        <v>0</v>
      </c>
      <c r="AL532" s="30">
        <v>1</v>
      </c>
      <c r="AM532" s="21">
        <v>2008</v>
      </c>
      <c r="AN532" s="23"/>
      <c r="AO532" s="33">
        <v>0</v>
      </c>
      <c r="AP532" s="33">
        <v>0</v>
      </c>
      <c r="AQ532" s="33">
        <v>0.20100000000000001</v>
      </c>
      <c r="AR532" s="43">
        <v>0.79900000000000004</v>
      </c>
      <c r="AS532" s="33" t="s">
        <v>107</v>
      </c>
      <c r="AT532" s="43" t="s">
        <v>107</v>
      </c>
      <c r="AU532" s="42" t="s">
        <v>107</v>
      </c>
      <c r="AV532" s="18" t="s">
        <v>107</v>
      </c>
      <c r="AW532" s="39">
        <f t="shared" si="392"/>
        <v>0.42900000000000005</v>
      </c>
      <c r="AX532" s="40">
        <v>0.57099999999999995</v>
      </c>
      <c r="AY532">
        <v>0.61499999999999999</v>
      </c>
      <c r="AZ532" s="40">
        <f t="shared" si="393"/>
        <v>0.38500000000000001</v>
      </c>
      <c r="BB532" s="18"/>
      <c r="BC532">
        <f t="shared" si="394"/>
        <v>0.47399999999999998</v>
      </c>
      <c r="BD532" s="18">
        <v>0.52600000000000002</v>
      </c>
      <c r="BE532" s="18" t="s">
        <v>28</v>
      </c>
      <c r="BL532" s="18"/>
      <c r="BO532" s="18"/>
      <c r="BR532" s="25">
        <v>37.829000000000001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0</v>
      </c>
      <c r="BZ532" s="18">
        <v>1</v>
      </c>
      <c r="CA532">
        <v>0</v>
      </c>
      <c r="CB532">
        <v>1</v>
      </c>
      <c r="CC532">
        <v>0</v>
      </c>
      <c r="CD532" s="18">
        <v>0</v>
      </c>
      <c r="CE532">
        <v>0</v>
      </c>
      <c r="CF532">
        <v>1</v>
      </c>
      <c r="CG532">
        <v>0</v>
      </c>
      <c r="CH532">
        <v>0</v>
      </c>
      <c r="CI532" s="18">
        <v>0</v>
      </c>
      <c r="CJ532">
        <v>1</v>
      </c>
      <c r="CK532">
        <v>1</v>
      </c>
      <c r="CL532">
        <v>0</v>
      </c>
      <c r="CM532">
        <v>0</v>
      </c>
      <c r="CN532">
        <v>0</v>
      </c>
      <c r="CO532">
        <v>0</v>
      </c>
      <c r="CP532">
        <v>1</v>
      </c>
      <c r="CQ532">
        <v>1</v>
      </c>
      <c r="CR532">
        <v>0</v>
      </c>
      <c r="CS532">
        <v>1</v>
      </c>
      <c r="CT532" s="18">
        <v>1</v>
      </c>
      <c r="CZ532" s="34" t="s">
        <v>87</v>
      </c>
    </row>
    <row r="533" spans="1:104" x14ac:dyDescent="0.25">
      <c r="A533">
        <v>532</v>
      </c>
      <c r="B533">
        <v>34</v>
      </c>
      <c r="C533" s="25" t="s">
        <v>334</v>
      </c>
      <c r="D533" s="12">
        <v>14.455231422595972</v>
      </c>
      <c r="E533" s="14">
        <v>0.35105562026304504</v>
      </c>
      <c r="F533" s="7">
        <v>41.17647058823529</v>
      </c>
      <c r="G533" s="7">
        <f t="shared" si="387"/>
        <v>14.104175802332927</v>
      </c>
      <c r="H533" s="16">
        <f t="shared" si="388"/>
        <v>14.806287042859017</v>
      </c>
      <c r="I533" s="11">
        <f t="shared" si="378"/>
        <v>0.20228459842864593</v>
      </c>
      <c r="J533" s="33">
        <f t="shared" si="379"/>
        <v>4.912625961838544E-3</v>
      </c>
      <c r="K533" s="33">
        <f t="shared" si="389"/>
        <v>203.55712154111387</v>
      </c>
      <c r="L533" s="33">
        <f t="shared" si="390"/>
        <v>0.19737197246680738</v>
      </c>
      <c r="M533" s="33">
        <f t="shared" si="391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69"/>
        <v>39740</v>
      </c>
      <c r="Y533" s="7">
        <v>18</v>
      </c>
      <c r="Z533" s="7" t="s">
        <v>107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9">
        <v>0</v>
      </c>
      <c r="AL533" s="30">
        <v>1</v>
      </c>
      <c r="AM533" s="21">
        <v>2008</v>
      </c>
      <c r="AN533" s="23"/>
      <c r="AO533" s="33">
        <v>0</v>
      </c>
      <c r="AP533" s="33">
        <v>0</v>
      </c>
      <c r="AQ533" s="33">
        <v>0.20100000000000001</v>
      </c>
      <c r="AR533" s="43">
        <v>0.79900000000000004</v>
      </c>
      <c r="AS533" s="33" t="s">
        <v>107</v>
      </c>
      <c r="AT533" s="43" t="s">
        <v>107</v>
      </c>
      <c r="AU533" s="42" t="s">
        <v>107</v>
      </c>
      <c r="AV533" s="18" t="s">
        <v>107</v>
      </c>
      <c r="AW533" s="39">
        <f t="shared" si="392"/>
        <v>0.42900000000000005</v>
      </c>
      <c r="AX533" s="40">
        <v>0.57099999999999995</v>
      </c>
      <c r="AY533">
        <v>0.61499999999999999</v>
      </c>
      <c r="AZ533" s="40">
        <f t="shared" si="393"/>
        <v>0.38500000000000001</v>
      </c>
      <c r="BB533" s="18"/>
      <c r="BC533">
        <f t="shared" si="394"/>
        <v>0.47399999999999998</v>
      </c>
      <c r="BD533" s="18">
        <v>0.52600000000000002</v>
      </c>
      <c r="BE533" s="18" t="s">
        <v>28</v>
      </c>
      <c r="BL533" s="18"/>
      <c r="BO533" s="18"/>
      <c r="BR533" s="25">
        <v>37.829000000000001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0</v>
      </c>
      <c r="BZ533" s="18">
        <v>1</v>
      </c>
      <c r="CA533">
        <v>0</v>
      </c>
      <c r="CB533">
        <v>1</v>
      </c>
      <c r="CC533">
        <v>0</v>
      </c>
      <c r="CD533" s="18">
        <v>0</v>
      </c>
      <c r="CE533">
        <v>0</v>
      </c>
      <c r="CF533">
        <v>1</v>
      </c>
      <c r="CG533">
        <v>0</v>
      </c>
      <c r="CH533">
        <v>0</v>
      </c>
      <c r="CI533" s="18">
        <v>0</v>
      </c>
      <c r="CJ533">
        <v>1</v>
      </c>
      <c r="CK533">
        <v>1</v>
      </c>
      <c r="CL533">
        <v>0</v>
      </c>
      <c r="CM533">
        <v>0</v>
      </c>
      <c r="CN533">
        <v>0</v>
      </c>
      <c r="CO533">
        <v>0</v>
      </c>
      <c r="CP533">
        <v>1</v>
      </c>
      <c r="CQ533">
        <v>1</v>
      </c>
      <c r="CR533">
        <v>0</v>
      </c>
      <c r="CS533">
        <v>1</v>
      </c>
      <c r="CT533" s="18">
        <v>1</v>
      </c>
      <c r="CZ533" s="34" t="s">
        <v>87</v>
      </c>
    </row>
    <row r="534" spans="1:104" x14ac:dyDescent="0.25">
      <c r="A534">
        <v>533</v>
      </c>
      <c r="B534">
        <v>34</v>
      </c>
      <c r="C534" s="25" t="s">
        <v>334</v>
      </c>
      <c r="D534" s="12">
        <v>10.123689764089844</v>
      </c>
      <c r="E534" s="14">
        <v>1.5483290227431525</v>
      </c>
      <c r="F534" s="7">
        <v>6.5384615384615392</v>
      </c>
      <c r="G534" s="7">
        <f t="shared" si="387"/>
        <v>8.5753607413466924</v>
      </c>
      <c r="H534" s="16">
        <f t="shared" si="388"/>
        <v>11.672018786832997</v>
      </c>
      <c r="I534" s="11">
        <f t="shared" si="378"/>
        <v>0.10494498983487337</v>
      </c>
      <c r="J534" s="33">
        <f t="shared" si="379"/>
        <v>1.6050410210039456E-2</v>
      </c>
      <c r="K534" s="33">
        <f t="shared" si="389"/>
        <v>62.303703576031019</v>
      </c>
      <c r="L534" s="33">
        <f t="shared" si="390"/>
        <v>8.8894579624833908E-2</v>
      </c>
      <c r="M534" s="33">
        <f t="shared" si="391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69"/>
        <v>3839</v>
      </c>
      <c r="Y534" s="7">
        <v>16</v>
      </c>
      <c r="Z534" s="7" t="s">
        <v>107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9">
        <v>0</v>
      </c>
      <c r="AL534" s="30">
        <v>1</v>
      </c>
      <c r="AM534" s="21">
        <v>2008</v>
      </c>
      <c r="AN534" s="23"/>
      <c r="AO534" s="33">
        <v>0</v>
      </c>
      <c r="AP534" s="33">
        <v>0</v>
      </c>
      <c r="AQ534" s="33">
        <v>0.20100000000000001</v>
      </c>
      <c r="AR534" s="43">
        <v>0.79900000000000004</v>
      </c>
      <c r="AS534" s="33" t="s">
        <v>107</v>
      </c>
      <c r="AT534" s="43" t="s">
        <v>107</v>
      </c>
      <c r="AU534" s="42" t="s">
        <v>107</v>
      </c>
      <c r="AV534" s="18" t="s">
        <v>107</v>
      </c>
      <c r="AW534" s="39">
        <f t="shared" si="392"/>
        <v>0.42900000000000005</v>
      </c>
      <c r="AX534" s="40">
        <v>0.57099999999999995</v>
      </c>
      <c r="AY534">
        <v>0.61499999999999999</v>
      </c>
      <c r="AZ534" s="40">
        <f t="shared" si="393"/>
        <v>0.38500000000000001</v>
      </c>
      <c r="BB534" s="18"/>
      <c r="BC534">
        <f t="shared" si="394"/>
        <v>0.47399999999999998</v>
      </c>
      <c r="BD534" s="18">
        <v>0.52600000000000002</v>
      </c>
      <c r="BE534" s="18" t="s">
        <v>28</v>
      </c>
      <c r="BL534" s="18"/>
      <c r="BO534" s="18"/>
      <c r="BR534" s="25">
        <v>37.829000000000001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0</v>
      </c>
      <c r="BZ534" s="18">
        <v>1</v>
      </c>
      <c r="CA534">
        <v>0</v>
      </c>
      <c r="CB534">
        <v>1</v>
      </c>
      <c r="CC534">
        <v>0</v>
      </c>
      <c r="CD534" s="18">
        <v>0</v>
      </c>
      <c r="CE534">
        <v>0</v>
      </c>
      <c r="CF534">
        <v>1</v>
      </c>
      <c r="CG534">
        <v>0</v>
      </c>
      <c r="CH534">
        <v>0</v>
      </c>
      <c r="CI534" s="18">
        <v>0</v>
      </c>
      <c r="CJ534">
        <v>1</v>
      </c>
      <c r="CK534">
        <v>1</v>
      </c>
      <c r="CL534">
        <v>0</v>
      </c>
      <c r="CM534">
        <v>0</v>
      </c>
      <c r="CN534">
        <v>0</v>
      </c>
      <c r="CO534">
        <v>0</v>
      </c>
      <c r="CP534">
        <v>1</v>
      </c>
      <c r="CQ534">
        <v>1</v>
      </c>
      <c r="CR534">
        <v>0</v>
      </c>
      <c r="CS534">
        <v>1</v>
      </c>
      <c r="CT534" s="18">
        <v>1</v>
      </c>
      <c r="CZ534" s="34" t="s">
        <v>87</v>
      </c>
    </row>
    <row r="535" spans="1:104" x14ac:dyDescent="0.25">
      <c r="A535">
        <v>534</v>
      </c>
      <c r="B535">
        <v>34</v>
      </c>
      <c r="C535" s="25" t="s">
        <v>334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387"/>
        <v>14.877754288107726</v>
      </c>
      <c r="H535" s="16">
        <f t="shared" si="388"/>
        <v>16.638983767696804</v>
      </c>
      <c r="I535" s="11">
        <f t="shared" si="378"/>
        <v>0.27747207748426905</v>
      </c>
      <c r="J535" s="33">
        <f t="shared" si="379"/>
        <v>1.5505792565297388E-2</v>
      </c>
      <c r="K535" s="33">
        <f t="shared" si="389"/>
        <v>64.492027465789903</v>
      </c>
      <c r="L535" s="33">
        <f t="shared" si="390"/>
        <v>0.26196628491897167</v>
      </c>
      <c r="M535" s="33">
        <f t="shared" si="391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69"/>
        <v>3839</v>
      </c>
      <c r="Y535" s="7">
        <v>18</v>
      </c>
      <c r="Z535" s="7" t="s">
        <v>107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9">
        <v>0</v>
      </c>
      <c r="AL535" s="30">
        <v>1</v>
      </c>
      <c r="AM535" s="21">
        <v>2008</v>
      </c>
      <c r="AN535" s="23"/>
      <c r="AO535" s="33">
        <v>0</v>
      </c>
      <c r="AP535" s="33">
        <v>0</v>
      </c>
      <c r="AQ535" s="33">
        <v>0.20100000000000001</v>
      </c>
      <c r="AR535" s="43">
        <v>0.79900000000000004</v>
      </c>
      <c r="AS535" s="33" t="s">
        <v>107</v>
      </c>
      <c r="AT535" s="43" t="s">
        <v>107</v>
      </c>
      <c r="AU535" s="42" t="s">
        <v>107</v>
      </c>
      <c r="AV535" s="18" t="s">
        <v>107</v>
      </c>
      <c r="AW535" s="39">
        <f t="shared" si="392"/>
        <v>0.42900000000000005</v>
      </c>
      <c r="AX535" s="40">
        <v>0.57099999999999995</v>
      </c>
      <c r="AY535">
        <v>0.61499999999999999</v>
      </c>
      <c r="AZ535" s="40">
        <f t="shared" si="393"/>
        <v>0.38500000000000001</v>
      </c>
      <c r="BB535" s="18"/>
      <c r="BC535">
        <f t="shared" si="394"/>
        <v>0.47399999999999998</v>
      </c>
      <c r="BD535" s="18">
        <v>0.52600000000000002</v>
      </c>
      <c r="BE535" s="18" t="s">
        <v>28</v>
      </c>
      <c r="BL535" s="18"/>
      <c r="BO535" s="18"/>
      <c r="BR535" s="25">
        <v>37.829000000000001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0</v>
      </c>
      <c r="BZ535" s="18">
        <v>1</v>
      </c>
      <c r="CA535">
        <v>0</v>
      </c>
      <c r="CB535">
        <v>1</v>
      </c>
      <c r="CC535">
        <v>0</v>
      </c>
      <c r="CD535" s="18">
        <v>0</v>
      </c>
      <c r="CE535">
        <v>0</v>
      </c>
      <c r="CF535">
        <v>1</v>
      </c>
      <c r="CG535">
        <v>0</v>
      </c>
      <c r="CH535">
        <v>0</v>
      </c>
      <c r="CI535" s="18">
        <v>0</v>
      </c>
      <c r="CJ535">
        <v>1</v>
      </c>
      <c r="CK535">
        <v>1</v>
      </c>
      <c r="CL535">
        <v>0</v>
      </c>
      <c r="CM535">
        <v>0</v>
      </c>
      <c r="CN535">
        <v>0</v>
      </c>
      <c r="CO535">
        <v>0</v>
      </c>
      <c r="CP535">
        <v>1</v>
      </c>
      <c r="CQ535">
        <v>1</v>
      </c>
      <c r="CR535">
        <v>0</v>
      </c>
      <c r="CS535">
        <v>1</v>
      </c>
      <c r="CT535" s="18">
        <v>1</v>
      </c>
      <c r="CZ535" s="34" t="s">
        <v>87</v>
      </c>
    </row>
    <row r="536" spans="1:104" x14ac:dyDescent="0.25">
      <c r="A536">
        <v>535</v>
      </c>
      <c r="B536">
        <v>34</v>
      </c>
      <c r="C536" s="25" t="s">
        <v>334</v>
      </c>
      <c r="D536" s="12">
        <v>10.833235364008504</v>
      </c>
      <c r="E536" s="14">
        <v>0.27083088410021261</v>
      </c>
      <c r="F536" s="7">
        <v>40</v>
      </c>
      <c r="G536" s="7">
        <f t="shared" si="387"/>
        <v>10.562404479908292</v>
      </c>
      <c r="H536" s="16">
        <f t="shared" si="388"/>
        <v>11.104066248108715</v>
      </c>
      <c r="I536" s="11">
        <f t="shared" si="378"/>
        <v>0.28075187769348076</v>
      </c>
      <c r="J536" s="33">
        <f t="shared" si="379"/>
        <v>7.0187969423370199E-3</v>
      </c>
      <c r="K536" s="33">
        <f t="shared" si="389"/>
        <v>142.47455913249917</v>
      </c>
      <c r="L536" s="33">
        <f t="shared" si="390"/>
        <v>0.27373308075114372</v>
      </c>
      <c r="M536" s="33">
        <f t="shared" si="391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69"/>
        <v>18699</v>
      </c>
      <c r="Y536" s="7">
        <v>16</v>
      </c>
      <c r="Z536" s="7" t="s">
        <v>107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9">
        <v>0</v>
      </c>
      <c r="AL536" s="30">
        <v>1</v>
      </c>
      <c r="AM536" s="21">
        <v>2008</v>
      </c>
      <c r="AN536" s="23"/>
      <c r="AO536" s="33">
        <v>0</v>
      </c>
      <c r="AP536" s="33">
        <v>0</v>
      </c>
      <c r="AQ536" s="33">
        <v>0.20100000000000001</v>
      </c>
      <c r="AR536" s="43">
        <v>0.79900000000000004</v>
      </c>
      <c r="AS536" s="33" t="s">
        <v>107</v>
      </c>
      <c r="AT536" s="43" t="s">
        <v>107</v>
      </c>
      <c r="AU536" s="42" t="s">
        <v>107</v>
      </c>
      <c r="AV536" s="18" t="s">
        <v>107</v>
      </c>
      <c r="AW536">
        <v>1</v>
      </c>
      <c r="AX536" s="40">
        <v>0</v>
      </c>
      <c r="AY536">
        <v>0.61499999999999999</v>
      </c>
      <c r="AZ536" s="40">
        <f t="shared" si="393"/>
        <v>0.38500000000000001</v>
      </c>
      <c r="BB536" s="18"/>
      <c r="BC536">
        <f t="shared" si="394"/>
        <v>0.47399999999999998</v>
      </c>
      <c r="BD536" s="18">
        <v>0.52600000000000002</v>
      </c>
      <c r="BE536" s="18" t="s">
        <v>28</v>
      </c>
      <c r="BL536" s="18"/>
      <c r="BO536" s="18"/>
      <c r="BR536" s="25">
        <v>37.829000000000001</v>
      </c>
      <c r="BS536">
        <v>1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0</v>
      </c>
      <c r="BZ536" s="18">
        <v>0</v>
      </c>
      <c r="CA536">
        <v>0</v>
      </c>
      <c r="CB536">
        <v>0</v>
      </c>
      <c r="CC536">
        <v>1</v>
      </c>
      <c r="CD536" s="18">
        <v>0</v>
      </c>
      <c r="CE536">
        <v>0</v>
      </c>
      <c r="CF536">
        <v>0</v>
      </c>
      <c r="CG536">
        <v>0</v>
      </c>
      <c r="CH536">
        <v>0</v>
      </c>
      <c r="CI536" s="18">
        <v>0</v>
      </c>
      <c r="CJ536">
        <v>1</v>
      </c>
      <c r="CK536">
        <v>1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1</v>
      </c>
      <c r="CR536">
        <v>0</v>
      </c>
      <c r="CS536">
        <v>1</v>
      </c>
      <c r="CT536" s="18">
        <v>1</v>
      </c>
      <c r="CZ536" s="34" t="s">
        <v>87</v>
      </c>
    </row>
    <row r="537" spans="1:104" x14ac:dyDescent="0.25">
      <c r="A537">
        <v>536</v>
      </c>
      <c r="B537">
        <v>34</v>
      </c>
      <c r="C537" s="25" t="s">
        <v>334</v>
      </c>
      <c r="D537" s="12">
        <v>14.89125293076059</v>
      </c>
      <c r="E537" s="14">
        <v>0.28468571779395241</v>
      </c>
      <c r="F537" s="7">
        <v>52.307692307692314</v>
      </c>
      <c r="G537" s="7">
        <f t="shared" si="387"/>
        <v>14.606567212966638</v>
      </c>
      <c r="H537" s="16">
        <f t="shared" si="388"/>
        <v>15.175938648554542</v>
      </c>
      <c r="I537" s="11">
        <f t="shared" si="378"/>
        <v>0.35727518878461628</v>
      </c>
      <c r="J537" s="33">
        <f t="shared" si="379"/>
        <v>6.83026096205884E-3</v>
      </c>
      <c r="K537" s="33">
        <f t="shared" si="389"/>
        <v>146.40729037365665</v>
      </c>
      <c r="L537" s="33">
        <f t="shared" si="390"/>
        <v>0.35044492782255743</v>
      </c>
      <c r="M537" s="33">
        <f t="shared" si="391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69"/>
        <v>18699</v>
      </c>
      <c r="Y537" s="7">
        <v>18</v>
      </c>
      <c r="Z537" s="7" t="s">
        <v>107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9">
        <v>0</v>
      </c>
      <c r="AL537" s="30">
        <v>1</v>
      </c>
      <c r="AM537" s="21">
        <v>2008</v>
      </c>
      <c r="AN537" s="23"/>
      <c r="AO537" s="33">
        <v>0</v>
      </c>
      <c r="AP537" s="33">
        <v>0</v>
      </c>
      <c r="AQ537" s="33">
        <v>0.20100000000000001</v>
      </c>
      <c r="AR537" s="43">
        <v>0.79900000000000004</v>
      </c>
      <c r="AS537" s="33" t="s">
        <v>107</v>
      </c>
      <c r="AT537" s="43" t="s">
        <v>107</v>
      </c>
      <c r="AU537" s="42" t="s">
        <v>107</v>
      </c>
      <c r="AV537" s="18" t="s">
        <v>107</v>
      </c>
      <c r="AW537">
        <v>1</v>
      </c>
      <c r="AX537" s="40">
        <v>0</v>
      </c>
      <c r="AY537">
        <v>0.61499999999999999</v>
      </c>
      <c r="AZ537" s="40">
        <f t="shared" si="393"/>
        <v>0.38500000000000001</v>
      </c>
      <c r="BB537" s="18"/>
      <c r="BC537">
        <f t="shared" si="394"/>
        <v>0.47399999999999998</v>
      </c>
      <c r="BD537" s="18">
        <v>0.52600000000000002</v>
      </c>
      <c r="BE537" s="18" t="s">
        <v>28</v>
      </c>
      <c r="BL537" s="18"/>
      <c r="BO537" s="18"/>
      <c r="BR537" s="25">
        <v>37.829000000000001</v>
      </c>
      <c r="BS537">
        <v>1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0</v>
      </c>
      <c r="BZ537" s="18">
        <v>0</v>
      </c>
      <c r="CA537">
        <v>0</v>
      </c>
      <c r="CB537">
        <v>0</v>
      </c>
      <c r="CC537">
        <v>1</v>
      </c>
      <c r="CD537" s="18">
        <v>0</v>
      </c>
      <c r="CE537">
        <v>0</v>
      </c>
      <c r="CF537">
        <v>0</v>
      </c>
      <c r="CG537">
        <v>0</v>
      </c>
      <c r="CH537">
        <v>0</v>
      </c>
      <c r="CI537" s="18">
        <v>0</v>
      </c>
      <c r="CJ537">
        <v>1</v>
      </c>
      <c r="CK537">
        <v>1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1</v>
      </c>
      <c r="CR537">
        <v>0</v>
      </c>
      <c r="CS537">
        <v>1</v>
      </c>
      <c r="CT537" s="18">
        <v>1</v>
      </c>
      <c r="CZ537" s="34" t="s">
        <v>87</v>
      </c>
    </row>
    <row r="538" spans="1:104" x14ac:dyDescent="0.25">
      <c r="A538">
        <v>537</v>
      </c>
      <c r="B538">
        <v>34</v>
      </c>
      <c r="C538" s="25" t="s">
        <v>334</v>
      </c>
      <c r="D538" s="12">
        <v>11.193365366583114</v>
      </c>
      <c r="E538" s="14">
        <v>0.2420187106288241</v>
      </c>
      <c r="F538" s="7">
        <v>46.25</v>
      </c>
      <c r="G538" s="7">
        <f t="shared" si="387"/>
        <v>10.951346655954289</v>
      </c>
      <c r="H538" s="16">
        <f t="shared" si="388"/>
        <v>11.435384077211939</v>
      </c>
      <c r="I538" s="11">
        <f t="shared" si="378"/>
        <v>0.28136402135764199</v>
      </c>
      <c r="J538" s="33">
        <f t="shared" si="379"/>
        <v>6.0835464077327985E-3</v>
      </c>
      <c r="K538" s="33">
        <f t="shared" si="389"/>
        <v>164.37780415859072</v>
      </c>
      <c r="L538" s="33">
        <f t="shared" si="390"/>
        <v>0.2752804749499092</v>
      </c>
      <c r="M538" s="33">
        <f t="shared" si="391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69"/>
        <v>24881</v>
      </c>
      <c r="Y538" s="7">
        <v>16</v>
      </c>
      <c r="Z538" s="7" t="s">
        <v>107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9">
        <v>0</v>
      </c>
      <c r="AL538" s="30">
        <v>1</v>
      </c>
      <c r="AM538" s="21">
        <v>2008</v>
      </c>
      <c r="AN538" s="23"/>
      <c r="AO538" s="33">
        <v>0</v>
      </c>
      <c r="AP538" s="33">
        <v>0</v>
      </c>
      <c r="AQ538" s="33">
        <v>0.20100000000000001</v>
      </c>
      <c r="AR538" s="43">
        <v>0.79900000000000004</v>
      </c>
      <c r="AS538" s="33" t="s">
        <v>107</v>
      </c>
      <c r="AT538" s="43" t="s">
        <v>107</v>
      </c>
      <c r="AU538" s="42" t="s">
        <v>107</v>
      </c>
      <c r="AV538" s="18" t="s">
        <v>107</v>
      </c>
      <c r="AW538">
        <v>0</v>
      </c>
      <c r="AX538" s="40">
        <v>1</v>
      </c>
      <c r="AY538">
        <v>0.61499999999999999</v>
      </c>
      <c r="AZ538" s="40">
        <f t="shared" si="393"/>
        <v>0.38500000000000001</v>
      </c>
      <c r="BB538" s="18"/>
      <c r="BC538">
        <f t="shared" si="394"/>
        <v>0.47399999999999998</v>
      </c>
      <c r="BD538" s="18">
        <v>0.52600000000000002</v>
      </c>
      <c r="BE538" s="18" t="s">
        <v>28</v>
      </c>
      <c r="BL538" s="18"/>
      <c r="BO538" s="18"/>
      <c r="BR538" s="25">
        <v>37.829000000000001</v>
      </c>
      <c r="BS538">
        <v>1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0</v>
      </c>
      <c r="BZ538" s="18">
        <v>0</v>
      </c>
      <c r="CA538">
        <v>0</v>
      </c>
      <c r="CB538">
        <v>0</v>
      </c>
      <c r="CC538">
        <v>1</v>
      </c>
      <c r="CD538" s="18">
        <v>0</v>
      </c>
      <c r="CE538">
        <v>0</v>
      </c>
      <c r="CF538">
        <v>0</v>
      </c>
      <c r="CG538">
        <v>0</v>
      </c>
      <c r="CH538">
        <v>0</v>
      </c>
      <c r="CI538" s="18">
        <v>0</v>
      </c>
      <c r="CJ538">
        <v>1</v>
      </c>
      <c r="CK538">
        <v>1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1</v>
      </c>
      <c r="CR538">
        <v>0</v>
      </c>
      <c r="CS538">
        <v>1</v>
      </c>
      <c r="CT538" s="18">
        <v>1</v>
      </c>
      <c r="CZ538" s="34" t="s">
        <v>87</v>
      </c>
    </row>
    <row r="539" spans="1:104" x14ac:dyDescent="0.25">
      <c r="A539">
        <v>538</v>
      </c>
      <c r="B539">
        <v>34</v>
      </c>
      <c r="C539" s="25" t="s">
        <v>334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387"/>
        <v>14.632274618921254</v>
      </c>
      <c r="H539" s="16">
        <f t="shared" si="388"/>
        <v>15.150231242599883</v>
      </c>
      <c r="I539" s="11">
        <f t="shared" si="378"/>
        <v>0.34248494936346119</v>
      </c>
      <c r="J539" s="33">
        <f t="shared" si="379"/>
        <v>5.9562599889297612E-3</v>
      </c>
      <c r="K539" s="33">
        <f t="shared" si="389"/>
        <v>167.89058937296036</v>
      </c>
      <c r="L539" s="33">
        <f t="shared" si="390"/>
        <v>0.33652868937453145</v>
      </c>
      <c r="M539" s="33">
        <f t="shared" si="391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69"/>
        <v>24881</v>
      </c>
      <c r="Y539" s="7">
        <v>18</v>
      </c>
      <c r="Z539" s="7" t="s">
        <v>107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9">
        <v>0</v>
      </c>
      <c r="AL539" s="30">
        <v>1</v>
      </c>
      <c r="AM539" s="21">
        <v>2008</v>
      </c>
      <c r="AN539" s="23"/>
      <c r="AO539" s="33">
        <v>0</v>
      </c>
      <c r="AP539" s="33">
        <v>0</v>
      </c>
      <c r="AQ539" s="33">
        <v>0.20100000000000001</v>
      </c>
      <c r="AR539" s="43">
        <v>0.79900000000000004</v>
      </c>
      <c r="AS539" s="33" t="s">
        <v>107</v>
      </c>
      <c r="AT539" s="43" t="s">
        <v>107</v>
      </c>
      <c r="AU539" s="42" t="s">
        <v>107</v>
      </c>
      <c r="AV539" s="18" t="s">
        <v>107</v>
      </c>
      <c r="AW539">
        <v>0</v>
      </c>
      <c r="AX539" s="40">
        <v>1</v>
      </c>
      <c r="AY539">
        <v>0.61499999999999999</v>
      </c>
      <c r="AZ539" s="40">
        <f t="shared" si="393"/>
        <v>0.38500000000000001</v>
      </c>
      <c r="BB539" s="18"/>
      <c r="BC539">
        <f t="shared" si="394"/>
        <v>0.47399999999999998</v>
      </c>
      <c r="BD539" s="18">
        <v>0.52600000000000002</v>
      </c>
      <c r="BE539" s="18" t="s">
        <v>28</v>
      </c>
      <c r="BL539" s="18"/>
      <c r="BO539" s="18"/>
      <c r="BR539" s="25">
        <v>37.829000000000001</v>
      </c>
      <c r="BS539">
        <v>1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0</v>
      </c>
      <c r="BZ539" s="18">
        <v>0</v>
      </c>
      <c r="CA539">
        <v>0</v>
      </c>
      <c r="CB539">
        <v>0</v>
      </c>
      <c r="CC539">
        <v>1</v>
      </c>
      <c r="CD539" s="18">
        <v>0</v>
      </c>
      <c r="CE539">
        <v>0</v>
      </c>
      <c r="CF539">
        <v>0</v>
      </c>
      <c r="CG539">
        <v>0</v>
      </c>
      <c r="CH539">
        <v>0</v>
      </c>
      <c r="CI539" s="18">
        <v>0</v>
      </c>
      <c r="CJ539">
        <v>1</v>
      </c>
      <c r="CK539">
        <v>1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1</v>
      </c>
      <c r="CR539">
        <v>0</v>
      </c>
      <c r="CS539">
        <v>1</v>
      </c>
      <c r="CT539" s="18">
        <v>1</v>
      </c>
      <c r="CZ539" s="34" t="s">
        <v>87</v>
      </c>
    </row>
    <row r="540" spans="1:104" s="98" customFormat="1" x14ac:dyDescent="0.25">
      <c r="A540" s="98">
        <v>539</v>
      </c>
      <c r="B540" s="98">
        <v>35</v>
      </c>
      <c r="C540" s="99" t="s">
        <v>335</v>
      </c>
      <c r="D540" s="100">
        <v>8.07</v>
      </c>
      <c r="E540" s="101">
        <v>0.36</v>
      </c>
      <c r="F540" s="102">
        <f>D540/E540</f>
        <v>22.416666666666668</v>
      </c>
      <c r="G540" s="102">
        <f t="shared" si="387"/>
        <v>7.71</v>
      </c>
      <c r="H540" s="103">
        <f t="shared" si="388"/>
        <v>8.43</v>
      </c>
      <c r="I540" s="104">
        <f t="shared" si="378"/>
        <v>0.13448371164683043</v>
      </c>
      <c r="J540" s="105">
        <f t="shared" si="379"/>
        <v>5.9992733820147404E-3</v>
      </c>
      <c r="K540" s="105">
        <f t="shared" ref="K540:K563" si="395">IFERROR(1/J540, "X")</f>
        <v>166.68685294420925</v>
      </c>
      <c r="L540" s="105">
        <f t="shared" ref="L540:L563" si="396">IFERROR(I540-J540, "X")</f>
        <v>0.12848443826481568</v>
      </c>
      <c r="M540" s="105">
        <f t="shared" ref="M540:M563" si="397">IFERROR(I540+J540, "X")</f>
        <v>0.14048298502884518</v>
      </c>
      <c r="N540" s="106">
        <v>1</v>
      </c>
      <c r="O540" s="107">
        <v>0</v>
      </c>
      <c r="P540" s="106">
        <v>0</v>
      </c>
      <c r="Q540" s="107">
        <v>0</v>
      </c>
      <c r="R540" s="107">
        <v>1</v>
      </c>
      <c r="S540" s="107">
        <v>0</v>
      </c>
      <c r="T540" s="107">
        <v>0</v>
      </c>
      <c r="U540" s="106">
        <v>27356</v>
      </c>
      <c r="V540" s="107">
        <v>73</v>
      </c>
      <c r="W540" s="107">
        <f t="shared" si="369"/>
        <v>27282</v>
      </c>
      <c r="X540" s="107"/>
      <c r="Y540" s="102">
        <v>5</v>
      </c>
      <c r="Z540" s="102">
        <f t="shared" ref="Z540:Z563" si="398">BR540-Y540-6</f>
        <v>23.878999999999998</v>
      </c>
      <c r="AA540" s="107">
        <v>1</v>
      </c>
      <c r="AB540" s="107">
        <v>0</v>
      </c>
      <c r="AC540" s="107">
        <v>0</v>
      </c>
      <c r="AD540" s="107">
        <v>1</v>
      </c>
      <c r="AE540" s="107">
        <v>0</v>
      </c>
      <c r="AF540" s="107">
        <v>0</v>
      </c>
      <c r="AG540" s="106">
        <v>0</v>
      </c>
      <c r="AH540" s="107">
        <v>1</v>
      </c>
      <c r="AI540" s="108">
        <v>0</v>
      </c>
      <c r="AJ540" s="107">
        <v>0</v>
      </c>
      <c r="AK540" s="107">
        <v>0</v>
      </c>
      <c r="AL540" s="108">
        <v>1</v>
      </c>
      <c r="AM540" s="109">
        <v>1983</v>
      </c>
      <c r="AN540" s="110"/>
      <c r="AO540" s="105">
        <f t="shared" ref="AO540:AO563" si="399">1-SUM(AP540:AR540)</f>
        <v>0.28200000000000003</v>
      </c>
      <c r="AP540" s="105">
        <v>0.1472</v>
      </c>
      <c r="AQ540" s="105">
        <v>0.43049999999999999</v>
      </c>
      <c r="AR540" s="111">
        <v>0.14030000000000001</v>
      </c>
      <c r="AS540" s="105" t="s">
        <v>107</v>
      </c>
      <c r="AT540" s="111" t="s">
        <v>107</v>
      </c>
      <c r="AU540" s="112">
        <f>1-AV540</f>
        <v>0.54134831999999999</v>
      </c>
      <c r="AV540" s="113">
        <f>(0.6116*BC540+0.39*BD540)</f>
        <v>0.45865168000000001</v>
      </c>
      <c r="AW540" s="98">
        <v>1</v>
      </c>
      <c r="AX540" s="114">
        <v>0</v>
      </c>
      <c r="AY540" s="98" t="s">
        <v>107</v>
      </c>
      <c r="AZ540" s="114" t="s">
        <v>107</v>
      </c>
      <c r="BB540" s="113"/>
      <c r="BC540" s="98">
        <v>0.30980000000000002</v>
      </c>
      <c r="BD540" s="113">
        <f t="shared" ref="BD540:BD563" si="400">1-BC540</f>
        <v>0.69019999999999992</v>
      </c>
      <c r="BE540" s="113" t="s">
        <v>12</v>
      </c>
      <c r="BL540" s="113"/>
      <c r="BO540" s="113"/>
      <c r="BR540" s="99">
        <v>34.878999999999998</v>
      </c>
      <c r="BS540" s="98">
        <v>0</v>
      </c>
      <c r="BT540" s="98">
        <v>0</v>
      </c>
      <c r="BU540" s="98">
        <v>0</v>
      </c>
      <c r="BV540" s="98">
        <v>0</v>
      </c>
      <c r="BW540" s="98">
        <v>0</v>
      </c>
      <c r="BX540" s="98">
        <v>0</v>
      </c>
      <c r="BY540" s="98">
        <v>1</v>
      </c>
      <c r="BZ540" s="113">
        <v>0</v>
      </c>
      <c r="CA540" s="98">
        <v>0</v>
      </c>
      <c r="CB540" s="98">
        <v>0</v>
      </c>
      <c r="CC540" s="98">
        <v>0</v>
      </c>
      <c r="CD540" s="113">
        <v>1</v>
      </c>
      <c r="CE540" s="98">
        <v>0</v>
      </c>
      <c r="CF540" s="98">
        <v>0</v>
      </c>
      <c r="CG540" s="98">
        <v>0</v>
      </c>
      <c r="CH540" s="98">
        <v>0</v>
      </c>
      <c r="CI540" s="113">
        <v>0</v>
      </c>
      <c r="CJ540" s="98">
        <v>1</v>
      </c>
      <c r="CK540" s="98">
        <v>0</v>
      </c>
      <c r="CL540" s="98">
        <v>0</v>
      </c>
      <c r="CM540" s="98">
        <v>0</v>
      </c>
      <c r="CN540" s="98">
        <v>1</v>
      </c>
      <c r="CO540" s="98">
        <v>0</v>
      </c>
      <c r="CP540" s="98">
        <v>0</v>
      </c>
      <c r="CQ540" s="98">
        <v>0</v>
      </c>
      <c r="CR540" s="98">
        <v>1</v>
      </c>
      <c r="CS540" s="98">
        <v>1</v>
      </c>
      <c r="CT540" s="113">
        <v>1</v>
      </c>
      <c r="CY540" s="99"/>
      <c r="CZ540" s="115" t="s">
        <v>87</v>
      </c>
    </row>
    <row r="541" spans="1:104" x14ac:dyDescent="0.25">
      <c r="A541">
        <v>540</v>
      </c>
      <c r="B541">
        <v>35</v>
      </c>
      <c r="C541" s="25" t="s">
        <v>335</v>
      </c>
      <c r="D541" s="12">
        <v>5.0999999999999996</v>
      </c>
      <c r="E541" s="14">
        <v>0.47000000000000003</v>
      </c>
      <c r="F541" s="7">
        <f t="shared" ref="F541:F563" si="401">D541/E541</f>
        <v>10.851063829787233</v>
      </c>
      <c r="G541" s="7">
        <f t="shared" si="387"/>
        <v>4.63</v>
      </c>
      <c r="H541" s="16">
        <f t="shared" si="388"/>
        <v>5.5699999999999994</v>
      </c>
      <c r="I541" s="11">
        <f t="shared" si="378"/>
        <v>6.6744826887680922E-2</v>
      </c>
      <c r="J541" s="33">
        <f t="shared" si="379"/>
        <v>6.1509938504333405E-3</v>
      </c>
      <c r="K541" s="33">
        <f t="shared" si="395"/>
        <v>162.5753535633188</v>
      </c>
      <c r="L541" s="33">
        <f t="shared" si="396"/>
        <v>6.059383303724758E-2</v>
      </c>
      <c r="M541" s="33">
        <f t="shared" si="397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02">U541-V541-1</f>
        <v>26313</v>
      </c>
      <c r="Y541" s="7">
        <v>5</v>
      </c>
      <c r="Z541" s="7">
        <f t="shared" si="398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9">
        <v>0</v>
      </c>
      <c r="AL541" s="30">
        <v>1</v>
      </c>
      <c r="AM541" s="21">
        <v>1993</v>
      </c>
      <c r="AN541" s="23"/>
      <c r="AO541" s="33">
        <f t="shared" si="399"/>
        <v>0.19130000000000003</v>
      </c>
      <c r="AP541" s="33">
        <v>0.1027</v>
      </c>
      <c r="AQ541" s="33">
        <v>0.4718</v>
      </c>
      <c r="AR541" s="43">
        <v>0.23419999999999999</v>
      </c>
      <c r="AS541" s="33" t="s">
        <v>107</v>
      </c>
      <c r="AT541" s="43" t="s">
        <v>107</v>
      </c>
      <c r="AU541" s="42">
        <f t="shared" ref="AU541:AU563" si="403">1-AV541</f>
        <v>0.52929399999999993</v>
      </c>
      <c r="AV541" s="18">
        <f>(0.622*BC541+0.4104*BD541)</f>
        <v>0.47070600000000001</v>
      </c>
      <c r="AW541">
        <v>1</v>
      </c>
      <c r="AX541" s="40">
        <v>0</v>
      </c>
      <c r="AY541" t="s">
        <v>107</v>
      </c>
      <c r="AZ541" s="40" t="s">
        <v>107</v>
      </c>
      <c r="BB541" s="18"/>
      <c r="BC541">
        <v>0.28499999999999998</v>
      </c>
      <c r="BD541" s="18">
        <f t="shared" si="400"/>
        <v>0.71500000000000008</v>
      </c>
      <c r="BE541" s="18" t="s">
        <v>12</v>
      </c>
      <c r="BL541" s="18"/>
      <c r="BO541" s="18"/>
      <c r="BR541" s="25">
        <v>36.769599999999997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1</v>
      </c>
      <c r="BZ541" s="18">
        <v>0</v>
      </c>
      <c r="CA541">
        <v>0</v>
      </c>
      <c r="CB541">
        <v>0</v>
      </c>
      <c r="CC541">
        <v>0</v>
      </c>
      <c r="CD541" s="18">
        <v>1</v>
      </c>
      <c r="CE541">
        <v>0</v>
      </c>
      <c r="CF541">
        <v>0</v>
      </c>
      <c r="CG541">
        <v>0</v>
      </c>
      <c r="CH541">
        <v>0</v>
      </c>
      <c r="CI541" s="18">
        <v>0</v>
      </c>
      <c r="CJ541">
        <v>1</v>
      </c>
      <c r="CK541">
        <v>0</v>
      </c>
      <c r="CL541">
        <v>0</v>
      </c>
      <c r="CM541">
        <v>0</v>
      </c>
      <c r="CN541">
        <v>1</v>
      </c>
      <c r="CO541">
        <v>0</v>
      </c>
      <c r="CP541">
        <v>0</v>
      </c>
      <c r="CQ541">
        <v>0</v>
      </c>
      <c r="CR541">
        <v>1</v>
      </c>
      <c r="CS541">
        <v>1</v>
      </c>
      <c r="CT541" s="18">
        <v>1</v>
      </c>
      <c r="CZ541" s="34" t="s">
        <v>87</v>
      </c>
    </row>
    <row r="542" spans="1:104" x14ac:dyDescent="0.25">
      <c r="A542">
        <v>541</v>
      </c>
      <c r="B542">
        <v>35</v>
      </c>
      <c r="C542" s="25" t="s">
        <v>335</v>
      </c>
      <c r="D542" s="12">
        <v>5.6</v>
      </c>
      <c r="E542" s="14">
        <v>0.55999999999999994</v>
      </c>
      <c r="F542" s="7">
        <f t="shared" si="401"/>
        <v>10</v>
      </c>
      <c r="G542" s="7">
        <f t="shared" si="387"/>
        <v>5.04</v>
      </c>
      <c r="H542" s="16">
        <f t="shared" si="388"/>
        <v>6.1599999999999993</v>
      </c>
      <c r="I542" s="11">
        <f t="shared" si="378"/>
        <v>6.0499488705856599E-2</v>
      </c>
      <c r="J542" s="33">
        <f t="shared" si="379"/>
        <v>6.0499488705856603E-3</v>
      </c>
      <c r="K542" s="33">
        <f t="shared" si="395"/>
        <v>165.29065309327083</v>
      </c>
      <c r="L542" s="33">
        <f t="shared" si="396"/>
        <v>5.4449539835270941E-2</v>
      </c>
      <c r="M542" s="33">
        <f t="shared" si="397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02"/>
        <v>27221</v>
      </c>
      <c r="Y542" s="7">
        <v>5</v>
      </c>
      <c r="Z542" s="7">
        <f t="shared" si="398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9">
        <v>0</v>
      </c>
      <c r="AL542" s="30">
        <v>1</v>
      </c>
      <c r="AM542" s="21">
        <v>1999</v>
      </c>
      <c r="AN542" s="23"/>
      <c r="AO542" s="33">
        <f t="shared" si="399"/>
        <v>0.16289999999999993</v>
      </c>
      <c r="AP542" s="33">
        <v>9.69E-2</v>
      </c>
      <c r="AQ542" s="33">
        <v>0.49940000000000001</v>
      </c>
      <c r="AR542" s="43">
        <v>0.24079999999999999</v>
      </c>
      <c r="AS542" s="33" t="s">
        <v>107</v>
      </c>
      <c r="AT542" s="43" t="s">
        <v>107</v>
      </c>
      <c r="AU542" s="42">
        <f t="shared" si="403"/>
        <v>0.53514991000000001</v>
      </c>
      <c r="AV542" s="18">
        <f>(0.5965*BC542+0.4124*BD542)</f>
        <v>0.46485008999999999</v>
      </c>
      <c r="AW542">
        <v>1</v>
      </c>
      <c r="AX542" s="40">
        <v>0</v>
      </c>
      <c r="AY542" t="s">
        <v>107</v>
      </c>
      <c r="AZ542" s="40" t="s">
        <v>107</v>
      </c>
      <c r="BB542" s="18"/>
      <c r="BC542">
        <v>0.28489999999999999</v>
      </c>
      <c r="BD542" s="18">
        <f t="shared" si="400"/>
        <v>0.71510000000000007</v>
      </c>
      <c r="BE542" s="18" t="s">
        <v>12</v>
      </c>
      <c r="BL542" s="18"/>
      <c r="BO542" s="18"/>
      <c r="BR542" s="25">
        <v>37.110999999999997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1</v>
      </c>
      <c r="BZ542" s="18">
        <v>0</v>
      </c>
      <c r="CA542">
        <v>0</v>
      </c>
      <c r="CB542">
        <v>0</v>
      </c>
      <c r="CC542">
        <v>0</v>
      </c>
      <c r="CD542" s="18">
        <v>1</v>
      </c>
      <c r="CE542">
        <v>0</v>
      </c>
      <c r="CF542">
        <v>0</v>
      </c>
      <c r="CG542">
        <v>0</v>
      </c>
      <c r="CH542">
        <v>0</v>
      </c>
      <c r="CI542" s="18">
        <v>0</v>
      </c>
      <c r="CJ542">
        <v>1</v>
      </c>
      <c r="CK542">
        <v>0</v>
      </c>
      <c r="CL542">
        <v>0</v>
      </c>
      <c r="CM542">
        <v>0</v>
      </c>
      <c r="CN542">
        <v>1</v>
      </c>
      <c r="CO542">
        <v>0</v>
      </c>
      <c r="CP542">
        <v>0</v>
      </c>
      <c r="CQ542">
        <v>0</v>
      </c>
      <c r="CR542">
        <v>1</v>
      </c>
      <c r="CS542">
        <v>1</v>
      </c>
      <c r="CT542" s="18">
        <v>1</v>
      </c>
      <c r="CZ542" s="34" t="s">
        <v>87</v>
      </c>
    </row>
    <row r="543" spans="1:104" x14ac:dyDescent="0.25">
      <c r="A543">
        <v>542</v>
      </c>
      <c r="B543">
        <v>35</v>
      </c>
      <c r="C543" s="25" t="s">
        <v>335</v>
      </c>
      <c r="D543" s="12">
        <v>3.42</v>
      </c>
      <c r="E543" s="14">
        <v>0.26</v>
      </c>
      <c r="F543" s="7">
        <f t="shared" si="401"/>
        <v>13.153846153846153</v>
      </c>
      <c r="G543" s="7">
        <f t="shared" si="387"/>
        <v>3.16</v>
      </c>
      <c r="H543" s="16">
        <f t="shared" si="388"/>
        <v>3.6799999999999997</v>
      </c>
      <c r="I543" s="11">
        <f t="shared" si="378"/>
        <v>7.9385621078379501E-2</v>
      </c>
      <c r="J543" s="33">
        <f t="shared" si="379"/>
        <v>6.0351641755493181E-3</v>
      </c>
      <c r="K543" s="33">
        <f t="shared" si="395"/>
        <v>165.69557528382904</v>
      </c>
      <c r="L543" s="33">
        <f t="shared" si="396"/>
        <v>7.335045690283018E-2</v>
      </c>
      <c r="M543" s="33">
        <f t="shared" si="397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02"/>
        <v>27282</v>
      </c>
      <c r="Y543" s="7">
        <v>8</v>
      </c>
      <c r="Z543" s="7">
        <f t="shared" si="398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9">
        <v>0</v>
      </c>
      <c r="AL543" s="30">
        <v>1</v>
      </c>
      <c r="AM543" s="21">
        <v>1983</v>
      </c>
      <c r="AN543" s="23"/>
      <c r="AO543" s="33">
        <f t="shared" si="399"/>
        <v>0.28200000000000003</v>
      </c>
      <c r="AP543" s="33">
        <v>0.1472</v>
      </c>
      <c r="AQ543" s="33">
        <v>0.43049999999999999</v>
      </c>
      <c r="AR543" s="43">
        <v>0.14030000000000001</v>
      </c>
      <c r="AS543" s="33" t="s">
        <v>107</v>
      </c>
      <c r="AT543" s="43" t="s">
        <v>107</v>
      </c>
      <c r="AU543" s="42">
        <f t="shared" si="403"/>
        <v>0.54134831999999999</v>
      </c>
      <c r="AV543" s="18">
        <v>0.45865168000000001</v>
      </c>
      <c r="AW543">
        <v>1</v>
      </c>
      <c r="AX543" s="40">
        <v>0</v>
      </c>
      <c r="AY543" t="s">
        <v>107</v>
      </c>
      <c r="AZ543" s="40" t="s">
        <v>107</v>
      </c>
      <c r="BB543" s="18"/>
      <c r="BC543">
        <v>0.30980000000000002</v>
      </c>
      <c r="BD543" s="18">
        <f t="shared" si="400"/>
        <v>0.69019999999999992</v>
      </c>
      <c r="BE543" s="18" t="s">
        <v>12</v>
      </c>
      <c r="BL543" s="18"/>
      <c r="BO543" s="18"/>
      <c r="BR543" s="25">
        <v>34.878999999999998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1</v>
      </c>
      <c r="BZ543" s="18">
        <v>0</v>
      </c>
      <c r="CA543">
        <v>0</v>
      </c>
      <c r="CB543">
        <v>0</v>
      </c>
      <c r="CC543">
        <v>0</v>
      </c>
      <c r="CD543" s="18">
        <v>1</v>
      </c>
      <c r="CE543">
        <v>0</v>
      </c>
      <c r="CF543">
        <v>0</v>
      </c>
      <c r="CG543">
        <v>0</v>
      </c>
      <c r="CH543">
        <v>0</v>
      </c>
      <c r="CI543" s="18">
        <v>0</v>
      </c>
      <c r="CJ543">
        <v>1</v>
      </c>
      <c r="CK543">
        <v>0</v>
      </c>
      <c r="CL543">
        <v>0</v>
      </c>
      <c r="CM543">
        <v>0</v>
      </c>
      <c r="CN543">
        <v>1</v>
      </c>
      <c r="CO543">
        <v>0</v>
      </c>
      <c r="CP543">
        <v>0</v>
      </c>
      <c r="CQ543">
        <v>0</v>
      </c>
      <c r="CR543">
        <v>1</v>
      </c>
      <c r="CS543">
        <v>1</v>
      </c>
      <c r="CT543" s="18">
        <v>1</v>
      </c>
      <c r="CZ543" s="34" t="s">
        <v>87</v>
      </c>
    </row>
    <row r="544" spans="1:104" x14ac:dyDescent="0.25">
      <c r="A544">
        <v>543</v>
      </c>
      <c r="B544">
        <v>35</v>
      </c>
      <c r="C544" s="25" t="s">
        <v>335</v>
      </c>
      <c r="D544" s="12">
        <v>3.14</v>
      </c>
      <c r="E544" s="14">
        <v>0.32</v>
      </c>
      <c r="F544" s="7">
        <f t="shared" si="401"/>
        <v>9.8125</v>
      </c>
      <c r="G544" s="7">
        <f t="shared" si="387"/>
        <v>2.8200000000000003</v>
      </c>
      <c r="H544" s="16">
        <f t="shared" si="388"/>
        <v>3.46</v>
      </c>
      <c r="I544" s="11">
        <f t="shared" si="378"/>
        <v>6.0381145354891051E-2</v>
      </c>
      <c r="J544" s="33">
        <f t="shared" si="379"/>
        <v>6.1534925202436745E-3</v>
      </c>
      <c r="K544" s="33">
        <f t="shared" si="395"/>
        <v>162.50933867396668</v>
      </c>
      <c r="L544" s="33">
        <f t="shared" si="396"/>
        <v>5.422765283464738E-2</v>
      </c>
      <c r="M544" s="33">
        <f t="shared" si="397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02"/>
        <v>26313</v>
      </c>
      <c r="Y544" s="7">
        <v>8</v>
      </c>
      <c r="Z544" s="7">
        <f t="shared" si="398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9">
        <v>0</v>
      </c>
      <c r="AL544" s="30">
        <v>1</v>
      </c>
      <c r="AM544" s="21">
        <v>1993</v>
      </c>
      <c r="AN544" s="23"/>
      <c r="AO544" s="33">
        <f t="shared" si="399"/>
        <v>0.19130000000000003</v>
      </c>
      <c r="AP544" s="33">
        <v>0.1027</v>
      </c>
      <c r="AQ544" s="33">
        <v>0.4718</v>
      </c>
      <c r="AR544" s="43">
        <v>0.23419999999999999</v>
      </c>
      <c r="AS544" s="33" t="s">
        <v>107</v>
      </c>
      <c r="AT544" s="43" t="s">
        <v>107</v>
      </c>
      <c r="AU544" s="42">
        <f t="shared" si="403"/>
        <v>0.52929399999999993</v>
      </c>
      <c r="AV544" s="18">
        <v>0.47070600000000001</v>
      </c>
      <c r="AW544">
        <v>1</v>
      </c>
      <c r="AX544" s="40">
        <v>0</v>
      </c>
      <c r="AY544" t="s">
        <v>107</v>
      </c>
      <c r="AZ544" s="40" t="s">
        <v>107</v>
      </c>
      <c r="BB544" s="18"/>
      <c r="BC544">
        <v>0.28499999999999998</v>
      </c>
      <c r="BD544" s="18">
        <f t="shared" si="400"/>
        <v>0.71500000000000008</v>
      </c>
      <c r="BE544" s="18" t="s">
        <v>12</v>
      </c>
      <c r="BL544" s="18"/>
      <c r="BO544" s="18"/>
      <c r="BR544" s="25">
        <v>36.769599999999997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1</v>
      </c>
      <c r="BZ544" s="18">
        <v>0</v>
      </c>
      <c r="CA544">
        <v>0</v>
      </c>
      <c r="CB544">
        <v>0</v>
      </c>
      <c r="CC544">
        <v>0</v>
      </c>
      <c r="CD544" s="18">
        <v>1</v>
      </c>
      <c r="CE544">
        <v>0</v>
      </c>
      <c r="CF544">
        <v>0</v>
      </c>
      <c r="CG544">
        <v>0</v>
      </c>
      <c r="CH544">
        <v>0</v>
      </c>
      <c r="CI544" s="18">
        <v>0</v>
      </c>
      <c r="CJ544">
        <v>1</v>
      </c>
      <c r="CK544">
        <v>0</v>
      </c>
      <c r="CL544">
        <v>0</v>
      </c>
      <c r="CM544">
        <v>0</v>
      </c>
      <c r="CN544">
        <v>1</v>
      </c>
      <c r="CO544">
        <v>0</v>
      </c>
      <c r="CP544">
        <v>0</v>
      </c>
      <c r="CQ544">
        <v>0</v>
      </c>
      <c r="CR544">
        <v>1</v>
      </c>
      <c r="CS544">
        <v>1</v>
      </c>
      <c r="CT544" s="18">
        <v>1</v>
      </c>
      <c r="CZ544" s="34" t="s">
        <v>87</v>
      </c>
    </row>
    <row r="545" spans="1:104" x14ac:dyDescent="0.25">
      <c r="A545">
        <v>544</v>
      </c>
      <c r="B545">
        <v>35</v>
      </c>
      <c r="C545" s="25" t="s">
        <v>335</v>
      </c>
      <c r="D545" s="12">
        <v>3.53</v>
      </c>
      <c r="E545" s="14">
        <v>0.36</v>
      </c>
      <c r="F545" s="7">
        <f t="shared" si="401"/>
        <v>9.8055555555555554</v>
      </c>
      <c r="G545" s="7">
        <f t="shared" si="387"/>
        <v>3.17</v>
      </c>
      <c r="H545" s="16">
        <f t="shared" si="388"/>
        <v>3.8899999999999997</v>
      </c>
      <c r="I545" s="11">
        <f t="shared" si="378"/>
        <v>5.9327291198186465E-2</v>
      </c>
      <c r="J545" s="33">
        <f t="shared" si="379"/>
        <v>6.0503753063306312E-3</v>
      </c>
      <c r="K545" s="33">
        <f t="shared" si="395"/>
        <v>165.27900326343055</v>
      </c>
      <c r="L545" s="33">
        <f t="shared" si="396"/>
        <v>5.3276915891855833E-2</v>
      </c>
      <c r="M545" s="33">
        <f t="shared" si="397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02"/>
        <v>27221</v>
      </c>
      <c r="Y545" s="7">
        <v>8</v>
      </c>
      <c r="Z545" s="7">
        <f t="shared" si="398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9">
        <v>0</v>
      </c>
      <c r="AL545" s="30">
        <v>1</v>
      </c>
      <c r="AM545" s="21">
        <v>1999</v>
      </c>
      <c r="AN545" s="23"/>
      <c r="AO545" s="33">
        <f t="shared" si="399"/>
        <v>0.16289999999999993</v>
      </c>
      <c r="AP545" s="33">
        <v>9.69E-2</v>
      </c>
      <c r="AQ545" s="33">
        <v>0.49940000000000001</v>
      </c>
      <c r="AR545" s="43">
        <v>0.24079999999999999</v>
      </c>
      <c r="AS545" s="33" t="s">
        <v>107</v>
      </c>
      <c r="AT545" s="43" t="s">
        <v>107</v>
      </c>
      <c r="AU545" s="42">
        <f t="shared" si="403"/>
        <v>0.53514991000000001</v>
      </c>
      <c r="AV545" s="18">
        <v>0.46485008999999999</v>
      </c>
      <c r="AW545">
        <v>1</v>
      </c>
      <c r="AX545" s="40">
        <v>0</v>
      </c>
      <c r="AY545" t="s">
        <v>107</v>
      </c>
      <c r="AZ545" s="40" t="s">
        <v>107</v>
      </c>
      <c r="BB545" s="18"/>
      <c r="BC545">
        <v>0.28489999999999999</v>
      </c>
      <c r="BD545" s="18">
        <f t="shared" si="400"/>
        <v>0.71510000000000007</v>
      </c>
      <c r="BE545" s="18" t="s">
        <v>12</v>
      </c>
      <c r="BL545" s="18"/>
      <c r="BO545" s="18"/>
      <c r="BR545" s="25">
        <v>37.110999999999997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1</v>
      </c>
      <c r="BZ545" s="18">
        <v>0</v>
      </c>
      <c r="CA545">
        <v>0</v>
      </c>
      <c r="CB545">
        <v>0</v>
      </c>
      <c r="CC545">
        <v>0</v>
      </c>
      <c r="CD545" s="18">
        <v>1</v>
      </c>
      <c r="CE545">
        <v>0</v>
      </c>
      <c r="CF545">
        <v>0</v>
      </c>
      <c r="CG545">
        <v>0</v>
      </c>
      <c r="CH545">
        <v>0</v>
      </c>
      <c r="CI545" s="18">
        <v>0</v>
      </c>
      <c r="CJ545">
        <v>1</v>
      </c>
      <c r="CK545">
        <v>0</v>
      </c>
      <c r="CL545">
        <v>0</v>
      </c>
      <c r="CM545">
        <v>0</v>
      </c>
      <c r="CN545">
        <v>1</v>
      </c>
      <c r="CO545">
        <v>0</v>
      </c>
      <c r="CP545">
        <v>0</v>
      </c>
      <c r="CQ545">
        <v>0</v>
      </c>
      <c r="CR545">
        <v>1</v>
      </c>
      <c r="CS545">
        <v>1</v>
      </c>
      <c r="CT545" s="18">
        <v>1</v>
      </c>
      <c r="CZ545" s="34" t="s">
        <v>87</v>
      </c>
    </row>
    <row r="546" spans="1:104" x14ac:dyDescent="0.25">
      <c r="A546">
        <v>545</v>
      </c>
      <c r="B546">
        <v>35</v>
      </c>
      <c r="C546" s="25" t="s">
        <v>335</v>
      </c>
      <c r="D546" s="12">
        <v>6</v>
      </c>
      <c r="E546" s="14">
        <v>0.18</v>
      </c>
      <c r="F546" s="7">
        <f t="shared" si="401"/>
        <v>33.333333333333336</v>
      </c>
      <c r="G546" s="7">
        <f t="shared" si="387"/>
        <v>5.82</v>
      </c>
      <c r="H546" s="16">
        <f t="shared" si="388"/>
        <v>6.18</v>
      </c>
      <c r="I546" s="11">
        <f t="shared" si="378"/>
        <v>0.1978209368545675</v>
      </c>
      <c r="J546" s="33">
        <f t="shared" si="379"/>
        <v>5.9346281056370243E-3</v>
      </c>
      <c r="K546" s="33">
        <f t="shared" si="395"/>
        <v>168.50255520647485</v>
      </c>
      <c r="L546" s="33">
        <f t="shared" si="396"/>
        <v>0.19188630874893048</v>
      </c>
      <c r="M546" s="33">
        <f t="shared" si="397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02"/>
        <v>27282</v>
      </c>
      <c r="Y546" s="7">
        <v>12</v>
      </c>
      <c r="Z546" s="7">
        <f t="shared" si="398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9">
        <v>0</v>
      </c>
      <c r="AL546" s="30">
        <v>1</v>
      </c>
      <c r="AM546" s="21">
        <v>1983</v>
      </c>
      <c r="AN546" s="23"/>
      <c r="AO546" s="33">
        <f t="shared" si="399"/>
        <v>0.28200000000000003</v>
      </c>
      <c r="AP546" s="33">
        <v>0.1472</v>
      </c>
      <c r="AQ546" s="33">
        <v>0.43049999999999999</v>
      </c>
      <c r="AR546" s="43">
        <v>0.14030000000000001</v>
      </c>
      <c r="AS546" s="33" t="s">
        <v>107</v>
      </c>
      <c r="AT546" s="43" t="s">
        <v>107</v>
      </c>
      <c r="AU546" s="42">
        <f t="shared" si="403"/>
        <v>0.54134831999999999</v>
      </c>
      <c r="AV546" s="18">
        <v>0.45865168000000001</v>
      </c>
      <c r="AW546">
        <v>1</v>
      </c>
      <c r="AX546" s="40">
        <v>0</v>
      </c>
      <c r="AY546" t="s">
        <v>107</v>
      </c>
      <c r="AZ546" s="40" t="s">
        <v>107</v>
      </c>
      <c r="BB546" s="18"/>
      <c r="BC546">
        <v>0.30980000000000002</v>
      </c>
      <c r="BD546" s="18">
        <f t="shared" si="400"/>
        <v>0.69019999999999992</v>
      </c>
      <c r="BE546" s="18" t="s">
        <v>12</v>
      </c>
      <c r="BL546" s="18"/>
      <c r="BO546" s="18"/>
      <c r="BR546" s="25">
        <v>34.878999999999998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1</v>
      </c>
      <c r="BZ546" s="18">
        <v>0</v>
      </c>
      <c r="CA546">
        <v>0</v>
      </c>
      <c r="CB546">
        <v>0</v>
      </c>
      <c r="CC546">
        <v>0</v>
      </c>
      <c r="CD546" s="18">
        <v>1</v>
      </c>
      <c r="CE546">
        <v>0</v>
      </c>
      <c r="CF546">
        <v>0</v>
      </c>
      <c r="CG546">
        <v>0</v>
      </c>
      <c r="CH546">
        <v>0</v>
      </c>
      <c r="CI546" s="18">
        <v>0</v>
      </c>
      <c r="CJ546">
        <v>1</v>
      </c>
      <c r="CK546">
        <v>0</v>
      </c>
      <c r="CL546">
        <v>0</v>
      </c>
      <c r="CM546">
        <v>0</v>
      </c>
      <c r="CN546">
        <v>1</v>
      </c>
      <c r="CO546">
        <v>0</v>
      </c>
      <c r="CP546">
        <v>0</v>
      </c>
      <c r="CQ546">
        <v>0</v>
      </c>
      <c r="CR546">
        <v>1</v>
      </c>
      <c r="CS546">
        <v>1</v>
      </c>
      <c r="CT546" s="18">
        <v>1</v>
      </c>
      <c r="CZ546" s="34" t="s">
        <v>87</v>
      </c>
    </row>
    <row r="547" spans="1:104" x14ac:dyDescent="0.25">
      <c r="A547">
        <v>546</v>
      </c>
      <c r="B547">
        <v>35</v>
      </c>
      <c r="C547" s="25" t="s">
        <v>335</v>
      </c>
      <c r="D547" s="12">
        <v>5.37</v>
      </c>
      <c r="E547" s="14">
        <v>0.2</v>
      </c>
      <c r="F547" s="7">
        <f t="shared" si="401"/>
        <v>26.849999999999998</v>
      </c>
      <c r="G547" s="7">
        <f t="shared" si="387"/>
        <v>5.17</v>
      </c>
      <c r="H547" s="16">
        <f t="shared" si="388"/>
        <v>5.57</v>
      </c>
      <c r="I547" s="11">
        <f t="shared" si="378"/>
        <v>0.16330134352703748</v>
      </c>
      <c r="J547" s="33">
        <f t="shared" si="379"/>
        <v>6.0819867235395713E-3</v>
      </c>
      <c r="K547" s="33">
        <f t="shared" si="395"/>
        <v>164.41995773019772</v>
      </c>
      <c r="L547" s="33">
        <f t="shared" si="396"/>
        <v>0.15721935680349791</v>
      </c>
      <c r="M547" s="33">
        <f t="shared" si="397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02"/>
        <v>26313</v>
      </c>
      <c r="Y547" s="7">
        <v>12</v>
      </c>
      <c r="Z547" s="7">
        <f t="shared" si="398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9">
        <v>0</v>
      </c>
      <c r="AL547" s="30">
        <v>1</v>
      </c>
      <c r="AM547" s="21">
        <v>1993</v>
      </c>
      <c r="AN547" s="23"/>
      <c r="AO547" s="33">
        <f t="shared" si="399"/>
        <v>0.19130000000000003</v>
      </c>
      <c r="AP547" s="33">
        <v>0.1027</v>
      </c>
      <c r="AQ547" s="33">
        <v>0.4718</v>
      </c>
      <c r="AR547" s="43">
        <v>0.23419999999999999</v>
      </c>
      <c r="AS547" s="33" t="s">
        <v>107</v>
      </c>
      <c r="AT547" s="43" t="s">
        <v>107</v>
      </c>
      <c r="AU547" s="42">
        <f t="shared" si="403"/>
        <v>0.52929399999999993</v>
      </c>
      <c r="AV547" s="18">
        <v>0.47070600000000001</v>
      </c>
      <c r="AW547">
        <v>1</v>
      </c>
      <c r="AX547" s="40">
        <v>0</v>
      </c>
      <c r="AY547" t="s">
        <v>107</v>
      </c>
      <c r="AZ547" s="40" t="s">
        <v>107</v>
      </c>
      <c r="BB547" s="18"/>
      <c r="BC547">
        <v>0.28499999999999998</v>
      </c>
      <c r="BD547" s="18">
        <f t="shared" si="400"/>
        <v>0.71500000000000008</v>
      </c>
      <c r="BE547" s="18" t="s">
        <v>12</v>
      </c>
      <c r="BL547" s="18"/>
      <c r="BO547" s="18"/>
      <c r="BR547" s="25">
        <v>36.769599999999997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1</v>
      </c>
      <c r="BZ547" s="18">
        <v>0</v>
      </c>
      <c r="CA547">
        <v>0</v>
      </c>
      <c r="CB547">
        <v>0</v>
      </c>
      <c r="CC547">
        <v>0</v>
      </c>
      <c r="CD547" s="18">
        <v>1</v>
      </c>
      <c r="CE547">
        <v>0</v>
      </c>
      <c r="CF547">
        <v>0</v>
      </c>
      <c r="CG547">
        <v>0</v>
      </c>
      <c r="CH547">
        <v>0</v>
      </c>
      <c r="CI547" s="18">
        <v>0</v>
      </c>
      <c r="CJ547">
        <v>1</v>
      </c>
      <c r="CK547">
        <v>0</v>
      </c>
      <c r="CL547">
        <v>0</v>
      </c>
      <c r="CM547">
        <v>0</v>
      </c>
      <c r="CN547">
        <v>1</v>
      </c>
      <c r="CO547">
        <v>0</v>
      </c>
      <c r="CP547">
        <v>0</v>
      </c>
      <c r="CQ547">
        <v>0</v>
      </c>
      <c r="CR547">
        <v>1</v>
      </c>
      <c r="CS547">
        <v>1</v>
      </c>
      <c r="CT547" s="18">
        <v>1</v>
      </c>
      <c r="CZ547" s="34" t="s">
        <v>87</v>
      </c>
    </row>
    <row r="548" spans="1:104" x14ac:dyDescent="0.25">
      <c r="A548">
        <v>547</v>
      </c>
      <c r="B548">
        <v>35</v>
      </c>
      <c r="C548" s="25" t="s">
        <v>335</v>
      </c>
      <c r="D548" s="12">
        <v>6.12</v>
      </c>
      <c r="E548" s="14">
        <v>0.21</v>
      </c>
      <c r="F548" s="7">
        <f t="shared" si="401"/>
        <v>29.142857142857146</v>
      </c>
      <c r="G548" s="7">
        <f t="shared" si="387"/>
        <v>5.91</v>
      </c>
      <c r="H548" s="16">
        <f t="shared" si="388"/>
        <v>6.33</v>
      </c>
      <c r="I548" s="11">
        <f t="shared" si="378"/>
        <v>0.17394363957968195</v>
      </c>
      <c r="J548" s="33">
        <f t="shared" si="379"/>
        <v>5.9686542993028112E-3</v>
      </c>
      <c r="K548" s="33">
        <f t="shared" si="395"/>
        <v>167.54195332050114</v>
      </c>
      <c r="L548" s="33">
        <f t="shared" si="396"/>
        <v>0.16797498528037913</v>
      </c>
      <c r="M548" s="33">
        <f t="shared" si="397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02"/>
        <v>27221</v>
      </c>
      <c r="Y548" s="7">
        <v>12</v>
      </c>
      <c r="Z548" s="7">
        <f t="shared" si="398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9">
        <v>0</v>
      </c>
      <c r="AL548" s="30">
        <v>1</v>
      </c>
      <c r="AM548" s="21">
        <v>1999</v>
      </c>
      <c r="AN548" s="23"/>
      <c r="AO548" s="33">
        <f t="shared" si="399"/>
        <v>0.16289999999999993</v>
      </c>
      <c r="AP548" s="33">
        <v>9.69E-2</v>
      </c>
      <c r="AQ548" s="33">
        <v>0.49940000000000001</v>
      </c>
      <c r="AR548" s="43">
        <v>0.24079999999999999</v>
      </c>
      <c r="AS548" s="33" t="s">
        <v>107</v>
      </c>
      <c r="AT548" s="43" t="s">
        <v>107</v>
      </c>
      <c r="AU548" s="42">
        <f t="shared" si="403"/>
        <v>0.53514991000000001</v>
      </c>
      <c r="AV548" s="18">
        <v>0.46485008999999999</v>
      </c>
      <c r="AW548">
        <v>1</v>
      </c>
      <c r="AX548" s="40">
        <v>0</v>
      </c>
      <c r="AY548" t="s">
        <v>107</v>
      </c>
      <c r="AZ548" s="40" t="s">
        <v>107</v>
      </c>
      <c r="BB548" s="18"/>
      <c r="BC548">
        <v>0.28489999999999999</v>
      </c>
      <c r="BD548" s="18">
        <f t="shared" si="400"/>
        <v>0.71510000000000007</v>
      </c>
      <c r="BE548" s="18" t="s">
        <v>12</v>
      </c>
      <c r="BL548" s="18"/>
      <c r="BO548" s="18"/>
      <c r="BR548" s="25">
        <v>37.110999999999997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1</v>
      </c>
      <c r="BZ548" s="18">
        <v>0</v>
      </c>
      <c r="CA548">
        <v>0</v>
      </c>
      <c r="CB548">
        <v>0</v>
      </c>
      <c r="CC548">
        <v>0</v>
      </c>
      <c r="CD548" s="18">
        <v>1</v>
      </c>
      <c r="CE548">
        <v>0</v>
      </c>
      <c r="CF548">
        <v>0</v>
      </c>
      <c r="CG548">
        <v>0</v>
      </c>
      <c r="CH548">
        <v>0</v>
      </c>
      <c r="CI548" s="18">
        <v>0</v>
      </c>
      <c r="CJ548">
        <v>1</v>
      </c>
      <c r="CK548">
        <v>0</v>
      </c>
      <c r="CL548">
        <v>0</v>
      </c>
      <c r="CM548">
        <v>0</v>
      </c>
      <c r="CN548">
        <v>1</v>
      </c>
      <c r="CO548">
        <v>0</v>
      </c>
      <c r="CP548">
        <v>0</v>
      </c>
      <c r="CQ548">
        <v>0</v>
      </c>
      <c r="CR548">
        <v>1</v>
      </c>
      <c r="CS548">
        <v>1</v>
      </c>
      <c r="CT548" s="18">
        <v>1</v>
      </c>
      <c r="CZ548" s="34" t="s">
        <v>87</v>
      </c>
    </row>
    <row r="549" spans="1:104" x14ac:dyDescent="0.25">
      <c r="A549">
        <v>548</v>
      </c>
      <c r="B549">
        <v>35</v>
      </c>
      <c r="C549" s="25" t="s">
        <v>335</v>
      </c>
      <c r="D549" s="12">
        <v>9.9700000000000006</v>
      </c>
      <c r="E549" s="14">
        <v>0.27999999999999997</v>
      </c>
      <c r="F549" s="7">
        <f t="shared" si="401"/>
        <v>35.607142857142861</v>
      </c>
      <c r="G549" s="7">
        <f t="shared" si="387"/>
        <v>9.6900000000000013</v>
      </c>
      <c r="H549" s="16">
        <f t="shared" si="388"/>
        <v>10.25</v>
      </c>
      <c r="I549" s="11">
        <f t="shared" si="378"/>
        <v>0.21073422283035781</v>
      </c>
      <c r="J549" s="33">
        <f t="shared" si="379"/>
        <v>5.9183131787863769E-3</v>
      </c>
      <c r="K549" s="33">
        <f t="shared" si="395"/>
        <v>168.96706372085944</v>
      </c>
      <c r="L549" s="33">
        <f t="shared" si="396"/>
        <v>0.20481590965157143</v>
      </c>
      <c r="M549" s="33">
        <f t="shared" si="397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02"/>
        <v>27282</v>
      </c>
      <c r="Y549" s="7">
        <v>15.5</v>
      </c>
      <c r="Z549" s="7">
        <f t="shared" si="398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9">
        <v>0</v>
      </c>
      <c r="AL549" s="30">
        <v>1</v>
      </c>
      <c r="AM549" s="21">
        <v>1983</v>
      </c>
      <c r="AN549" s="23"/>
      <c r="AO549" s="33">
        <f t="shared" si="399"/>
        <v>0.28200000000000003</v>
      </c>
      <c r="AP549" s="33">
        <v>0.1472</v>
      </c>
      <c r="AQ549" s="33">
        <v>0.43049999999999999</v>
      </c>
      <c r="AR549" s="43">
        <v>0.14030000000000001</v>
      </c>
      <c r="AS549" s="33" t="s">
        <v>107</v>
      </c>
      <c r="AT549" s="43" t="s">
        <v>107</v>
      </c>
      <c r="AU549" s="42">
        <f t="shared" si="403"/>
        <v>0.54134831999999999</v>
      </c>
      <c r="AV549" s="18">
        <v>0.45865168000000001</v>
      </c>
      <c r="AW549">
        <v>1</v>
      </c>
      <c r="AX549" s="40">
        <v>0</v>
      </c>
      <c r="AY549" t="s">
        <v>107</v>
      </c>
      <c r="AZ549" s="40" t="s">
        <v>107</v>
      </c>
      <c r="BB549" s="18"/>
      <c r="BC549">
        <v>0.30980000000000002</v>
      </c>
      <c r="BD549" s="18">
        <f t="shared" si="400"/>
        <v>0.69019999999999992</v>
      </c>
      <c r="BE549" s="18" t="s">
        <v>12</v>
      </c>
      <c r="BL549" s="18"/>
      <c r="BO549" s="18"/>
      <c r="BR549" s="25">
        <v>34.878999999999998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1</v>
      </c>
      <c r="BZ549" s="18">
        <v>0</v>
      </c>
      <c r="CA549">
        <v>0</v>
      </c>
      <c r="CB549">
        <v>0</v>
      </c>
      <c r="CC549">
        <v>0</v>
      </c>
      <c r="CD549" s="18">
        <v>1</v>
      </c>
      <c r="CE549">
        <v>0</v>
      </c>
      <c r="CF549">
        <v>0</v>
      </c>
      <c r="CG549">
        <v>0</v>
      </c>
      <c r="CH549">
        <v>0</v>
      </c>
      <c r="CI549" s="18">
        <v>0</v>
      </c>
      <c r="CJ549">
        <v>1</v>
      </c>
      <c r="CK549">
        <v>0</v>
      </c>
      <c r="CL549">
        <v>0</v>
      </c>
      <c r="CM549">
        <v>0</v>
      </c>
      <c r="CN549">
        <v>1</v>
      </c>
      <c r="CO549">
        <v>0</v>
      </c>
      <c r="CP549">
        <v>0</v>
      </c>
      <c r="CQ549">
        <v>0</v>
      </c>
      <c r="CR549">
        <v>1</v>
      </c>
      <c r="CS549">
        <v>1</v>
      </c>
      <c r="CT549" s="18">
        <v>1</v>
      </c>
      <c r="CZ549" s="34" t="s">
        <v>87</v>
      </c>
    </row>
    <row r="550" spans="1:104" x14ac:dyDescent="0.25">
      <c r="A550">
        <v>549</v>
      </c>
      <c r="B550">
        <v>35</v>
      </c>
      <c r="C550" s="25" t="s">
        <v>335</v>
      </c>
      <c r="D550" s="12">
        <v>10.94</v>
      </c>
      <c r="E550" s="14">
        <v>0.27999999999999997</v>
      </c>
      <c r="F550" s="7">
        <f t="shared" si="401"/>
        <v>39.071428571428577</v>
      </c>
      <c r="G550" s="7">
        <f t="shared" si="387"/>
        <v>10.66</v>
      </c>
      <c r="H550" s="16">
        <f t="shared" si="388"/>
        <v>11.219999999999999</v>
      </c>
      <c r="I550" s="11">
        <f t="shared" si="378"/>
        <v>0.2341682326604532</v>
      </c>
      <c r="J550" s="33">
        <f t="shared" si="379"/>
        <v>5.9933368505417639E-3</v>
      </c>
      <c r="K550" s="33">
        <f t="shared" si="395"/>
        <v>166.85195992439597</v>
      </c>
      <c r="L550" s="33">
        <f t="shared" si="396"/>
        <v>0.22817489580991143</v>
      </c>
      <c r="M550" s="33">
        <f t="shared" si="397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02"/>
        <v>26313</v>
      </c>
      <c r="Y550" s="7">
        <v>15.5</v>
      </c>
      <c r="Z550" s="7">
        <f t="shared" si="398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9">
        <v>0</v>
      </c>
      <c r="AL550" s="30">
        <v>1</v>
      </c>
      <c r="AM550" s="21">
        <v>1993</v>
      </c>
      <c r="AN550" s="23"/>
      <c r="AO550" s="33">
        <f t="shared" si="399"/>
        <v>0.19130000000000003</v>
      </c>
      <c r="AP550" s="33">
        <v>0.1027</v>
      </c>
      <c r="AQ550" s="33">
        <v>0.4718</v>
      </c>
      <c r="AR550" s="43">
        <v>0.23419999999999999</v>
      </c>
      <c r="AS550" s="33" t="s">
        <v>107</v>
      </c>
      <c r="AT550" s="43" t="s">
        <v>107</v>
      </c>
      <c r="AU550" s="42">
        <f t="shared" si="403"/>
        <v>0.52929399999999993</v>
      </c>
      <c r="AV550" s="18">
        <v>0.47070600000000001</v>
      </c>
      <c r="AW550">
        <v>1</v>
      </c>
      <c r="AX550" s="40">
        <v>0</v>
      </c>
      <c r="AY550" t="s">
        <v>107</v>
      </c>
      <c r="AZ550" s="40" t="s">
        <v>107</v>
      </c>
      <c r="BB550" s="18"/>
      <c r="BC550">
        <v>0.28499999999999998</v>
      </c>
      <c r="BD550" s="18">
        <f t="shared" si="400"/>
        <v>0.71500000000000008</v>
      </c>
      <c r="BE550" s="18" t="s">
        <v>12</v>
      </c>
      <c r="BL550" s="18"/>
      <c r="BO550" s="18"/>
      <c r="BR550" s="25">
        <v>36.769599999999997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1</v>
      </c>
      <c r="BZ550" s="18">
        <v>0</v>
      </c>
      <c r="CA550">
        <v>0</v>
      </c>
      <c r="CB550">
        <v>0</v>
      </c>
      <c r="CC550">
        <v>0</v>
      </c>
      <c r="CD550" s="18">
        <v>1</v>
      </c>
      <c r="CE550">
        <v>0</v>
      </c>
      <c r="CF550">
        <v>0</v>
      </c>
      <c r="CG550">
        <v>0</v>
      </c>
      <c r="CH550">
        <v>0</v>
      </c>
      <c r="CI550" s="18">
        <v>0</v>
      </c>
      <c r="CJ550">
        <v>1</v>
      </c>
      <c r="CK550">
        <v>0</v>
      </c>
      <c r="CL550">
        <v>0</v>
      </c>
      <c r="CM550">
        <v>0</v>
      </c>
      <c r="CN550">
        <v>1</v>
      </c>
      <c r="CO550">
        <v>0</v>
      </c>
      <c r="CP550">
        <v>0</v>
      </c>
      <c r="CQ550">
        <v>0</v>
      </c>
      <c r="CR550">
        <v>1</v>
      </c>
      <c r="CS550">
        <v>1</v>
      </c>
      <c r="CT550" s="18">
        <v>1</v>
      </c>
      <c r="CZ550" s="34" t="s">
        <v>87</v>
      </c>
    </row>
    <row r="551" spans="1:104" x14ac:dyDescent="0.25">
      <c r="A551">
        <v>550</v>
      </c>
      <c r="B551">
        <v>35</v>
      </c>
      <c r="C551" s="25" t="s">
        <v>335</v>
      </c>
      <c r="D551" s="12">
        <v>12.29</v>
      </c>
      <c r="E551" s="14">
        <v>0.27999999999999997</v>
      </c>
      <c r="F551" s="7">
        <f t="shared" si="401"/>
        <v>43.892857142857146</v>
      </c>
      <c r="G551" s="7">
        <f t="shared" si="387"/>
        <v>12.01</v>
      </c>
      <c r="H551" s="16">
        <f t="shared" si="388"/>
        <v>12.569999999999999</v>
      </c>
      <c r="I551" s="11">
        <f t="shared" si="378"/>
        <v>0.25709437715131617</v>
      </c>
      <c r="J551" s="33">
        <f t="shared" si="379"/>
        <v>5.8573169733416195E-3</v>
      </c>
      <c r="K551" s="33">
        <f t="shared" si="395"/>
        <v>170.7266320998668</v>
      </c>
      <c r="L551" s="33">
        <f t="shared" si="396"/>
        <v>0.25123706017797454</v>
      </c>
      <c r="M551" s="33">
        <f t="shared" si="397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02"/>
        <v>27221</v>
      </c>
      <c r="Y551" s="7">
        <v>15.5</v>
      </c>
      <c r="Z551" s="7">
        <f t="shared" si="398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9">
        <v>0</v>
      </c>
      <c r="AL551" s="30">
        <v>1</v>
      </c>
      <c r="AM551" s="21">
        <v>1999</v>
      </c>
      <c r="AN551" s="23"/>
      <c r="AO551" s="33">
        <f t="shared" si="399"/>
        <v>0.16289999999999993</v>
      </c>
      <c r="AP551" s="33">
        <v>9.69E-2</v>
      </c>
      <c r="AQ551" s="33">
        <v>0.49940000000000001</v>
      </c>
      <c r="AR551" s="43">
        <v>0.24079999999999999</v>
      </c>
      <c r="AS551" s="33" t="s">
        <v>107</v>
      </c>
      <c r="AT551" s="43" t="s">
        <v>107</v>
      </c>
      <c r="AU551" s="42">
        <f t="shared" si="403"/>
        <v>0.53514991000000001</v>
      </c>
      <c r="AV551" s="18">
        <v>0.46485008999999999</v>
      </c>
      <c r="AW551">
        <v>1</v>
      </c>
      <c r="AX551" s="40">
        <v>0</v>
      </c>
      <c r="AY551" t="s">
        <v>107</v>
      </c>
      <c r="AZ551" s="40" t="s">
        <v>107</v>
      </c>
      <c r="BB551" s="18"/>
      <c r="BC551">
        <v>0.28489999999999999</v>
      </c>
      <c r="BD551" s="18">
        <f t="shared" si="400"/>
        <v>0.71510000000000007</v>
      </c>
      <c r="BE551" s="18" t="s">
        <v>12</v>
      </c>
      <c r="BL551" s="18"/>
      <c r="BO551" s="18"/>
      <c r="BR551" s="25">
        <v>37.110999999999997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1</v>
      </c>
      <c r="BZ551" s="18">
        <v>0</v>
      </c>
      <c r="CA551">
        <v>0</v>
      </c>
      <c r="CB551">
        <v>0</v>
      </c>
      <c r="CC551">
        <v>0</v>
      </c>
      <c r="CD551" s="18">
        <v>1</v>
      </c>
      <c r="CE551">
        <v>0</v>
      </c>
      <c r="CF551">
        <v>0</v>
      </c>
      <c r="CG551">
        <v>0</v>
      </c>
      <c r="CH551">
        <v>0</v>
      </c>
      <c r="CI551" s="18">
        <v>0</v>
      </c>
      <c r="CJ551">
        <v>1</v>
      </c>
      <c r="CK551">
        <v>0</v>
      </c>
      <c r="CL551">
        <v>0</v>
      </c>
      <c r="CM551">
        <v>0</v>
      </c>
      <c r="CN551">
        <v>1</v>
      </c>
      <c r="CO551">
        <v>0</v>
      </c>
      <c r="CP551">
        <v>0</v>
      </c>
      <c r="CQ551">
        <v>0</v>
      </c>
      <c r="CR551">
        <v>1</v>
      </c>
      <c r="CS551">
        <v>1</v>
      </c>
      <c r="CT551" s="18">
        <v>1</v>
      </c>
      <c r="CZ551" s="34" t="s">
        <v>87</v>
      </c>
    </row>
    <row r="552" spans="1:104" x14ac:dyDescent="0.25">
      <c r="A552">
        <v>551</v>
      </c>
      <c r="B552">
        <v>35</v>
      </c>
      <c r="C552" s="25" t="s">
        <v>335</v>
      </c>
      <c r="D552" s="12">
        <v>5.17</v>
      </c>
      <c r="E552" s="14">
        <v>0.24</v>
      </c>
      <c r="F552" s="7">
        <f t="shared" si="401"/>
        <v>21.541666666666668</v>
      </c>
      <c r="G552" s="7">
        <f t="shared" si="387"/>
        <v>4.93</v>
      </c>
      <c r="H552" s="16">
        <f t="shared" si="388"/>
        <v>5.41</v>
      </c>
      <c r="I552" s="11">
        <f t="shared" si="378"/>
        <v>0.12596594997664462</v>
      </c>
      <c r="J552" s="33">
        <f t="shared" si="379"/>
        <v>5.8475489350860175E-3</v>
      </c>
      <c r="K552" s="33">
        <f t="shared" si="395"/>
        <v>171.01182240645755</v>
      </c>
      <c r="L552" s="33">
        <f t="shared" si="396"/>
        <v>0.1201184010415586</v>
      </c>
      <c r="M552" s="33">
        <f t="shared" si="397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02"/>
        <v>28781</v>
      </c>
      <c r="Y552" s="7">
        <v>5</v>
      </c>
      <c r="Z552" s="7">
        <f t="shared" si="398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9">
        <v>0</v>
      </c>
      <c r="AL552" s="30">
        <v>1</v>
      </c>
      <c r="AM552" s="21">
        <v>1983</v>
      </c>
      <c r="AN552" s="23"/>
      <c r="AO552" s="33">
        <f t="shared" si="399"/>
        <v>0.75960000000000005</v>
      </c>
      <c r="AP552" s="33">
        <v>0.14369999999999999</v>
      </c>
      <c r="AQ552" s="33">
        <v>9.5100000000000004E-2</v>
      </c>
      <c r="AR552" s="43">
        <v>1.6000000000000001E-3</v>
      </c>
      <c r="AS552" s="33" t="s">
        <v>107</v>
      </c>
      <c r="AT552" s="43" t="s">
        <v>107</v>
      </c>
      <c r="AU552" s="42">
        <f t="shared" si="403"/>
        <v>0.54134831999999999</v>
      </c>
      <c r="AV552" s="18">
        <v>0.45865168000000001</v>
      </c>
      <c r="AW552">
        <v>1</v>
      </c>
      <c r="AX552" s="40">
        <v>0</v>
      </c>
      <c r="AY552" t="s">
        <v>107</v>
      </c>
      <c r="AZ552" s="40" t="s">
        <v>107</v>
      </c>
      <c r="BB552" s="18"/>
      <c r="BC552">
        <v>0.79579999999999995</v>
      </c>
      <c r="BD552" s="18">
        <f t="shared" si="400"/>
        <v>0.20420000000000005</v>
      </c>
      <c r="BE552" s="18" t="s">
        <v>12</v>
      </c>
      <c r="BL552" s="18"/>
      <c r="BO552" s="18"/>
      <c r="BR552" s="25">
        <v>32.476599999999998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1</v>
      </c>
      <c r="BZ552" s="18">
        <v>0</v>
      </c>
      <c r="CA552">
        <v>0</v>
      </c>
      <c r="CB552">
        <v>0</v>
      </c>
      <c r="CC552">
        <v>0</v>
      </c>
      <c r="CD552" s="18">
        <v>1</v>
      </c>
      <c r="CE552">
        <v>0</v>
      </c>
      <c r="CF552">
        <v>0</v>
      </c>
      <c r="CG552">
        <v>0</v>
      </c>
      <c r="CH552">
        <v>0</v>
      </c>
      <c r="CI552" s="18">
        <v>0</v>
      </c>
      <c r="CJ552">
        <v>1</v>
      </c>
      <c r="CK552">
        <v>0</v>
      </c>
      <c r="CL552">
        <v>0</v>
      </c>
      <c r="CM552">
        <v>0</v>
      </c>
      <c r="CN552">
        <v>1</v>
      </c>
      <c r="CO552">
        <v>0</v>
      </c>
      <c r="CP552">
        <v>0</v>
      </c>
      <c r="CQ552">
        <v>0</v>
      </c>
      <c r="CR552">
        <v>1</v>
      </c>
      <c r="CS552">
        <v>1</v>
      </c>
      <c r="CT552" s="18">
        <v>1</v>
      </c>
      <c r="CZ552" s="34" t="s">
        <v>87</v>
      </c>
    </row>
    <row r="553" spans="1:104" x14ac:dyDescent="0.25">
      <c r="A553">
        <v>552</v>
      </c>
      <c r="B553">
        <v>35</v>
      </c>
      <c r="C553" s="25" t="s">
        <v>335</v>
      </c>
      <c r="D553" s="12">
        <v>5.09</v>
      </c>
      <c r="E553" s="14">
        <v>0.25</v>
      </c>
      <c r="F553" s="7">
        <f t="shared" si="401"/>
        <v>20.36</v>
      </c>
      <c r="G553" s="7">
        <f t="shared" si="387"/>
        <v>4.84</v>
      </c>
      <c r="H553" s="16">
        <f t="shared" si="388"/>
        <v>5.34</v>
      </c>
      <c r="I553" s="11">
        <f t="shared" si="378"/>
        <v>0.1245113704291685</v>
      </c>
      <c r="J553" s="33">
        <f t="shared" si="379"/>
        <v>6.1154897067371566E-3</v>
      </c>
      <c r="K553" s="33">
        <f t="shared" si="395"/>
        <v>163.51920254208679</v>
      </c>
      <c r="L553" s="33">
        <f t="shared" si="396"/>
        <v>0.11839588072243135</v>
      </c>
      <c r="M553" s="33">
        <f t="shared" si="397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02"/>
        <v>26324</v>
      </c>
      <c r="Y553" s="7">
        <v>5</v>
      </c>
      <c r="Z553" s="7">
        <f t="shared" si="398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9">
        <v>0</v>
      </c>
      <c r="AL553" s="30">
        <v>1</v>
      </c>
      <c r="AM553" s="21">
        <v>1993</v>
      </c>
      <c r="AN553" s="23"/>
      <c r="AO553" s="33">
        <f t="shared" si="399"/>
        <v>0.69320000000000004</v>
      </c>
      <c r="AP553" s="33">
        <v>0.1447</v>
      </c>
      <c r="AQ553" s="33">
        <v>0.1585</v>
      </c>
      <c r="AR553" s="43">
        <v>3.5999999999999999E-3</v>
      </c>
      <c r="AS553" s="33" t="s">
        <v>107</v>
      </c>
      <c r="AT553" s="43" t="s">
        <v>107</v>
      </c>
      <c r="AU553" s="42">
        <f t="shared" si="403"/>
        <v>0.52929399999999993</v>
      </c>
      <c r="AV553" s="18">
        <v>0.47070600000000001</v>
      </c>
      <c r="AW553">
        <v>1</v>
      </c>
      <c r="AX553" s="40">
        <v>0</v>
      </c>
      <c r="AY553" t="s">
        <v>107</v>
      </c>
      <c r="AZ553" s="40" t="s">
        <v>107</v>
      </c>
      <c r="BB553" s="18"/>
      <c r="BC553">
        <v>0.76400000000000001</v>
      </c>
      <c r="BD553" s="18">
        <f t="shared" si="400"/>
        <v>0.23599999999999999</v>
      </c>
      <c r="BE553" s="18" t="s">
        <v>12</v>
      </c>
      <c r="BL553" s="18"/>
      <c r="BO553" s="18"/>
      <c r="BR553" s="25">
        <v>33.099899999999998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1</v>
      </c>
      <c r="BZ553" s="18">
        <v>0</v>
      </c>
      <c r="CA553">
        <v>0</v>
      </c>
      <c r="CB553">
        <v>0</v>
      </c>
      <c r="CC553">
        <v>0</v>
      </c>
      <c r="CD553" s="18">
        <v>1</v>
      </c>
      <c r="CE553">
        <v>0</v>
      </c>
      <c r="CF553">
        <v>0</v>
      </c>
      <c r="CG553">
        <v>0</v>
      </c>
      <c r="CH553">
        <v>0</v>
      </c>
      <c r="CI553" s="18">
        <v>0</v>
      </c>
      <c r="CJ553">
        <v>1</v>
      </c>
      <c r="CK553">
        <v>0</v>
      </c>
      <c r="CL553">
        <v>0</v>
      </c>
      <c r="CM553">
        <v>0</v>
      </c>
      <c r="CN553">
        <v>1</v>
      </c>
      <c r="CO553">
        <v>0</v>
      </c>
      <c r="CP553">
        <v>0</v>
      </c>
      <c r="CQ553">
        <v>0</v>
      </c>
      <c r="CR553">
        <v>1</v>
      </c>
      <c r="CS553">
        <v>1</v>
      </c>
      <c r="CT553" s="18">
        <v>1</v>
      </c>
      <c r="CZ553" s="34" t="s">
        <v>87</v>
      </c>
    </row>
    <row r="554" spans="1:104" x14ac:dyDescent="0.25">
      <c r="A554">
        <v>553</v>
      </c>
      <c r="B554">
        <v>35</v>
      </c>
      <c r="C554" s="25" t="s">
        <v>335</v>
      </c>
      <c r="D554" s="12">
        <v>5.15</v>
      </c>
      <c r="E554" s="14">
        <v>0.25</v>
      </c>
      <c r="F554" s="7">
        <f t="shared" si="401"/>
        <v>20.6</v>
      </c>
      <c r="G554" s="7">
        <f t="shared" ref="G554:G563" si="404">D554-E554</f>
        <v>4.9000000000000004</v>
      </c>
      <c r="H554" s="16">
        <f t="shared" ref="H554:H563" si="405">D554+E554</f>
        <v>5.4</v>
      </c>
      <c r="I554" s="11">
        <f t="shared" si="378"/>
        <v>0.11862738625856023</v>
      </c>
      <c r="J554" s="33">
        <f t="shared" si="379"/>
        <v>5.7586109834252535E-3</v>
      </c>
      <c r="K554" s="33">
        <f t="shared" si="395"/>
        <v>173.65298730514255</v>
      </c>
      <c r="L554" s="33">
        <f t="shared" si="396"/>
        <v>0.11286877527513497</v>
      </c>
      <c r="M554" s="33">
        <f t="shared" si="397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02"/>
        <v>29731</v>
      </c>
      <c r="Y554" s="7">
        <v>5</v>
      </c>
      <c r="Z554" s="7">
        <f t="shared" si="398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9">
        <v>0</v>
      </c>
      <c r="AL554" s="30">
        <v>1</v>
      </c>
      <c r="AM554" s="21">
        <v>1999</v>
      </c>
      <c r="AN554" s="23"/>
      <c r="AO554" s="33">
        <f t="shared" si="399"/>
        <v>0.61990000000000001</v>
      </c>
      <c r="AP554" s="33">
        <v>0.14649999999999999</v>
      </c>
      <c r="AQ554" s="33">
        <v>0.22819999999999999</v>
      </c>
      <c r="AR554" s="43">
        <v>5.4000000000000003E-3</v>
      </c>
      <c r="AS554" s="33" t="s">
        <v>107</v>
      </c>
      <c r="AT554" s="43" t="s">
        <v>107</v>
      </c>
      <c r="AU554" s="42">
        <f t="shared" si="403"/>
        <v>0.53514991000000001</v>
      </c>
      <c r="AV554" s="18">
        <v>0.46485008999999999</v>
      </c>
      <c r="AW554">
        <v>1</v>
      </c>
      <c r="AX554" s="40">
        <v>0</v>
      </c>
      <c r="AY554" t="s">
        <v>107</v>
      </c>
      <c r="AZ554" s="40" t="s">
        <v>107</v>
      </c>
      <c r="BB554" s="18"/>
      <c r="BC554">
        <v>0.75</v>
      </c>
      <c r="BD554" s="18">
        <f t="shared" si="400"/>
        <v>0.25</v>
      </c>
      <c r="BE554" s="18" t="s">
        <v>12</v>
      </c>
      <c r="BL554" s="18"/>
      <c r="BO554" s="18"/>
      <c r="BR554" s="25">
        <v>33.079599999999999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1</v>
      </c>
      <c r="BZ554" s="18">
        <v>0</v>
      </c>
      <c r="CA554">
        <v>0</v>
      </c>
      <c r="CB554">
        <v>0</v>
      </c>
      <c r="CC554">
        <v>0</v>
      </c>
      <c r="CD554" s="18">
        <v>1</v>
      </c>
      <c r="CE554">
        <v>0</v>
      </c>
      <c r="CF554">
        <v>0</v>
      </c>
      <c r="CG554">
        <v>0</v>
      </c>
      <c r="CH554">
        <v>0</v>
      </c>
      <c r="CI554" s="18">
        <v>0</v>
      </c>
      <c r="CJ554">
        <v>1</v>
      </c>
      <c r="CK554">
        <v>0</v>
      </c>
      <c r="CL554">
        <v>0</v>
      </c>
      <c r="CM554">
        <v>0</v>
      </c>
      <c r="CN554">
        <v>1</v>
      </c>
      <c r="CO554">
        <v>0</v>
      </c>
      <c r="CP554">
        <v>0</v>
      </c>
      <c r="CQ554">
        <v>0</v>
      </c>
      <c r="CR554">
        <v>1</v>
      </c>
      <c r="CS554">
        <v>1</v>
      </c>
      <c r="CT554" s="18">
        <v>1</v>
      </c>
      <c r="CZ554" s="34" t="s">
        <v>87</v>
      </c>
    </row>
    <row r="555" spans="1:104" x14ac:dyDescent="0.25">
      <c r="A555">
        <v>554</v>
      </c>
      <c r="B555">
        <v>35</v>
      </c>
      <c r="C555" s="25" t="s">
        <v>335</v>
      </c>
      <c r="D555" s="12">
        <v>0.82</v>
      </c>
      <c r="E555" s="14">
        <v>0.26</v>
      </c>
      <c r="F555" s="7">
        <f t="shared" si="401"/>
        <v>3.1538461538461537</v>
      </c>
      <c r="G555" s="7">
        <f t="shared" si="404"/>
        <v>0.55999999999999994</v>
      </c>
      <c r="H555" s="16">
        <f t="shared" si="405"/>
        <v>1.08</v>
      </c>
      <c r="I555" s="11">
        <f t="shared" si="378"/>
        <v>1.8587138339873844E-2</v>
      </c>
      <c r="J555" s="33">
        <f t="shared" si="379"/>
        <v>5.8934828882526826E-3</v>
      </c>
      <c r="K555" s="33">
        <f t="shared" si="395"/>
        <v>169.67895198156467</v>
      </c>
      <c r="L555" s="33">
        <f t="shared" si="396"/>
        <v>1.2693655451621162E-2</v>
      </c>
      <c r="M555" s="33">
        <f t="shared" si="397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02"/>
        <v>28781</v>
      </c>
      <c r="Y555" s="7">
        <v>8</v>
      </c>
      <c r="Z555" s="7">
        <f t="shared" si="398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9">
        <v>0</v>
      </c>
      <c r="AL555" s="30">
        <v>1</v>
      </c>
      <c r="AM555" s="21">
        <v>1983</v>
      </c>
      <c r="AN555" s="23"/>
      <c r="AO555" s="33">
        <f t="shared" si="399"/>
        <v>0.75960000000000005</v>
      </c>
      <c r="AP555" s="33">
        <v>0.14369999999999999</v>
      </c>
      <c r="AQ555" s="33">
        <v>9.5100000000000004E-2</v>
      </c>
      <c r="AR555" s="43">
        <v>1.6000000000000001E-3</v>
      </c>
      <c r="AS555" s="33" t="s">
        <v>107</v>
      </c>
      <c r="AT555" s="43" t="s">
        <v>107</v>
      </c>
      <c r="AU555" s="42">
        <f t="shared" si="403"/>
        <v>0.54134831999999999</v>
      </c>
      <c r="AV555" s="18">
        <v>0.45865168000000001</v>
      </c>
      <c r="AW555">
        <v>1</v>
      </c>
      <c r="AX555" s="40">
        <v>0</v>
      </c>
      <c r="AY555" t="s">
        <v>107</v>
      </c>
      <c r="AZ555" s="40" t="s">
        <v>107</v>
      </c>
      <c r="BB555" s="18"/>
      <c r="BC555">
        <v>0.30980000000000002</v>
      </c>
      <c r="BD555" s="18">
        <f t="shared" si="400"/>
        <v>0.69019999999999992</v>
      </c>
      <c r="BE555" s="18" t="s">
        <v>12</v>
      </c>
      <c r="BL555" s="18"/>
      <c r="BO555" s="18"/>
      <c r="BR555" s="25">
        <v>34.878999999999998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1</v>
      </c>
      <c r="BZ555" s="18">
        <v>0</v>
      </c>
      <c r="CA555">
        <v>0</v>
      </c>
      <c r="CB555">
        <v>0</v>
      </c>
      <c r="CC555">
        <v>0</v>
      </c>
      <c r="CD555" s="18">
        <v>1</v>
      </c>
      <c r="CE555">
        <v>0</v>
      </c>
      <c r="CF555">
        <v>0</v>
      </c>
      <c r="CG555">
        <v>0</v>
      </c>
      <c r="CH555">
        <v>0</v>
      </c>
      <c r="CI555" s="18">
        <v>0</v>
      </c>
      <c r="CJ555">
        <v>1</v>
      </c>
      <c r="CK555">
        <v>0</v>
      </c>
      <c r="CL555">
        <v>0</v>
      </c>
      <c r="CM555">
        <v>0</v>
      </c>
      <c r="CN555">
        <v>1</v>
      </c>
      <c r="CO555">
        <v>0</v>
      </c>
      <c r="CP555">
        <v>0</v>
      </c>
      <c r="CQ555">
        <v>0</v>
      </c>
      <c r="CR555">
        <v>1</v>
      </c>
      <c r="CS555">
        <v>1</v>
      </c>
      <c r="CT555" s="18">
        <v>1</v>
      </c>
      <c r="CZ555" s="34" t="s">
        <v>87</v>
      </c>
    </row>
    <row r="556" spans="1:104" x14ac:dyDescent="0.25">
      <c r="A556">
        <v>555</v>
      </c>
      <c r="B556">
        <v>35</v>
      </c>
      <c r="C556" s="25" t="s">
        <v>335</v>
      </c>
      <c r="D556" s="12">
        <v>0.72</v>
      </c>
      <c r="E556" s="14">
        <v>0.24</v>
      </c>
      <c r="F556" s="7">
        <f t="shared" si="401"/>
        <v>3</v>
      </c>
      <c r="G556" s="7">
        <f t="shared" si="404"/>
        <v>0.48</v>
      </c>
      <c r="H556" s="16">
        <f t="shared" si="405"/>
        <v>0.96</v>
      </c>
      <c r="I556" s="11">
        <f t="shared" si="378"/>
        <v>1.8487197683350179E-2</v>
      </c>
      <c r="J556" s="33">
        <f t="shared" si="379"/>
        <v>6.1623992277833927E-3</v>
      </c>
      <c r="K556" s="33">
        <f t="shared" si="395"/>
        <v>162.27445886522005</v>
      </c>
      <c r="L556" s="33">
        <f t="shared" si="396"/>
        <v>1.2324798455566787E-2</v>
      </c>
      <c r="M556" s="33">
        <f t="shared" si="397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02"/>
        <v>26324</v>
      </c>
      <c r="Y556" s="7">
        <v>8</v>
      </c>
      <c r="Z556" s="7">
        <f t="shared" si="398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9">
        <v>0</v>
      </c>
      <c r="AL556" s="30">
        <v>1</v>
      </c>
      <c r="AM556" s="21">
        <v>1993</v>
      </c>
      <c r="AN556" s="23"/>
      <c r="AO556" s="33">
        <f t="shared" si="399"/>
        <v>0.69320000000000004</v>
      </c>
      <c r="AP556" s="33">
        <v>0.1447</v>
      </c>
      <c r="AQ556" s="33">
        <v>0.1585</v>
      </c>
      <c r="AR556" s="43">
        <v>3.5999999999999999E-3</v>
      </c>
      <c r="AS556" s="33" t="s">
        <v>107</v>
      </c>
      <c r="AT556" s="43" t="s">
        <v>107</v>
      </c>
      <c r="AU556" s="42">
        <f t="shared" si="403"/>
        <v>0.52929399999999993</v>
      </c>
      <c r="AV556" s="18">
        <v>0.47070600000000001</v>
      </c>
      <c r="AW556">
        <v>1</v>
      </c>
      <c r="AX556" s="40">
        <v>0</v>
      </c>
      <c r="AY556" t="s">
        <v>107</v>
      </c>
      <c r="AZ556" s="40" t="s">
        <v>107</v>
      </c>
      <c r="BB556" s="18"/>
      <c r="BC556">
        <v>0.28499999999999998</v>
      </c>
      <c r="BD556" s="18">
        <f t="shared" si="400"/>
        <v>0.71500000000000008</v>
      </c>
      <c r="BE556" s="18" t="s">
        <v>12</v>
      </c>
      <c r="BL556" s="18"/>
      <c r="BO556" s="18"/>
      <c r="BR556" s="25">
        <v>36.769599999999997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1</v>
      </c>
      <c r="BZ556" s="18">
        <v>0</v>
      </c>
      <c r="CA556">
        <v>0</v>
      </c>
      <c r="CB556">
        <v>0</v>
      </c>
      <c r="CC556">
        <v>0</v>
      </c>
      <c r="CD556" s="18">
        <v>1</v>
      </c>
      <c r="CE556">
        <v>0</v>
      </c>
      <c r="CF556">
        <v>0</v>
      </c>
      <c r="CG556">
        <v>0</v>
      </c>
      <c r="CH556">
        <v>0</v>
      </c>
      <c r="CI556" s="18">
        <v>0</v>
      </c>
      <c r="CJ556">
        <v>1</v>
      </c>
      <c r="CK556">
        <v>0</v>
      </c>
      <c r="CL556">
        <v>0</v>
      </c>
      <c r="CM556">
        <v>0</v>
      </c>
      <c r="CN556">
        <v>1</v>
      </c>
      <c r="CO556">
        <v>0</v>
      </c>
      <c r="CP556">
        <v>0</v>
      </c>
      <c r="CQ556">
        <v>0</v>
      </c>
      <c r="CR556">
        <v>1</v>
      </c>
      <c r="CS556">
        <v>1</v>
      </c>
      <c r="CT556" s="18">
        <v>1</v>
      </c>
      <c r="CZ556" s="34" t="s">
        <v>87</v>
      </c>
    </row>
    <row r="557" spans="1:104" x14ac:dyDescent="0.25">
      <c r="A557">
        <v>556</v>
      </c>
      <c r="B557">
        <v>35</v>
      </c>
      <c r="C557" s="25" t="s">
        <v>335</v>
      </c>
      <c r="D557" s="12">
        <v>0.72</v>
      </c>
      <c r="E557" s="14">
        <v>0.22</v>
      </c>
      <c r="F557" s="7">
        <f t="shared" si="401"/>
        <v>3.2727272727272725</v>
      </c>
      <c r="G557" s="7">
        <f t="shared" si="404"/>
        <v>0.5</v>
      </c>
      <c r="H557" s="16">
        <f t="shared" si="405"/>
        <v>0.94</v>
      </c>
      <c r="I557" s="11">
        <f t="shared" si="378"/>
        <v>1.8976968768129054E-2</v>
      </c>
      <c r="J557" s="33">
        <f t="shared" si="379"/>
        <v>5.7985182347060999E-3</v>
      </c>
      <c r="K557" s="33">
        <f t="shared" si="395"/>
        <v>172.45785207928822</v>
      </c>
      <c r="L557" s="33">
        <f t="shared" si="396"/>
        <v>1.3178450533422953E-2</v>
      </c>
      <c r="M557" s="33">
        <f t="shared" si="397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02"/>
        <v>29731</v>
      </c>
      <c r="Y557" s="7">
        <v>8</v>
      </c>
      <c r="Z557" s="7">
        <f t="shared" si="398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9">
        <v>0</v>
      </c>
      <c r="AL557" s="30">
        <v>1</v>
      </c>
      <c r="AM557" s="21">
        <v>1999</v>
      </c>
      <c r="AN557" s="23"/>
      <c r="AO557" s="33">
        <f t="shared" si="399"/>
        <v>0.61990000000000001</v>
      </c>
      <c r="AP557" s="33">
        <v>0.14649999999999999</v>
      </c>
      <c r="AQ557" s="33">
        <v>0.22819999999999999</v>
      </c>
      <c r="AR557" s="43">
        <v>5.4000000000000003E-3</v>
      </c>
      <c r="AS557" s="33" t="s">
        <v>107</v>
      </c>
      <c r="AT557" s="43" t="s">
        <v>107</v>
      </c>
      <c r="AU557" s="42">
        <f t="shared" si="403"/>
        <v>0.53514991000000001</v>
      </c>
      <c r="AV557" s="18">
        <v>0.46485008999999999</v>
      </c>
      <c r="AW557">
        <v>1</v>
      </c>
      <c r="AX557" s="40">
        <v>0</v>
      </c>
      <c r="AY557" t="s">
        <v>107</v>
      </c>
      <c r="AZ557" s="40" t="s">
        <v>107</v>
      </c>
      <c r="BB557" s="18"/>
      <c r="BC557">
        <v>0.28489999999999999</v>
      </c>
      <c r="BD557" s="18">
        <f t="shared" si="400"/>
        <v>0.71510000000000007</v>
      </c>
      <c r="BE557" s="18" t="s">
        <v>12</v>
      </c>
      <c r="BL557" s="18"/>
      <c r="BO557" s="18"/>
      <c r="BR557" s="25">
        <v>37.110999999999997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1</v>
      </c>
      <c r="BZ557" s="18">
        <v>0</v>
      </c>
      <c r="CA557">
        <v>0</v>
      </c>
      <c r="CB557">
        <v>0</v>
      </c>
      <c r="CC557">
        <v>0</v>
      </c>
      <c r="CD557" s="18">
        <v>1</v>
      </c>
      <c r="CE557">
        <v>0</v>
      </c>
      <c r="CF557">
        <v>0</v>
      </c>
      <c r="CG557">
        <v>0</v>
      </c>
      <c r="CH557">
        <v>0</v>
      </c>
      <c r="CI557" s="18">
        <v>0</v>
      </c>
      <c r="CJ557">
        <v>1</v>
      </c>
      <c r="CK557">
        <v>0</v>
      </c>
      <c r="CL557">
        <v>0</v>
      </c>
      <c r="CM557">
        <v>0</v>
      </c>
      <c r="CN557">
        <v>1</v>
      </c>
      <c r="CO557">
        <v>0</v>
      </c>
      <c r="CP557">
        <v>0</v>
      </c>
      <c r="CQ557">
        <v>0</v>
      </c>
      <c r="CR557">
        <v>1</v>
      </c>
      <c r="CS557">
        <v>1</v>
      </c>
      <c r="CT557" s="18">
        <v>1</v>
      </c>
      <c r="CZ557" s="34" t="s">
        <v>87</v>
      </c>
    </row>
    <row r="558" spans="1:104" x14ac:dyDescent="0.25">
      <c r="A558">
        <v>557</v>
      </c>
      <c r="B558">
        <v>35</v>
      </c>
      <c r="C558" s="25" t="s">
        <v>335</v>
      </c>
      <c r="D558" s="12">
        <v>0.69</v>
      </c>
      <c r="E558" s="14">
        <v>0.36</v>
      </c>
      <c r="F558" s="7">
        <f t="shared" si="401"/>
        <v>1.9166666666666665</v>
      </c>
      <c r="G558" s="7">
        <f t="shared" si="404"/>
        <v>0.32999999999999996</v>
      </c>
      <c r="H558" s="16">
        <f t="shared" si="405"/>
        <v>1.0499999999999998</v>
      </c>
      <c r="I558" s="11">
        <f t="shared" si="378"/>
        <v>1.1297073004638739E-2</v>
      </c>
      <c r="J558" s="33">
        <f t="shared" si="379"/>
        <v>5.8941250458984726E-3</v>
      </c>
      <c r="K558" s="33">
        <f t="shared" si="395"/>
        <v>169.66046566926283</v>
      </c>
      <c r="L558" s="33">
        <f t="shared" si="396"/>
        <v>5.402947958740266E-3</v>
      </c>
      <c r="M558" s="33">
        <f t="shared" si="397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02"/>
        <v>28781</v>
      </c>
      <c r="Y558" s="7">
        <v>12</v>
      </c>
      <c r="Z558" s="7">
        <f t="shared" si="398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9">
        <v>0</v>
      </c>
      <c r="AL558" s="30">
        <v>1</v>
      </c>
      <c r="AM558" s="21">
        <v>1983</v>
      </c>
      <c r="AN558" s="23"/>
      <c r="AO558" s="33">
        <f t="shared" si="399"/>
        <v>0.75960000000000005</v>
      </c>
      <c r="AP558" s="33">
        <v>0.14369999999999999</v>
      </c>
      <c r="AQ558" s="33">
        <v>9.5100000000000004E-2</v>
      </c>
      <c r="AR558" s="43">
        <v>1.6000000000000001E-3</v>
      </c>
      <c r="AS558" s="33" t="s">
        <v>107</v>
      </c>
      <c r="AT558" s="43" t="s">
        <v>107</v>
      </c>
      <c r="AU558" s="42">
        <f t="shared" si="403"/>
        <v>0.54134831999999999</v>
      </c>
      <c r="AV558" s="18">
        <v>0.45865168000000001</v>
      </c>
      <c r="AW558">
        <v>1</v>
      </c>
      <c r="AX558" s="40">
        <v>0</v>
      </c>
      <c r="AY558" t="s">
        <v>107</v>
      </c>
      <c r="AZ558" s="40" t="s">
        <v>107</v>
      </c>
      <c r="BB558" s="18"/>
      <c r="BC558">
        <v>0.30980000000000002</v>
      </c>
      <c r="BD558" s="18">
        <f t="shared" si="400"/>
        <v>0.69019999999999992</v>
      </c>
      <c r="BE558" s="18" t="s">
        <v>12</v>
      </c>
      <c r="BL558" s="18"/>
      <c r="BO558" s="18"/>
      <c r="BR558" s="25">
        <v>34.878999999999998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1</v>
      </c>
      <c r="BZ558" s="18">
        <v>0</v>
      </c>
      <c r="CA558">
        <v>0</v>
      </c>
      <c r="CB558">
        <v>0</v>
      </c>
      <c r="CC558">
        <v>0</v>
      </c>
      <c r="CD558" s="18">
        <v>1</v>
      </c>
      <c r="CE558">
        <v>0</v>
      </c>
      <c r="CF558">
        <v>0</v>
      </c>
      <c r="CG558">
        <v>0</v>
      </c>
      <c r="CH558">
        <v>0</v>
      </c>
      <c r="CI558" s="18">
        <v>0</v>
      </c>
      <c r="CJ558">
        <v>1</v>
      </c>
      <c r="CK558">
        <v>0</v>
      </c>
      <c r="CL558">
        <v>0</v>
      </c>
      <c r="CM558">
        <v>0</v>
      </c>
      <c r="CN558">
        <v>1</v>
      </c>
      <c r="CO558">
        <v>0</v>
      </c>
      <c r="CP558">
        <v>0</v>
      </c>
      <c r="CQ558">
        <v>0</v>
      </c>
      <c r="CR558">
        <v>1</v>
      </c>
      <c r="CS558">
        <v>1</v>
      </c>
      <c r="CT558" s="18">
        <v>1</v>
      </c>
      <c r="CZ558" s="34" t="s">
        <v>87</v>
      </c>
    </row>
    <row r="559" spans="1:104" x14ac:dyDescent="0.25">
      <c r="A559">
        <v>558</v>
      </c>
      <c r="B559">
        <v>35</v>
      </c>
      <c r="C559" s="25" t="s">
        <v>335</v>
      </c>
      <c r="D559" s="12">
        <f>0.47</f>
        <v>0.47</v>
      </c>
      <c r="E559" s="14">
        <v>0.26</v>
      </c>
      <c r="F559" s="7">
        <f t="shared" si="401"/>
        <v>1.8076923076923075</v>
      </c>
      <c r="G559" s="7">
        <f t="shared" si="404"/>
        <v>0.20999999999999996</v>
      </c>
      <c r="H559" s="16">
        <f t="shared" si="405"/>
        <v>0.73</v>
      </c>
      <c r="I559" s="11">
        <f t="shared" si="378"/>
        <v>1.1140934343436375E-2</v>
      </c>
      <c r="J559" s="33">
        <f t="shared" si="379"/>
        <v>6.1630700623265056E-3</v>
      </c>
      <c r="K559" s="33">
        <f t="shared" si="395"/>
        <v>162.25679570199608</v>
      </c>
      <c r="L559" s="33">
        <f t="shared" si="396"/>
        <v>4.9778642811098691E-3</v>
      </c>
      <c r="M559" s="33">
        <f t="shared" si="397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02"/>
        <v>26324</v>
      </c>
      <c r="Y559" s="7">
        <v>12</v>
      </c>
      <c r="Z559" s="7">
        <f t="shared" si="398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9">
        <v>0</v>
      </c>
      <c r="AL559" s="30">
        <v>1</v>
      </c>
      <c r="AM559" s="21">
        <v>1993</v>
      </c>
      <c r="AN559" s="23"/>
      <c r="AO559" s="33">
        <f t="shared" si="399"/>
        <v>0.69320000000000004</v>
      </c>
      <c r="AP559" s="33">
        <v>0.1447</v>
      </c>
      <c r="AQ559" s="33">
        <v>0.1585</v>
      </c>
      <c r="AR559" s="43">
        <v>3.5999999999999999E-3</v>
      </c>
      <c r="AS559" s="33" t="s">
        <v>107</v>
      </c>
      <c r="AT559" s="43" t="s">
        <v>107</v>
      </c>
      <c r="AU559" s="42">
        <f t="shared" si="403"/>
        <v>0.52929399999999993</v>
      </c>
      <c r="AV559" s="18">
        <v>0.47070600000000001</v>
      </c>
      <c r="AW559">
        <v>1</v>
      </c>
      <c r="AX559" s="40">
        <v>0</v>
      </c>
      <c r="AY559" t="s">
        <v>107</v>
      </c>
      <c r="AZ559" s="40" t="s">
        <v>107</v>
      </c>
      <c r="BB559" s="18"/>
      <c r="BC559">
        <v>0.28499999999999998</v>
      </c>
      <c r="BD559" s="18">
        <f t="shared" si="400"/>
        <v>0.71500000000000008</v>
      </c>
      <c r="BE559" s="18" t="s">
        <v>12</v>
      </c>
      <c r="BL559" s="18"/>
      <c r="BO559" s="18"/>
      <c r="BR559" s="25">
        <v>36.769599999999997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1</v>
      </c>
      <c r="BZ559" s="18">
        <v>0</v>
      </c>
      <c r="CA559">
        <v>0</v>
      </c>
      <c r="CB559">
        <v>0</v>
      </c>
      <c r="CC559">
        <v>0</v>
      </c>
      <c r="CD559" s="18">
        <v>1</v>
      </c>
      <c r="CE559">
        <v>0</v>
      </c>
      <c r="CF559">
        <v>0</v>
      </c>
      <c r="CG559">
        <v>0</v>
      </c>
      <c r="CH559">
        <v>0</v>
      </c>
      <c r="CI559" s="18">
        <v>0</v>
      </c>
      <c r="CJ559">
        <v>1</v>
      </c>
      <c r="CK559">
        <v>0</v>
      </c>
      <c r="CL559">
        <v>0</v>
      </c>
      <c r="CM559">
        <v>0</v>
      </c>
      <c r="CN559">
        <v>1</v>
      </c>
      <c r="CO559">
        <v>0</v>
      </c>
      <c r="CP559">
        <v>0</v>
      </c>
      <c r="CQ559">
        <v>0</v>
      </c>
      <c r="CR559">
        <v>1</v>
      </c>
      <c r="CS559">
        <v>1</v>
      </c>
      <c r="CT559" s="18">
        <v>1</v>
      </c>
      <c r="CZ559" s="34" t="s">
        <v>87</v>
      </c>
    </row>
    <row r="560" spans="1:104" x14ac:dyDescent="0.25">
      <c r="A560">
        <v>559</v>
      </c>
      <c r="B560">
        <v>35</v>
      </c>
      <c r="C560" s="25" t="s">
        <v>335</v>
      </c>
      <c r="D560" s="12">
        <v>0.16</v>
      </c>
      <c r="E560" s="14">
        <v>0.21</v>
      </c>
      <c r="F560" s="7">
        <f t="shared" si="401"/>
        <v>0.76190476190476197</v>
      </c>
      <c r="G560" s="7">
        <f t="shared" si="404"/>
        <v>-4.9999999999999989E-2</v>
      </c>
      <c r="H560" s="16">
        <f t="shared" si="405"/>
        <v>0.37</v>
      </c>
      <c r="I560" s="11">
        <f t="shared" si="378"/>
        <v>4.4186712350274774E-3</v>
      </c>
      <c r="J560" s="33">
        <f t="shared" si="379"/>
        <v>5.799505995973564E-3</v>
      </c>
      <c r="K560" s="33">
        <f t="shared" si="395"/>
        <v>172.42847937294525</v>
      </c>
      <c r="L560" s="33">
        <f t="shared" si="396"/>
        <v>-1.3808347609460866E-3</v>
      </c>
      <c r="M560" s="33">
        <f t="shared" si="397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02"/>
        <v>29731</v>
      </c>
      <c r="Y560" s="7">
        <v>12</v>
      </c>
      <c r="Z560" s="7">
        <f t="shared" si="398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9">
        <v>0</v>
      </c>
      <c r="AL560" s="30">
        <v>1</v>
      </c>
      <c r="AM560" s="21">
        <v>1999</v>
      </c>
      <c r="AN560" s="23"/>
      <c r="AO560" s="33">
        <f t="shared" si="399"/>
        <v>0.61990000000000001</v>
      </c>
      <c r="AP560" s="33">
        <v>0.14649999999999999</v>
      </c>
      <c r="AQ560" s="33">
        <v>0.22819999999999999</v>
      </c>
      <c r="AR560" s="43">
        <v>5.4000000000000003E-3</v>
      </c>
      <c r="AS560" s="33" t="s">
        <v>107</v>
      </c>
      <c r="AT560" s="43" t="s">
        <v>107</v>
      </c>
      <c r="AU560" s="42">
        <f t="shared" si="403"/>
        <v>0.53514991000000001</v>
      </c>
      <c r="AV560" s="18">
        <v>0.46485008999999999</v>
      </c>
      <c r="AW560">
        <v>1</v>
      </c>
      <c r="AX560" s="40">
        <v>0</v>
      </c>
      <c r="AY560" t="s">
        <v>107</v>
      </c>
      <c r="AZ560" s="40" t="s">
        <v>107</v>
      </c>
      <c r="BB560" s="18"/>
      <c r="BC560">
        <v>0.28489999999999999</v>
      </c>
      <c r="BD560" s="18">
        <f t="shared" si="400"/>
        <v>0.71510000000000007</v>
      </c>
      <c r="BE560" s="18" t="s">
        <v>12</v>
      </c>
      <c r="BL560" s="18"/>
      <c r="BO560" s="18"/>
      <c r="BR560" s="25">
        <v>37.110999999999997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1</v>
      </c>
      <c r="BZ560" s="18">
        <v>0</v>
      </c>
      <c r="CA560">
        <v>0</v>
      </c>
      <c r="CB560">
        <v>0</v>
      </c>
      <c r="CC560">
        <v>0</v>
      </c>
      <c r="CD560" s="18">
        <v>1</v>
      </c>
      <c r="CE560">
        <v>0</v>
      </c>
      <c r="CF560">
        <v>0</v>
      </c>
      <c r="CG560">
        <v>0</v>
      </c>
      <c r="CH560">
        <v>0</v>
      </c>
      <c r="CI560" s="18">
        <v>0</v>
      </c>
      <c r="CJ560">
        <v>1</v>
      </c>
      <c r="CK560">
        <v>0</v>
      </c>
      <c r="CL560">
        <v>0</v>
      </c>
      <c r="CM560">
        <v>0</v>
      </c>
      <c r="CN560">
        <v>1</v>
      </c>
      <c r="CO560">
        <v>0</v>
      </c>
      <c r="CP560">
        <v>0</v>
      </c>
      <c r="CQ560">
        <v>0</v>
      </c>
      <c r="CR560">
        <v>1</v>
      </c>
      <c r="CS560">
        <v>1</v>
      </c>
      <c r="CT560" s="18">
        <v>1</v>
      </c>
      <c r="CZ560" s="34" t="s">
        <v>87</v>
      </c>
    </row>
    <row r="561" spans="1:104" x14ac:dyDescent="0.25">
      <c r="A561">
        <v>560</v>
      </c>
      <c r="B561">
        <v>35</v>
      </c>
      <c r="C561" s="25" t="s">
        <v>335</v>
      </c>
      <c r="D561" s="12">
        <v>2.1800000000000002</v>
      </c>
      <c r="E561" s="14">
        <v>1.8399999999999999</v>
      </c>
      <c r="F561" s="7">
        <f t="shared" si="401"/>
        <v>1.1847826086956523</v>
      </c>
      <c r="G561" s="7">
        <f t="shared" si="404"/>
        <v>0.3400000000000003</v>
      </c>
      <c r="H561" s="16">
        <f t="shared" si="405"/>
        <v>4.0199999999999996</v>
      </c>
      <c r="I561" s="11">
        <f t="shared" si="378"/>
        <v>6.9835322069161203E-3</v>
      </c>
      <c r="J561" s="33">
        <f t="shared" si="379"/>
        <v>5.8943574590484679E-3</v>
      </c>
      <c r="K561" s="33">
        <f t="shared" si="395"/>
        <v>169.65377599637995</v>
      </c>
      <c r="L561" s="33">
        <f t="shared" si="396"/>
        <v>1.0891747478676524E-3</v>
      </c>
      <c r="M561" s="33">
        <f t="shared" si="397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02"/>
        <v>28781</v>
      </c>
      <c r="Y561" s="7">
        <v>15.5</v>
      </c>
      <c r="Z561" s="7">
        <f t="shared" si="398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9">
        <v>0</v>
      </c>
      <c r="AL561" s="30">
        <v>1</v>
      </c>
      <c r="AM561" s="21">
        <v>1983</v>
      </c>
      <c r="AN561" s="23"/>
      <c r="AO561" s="33">
        <f t="shared" si="399"/>
        <v>0.75960000000000005</v>
      </c>
      <c r="AP561" s="33">
        <v>0.14369999999999999</v>
      </c>
      <c r="AQ561" s="33">
        <v>9.5100000000000004E-2</v>
      </c>
      <c r="AR561" s="43">
        <v>1.6000000000000001E-3</v>
      </c>
      <c r="AS561" s="33" t="s">
        <v>107</v>
      </c>
      <c r="AT561" s="43" t="s">
        <v>107</v>
      </c>
      <c r="AU561" s="42">
        <f t="shared" si="403"/>
        <v>0.54134831999999999</v>
      </c>
      <c r="AV561" s="18">
        <v>0.45865168000000001</v>
      </c>
      <c r="AW561">
        <v>1</v>
      </c>
      <c r="AX561" s="40">
        <v>0</v>
      </c>
      <c r="AY561" t="s">
        <v>107</v>
      </c>
      <c r="AZ561" s="40" t="s">
        <v>107</v>
      </c>
      <c r="BB561" s="18"/>
      <c r="BC561">
        <v>0.30980000000000002</v>
      </c>
      <c r="BD561" s="18">
        <f t="shared" si="400"/>
        <v>0.69019999999999992</v>
      </c>
      <c r="BE561" s="18" t="s">
        <v>12</v>
      </c>
      <c r="BL561" s="18"/>
      <c r="BO561" s="18"/>
      <c r="BR561" s="25">
        <v>34.878999999999998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1</v>
      </c>
      <c r="BZ561" s="18">
        <v>0</v>
      </c>
      <c r="CA561">
        <v>0</v>
      </c>
      <c r="CB561">
        <v>0</v>
      </c>
      <c r="CC561">
        <v>0</v>
      </c>
      <c r="CD561" s="18">
        <v>1</v>
      </c>
      <c r="CE561">
        <v>0</v>
      </c>
      <c r="CF561">
        <v>0</v>
      </c>
      <c r="CG561">
        <v>0</v>
      </c>
      <c r="CH561">
        <v>0</v>
      </c>
      <c r="CI561" s="18">
        <v>0</v>
      </c>
      <c r="CJ561">
        <v>1</v>
      </c>
      <c r="CK561">
        <v>0</v>
      </c>
      <c r="CL561">
        <v>0</v>
      </c>
      <c r="CM561">
        <v>0</v>
      </c>
      <c r="CN561">
        <v>1</v>
      </c>
      <c r="CO561">
        <v>0</v>
      </c>
      <c r="CP561">
        <v>0</v>
      </c>
      <c r="CQ561">
        <v>0</v>
      </c>
      <c r="CR561">
        <v>1</v>
      </c>
      <c r="CS561">
        <v>1</v>
      </c>
      <c r="CT561" s="18">
        <v>1</v>
      </c>
      <c r="CZ561" s="34" t="s">
        <v>87</v>
      </c>
    </row>
    <row r="562" spans="1:104" x14ac:dyDescent="0.25">
      <c r="A562">
        <v>561</v>
      </c>
      <c r="B562">
        <v>35</v>
      </c>
      <c r="C562" s="25" t="s">
        <v>335</v>
      </c>
      <c r="D562" s="12">
        <v>-2.11</v>
      </c>
      <c r="E562" s="14">
        <v>1.1499999999999999</v>
      </c>
      <c r="F562" s="7">
        <f t="shared" si="401"/>
        <v>-1.8347826086956522</v>
      </c>
      <c r="G562" s="7">
        <f t="shared" si="404"/>
        <v>-3.26</v>
      </c>
      <c r="H562" s="16">
        <f t="shared" si="405"/>
        <v>-0.96</v>
      </c>
      <c r="I562" s="11">
        <f t="shared" si="378"/>
        <v>-1.1307872575350824E-2</v>
      </c>
      <c r="J562" s="33">
        <f t="shared" si="379"/>
        <v>6.1630585126319663E-3</v>
      </c>
      <c r="K562" s="33">
        <f t="shared" si="395"/>
        <v>162.2570997744665</v>
      </c>
      <c r="L562" s="33">
        <f t="shared" si="396"/>
        <v>-1.747093108798279E-2</v>
      </c>
      <c r="M562" s="33">
        <f t="shared" si="397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02"/>
        <v>26324</v>
      </c>
      <c r="Y562" s="7">
        <v>15.5</v>
      </c>
      <c r="Z562" s="7">
        <f t="shared" si="398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9">
        <v>0</v>
      </c>
      <c r="AL562" s="30">
        <v>1</v>
      </c>
      <c r="AM562" s="21">
        <v>1993</v>
      </c>
      <c r="AN562" s="23"/>
      <c r="AO562" s="33">
        <f t="shared" si="399"/>
        <v>0.69320000000000004</v>
      </c>
      <c r="AP562" s="33">
        <v>0.1447</v>
      </c>
      <c r="AQ562" s="33">
        <v>0.1585</v>
      </c>
      <c r="AR562" s="43">
        <v>3.5999999999999999E-3</v>
      </c>
      <c r="AS562" s="33" t="s">
        <v>107</v>
      </c>
      <c r="AT562" s="43" t="s">
        <v>107</v>
      </c>
      <c r="AU562" s="42">
        <f t="shared" si="403"/>
        <v>0.52929399999999993</v>
      </c>
      <c r="AV562" s="18">
        <v>0.47070600000000001</v>
      </c>
      <c r="AW562">
        <v>1</v>
      </c>
      <c r="AX562" s="40">
        <v>0</v>
      </c>
      <c r="AY562" t="s">
        <v>107</v>
      </c>
      <c r="AZ562" s="40" t="s">
        <v>107</v>
      </c>
      <c r="BB562" s="18"/>
      <c r="BC562">
        <v>0.28499999999999998</v>
      </c>
      <c r="BD562" s="18">
        <f t="shared" si="400"/>
        <v>0.71500000000000008</v>
      </c>
      <c r="BE562" s="18" t="s">
        <v>12</v>
      </c>
      <c r="BL562" s="18"/>
      <c r="BO562" s="18"/>
      <c r="BR562" s="25">
        <v>36.769599999999997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1</v>
      </c>
      <c r="BZ562" s="18">
        <v>0</v>
      </c>
      <c r="CA562">
        <v>0</v>
      </c>
      <c r="CB562">
        <v>0</v>
      </c>
      <c r="CC562">
        <v>0</v>
      </c>
      <c r="CD562" s="18">
        <v>1</v>
      </c>
      <c r="CE562">
        <v>0</v>
      </c>
      <c r="CF562">
        <v>0</v>
      </c>
      <c r="CG562">
        <v>0</v>
      </c>
      <c r="CH562">
        <v>0</v>
      </c>
      <c r="CI562" s="18">
        <v>0</v>
      </c>
      <c r="CJ562">
        <v>1</v>
      </c>
      <c r="CK562">
        <v>0</v>
      </c>
      <c r="CL562">
        <v>0</v>
      </c>
      <c r="CM562">
        <v>0</v>
      </c>
      <c r="CN562">
        <v>1</v>
      </c>
      <c r="CO562">
        <v>0</v>
      </c>
      <c r="CP562">
        <v>0</v>
      </c>
      <c r="CQ562">
        <v>0</v>
      </c>
      <c r="CR562">
        <v>1</v>
      </c>
      <c r="CS562">
        <v>1</v>
      </c>
      <c r="CT562" s="18">
        <v>1</v>
      </c>
      <c r="CZ562" s="34" t="s">
        <v>87</v>
      </c>
    </row>
    <row r="563" spans="1:104" x14ac:dyDescent="0.25">
      <c r="A563">
        <v>562</v>
      </c>
      <c r="B563">
        <v>35</v>
      </c>
      <c r="C563" s="25" t="s">
        <v>335</v>
      </c>
      <c r="D563" s="12">
        <v>-7.0000000000000007E-2</v>
      </c>
      <c r="E563" s="14">
        <v>0.95</v>
      </c>
      <c r="F563" s="7">
        <f t="shared" si="401"/>
        <v>-7.3684210526315796E-2</v>
      </c>
      <c r="G563" s="7">
        <f t="shared" si="404"/>
        <v>-1.02</v>
      </c>
      <c r="H563" s="16">
        <f t="shared" si="405"/>
        <v>0.87999999999999989</v>
      </c>
      <c r="I563" s="11">
        <f t="shared" si="378"/>
        <v>-4.2733615355302289E-4</v>
      </c>
      <c r="J563" s="33">
        <f t="shared" si="379"/>
        <v>5.7995620839338818E-3</v>
      </c>
      <c r="K563" s="33">
        <f t="shared" si="395"/>
        <v>172.42681180536536</v>
      </c>
      <c r="L563" s="33">
        <f t="shared" si="396"/>
        <v>-6.2268982374869049E-3</v>
      </c>
      <c r="M563" s="33">
        <f t="shared" si="397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02"/>
        <v>29731</v>
      </c>
      <c r="Y563" s="7">
        <v>15.5</v>
      </c>
      <c r="Z563" s="7">
        <f t="shared" si="398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9">
        <v>0</v>
      </c>
      <c r="AL563" s="30">
        <v>1</v>
      </c>
      <c r="AM563" s="21">
        <v>1999</v>
      </c>
      <c r="AN563" s="23"/>
      <c r="AO563" s="33">
        <f t="shared" si="399"/>
        <v>0.61990000000000001</v>
      </c>
      <c r="AP563" s="33">
        <v>0.14649999999999999</v>
      </c>
      <c r="AQ563" s="33">
        <v>0.22819999999999999</v>
      </c>
      <c r="AR563" s="43">
        <v>5.4000000000000003E-3</v>
      </c>
      <c r="AS563" s="33" t="s">
        <v>107</v>
      </c>
      <c r="AT563" s="43" t="s">
        <v>107</v>
      </c>
      <c r="AU563" s="42">
        <f t="shared" si="403"/>
        <v>0.53514991000000001</v>
      </c>
      <c r="AV563" s="18">
        <v>0.46485008999999999</v>
      </c>
      <c r="AW563">
        <v>1</v>
      </c>
      <c r="AX563" s="40">
        <v>0</v>
      </c>
      <c r="AY563" t="s">
        <v>107</v>
      </c>
      <c r="AZ563" s="40" t="s">
        <v>107</v>
      </c>
      <c r="BB563" s="18"/>
      <c r="BC563">
        <v>0.28489999999999999</v>
      </c>
      <c r="BD563" s="18">
        <f t="shared" si="400"/>
        <v>0.71510000000000007</v>
      </c>
      <c r="BE563" s="18" t="s">
        <v>12</v>
      </c>
      <c r="BL563" s="18"/>
      <c r="BO563" s="18"/>
      <c r="BR563" s="25">
        <v>37.110999999999997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1</v>
      </c>
      <c r="BZ563" s="18">
        <v>0</v>
      </c>
      <c r="CA563">
        <v>0</v>
      </c>
      <c r="CB563">
        <v>0</v>
      </c>
      <c r="CC563">
        <v>0</v>
      </c>
      <c r="CD563" s="18">
        <v>1</v>
      </c>
      <c r="CE563">
        <v>0</v>
      </c>
      <c r="CF563">
        <v>0</v>
      </c>
      <c r="CG563">
        <v>0</v>
      </c>
      <c r="CH563">
        <v>0</v>
      </c>
      <c r="CI563" s="18">
        <v>0</v>
      </c>
      <c r="CJ563">
        <v>1</v>
      </c>
      <c r="CK563">
        <v>0</v>
      </c>
      <c r="CL563">
        <v>0</v>
      </c>
      <c r="CM563">
        <v>0</v>
      </c>
      <c r="CN563">
        <v>1</v>
      </c>
      <c r="CO563">
        <v>0</v>
      </c>
      <c r="CP563">
        <v>0</v>
      </c>
      <c r="CQ563">
        <v>0</v>
      </c>
      <c r="CR563">
        <v>1</v>
      </c>
      <c r="CS563">
        <v>1</v>
      </c>
      <c r="CT563" s="18">
        <v>1</v>
      </c>
      <c r="CZ563" s="34" t="s">
        <v>87</v>
      </c>
    </row>
    <row r="564" spans="1:104" s="98" customFormat="1" x14ac:dyDescent="0.25">
      <c r="A564" s="98">
        <v>563</v>
      </c>
      <c r="B564" s="98">
        <v>36</v>
      </c>
      <c r="C564" s="99" t="s">
        <v>339</v>
      </c>
      <c r="D564" s="100">
        <v>11.1</v>
      </c>
      <c r="E564" s="101">
        <f>D564/F564</f>
        <v>0.44758064516129031</v>
      </c>
      <c r="F564" s="102">
        <v>24.8</v>
      </c>
      <c r="G564" s="102">
        <f t="shared" ref="G564:G578" si="406">D564-E564</f>
        <v>10.65241935483871</v>
      </c>
      <c r="H564" s="103">
        <f t="shared" ref="H564:H578" si="407">D564+E564</f>
        <v>11.54758064516129</v>
      </c>
      <c r="I564" s="104">
        <f t="shared" si="378"/>
        <v>0.53861649976244053</v>
      </c>
      <c r="J564" s="105">
        <f t="shared" si="379"/>
        <v>2.1718407248485505E-2</v>
      </c>
      <c r="K564" s="105">
        <f t="shared" ref="K564:K578" si="408">IFERROR(1/J564, "X")</f>
        <v>46.043892103079209</v>
      </c>
      <c r="L564" s="105">
        <f t="shared" ref="L564:L578" si="409">IFERROR(I564-J564, "X")</f>
        <v>0.51689809251395502</v>
      </c>
      <c r="M564" s="105">
        <f t="shared" ref="M564:M578" si="410">IFERROR(I564+J564, "X")</f>
        <v>0.56033490701092603</v>
      </c>
      <c r="N564" s="106">
        <v>1</v>
      </c>
      <c r="O564" s="107">
        <v>0</v>
      </c>
      <c r="P564" s="106">
        <v>0</v>
      </c>
      <c r="Q564" s="107">
        <v>0</v>
      </c>
      <c r="R564" s="107">
        <v>0</v>
      </c>
      <c r="S564" s="107">
        <v>1</v>
      </c>
      <c r="T564" s="107">
        <v>0</v>
      </c>
      <c r="U564" s="106">
        <v>1510</v>
      </c>
      <c r="V564" s="107">
        <v>4</v>
      </c>
      <c r="W564" s="107">
        <f t="shared" si="402"/>
        <v>1505</v>
      </c>
      <c r="X564" s="107"/>
      <c r="Y564" s="102">
        <f>(7.477*$AW564+9.003*$AX564)</f>
        <v>7.66012</v>
      </c>
      <c r="Z564" s="102">
        <f>(17.561*$AW564+11.448*$AX564)</f>
        <v>16.827439999999999</v>
      </c>
      <c r="AA564" s="107">
        <v>1</v>
      </c>
      <c r="AB564" s="107">
        <v>0</v>
      </c>
      <c r="AC564" s="107">
        <v>0</v>
      </c>
      <c r="AD564" s="107">
        <v>1</v>
      </c>
      <c r="AE564" s="107">
        <v>0</v>
      </c>
      <c r="AF564" s="107">
        <v>0</v>
      </c>
      <c r="AG564" s="106">
        <v>1</v>
      </c>
      <c r="AH564" s="107">
        <v>0</v>
      </c>
      <c r="AI564" s="108">
        <v>0</v>
      </c>
      <c r="AJ564" s="107">
        <v>0</v>
      </c>
      <c r="AK564" s="107">
        <v>0</v>
      </c>
      <c r="AL564" s="108">
        <v>1</v>
      </c>
      <c r="AM564" s="109">
        <v>1986</v>
      </c>
      <c r="AN564" s="110"/>
      <c r="AO564" s="105">
        <v>0.36</v>
      </c>
      <c r="AP564" s="105">
        <v>0.49</v>
      </c>
      <c r="AQ564" s="105">
        <v>0.13</v>
      </c>
      <c r="AR564" s="111">
        <v>0.02</v>
      </c>
      <c r="AS564" s="105" t="s">
        <v>107</v>
      </c>
      <c r="AT564" s="111" t="s">
        <v>107</v>
      </c>
      <c r="AU564" s="112">
        <v>1</v>
      </c>
      <c r="AV564" s="113">
        <v>0</v>
      </c>
      <c r="AW564" s="98">
        <v>0.88</v>
      </c>
      <c r="AX564" s="114">
        <f>1-AW564</f>
        <v>0.12</v>
      </c>
      <c r="AY564" s="116">
        <f>1-AZ564</f>
        <v>0.54400000000000004</v>
      </c>
      <c r="AZ564" s="114">
        <f>(0.45*$AW564+0.5*$AX564)</f>
        <v>0.45600000000000002</v>
      </c>
      <c r="BB564" s="113"/>
      <c r="BC564" s="98">
        <v>0</v>
      </c>
      <c r="BD564" s="113">
        <v>1</v>
      </c>
      <c r="BE564" s="113" t="s">
        <v>21</v>
      </c>
      <c r="BL564" s="113"/>
      <c r="BO564" s="113"/>
      <c r="BR564" s="117">
        <f t="shared" ref="BR564:BR578" si="411">Z564+Y564+7</f>
        <v>31.487559999999998</v>
      </c>
      <c r="BS564" s="98">
        <v>1</v>
      </c>
      <c r="BT564" s="98">
        <v>0</v>
      </c>
      <c r="BU564" s="98">
        <v>0</v>
      </c>
      <c r="BV564" s="98">
        <v>0</v>
      </c>
      <c r="BW564" s="98">
        <v>0</v>
      </c>
      <c r="BX564" s="98">
        <v>0</v>
      </c>
      <c r="BY564" s="98">
        <v>0</v>
      </c>
      <c r="BZ564" s="113">
        <v>0</v>
      </c>
      <c r="CA564" s="98">
        <v>0</v>
      </c>
      <c r="CB564" s="98">
        <v>0</v>
      </c>
      <c r="CC564" s="98">
        <v>0</v>
      </c>
      <c r="CD564" s="113">
        <v>1</v>
      </c>
      <c r="CE564" s="98">
        <v>0</v>
      </c>
      <c r="CF564" s="98">
        <v>0</v>
      </c>
      <c r="CG564" s="98">
        <v>0</v>
      </c>
      <c r="CH564" s="98">
        <v>0</v>
      </c>
      <c r="CI564" s="113">
        <v>0</v>
      </c>
      <c r="CJ564" s="98">
        <v>0</v>
      </c>
      <c r="CK564" s="98">
        <v>0</v>
      </c>
      <c r="CL564" s="98">
        <v>0</v>
      </c>
      <c r="CM564" s="98">
        <v>1</v>
      </c>
      <c r="CN564" s="98">
        <v>0</v>
      </c>
      <c r="CO564" s="98">
        <v>0</v>
      </c>
      <c r="CP564" s="98">
        <v>1</v>
      </c>
      <c r="CQ564" s="98">
        <v>0</v>
      </c>
      <c r="CR564" s="98">
        <v>0</v>
      </c>
      <c r="CS564" s="98">
        <v>0</v>
      </c>
      <c r="CT564" s="113">
        <v>0</v>
      </c>
      <c r="CY564" s="99"/>
      <c r="CZ564" s="115" t="s">
        <v>87</v>
      </c>
    </row>
    <row r="565" spans="1:104" x14ac:dyDescent="0.25">
      <c r="A565">
        <v>564</v>
      </c>
      <c r="B565">
        <v>36</v>
      </c>
      <c r="C565" s="25" t="s">
        <v>339</v>
      </c>
      <c r="D565" s="12">
        <v>10.9</v>
      </c>
      <c r="E565" s="14">
        <f t="shared" ref="E565:E578" si="412">D565/F565</f>
        <v>0.47996477322765302</v>
      </c>
      <c r="F565" s="7">
        <v>22.71</v>
      </c>
      <c r="G565" s="7">
        <f t="shared" si="406"/>
        <v>10.420035226772347</v>
      </c>
      <c r="H565" s="16">
        <f t="shared" si="407"/>
        <v>11.379964773227654</v>
      </c>
      <c r="I565" s="11">
        <f t="shared" si="378"/>
        <v>0.54588442624056877</v>
      </c>
      <c r="J565" s="33">
        <f t="shared" si="379"/>
        <v>2.4037183013675419E-2</v>
      </c>
      <c r="K565" s="33">
        <f t="shared" si="408"/>
        <v>41.602212681538944</v>
      </c>
      <c r="L565" s="33">
        <f t="shared" si="409"/>
        <v>0.52184724322689335</v>
      </c>
      <c r="M565" s="33">
        <f t="shared" si="410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02"/>
        <v>1215</v>
      </c>
      <c r="Y565" s="7">
        <f t="shared" ref="Y565:Y578" si="413">(7.477*AW565+9.003*AX565)</f>
        <v>7.4770000000000003</v>
      </c>
      <c r="Z565" s="7">
        <f t="shared" ref="Z565:Z578" si="414">(17.561*$AW565+11.448*$AX565)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9">
        <v>0</v>
      </c>
      <c r="AL565" s="30">
        <v>1</v>
      </c>
      <c r="AM565" s="21">
        <v>1986</v>
      </c>
      <c r="AN565" s="23"/>
      <c r="AO565" s="33">
        <v>0.36</v>
      </c>
      <c r="AP565" s="33">
        <v>0.49</v>
      </c>
      <c r="AQ565" s="33">
        <v>0.13</v>
      </c>
      <c r="AR565" s="43">
        <v>0.02</v>
      </c>
      <c r="AS565" s="33" t="s">
        <v>107</v>
      </c>
      <c r="AT565" s="43" t="s">
        <v>107</v>
      </c>
      <c r="AU565" s="42">
        <v>1</v>
      </c>
      <c r="AV565" s="18">
        <v>0</v>
      </c>
      <c r="AW565">
        <v>1</v>
      </c>
      <c r="AX565" s="40">
        <v>0</v>
      </c>
      <c r="AY565" s="39">
        <f t="shared" ref="AY565:AY578" si="415">1-AZ565</f>
        <v>0.55000000000000004</v>
      </c>
      <c r="AZ565" s="40">
        <f t="shared" ref="AZ565:AZ578" si="416">(0.45*$AW565+0.5*$AX565)</f>
        <v>0.45</v>
      </c>
      <c r="BB565" s="18"/>
      <c r="BC565">
        <v>0</v>
      </c>
      <c r="BD565" s="18">
        <v>1</v>
      </c>
      <c r="BE565" s="18" t="s">
        <v>21</v>
      </c>
      <c r="BL565" s="18"/>
      <c r="BO565" s="18"/>
      <c r="BR565" s="97">
        <f t="shared" si="411"/>
        <v>32.037999999999997</v>
      </c>
      <c r="BS565">
        <v>1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0</v>
      </c>
      <c r="BZ565" s="18">
        <v>0</v>
      </c>
      <c r="CA565">
        <v>0</v>
      </c>
      <c r="CB565">
        <v>0</v>
      </c>
      <c r="CC565">
        <v>0</v>
      </c>
      <c r="CD565" s="18">
        <v>1</v>
      </c>
      <c r="CE565">
        <v>0</v>
      </c>
      <c r="CF565">
        <v>0</v>
      </c>
      <c r="CG565">
        <v>0</v>
      </c>
      <c r="CH565">
        <v>0</v>
      </c>
      <c r="CI565" s="18">
        <v>0</v>
      </c>
      <c r="CJ565">
        <v>0</v>
      </c>
      <c r="CK565">
        <v>0</v>
      </c>
      <c r="CL565">
        <v>0</v>
      </c>
      <c r="CM565">
        <v>1</v>
      </c>
      <c r="CN565">
        <v>0</v>
      </c>
      <c r="CO565">
        <v>0</v>
      </c>
      <c r="CP565">
        <v>0</v>
      </c>
      <c r="CQ565">
        <v>0</v>
      </c>
      <c r="CR565">
        <v>0</v>
      </c>
      <c r="CS565">
        <v>0</v>
      </c>
      <c r="CT565" s="18">
        <v>0</v>
      </c>
      <c r="CZ565" s="34" t="s">
        <v>87</v>
      </c>
    </row>
    <row r="566" spans="1:104" x14ac:dyDescent="0.25">
      <c r="A566">
        <v>565</v>
      </c>
      <c r="B566">
        <v>36</v>
      </c>
      <c r="C566" s="25" t="s">
        <v>339</v>
      </c>
      <c r="D566" s="12">
        <v>12.8</v>
      </c>
      <c r="E566" s="14">
        <f t="shared" si="412"/>
        <v>1.2598425196850394</v>
      </c>
      <c r="F566" s="7">
        <v>10.16</v>
      </c>
      <c r="G566" s="7">
        <f t="shared" si="406"/>
        <v>11.540157480314962</v>
      </c>
      <c r="H566" s="16">
        <f t="shared" si="407"/>
        <v>14.05984251968504</v>
      </c>
      <c r="I566" s="11">
        <f t="shared" si="378"/>
        <v>0.51564596422723608</v>
      </c>
      <c r="J566" s="33">
        <f t="shared" si="379"/>
        <v>5.0752555534176777E-2</v>
      </c>
      <c r="K566" s="33">
        <f t="shared" si="408"/>
        <v>19.703441323789104</v>
      </c>
      <c r="L566" s="33">
        <f t="shared" si="409"/>
        <v>0.46489340869305928</v>
      </c>
      <c r="M566" s="33">
        <f t="shared" si="410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02"/>
        <v>285</v>
      </c>
      <c r="Y566" s="7">
        <f>(7.477*AW566+9.003*AX566)</f>
        <v>9.0030000000000001</v>
      </c>
      <c r="Z566" s="7">
        <f t="shared" si="414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9">
        <v>0</v>
      </c>
      <c r="AL566" s="30">
        <v>1</v>
      </c>
      <c r="AM566" s="21">
        <v>1986</v>
      </c>
      <c r="AN566" s="23"/>
      <c r="AO566" s="33">
        <v>0.36</v>
      </c>
      <c r="AP566" s="33">
        <v>0.49</v>
      </c>
      <c r="AQ566" s="33">
        <v>0.13</v>
      </c>
      <c r="AR566" s="43">
        <v>0.02</v>
      </c>
      <c r="AS566" s="33" t="s">
        <v>107</v>
      </c>
      <c r="AT566" s="43" t="s">
        <v>107</v>
      </c>
      <c r="AU566" s="42">
        <v>1</v>
      </c>
      <c r="AV566" s="18">
        <v>0</v>
      </c>
      <c r="AW566">
        <v>0</v>
      </c>
      <c r="AX566" s="40">
        <v>1</v>
      </c>
      <c r="AY566" s="39">
        <f t="shared" si="415"/>
        <v>0.5</v>
      </c>
      <c r="AZ566" s="40">
        <f t="shared" si="416"/>
        <v>0.5</v>
      </c>
      <c r="BB566" s="18"/>
      <c r="BC566">
        <v>0</v>
      </c>
      <c r="BD566" s="18">
        <v>1</v>
      </c>
      <c r="BE566" s="18" t="s">
        <v>21</v>
      </c>
      <c r="BL566" s="18"/>
      <c r="BO566" s="18"/>
      <c r="BR566" s="97">
        <f t="shared" si="411"/>
        <v>27.451000000000001</v>
      </c>
      <c r="BS566">
        <v>1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0</v>
      </c>
      <c r="BZ566" s="18">
        <v>0</v>
      </c>
      <c r="CA566">
        <v>0</v>
      </c>
      <c r="CB566">
        <v>0</v>
      </c>
      <c r="CC566">
        <v>0</v>
      </c>
      <c r="CD566" s="18">
        <v>1</v>
      </c>
      <c r="CE566">
        <v>0</v>
      </c>
      <c r="CF566">
        <v>0</v>
      </c>
      <c r="CG566">
        <v>0</v>
      </c>
      <c r="CH566">
        <v>0</v>
      </c>
      <c r="CI566" s="18">
        <v>0</v>
      </c>
      <c r="CJ566">
        <v>0</v>
      </c>
      <c r="CK566">
        <v>0</v>
      </c>
      <c r="CL566">
        <v>0</v>
      </c>
      <c r="CM566">
        <v>1</v>
      </c>
      <c r="CN566">
        <v>0</v>
      </c>
      <c r="CO566">
        <v>0</v>
      </c>
      <c r="CP566">
        <v>0</v>
      </c>
      <c r="CQ566">
        <v>0</v>
      </c>
      <c r="CR566">
        <v>0</v>
      </c>
      <c r="CS566">
        <v>0</v>
      </c>
      <c r="CT566" s="18">
        <v>0</v>
      </c>
      <c r="CZ566" s="34" t="s">
        <v>87</v>
      </c>
    </row>
    <row r="567" spans="1:104" x14ac:dyDescent="0.25">
      <c r="A567">
        <v>566</v>
      </c>
      <c r="B567">
        <v>36</v>
      </c>
      <c r="C567" s="25" t="s">
        <v>339</v>
      </c>
      <c r="D567" s="12">
        <v>6.5</v>
      </c>
      <c r="E567" s="14">
        <f t="shared" si="412"/>
        <v>0.93525179856115104</v>
      </c>
      <c r="F567" s="7">
        <v>6.95</v>
      </c>
      <c r="G567" s="7">
        <f t="shared" si="406"/>
        <v>5.5647482014388494</v>
      </c>
      <c r="H567" s="16">
        <f t="shared" si="407"/>
        <v>7.4352517985611506</v>
      </c>
      <c r="I567" s="11">
        <f t="shared" si="378"/>
        <v>0.17651295312271437</v>
      </c>
      <c r="J567" s="33">
        <f t="shared" si="379"/>
        <v>2.5397547211901347E-2</v>
      </c>
      <c r="K567" s="33">
        <f t="shared" si="408"/>
        <v>39.373880936478692</v>
      </c>
      <c r="L567" s="33">
        <f t="shared" si="409"/>
        <v>0.15111540591081302</v>
      </c>
      <c r="M567" s="33">
        <f t="shared" si="410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02"/>
        <v>1502</v>
      </c>
      <c r="Y567" s="7">
        <f t="shared" si="413"/>
        <v>7.66012</v>
      </c>
      <c r="Z567" s="7">
        <f t="shared" si="414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9">
        <v>0</v>
      </c>
      <c r="AL567" s="30">
        <v>1</v>
      </c>
      <c r="AM567" s="21">
        <v>1986</v>
      </c>
      <c r="AN567" s="23"/>
      <c r="AO567" s="33">
        <v>0.36</v>
      </c>
      <c r="AP567" s="33">
        <v>0.49</v>
      </c>
      <c r="AQ567" s="33">
        <v>0.13</v>
      </c>
      <c r="AR567" s="43">
        <v>0.02</v>
      </c>
      <c r="AS567" s="33" t="s">
        <v>107</v>
      </c>
      <c r="AT567" s="43" t="s">
        <v>107</v>
      </c>
      <c r="AU567" s="42">
        <v>1</v>
      </c>
      <c r="AV567" s="18">
        <v>0</v>
      </c>
      <c r="AW567">
        <v>0.88</v>
      </c>
      <c r="AX567" s="40">
        <f t="shared" ref="AX567:AX573" si="417">1-AW567</f>
        <v>0.12</v>
      </c>
      <c r="AY567" s="39">
        <f t="shared" si="415"/>
        <v>0.54400000000000004</v>
      </c>
      <c r="AZ567" s="40">
        <f t="shared" si="416"/>
        <v>0.45600000000000002</v>
      </c>
      <c r="BB567" s="18"/>
      <c r="BC567">
        <v>0</v>
      </c>
      <c r="BD567" s="18">
        <v>1</v>
      </c>
      <c r="BE567" s="18" t="s">
        <v>21</v>
      </c>
      <c r="BL567" s="18"/>
      <c r="BO567" s="18"/>
      <c r="BR567" s="97">
        <f t="shared" si="411"/>
        <v>31.487559999999998</v>
      </c>
      <c r="BS567">
        <v>1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0</v>
      </c>
      <c r="BZ567" s="18">
        <v>0</v>
      </c>
      <c r="CA567">
        <v>0</v>
      </c>
      <c r="CB567">
        <v>0</v>
      </c>
      <c r="CC567">
        <v>0</v>
      </c>
      <c r="CD567" s="18">
        <v>1</v>
      </c>
      <c r="CE567">
        <v>0</v>
      </c>
      <c r="CF567">
        <v>0</v>
      </c>
      <c r="CG567">
        <v>0</v>
      </c>
      <c r="CH567">
        <v>0</v>
      </c>
      <c r="CI567" s="18">
        <v>0</v>
      </c>
      <c r="CJ567">
        <v>0</v>
      </c>
      <c r="CK567">
        <v>0</v>
      </c>
      <c r="CL567">
        <v>0</v>
      </c>
      <c r="CM567">
        <v>1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 s="18">
        <v>0</v>
      </c>
      <c r="CZ567" s="34" t="s">
        <v>87</v>
      </c>
    </row>
    <row r="568" spans="1:104" x14ac:dyDescent="0.25">
      <c r="A568">
        <v>567</v>
      </c>
      <c r="B568">
        <v>36</v>
      </c>
      <c r="C568" s="25" t="s">
        <v>339</v>
      </c>
      <c r="D568" s="12">
        <v>7.4</v>
      </c>
      <c r="E568" s="14">
        <f t="shared" si="412"/>
        <v>0.95238095238095244</v>
      </c>
      <c r="F568" s="7">
        <v>7.77</v>
      </c>
      <c r="G568" s="7">
        <f t="shared" si="406"/>
        <v>6.4476190476190478</v>
      </c>
      <c r="H568" s="16">
        <f t="shared" si="407"/>
        <v>8.3523809523809529</v>
      </c>
      <c r="I568" s="11">
        <f t="shared" si="378"/>
        <v>0.19657517462416382</v>
      </c>
      <c r="J568" s="33">
        <f t="shared" si="379"/>
        <v>2.5299250273380161E-2</v>
      </c>
      <c r="K568" s="33">
        <f t="shared" si="408"/>
        <v>39.526863017446757</v>
      </c>
      <c r="L568" s="33">
        <f t="shared" si="409"/>
        <v>0.17127592435078365</v>
      </c>
      <c r="M568" s="33">
        <f t="shared" si="410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02"/>
        <v>1502</v>
      </c>
      <c r="Y568" s="7">
        <f t="shared" si="413"/>
        <v>7.66012</v>
      </c>
      <c r="Z568" s="7">
        <f t="shared" si="414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9">
        <v>0</v>
      </c>
      <c r="AL568" s="30">
        <v>1</v>
      </c>
      <c r="AM568" s="21">
        <v>1986</v>
      </c>
      <c r="AN568" s="23"/>
      <c r="AO568" s="33">
        <v>0.36</v>
      </c>
      <c r="AP568" s="33">
        <v>0.49</v>
      </c>
      <c r="AQ568" s="33">
        <v>0.13</v>
      </c>
      <c r="AR568" s="43">
        <v>0.02</v>
      </c>
      <c r="AS568" s="33" t="s">
        <v>107</v>
      </c>
      <c r="AT568" s="43" t="s">
        <v>107</v>
      </c>
      <c r="AU568" s="42">
        <v>1</v>
      </c>
      <c r="AV568" s="18">
        <v>0</v>
      </c>
      <c r="AW568">
        <v>0.88</v>
      </c>
      <c r="AX568" s="40">
        <f t="shared" si="417"/>
        <v>0.12</v>
      </c>
      <c r="AY568" s="39">
        <f t="shared" si="415"/>
        <v>0.54400000000000004</v>
      </c>
      <c r="AZ568" s="40">
        <f t="shared" si="416"/>
        <v>0.45600000000000002</v>
      </c>
      <c r="BB568" s="18"/>
      <c r="BC568">
        <v>0</v>
      </c>
      <c r="BD568" s="18">
        <v>1</v>
      </c>
      <c r="BE568" s="18" t="s">
        <v>21</v>
      </c>
      <c r="BL568" s="18"/>
      <c r="BO568" s="18"/>
      <c r="BR568" s="97">
        <f t="shared" si="411"/>
        <v>31.487559999999998</v>
      </c>
      <c r="BS568">
        <v>1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0</v>
      </c>
      <c r="BZ568" s="18">
        <v>0</v>
      </c>
      <c r="CA568">
        <v>0</v>
      </c>
      <c r="CB568">
        <v>0</v>
      </c>
      <c r="CC568">
        <v>0</v>
      </c>
      <c r="CD568" s="18">
        <v>1</v>
      </c>
      <c r="CE568">
        <v>0</v>
      </c>
      <c r="CF568">
        <v>0</v>
      </c>
      <c r="CG568">
        <v>0</v>
      </c>
      <c r="CH568">
        <v>0</v>
      </c>
      <c r="CI568" s="18">
        <v>0</v>
      </c>
      <c r="CJ568">
        <v>0</v>
      </c>
      <c r="CK568">
        <v>0</v>
      </c>
      <c r="CL568">
        <v>0</v>
      </c>
      <c r="CM568">
        <v>1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 s="18">
        <v>0</v>
      </c>
      <c r="CZ568" s="34" t="s">
        <v>87</v>
      </c>
    </row>
    <row r="569" spans="1:104" x14ac:dyDescent="0.25">
      <c r="A569">
        <v>568</v>
      </c>
      <c r="B569">
        <v>36</v>
      </c>
      <c r="C569" s="25" t="s">
        <v>339</v>
      </c>
      <c r="D569" s="12">
        <v>7.5</v>
      </c>
      <c r="E569" s="14">
        <f t="shared" si="412"/>
        <v>0.96030729833546735</v>
      </c>
      <c r="F569" s="7">
        <v>7.81</v>
      </c>
      <c r="G569" s="7">
        <f t="shared" si="406"/>
        <v>6.5396927016645323</v>
      </c>
      <c r="H569" s="16">
        <f t="shared" si="407"/>
        <v>8.4603072983354668</v>
      </c>
      <c r="I569" s="11">
        <f t="shared" si="378"/>
        <v>0.1975477495959001</v>
      </c>
      <c r="J569" s="33">
        <f t="shared" si="379"/>
        <v>2.5294206094225363E-2</v>
      </c>
      <c r="K569" s="33">
        <f t="shared" si="408"/>
        <v>39.534745477870473</v>
      </c>
      <c r="L569" s="33">
        <f t="shared" si="409"/>
        <v>0.17225354350167474</v>
      </c>
      <c r="M569" s="33">
        <f t="shared" si="410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02"/>
        <v>1502</v>
      </c>
      <c r="Y569" s="7">
        <f t="shared" si="413"/>
        <v>7.66012</v>
      </c>
      <c r="Z569" s="7">
        <f t="shared" si="414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9">
        <v>0</v>
      </c>
      <c r="AL569" s="30">
        <v>1</v>
      </c>
      <c r="AM569" s="21">
        <v>1986</v>
      </c>
      <c r="AN569" s="23"/>
      <c r="AO569" s="33">
        <v>0.36</v>
      </c>
      <c r="AP569" s="33">
        <v>0.49</v>
      </c>
      <c r="AQ569" s="33">
        <v>0.13</v>
      </c>
      <c r="AR569" s="43">
        <v>0.02</v>
      </c>
      <c r="AS569" s="33" t="s">
        <v>107</v>
      </c>
      <c r="AT569" s="43" t="s">
        <v>107</v>
      </c>
      <c r="AU569" s="42">
        <v>1</v>
      </c>
      <c r="AV569" s="18">
        <v>0</v>
      </c>
      <c r="AW569">
        <v>0.88</v>
      </c>
      <c r="AX569" s="40">
        <f t="shared" si="417"/>
        <v>0.12</v>
      </c>
      <c r="AY569" s="39">
        <f t="shared" si="415"/>
        <v>0.54400000000000004</v>
      </c>
      <c r="AZ569" s="40">
        <f t="shared" si="416"/>
        <v>0.45600000000000002</v>
      </c>
      <c r="BB569" s="18"/>
      <c r="BC569">
        <v>0</v>
      </c>
      <c r="BD569" s="18">
        <v>1</v>
      </c>
      <c r="BE569" s="18" t="s">
        <v>21</v>
      </c>
      <c r="BL569" s="18"/>
      <c r="BO569" s="18"/>
      <c r="BR569" s="97">
        <f t="shared" si="411"/>
        <v>31.487559999999998</v>
      </c>
      <c r="BS569">
        <v>1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0</v>
      </c>
      <c r="BZ569" s="18">
        <v>0</v>
      </c>
      <c r="CA569">
        <v>0</v>
      </c>
      <c r="CB569">
        <v>0</v>
      </c>
      <c r="CC569">
        <v>0</v>
      </c>
      <c r="CD569" s="18">
        <v>1</v>
      </c>
      <c r="CE569">
        <v>0</v>
      </c>
      <c r="CF569">
        <v>0</v>
      </c>
      <c r="CG569">
        <v>0</v>
      </c>
      <c r="CH569">
        <v>0</v>
      </c>
      <c r="CI569" s="18">
        <v>0</v>
      </c>
      <c r="CJ569">
        <v>0</v>
      </c>
      <c r="CK569">
        <v>0</v>
      </c>
      <c r="CL569">
        <v>0</v>
      </c>
      <c r="CM569">
        <v>1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 s="18">
        <v>0</v>
      </c>
      <c r="CZ569" s="34" t="s">
        <v>87</v>
      </c>
    </row>
    <row r="570" spans="1:104" x14ac:dyDescent="0.25">
      <c r="A570">
        <v>569</v>
      </c>
      <c r="B570">
        <v>36</v>
      </c>
      <c r="C570" s="25" t="s">
        <v>339</v>
      </c>
      <c r="D570" s="12">
        <v>7.3</v>
      </c>
      <c r="E570" s="14">
        <f t="shared" si="412"/>
        <v>0.96052631578947367</v>
      </c>
      <c r="F570" s="7">
        <v>7.6</v>
      </c>
      <c r="G570" s="7">
        <f t="shared" si="406"/>
        <v>6.3394736842105264</v>
      </c>
      <c r="H570" s="16">
        <f t="shared" si="407"/>
        <v>8.2605263157894733</v>
      </c>
      <c r="I570" s="11">
        <f t="shared" si="378"/>
        <v>0.19243528302935478</v>
      </c>
      <c r="J570" s="33">
        <f t="shared" si="379"/>
        <v>2.5320431977546683E-2</v>
      </c>
      <c r="K570" s="33">
        <f t="shared" si="408"/>
        <v>39.493796981298217</v>
      </c>
      <c r="L570" s="33">
        <f t="shared" si="409"/>
        <v>0.16711485105180809</v>
      </c>
      <c r="M570" s="33">
        <f t="shared" si="410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02"/>
        <v>1502</v>
      </c>
      <c r="Y570" s="7">
        <f t="shared" si="413"/>
        <v>7.66012</v>
      </c>
      <c r="Z570" s="7">
        <f t="shared" si="414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9">
        <v>0</v>
      </c>
      <c r="AL570" s="30">
        <v>1</v>
      </c>
      <c r="AM570" s="21">
        <v>1986</v>
      </c>
      <c r="AN570" s="23"/>
      <c r="AO570" s="33">
        <v>0.36</v>
      </c>
      <c r="AP570" s="33">
        <v>0.49</v>
      </c>
      <c r="AQ570" s="33">
        <v>0.13</v>
      </c>
      <c r="AR570" s="43">
        <v>0.02</v>
      </c>
      <c r="AS570" s="33" t="s">
        <v>107</v>
      </c>
      <c r="AT570" s="43" t="s">
        <v>107</v>
      </c>
      <c r="AU570" s="42">
        <v>1</v>
      </c>
      <c r="AV570" s="18">
        <v>0</v>
      </c>
      <c r="AW570">
        <v>0.88</v>
      </c>
      <c r="AX570" s="40">
        <f t="shared" si="417"/>
        <v>0.12</v>
      </c>
      <c r="AY570" s="39">
        <f t="shared" si="415"/>
        <v>0.54400000000000004</v>
      </c>
      <c r="AZ570" s="40">
        <f t="shared" si="416"/>
        <v>0.45600000000000002</v>
      </c>
      <c r="BB570" s="18"/>
      <c r="BC570">
        <v>0</v>
      </c>
      <c r="BD570" s="18">
        <v>1</v>
      </c>
      <c r="BE570" s="18" t="s">
        <v>21</v>
      </c>
      <c r="BL570" s="18"/>
      <c r="BO570" s="18"/>
      <c r="BR570" s="97">
        <f t="shared" si="411"/>
        <v>31.487559999999998</v>
      </c>
      <c r="BS570">
        <v>1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0</v>
      </c>
      <c r="BZ570" s="18">
        <v>0</v>
      </c>
      <c r="CA570">
        <v>0</v>
      </c>
      <c r="CB570">
        <v>0</v>
      </c>
      <c r="CC570">
        <v>0</v>
      </c>
      <c r="CD570" s="18">
        <v>1</v>
      </c>
      <c r="CE570">
        <v>0</v>
      </c>
      <c r="CF570">
        <v>0</v>
      </c>
      <c r="CG570">
        <v>0</v>
      </c>
      <c r="CH570">
        <v>0</v>
      </c>
      <c r="CI570" s="18">
        <v>0</v>
      </c>
      <c r="CJ570">
        <v>0</v>
      </c>
      <c r="CK570">
        <v>0</v>
      </c>
      <c r="CL570">
        <v>0</v>
      </c>
      <c r="CM570">
        <v>1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 s="18">
        <v>1</v>
      </c>
      <c r="CZ570" s="34" t="s">
        <v>87</v>
      </c>
    </row>
    <row r="571" spans="1:104" x14ac:dyDescent="0.25">
      <c r="A571">
        <v>570</v>
      </c>
      <c r="B571">
        <v>36</v>
      </c>
      <c r="C571" s="25" t="s">
        <v>339</v>
      </c>
      <c r="D571" s="12">
        <v>7.1</v>
      </c>
      <c r="E571" s="14">
        <f t="shared" si="412"/>
        <v>0.94164456233421745</v>
      </c>
      <c r="F571" s="7">
        <v>7.54</v>
      </c>
      <c r="G571" s="7">
        <f t="shared" si="406"/>
        <v>6.1583554376657821</v>
      </c>
      <c r="H571" s="16">
        <f t="shared" si="407"/>
        <v>8.0416445623342163</v>
      </c>
      <c r="I571" s="11">
        <f t="shared" si="378"/>
        <v>0.19097167590337699</v>
      </c>
      <c r="J571" s="33">
        <f t="shared" si="379"/>
        <v>2.5327808475248934E-2</v>
      </c>
      <c r="K571" s="33">
        <f t="shared" si="408"/>
        <v>39.482294766135368</v>
      </c>
      <c r="L571" s="33">
        <f t="shared" si="409"/>
        <v>0.16564386742812806</v>
      </c>
      <c r="M571" s="33">
        <f t="shared" si="410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02"/>
        <v>1502</v>
      </c>
      <c r="Y571" s="7">
        <f t="shared" si="413"/>
        <v>7.66012</v>
      </c>
      <c r="Z571" s="7">
        <f t="shared" si="414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9">
        <v>0</v>
      </c>
      <c r="AL571" s="30">
        <v>1</v>
      </c>
      <c r="AM571" s="21">
        <v>1986</v>
      </c>
      <c r="AN571" s="23"/>
      <c r="AO571" s="33">
        <v>0.36</v>
      </c>
      <c r="AP571" s="33">
        <v>0.49</v>
      </c>
      <c r="AQ571" s="33">
        <v>0.13</v>
      </c>
      <c r="AR571" s="43">
        <v>0.02</v>
      </c>
      <c r="AS571" s="33" t="s">
        <v>107</v>
      </c>
      <c r="AT571" s="43" t="s">
        <v>107</v>
      </c>
      <c r="AU571" s="42">
        <v>1</v>
      </c>
      <c r="AV571" s="18">
        <v>0</v>
      </c>
      <c r="AW571">
        <v>0.88</v>
      </c>
      <c r="AX571" s="40">
        <f t="shared" si="417"/>
        <v>0.12</v>
      </c>
      <c r="AY571" s="39">
        <f t="shared" si="415"/>
        <v>0.54400000000000004</v>
      </c>
      <c r="AZ571" s="40">
        <f t="shared" si="416"/>
        <v>0.45600000000000002</v>
      </c>
      <c r="BB571" s="18"/>
      <c r="BC571">
        <v>0</v>
      </c>
      <c r="BD571" s="18">
        <v>1</v>
      </c>
      <c r="BE571" s="18" t="s">
        <v>21</v>
      </c>
      <c r="BL571" s="18"/>
      <c r="BO571" s="18"/>
      <c r="BR571" s="97">
        <f t="shared" si="411"/>
        <v>31.487559999999998</v>
      </c>
      <c r="BS571">
        <v>1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0</v>
      </c>
      <c r="BZ571" s="18">
        <v>0</v>
      </c>
      <c r="CA571">
        <v>0</v>
      </c>
      <c r="CB571">
        <v>0</v>
      </c>
      <c r="CC571">
        <v>0</v>
      </c>
      <c r="CD571" s="18">
        <v>1</v>
      </c>
      <c r="CE571">
        <v>0</v>
      </c>
      <c r="CF571">
        <v>0</v>
      </c>
      <c r="CG571">
        <v>0</v>
      </c>
      <c r="CH571">
        <v>0</v>
      </c>
      <c r="CI571" s="18">
        <v>0</v>
      </c>
      <c r="CJ571">
        <v>0</v>
      </c>
      <c r="CK571">
        <v>0</v>
      </c>
      <c r="CL571">
        <v>0</v>
      </c>
      <c r="CM571">
        <v>1</v>
      </c>
      <c r="CN571">
        <v>0</v>
      </c>
      <c r="CO571">
        <v>0</v>
      </c>
      <c r="CP571">
        <v>0</v>
      </c>
      <c r="CQ571">
        <v>0</v>
      </c>
      <c r="CR571">
        <v>0</v>
      </c>
      <c r="CS571">
        <v>0</v>
      </c>
      <c r="CT571" s="18">
        <v>1</v>
      </c>
      <c r="CZ571" s="34" t="s">
        <v>87</v>
      </c>
    </row>
    <row r="572" spans="1:104" x14ac:dyDescent="0.25">
      <c r="A572">
        <v>571</v>
      </c>
      <c r="B572">
        <v>36</v>
      </c>
      <c r="C572" s="25" t="s">
        <v>339</v>
      </c>
      <c r="D572" s="12">
        <v>6</v>
      </c>
      <c r="E572" s="14">
        <f t="shared" si="412"/>
        <v>0.90361445783132532</v>
      </c>
      <c r="F572" s="7">
        <v>6.64</v>
      </c>
      <c r="G572" s="7">
        <f t="shared" si="406"/>
        <v>5.096385542168675</v>
      </c>
      <c r="H572" s="16">
        <f t="shared" si="407"/>
        <v>6.903614457831325</v>
      </c>
      <c r="I572" s="11">
        <f t="shared" si="378"/>
        <v>0.16886931820305151</v>
      </c>
      <c r="J572" s="33">
        <f t="shared" si="379"/>
        <v>2.5432126235399324E-2</v>
      </c>
      <c r="K572" s="33">
        <f t="shared" si="408"/>
        <v>39.320345878438047</v>
      </c>
      <c r="L572" s="33">
        <f t="shared" si="409"/>
        <v>0.1434371919676522</v>
      </c>
      <c r="M572" s="33">
        <f t="shared" si="410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02"/>
        <v>1502</v>
      </c>
      <c r="Y572" s="7">
        <f t="shared" si="413"/>
        <v>7.66012</v>
      </c>
      <c r="Z572" s="7">
        <f t="shared" si="414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9">
        <v>0</v>
      </c>
      <c r="AL572" s="30">
        <v>1</v>
      </c>
      <c r="AM572" s="21">
        <v>1986</v>
      </c>
      <c r="AN572" s="23"/>
      <c r="AO572" s="33">
        <v>0.36</v>
      </c>
      <c r="AP572" s="33">
        <v>0.49</v>
      </c>
      <c r="AQ572" s="33">
        <v>0.13</v>
      </c>
      <c r="AR572" s="43">
        <v>0.02</v>
      </c>
      <c r="AS572" s="33" t="s">
        <v>107</v>
      </c>
      <c r="AT572" s="43" t="s">
        <v>107</v>
      </c>
      <c r="AU572" s="42">
        <v>1</v>
      </c>
      <c r="AV572" s="18">
        <v>0</v>
      </c>
      <c r="AW572">
        <v>0.88</v>
      </c>
      <c r="AX572" s="40">
        <f t="shared" si="417"/>
        <v>0.12</v>
      </c>
      <c r="AY572" s="39">
        <f t="shared" si="415"/>
        <v>0.54400000000000004</v>
      </c>
      <c r="AZ572" s="40">
        <f t="shared" si="416"/>
        <v>0.45600000000000002</v>
      </c>
      <c r="BB572" s="18"/>
      <c r="BC572">
        <v>0</v>
      </c>
      <c r="BD572" s="18">
        <v>1</v>
      </c>
      <c r="BE572" s="18" t="s">
        <v>21</v>
      </c>
      <c r="BL572" s="18"/>
      <c r="BO572" s="18"/>
      <c r="BR572" s="97">
        <f t="shared" si="411"/>
        <v>31.487559999999998</v>
      </c>
      <c r="BS572">
        <v>1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0</v>
      </c>
      <c r="BZ572" s="18">
        <v>0</v>
      </c>
      <c r="CA572">
        <v>0</v>
      </c>
      <c r="CB572">
        <v>0</v>
      </c>
      <c r="CC572">
        <v>0</v>
      </c>
      <c r="CD572" s="18">
        <v>1</v>
      </c>
      <c r="CE572">
        <v>0</v>
      </c>
      <c r="CF572">
        <v>0</v>
      </c>
      <c r="CG572">
        <v>0</v>
      </c>
      <c r="CH572">
        <v>0</v>
      </c>
      <c r="CI572" s="18">
        <v>0</v>
      </c>
      <c r="CJ572">
        <v>0</v>
      </c>
      <c r="CK572">
        <v>0</v>
      </c>
      <c r="CL572">
        <v>0</v>
      </c>
      <c r="CM572">
        <v>1</v>
      </c>
      <c r="CN572">
        <v>0</v>
      </c>
      <c r="CO572">
        <v>0</v>
      </c>
      <c r="CP572">
        <v>0</v>
      </c>
      <c r="CQ572">
        <v>0</v>
      </c>
      <c r="CR572">
        <v>1</v>
      </c>
      <c r="CS572">
        <v>0</v>
      </c>
      <c r="CT572" s="18">
        <v>0</v>
      </c>
      <c r="CZ572" s="34" t="s">
        <v>87</v>
      </c>
    </row>
    <row r="573" spans="1:104" x14ac:dyDescent="0.25">
      <c r="A573">
        <v>572</v>
      </c>
      <c r="B573">
        <v>36</v>
      </c>
      <c r="C573" s="25" t="s">
        <v>339</v>
      </c>
      <c r="D573" s="12">
        <v>8.4</v>
      </c>
      <c r="E573" s="14">
        <f t="shared" si="412"/>
        <v>0.98707403055229148</v>
      </c>
      <c r="F573" s="7">
        <v>8.51</v>
      </c>
      <c r="G573" s="7">
        <f t="shared" si="406"/>
        <v>7.4129259694477092</v>
      </c>
      <c r="H573" s="16">
        <f t="shared" si="407"/>
        <v>9.3870740305522915</v>
      </c>
      <c r="I573" s="11">
        <f t="shared" si="378"/>
        <v>0.21440325235359536</v>
      </c>
      <c r="J573" s="33">
        <f t="shared" si="379"/>
        <v>2.5194271721926603E-2</v>
      </c>
      <c r="K573" s="33">
        <f t="shared" si="408"/>
        <v>39.691562075584777</v>
      </c>
      <c r="L573" s="33">
        <f t="shared" si="409"/>
        <v>0.18920898063166877</v>
      </c>
      <c r="M573" s="33">
        <f t="shared" si="410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02"/>
        <v>1503</v>
      </c>
      <c r="Y573" s="7">
        <f t="shared" si="413"/>
        <v>7.66012</v>
      </c>
      <c r="Z573" s="7">
        <f t="shared" si="414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9">
        <v>0</v>
      </c>
      <c r="AL573" s="30">
        <v>1</v>
      </c>
      <c r="AM573" s="21">
        <v>1986</v>
      </c>
      <c r="AN573" s="23"/>
      <c r="AO573" s="33">
        <v>0.36</v>
      </c>
      <c r="AP573" s="33">
        <v>0.49</v>
      </c>
      <c r="AQ573" s="33">
        <v>0.13</v>
      </c>
      <c r="AR573" s="43">
        <v>0.02</v>
      </c>
      <c r="AS573" s="33" t="s">
        <v>107</v>
      </c>
      <c r="AT573" s="43" t="s">
        <v>107</v>
      </c>
      <c r="AU573" s="42">
        <v>1</v>
      </c>
      <c r="AV573" s="18">
        <v>0</v>
      </c>
      <c r="AW573">
        <v>0.88</v>
      </c>
      <c r="AX573" s="40">
        <f t="shared" si="417"/>
        <v>0.12</v>
      </c>
      <c r="AY573" s="39">
        <f t="shared" si="415"/>
        <v>0.54400000000000004</v>
      </c>
      <c r="AZ573" s="40">
        <f t="shared" si="416"/>
        <v>0.45600000000000002</v>
      </c>
      <c r="BB573" s="18"/>
      <c r="BC573">
        <v>0</v>
      </c>
      <c r="BD573" s="18">
        <v>1</v>
      </c>
      <c r="BE573" s="18" t="s">
        <v>21</v>
      </c>
      <c r="BL573" s="18"/>
      <c r="BO573" s="18"/>
      <c r="BR573" s="97">
        <f t="shared" si="411"/>
        <v>31.487559999999998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1</v>
      </c>
      <c r="BZ573" s="18">
        <v>0</v>
      </c>
      <c r="CA573">
        <v>0</v>
      </c>
      <c r="CB573">
        <v>0</v>
      </c>
      <c r="CC573">
        <v>0</v>
      </c>
      <c r="CD573" s="18">
        <v>1</v>
      </c>
      <c r="CE573">
        <v>0</v>
      </c>
      <c r="CF573">
        <v>0</v>
      </c>
      <c r="CG573">
        <v>0</v>
      </c>
      <c r="CH573">
        <v>0</v>
      </c>
      <c r="CI573" s="18">
        <v>0</v>
      </c>
      <c r="CJ573">
        <v>0</v>
      </c>
      <c r="CK573">
        <v>0</v>
      </c>
      <c r="CL573">
        <v>0</v>
      </c>
      <c r="CM573">
        <v>1</v>
      </c>
      <c r="CN573">
        <v>0</v>
      </c>
      <c r="CO573">
        <v>0</v>
      </c>
      <c r="CP573">
        <v>1</v>
      </c>
      <c r="CQ573">
        <v>0</v>
      </c>
      <c r="CR573">
        <v>0</v>
      </c>
      <c r="CS573">
        <v>0</v>
      </c>
      <c r="CT573" s="18">
        <v>0</v>
      </c>
      <c r="CZ573" s="34" t="s">
        <v>87</v>
      </c>
    </row>
    <row r="574" spans="1:104" x14ac:dyDescent="0.25">
      <c r="A574">
        <v>573</v>
      </c>
      <c r="B574">
        <v>36</v>
      </c>
      <c r="C574" s="25" t="s">
        <v>339</v>
      </c>
      <c r="D574" s="12">
        <v>7.4</v>
      </c>
      <c r="E574" s="14">
        <f t="shared" si="412"/>
        <v>1.0407876230661042</v>
      </c>
      <c r="F574" s="7">
        <v>7.11</v>
      </c>
      <c r="G574" s="7">
        <f t="shared" si="406"/>
        <v>6.359212376933896</v>
      </c>
      <c r="H574" s="16">
        <f t="shared" si="407"/>
        <v>8.4407876230661039</v>
      </c>
      <c r="I574" s="11">
        <f t="shared" si="378"/>
        <v>0.19994071330712809</v>
      </c>
      <c r="J574" s="33">
        <f t="shared" si="379"/>
        <v>2.8121056723928003E-2</v>
      </c>
      <c r="K574" s="33">
        <f t="shared" si="408"/>
        <v>35.560541334462272</v>
      </c>
      <c r="L574" s="33">
        <f t="shared" si="409"/>
        <v>0.17181965658320009</v>
      </c>
      <c r="M574" s="33">
        <f t="shared" si="410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02"/>
        <v>1214</v>
      </c>
      <c r="Y574" s="7">
        <f t="shared" si="413"/>
        <v>7.4770000000000003</v>
      </c>
      <c r="Z574" s="7">
        <f t="shared" si="414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9">
        <v>0</v>
      </c>
      <c r="AL574" s="30">
        <v>1</v>
      </c>
      <c r="AM574" s="21">
        <v>1986</v>
      </c>
      <c r="AN574" s="23"/>
      <c r="AO574" s="33">
        <v>0.36</v>
      </c>
      <c r="AP574" s="33">
        <v>0.49</v>
      </c>
      <c r="AQ574" s="33">
        <v>0.13</v>
      </c>
      <c r="AR574" s="43">
        <v>0.02</v>
      </c>
      <c r="AS574" s="33" t="s">
        <v>107</v>
      </c>
      <c r="AT574" s="43" t="s">
        <v>107</v>
      </c>
      <c r="AU574" s="42">
        <v>1</v>
      </c>
      <c r="AV574" s="18">
        <v>0</v>
      </c>
      <c r="AW574">
        <v>1</v>
      </c>
      <c r="AX574" s="40">
        <v>0</v>
      </c>
      <c r="AY574" s="39">
        <f t="shared" si="415"/>
        <v>0.55000000000000004</v>
      </c>
      <c r="AZ574" s="40">
        <f t="shared" si="416"/>
        <v>0.45</v>
      </c>
      <c r="BB574" s="18"/>
      <c r="BC574">
        <v>0</v>
      </c>
      <c r="BD574" s="18">
        <v>1</v>
      </c>
      <c r="BE574" s="18" t="s">
        <v>21</v>
      </c>
      <c r="BL574" s="18"/>
      <c r="BO574" s="18"/>
      <c r="BR574" s="97">
        <f t="shared" si="411"/>
        <v>32.037999999999997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1</v>
      </c>
      <c r="BZ574" s="18">
        <v>0</v>
      </c>
      <c r="CA574">
        <v>0</v>
      </c>
      <c r="CB574">
        <v>0</v>
      </c>
      <c r="CC574">
        <v>0</v>
      </c>
      <c r="CD574" s="18">
        <v>1</v>
      </c>
      <c r="CE574">
        <v>0</v>
      </c>
      <c r="CF574">
        <v>0</v>
      </c>
      <c r="CG574">
        <v>0</v>
      </c>
      <c r="CH574">
        <v>0</v>
      </c>
      <c r="CI574" s="18">
        <v>0</v>
      </c>
      <c r="CJ574">
        <v>0</v>
      </c>
      <c r="CK574">
        <v>0</v>
      </c>
      <c r="CL574">
        <v>0</v>
      </c>
      <c r="CM574">
        <v>1</v>
      </c>
      <c r="CN574">
        <v>0</v>
      </c>
      <c r="CO574">
        <v>0</v>
      </c>
      <c r="CP574">
        <v>0</v>
      </c>
      <c r="CQ574">
        <v>0</v>
      </c>
      <c r="CR574">
        <v>0</v>
      </c>
      <c r="CS574">
        <v>0</v>
      </c>
      <c r="CT574" s="18">
        <v>0</v>
      </c>
      <c r="CZ574" s="34" t="s">
        <v>87</v>
      </c>
    </row>
    <row r="575" spans="1:104" x14ac:dyDescent="0.25">
      <c r="A575">
        <v>574</v>
      </c>
      <c r="B575">
        <v>36</v>
      </c>
      <c r="C575" s="25" t="s">
        <v>339</v>
      </c>
      <c r="D575" s="12">
        <v>7.6</v>
      </c>
      <c r="E575" s="14">
        <f t="shared" si="412"/>
        <v>3.1275720164609049</v>
      </c>
      <c r="F575" s="7">
        <v>2.4300000000000002</v>
      </c>
      <c r="G575" s="7">
        <f t="shared" si="406"/>
        <v>4.4724279835390952</v>
      </c>
      <c r="H575" s="16">
        <f t="shared" si="407"/>
        <v>10.727572016460904</v>
      </c>
      <c r="I575" s="11">
        <f t="shared" si="378"/>
        <v>6.11932504058443E-2</v>
      </c>
      <c r="J575" s="33">
        <f t="shared" si="379"/>
        <v>2.5182407574421521E-2</v>
      </c>
      <c r="K575" s="33">
        <f t="shared" si="408"/>
        <v>39.710261897902413</v>
      </c>
      <c r="L575" s="33">
        <f t="shared" si="409"/>
        <v>3.6010842831422779E-2</v>
      </c>
      <c r="M575" s="33">
        <f t="shared" si="410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02"/>
        <v>1571</v>
      </c>
      <c r="Y575" s="7">
        <f t="shared" si="413"/>
        <v>9.0030000000000001</v>
      </c>
      <c r="Z575" s="7">
        <f t="shared" si="414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9">
        <v>0</v>
      </c>
      <c r="AL575" s="30">
        <v>1</v>
      </c>
      <c r="AM575" s="21">
        <v>1986</v>
      </c>
      <c r="AN575" s="23"/>
      <c r="AO575" s="33">
        <v>0.36</v>
      </c>
      <c r="AP575" s="33">
        <v>0.49</v>
      </c>
      <c r="AQ575" s="33">
        <v>0.13</v>
      </c>
      <c r="AR575" s="43">
        <v>0.02</v>
      </c>
      <c r="AS575" s="33" t="s">
        <v>107</v>
      </c>
      <c r="AT575" s="43" t="s">
        <v>107</v>
      </c>
      <c r="AU575" s="42">
        <v>1</v>
      </c>
      <c r="AV575" s="18">
        <v>0</v>
      </c>
      <c r="AW575">
        <v>0</v>
      </c>
      <c r="AX575" s="40">
        <v>1</v>
      </c>
      <c r="AY575" s="39">
        <f t="shared" si="415"/>
        <v>0.5</v>
      </c>
      <c r="AZ575" s="40">
        <f t="shared" si="416"/>
        <v>0.5</v>
      </c>
      <c r="BB575" s="18"/>
      <c r="BC575">
        <v>0</v>
      </c>
      <c r="BD575" s="18">
        <v>1</v>
      </c>
      <c r="BE575" s="18" t="s">
        <v>21</v>
      </c>
      <c r="BL575" s="18"/>
      <c r="BO575" s="18"/>
      <c r="BR575" s="97">
        <f t="shared" si="411"/>
        <v>27.451000000000001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1</v>
      </c>
      <c r="BZ575" s="18">
        <v>0</v>
      </c>
      <c r="CA575">
        <v>0</v>
      </c>
      <c r="CB575">
        <v>0</v>
      </c>
      <c r="CC575">
        <v>0</v>
      </c>
      <c r="CD575" s="18">
        <v>1</v>
      </c>
      <c r="CE575">
        <v>0</v>
      </c>
      <c r="CF575">
        <v>0</v>
      </c>
      <c r="CG575">
        <v>0</v>
      </c>
      <c r="CH575">
        <v>0</v>
      </c>
      <c r="CI575" s="18">
        <v>0</v>
      </c>
      <c r="CJ575">
        <v>0</v>
      </c>
      <c r="CK575">
        <v>0</v>
      </c>
      <c r="CL575">
        <v>0</v>
      </c>
      <c r="CM575">
        <v>1</v>
      </c>
      <c r="CN575">
        <v>0</v>
      </c>
      <c r="CO575">
        <v>0</v>
      </c>
      <c r="CP575">
        <v>0</v>
      </c>
      <c r="CQ575">
        <v>0</v>
      </c>
      <c r="CR575">
        <v>0</v>
      </c>
      <c r="CS575">
        <v>0</v>
      </c>
      <c r="CT575" s="18">
        <v>0</v>
      </c>
      <c r="CZ575" s="34" t="s">
        <v>87</v>
      </c>
    </row>
    <row r="576" spans="1:104" x14ac:dyDescent="0.25">
      <c r="A576">
        <v>575</v>
      </c>
      <c r="B576">
        <v>36</v>
      </c>
      <c r="C576" s="25" t="s">
        <v>339</v>
      </c>
      <c r="D576" s="12">
        <v>6.7</v>
      </c>
      <c r="E576" s="14">
        <f t="shared" si="412"/>
        <v>0.93314763231197773</v>
      </c>
      <c r="F576" s="7">
        <v>7.18</v>
      </c>
      <c r="G576" s="7">
        <f t="shared" si="406"/>
        <v>5.7668523676880223</v>
      </c>
      <c r="H576" s="16">
        <f t="shared" si="407"/>
        <v>7.633147632311978</v>
      </c>
      <c r="I576" s="11">
        <f t="shared" si="378"/>
        <v>0.18239852026663411</v>
      </c>
      <c r="J576" s="33">
        <f t="shared" si="379"/>
        <v>2.5403693630450433E-2</v>
      </c>
      <c r="K576" s="33">
        <f t="shared" si="408"/>
        <v>39.364354433929179</v>
      </c>
      <c r="L576" s="33">
        <f t="shared" si="409"/>
        <v>0.15699482663618369</v>
      </c>
      <c r="M576" s="33">
        <f t="shared" si="410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18">U576-V576-1</f>
        <v>1498</v>
      </c>
      <c r="Y576" s="7">
        <f t="shared" si="413"/>
        <v>7.66012</v>
      </c>
      <c r="Z576" s="7">
        <f t="shared" si="414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9">
        <v>0</v>
      </c>
      <c r="AL576" s="30">
        <v>1</v>
      </c>
      <c r="AM576" s="21">
        <v>1986</v>
      </c>
      <c r="AN576" s="23"/>
      <c r="AO576" s="33">
        <v>0.36</v>
      </c>
      <c r="AP576" s="33">
        <v>0.49</v>
      </c>
      <c r="AQ576" s="33">
        <v>0.13</v>
      </c>
      <c r="AR576" s="43">
        <v>0.02</v>
      </c>
      <c r="AS576" s="33" t="s">
        <v>107</v>
      </c>
      <c r="AT576" s="43" t="s">
        <v>107</v>
      </c>
      <c r="AU576" s="42">
        <v>1</v>
      </c>
      <c r="AV576" s="18">
        <v>0</v>
      </c>
      <c r="AW576">
        <v>0.88</v>
      </c>
      <c r="AX576" s="40">
        <f>1-AW576</f>
        <v>0.12</v>
      </c>
      <c r="AY576" s="39">
        <f t="shared" si="415"/>
        <v>0.54400000000000004</v>
      </c>
      <c r="AZ576" s="40">
        <f t="shared" si="416"/>
        <v>0.45600000000000002</v>
      </c>
      <c r="BB576" s="18"/>
      <c r="BC576">
        <v>0</v>
      </c>
      <c r="BD576" s="18">
        <v>1</v>
      </c>
      <c r="BE576" s="18" t="s">
        <v>21</v>
      </c>
      <c r="BL576" s="18"/>
      <c r="BO576" s="18"/>
      <c r="BR576" s="97">
        <f t="shared" si="411"/>
        <v>31.487559999999998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1</v>
      </c>
      <c r="BZ576" s="18">
        <v>0</v>
      </c>
      <c r="CA576">
        <v>0</v>
      </c>
      <c r="CB576">
        <v>0</v>
      </c>
      <c r="CC576">
        <v>0</v>
      </c>
      <c r="CD576" s="18">
        <v>1</v>
      </c>
      <c r="CE576">
        <v>0</v>
      </c>
      <c r="CF576">
        <v>0</v>
      </c>
      <c r="CG576">
        <v>0</v>
      </c>
      <c r="CH576">
        <v>0</v>
      </c>
      <c r="CI576" s="18">
        <v>0</v>
      </c>
      <c r="CJ576">
        <v>0</v>
      </c>
      <c r="CK576">
        <v>0</v>
      </c>
      <c r="CL576">
        <v>0</v>
      </c>
      <c r="CM576">
        <v>1</v>
      </c>
      <c r="CN576">
        <v>0</v>
      </c>
      <c r="CO576">
        <v>0</v>
      </c>
      <c r="CP576">
        <v>1</v>
      </c>
      <c r="CQ576">
        <v>0</v>
      </c>
      <c r="CR576">
        <v>1</v>
      </c>
      <c r="CS576">
        <v>0</v>
      </c>
      <c r="CT576" s="18">
        <v>1</v>
      </c>
      <c r="CZ576" s="34" t="s">
        <v>87</v>
      </c>
    </row>
    <row r="577" spans="1:104" x14ac:dyDescent="0.25">
      <c r="A577">
        <v>576</v>
      </c>
      <c r="B577">
        <v>36</v>
      </c>
      <c r="C577" s="25" t="s">
        <v>339</v>
      </c>
      <c r="D577" s="12">
        <v>5.9</v>
      </c>
      <c r="E577" s="14">
        <f t="shared" si="412"/>
        <v>0.94855305466237949</v>
      </c>
      <c r="F577" s="7">
        <v>6.22</v>
      </c>
      <c r="G577" s="7">
        <f t="shared" si="406"/>
        <v>4.9514469453376204</v>
      </c>
      <c r="H577" s="16">
        <f t="shared" si="407"/>
        <v>6.8485530546623803</v>
      </c>
      <c r="I577" s="11">
        <f t="shared" si="378"/>
        <v>0.17609106334503863</v>
      </c>
      <c r="J577" s="33">
        <f t="shared" si="379"/>
        <v>2.8310460344861517E-2</v>
      </c>
      <c r="K577" s="33">
        <f t="shared" si="408"/>
        <v>35.322632970943715</v>
      </c>
      <c r="L577" s="33">
        <f t="shared" si="409"/>
        <v>0.14778060300017712</v>
      </c>
      <c r="M577" s="33">
        <f t="shared" si="410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18"/>
        <v>1209</v>
      </c>
      <c r="Y577" s="7">
        <f t="shared" si="413"/>
        <v>7.4770000000000003</v>
      </c>
      <c r="Z577" s="7">
        <f t="shared" si="414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9">
        <v>0</v>
      </c>
      <c r="AL577" s="30">
        <v>1</v>
      </c>
      <c r="AM577" s="21">
        <v>1986</v>
      </c>
      <c r="AN577" s="23"/>
      <c r="AO577" s="33">
        <v>0.36</v>
      </c>
      <c r="AP577" s="33">
        <v>0.49</v>
      </c>
      <c r="AQ577" s="33">
        <v>0.13</v>
      </c>
      <c r="AR577" s="43">
        <v>0.02</v>
      </c>
      <c r="AS577" s="33" t="s">
        <v>107</v>
      </c>
      <c r="AT577" s="43" t="s">
        <v>107</v>
      </c>
      <c r="AU577" s="42">
        <v>1</v>
      </c>
      <c r="AV577" s="18">
        <v>0</v>
      </c>
      <c r="AW577">
        <v>1</v>
      </c>
      <c r="AX577" s="40">
        <v>0</v>
      </c>
      <c r="AY577" s="39">
        <f t="shared" si="415"/>
        <v>0.55000000000000004</v>
      </c>
      <c r="AZ577" s="40">
        <f t="shared" si="416"/>
        <v>0.45</v>
      </c>
      <c r="BB577" s="18"/>
      <c r="BC577">
        <v>0</v>
      </c>
      <c r="BD577" s="18">
        <v>1</v>
      </c>
      <c r="BE577" s="18" t="s">
        <v>21</v>
      </c>
      <c r="BL577" s="18"/>
      <c r="BO577" s="18"/>
      <c r="BR577" s="97">
        <f t="shared" si="411"/>
        <v>32.037999999999997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</v>
      </c>
      <c r="BZ577" s="18">
        <v>0</v>
      </c>
      <c r="CA577">
        <v>0</v>
      </c>
      <c r="CB577">
        <v>0</v>
      </c>
      <c r="CC577">
        <v>0</v>
      </c>
      <c r="CD577" s="18">
        <v>1</v>
      </c>
      <c r="CE577">
        <v>0</v>
      </c>
      <c r="CF577">
        <v>0</v>
      </c>
      <c r="CG577">
        <v>0</v>
      </c>
      <c r="CH577">
        <v>0</v>
      </c>
      <c r="CI577" s="18">
        <v>0</v>
      </c>
      <c r="CJ577">
        <v>0</v>
      </c>
      <c r="CK577">
        <v>0</v>
      </c>
      <c r="CL577">
        <v>0</v>
      </c>
      <c r="CM577">
        <v>1</v>
      </c>
      <c r="CN577">
        <v>0</v>
      </c>
      <c r="CO577">
        <v>0</v>
      </c>
      <c r="CP577">
        <v>0</v>
      </c>
      <c r="CQ577">
        <v>0</v>
      </c>
      <c r="CR577">
        <v>1</v>
      </c>
      <c r="CS577">
        <v>0</v>
      </c>
      <c r="CT577" s="18">
        <v>1</v>
      </c>
      <c r="CZ577" s="34" t="s">
        <v>87</v>
      </c>
    </row>
    <row r="578" spans="1:104" x14ac:dyDescent="0.25">
      <c r="A578">
        <v>577</v>
      </c>
      <c r="B578">
        <v>36</v>
      </c>
      <c r="C578" s="25" t="s">
        <v>339</v>
      </c>
      <c r="D578" s="12">
        <v>6.6</v>
      </c>
      <c r="E578" s="14">
        <f t="shared" si="412"/>
        <v>3.1132075471698109</v>
      </c>
      <c r="F578" s="7">
        <v>2.12</v>
      </c>
      <c r="G578" s="7">
        <f t="shared" si="406"/>
        <v>3.4867924528301888</v>
      </c>
      <c r="H578" s="16">
        <f t="shared" si="407"/>
        <v>9.7132075471698105</v>
      </c>
      <c r="I578" s="11">
        <f t="shared" ref="I578:I641" si="419">IFERROR(F578/SQRT(F578^2+W578), "X")</f>
        <v>0.12591098420571495</v>
      </c>
      <c r="J578" s="33">
        <f t="shared" ref="J578:J641" si="420">IFERROR(SQRT((1-I578^2)/W578), "X")</f>
        <v>5.9391973681941011E-2</v>
      </c>
      <c r="K578" s="33">
        <f t="shared" si="408"/>
        <v>16.837291943777657</v>
      </c>
      <c r="L578" s="33">
        <f t="shared" si="409"/>
        <v>6.651901052377393E-2</v>
      </c>
      <c r="M578" s="33">
        <f t="shared" si="410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18"/>
        <v>279</v>
      </c>
      <c r="Y578" s="7">
        <f t="shared" si="413"/>
        <v>9.0030000000000001</v>
      </c>
      <c r="Z578" s="7">
        <f t="shared" si="414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9">
        <v>0</v>
      </c>
      <c r="AL578" s="30">
        <v>1</v>
      </c>
      <c r="AM578" s="21">
        <v>1986</v>
      </c>
      <c r="AN578" s="23"/>
      <c r="AO578" s="33">
        <v>0.36</v>
      </c>
      <c r="AP578" s="33">
        <v>0.49</v>
      </c>
      <c r="AQ578" s="33">
        <v>0.13</v>
      </c>
      <c r="AR578" s="43">
        <v>0.02</v>
      </c>
      <c r="AS578" s="33" t="s">
        <v>107</v>
      </c>
      <c r="AT578" s="43" t="s">
        <v>107</v>
      </c>
      <c r="AU578" s="42">
        <v>1</v>
      </c>
      <c r="AV578" s="18">
        <v>0</v>
      </c>
      <c r="AW578">
        <v>0</v>
      </c>
      <c r="AX578" s="40">
        <v>1</v>
      </c>
      <c r="AY578" s="39">
        <f t="shared" si="415"/>
        <v>0.5</v>
      </c>
      <c r="AZ578" s="40">
        <f t="shared" si="416"/>
        <v>0.5</v>
      </c>
      <c r="BB578" s="18"/>
      <c r="BC578">
        <v>0</v>
      </c>
      <c r="BD578" s="18">
        <v>1</v>
      </c>
      <c r="BE578" s="18" t="s">
        <v>21</v>
      </c>
      <c r="BL578" s="18"/>
      <c r="BO578" s="18"/>
      <c r="BR578" s="97">
        <f t="shared" si="411"/>
        <v>27.451000000000001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1</v>
      </c>
      <c r="BZ578" s="18">
        <v>0</v>
      </c>
      <c r="CA578">
        <v>0</v>
      </c>
      <c r="CB578">
        <v>0</v>
      </c>
      <c r="CC578">
        <v>0</v>
      </c>
      <c r="CD578" s="18">
        <v>1</v>
      </c>
      <c r="CE578">
        <v>0</v>
      </c>
      <c r="CF578">
        <v>0</v>
      </c>
      <c r="CG578">
        <v>0</v>
      </c>
      <c r="CH578">
        <v>0</v>
      </c>
      <c r="CI578" s="18">
        <v>0</v>
      </c>
      <c r="CJ578">
        <v>0</v>
      </c>
      <c r="CK578">
        <v>0</v>
      </c>
      <c r="CL578">
        <v>0</v>
      </c>
      <c r="CM578">
        <v>1</v>
      </c>
      <c r="CN578">
        <v>0</v>
      </c>
      <c r="CO578">
        <v>0</v>
      </c>
      <c r="CP578">
        <v>0</v>
      </c>
      <c r="CQ578">
        <v>0</v>
      </c>
      <c r="CR578">
        <v>1</v>
      </c>
      <c r="CS578">
        <v>0</v>
      </c>
      <c r="CT578" s="18">
        <v>1</v>
      </c>
      <c r="CZ578" s="34" t="s">
        <v>87</v>
      </c>
    </row>
    <row r="579" spans="1:104" s="98" customFormat="1" x14ac:dyDescent="0.25">
      <c r="A579" s="98">
        <v>578</v>
      </c>
      <c r="B579" s="98">
        <v>37</v>
      </c>
      <c r="C579" s="99" t="s">
        <v>340</v>
      </c>
      <c r="D579" s="100">
        <v>11.1</v>
      </c>
      <c r="E579" s="101">
        <v>0.5</v>
      </c>
      <c r="F579" s="102">
        <f t="shared" ref="F579:F603" si="421">D579/E579</f>
        <v>22.2</v>
      </c>
      <c r="G579" s="102">
        <f t="shared" ref="G579:G603" si="422">D579-E579</f>
        <v>10.6</v>
      </c>
      <c r="H579" s="103">
        <f t="shared" ref="H579:H592" si="423">D579+E579</f>
        <v>11.6</v>
      </c>
      <c r="I579" s="104">
        <f t="shared" si="419"/>
        <v>0.39245407503305468</v>
      </c>
      <c r="J579" s="105">
        <f t="shared" si="420"/>
        <v>1.7678111487975434E-2</v>
      </c>
      <c r="K579" s="105">
        <f t="shared" ref="K579:K587" si="424">IFERROR(1/J579, "X")</f>
        <v>56.567128263683323</v>
      </c>
      <c r="L579" s="105">
        <f t="shared" ref="L579:L587" si="425">IFERROR(I579-J579, "X")</f>
        <v>0.37477596354507925</v>
      </c>
      <c r="M579" s="105">
        <f t="shared" ref="M579:M587" si="426">IFERROR(I579+J579, "X")</f>
        <v>0.41013218652103012</v>
      </c>
      <c r="N579" s="106">
        <v>1</v>
      </c>
      <c r="O579" s="107">
        <v>0</v>
      </c>
      <c r="P579" s="106">
        <v>0</v>
      </c>
      <c r="Q579" s="107">
        <v>0</v>
      </c>
      <c r="R579" s="107">
        <v>1</v>
      </c>
      <c r="S579" s="107">
        <v>0</v>
      </c>
      <c r="T579" s="107">
        <v>0</v>
      </c>
      <c r="U579" s="106">
        <v>2717</v>
      </c>
      <c r="V579" s="107">
        <v>9</v>
      </c>
      <c r="W579" s="107">
        <f t="shared" si="418"/>
        <v>2707</v>
      </c>
      <c r="X579" s="107"/>
      <c r="Y579" s="102">
        <v>8.49</v>
      </c>
      <c r="Z579" s="102">
        <v>14.73</v>
      </c>
      <c r="AA579" s="107">
        <v>1</v>
      </c>
      <c r="AB579" s="107">
        <v>0</v>
      </c>
      <c r="AC579" s="107">
        <v>0</v>
      </c>
      <c r="AD579" s="107">
        <v>0</v>
      </c>
      <c r="AE579" s="107">
        <v>0</v>
      </c>
      <c r="AF579" s="107">
        <v>1</v>
      </c>
      <c r="AG579" s="106">
        <v>0</v>
      </c>
      <c r="AH579" s="107">
        <v>1</v>
      </c>
      <c r="AI579" s="108">
        <v>0</v>
      </c>
      <c r="AJ579" s="107">
        <v>0</v>
      </c>
      <c r="AK579" s="107">
        <v>0</v>
      </c>
      <c r="AL579" s="108">
        <v>1</v>
      </c>
      <c r="AM579" s="109">
        <v>1985</v>
      </c>
      <c r="AN579" s="110"/>
      <c r="AO579" s="105">
        <v>0.01</v>
      </c>
      <c r="AP579" s="105">
        <v>0.47</v>
      </c>
      <c r="AQ579" s="105">
        <v>0.28999999999999998</v>
      </c>
      <c r="AR579" s="111">
        <v>0.23</v>
      </c>
      <c r="AS579" s="105">
        <f>1-AT579</f>
        <v>0.873</v>
      </c>
      <c r="AT579" s="111">
        <v>0.127</v>
      </c>
      <c r="AU579" s="112">
        <v>1</v>
      </c>
      <c r="AV579" s="113">
        <v>0</v>
      </c>
      <c r="AW579" s="98">
        <v>1</v>
      </c>
      <c r="AX579" s="114">
        <v>0</v>
      </c>
      <c r="AY579" s="116">
        <v>0.63</v>
      </c>
      <c r="AZ579" s="114">
        <f>1-AY579</f>
        <v>0.37</v>
      </c>
      <c r="BB579" s="113"/>
      <c r="BC579" s="116">
        <v>0.15</v>
      </c>
      <c r="BD579" s="114">
        <f>1-BC579</f>
        <v>0.85</v>
      </c>
      <c r="BE579" s="113" t="s">
        <v>28</v>
      </c>
      <c r="BL579" s="113"/>
      <c r="BO579" s="113"/>
      <c r="BR579" s="117">
        <f t="shared" ref="BR579:BR599" si="427">Z579+Y579+6</f>
        <v>29.22</v>
      </c>
      <c r="BS579" s="98">
        <v>1</v>
      </c>
      <c r="BT579" s="98">
        <v>0</v>
      </c>
      <c r="BU579" s="98">
        <v>0</v>
      </c>
      <c r="BV579" s="98">
        <v>0</v>
      </c>
      <c r="BW579" s="98">
        <v>0</v>
      </c>
      <c r="BX579" s="98">
        <v>0</v>
      </c>
      <c r="BY579" s="98">
        <v>0</v>
      </c>
      <c r="BZ579" s="113">
        <v>0</v>
      </c>
      <c r="CA579" s="98">
        <v>0</v>
      </c>
      <c r="CB579" s="98">
        <v>0</v>
      </c>
      <c r="CC579" s="98">
        <v>0</v>
      </c>
      <c r="CD579" s="113">
        <v>1</v>
      </c>
      <c r="CE579" s="98">
        <v>0</v>
      </c>
      <c r="CF579" s="98">
        <v>0</v>
      </c>
      <c r="CG579" s="98">
        <v>0</v>
      </c>
      <c r="CH579" s="98">
        <v>0</v>
      </c>
      <c r="CI579" s="113">
        <v>0</v>
      </c>
      <c r="CJ579" s="98">
        <v>0</v>
      </c>
      <c r="CK579" s="98">
        <v>0</v>
      </c>
      <c r="CL579" s="98">
        <v>1</v>
      </c>
      <c r="CM579" s="98">
        <v>1</v>
      </c>
      <c r="CN579" s="98">
        <v>0</v>
      </c>
      <c r="CO579" s="98">
        <v>0</v>
      </c>
      <c r="CP579" s="98">
        <v>0</v>
      </c>
      <c r="CQ579" s="98">
        <v>0</v>
      </c>
      <c r="CR579" s="98">
        <v>0</v>
      </c>
      <c r="CS579" s="98">
        <v>1</v>
      </c>
      <c r="CT579" s="113">
        <v>1</v>
      </c>
      <c r="CY579" s="99"/>
      <c r="CZ579" s="115" t="s">
        <v>87</v>
      </c>
    </row>
    <row r="580" spans="1:104" x14ac:dyDescent="0.25">
      <c r="A580">
        <v>579</v>
      </c>
      <c r="B580">
        <v>37</v>
      </c>
      <c r="C580" s="25" t="s">
        <v>340</v>
      </c>
      <c r="D580" s="12">
        <v>10.3</v>
      </c>
      <c r="E580" s="14">
        <v>0.8</v>
      </c>
      <c r="F580" s="7">
        <f t="shared" si="421"/>
        <v>12.875</v>
      </c>
      <c r="G580" s="7">
        <f t="shared" si="422"/>
        <v>9.5</v>
      </c>
      <c r="H580" s="16">
        <f t="shared" si="423"/>
        <v>11.100000000000001</v>
      </c>
      <c r="I580" s="11">
        <f t="shared" si="419"/>
        <v>0.14568016832067471</v>
      </c>
      <c r="J580" s="33">
        <f t="shared" si="420"/>
        <v>1.1314964529761141E-2</v>
      </c>
      <c r="K580" s="33">
        <f t="shared" si="424"/>
        <v>88.378535997152611</v>
      </c>
      <c r="L580" s="33">
        <f t="shared" si="425"/>
        <v>0.13436520379091357</v>
      </c>
      <c r="M580" s="33">
        <f t="shared" si="426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18"/>
        <v>7645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9">
        <v>0</v>
      </c>
      <c r="AL580" s="30">
        <v>1</v>
      </c>
      <c r="AM580" s="21">
        <v>1995</v>
      </c>
      <c r="AN580" s="23"/>
      <c r="AO580" s="33">
        <v>0.01</v>
      </c>
      <c r="AP580" s="33">
        <v>0.3</v>
      </c>
      <c r="AQ580" s="33">
        <v>0.44</v>
      </c>
      <c r="AR580" s="43">
        <v>0.25</v>
      </c>
      <c r="AS580" s="33">
        <f t="shared" ref="AS580:AS584" si="428">1-AT580</f>
        <v>0.873</v>
      </c>
      <c r="AT580" s="43">
        <v>0.127</v>
      </c>
      <c r="AU580" s="42">
        <v>1</v>
      </c>
      <c r="AV580" s="18">
        <v>0</v>
      </c>
      <c r="AW580">
        <v>1</v>
      </c>
      <c r="AX580" s="40">
        <v>0</v>
      </c>
      <c r="AY580" s="39">
        <v>0.71</v>
      </c>
      <c r="AZ580" s="40">
        <f t="shared" ref="AZ580:AZ584" si="429">1-AY580</f>
        <v>0.29000000000000004</v>
      </c>
      <c r="BB580" s="18"/>
      <c r="BC580" s="39">
        <v>0.25</v>
      </c>
      <c r="BD580" s="40">
        <f t="shared" ref="BD580:BD584" si="430">1-BC580</f>
        <v>0.75</v>
      </c>
      <c r="BE580" s="18" t="s">
        <v>28</v>
      </c>
      <c r="BL580" s="18"/>
      <c r="BO580" s="18"/>
      <c r="BR580" s="97">
        <f t="shared" si="427"/>
        <v>29.47</v>
      </c>
      <c r="BS580">
        <v>1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0</v>
      </c>
      <c r="BZ580" s="18">
        <v>0</v>
      </c>
      <c r="CA580">
        <v>0</v>
      </c>
      <c r="CB580">
        <v>0</v>
      </c>
      <c r="CC580">
        <v>0</v>
      </c>
      <c r="CD580" s="18">
        <v>1</v>
      </c>
      <c r="CE580">
        <v>0</v>
      </c>
      <c r="CF580">
        <v>0</v>
      </c>
      <c r="CG580">
        <v>0</v>
      </c>
      <c r="CH580">
        <v>0</v>
      </c>
      <c r="CI580" s="18">
        <v>0</v>
      </c>
      <c r="CJ580">
        <v>0</v>
      </c>
      <c r="CK580">
        <v>0</v>
      </c>
      <c r="CL580">
        <v>1</v>
      </c>
      <c r="CM580">
        <v>1</v>
      </c>
      <c r="CN580">
        <v>0</v>
      </c>
      <c r="CO580">
        <v>0</v>
      </c>
      <c r="CP580">
        <v>0</v>
      </c>
      <c r="CQ580">
        <v>0</v>
      </c>
      <c r="CR580">
        <v>0</v>
      </c>
      <c r="CS580">
        <v>1</v>
      </c>
      <c r="CT580" s="18">
        <v>1</v>
      </c>
      <c r="CZ580" s="34" t="s">
        <v>87</v>
      </c>
    </row>
    <row r="581" spans="1:104" x14ac:dyDescent="0.25">
      <c r="A581">
        <v>580</v>
      </c>
      <c r="B581">
        <v>37</v>
      </c>
      <c r="C581" s="25" t="s">
        <v>340</v>
      </c>
      <c r="D581" s="12">
        <v>10.3</v>
      </c>
      <c r="E581" s="14">
        <v>0.4</v>
      </c>
      <c r="F581" s="7">
        <f t="shared" si="421"/>
        <v>25.75</v>
      </c>
      <c r="G581" s="7">
        <f t="shared" si="422"/>
        <v>9.9</v>
      </c>
      <c r="H581" s="16">
        <f t="shared" si="423"/>
        <v>10.700000000000001</v>
      </c>
      <c r="I581" s="11">
        <f t="shared" si="419"/>
        <v>0.30460976967849723</v>
      </c>
      <c r="J581" s="33">
        <f t="shared" si="420"/>
        <v>1.1829505618582415E-2</v>
      </c>
      <c r="K581" s="33">
        <f t="shared" si="424"/>
        <v>84.534386494491116</v>
      </c>
      <c r="L581" s="33">
        <f t="shared" si="425"/>
        <v>0.29278026405991481</v>
      </c>
      <c r="M581" s="33">
        <f t="shared" si="426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18"/>
        <v>6483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9">
        <v>0</v>
      </c>
      <c r="AL581" s="30">
        <v>1</v>
      </c>
      <c r="AM581" s="21">
        <v>1998</v>
      </c>
      <c r="AN581" s="23"/>
      <c r="AO581" s="33">
        <v>0.01</v>
      </c>
      <c r="AP581" s="33">
        <v>0.25</v>
      </c>
      <c r="AQ581" s="33">
        <v>0.46</v>
      </c>
      <c r="AR581" s="43">
        <v>0.28000000000000003</v>
      </c>
      <c r="AS581" s="33">
        <f t="shared" si="428"/>
        <v>0.873</v>
      </c>
      <c r="AT581" s="43">
        <v>0.127</v>
      </c>
      <c r="AU581" s="42">
        <v>1</v>
      </c>
      <c r="AV581" s="18">
        <v>0</v>
      </c>
      <c r="AW581">
        <v>1</v>
      </c>
      <c r="AX581" s="40">
        <v>0</v>
      </c>
      <c r="AY581" s="39">
        <v>0.69</v>
      </c>
      <c r="AZ581" s="40">
        <f t="shared" si="429"/>
        <v>0.31000000000000005</v>
      </c>
      <c r="BB581" s="18"/>
      <c r="BC581" s="39">
        <v>0.25</v>
      </c>
      <c r="BD581" s="40">
        <f t="shared" si="430"/>
        <v>0.75</v>
      </c>
      <c r="BE581" s="18" t="s">
        <v>28</v>
      </c>
      <c r="BL581" s="18"/>
      <c r="BO581" s="18"/>
      <c r="BR581" s="97">
        <f t="shared" si="427"/>
        <v>29.509999999999998</v>
      </c>
      <c r="BS581">
        <v>1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0</v>
      </c>
      <c r="BZ581" s="18">
        <v>0</v>
      </c>
      <c r="CA581">
        <v>0</v>
      </c>
      <c r="CB581">
        <v>0</v>
      </c>
      <c r="CC581">
        <v>0</v>
      </c>
      <c r="CD581" s="18">
        <v>1</v>
      </c>
      <c r="CE581">
        <v>0</v>
      </c>
      <c r="CF581">
        <v>0</v>
      </c>
      <c r="CG581">
        <v>0</v>
      </c>
      <c r="CH581">
        <v>0</v>
      </c>
      <c r="CI581" s="18">
        <v>0</v>
      </c>
      <c r="CJ581">
        <v>0</v>
      </c>
      <c r="CK581">
        <v>0</v>
      </c>
      <c r="CL581">
        <v>1</v>
      </c>
      <c r="CM581">
        <v>1</v>
      </c>
      <c r="CN581">
        <v>0</v>
      </c>
      <c r="CO581">
        <v>0</v>
      </c>
      <c r="CP581">
        <v>0</v>
      </c>
      <c r="CQ581">
        <v>0</v>
      </c>
      <c r="CR581">
        <v>0</v>
      </c>
      <c r="CS581">
        <v>1</v>
      </c>
      <c r="CT581" s="18">
        <v>1</v>
      </c>
      <c r="CZ581" s="34" t="s">
        <v>87</v>
      </c>
    </row>
    <row r="582" spans="1:104" x14ac:dyDescent="0.25">
      <c r="A582">
        <v>581</v>
      </c>
      <c r="B582">
        <v>37</v>
      </c>
      <c r="C582" s="25" t="s">
        <v>340</v>
      </c>
      <c r="D582" s="12">
        <v>10.8</v>
      </c>
      <c r="E582" s="14">
        <v>0.8</v>
      </c>
      <c r="F582" s="7">
        <f t="shared" si="421"/>
        <v>13.5</v>
      </c>
      <c r="G582" s="7">
        <f t="shared" si="422"/>
        <v>10</v>
      </c>
      <c r="H582" s="16">
        <f t="shared" si="423"/>
        <v>11.600000000000001</v>
      </c>
      <c r="I582" s="11">
        <f t="shared" si="419"/>
        <v>0.27960140146238877</v>
      </c>
      <c r="J582" s="33">
        <f t="shared" si="420"/>
        <v>2.071121492313991E-2</v>
      </c>
      <c r="K582" s="33">
        <f t="shared" si="424"/>
        <v>48.283019789569913</v>
      </c>
      <c r="L582" s="33">
        <f t="shared" si="425"/>
        <v>0.25889018653924883</v>
      </c>
      <c r="M582" s="33">
        <f t="shared" si="426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18"/>
        <v>2149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9">
        <v>0</v>
      </c>
      <c r="AL582" s="30">
        <v>1</v>
      </c>
      <c r="AM582" s="21">
        <v>1985</v>
      </c>
      <c r="AN582" s="23"/>
      <c r="AO582" s="33">
        <v>0.03</v>
      </c>
      <c r="AP582" s="33">
        <v>0.39</v>
      </c>
      <c r="AQ582" s="33">
        <v>0.26</v>
      </c>
      <c r="AR582" s="43">
        <v>0.32</v>
      </c>
      <c r="AS582" s="33">
        <f t="shared" si="428"/>
        <v>0.873</v>
      </c>
      <c r="AT582" s="43">
        <v>0.127</v>
      </c>
      <c r="AU582" s="42">
        <v>1</v>
      </c>
      <c r="AV582" s="18">
        <v>0</v>
      </c>
      <c r="AW582">
        <v>0</v>
      </c>
      <c r="AX582" s="40">
        <v>1</v>
      </c>
      <c r="AY582" s="39">
        <v>0.64</v>
      </c>
      <c r="AZ582" s="40">
        <f t="shared" si="429"/>
        <v>0.36</v>
      </c>
      <c r="BB582" s="18"/>
      <c r="BC582" s="39">
        <v>0.12</v>
      </c>
      <c r="BD582" s="40">
        <f t="shared" si="430"/>
        <v>0.88</v>
      </c>
      <c r="BE582" s="18" t="s">
        <v>28</v>
      </c>
      <c r="BL582" s="18"/>
      <c r="BO582" s="18"/>
      <c r="BR582" s="97">
        <f t="shared" si="427"/>
        <v>28.62</v>
      </c>
      <c r="BS582">
        <v>1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0</v>
      </c>
      <c r="BZ582" s="18">
        <v>0</v>
      </c>
      <c r="CA582">
        <v>0</v>
      </c>
      <c r="CB582">
        <v>0</v>
      </c>
      <c r="CC582">
        <v>0</v>
      </c>
      <c r="CD582" s="18">
        <v>1</v>
      </c>
      <c r="CE582">
        <v>0</v>
      </c>
      <c r="CF582">
        <v>0</v>
      </c>
      <c r="CG582">
        <v>0</v>
      </c>
      <c r="CH582">
        <v>0</v>
      </c>
      <c r="CI582" s="18">
        <v>0</v>
      </c>
      <c r="CJ582">
        <v>0</v>
      </c>
      <c r="CK582">
        <v>0</v>
      </c>
      <c r="CL582">
        <v>1</v>
      </c>
      <c r="CM582">
        <v>1</v>
      </c>
      <c r="CN582">
        <v>0</v>
      </c>
      <c r="CO582">
        <v>0</v>
      </c>
      <c r="CP582">
        <v>0</v>
      </c>
      <c r="CQ582">
        <v>0</v>
      </c>
      <c r="CR582">
        <v>0</v>
      </c>
      <c r="CS582">
        <v>1</v>
      </c>
      <c r="CT582" s="18">
        <v>1</v>
      </c>
      <c r="CZ582" s="34" t="s">
        <v>87</v>
      </c>
    </row>
    <row r="583" spans="1:104" x14ac:dyDescent="0.25">
      <c r="A583">
        <v>582</v>
      </c>
      <c r="B583">
        <v>37</v>
      </c>
      <c r="C583" s="25" t="s">
        <v>340</v>
      </c>
      <c r="D583" s="12">
        <v>10.3</v>
      </c>
      <c r="E583" s="14">
        <v>0.4</v>
      </c>
      <c r="F583" s="7">
        <f t="shared" si="421"/>
        <v>25.75</v>
      </c>
      <c r="G583" s="7">
        <f t="shared" si="422"/>
        <v>9.9</v>
      </c>
      <c r="H583" s="16">
        <f t="shared" si="423"/>
        <v>10.700000000000001</v>
      </c>
      <c r="I583" s="11">
        <f t="shared" si="419"/>
        <v>0.30144160977152851</v>
      </c>
      <c r="J583" s="33">
        <f t="shared" si="420"/>
        <v>1.1706470282389457E-2</v>
      </c>
      <c r="K583" s="33">
        <f t="shared" si="424"/>
        <v>85.422845304988527</v>
      </c>
      <c r="L583" s="33">
        <f t="shared" si="425"/>
        <v>0.28973513948913904</v>
      </c>
      <c r="M583" s="33">
        <f t="shared" si="426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18"/>
        <v>6634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9">
        <v>0</v>
      </c>
      <c r="AL583" s="30">
        <v>1</v>
      </c>
      <c r="AM583" s="21">
        <v>1995</v>
      </c>
      <c r="AN583" s="23"/>
      <c r="AO583" s="33">
        <v>0.02</v>
      </c>
      <c r="AP583" s="33">
        <v>0.33</v>
      </c>
      <c r="AQ583" s="33">
        <v>0.28000000000000003</v>
      </c>
      <c r="AR583" s="43">
        <v>0.37</v>
      </c>
      <c r="AS583" s="33">
        <f t="shared" si="428"/>
        <v>0.873</v>
      </c>
      <c r="AT583" s="43">
        <v>0.127</v>
      </c>
      <c r="AU583" s="42">
        <v>1</v>
      </c>
      <c r="AV583" s="18">
        <v>0</v>
      </c>
      <c r="AW583">
        <v>0</v>
      </c>
      <c r="AX583" s="40">
        <v>1</v>
      </c>
      <c r="AY583" s="39">
        <v>0.68</v>
      </c>
      <c r="AZ583" s="40">
        <f t="shared" si="429"/>
        <v>0.31999999999999995</v>
      </c>
      <c r="BB583" s="18"/>
      <c r="BC583" s="39">
        <v>0.22</v>
      </c>
      <c r="BD583" s="40">
        <f t="shared" si="430"/>
        <v>0.78</v>
      </c>
      <c r="BE583" s="18" t="s">
        <v>28</v>
      </c>
      <c r="BL583" s="18"/>
      <c r="BO583" s="18"/>
      <c r="BR583" s="97">
        <f t="shared" si="427"/>
        <v>29.299999999999997</v>
      </c>
      <c r="BS583">
        <v>1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0</v>
      </c>
      <c r="BZ583" s="18">
        <v>0</v>
      </c>
      <c r="CA583">
        <v>0</v>
      </c>
      <c r="CB583">
        <v>0</v>
      </c>
      <c r="CC583">
        <v>0</v>
      </c>
      <c r="CD583" s="18">
        <v>1</v>
      </c>
      <c r="CE583">
        <v>0</v>
      </c>
      <c r="CF583">
        <v>0</v>
      </c>
      <c r="CG583">
        <v>0</v>
      </c>
      <c r="CH583">
        <v>0</v>
      </c>
      <c r="CI583" s="18">
        <v>0</v>
      </c>
      <c r="CJ583">
        <v>0</v>
      </c>
      <c r="CK583">
        <v>0</v>
      </c>
      <c r="CL583">
        <v>1</v>
      </c>
      <c r="CM583">
        <v>1</v>
      </c>
      <c r="CN583">
        <v>0</v>
      </c>
      <c r="CO583">
        <v>0</v>
      </c>
      <c r="CP583">
        <v>0</v>
      </c>
      <c r="CQ583">
        <v>0</v>
      </c>
      <c r="CR583">
        <v>0</v>
      </c>
      <c r="CS583">
        <v>1</v>
      </c>
      <c r="CT583" s="18">
        <v>1</v>
      </c>
      <c r="CZ583" s="34" t="s">
        <v>87</v>
      </c>
    </row>
    <row r="584" spans="1:104" x14ac:dyDescent="0.25">
      <c r="A584">
        <v>583</v>
      </c>
      <c r="B584">
        <v>37</v>
      </c>
      <c r="C584" s="25" t="s">
        <v>340</v>
      </c>
      <c r="D584" s="12">
        <v>10.7</v>
      </c>
      <c r="E584" s="14">
        <v>0.4</v>
      </c>
      <c r="F584" s="7">
        <f t="shared" si="421"/>
        <v>26.749999999999996</v>
      </c>
      <c r="G584" s="7">
        <f t="shared" si="422"/>
        <v>10.299999999999999</v>
      </c>
      <c r="H584" s="16">
        <f t="shared" si="423"/>
        <v>11.1</v>
      </c>
      <c r="I584" s="11">
        <f t="shared" si="419"/>
        <v>0.32404460614450042</v>
      </c>
      <c r="J584" s="33">
        <f t="shared" si="420"/>
        <v>1.2113817052130859E-2</v>
      </c>
      <c r="K584" s="33">
        <f t="shared" si="424"/>
        <v>82.550363415311509</v>
      </c>
      <c r="L584" s="33">
        <f t="shared" si="425"/>
        <v>0.31193078909236954</v>
      </c>
      <c r="M584" s="33">
        <f t="shared" si="426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18"/>
        <v>6099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9">
        <v>0</v>
      </c>
      <c r="AL584" s="30">
        <v>1</v>
      </c>
      <c r="AM584" s="21">
        <v>1998</v>
      </c>
      <c r="AN584" s="23"/>
      <c r="AO584" s="33">
        <v>0.02</v>
      </c>
      <c r="AP584" s="33">
        <v>0.18</v>
      </c>
      <c r="AQ584" s="33">
        <v>0.42</v>
      </c>
      <c r="AR584" s="43">
        <v>0.38</v>
      </c>
      <c r="AS584" s="33">
        <f t="shared" si="428"/>
        <v>0.873</v>
      </c>
      <c r="AT584" s="43">
        <v>0.127</v>
      </c>
      <c r="AU584" s="42">
        <v>1</v>
      </c>
      <c r="AV584" s="18">
        <v>0</v>
      </c>
      <c r="AW584">
        <v>0</v>
      </c>
      <c r="AX584" s="40">
        <v>1</v>
      </c>
      <c r="AY584" s="39">
        <v>0.7</v>
      </c>
      <c r="AZ584" s="40">
        <f t="shared" si="429"/>
        <v>0.30000000000000004</v>
      </c>
      <c r="BB584" s="18"/>
      <c r="BC584" s="39">
        <v>0.23</v>
      </c>
      <c r="BD584" s="40">
        <f t="shared" si="430"/>
        <v>0.77</v>
      </c>
      <c r="BE584" s="18" t="s">
        <v>28</v>
      </c>
      <c r="BL584" s="18"/>
      <c r="BO584" s="18"/>
      <c r="BR584" s="97">
        <f t="shared" si="427"/>
        <v>29.259999999999998</v>
      </c>
      <c r="BS584">
        <v>1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0</v>
      </c>
      <c r="BZ584" s="18">
        <v>0</v>
      </c>
      <c r="CA584">
        <v>0</v>
      </c>
      <c r="CB584">
        <v>0</v>
      </c>
      <c r="CC584">
        <v>0</v>
      </c>
      <c r="CD584" s="18">
        <v>1</v>
      </c>
      <c r="CE584">
        <v>0</v>
      </c>
      <c r="CF584">
        <v>0</v>
      </c>
      <c r="CG584">
        <v>0</v>
      </c>
      <c r="CH584">
        <v>0</v>
      </c>
      <c r="CI584" s="18">
        <v>0</v>
      </c>
      <c r="CJ584">
        <v>0</v>
      </c>
      <c r="CK584">
        <v>0</v>
      </c>
      <c r="CL584">
        <v>1</v>
      </c>
      <c r="CM584">
        <v>1</v>
      </c>
      <c r="CN584">
        <v>0</v>
      </c>
      <c r="CO584">
        <v>0</v>
      </c>
      <c r="CP584">
        <v>0</v>
      </c>
      <c r="CQ584">
        <v>0</v>
      </c>
      <c r="CR584">
        <v>0</v>
      </c>
      <c r="CS584">
        <v>1</v>
      </c>
      <c r="CT584" s="18">
        <v>1</v>
      </c>
      <c r="CZ584" s="34" t="s">
        <v>87</v>
      </c>
    </row>
    <row r="585" spans="1:104" s="98" customFormat="1" x14ac:dyDescent="0.25">
      <c r="A585" s="98">
        <v>584</v>
      </c>
      <c r="B585" s="98">
        <v>38</v>
      </c>
      <c r="C585" s="99" t="s">
        <v>14</v>
      </c>
      <c r="D585" s="100">
        <v>10.7</v>
      </c>
      <c r="E585" s="101">
        <v>0.4</v>
      </c>
      <c r="F585" s="102">
        <f t="shared" si="421"/>
        <v>26.749999999999996</v>
      </c>
      <c r="G585" s="102">
        <f t="shared" si="422"/>
        <v>10.299999999999999</v>
      </c>
      <c r="H585" s="103">
        <f t="shared" si="423"/>
        <v>11.1</v>
      </c>
      <c r="I585" s="104">
        <f t="shared" si="419"/>
        <v>0.2884097035040431</v>
      </c>
      <c r="J585" s="105">
        <f t="shared" si="420"/>
        <v>1.078167115902965E-2</v>
      </c>
      <c r="K585" s="105">
        <f t="shared" si="424"/>
        <v>92.75</v>
      </c>
      <c r="L585" s="105">
        <f t="shared" si="425"/>
        <v>0.27762803234501343</v>
      </c>
      <c r="M585" s="105">
        <f t="shared" si="426"/>
        <v>0.29919137466307277</v>
      </c>
      <c r="N585" s="106">
        <v>0</v>
      </c>
      <c r="O585" s="107">
        <v>1</v>
      </c>
      <c r="P585" s="106">
        <v>0</v>
      </c>
      <c r="Q585" s="107">
        <v>0</v>
      </c>
      <c r="R585" s="107">
        <v>1</v>
      </c>
      <c r="S585" s="107">
        <v>0</v>
      </c>
      <c r="T585" s="107">
        <v>0</v>
      </c>
      <c r="U585" s="106">
        <v>7892</v>
      </c>
      <c r="V585" s="107">
        <v>4</v>
      </c>
      <c r="W585" s="107">
        <f t="shared" si="418"/>
        <v>7887</v>
      </c>
      <c r="X585" s="107"/>
      <c r="Y585" s="102">
        <v>8.6</v>
      </c>
      <c r="Z585" s="102">
        <v>22.2</v>
      </c>
      <c r="AA585" s="107">
        <v>1</v>
      </c>
      <c r="AB585" s="107">
        <v>0</v>
      </c>
      <c r="AC585" s="107">
        <v>0</v>
      </c>
      <c r="AD585" s="107">
        <v>1</v>
      </c>
      <c r="AE585" s="107">
        <v>0</v>
      </c>
      <c r="AF585" s="107">
        <v>0</v>
      </c>
      <c r="AG585" s="106">
        <v>0</v>
      </c>
      <c r="AH585" s="107">
        <v>1</v>
      </c>
      <c r="AI585" s="108">
        <v>0</v>
      </c>
      <c r="AJ585" s="107">
        <v>0</v>
      </c>
      <c r="AK585" s="107">
        <v>0</v>
      </c>
      <c r="AL585" s="108">
        <v>1</v>
      </c>
      <c r="AM585" s="109">
        <v>2004</v>
      </c>
      <c r="AN585" s="110"/>
      <c r="AO585" s="105">
        <v>3.4299999999999997E-2</v>
      </c>
      <c r="AP585" s="105">
        <v>0.37</v>
      </c>
      <c r="AQ585" s="105">
        <v>0.47699999999999998</v>
      </c>
      <c r="AR585" s="111">
        <f>1-SUM(AO585:AQ585)</f>
        <v>0.11870000000000003</v>
      </c>
      <c r="AS585" s="105" t="s">
        <v>107</v>
      </c>
      <c r="AT585" s="111" t="s">
        <v>107</v>
      </c>
      <c r="AU585" s="112">
        <v>60.5</v>
      </c>
      <c r="AV585" s="113">
        <v>39.5</v>
      </c>
      <c r="AW585" s="98">
        <v>1</v>
      </c>
      <c r="AX585" s="114">
        <v>0</v>
      </c>
      <c r="AY585" s="98" t="s">
        <v>107</v>
      </c>
      <c r="AZ585" s="114" t="s">
        <v>107</v>
      </c>
      <c r="BB585" s="113"/>
      <c r="BC585" s="98" t="s">
        <v>107</v>
      </c>
      <c r="BD585" s="113" t="s">
        <v>107</v>
      </c>
      <c r="BE585" s="113" t="s">
        <v>13</v>
      </c>
      <c r="BL585" s="113"/>
      <c r="BO585" s="113"/>
      <c r="BR585" s="99">
        <f t="shared" si="427"/>
        <v>36.799999999999997</v>
      </c>
      <c r="BS585" s="98">
        <v>1</v>
      </c>
      <c r="BT585" s="98">
        <v>0</v>
      </c>
      <c r="BU585" s="98">
        <v>0</v>
      </c>
      <c r="BV585" s="98">
        <v>0</v>
      </c>
      <c r="BW585" s="98">
        <v>0</v>
      </c>
      <c r="BX585" s="98">
        <v>0</v>
      </c>
      <c r="BY585" s="98">
        <v>0</v>
      </c>
      <c r="BZ585" s="113">
        <v>0</v>
      </c>
      <c r="CA585" s="98">
        <v>0</v>
      </c>
      <c r="CB585" s="98">
        <v>0</v>
      </c>
      <c r="CC585" s="98">
        <v>1</v>
      </c>
      <c r="CD585" s="113">
        <v>0</v>
      </c>
      <c r="CE585" s="98">
        <v>0</v>
      </c>
      <c r="CF585" s="98">
        <v>0</v>
      </c>
      <c r="CG585" s="98">
        <v>0</v>
      </c>
      <c r="CH585" s="98">
        <v>0</v>
      </c>
      <c r="CI585" s="113">
        <v>0</v>
      </c>
      <c r="CJ585" s="98">
        <v>0</v>
      </c>
      <c r="CK585" s="98">
        <v>0</v>
      </c>
      <c r="CL585" s="98">
        <v>1</v>
      </c>
      <c r="CM585" s="98">
        <v>1</v>
      </c>
      <c r="CN585" s="98">
        <v>0</v>
      </c>
      <c r="CO585" s="98">
        <v>0</v>
      </c>
      <c r="CP585" s="98">
        <v>0</v>
      </c>
      <c r="CQ585" s="98">
        <v>0</v>
      </c>
      <c r="CR585" s="98">
        <v>0</v>
      </c>
      <c r="CS585" s="98">
        <v>0</v>
      </c>
      <c r="CT585" s="113">
        <v>1</v>
      </c>
      <c r="CY585" s="99"/>
      <c r="CZ585" s="115" t="s">
        <v>87</v>
      </c>
    </row>
    <row r="586" spans="1:104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21"/>
        <v>1.1632653061224489</v>
      </c>
      <c r="G586" s="7">
        <f t="shared" si="422"/>
        <v>0.79999999999999982</v>
      </c>
      <c r="H586" s="16">
        <f t="shared" si="423"/>
        <v>10.600000000000001</v>
      </c>
      <c r="I586" s="11">
        <f t="shared" si="419"/>
        <v>1.3097415406194352E-2</v>
      </c>
      <c r="J586" s="33">
        <f t="shared" si="420"/>
        <v>1.1259181664974091E-2</v>
      </c>
      <c r="K586" s="33">
        <f t="shared" si="424"/>
        <v>88.816401560592553</v>
      </c>
      <c r="L586" s="33">
        <f t="shared" si="425"/>
        <v>1.8382337412202604E-3</v>
      </c>
      <c r="M586" s="33">
        <f t="shared" si="426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18"/>
        <v>7887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9">
        <v>0</v>
      </c>
      <c r="AL586" s="30">
        <v>1</v>
      </c>
      <c r="AM586" s="21">
        <v>2004</v>
      </c>
      <c r="AN586" s="23"/>
      <c r="AO586" s="33">
        <v>3.4299999999999997E-2</v>
      </c>
      <c r="AP586" s="33">
        <v>0.37</v>
      </c>
      <c r="AQ586" s="33">
        <v>0.47699999999999998</v>
      </c>
      <c r="AR586" s="43">
        <f t="shared" ref="AR586:AR599" si="431">1-SUM(AO586:AQ586)</f>
        <v>0.11870000000000003</v>
      </c>
      <c r="AS586" s="33" t="s">
        <v>107</v>
      </c>
      <c r="AT586" s="43" t="s">
        <v>107</v>
      </c>
      <c r="AU586" s="42">
        <v>60.5</v>
      </c>
      <c r="AV586" s="18">
        <v>39.5</v>
      </c>
      <c r="AW586">
        <v>1</v>
      </c>
      <c r="AX586" s="40">
        <v>0</v>
      </c>
      <c r="AY586" t="s">
        <v>107</v>
      </c>
      <c r="AZ586" s="40" t="s">
        <v>107</v>
      </c>
      <c r="BB586" s="18"/>
      <c r="BC586" t="s">
        <v>107</v>
      </c>
      <c r="BD586" t="s">
        <v>107</v>
      </c>
      <c r="BE586" t="s">
        <v>13</v>
      </c>
      <c r="BL586" s="18"/>
      <c r="BO586" s="18"/>
      <c r="BR586" s="25">
        <f t="shared" si="427"/>
        <v>36.799999999999997</v>
      </c>
      <c r="BS586">
        <v>1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0</v>
      </c>
      <c r="BZ586" s="18">
        <v>0</v>
      </c>
      <c r="CA586">
        <v>0</v>
      </c>
      <c r="CB586">
        <v>0</v>
      </c>
      <c r="CC586">
        <v>1</v>
      </c>
      <c r="CD586" s="18">
        <v>0</v>
      </c>
      <c r="CE586">
        <v>0</v>
      </c>
      <c r="CF586">
        <v>0</v>
      </c>
      <c r="CG586">
        <v>0</v>
      </c>
      <c r="CH586">
        <v>0</v>
      </c>
      <c r="CI586" s="18">
        <v>0</v>
      </c>
      <c r="CJ586">
        <v>0</v>
      </c>
      <c r="CK586">
        <v>0</v>
      </c>
      <c r="CL586">
        <v>1</v>
      </c>
      <c r="CM586">
        <v>1</v>
      </c>
      <c r="CN586">
        <v>0</v>
      </c>
      <c r="CO586">
        <v>0</v>
      </c>
      <c r="CP586">
        <v>0</v>
      </c>
      <c r="CQ586">
        <v>0</v>
      </c>
      <c r="CR586">
        <v>0</v>
      </c>
      <c r="CS586">
        <v>0</v>
      </c>
      <c r="CT586" s="18">
        <v>1</v>
      </c>
      <c r="CZ586" s="34" t="s">
        <v>87</v>
      </c>
    </row>
    <row r="587" spans="1:104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21"/>
        <v>23.999999999999996</v>
      </c>
      <c r="G587" s="7">
        <f t="shared" si="422"/>
        <v>9.1999999999999993</v>
      </c>
      <c r="H587" s="16">
        <f t="shared" si="423"/>
        <v>10</v>
      </c>
      <c r="I587" s="11">
        <f t="shared" si="419"/>
        <v>0.26088497711976005</v>
      </c>
      <c r="J587" s="33">
        <f t="shared" si="420"/>
        <v>1.0870207379990005E-2</v>
      </c>
      <c r="K587" s="33">
        <f t="shared" si="424"/>
        <v>91.994565056855379</v>
      </c>
      <c r="L587" s="33">
        <f t="shared" si="425"/>
        <v>0.25001476973977005</v>
      </c>
      <c r="M587" s="33">
        <f t="shared" si="426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18"/>
        <v>7887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9">
        <v>0</v>
      </c>
      <c r="AL587" s="30">
        <v>1</v>
      </c>
      <c r="AM587" s="21">
        <v>2004</v>
      </c>
      <c r="AN587" s="23"/>
      <c r="AO587" s="33">
        <v>3.4299999999999997E-2</v>
      </c>
      <c r="AP587" s="33">
        <v>0.37</v>
      </c>
      <c r="AQ587" s="33">
        <v>0.47699999999999998</v>
      </c>
      <c r="AR587" s="43">
        <f t="shared" si="431"/>
        <v>0.11870000000000003</v>
      </c>
      <c r="AS587" s="33" t="s">
        <v>107</v>
      </c>
      <c r="AT587" s="43" t="s">
        <v>107</v>
      </c>
      <c r="AU587" s="42">
        <v>60.5</v>
      </c>
      <c r="AV587" s="18">
        <v>39.5</v>
      </c>
      <c r="AW587">
        <v>1</v>
      </c>
      <c r="AX587" s="40">
        <v>0</v>
      </c>
      <c r="AY587" t="s">
        <v>107</v>
      </c>
      <c r="AZ587" s="40" t="s">
        <v>107</v>
      </c>
      <c r="BB587" s="18"/>
      <c r="BC587" t="s">
        <v>107</v>
      </c>
      <c r="BD587" t="s">
        <v>107</v>
      </c>
      <c r="BE587" t="s">
        <v>13</v>
      </c>
      <c r="BL587" s="18"/>
      <c r="BO587" s="18"/>
      <c r="BR587" s="25">
        <f t="shared" si="427"/>
        <v>36.799999999999997</v>
      </c>
      <c r="BS587">
        <v>1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0</v>
      </c>
      <c r="BZ587" s="18">
        <v>0</v>
      </c>
      <c r="CA587">
        <v>0</v>
      </c>
      <c r="CB587">
        <v>0</v>
      </c>
      <c r="CC587">
        <v>1</v>
      </c>
      <c r="CD587" s="18">
        <v>0</v>
      </c>
      <c r="CE587">
        <v>0</v>
      </c>
      <c r="CF587">
        <v>0</v>
      </c>
      <c r="CG587">
        <v>0</v>
      </c>
      <c r="CH587">
        <v>0</v>
      </c>
      <c r="CI587" s="18">
        <v>0</v>
      </c>
      <c r="CJ587">
        <v>0</v>
      </c>
      <c r="CK587">
        <v>0</v>
      </c>
      <c r="CL587">
        <v>1</v>
      </c>
      <c r="CM587">
        <v>1</v>
      </c>
      <c r="CN587">
        <v>0</v>
      </c>
      <c r="CO587">
        <v>0</v>
      </c>
      <c r="CP587">
        <v>0</v>
      </c>
      <c r="CQ587">
        <v>0</v>
      </c>
      <c r="CR587">
        <v>0</v>
      </c>
      <c r="CS587">
        <v>0</v>
      </c>
      <c r="CT587" s="18">
        <v>1</v>
      </c>
      <c r="CZ587" s="34" t="s">
        <v>87</v>
      </c>
    </row>
    <row r="588" spans="1:104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21"/>
        <v>17.285714285714285</v>
      </c>
      <c r="G588" s="7">
        <f t="shared" si="422"/>
        <v>11.4</v>
      </c>
      <c r="H588" s="16">
        <f t="shared" si="423"/>
        <v>12.799999999999999</v>
      </c>
      <c r="I588" s="11">
        <f t="shared" si="419"/>
        <v>0.19105432514279824</v>
      </c>
      <c r="J588" s="33">
        <f t="shared" si="420"/>
        <v>1.1052729553715602E-2</v>
      </c>
      <c r="K588" s="33">
        <f t="shared" ref="K588:K591" si="432">IFERROR(1/J588, "X")</f>
        <v>90.475388467623318</v>
      </c>
      <c r="L588" s="33">
        <f t="shared" ref="L588:L591" si="433">IFERROR(I588-J588, "X")</f>
        <v>0.18000159558908263</v>
      </c>
      <c r="M588" s="33">
        <f t="shared" ref="M588:M591" si="434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35">U588-V588-1</f>
        <v>7887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9">
        <v>0</v>
      </c>
      <c r="AL588" s="30">
        <v>1</v>
      </c>
      <c r="AM588" s="21">
        <v>2004</v>
      </c>
      <c r="AN588" s="23"/>
      <c r="AO588" s="33">
        <v>3.4299999999999997E-2</v>
      </c>
      <c r="AP588" s="33">
        <v>0.37</v>
      </c>
      <c r="AQ588" s="33">
        <v>0.47699999999999998</v>
      </c>
      <c r="AR588" s="43">
        <f t="shared" si="431"/>
        <v>0.11870000000000003</v>
      </c>
      <c r="AS588" s="33" t="s">
        <v>107</v>
      </c>
      <c r="AT588" s="43" t="s">
        <v>107</v>
      </c>
      <c r="AU588" s="42">
        <v>60.5</v>
      </c>
      <c r="AV588" s="18">
        <v>39.5</v>
      </c>
      <c r="AW588">
        <v>1</v>
      </c>
      <c r="AX588" s="40">
        <v>0</v>
      </c>
      <c r="AY588" t="s">
        <v>107</v>
      </c>
      <c r="AZ588" s="40" t="s">
        <v>107</v>
      </c>
      <c r="BB588" s="18"/>
      <c r="BC588" t="s">
        <v>107</v>
      </c>
      <c r="BD588" t="s">
        <v>107</v>
      </c>
      <c r="BE588" t="s">
        <v>13</v>
      </c>
      <c r="BL588" s="18"/>
      <c r="BO588" s="18"/>
      <c r="BR588" s="25">
        <f t="shared" si="427"/>
        <v>36.799999999999997</v>
      </c>
      <c r="BS588">
        <v>1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0</v>
      </c>
      <c r="BZ588" s="18">
        <v>0</v>
      </c>
      <c r="CA588">
        <v>0</v>
      </c>
      <c r="CB588">
        <v>0</v>
      </c>
      <c r="CC588">
        <v>1</v>
      </c>
      <c r="CD588" s="18">
        <v>0</v>
      </c>
      <c r="CE588">
        <v>0</v>
      </c>
      <c r="CF588">
        <v>0</v>
      </c>
      <c r="CG588">
        <v>0</v>
      </c>
      <c r="CH588">
        <v>0</v>
      </c>
      <c r="CI588" s="18">
        <v>0</v>
      </c>
      <c r="CJ588">
        <v>0</v>
      </c>
      <c r="CK588">
        <v>0</v>
      </c>
      <c r="CL588">
        <v>1</v>
      </c>
      <c r="CM588">
        <v>1</v>
      </c>
      <c r="CN588">
        <v>0</v>
      </c>
      <c r="CO588">
        <v>0</v>
      </c>
      <c r="CP588">
        <v>0</v>
      </c>
      <c r="CQ588">
        <v>0</v>
      </c>
      <c r="CR588">
        <v>0</v>
      </c>
      <c r="CS588">
        <v>0</v>
      </c>
      <c r="CT588" s="18">
        <v>1</v>
      </c>
      <c r="CZ588" s="34" t="s">
        <v>87</v>
      </c>
    </row>
    <row r="589" spans="1:104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21"/>
        <v>28.75</v>
      </c>
      <c r="G589" s="7">
        <f t="shared" si="422"/>
        <v>11.1</v>
      </c>
      <c r="H589" s="16">
        <f t="shared" si="423"/>
        <v>11.9</v>
      </c>
      <c r="I589" s="11">
        <f t="shared" si="419"/>
        <v>0.30799238135248219</v>
      </c>
      <c r="J589" s="33">
        <f t="shared" si="420"/>
        <v>1.0712778481825468E-2</v>
      </c>
      <c r="K589" s="33">
        <f t="shared" si="432"/>
        <v>93.346464850041315</v>
      </c>
      <c r="L589" s="33">
        <f t="shared" si="433"/>
        <v>0.29727960287065675</v>
      </c>
      <c r="M589" s="33">
        <f t="shared" si="434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35"/>
        <v>7887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9">
        <v>0</v>
      </c>
      <c r="AL589" s="30">
        <v>1</v>
      </c>
      <c r="AM589" s="21">
        <v>2004</v>
      </c>
      <c r="AN589" s="23"/>
      <c r="AO589" s="33">
        <v>3.4299999999999997E-2</v>
      </c>
      <c r="AP589" s="33">
        <v>0.37</v>
      </c>
      <c r="AQ589" s="33">
        <v>0.47699999999999998</v>
      </c>
      <c r="AR589" s="43">
        <f t="shared" si="431"/>
        <v>0.11870000000000003</v>
      </c>
      <c r="AS589" s="33" t="s">
        <v>107</v>
      </c>
      <c r="AT589" s="43" t="s">
        <v>107</v>
      </c>
      <c r="AU589" s="42">
        <v>60.5</v>
      </c>
      <c r="AV589" s="18">
        <v>39.5</v>
      </c>
      <c r="AW589">
        <v>1</v>
      </c>
      <c r="AX589" s="40">
        <v>0</v>
      </c>
      <c r="AY589" t="s">
        <v>107</v>
      </c>
      <c r="AZ589" s="40" t="s">
        <v>107</v>
      </c>
      <c r="BB589" s="18"/>
      <c r="BC589" t="s">
        <v>107</v>
      </c>
      <c r="BD589" t="s">
        <v>107</v>
      </c>
      <c r="BE589" t="s">
        <v>13</v>
      </c>
      <c r="BL589" s="18"/>
      <c r="BO589" s="18"/>
      <c r="BR589" s="25">
        <f t="shared" si="427"/>
        <v>36.799999999999997</v>
      </c>
      <c r="BS589">
        <v>1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0</v>
      </c>
      <c r="BZ589" s="18">
        <v>0</v>
      </c>
      <c r="CA589">
        <v>0</v>
      </c>
      <c r="CB589">
        <v>0</v>
      </c>
      <c r="CC589">
        <v>1</v>
      </c>
      <c r="CD589" s="18">
        <v>0</v>
      </c>
      <c r="CE589">
        <v>0</v>
      </c>
      <c r="CF589">
        <v>0</v>
      </c>
      <c r="CG589">
        <v>0</v>
      </c>
      <c r="CH589">
        <v>0</v>
      </c>
      <c r="CI589" s="18">
        <v>0</v>
      </c>
      <c r="CJ589">
        <v>0</v>
      </c>
      <c r="CK589">
        <v>0</v>
      </c>
      <c r="CL589">
        <v>1</v>
      </c>
      <c r="CM589">
        <v>1</v>
      </c>
      <c r="CN589">
        <v>0</v>
      </c>
      <c r="CO589">
        <v>0</v>
      </c>
      <c r="CP589">
        <v>0</v>
      </c>
      <c r="CQ589">
        <v>0</v>
      </c>
      <c r="CR589">
        <v>0</v>
      </c>
      <c r="CS589">
        <v>0</v>
      </c>
      <c r="CT589" s="18">
        <v>1</v>
      </c>
      <c r="CZ589" s="34" t="s">
        <v>87</v>
      </c>
    </row>
    <row r="590" spans="1:104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21"/>
        <v>40.333333333333336</v>
      </c>
      <c r="G590" s="7">
        <f t="shared" si="422"/>
        <v>11.799999999999999</v>
      </c>
      <c r="H590" s="16">
        <f t="shared" si="423"/>
        <v>12.4</v>
      </c>
      <c r="I590" s="11">
        <f t="shared" si="419"/>
        <v>0.4135115210077786</v>
      </c>
      <c r="J590" s="33">
        <f t="shared" si="420"/>
        <v>1.0252351760523436E-2</v>
      </c>
      <c r="K590" s="33">
        <f t="shared" si="432"/>
        <v>97.53859634922874</v>
      </c>
      <c r="L590" s="33">
        <f t="shared" si="433"/>
        <v>0.40325916924725519</v>
      </c>
      <c r="M590" s="33">
        <f t="shared" si="434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35"/>
        <v>7887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9">
        <v>0</v>
      </c>
      <c r="AL590" s="30">
        <v>1</v>
      </c>
      <c r="AM590" s="21">
        <v>2004</v>
      </c>
      <c r="AN590" s="23"/>
      <c r="AO590" s="33">
        <v>3.4299999999999997E-2</v>
      </c>
      <c r="AP590" s="33">
        <v>0.37</v>
      </c>
      <c r="AQ590" s="33">
        <v>0.47699999999999998</v>
      </c>
      <c r="AR590" s="43">
        <f t="shared" si="431"/>
        <v>0.11870000000000003</v>
      </c>
      <c r="AS590" s="33" t="s">
        <v>107</v>
      </c>
      <c r="AT590" s="43" t="s">
        <v>107</v>
      </c>
      <c r="AU590" s="42">
        <v>60.5</v>
      </c>
      <c r="AV590" s="18">
        <v>39.5</v>
      </c>
      <c r="AW590">
        <v>1</v>
      </c>
      <c r="AX590" s="40">
        <v>0</v>
      </c>
      <c r="AY590" t="s">
        <v>107</v>
      </c>
      <c r="AZ590" s="40" t="s">
        <v>107</v>
      </c>
      <c r="BB590" s="18"/>
      <c r="BC590" t="s">
        <v>107</v>
      </c>
      <c r="BD590" t="s">
        <v>107</v>
      </c>
      <c r="BE590" t="s">
        <v>13</v>
      </c>
      <c r="BL590" s="18"/>
      <c r="BO590" s="18"/>
      <c r="BR590" s="25">
        <f t="shared" si="427"/>
        <v>36.799999999999997</v>
      </c>
      <c r="BS590">
        <v>1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0</v>
      </c>
      <c r="BZ590" s="18">
        <v>0</v>
      </c>
      <c r="CA590">
        <v>0</v>
      </c>
      <c r="CB590">
        <v>0</v>
      </c>
      <c r="CC590">
        <v>1</v>
      </c>
      <c r="CD590" s="18">
        <v>0</v>
      </c>
      <c r="CE590">
        <v>0</v>
      </c>
      <c r="CF590">
        <v>0</v>
      </c>
      <c r="CG590">
        <v>0</v>
      </c>
      <c r="CH590">
        <v>0</v>
      </c>
      <c r="CI590" s="18">
        <v>0</v>
      </c>
      <c r="CJ590">
        <v>0</v>
      </c>
      <c r="CK590">
        <v>0</v>
      </c>
      <c r="CL590">
        <v>1</v>
      </c>
      <c r="CM590">
        <v>1</v>
      </c>
      <c r="CN590">
        <v>0</v>
      </c>
      <c r="CO590">
        <v>0</v>
      </c>
      <c r="CP590">
        <v>0</v>
      </c>
      <c r="CQ590">
        <v>0</v>
      </c>
      <c r="CR590">
        <v>0</v>
      </c>
      <c r="CS590">
        <v>0</v>
      </c>
      <c r="CT590" s="18">
        <v>1</v>
      </c>
      <c r="CZ590" s="34" t="s">
        <v>87</v>
      </c>
    </row>
    <row r="591" spans="1:104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21"/>
        <v>38</v>
      </c>
      <c r="G591" s="7">
        <f t="shared" si="422"/>
        <v>11.1</v>
      </c>
      <c r="H591" s="16">
        <f t="shared" si="423"/>
        <v>11.700000000000001</v>
      </c>
      <c r="I591" s="11">
        <f t="shared" si="419"/>
        <v>0.39338654521701061</v>
      </c>
      <c r="J591" s="33">
        <f t="shared" si="420"/>
        <v>1.0352277505710807E-2</v>
      </c>
      <c r="K591" s="33">
        <f t="shared" si="432"/>
        <v>96.597101405787527</v>
      </c>
      <c r="L591" s="33">
        <f t="shared" si="433"/>
        <v>0.38303426771129978</v>
      </c>
      <c r="M591" s="33">
        <f t="shared" si="434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35"/>
        <v>7887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9">
        <v>0</v>
      </c>
      <c r="AL591" s="30">
        <v>1</v>
      </c>
      <c r="AM591" s="21">
        <v>2004</v>
      </c>
      <c r="AN591" s="23"/>
      <c r="AO591" s="33">
        <v>3.4299999999999997E-2</v>
      </c>
      <c r="AP591" s="33">
        <v>0.37</v>
      </c>
      <c r="AQ591" s="33">
        <v>0.47699999999999998</v>
      </c>
      <c r="AR591" s="43">
        <f t="shared" si="431"/>
        <v>0.11870000000000003</v>
      </c>
      <c r="AS591" s="33" t="s">
        <v>107</v>
      </c>
      <c r="AT591" s="43" t="s">
        <v>107</v>
      </c>
      <c r="AU591" s="42">
        <v>60.5</v>
      </c>
      <c r="AV591" s="18">
        <v>39.5</v>
      </c>
      <c r="AW591">
        <v>1</v>
      </c>
      <c r="AX591" s="40">
        <v>0</v>
      </c>
      <c r="AY591" t="s">
        <v>107</v>
      </c>
      <c r="AZ591" s="40" t="s">
        <v>107</v>
      </c>
      <c r="BB591" s="18"/>
      <c r="BC591" t="s">
        <v>107</v>
      </c>
      <c r="BD591" t="s">
        <v>107</v>
      </c>
      <c r="BE591" t="s">
        <v>13</v>
      </c>
      <c r="BL591" s="18"/>
      <c r="BO591" s="18"/>
      <c r="BR591" s="25">
        <f t="shared" si="427"/>
        <v>36.799999999999997</v>
      </c>
      <c r="BS591">
        <v>1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0</v>
      </c>
      <c r="BZ591" s="18">
        <v>0</v>
      </c>
      <c r="CA591">
        <v>0</v>
      </c>
      <c r="CB591">
        <v>0</v>
      </c>
      <c r="CC591">
        <v>1</v>
      </c>
      <c r="CD591" s="18">
        <v>0</v>
      </c>
      <c r="CE591">
        <v>0</v>
      </c>
      <c r="CF591">
        <v>0</v>
      </c>
      <c r="CG591">
        <v>0</v>
      </c>
      <c r="CH591">
        <v>0</v>
      </c>
      <c r="CI591" s="18">
        <v>0</v>
      </c>
      <c r="CJ591">
        <v>0</v>
      </c>
      <c r="CK591">
        <v>0</v>
      </c>
      <c r="CL591">
        <v>1</v>
      </c>
      <c r="CM591">
        <v>1</v>
      </c>
      <c r="CN591">
        <v>0</v>
      </c>
      <c r="CO591">
        <v>0</v>
      </c>
      <c r="CP591">
        <v>0</v>
      </c>
      <c r="CQ591">
        <v>0</v>
      </c>
      <c r="CR591">
        <v>0</v>
      </c>
      <c r="CS591">
        <v>0</v>
      </c>
      <c r="CT591" s="18">
        <v>1</v>
      </c>
      <c r="CZ591" s="34" t="s">
        <v>87</v>
      </c>
    </row>
    <row r="592" spans="1:104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21"/>
        <v>19.2</v>
      </c>
      <c r="G592" s="7">
        <f t="shared" si="422"/>
        <v>9.1</v>
      </c>
      <c r="H592" s="16">
        <f t="shared" si="423"/>
        <v>10.1</v>
      </c>
      <c r="I592" s="11">
        <f t="shared" si="419"/>
        <v>0.21131282467937684</v>
      </c>
      <c r="J592" s="33">
        <f t="shared" si="420"/>
        <v>1.1005876285384211E-2</v>
      </c>
      <c r="K592" s="33">
        <f t="shared" ref="K592" si="436">IFERROR(1/J592, "X")</f>
        <v>90.860552496669314</v>
      </c>
      <c r="L592" s="33">
        <f t="shared" ref="L592" si="437">IFERROR(I592-J592, "X")</f>
        <v>0.20030694839399263</v>
      </c>
      <c r="M592" s="33">
        <f t="shared" ref="M592" si="438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35"/>
        <v>7887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9">
        <v>0</v>
      </c>
      <c r="AL592" s="30">
        <v>1</v>
      </c>
      <c r="AM592" s="21">
        <v>2004</v>
      </c>
      <c r="AN592" s="23"/>
      <c r="AO592" s="33">
        <v>3.4299999999999997E-2</v>
      </c>
      <c r="AP592" s="33">
        <v>0.37</v>
      </c>
      <c r="AQ592" s="33">
        <v>0.47699999999999998</v>
      </c>
      <c r="AR592" s="43">
        <f t="shared" si="431"/>
        <v>0.11870000000000003</v>
      </c>
      <c r="AS592" s="33" t="s">
        <v>107</v>
      </c>
      <c r="AT592" s="43" t="s">
        <v>107</v>
      </c>
      <c r="AU592" s="42">
        <v>60.5</v>
      </c>
      <c r="AV592" s="18">
        <v>39.5</v>
      </c>
      <c r="AW592">
        <v>1</v>
      </c>
      <c r="AX592" s="40">
        <v>0</v>
      </c>
      <c r="AY592" t="s">
        <v>107</v>
      </c>
      <c r="AZ592" s="40" t="s">
        <v>107</v>
      </c>
      <c r="BB592" s="18"/>
      <c r="BC592" t="s">
        <v>107</v>
      </c>
      <c r="BD592" t="s">
        <v>107</v>
      </c>
      <c r="BE592" t="s">
        <v>13</v>
      </c>
      <c r="BL592" s="18"/>
      <c r="BO592" s="18"/>
      <c r="BR592" s="25">
        <f t="shared" si="427"/>
        <v>36.799999999999997</v>
      </c>
      <c r="BS592">
        <v>1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0</v>
      </c>
      <c r="BZ592" s="18">
        <v>0</v>
      </c>
      <c r="CA592">
        <v>0</v>
      </c>
      <c r="CB592">
        <v>0</v>
      </c>
      <c r="CC592">
        <v>1</v>
      </c>
      <c r="CD592" s="18">
        <v>0</v>
      </c>
      <c r="CE592">
        <v>0</v>
      </c>
      <c r="CF592">
        <v>0</v>
      </c>
      <c r="CG592">
        <v>0</v>
      </c>
      <c r="CH592">
        <v>0</v>
      </c>
      <c r="CI592" s="18">
        <v>0</v>
      </c>
      <c r="CJ592">
        <v>0</v>
      </c>
      <c r="CK592">
        <v>0</v>
      </c>
      <c r="CL592">
        <v>1</v>
      </c>
      <c r="CM592">
        <v>1</v>
      </c>
      <c r="CN592">
        <v>0</v>
      </c>
      <c r="CO592">
        <v>0</v>
      </c>
      <c r="CP592">
        <v>0</v>
      </c>
      <c r="CQ592">
        <v>0</v>
      </c>
      <c r="CR592">
        <v>0</v>
      </c>
      <c r="CS592">
        <v>0</v>
      </c>
      <c r="CT592" s="18">
        <v>1</v>
      </c>
      <c r="CZ592" s="34" t="s">
        <v>87</v>
      </c>
    </row>
    <row r="593" spans="1:104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21"/>
        <v>31.25</v>
      </c>
      <c r="G593" s="7">
        <f t="shared" si="422"/>
        <v>12.1</v>
      </c>
      <c r="H593" s="16">
        <f t="shared" ref="H593:H603" si="439">D593+E593</f>
        <v>12.9</v>
      </c>
      <c r="I593" s="11">
        <f t="shared" si="419"/>
        <v>0.33192951088238148</v>
      </c>
      <c r="J593" s="33">
        <f t="shared" si="420"/>
        <v>1.0621744348236208E-2</v>
      </c>
      <c r="K593" s="33">
        <f t="shared" ref="K593:K599" si="440">IFERROR(1/J593, "X")</f>
        <v>94.146494889613379</v>
      </c>
      <c r="L593" s="33">
        <f t="shared" ref="L593:L599" si="441">IFERROR(I593-J593, "X")</f>
        <v>0.32130776653414528</v>
      </c>
      <c r="M593" s="33">
        <f t="shared" ref="M593:M599" si="442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43">U593-V593-1</f>
        <v>7887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9">
        <v>0</v>
      </c>
      <c r="AL593" s="30">
        <v>1</v>
      </c>
      <c r="AM593" s="21">
        <v>2007</v>
      </c>
      <c r="AN593" s="23"/>
      <c r="AO593" s="33">
        <v>3.4299999999999997E-2</v>
      </c>
      <c r="AP593" s="33">
        <v>0.37</v>
      </c>
      <c r="AQ593" s="33">
        <v>0.47699999999999998</v>
      </c>
      <c r="AR593" s="43">
        <f t="shared" si="431"/>
        <v>0.11870000000000003</v>
      </c>
      <c r="AS593" s="33" t="s">
        <v>107</v>
      </c>
      <c r="AT593" s="43" t="s">
        <v>107</v>
      </c>
      <c r="AU593" s="42">
        <v>60.5</v>
      </c>
      <c r="AV593" s="18">
        <v>39.5</v>
      </c>
      <c r="AW593">
        <v>1</v>
      </c>
      <c r="AX593" s="40">
        <v>0</v>
      </c>
      <c r="AY593" t="s">
        <v>107</v>
      </c>
      <c r="AZ593" s="40" t="s">
        <v>107</v>
      </c>
      <c r="BB593" s="18"/>
      <c r="BC593" t="s">
        <v>107</v>
      </c>
      <c r="BD593" t="s">
        <v>107</v>
      </c>
      <c r="BE593" t="s">
        <v>13</v>
      </c>
      <c r="BL593" s="18"/>
      <c r="BO593" s="18"/>
      <c r="BR593" s="25">
        <f t="shared" si="427"/>
        <v>36.799999999999997</v>
      </c>
      <c r="BS593">
        <v>1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0</v>
      </c>
      <c r="BZ593" s="18">
        <v>0</v>
      </c>
      <c r="CA593">
        <v>0</v>
      </c>
      <c r="CB593">
        <v>0</v>
      </c>
      <c r="CC593">
        <v>1</v>
      </c>
      <c r="CD593" s="18">
        <v>0</v>
      </c>
      <c r="CE593">
        <v>0</v>
      </c>
      <c r="CF593">
        <v>0</v>
      </c>
      <c r="CG593">
        <v>0</v>
      </c>
      <c r="CH593">
        <v>0</v>
      </c>
      <c r="CI593" s="18">
        <v>0</v>
      </c>
      <c r="CJ593">
        <v>0</v>
      </c>
      <c r="CK593">
        <v>0</v>
      </c>
      <c r="CL593">
        <v>1</v>
      </c>
      <c r="CM593">
        <v>1</v>
      </c>
      <c r="CN593">
        <v>0</v>
      </c>
      <c r="CO593">
        <v>0</v>
      </c>
      <c r="CP593">
        <v>0</v>
      </c>
      <c r="CQ593">
        <v>0</v>
      </c>
      <c r="CR593">
        <v>0</v>
      </c>
      <c r="CS593">
        <v>0</v>
      </c>
      <c r="CT593" s="18">
        <v>1</v>
      </c>
      <c r="CZ593" s="34" t="s">
        <v>87</v>
      </c>
    </row>
    <row r="594" spans="1:104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21"/>
        <v>6.1</v>
      </c>
      <c r="G594" s="7">
        <f t="shared" si="422"/>
        <v>5.0999999999999996</v>
      </c>
      <c r="H594" s="16">
        <f t="shared" si="439"/>
        <v>7.1</v>
      </c>
      <c r="I594" s="11">
        <f t="shared" si="419"/>
        <v>0.1290529211438062</v>
      </c>
      <c r="J594" s="33">
        <f t="shared" si="420"/>
        <v>2.1156216580951834E-2</v>
      </c>
      <c r="K594" s="33">
        <f t="shared" si="440"/>
        <v>47.267430647328403</v>
      </c>
      <c r="L594" s="33">
        <f t="shared" si="441"/>
        <v>0.10789670456285437</v>
      </c>
      <c r="M594" s="33">
        <f t="shared" si="442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43"/>
        <v>2197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9">
        <v>0</v>
      </c>
      <c r="AL594" s="30">
        <v>1</v>
      </c>
      <c r="AM594" s="21">
        <v>2000</v>
      </c>
      <c r="AN594" s="23"/>
      <c r="AO594" s="33">
        <v>3.4299999999999997E-2</v>
      </c>
      <c r="AP594" s="33">
        <v>0.37</v>
      </c>
      <c r="AQ594" s="33">
        <v>0.47699999999999998</v>
      </c>
      <c r="AR594" s="43">
        <f t="shared" si="431"/>
        <v>0.11870000000000003</v>
      </c>
      <c r="AS594" s="33" t="s">
        <v>107</v>
      </c>
      <c r="AT594" s="43" t="s">
        <v>107</v>
      </c>
      <c r="AU594" s="42">
        <v>0</v>
      </c>
      <c r="AV594" s="18">
        <v>1</v>
      </c>
      <c r="AW594">
        <v>1</v>
      </c>
      <c r="AX594" s="40">
        <v>0</v>
      </c>
      <c r="AY594" t="s">
        <v>107</v>
      </c>
      <c r="AZ594" s="40" t="s">
        <v>107</v>
      </c>
      <c r="BB594" s="18"/>
      <c r="BC594" t="s">
        <v>107</v>
      </c>
      <c r="BD594" t="s">
        <v>107</v>
      </c>
      <c r="BE594" t="s">
        <v>13</v>
      </c>
      <c r="BL594" s="18"/>
      <c r="BO594" s="18"/>
      <c r="BR594" s="25">
        <f t="shared" si="427"/>
        <v>36.799999999999997</v>
      </c>
      <c r="BS594">
        <v>1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0</v>
      </c>
      <c r="BZ594" s="18">
        <v>0</v>
      </c>
      <c r="CA594">
        <v>0</v>
      </c>
      <c r="CB594">
        <v>0</v>
      </c>
      <c r="CC594">
        <v>1</v>
      </c>
      <c r="CD594" s="18">
        <v>0</v>
      </c>
      <c r="CE594">
        <v>0</v>
      </c>
      <c r="CF594">
        <v>0</v>
      </c>
      <c r="CG594">
        <v>0</v>
      </c>
      <c r="CH594">
        <v>0</v>
      </c>
      <c r="CI594" s="18">
        <v>0</v>
      </c>
      <c r="CJ594">
        <v>0</v>
      </c>
      <c r="CK594">
        <v>0</v>
      </c>
      <c r="CL594">
        <v>1</v>
      </c>
      <c r="CM594">
        <v>1</v>
      </c>
      <c r="CN594">
        <v>0</v>
      </c>
      <c r="CO594">
        <v>0</v>
      </c>
      <c r="CP594">
        <v>0</v>
      </c>
      <c r="CQ594">
        <v>0</v>
      </c>
      <c r="CR594">
        <v>0</v>
      </c>
      <c r="CS594">
        <v>0</v>
      </c>
      <c r="CT594" s="18">
        <v>1</v>
      </c>
      <c r="CZ594" s="34" t="s">
        <v>87</v>
      </c>
    </row>
    <row r="595" spans="1:104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21"/>
        <v>26</v>
      </c>
      <c r="G595" s="7">
        <f t="shared" si="422"/>
        <v>12.5</v>
      </c>
      <c r="H595" s="16">
        <f t="shared" si="439"/>
        <v>13.5</v>
      </c>
      <c r="I595" s="11">
        <f t="shared" si="419"/>
        <v>0.40839935366624441</v>
      </c>
      <c r="J595" s="33">
        <f t="shared" si="420"/>
        <v>1.5707667448701706E-2</v>
      </c>
      <c r="K595" s="33">
        <f t="shared" si="440"/>
        <v>63.663176169588027</v>
      </c>
      <c r="L595" s="33">
        <f t="shared" si="441"/>
        <v>0.39269168621754269</v>
      </c>
      <c r="M595" s="33">
        <f t="shared" si="442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43"/>
        <v>3377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9">
        <v>0</v>
      </c>
      <c r="AL595" s="30">
        <v>1</v>
      </c>
      <c r="AM595" s="21">
        <v>2000</v>
      </c>
      <c r="AN595" s="23"/>
      <c r="AO595" s="33">
        <v>3.4299999999999997E-2</v>
      </c>
      <c r="AP595" s="33">
        <v>0.37</v>
      </c>
      <c r="AQ595" s="33">
        <v>0.47699999999999998</v>
      </c>
      <c r="AR595" s="43">
        <f t="shared" si="431"/>
        <v>0.11870000000000003</v>
      </c>
      <c r="AS595" s="33" t="s">
        <v>107</v>
      </c>
      <c r="AT595" s="43" t="s">
        <v>107</v>
      </c>
      <c r="AU595" s="42">
        <v>1</v>
      </c>
      <c r="AV595" s="18">
        <v>0</v>
      </c>
      <c r="AW595">
        <v>1</v>
      </c>
      <c r="AX595" s="40">
        <v>0</v>
      </c>
      <c r="AY595" t="s">
        <v>107</v>
      </c>
      <c r="AZ595" s="40" t="s">
        <v>107</v>
      </c>
      <c r="BB595" s="18"/>
      <c r="BC595" t="s">
        <v>107</v>
      </c>
      <c r="BD595" t="s">
        <v>107</v>
      </c>
      <c r="BE595" t="s">
        <v>13</v>
      </c>
      <c r="BL595" s="18"/>
      <c r="BO595" s="18"/>
      <c r="BR595" s="25">
        <f t="shared" si="427"/>
        <v>36.799999999999997</v>
      </c>
      <c r="BS595">
        <v>1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0</v>
      </c>
      <c r="BZ595" s="18">
        <v>0</v>
      </c>
      <c r="CA595">
        <v>0</v>
      </c>
      <c r="CB595">
        <v>0</v>
      </c>
      <c r="CC595">
        <v>1</v>
      </c>
      <c r="CD595" s="18">
        <v>0</v>
      </c>
      <c r="CE595">
        <v>0</v>
      </c>
      <c r="CF595">
        <v>0</v>
      </c>
      <c r="CG595">
        <v>0</v>
      </c>
      <c r="CH595">
        <v>0</v>
      </c>
      <c r="CI595" s="18">
        <v>0</v>
      </c>
      <c r="CJ595">
        <v>0</v>
      </c>
      <c r="CK595">
        <v>0</v>
      </c>
      <c r="CL595">
        <v>1</v>
      </c>
      <c r="CM595">
        <v>1</v>
      </c>
      <c r="CN595">
        <v>0</v>
      </c>
      <c r="CO595">
        <v>0</v>
      </c>
      <c r="CP595">
        <v>0</v>
      </c>
      <c r="CQ595">
        <v>0</v>
      </c>
      <c r="CR595">
        <v>0</v>
      </c>
      <c r="CS595">
        <v>0</v>
      </c>
      <c r="CT595" s="18">
        <v>1</v>
      </c>
      <c r="CZ595" s="34" t="s">
        <v>87</v>
      </c>
    </row>
    <row r="596" spans="1:104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21"/>
        <v>7.7500000000000009</v>
      </c>
      <c r="G596" s="7">
        <f t="shared" si="422"/>
        <v>8.1000000000000014</v>
      </c>
      <c r="H596" s="16">
        <f t="shared" si="439"/>
        <v>10.5</v>
      </c>
      <c r="I596" s="11">
        <f t="shared" si="419"/>
        <v>0.3500869861115416</v>
      </c>
      <c r="J596" s="33">
        <f t="shared" si="420"/>
        <v>4.5172514336973099E-2</v>
      </c>
      <c r="K596" s="33">
        <f t="shared" si="440"/>
        <v>22.137355307262879</v>
      </c>
      <c r="L596" s="33">
        <f t="shared" si="441"/>
        <v>0.30491447177456849</v>
      </c>
      <c r="M596" s="33">
        <f t="shared" si="442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44">U596-V596-1</f>
        <v>430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9">
        <v>0</v>
      </c>
      <c r="AL596" s="30">
        <v>1</v>
      </c>
      <c r="AM596" s="21">
        <v>2000</v>
      </c>
      <c r="AN596" s="23"/>
      <c r="AO596" s="33">
        <v>3.4299999999999997E-2</v>
      </c>
      <c r="AP596" s="33">
        <v>0.37</v>
      </c>
      <c r="AQ596" s="33">
        <v>0.47699999999999998</v>
      </c>
      <c r="AR596" s="43">
        <f t="shared" si="431"/>
        <v>0.11870000000000003</v>
      </c>
      <c r="AS596" s="33" t="s">
        <v>107</v>
      </c>
      <c r="AT596" s="43" t="s">
        <v>107</v>
      </c>
      <c r="AU596" s="42">
        <v>60.5</v>
      </c>
      <c r="AV596" s="18">
        <v>39.5</v>
      </c>
      <c r="AW596">
        <v>1</v>
      </c>
      <c r="AX596" s="40">
        <v>0</v>
      </c>
      <c r="AY596" t="s">
        <v>107</v>
      </c>
      <c r="AZ596" s="40" t="s">
        <v>107</v>
      </c>
      <c r="BB596" s="18"/>
      <c r="BC596" t="s">
        <v>107</v>
      </c>
      <c r="BD596" t="s">
        <v>107</v>
      </c>
      <c r="BE596" t="s">
        <v>13</v>
      </c>
      <c r="BL596" s="18"/>
      <c r="BO596" s="18"/>
      <c r="BR596" s="25">
        <f t="shared" si="427"/>
        <v>36.799999999999997</v>
      </c>
      <c r="BS596">
        <v>1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0</v>
      </c>
      <c r="BZ596" s="18">
        <v>0</v>
      </c>
      <c r="CA596">
        <v>0</v>
      </c>
      <c r="CB596">
        <v>0</v>
      </c>
      <c r="CC596">
        <v>1</v>
      </c>
      <c r="CD596" s="18">
        <v>0</v>
      </c>
      <c r="CE596">
        <v>0</v>
      </c>
      <c r="CF596">
        <v>0</v>
      </c>
      <c r="CG596">
        <v>0</v>
      </c>
      <c r="CH596">
        <v>0</v>
      </c>
      <c r="CI596" s="18">
        <v>0</v>
      </c>
      <c r="CJ596">
        <v>0</v>
      </c>
      <c r="CK596">
        <v>0</v>
      </c>
      <c r="CL596">
        <v>1</v>
      </c>
      <c r="CM596">
        <v>1</v>
      </c>
      <c r="CN596">
        <v>0</v>
      </c>
      <c r="CO596">
        <v>0</v>
      </c>
      <c r="CP596">
        <v>0</v>
      </c>
      <c r="CQ596">
        <v>0</v>
      </c>
      <c r="CR596">
        <v>0</v>
      </c>
      <c r="CS596">
        <v>0</v>
      </c>
      <c r="CT596" s="18">
        <v>1</v>
      </c>
      <c r="CZ596" s="34" t="s">
        <v>87</v>
      </c>
    </row>
    <row r="597" spans="1:104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21"/>
        <v>5.6000000000000005</v>
      </c>
      <c r="G597" s="7">
        <f t="shared" si="422"/>
        <v>6.9</v>
      </c>
      <c r="H597" s="16">
        <f t="shared" si="439"/>
        <v>9.9</v>
      </c>
      <c r="I597" s="11">
        <f t="shared" si="419"/>
        <v>0.26043413082715794</v>
      </c>
      <c r="J597" s="33">
        <f t="shared" si="420"/>
        <v>4.6506094790563918E-2</v>
      </c>
      <c r="K597" s="33">
        <f t="shared" si="440"/>
        <v>21.50255798736513</v>
      </c>
      <c r="L597" s="33">
        <f t="shared" si="441"/>
        <v>0.21392803603659402</v>
      </c>
      <c r="M597" s="33">
        <f t="shared" si="442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44"/>
        <v>431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9">
        <v>0</v>
      </c>
      <c r="AL597" s="30">
        <v>1</v>
      </c>
      <c r="AM597" s="21">
        <v>2007</v>
      </c>
      <c r="AN597" s="23"/>
      <c r="AO597" s="33">
        <v>3.4299999999999997E-2</v>
      </c>
      <c r="AP597" s="33">
        <v>0.37</v>
      </c>
      <c r="AQ597" s="33">
        <v>0.47699999999999998</v>
      </c>
      <c r="AR597" s="43">
        <f t="shared" si="431"/>
        <v>0.11870000000000003</v>
      </c>
      <c r="AS597" s="33" t="s">
        <v>107</v>
      </c>
      <c r="AT597" s="43" t="s">
        <v>107</v>
      </c>
      <c r="AU597" s="42">
        <v>60.5</v>
      </c>
      <c r="AV597" s="18">
        <v>39.5</v>
      </c>
      <c r="AW597">
        <v>1</v>
      </c>
      <c r="AX597" s="40">
        <v>0</v>
      </c>
      <c r="AY597" t="s">
        <v>107</v>
      </c>
      <c r="AZ597" s="40" t="s">
        <v>107</v>
      </c>
      <c r="BB597" s="18"/>
      <c r="BC597" t="s">
        <v>107</v>
      </c>
      <c r="BD597" t="s">
        <v>107</v>
      </c>
      <c r="BE597" t="s">
        <v>13</v>
      </c>
      <c r="BL597" s="18"/>
      <c r="BO597" s="18"/>
      <c r="BR597" s="25">
        <f t="shared" si="427"/>
        <v>36.799999999999997</v>
      </c>
      <c r="BS597">
        <v>1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0</v>
      </c>
      <c r="BZ597" s="18">
        <v>0</v>
      </c>
      <c r="CA597">
        <v>0</v>
      </c>
      <c r="CB597">
        <v>0</v>
      </c>
      <c r="CC597">
        <v>1</v>
      </c>
      <c r="CD597" s="18">
        <v>0</v>
      </c>
      <c r="CE597">
        <v>0</v>
      </c>
      <c r="CF597">
        <v>0</v>
      </c>
      <c r="CG597">
        <v>0</v>
      </c>
      <c r="CH597">
        <v>0</v>
      </c>
      <c r="CI597" s="18">
        <v>0</v>
      </c>
      <c r="CJ597">
        <v>0</v>
      </c>
      <c r="CK597">
        <v>0</v>
      </c>
      <c r="CL597">
        <v>1</v>
      </c>
      <c r="CM597">
        <v>1</v>
      </c>
      <c r="CN597">
        <v>0</v>
      </c>
      <c r="CO597">
        <v>0</v>
      </c>
      <c r="CP597">
        <v>0</v>
      </c>
      <c r="CQ597">
        <v>0</v>
      </c>
      <c r="CR597">
        <v>0</v>
      </c>
      <c r="CS597">
        <v>0</v>
      </c>
      <c r="CT597" s="18">
        <v>1</v>
      </c>
      <c r="CZ597" s="34" t="s">
        <v>87</v>
      </c>
    </row>
    <row r="598" spans="1:104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21"/>
        <v>13.999999999999998</v>
      </c>
      <c r="G598" s="7">
        <f t="shared" si="422"/>
        <v>10.399999999999999</v>
      </c>
      <c r="H598" s="16">
        <f t="shared" si="439"/>
        <v>12</v>
      </c>
      <c r="I598" s="11">
        <f t="shared" si="419"/>
        <v>0.49039861087284109</v>
      </c>
      <c r="J598" s="33">
        <f t="shared" si="420"/>
        <v>3.5028472205202943E-2</v>
      </c>
      <c r="K598" s="33">
        <f t="shared" si="440"/>
        <v>28.548204847240392</v>
      </c>
      <c r="L598" s="33">
        <f t="shared" si="441"/>
        <v>0.45537013866763815</v>
      </c>
      <c r="M598" s="33">
        <f t="shared" si="442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44"/>
        <v>619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9">
        <v>0</v>
      </c>
      <c r="AL598" s="30">
        <v>1</v>
      </c>
      <c r="AM598" s="21">
        <v>2000</v>
      </c>
      <c r="AN598" s="23"/>
      <c r="AO598" s="33">
        <v>3.4299999999999997E-2</v>
      </c>
      <c r="AP598" s="33">
        <v>0.37</v>
      </c>
      <c r="AQ598" s="33">
        <v>0.47699999999999998</v>
      </c>
      <c r="AR598" s="43">
        <f t="shared" si="431"/>
        <v>0.11870000000000003</v>
      </c>
      <c r="AS598" s="33" t="s">
        <v>107</v>
      </c>
      <c r="AT598" s="43" t="s">
        <v>107</v>
      </c>
      <c r="AU598" s="42">
        <v>60.5</v>
      </c>
      <c r="AV598" s="18">
        <v>39.5</v>
      </c>
      <c r="AW598">
        <v>1</v>
      </c>
      <c r="AX598" s="40">
        <v>0</v>
      </c>
      <c r="AY598" t="s">
        <v>107</v>
      </c>
      <c r="AZ598" s="40" t="s">
        <v>107</v>
      </c>
      <c r="BB598" s="18"/>
      <c r="BC598" t="s">
        <v>107</v>
      </c>
      <c r="BD598" t="s">
        <v>107</v>
      </c>
      <c r="BE598" t="s">
        <v>13</v>
      </c>
      <c r="BL598" s="18"/>
      <c r="BO598" s="18"/>
      <c r="BR598" s="25">
        <f t="shared" si="427"/>
        <v>36.799999999999997</v>
      </c>
      <c r="BS598">
        <v>1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0</v>
      </c>
      <c r="BZ598" s="18">
        <v>0</v>
      </c>
      <c r="CA598">
        <v>0</v>
      </c>
      <c r="CB598">
        <v>0</v>
      </c>
      <c r="CC598">
        <v>1</v>
      </c>
      <c r="CD598" s="18">
        <v>0</v>
      </c>
      <c r="CE598">
        <v>0</v>
      </c>
      <c r="CF598">
        <v>0</v>
      </c>
      <c r="CG598">
        <v>0</v>
      </c>
      <c r="CH598">
        <v>0</v>
      </c>
      <c r="CI598" s="18">
        <v>0</v>
      </c>
      <c r="CJ598">
        <v>0</v>
      </c>
      <c r="CK598">
        <v>0</v>
      </c>
      <c r="CL598">
        <v>1</v>
      </c>
      <c r="CM598">
        <v>1</v>
      </c>
      <c r="CN598">
        <v>0</v>
      </c>
      <c r="CO598">
        <v>0</v>
      </c>
      <c r="CP598">
        <v>0</v>
      </c>
      <c r="CQ598">
        <v>0</v>
      </c>
      <c r="CR598">
        <v>0</v>
      </c>
      <c r="CS598">
        <v>0</v>
      </c>
      <c r="CT598" s="18">
        <v>1</v>
      </c>
      <c r="CZ598" s="34" t="s">
        <v>87</v>
      </c>
    </row>
    <row r="599" spans="1:104" s="136" customFormat="1" x14ac:dyDescent="0.25">
      <c r="A599" s="136">
        <v>598</v>
      </c>
      <c r="B599" s="136">
        <v>38</v>
      </c>
      <c r="C599" s="137" t="s">
        <v>14</v>
      </c>
      <c r="D599" s="138">
        <v>5.8</v>
      </c>
      <c r="E599" s="139">
        <v>1.7</v>
      </c>
      <c r="F599" s="140">
        <f t="shared" si="421"/>
        <v>3.4117647058823528</v>
      </c>
      <c r="G599" s="140">
        <f t="shared" si="422"/>
        <v>4.0999999999999996</v>
      </c>
      <c r="H599" s="141">
        <f t="shared" si="439"/>
        <v>7.5</v>
      </c>
      <c r="I599" s="142">
        <f t="shared" si="419"/>
        <v>0.13840629564487972</v>
      </c>
      <c r="J599" s="143">
        <f t="shared" si="420"/>
        <v>4.056736251660268E-2</v>
      </c>
      <c r="K599" s="143">
        <f t="shared" si="440"/>
        <v>24.650357774448313</v>
      </c>
      <c r="L599" s="143">
        <f t="shared" si="441"/>
        <v>9.7838933128277045E-2</v>
      </c>
      <c r="M599" s="143">
        <f t="shared" si="442"/>
        <v>0.17897365816148239</v>
      </c>
      <c r="N599" s="144">
        <v>0</v>
      </c>
      <c r="O599" s="145">
        <v>1</v>
      </c>
      <c r="P599" s="144">
        <v>0</v>
      </c>
      <c r="Q599" s="145">
        <v>0</v>
      </c>
      <c r="R599" s="145">
        <v>1</v>
      </c>
      <c r="S599" s="145">
        <v>0</v>
      </c>
      <c r="T599" s="145">
        <v>0</v>
      </c>
      <c r="U599" s="144">
        <v>601</v>
      </c>
      <c r="V599" s="145">
        <v>4</v>
      </c>
      <c r="W599" s="145">
        <f t="shared" si="444"/>
        <v>596</v>
      </c>
      <c r="X599" s="145"/>
      <c r="Y599" s="140">
        <v>8.6</v>
      </c>
      <c r="Z599" s="140">
        <v>22.2</v>
      </c>
      <c r="AA599" s="145">
        <v>1</v>
      </c>
      <c r="AB599" s="145">
        <v>0</v>
      </c>
      <c r="AC599" s="145">
        <v>0</v>
      </c>
      <c r="AD599" s="145">
        <v>1</v>
      </c>
      <c r="AE599" s="145">
        <v>0</v>
      </c>
      <c r="AF599" s="145">
        <v>0</v>
      </c>
      <c r="AG599" s="144">
        <v>0</v>
      </c>
      <c r="AH599" s="145">
        <v>1</v>
      </c>
      <c r="AI599" s="146">
        <v>0</v>
      </c>
      <c r="AJ599" s="145">
        <v>0</v>
      </c>
      <c r="AK599" s="145">
        <v>0</v>
      </c>
      <c r="AL599" s="146">
        <v>1</v>
      </c>
      <c r="AM599" s="147">
        <v>2007</v>
      </c>
      <c r="AN599" s="148"/>
      <c r="AO599" s="143">
        <v>3.4299999999999997E-2</v>
      </c>
      <c r="AP599" s="143">
        <v>0.37</v>
      </c>
      <c r="AQ599" s="143">
        <v>0.47699999999999998</v>
      </c>
      <c r="AR599" s="149">
        <f t="shared" si="431"/>
        <v>0.11870000000000003</v>
      </c>
      <c r="AS599" s="143" t="s">
        <v>107</v>
      </c>
      <c r="AT599" s="149" t="s">
        <v>107</v>
      </c>
      <c r="AU599" s="150">
        <v>60.5</v>
      </c>
      <c r="AV599" s="151">
        <v>39.5</v>
      </c>
      <c r="AW599" s="136">
        <v>1</v>
      </c>
      <c r="AX599" s="152">
        <v>0</v>
      </c>
      <c r="AY599" s="136" t="s">
        <v>107</v>
      </c>
      <c r="AZ599" s="152" t="s">
        <v>107</v>
      </c>
      <c r="BB599" s="151"/>
      <c r="BC599" s="136" t="s">
        <v>107</v>
      </c>
      <c r="BD599" s="136" t="s">
        <v>107</v>
      </c>
      <c r="BE599" s="136" t="s">
        <v>13</v>
      </c>
      <c r="BL599" s="151"/>
      <c r="BO599" s="151"/>
      <c r="BR599" s="137">
        <f t="shared" si="427"/>
        <v>36.799999999999997</v>
      </c>
      <c r="BS599" s="136">
        <v>1</v>
      </c>
      <c r="BT599" s="136">
        <v>0</v>
      </c>
      <c r="BU599" s="136">
        <v>0</v>
      </c>
      <c r="BV599" s="136">
        <v>0</v>
      </c>
      <c r="BW599" s="136">
        <v>0</v>
      </c>
      <c r="BX599" s="136">
        <v>0</v>
      </c>
      <c r="BY599" s="136">
        <v>0</v>
      </c>
      <c r="BZ599" s="151">
        <v>0</v>
      </c>
      <c r="CA599" s="136">
        <v>0</v>
      </c>
      <c r="CB599" s="136">
        <v>0</v>
      </c>
      <c r="CC599" s="136">
        <v>1</v>
      </c>
      <c r="CD599" s="151">
        <v>0</v>
      </c>
      <c r="CE599" s="136">
        <v>0</v>
      </c>
      <c r="CF599" s="136">
        <v>0</v>
      </c>
      <c r="CG599" s="136">
        <v>0</v>
      </c>
      <c r="CH599" s="136">
        <v>0</v>
      </c>
      <c r="CI599" s="151">
        <v>0</v>
      </c>
      <c r="CJ599" s="136">
        <v>0</v>
      </c>
      <c r="CK599" s="136">
        <v>0</v>
      </c>
      <c r="CL599" s="136">
        <v>1</v>
      </c>
      <c r="CM599" s="136">
        <v>1</v>
      </c>
      <c r="CN599" s="136">
        <v>0</v>
      </c>
      <c r="CO599" s="136">
        <v>0</v>
      </c>
      <c r="CP599" s="136">
        <v>0</v>
      </c>
      <c r="CQ599" s="136">
        <v>0</v>
      </c>
      <c r="CR599" s="136">
        <v>0</v>
      </c>
      <c r="CS599" s="136">
        <v>0</v>
      </c>
      <c r="CT599" s="151">
        <v>1</v>
      </c>
      <c r="CX599" s="154"/>
      <c r="CY599" s="137"/>
      <c r="CZ599" s="153" t="s">
        <v>87</v>
      </c>
    </row>
    <row r="600" spans="1:104" x14ac:dyDescent="0.25">
      <c r="A600">
        <v>599</v>
      </c>
      <c r="B600">
        <v>39</v>
      </c>
      <c r="C600" s="25" t="s">
        <v>342</v>
      </c>
      <c r="D600" s="12">
        <v>10.9</v>
      </c>
      <c r="E600" s="14">
        <v>0.2</v>
      </c>
      <c r="F600" s="7">
        <f t="shared" si="421"/>
        <v>54.5</v>
      </c>
      <c r="G600" s="7">
        <f t="shared" si="422"/>
        <v>10.700000000000001</v>
      </c>
      <c r="H600" s="16">
        <f t="shared" si="439"/>
        <v>11.1</v>
      </c>
      <c r="I600" s="11">
        <f t="shared" si="419"/>
        <v>0.47861830766356356</v>
      </c>
      <c r="J600" s="33">
        <f t="shared" si="420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44"/>
        <v>9996</v>
      </c>
      <c r="Y600" s="7">
        <f>(AO600*0+AP600*6+AQ600*11+14*AR600)</f>
        <v>9.4307999999999996</v>
      </c>
      <c r="Z600" s="7">
        <f t="shared" ref="Z600:Z631" si="445">BR600-Y600-6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9">
        <v>0</v>
      </c>
      <c r="AL600" s="30">
        <v>1</v>
      </c>
      <c r="AM600" s="21">
        <v>2001</v>
      </c>
      <c r="AN600" s="23"/>
      <c r="AO600" s="33">
        <v>0.13719999999999999</v>
      </c>
      <c r="AP600" s="33">
        <f>1-SUM(AO600,AQ600,AR600)</f>
        <v>0.2238</v>
      </c>
      <c r="AQ600" s="33">
        <v>0.28599999999999998</v>
      </c>
      <c r="AR600" s="43">
        <v>0.35299999999999998</v>
      </c>
      <c r="AS600" s="33" t="s">
        <v>107</v>
      </c>
      <c r="AT600" s="43" t="s">
        <v>107</v>
      </c>
      <c r="AU600" s="42">
        <v>0.56999999999999995</v>
      </c>
      <c r="AV600" s="18">
        <v>0.43</v>
      </c>
      <c r="AW600">
        <v>0</v>
      </c>
      <c r="AX600" s="40">
        <v>1</v>
      </c>
      <c r="AY600" t="s">
        <v>107</v>
      </c>
      <c r="AZ600" s="40" t="s">
        <v>107</v>
      </c>
      <c r="BB600" s="18"/>
      <c r="BC600" t="s">
        <v>107</v>
      </c>
      <c r="BD600" s="18" t="s">
        <v>107</v>
      </c>
      <c r="BE600" s="18" t="s">
        <v>343</v>
      </c>
      <c r="BL600" s="18"/>
      <c r="BO600" s="18"/>
      <c r="BR600" s="25">
        <v>39.1</v>
      </c>
      <c r="BS600">
        <v>1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0</v>
      </c>
      <c r="BZ600" s="18">
        <v>0</v>
      </c>
      <c r="CA600">
        <v>0</v>
      </c>
      <c r="CB600">
        <v>0</v>
      </c>
      <c r="CC600">
        <v>1</v>
      </c>
      <c r="CD600" s="18">
        <v>0</v>
      </c>
      <c r="CE600">
        <v>0</v>
      </c>
      <c r="CF600">
        <v>0</v>
      </c>
      <c r="CG600">
        <v>0</v>
      </c>
      <c r="CH600">
        <v>0</v>
      </c>
      <c r="CI600" s="18">
        <v>0</v>
      </c>
      <c r="CJ600">
        <v>1</v>
      </c>
      <c r="CK600">
        <v>1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>
        <v>0</v>
      </c>
      <c r="CT600" s="18">
        <v>1</v>
      </c>
      <c r="CZ600" s="34" t="s">
        <v>87</v>
      </c>
    </row>
    <row r="601" spans="1:104" x14ac:dyDescent="0.25">
      <c r="A601">
        <v>600</v>
      </c>
      <c r="B601">
        <v>39</v>
      </c>
      <c r="C601" s="25" t="s">
        <v>342</v>
      </c>
      <c r="D601" s="12">
        <v>10.9</v>
      </c>
      <c r="E601" s="14">
        <v>0.2</v>
      </c>
      <c r="F601" s="7">
        <f t="shared" si="421"/>
        <v>54.5</v>
      </c>
      <c r="G601" s="7">
        <f t="shared" si="422"/>
        <v>10.700000000000001</v>
      </c>
      <c r="H601" s="16">
        <f t="shared" si="439"/>
        <v>11.1</v>
      </c>
      <c r="I601" s="11">
        <f t="shared" si="419"/>
        <v>0.4871657385763617</v>
      </c>
      <c r="J601" s="33">
        <f t="shared" si="420"/>
        <v>8.9388208913093892E-3</v>
      </c>
      <c r="K601" s="33">
        <f t="shared" ref="K601:K603" si="446">IFERROR(1/J601, "X")</f>
        <v>111.87157815995981</v>
      </c>
      <c r="L601" s="33">
        <f t="shared" ref="L601:L603" si="447">IFERROR(I601-J601, "X")</f>
        <v>0.47822691768505232</v>
      </c>
      <c r="M601" s="33">
        <f t="shared" ref="M601:M603" si="448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44"/>
        <v>9545</v>
      </c>
      <c r="Y601" s="7">
        <f t="shared" ref="Y601:Y649" si="449">(AO601*0+AP601*6+AQ601*11+14*AR601)</f>
        <v>9.4307999999999996</v>
      </c>
      <c r="Z601" s="7">
        <f t="shared" si="445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9">
        <v>0</v>
      </c>
      <c r="AL601" s="30">
        <v>1</v>
      </c>
      <c r="AM601" s="21">
        <v>2001</v>
      </c>
      <c r="AN601" s="23"/>
      <c r="AO601" s="33">
        <v>0.13719999999999999</v>
      </c>
      <c r="AP601" s="33">
        <f t="shared" ref="AP601:AP649" si="450">1-SUM(AO601,AQ601,AR601)</f>
        <v>0.2238</v>
      </c>
      <c r="AQ601" s="33">
        <v>0.28599999999999998</v>
      </c>
      <c r="AR601" s="43">
        <v>0.35299999999999998</v>
      </c>
      <c r="AS601" s="33" t="s">
        <v>107</v>
      </c>
      <c r="AT601" s="43" t="s">
        <v>107</v>
      </c>
      <c r="AU601" s="42">
        <v>0.56999999999999995</v>
      </c>
      <c r="AV601" s="18">
        <v>0.43</v>
      </c>
      <c r="AW601">
        <v>0</v>
      </c>
      <c r="AX601" s="40">
        <v>1</v>
      </c>
      <c r="AY601" t="s">
        <v>107</v>
      </c>
      <c r="AZ601" s="40" t="s">
        <v>107</v>
      </c>
      <c r="BB601" s="18"/>
      <c r="BC601" t="s">
        <v>107</v>
      </c>
      <c r="BD601" s="18" t="s">
        <v>107</v>
      </c>
      <c r="BE601" s="18" t="s">
        <v>343</v>
      </c>
      <c r="BL601" s="18"/>
      <c r="BO601" s="18"/>
      <c r="BR601" s="25">
        <v>39.1</v>
      </c>
      <c r="BS601">
        <v>1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0</v>
      </c>
      <c r="BZ601" s="18">
        <v>0</v>
      </c>
      <c r="CA601">
        <v>0</v>
      </c>
      <c r="CB601">
        <v>0</v>
      </c>
      <c r="CC601">
        <v>1</v>
      </c>
      <c r="CD601" s="18">
        <v>0</v>
      </c>
      <c r="CE601">
        <v>0</v>
      </c>
      <c r="CF601">
        <v>0</v>
      </c>
      <c r="CG601">
        <v>0</v>
      </c>
      <c r="CH601">
        <v>0</v>
      </c>
      <c r="CI601" s="18">
        <v>0</v>
      </c>
      <c r="CJ601">
        <v>1</v>
      </c>
      <c r="CK601">
        <v>1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>
        <v>0</v>
      </c>
      <c r="CT601" s="18">
        <v>1</v>
      </c>
      <c r="CZ601" s="34" t="s">
        <v>87</v>
      </c>
    </row>
    <row r="602" spans="1:104" x14ac:dyDescent="0.25">
      <c r="A602">
        <v>601</v>
      </c>
      <c r="B602">
        <v>39</v>
      </c>
      <c r="C602" s="25" t="s">
        <v>342</v>
      </c>
      <c r="D602" s="12">
        <v>10.3</v>
      </c>
      <c r="E602" s="14">
        <v>0.2</v>
      </c>
      <c r="F602" s="7">
        <f t="shared" si="421"/>
        <v>51.5</v>
      </c>
      <c r="G602" s="7">
        <f t="shared" si="422"/>
        <v>10.100000000000001</v>
      </c>
      <c r="H602" s="16">
        <f t="shared" si="439"/>
        <v>10.5</v>
      </c>
      <c r="I602" s="11">
        <f t="shared" si="419"/>
        <v>0.457922526787234</v>
      </c>
      <c r="J602" s="33">
        <f t="shared" si="420"/>
        <v>8.8916995492666785E-3</v>
      </c>
      <c r="K602" s="33">
        <f t="shared" si="446"/>
        <v>112.46443882401229</v>
      </c>
      <c r="L602" s="33">
        <f t="shared" si="447"/>
        <v>0.44903082723796733</v>
      </c>
      <c r="M602" s="33">
        <f t="shared" si="448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44"/>
        <v>9996</v>
      </c>
      <c r="Y602" s="7">
        <f t="shared" si="449"/>
        <v>9.4307999999999996</v>
      </c>
      <c r="Z602" s="7">
        <f t="shared" si="445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9">
        <v>0</v>
      </c>
      <c r="AL602" s="30">
        <v>1</v>
      </c>
      <c r="AM602" s="21">
        <v>2001</v>
      </c>
      <c r="AN602" s="23"/>
      <c r="AO602" s="33">
        <v>0.13719999999999999</v>
      </c>
      <c r="AP602" s="33">
        <f t="shared" si="450"/>
        <v>0.2238</v>
      </c>
      <c r="AQ602" s="33">
        <v>0.28599999999999998</v>
      </c>
      <c r="AR602" s="43">
        <v>0.35299999999999998</v>
      </c>
      <c r="AS602" s="33" t="s">
        <v>107</v>
      </c>
      <c r="AT602" s="43" t="s">
        <v>107</v>
      </c>
      <c r="AU602" s="42">
        <v>0.56999999999999995</v>
      </c>
      <c r="AV602" s="18">
        <v>0.43</v>
      </c>
      <c r="AW602">
        <v>0</v>
      </c>
      <c r="AX602" s="40">
        <v>1</v>
      </c>
      <c r="AY602" t="s">
        <v>107</v>
      </c>
      <c r="AZ602" s="40" t="s">
        <v>107</v>
      </c>
      <c r="BB602" s="18"/>
      <c r="BC602" t="s">
        <v>107</v>
      </c>
      <c r="BD602" s="18" t="s">
        <v>107</v>
      </c>
      <c r="BE602" s="18" t="s">
        <v>343</v>
      </c>
      <c r="BL602" s="18"/>
      <c r="BO602" s="18"/>
      <c r="BR602" s="25">
        <v>39.1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1</v>
      </c>
      <c r="BY602">
        <v>0</v>
      </c>
      <c r="BZ602" s="18">
        <v>0</v>
      </c>
      <c r="CA602">
        <v>0</v>
      </c>
      <c r="CB602">
        <v>0</v>
      </c>
      <c r="CC602">
        <v>1</v>
      </c>
      <c r="CD602" s="18">
        <v>0</v>
      </c>
      <c r="CE602">
        <v>0</v>
      </c>
      <c r="CF602">
        <v>0</v>
      </c>
      <c r="CG602">
        <v>0</v>
      </c>
      <c r="CH602">
        <v>0</v>
      </c>
      <c r="CI602" s="18">
        <v>0</v>
      </c>
      <c r="CJ602">
        <v>1</v>
      </c>
      <c r="CK602">
        <v>1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>
        <v>0</v>
      </c>
      <c r="CT602" s="18">
        <v>1</v>
      </c>
      <c r="CZ602" s="34" t="s">
        <v>87</v>
      </c>
    </row>
    <row r="603" spans="1:104" x14ac:dyDescent="0.25">
      <c r="A603">
        <v>602</v>
      </c>
      <c r="B603">
        <v>39</v>
      </c>
      <c r="C603" s="25" t="s">
        <v>342</v>
      </c>
      <c r="D603" s="12">
        <v>10.199999999999999</v>
      </c>
      <c r="E603" s="14">
        <v>0.3</v>
      </c>
      <c r="F603" s="7">
        <f t="shared" si="421"/>
        <v>34</v>
      </c>
      <c r="G603" s="7">
        <f t="shared" si="422"/>
        <v>9.8999999999999986</v>
      </c>
      <c r="H603" s="16">
        <f t="shared" si="439"/>
        <v>10.5</v>
      </c>
      <c r="I603" s="11">
        <f t="shared" si="419"/>
        <v>0.32867504798725355</v>
      </c>
      <c r="J603" s="33">
        <f t="shared" si="420"/>
        <v>9.6669131760956928E-3</v>
      </c>
      <c r="K603" s="33">
        <f t="shared" si="446"/>
        <v>103.4456378974</v>
      </c>
      <c r="L603" s="33">
        <f t="shared" si="447"/>
        <v>0.31900813481115786</v>
      </c>
      <c r="M603" s="33">
        <f t="shared" si="448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44"/>
        <v>9545</v>
      </c>
      <c r="Y603" s="7">
        <f t="shared" si="449"/>
        <v>9.4307999999999996</v>
      </c>
      <c r="Z603" s="7">
        <f t="shared" si="445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9">
        <v>0</v>
      </c>
      <c r="AL603" s="30">
        <v>1</v>
      </c>
      <c r="AM603" s="21">
        <v>2001</v>
      </c>
      <c r="AN603" s="23"/>
      <c r="AO603" s="33">
        <v>0.13719999999999999</v>
      </c>
      <c r="AP603" s="33">
        <f t="shared" si="450"/>
        <v>0.2238</v>
      </c>
      <c r="AQ603" s="33">
        <v>0.28599999999999998</v>
      </c>
      <c r="AR603" s="43">
        <v>0.35299999999999998</v>
      </c>
      <c r="AS603" s="33" t="s">
        <v>107</v>
      </c>
      <c r="AT603" s="43" t="s">
        <v>107</v>
      </c>
      <c r="AU603" s="42">
        <v>0.56999999999999995</v>
      </c>
      <c r="AV603" s="18">
        <v>0.43</v>
      </c>
      <c r="AW603">
        <v>0</v>
      </c>
      <c r="AX603" s="40">
        <v>1</v>
      </c>
      <c r="AY603" t="s">
        <v>107</v>
      </c>
      <c r="AZ603" s="40" t="s">
        <v>107</v>
      </c>
      <c r="BB603" s="18"/>
      <c r="BC603" t="s">
        <v>107</v>
      </c>
      <c r="BD603" s="18" t="s">
        <v>107</v>
      </c>
      <c r="BE603" s="18" t="s">
        <v>343</v>
      </c>
      <c r="BL603" s="18"/>
      <c r="BO603" s="18"/>
      <c r="BR603" s="25">
        <v>39.1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1</v>
      </c>
      <c r="BY603">
        <v>0</v>
      </c>
      <c r="BZ603" s="18">
        <v>0</v>
      </c>
      <c r="CA603">
        <v>0</v>
      </c>
      <c r="CB603">
        <v>0</v>
      </c>
      <c r="CC603">
        <v>1</v>
      </c>
      <c r="CD603" s="18">
        <v>0</v>
      </c>
      <c r="CE603">
        <v>0</v>
      </c>
      <c r="CF603">
        <v>0</v>
      </c>
      <c r="CG603">
        <v>0</v>
      </c>
      <c r="CH603">
        <v>0</v>
      </c>
      <c r="CI603" s="18">
        <v>0</v>
      </c>
      <c r="CJ603">
        <v>1</v>
      </c>
      <c r="CK603">
        <v>1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>
        <v>0</v>
      </c>
      <c r="CT603" s="18">
        <v>1</v>
      </c>
      <c r="CZ603" s="34" t="s">
        <v>87</v>
      </c>
    </row>
    <row r="604" spans="1:104" x14ac:dyDescent="0.25">
      <c r="A604">
        <v>603</v>
      </c>
      <c r="B604">
        <v>39</v>
      </c>
      <c r="C604" s="25" t="s">
        <v>342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19"/>
        <v>0.30538767488256086</v>
      </c>
      <c r="J604" s="33">
        <f t="shared" si="420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51">U604-V604-1</f>
        <v>9987</v>
      </c>
      <c r="Y604" s="7">
        <f t="shared" si="449"/>
        <v>9.4307999999999996</v>
      </c>
      <c r="Z604" s="7">
        <f t="shared" si="445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9">
        <v>0</v>
      </c>
      <c r="AL604" s="30">
        <v>1</v>
      </c>
      <c r="AM604" s="21">
        <v>2001</v>
      </c>
      <c r="AN604" s="23"/>
      <c r="AO604" s="33">
        <v>0.13719999999999999</v>
      </c>
      <c r="AP604" s="33">
        <f t="shared" si="450"/>
        <v>0.2238</v>
      </c>
      <c r="AQ604" s="33">
        <v>0.28599999999999998</v>
      </c>
      <c r="AR604" s="43">
        <v>0.35299999999999998</v>
      </c>
      <c r="AS604" s="33" t="s">
        <v>107</v>
      </c>
      <c r="AT604" s="43" t="s">
        <v>107</v>
      </c>
      <c r="AU604" s="42">
        <v>1</v>
      </c>
      <c r="AV604" s="18">
        <v>0</v>
      </c>
      <c r="AW604">
        <v>1</v>
      </c>
      <c r="AX604" s="40">
        <v>0</v>
      </c>
      <c r="AY604" t="s">
        <v>107</v>
      </c>
      <c r="AZ604" s="40" t="s">
        <v>107</v>
      </c>
      <c r="BB604" s="18"/>
      <c r="BC604" t="s">
        <v>107</v>
      </c>
      <c r="BD604" s="18" t="s">
        <v>107</v>
      </c>
      <c r="BE604" s="18" t="s">
        <v>343</v>
      </c>
      <c r="BL604" s="18"/>
      <c r="BO604" s="18"/>
      <c r="BR604" s="25">
        <v>39.1</v>
      </c>
      <c r="BS604">
        <v>1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0</v>
      </c>
      <c r="BZ604" s="18">
        <v>0</v>
      </c>
      <c r="CA604">
        <v>0</v>
      </c>
      <c r="CB604">
        <v>0</v>
      </c>
      <c r="CC604">
        <v>1</v>
      </c>
      <c r="CD604" s="18">
        <v>0</v>
      </c>
      <c r="CE604">
        <v>0</v>
      </c>
      <c r="CF604">
        <v>0</v>
      </c>
      <c r="CG604">
        <v>0</v>
      </c>
      <c r="CH604">
        <v>0</v>
      </c>
      <c r="CI604" s="18">
        <v>1</v>
      </c>
      <c r="CJ604">
        <v>1</v>
      </c>
      <c r="CK604">
        <v>1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>
        <v>0</v>
      </c>
      <c r="CT604" s="18">
        <v>1</v>
      </c>
      <c r="CZ604" s="34" t="s">
        <v>87</v>
      </c>
    </row>
    <row r="605" spans="1:104" x14ac:dyDescent="0.25">
      <c r="A605">
        <v>604</v>
      </c>
      <c r="B605">
        <v>39</v>
      </c>
      <c r="C605" s="25" t="s">
        <v>342</v>
      </c>
      <c r="D605" s="12">
        <v>10.27</v>
      </c>
      <c r="E605" s="14">
        <v>0.2</v>
      </c>
      <c r="F605" s="7">
        <f t="shared" ref="F605:F664" si="452">D605/E605</f>
        <v>51.349999999999994</v>
      </c>
      <c r="G605" s="7">
        <f t="shared" ref="G605:G664" si="453">D605-E605</f>
        <v>10.07</v>
      </c>
      <c r="H605" s="16">
        <f t="shared" ref="H605:H664" si="454">D605+E605</f>
        <v>10.469999999999999</v>
      </c>
      <c r="I605" s="11">
        <f t="shared" si="419"/>
        <v>0.46541974434467898</v>
      </c>
      <c r="J605" s="33">
        <f t="shared" si="420"/>
        <v>9.0636756444922879E-3</v>
      </c>
      <c r="K605" s="33">
        <f t="shared" ref="K605:K611" si="455">IFERROR(1/J605, "X")</f>
        <v>110.3305148179777</v>
      </c>
      <c r="L605" s="33">
        <f t="shared" ref="L605:L611" si="456">IFERROR(I605-J605, "X")</f>
        <v>0.45635606870018669</v>
      </c>
      <c r="M605" s="33">
        <f t="shared" ref="M605:M611" si="457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51"/>
        <v>9536</v>
      </c>
      <c r="Y605" s="7">
        <f t="shared" si="449"/>
        <v>9.4307999999999996</v>
      </c>
      <c r="Z605" s="7">
        <f t="shared" si="445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9">
        <v>0</v>
      </c>
      <c r="AL605" s="30">
        <v>1</v>
      </c>
      <c r="AM605" s="21">
        <v>2001</v>
      </c>
      <c r="AN605" s="23"/>
      <c r="AO605" s="33">
        <v>0.13719999999999999</v>
      </c>
      <c r="AP605" s="33">
        <f t="shared" si="450"/>
        <v>0.2238</v>
      </c>
      <c r="AQ605" s="33">
        <v>0.28599999999999998</v>
      </c>
      <c r="AR605" s="43">
        <v>0.35299999999999998</v>
      </c>
      <c r="AS605" s="33" t="s">
        <v>107</v>
      </c>
      <c r="AT605" s="43" t="s">
        <v>107</v>
      </c>
      <c r="AU605" s="42">
        <v>1</v>
      </c>
      <c r="AV605" s="18">
        <v>0</v>
      </c>
      <c r="AW605">
        <v>0</v>
      </c>
      <c r="AX605" s="40">
        <v>1</v>
      </c>
      <c r="AY605" t="s">
        <v>107</v>
      </c>
      <c r="AZ605" s="40" t="s">
        <v>107</v>
      </c>
      <c r="BB605" s="18"/>
      <c r="BC605" t="s">
        <v>107</v>
      </c>
      <c r="BD605" s="18" t="s">
        <v>107</v>
      </c>
      <c r="BE605" s="18" t="s">
        <v>343</v>
      </c>
      <c r="BL605" s="18"/>
      <c r="BO605" s="18"/>
      <c r="BR605" s="25">
        <v>39.1</v>
      </c>
      <c r="BS605">
        <v>1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0</v>
      </c>
      <c r="BZ605" s="18">
        <v>0</v>
      </c>
      <c r="CA605">
        <v>0</v>
      </c>
      <c r="CB605">
        <v>0</v>
      </c>
      <c r="CC605">
        <v>1</v>
      </c>
      <c r="CD605" s="18">
        <v>0</v>
      </c>
      <c r="CE605">
        <v>0</v>
      </c>
      <c r="CF605">
        <v>0</v>
      </c>
      <c r="CG605">
        <v>0</v>
      </c>
      <c r="CH605">
        <v>0</v>
      </c>
      <c r="CI605" s="18">
        <v>1</v>
      </c>
      <c r="CJ605">
        <v>1</v>
      </c>
      <c r="CK605">
        <v>1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>
        <v>0</v>
      </c>
      <c r="CT605" s="18">
        <v>1</v>
      </c>
      <c r="CZ605" s="34" t="s">
        <v>87</v>
      </c>
    </row>
    <row r="606" spans="1:104" x14ac:dyDescent="0.25">
      <c r="A606">
        <v>605</v>
      </c>
      <c r="B606">
        <v>39</v>
      </c>
      <c r="C606" s="25" t="s">
        <v>342</v>
      </c>
      <c r="D606" s="12">
        <v>6.91</v>
      </c>
      <c r="E606" s="14">
        <v>0.3</v>
      </c>
      <c r="F606" s="7">
        <f t="shared" si="452"/>
        <v>23.033333333333335</v>
      </c>
      <c r="G606" s="7">
        <f t="shared" si="453"/>
        <v>6.61</v>
      </c>
      <c r="H606" s="16">
        <f t="shared" si="454"/>
        <v>7.21</v>
      </c>
      <c r="I606" s="11">
        <f t="shared" si="419"/>
        <v>0.22459486425879843</v>
      </c>
      <c r="J606" s="33">
        <f t="shared" si="420"/>
        <v>9.7508624135513068E-3</v>
      </c>
      <c r="K606" s="33">
        <f t="shared" si="455"/>
        <v>102.55503129756454</v>
      </c>
      <c r="L606" s="33">
        <f t="shared" si="456"/>
        <v>0.21484400184524713</v>
      </c>
      <c r="M606" s="33">
        <f t="shared" si="457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51"/>
        <v>9987</v>
      </c>
      <c r="Y606" s="7">
        <f t="shared" si="449"/>
        <v>9.4307999999999996</v>
      </c>
      <c r="Z606" s="7">
        <f t="shared" si="445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9">
        <v>0</v>
      </c>
      <c r="AL606" s="30">
        <v>1</v>
      </c>
      <c r="AM606" s="21">
        <v>2001</v>
      </c>
      <c r="AN606" s="23"/>
      <c r="AO606" s="33">
        <v>0.13719999999999999</v>
      </c>
      <c r="AP606" s="33">
        <f t="shared" si="450"/>
        <v>0.2238</v>
      </c>
      <c r="AQ606" s="33">
        <v>0.28599999999999998</v>
      </c>
      <c r="AR606" s="43">
        <v>0.35299999999999998</v>
      </c>
      <c r="AS606" s="33" t="s">
        <v>107</v>
      </c>
      <c r="AT606" s="43" t="s">
        <v>107</v>
      </c>
      <c r="AU606" s="42">
        <v>1</v>
      </c>
      <c r="AV606" s="18">
        <v>0</v>
      </c>
      <c r="AW606">
        <v>1</v>
      </c>
      <c r="AX606" s="40">
        <v>0</v>
      </c>
      <c r="AY606" t="s">
        <v>107</v>
      </c>
      <c r="AZ606" s="40" t="s">
        <v>107</v>
      </c>
      <c r="BB606" s="18"/>
      <c r="BC606" t="s">
        <v>107</v>
      </c>
      <c r="BD606" s="18" t="s">
        <v>107</v>
      </c>
      <c r="BE606" s="18" t="s">
        <v>343</v>
      </c>
      <c r="BL606" s="18"/>
      <c r="BO606" s="18"/>
      <c r="BR606" s="25">
        <v>39.1</v>
      </c>
      <c r="BS606">
        <v>1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0</v>
      </c>
      <c r="BZ606" s="18">
        <v>0</v>
      </c>
      <c r="CA606">
        <v>0</v>
      </c>
      <c r="CB606">
        <v>0</v>
      </c>
      <c r="CC606">
        <v>1</v>
      </c>
      <c r="CD606" s="18">
        <v>0</v>
      </c>
      <c r="CE606">
        <v>0</v>
      </c>
      <c r="CF606">
        <v>0</v>
      </c>
      <c r="CG606">
        <v>0</v>
      </c>
      <c r="CH606">
        <v>0</v>
      </c>
      <c r="CI606" s="18">
        <v>1</v>
      </c>
      <c r="CJ606">
        <v>1</v>
      </c>
      <c r="CK606">
        <v>1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>
        <v>0</v>
      </c>
      <c r="CT606" s="18">
        <v>1</v>
      </c>
      <c r="CZ606" s="34" t="s">
        <v>87</v>
      </c>
    </row>
    <row r="607" spans="1:104" x14ac:dyDescent="0.25">
      <c r="A607">
        <v>606</v>
      </c>
      <c r="B607">
        <v>39</v>
      </c>
      <c r="C607" s="25" t="s">
        <v>342</v>
      </c>
      <c r="D607" s="12">
        <v>10.32</v>
      </c>
      <c r="E607" s="14">
        <v>0.2</v>
      </c>
      <c r="F607" s="7">
        <f t="shared" si="452"/>
        <v>51.6</v>
      </c>
      <c r="G607" s="7">
        <f t="shared" si="453"/>
        <v>10.120000000000001</v>
      </c>
      <c r="H607" s="16">
        <f t="shared" si="454"/>
        <v>10.52</v>
      </c>
      <c r="I607" s="11">
        <f t="shared" si="419"/>
        <v>0.46719202238124941</v>
      </c>
      <c r="J607" s="33">
        <f t="shared" si="420"/>
        <v>9.0541089608769266E-3</v>
      </c>
      <c r="K607" s="33">
        <f t="shared" si="455"/>
        <v>110.44709140579484</v>
      </c>
      <c r="L607" s="33">
        <f t="shared" si="456"/>
        <v>0.45813791342037247</v>
      </c>
      <c r="M607" s="33">
        <f t="shared" si="457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51"/>
        <v>9536</v>
      </c>
      <c r="Y607" s="7">
        <f t="shared" si="449"/>
        <v>9.4307999999999996</v>
      </c>
      <c r="Z607" s="7">
        <f t="shared" si="445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9">
        <v>0</v>
      </c>
      <c r="AL607" s="30">
        <v>1</v>
      </c>
      <c r="AM607" s="21">
        <v>2001</v>
      </c>
      <c r="AN607" s="23"/>
      <c r="AO607" s="33">
        <v>0.13719999999999999</v>
      </c>
      <c r="AP607" s="33">
        <f t="shared" si="450"/>
        <v>0.2238</v>
      </c>
      <c r="AQ607" s="33">
        <v>0.28599999999999998</v>
      </c>
      <c r="AR607" s="43">
        <v>0.35299999999999998</v>
      </c>
      <c r="AS607" s="33" t="s">
        <v>107</v>
      </c>
      <c r="AT607" s="43" t="s">
        <v>107</v>
      </c>
      <c r="AU607" s="42">
        <v>1</v>
      </c>
      <c r="AV607" s="18">
        <v>0</v>
      </c>
      <c r="AW607">
        <v>0</v>
      </c>
      <c r="AX607" s="40">
        <v>1</v>
      </c>
      <c r="AY607" t="s">
        <v>107</v>
      </c>
      <c r="AZ607" s="40" t="s">
        <v>107</v>
      </c>
      <c r="BB607" s="18"/>
      <c r="BC607" t="s">
        <v>107</v>
      </c>
      <c r="BD607" s="18" t="s">
        <v>107</v>
      </c>
      <c r="BE607" s="18" t="s">
        <v>343</v>
      </c>
      <c r="BL607" s="18"/>
      <c r="BO607" s="18"/>
      <c r="BR607" s="25">
        <v>39.1</v>
      </c>
      <c r="BS607">
        <v>1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0</v>
      </c>
      <c r="BZ607" s="18">
        <v>0</v>
      </c>
      <c r="CA607">
        <v>0</v>
      </c>
      <c r="CB607">
        <v>0</v>
      </c>
      <c r="CC607">
        <v>1</v>
      </c>
      <c r="CD607" s="18">
        <v>0</v>
      </c>
      <c r="CE607">
        <v>0</v>
      </c>
      <c r="CF607">
        <v>0</v>
      </c>
      <c r="CG607">
        <v>0</v>
      </c>
      <c r="CH607">
        <v>0</v>
      </c>
      <c r="CI607" s="18">
        <v>1</v>
      </c>
      <c r="CJ607">
        <v>1</v>
      </c>
      <c r="CK607">
        <v>1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>
        <v>0</v>
      </c>
      <c r="CT607" s="18">
        <v>1</v>
      </c>
      <c r="CZ607" s="34" t="s">
        <v>87</v>
      </c>
    </row>
    <row r="608" spans="1:104" x14ac:dyDescent="0.25">
      <c r="A608">
        <v>607</v>
      </c>
      <c r="B608">
        <v>39</v>
      </c>
      <c r="C608" s="25" t="s">
        <v>342</v>
      </c>
      <c r="D608" s="12">
        <v>5.14</v>
      </c>
      <c r="E608" s="14">
        <v>0.8</v>
      </c>
      <c r="F608" s="7">
        <f t="shared" si="452"/>
        <v>6.4249999999999989</v>
      </c>
      <c r="G608" s="7">
        <f t="shared" si="453"/>
        <v>4.34</v>
      </c>
      <c r="H608" s="16">
        <f t="shared" si="454"/>
        <v>5.9399999999999995</v>
      </c>
      <c r="I608" s="11">
        <f t="shared" si="419"/>
        <v>0.15383847057732292</v>
      </c>
      <c r="J608" s="33">
        <f t="shared" si="420"/>
        <v>2.3943730829155321E-2</v>
      </c>
      <c r="K608" s="33">
        <f t="shared" si="455"/>
        <v>41.76458577551081</v>
      </c>
      <c r="L608" s="33">
        <f t="shared" si="456"/>
        <v>0.12989473974816759</v>
      </c>
      <c r="M608" s="33">
        <f t="shared" si="457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51"/>
        <v>1703</v>
      </c>
      <c r="Y608" s="7">
        <f t="shared" si="449"/>
        <v>9.4307999999999996</v>
      </c>
      <c r="Z608" s="7">
        <f t="shared" si="445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9">
        <v>0</v>
      </c>
      <c r="AL608" s="30">
        <v>1</v>
      </c>
      <c r="AM608" s="21">
        <v>2001</v>
      </c>
      <c r="AN608" s="23"/>
      <c r="AO608" s="33">
        <v>0.13719999999999999</v>
      </c>
      <c r="AP608" s="33">
        <f t="shared" si="450"/>
        <v>0.2238</v>
      </c>
      <c r="AQ608" s="33">
        <v>0.28599999999999998</v>
      </c>
      <c r="AR608" s="43">
        <v>0.35299999999999998</v>
      </c>
      <c r="AS608" s="33" t="s">
        <v>107</v>
      </c>
      <c r="AT608" s="43" t="s">
        <v>107</v>
      </c>
      <c r="AU608" s="42">
        <v>0</v>
      </c>
      <c r="AV608" s="18">
        <v>1</v>
      </c>
      <c r="AW608">
        <v>1</v>
      </c>
      <c r="AX608" s="40">
        <v>0</v>
      </c>
      <c r="AY608" t="s">
        <v>107</v>
      </c>
      <c r="AZ608" s="40" t="s">
        <v>107</v>
      </c>
      <c r="BB608" s="18"/>
      <c r="BC608" t="s">
        <v>107</v>
      </c>
      <c r="BD608" s="18" t="s">
        <v>107</v>
      </c>
      <c r="BE608" s="18" t="s">
        <v>343</v>
      </c>
      <c r="BL608" s="18"/>
      <c r="BO608" s="18"/>
      <c r="BR608" s="25">
        <v>39.1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1</v>
      </c>
      <c r="BY608">
        <v>0</v>
      </c>
      <c r="BZ608" s="18">
        <v>0</v>
      </c>
      <c r="CA608">
        <v>0</v>
      </c>
      <c r="CB608">
        <v>1</v>
      </c>
      <c r="CC608">
        <v>0</v>
      </c>
      <c r="CD608" s="18">
        <v>0</v>
      </c>
      <c r="CE608">
        <v>0</v>
      </c>
      <c r="CF608">
        <v>0</v>
      </c>
      <c r="CG608">
        <v>0</v>
      </c>
      <c r="CH608">
        <v>0</v>
      </c>
      <c r="CI608" s="18">
        <v>1</v>
      </c>
      <c r="CJ608">
        <v>1</v>
      </c>
      <c r="CK608">
        <v>1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 s="18">
        <v>1</v>
      </c>
      <c r="CZ608" s="34" t="s">
        <v>87</v>
      </c>
    </row>
    <row r="609" spans="1:104" x14ac:dyDescent="0.25">
      <c r="A609">
        <v>608</v>
      </c>
      <c r="B609">
        <v>39</v>
      </c>
      <c r="C609" s="25" t="s">
        <v>342</v>
      </c>
      <c r="D609" s="12">
        <v>7.63</v>
      </c>
      <c r="E609" s="14">
        <v>1.5</v>
      </c>
      <c r="F609" s="7">
        <f t="shared" si="452"/>
        <v>5.0866666666666669</v>
      </c>
      <c r="G609" s="7">
        <f t="shared" si="453"/>
        <v>6.13</v>
      </c>
      <c r="H609" s="16">
        <f t="shared" si="454"/>
        <v>9.129999999999999</v>
      </c>
      <c r="I609" s="11">
        <f t="shared" si="419"/>
        <v>0.21215187684075204</v>
      </c>
      <c r="J609" s="33">
        <f t="shared" si="420"/>
        <v>4.1707446298968283E-2</v>
      </c>
      <c r="K609" s="33">
        <f t="shared" si="455"/>
        <v>23.976533898330214</v>
      </c>
      <c r="L609" s="33">
        <f t="shared" si="456"/>
        <v>0.17044443054178376</v>
      </c>
      <c r="M609" s="33">
        <f t="shared" si="457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51"/>
        <v>549</v>
      </c>
      <c r="Y609" s="7">
        <f t="shared" si="449"/>
        <v>9.4307999999999996</v>
      </c>
      <c r="Z609" s="7">
        <f t="shared" si="445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9">
        <v>0</v>
      </c>
      <c r="AL609" s="30">
        <v>1</v>
      </c>
      <c r="AM609" s="21">
        <v>2001</v>
      </c>
      <c r="AN609" s="23"/>
      <c r="AO609" s="33">
        <v>0.13719999999999999</v>
      </c>
      <c r="AP609" s="33">
        <f t="shared" si="450"/>
        <v>0.2238</v>
      </c>
      <c r="AQ609" s="33">
        <v>0.28599999999999998</v>
      </c>
      <c r="AR609" s="43">
        <v>0.35299999999999998</v>
      </c>
      <c r="AS609" s="33" t="s">
        <v>107</v>
      </c>
      <c r="AT609" s="43" t="s">
        <v>107</v>
      </c>
      <c r="AU609" s="42">
        <v>0</v>
      </c>
      <c r="AV609" s="18">
        <v>1</v>
      </c>
      <c r="AW609">
        <v>0</v>
      </c>
      <c r="AX609" s="40">
        <v>1</v>
      </c>
      <c r="AY609" t="s">
        <v>107</v>
      </c>
      <c r="AZ609" s="40" t="s">
        <v>107</v>
      </c>
      <c r="BB609" s="18"/>
      <c r="BC609" t="s">
        <v>107</v>
      </c>
      <c r="BD609" s="18" t="s">
        <v>107</v>
      </c>
      <c r="BE609" s="18" t="s">
        <v>343</v>
      </c>
      <c r="BL609" s="18"/>
      <c r="BO609" s="18"/>
      <c r="BR609" s="25">
        <v>39.1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1</v>
      </c>
      <c r="BY609">
        <v>0</v>
      </c>
      <c r="BZ609" s="18">
        <v>0</v>
      </c>
      <c r="CA609">
        <v>0</v>
      </c>
      <c r="CB609">
        <v>1</v>
      </c>
      <c r="CC609">
        <v>0</v>
      </c>
      <c r="CD609" s="18">
        <v>0</v>
      </c>
      <c r="CE609">
        <v>0</v>
      </c>
      <c r="CF609">
        <v>0</v>
      </c>
      <c r="CG609">
        <v>0</v>
      </c>
      <c r="CH609">
        <v>0</v>
      </c>
      <c r="CI609" s="18">
        <v>1</v>
      </c>
      <c r="CJ609">
        <v>1</v>
      </c>
      <c r="CK609">
        <v>1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 s="18">
        <v>1</v>
      </c>
      <c r="CZ609" s="34" t="s">
        <v>87</v>
      </c>
    </row>
    <row r="610" spans="1:104" x14ac:dyDescent="0.25">
      <c r="A610">
        <v>609</v>
      </c>
      <c r="B610">
        <v>39</v>
      </c>
      <c r="C610" s="25" t="s">
        <v>342</v>
      </c>
      <c r="D610" s="12">
        <v>5.52</v>
      </c>
      <c r="E610" s="14">
        <v>2.2000000000000002</v>
      </c>
      <c r="F610" s="7">
        <f t="shared" si="452"/>
        <v>2.5090909090909088</v>
      </c>
      <c r="G610" s="7">
        <f t="shared" si="453"/>
        <v>3.3199999999999994</v>
      </c>
      <c r="H610" s="16">
        <f t="shared" si="454"/>
        <v>7.72</v>
      </c>
      <c r="I610" s="11">
        <f t="shared" si="419"/>
        <v>6.0688697608351397E-2</v>
      </c>
      <c r="J610" s="33">
        <f t="shared" si="420"/>
        <v>2.4187524409125558E-2</v>
      </c>
      <c r="K610" s="33">
        <f t="shared" si="455"/>
        <v>41.34362752819451</v>
      </c>
      <c r="L610" s="33">
        <f t="shared" si="456"/>
        <v>3.6501173199225842E-2</v>
      </c>
      <c r="M610" s="33">
        <f t="shared" si="457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51"/>
        <v>1703</v>
      </c>
      <c r="Y610" s="7">
        <f t="shared" si="449"/>
        <v>9.4307999999999996</v>
      </c>
      <c r="Z610" s="7">
        <f t="shared" si="445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9">
        <v>0</v>
      </c>
      <c r="AL610" s="30">
        <v>1</v>
      </c>
      <c r="AM610" s="21">
        <v>2001</v>
      </c>
      <c r="AN610" s="23"/>
      <c r="AO610" s="33">
        <v>0.13719999999999999</v>
      </c>
      <c r="AP610" s="33">
        <f t="shared" si="450"/>
        <v>0.2238</v>
      </c>
      <c r="AQ610" s="33">
        <v>0.28599999999999998</v>
      </c>
      <c r="AR610" s="43">
        <v>0.35299999999999998</v>
      </c>
      <c r="AS610" s="33" t="s">
        <v>107</v>
      </c>
      <c r="AT610" s="43" t="s">
        <v>107</v>
      </c>
      <c r="AU610" s="42">
        <v>0</v>
      </c>
      <c r="AV610" s="18">
        <v>1</v>
      </c>
      <c r="AW610">
        <v>1</v>
      </c>
      <c r="AX610" s="40">
        <v>0</v>
      </c>
      <c r="AY610" t="s">
        <v>107</v>
      </c>
      <c r="AZ610" s="40" t="s">
        <v>107</v>
      </c>
      <c r="BB610" s="18"/>
      <c r="BC610" t="s">
        <v>107</v>
      </c>
      <c r="BD610" s="18" t="s">
        <v>107</v>
      </c>
      <c r="BE610" s="18" t="s">
        <v>343</v>
      </c>
      <c r="BL610" s="18"/>
      <c r="BO610" s="18"/>
      <c r="BR610" s="25">
        <v>39.1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1</v>
      </c>
      <c r="BY610">
        <v>0</v>
      </c>
      <c r="BZ610" s="18">
        <v>0</v>
      </c>
      <c r="CA610">
        <v>0</v>
      </c>
      <c r="CB610">
        <v>1</v>
      </c>
      <c r="CC610">
        <v>0</v>
      </c>
      <c r="CD610" s="18">
        <v>0</v>
      </c>
      <c r="CE610">
        <v>0</v>
      </c>
      <c r="CF610">
        <v>0</v>
      </c>
      <c r="CG610">
        <v>0</v>
      </c>
      <c r="CH610">
        <v>0</v>
      </c>
      <c r="CI610" s="18">
        <v>1</v>
      </c>
      <c r="CJ610">
        <v>1</v>
      </c>
      <c r="CK610">
        <v>1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 s="18">
        <v>1</v>
      </c>
      <c r="CZ610" s="34" t="s">
        <v>87</v>
      </c>
    </row>
    <row r="611" spans="1:104" x14ac:dyDescent="0.25">
      <c r="A611">
        <v>610</v>
      </c>
      <c r="B611">
        <v>39</v>
      </c>
      <c r="C611" s="25" t="s">
        <v>342</v>
      </c>
      <c r="D611" s="12">
        <v>7.84</v>
      </c>
      <c r="E611" s="14">
        <v>6.6</v>
      </c>
      <c r="F611" s="7">
        <f t="shared" si="452"/>
        <v>1.187878787878788</v>
      </c>
      <c r="G611" s="7">
        <f t="shared" si="453"/>
        <v>1.2400000000000002</v>
      </c>
      <c r="H611" s="16">
        <f t="shared" si="454"/>
        <v>14.44</v>
      </c>
      <c r="I611" s="11">
        <f t="shared" si="419"/>
        <v>5.0632404551922874E-2</v>
      </c>
      <c r="J611" s="33">
        <f t="shared" si="420"/>
        <v>4.2624218117690169E-2</v>
      </c>
      <c r="K611" s="33">
        <f t="shared" si="455"/>
        <v>23.460840905958431</v>
      </c>
      <c r="L611" s="33">
        <f t="shared" si="456"/>
        <v>8.0081864342327058E-3</v>
      </c>
      <c r="M611" s="33">
        <f t="shared" si="457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51"/>
        <v>549</v>
      </c>
      <c r="Y611" s="7">
        <f t="shared" si="449"/>
        <v>9.4307999999999996</v>
      </c>
      <c r="Z611" s="7">
        <f t="shared" si="445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9">
        <v>0</v>
      </c>
      <c r="AL611" s="30">
        <v>1</v>
      </c>
      <c r="AM611" s="21">
        <v>2001</v>
      </c>
      <c r="AN611" s="23"/>
      <c r="AO611" s="33">
        <v>0.13719999999999999</v>
      </c>
      <c r="AP611" s="33">
        <f t="shared" si="450"/>
        <v>0.2238</v>
      </c>
      <c r="AQ611" s="33">
        <v>0.28599999999999998</v>
      </c>
      <c r="AR611" s="43">
        <v>0.35299999999999998</v>
      </c>
      <c r="AS611" s="33" t="s">
        <v>107</v>
      </c>
      <c r="AT611" s="43" t="s">
        <v>107</v>
      </c>
      <c r="AU611" s="42">
        <v>0</v>
      </c>
      <c r="AV611" s="18">
        <v>1</v>
      </c>
      <c r="AW611">
        <v>0</v>
      </c>
      <c r="AX611" s="40">
        <v>1</v>
      </c>
      <c r="AY611" t="s">
        <v>107</v>
      </c>
      <c r="AZ611" s="40" t="s">
        <v>107</v>
      </c>
      <c r="BB611" s="18"/>
      <c r="BC611" t="s">
        <v>107</v>
      </c>
      <c r="BD611" s="18" t="s">
        <v>107</v>
      </c>
      <c r="BE611" s="18" t="s">
        <v>343</v>
      </c>
      <c r="BL611" s="18"/>
      <c r="BO611" s="18"/>
      <c r="BR611" s="25">
        <v>39.1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1</v>
      </c>
      <c r="BY611">
        <v>0</v>
      </c>
      <c r="BZ611" s="18">
        <v>0</v>
      </c>
      <c r="CA611">
        <v>0</v>
      </c>
      <c r="CB611">
        <v>1</v>
      </c>
      <c r="CC611">
        <v>0</v>
      </c>
      <c r="CD611" s="18">
        <v>0</v>
      </c>
      <c r="CE611">
        <v>0</v>
      </c>
      <c r="CF611">
        <v>0</v>
      </c>
      <c r="CG611">
        <v>0</v>
      </c>
      <c r="CH611">
        <v>0</v>
      </c>
      <c r="CI611" s="18">
        <v>1</v>
      </c>
      <c r="CJ611">
        <v>1</v>
      </c>
      <c r="CK611">
        <v>1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 s="18">
        <v>1</v>
      </c>
      <c r="CZ611" s="34" t="s">
        <v>87</v>
      </c>
    </row>
    <row r="612" spans="1:104" x14ac:dyDescent="0.25">
      <c r="A612">
        <v>611</v>
      </c>
      <c r="B612">
        <v>39</v>
      </c>
      <c r="C612" s="25" t="s">
        <v>342</v>
      </c>
      <c r="D612" s="12">
        <v>10.7</v>
      </c>
      <c r="E612" s="14">
        <v>0.7</v>
      </c>
      <c r="F612" s="7">
        <f t="shared" si="452"/>
        <v>15.285714285714286</v>
      </c>
      <c r="G612" s="7">
        <f t="shared" si="453"/>
        <v>10</v>
      </c>
      <c r="H612" s="16">
        <f t="shared" si="454"/>
        <v>11.399999999999999</v>
      </c>
      <c r="I612" s="11">
        <f t="shared" si="419"/>
        <v>0.26231557764971181</v>
      </c>
      <c r="J612" s="33">
        <f t="shared" si="420"/>
        <v>1.7160832182691425E-2</v>
      </c>
      <c r="K612" s="33">
        <f t="shared" ref="K612:K628" si="458">IFERROR(1/J612, "X")</f>
        <v>58.272232334315888</v>
      </c>
      <c r="L612" s="33">
        <f t="shared" ref="L612:L628" si="459">IFERROR(I612-J612, "X")</f>
        <v>0.24515474546702037</v>
      </c>
      <c r="M612" s="33">
        <f t="shared" ref="M612:M628" si="460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51"/>
        <v>3162</v>
      </c>
      <c r="Y612" s="7">
        <f t="shared" si="449"/>
        <v>9.4307999999999996</v>
      </c>
      <c r="Z612" s="7">
        <f t="shared" si="445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9">
        <v>0</v>
      </c>
      <c r="AL612" s="30">
        <v>1</v>
      </c>
      <c r="AM612" s="21">
        <v>2001</v>
      </c>
      <c r="AN612" s="23"/>
      <c r="AO612" s="33">
        <v>0.13719999999999999</v>
      </c>
      <c r="AP612" s="33">
        <f t="shared" si="450"/>
        <v>0.2238</v>
      </c>
      <c r="AQ612" s="33">
        <v>0.28599999999999998</v>
      </c>
      <c r="AR612" s="43">
        <v>0.35299999999999998</v>
      </c>
      <c r="AS612" s="33" t="s">
        <v>107</v>
      </c>
      <c r="AT612" s="43" t="s">
        <v>107</v>
      </c>
      <c r="AU612" s="42">
        <v>0.56999999999999995</v>
      </c>
      <c r="AV612" s="18">
        <v>0.43</v>
      </c>
      <c r="AW612">
        <v>0</v>
      </c>
      <c r="AX612" s="40">
        <v>1</v>
      </c>
      <c r="AY612" t="s">
        <v>107</v>
      </c>
      <c r="AZ612" s="40" t="s">
        <v>107</v>
      </c>
      <c r="BB612" s="18"/>
      <c r="BC612" t="s">
        <v>107</v>
      </c>
      <c r="BD612" s="18" t="s">
        <v>107</v>
      </c>
      <c r="BE612" s="18" t="s">
        <v>343</v>
      </c>
      <c r="BL612" s="18"/>
      <c r="BO612" s="18"/>
      <c r="BR612" s="25">
        <v>39.1</v>
      </c>
      <c r="BS612">
        <v>1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 s="18">
        <v>0</v>
      </c>
      <c r="CA612">
        <v>1</v>
      </c>
      <c r="CB612">
        <v>0</v>
      </c>
      <c r="CC612">
        <v>0</v>
      </c>
      <c r="CD612" s="18">
        <v>0</v>
      </c>
      <c r="CE612">
        <v>0</v>
      </c>
      <c r="CF612">
        <v>0</v>
      </c>
      <c r="CG612">
        <v>0</v>
      </c>
      <c r="CH612">
        <v>0</v>
      </c>
      <c r="CI612" s="18">
        <v>0</v>
      </c>
      <c r="CJ612">
        <v>1</v>
      </c>
      <c r="CK612">
        <v>1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 s="18">
        <v>0</v>
      </c>
      <c r="CZ612" s="34" t="s">
        <v>87</v>
      </c>
    </row>
    <row r="613" spans="1:104" x14ac:dyDescent="0.25">
      <c r="A613">
        <v>612</v>
      </c>
      <c r="B613">
        <v>39</v>
      </c>
      <c r="C613" s="25" t="s">
        <v>342</v>
      </c>
      <c r="D613" s="12">
        <v>6.1</v>
      </c>
      <c r="E613" s="14">
        <v>0.6</v>
      </c>
      <c r="F613" s="7">
        <f t="shared" si="452"/>
        <v>10.166666666666666</v>
      </c>
      <c r="G613" s="7">
        <f t="shared" si="453"/>
        <v>5.5</v>
      </c>
      <c r="H613" s="16">
        <f t="shared" si="454"/>
        <v>6.6999999999999993</v>
      </c>
      <c r="I613" s="11">
        <f t="shared" si="419"/>
        <v>0.22306045616761169</v>
      </c>
      <c r="J613" s="33">
        <f t="shared" si="420"/>
        <v>2.1940372737797871E-2</v>
      </c>
      <c r="K613" s="33">
        <f t="shared" si="458"/>
        <v>45.578077088783715</v>
      </c>
      <c r="L613" s="33">
        <f t="shared" si="459"/>
        <v>0.20112008342981383</v>
      </c>
      <c r="M613" s="33">
        <f t="shared" si="460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61">U613-V613-1</f>
        <v>1974</v>
      </c>
      <c r="Y613" s="7">
        <f t="shared" si="449"/>
        <v>9.4307999999999996</v>
      </c>
      <c r="Z613" s="7">
        <f t="shared" si="445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9">
        <v>0</v>
      </c>
      <c r="AL613" s="30">
        <v>1</v>
      </c>
      <c r="AM613" s="21">
        <v>2001</v>
      </c>
      <c r="AN613" s="23"/>
      <c r="AO613" s="33">
        <v>0.13719999999999999</v>
      </c>
      <c r="AP613" s="33">
        <f t="shared" si="450"/>
        <v>0.2238</v>
      </c>
      <c r="AQ613" s="33">
        <v>0.28599999999999998</v>
      </c>
      <c r="AR613" s="43">
        <v>0.35299999999999998</v>
      </c>
      <c r="AS613" s="33" t="s">
        <v>107</v>
      </c>
      <c r="AT613" s="43" t="s">
        <v>107</v>
      </c>
      <c r="AU613" s="42">
        <v>0.56999999999999995</v>
      </c>
      <c r="AV613" s="18">
        <v>0.43</v>
      </c>
      <c r="AW613">
        <v>1</v>
      </c>
      <c r="AX613" s="40">
        <v>0</v>
      </c>
      <c r="AY613" t="s">
        <v>107</v>
      </c>
      <c r="AZ613" s="40" t="s">
        <v>107</v>
      </c>
      <c r="BB613" s="18"/>
      <c r="BC613" t="s">
        <v>107</v>
      </c>
      <c r="BD613" s="18" t="s">
        <v>107</v>
      </c>
      <c r="BE613" s="18" t="s">
        <v>343</v>
      </c>
      <c r="BL613" s="18"/>
      <c r="BO613" s="18"/>
      <c r="BR613" s="25">
        <v>39.1</v>
      </c>
      <c r="BS613">
        <v>1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 s="18">
        <v>0</v>
      </c>
      <c r="CA613">
        <v>1</v>
      </c>
      <c r="CB613">
        <v>0</v>
      </c>
      <c r="CC613">
        <v>0</v>
      </c>
      <c r="CD613" s="18">
        <v>0</v>
      </c>
      <c r="CE613">
        <v>0</v>
      </c>
      <c r="CF613">
        <v>0</v>
      </c>
      <c r="CG613">
        <v>0</v>
      </c>
      <c r="CH613">
        <v>0</v>
      </c>
      <c r="CI613" s="18">
        <v>0</v>
      </c>
      <c r="CJ613">
        <v>1</v>
      </c>
      <c r="CK613">
        <v>1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 s="18">
        <v>0</v>
      </c>
      <c r="CZ613" s="34" t="s">
        <v>87</v>
      </c>
    </row>
    <row r="614" spans="1:104" x14ac:dyDescent="0.25">
      <c r="A614">
        <v>613</v>
      </c>
      <c r="B614">
        <v>39</v>
      </c>
      <c r="C614" s="25" t="s">
        <v>342</v>
      </c>
      <c r="D614" s="12">
        <v>10.7</v>
      </c>
      <c r="E614" s="14">
        <v>0.7</v>
      </c>
      <c r="F614" s="7">
        <f t="shared" si="452"/>
        <v>15.285714285714286</v>
      </c>
      <c r="G614" s="7">
        <f t="shared" si="453"/>
        <v>10</v>
      </c>
      <c r="H614" s="16">
        <f t="shared" si="454"/>
        <v>11.399999999999999</v>
      </c>
      <c r="I614" s="11">
        <f t="shared" si="419"/>
        <v>0.26231557764971181</v>
      </c>
      <c r="J614" s="33">
        <f t="shared" si="420"/>
        <v>1.7160832182691425E-2</v>
      </c>
      <c r="K614" s="33">
        <f t="shared" si="458"/>
        <v>58.272232334315888</v>
      </c>
      <c r="L614" s="33">
        <f t="shared" si="459"/>
        <v>0.24515474546702037</v>
      </c>
      <c r="M614" s="33">
        <f t="shared" si="460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61"/>
        <v>3162</v>
      </c>
      <c r="Y614" s="7">
        <f t="shared" si="449"/>
        <v>9.4307999999999996</v>
      </c>
      <c r="Z614" s="7">
        <f t="shared" si="445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9">
        <v>0</v>
      </c>
      <c r="AL614" s="30">
        <v>1</v>
      </c>
      <c r="AM614" s="21">
        <v>2001</v>
      </c>
      <c r="AN614" s="23"/>
      <c r="AO614" s="33">
        <v>0.13719999999999999</v>
      </c>
      <c r="AP614" s="33">
        <f t="shared" si="450"/>
        <v>0.2238</v>
      </c>
      <c r="AQ614" s="33">
        <v>0.28599999999999998</v>
      </c>
      <c r="AR614" s="43">
        <v>0.35299999999999998</v>
      </c>
      <c r="AS614" s="33" t="s">
        <v>107</v>
      </c>
      <c r="AT614" s="43" t="s">
        <v>107</v>
      </c>
      <c r="AU614" s="42">
        <v>0.56999999999999995</v>
      </c>
      <c r="AV614" s="18">
        <v>0.43</v>
      </c>
      <c r="AW614">
        <v>0</v>
      </c>
      <c r="AX614" s="40">
        <v>1</v>
      </c>
      <c r="AY614" t="s">
        <v>107</v>
      </c>
      <c r="AZ614" s="40" t="s">
        <v>107</v>
      </c>
      <c r="BB614" s="18"/>
      <c r="BC614" t="s">
        <v>107</v>
      </c>
      <c r="BD614" s="18" t="s">
        <v>107</v>
      </c>
      <c r="BE614" s="18" t="s">
        <v>343</v>
      </c>
      <c r="BL614" s="18"/>
      <c r="BO614" s="18"/>
      <c r="BR614" s="25">
        <v>39.1</v>
      </c>
      <c r="BS614">
        <v>1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 s="18">
        <v>0</v>
      </c>
      <c r="CA614">
        <v>1</v>
      </c>
      <c r="CB614">
        <v>0</v>
      </c>
      <c r="CC614">
        <v>0</v>
      </c>
      <c r="CD614" s="18">
        <v>0</v>
      </c>
      <c r="CE614">
        <v>0</v>
      </c>
      <c r="CF614">
        <v>0</v>
      </c>
      <c r="CG614">
        <v>0</v>
      </c>
      <c r="CH614">
        <v>0</v>
      </c>
      <c r="CI614" s="18">
        <v>0</v>
      </c>
      <c r="CJ614">
        <v>1</v>
      </c>
      <c r="CK614">
        <v>1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 s="18">
        <v>0</v>
      </c>
      <c r="CZ614" s="34" t="s">
        <v>87</v>
      </c>
    </row>
    <row r="615" spans="1:104" x14ac:dyDescent="0.25">
      <c r="A615">
        <v>614</v>
      </c>
      <c r="B615">
        <v>39</v>
      </c>
      <c r="C615" s="25" t="s">
        <v>342</v>
      </c>
      <c r="D615" s="12">
        <v>6.1</v>
      </c>
      <c r="E615" s="14">
        <v>0.6</v>
      </c>
      <c r="F615" s="7">
        <f t="shared" si="452"/>
        <v>10.166666666666666</v>
      </c>
      <c r="G615" s="7">
        <f t="shared" si="453"/>
        <v>5.5</v>
      </c>
      <c r="H615" s="16">
        <f t="shared" si="454"/>
        <v>6.6999999999999993</v>
      </c>
      <c r="I615" s="11">
        <f t="shared" si="419"/>
        <v>0.22306045616761169</v>
      </c>
      <c r="J615" s="33">
        <f t="shared" si="420"/>
        <v>2.1940372737797871E-2</v>
      </c>
      <c r="K615" s="33">
        <f t="shared" si="458"/>
        <v>45.578077088783715</v>
      </c>
      <c r="L615" s="33">
        <f t="shared" si="459"/>
        <v>0.20112008342981383</v>
      </c>
      <c r="M615" s="33">
        <f t="shared" si="460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61"/>
        <v>1974</v>
      </c>
      <c r="Y615" s="7">
        <f t="shared" si="449"/>
        <v>9.4307999999999996</v>
      </c>
      <c r="Z615" s="7">
        <f t="shared" si="445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9">
        <v>0</v>
      </c>
      <c r="AL615" s="30">
        <v>1</v>
      </c>
      <c r="AM615" s="21">
        <v>2001</v>
      </c>
      <c r="AN615" s="23"/>
      <c r="AO615" s="33">
        <v>0.13719999999999999</v>
      </c>
      <c r="AP615" s="33">
        <f t="shared" si="450"/>
        <v>0.2238</v>
      </c>
      <c r="AQ615" s="33">
        <v>0.28599999999999998</v>
      </c>
      <c r="AR615" s="43">
        <v>0.35299999999999998</v>
      </c>
      <c r="AS615" s="33" t="s">
        <v>107</v>
      </c>
      <c r="AT615" s="43" t="s">
        <v>107</v>
      </c>
      <c r="AU615" s="42">
        <v>0.56999999999999995</v>
      </c>
      <c r="AV615" s="18">
        <v>0.43</v>
      </c>
      <c r="AW615">
        <v>1</v>
      </c>
      <c r="AX615" s="40">
        <v>0</v>
      </c>
      <c r="AY615" t="s">
        <v>107</v>
      </c>
      <c r="AZ615" s="40" t="s">
        <v>107</v>
      </c>
      <c r="BB615" s="18"/>
      <c r="BC615" t="s">
        <v>107</v>
      </c>
      <c r="BD615" s="18" t="s">
        <v>107</v>
      </c>
      <c r="BE615" s="18" t="s">
        <v>343</v>
      </c>
      <c r="BL615" s="18"/>
      <c r="BO615" s="18"/>
      <c r="BR615" s="25">
        <v>39.1</v>
      </c>
      <c r="BS615">
        <v>1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 s="18">
        <v>0</v>
      </c>
      <c r="CA615">
        <v>1</v>
      </c>
      <c r="CB615">
        <v>0</v>
      </c>
      <c r="CC615">
        <v>0</v>
      </c>
      <c r="CD615" s="18">
        <v>0</v>
      </c>
      <c r="CE615">
        <v>0</v>
      </c>
      <c r="CF615">
        <v>0</v>
      </c>
      <c r="CG615">
        <v>0</v>
      </c>
      <c r="CH615">
        <v>0</v>
      </c>
      <c r="CI615" s="18">
        <v>0</v>
      </c>
      <c r="CJ615">
        <v>1</v>
      </c>
      <c r="CK615">
        <v>1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 s="18">
        <v>0</v>
      </c>
      <c r="CZ615" s="34" t="s">
        <v>87</v>
      </c>
    </row>
    <row r="616" spans="1:104" x14ac:dyDescent="0.25">
      <c r="A616">
        <v>615</v>
      </c>
      <c r="B616">
        <v>39</v>
      </c>
      <c r="C616" s="25" t="s">
        <v>342</v>
      </c>
      <c r="D616" s="12">
        <v>10.7</v>
      </c>
      <c r="E616" s="14">
        <v>0.7</v>
      </c>
      <c r="F616" s="7">
        <f t="shared" si="452"/>
        <v>15.285714285714286</v>
      </c>
      <c r="G616" s="7">
        <f t="shared" si="453"/>
        <v>10</v>
      </c>
      <c r="H616" s="16">
        <f t="shared" si="454"/>
        <v>11.399999999999999</v>
      </c>
      <c r="I616" s="11">
        <f t="shared" si="419"/>
        <v>0.26231557764971181</v>
      </c>
      <c r="J616" s="33">
        <f t="shared" si="420"/>
        <v>1.7160832182691425E-2</v>
      </c>
      <c r="K616" s="33">
        <f t="shared" si="458"/>
        <v>58.272232334315888</v>
      </c>
      <c r="L616" s="33">
        <f t="shared" si="459"/>
        <v>0.24515474546702037</v>
      </c>
      <c r="M616" s="33">
        <f t="shared" si="460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61"/>
        <v>3162</v>
      </c>
      <c r="Y616" s="7">
        <f t="shared" si="449"/>
        <v>9.4307999999999996</v>
      </c>
      <c r="Z616" s="7">
        <f t="shared" si="445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9">
        <v>0</v>
      </c>
      <c r="AL616" s="30">
        <v>1</v>
      </c>
      <c r="AM616" s="21">
        <v>2001</v>
      </c>
      <c r="AN616" s="23"/>
      <c r="AO616" s="33">
        <v>0.13719999999999999</v>
      </c>
      <c r="AP616" s="33">
        <f t="shared" si="450"/>
        <v>0.2238</v>
      </c>
      <c r="AQ616" s="33">
        <v>0.28599999999999998</v>
      </c>
      <c r="AR616" s="43">
        <v>0.35299999999999998</v>
      </c>
      <c r="AS616" s="33" t="s">
        <v>107</v>
      </c>
      <c r="AT616" s="43" t="s">
        <v>107</v>
      </c>
      <c r="AU616" s="42">
        <v>0.56999999999999995</v>
      </c>
      <c r="AV616" s="18">
        <v>0.43</v>
      </c>
      <c r="AW616">
        <v>0</v>
      </c>
      <c r="AX616" s="40">
        <v>1</v>
      </c>
      <c r="AY616" t="s">
        <v>107</v>
      </c>
      <c r="AZ616" s="40" t="s">
        <v>107</v>
      </c>
      <c r="BB616" s="18"/>
      <c r="BC616" t="s">
        <v>107</v>
      </c>
      <c r="BD616" s="18" t="s">
        <v>107</v>
      </c>
      <c r="BE616" s="18" t="s">
        <v>343</v>
      </c>
      <c r="BL616" s="18"/>
      <c r="BO616" s="18"/>
      <c r="BR616" s="25">
        <v>39.1</v>
      </c>
      <c r="BS616">
        <v>1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 s="18">
        <v>0</v>
      </c>
      <c r="CA616">
        <v>1</v>
      </c>
      <c r="CB616">
        <v>0</v>
      </c>
      <c r="CC616">
        <v>0</v>
      </c>
      <c r="CD616" s="18">
        <v>0</v>
      </c>
      <c r="CE616">
        <v>0</v>
      </c>
      <c r="CF616">
        <v>0</v>
      </c>
      <c r="CG616">
        <v>0</v>
      </c>
      <c r="CH616">
        <v>0</v>
      </c>
      <c r="CI616" s="18">
        <v>0</v>
      </c>
      <c r="CJ616">
        <v>1</v>
      </c>
      <c r="CK616">
        <v>1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 s="18">
        <v>0</v>
      </c>
      <c r="CZ616" s="34" t="s">
        <v>87</v>
      </c>
    </row>
    <row r="617" spans="1:104" x14ac:dyDescent="0.25">
      <c r="A617">
        <v>616</v>
      </c>
      <c r="B617">
        <v>39</v>
      </c>
      <c r="C617" s="25" t="s">
        <v>342</v>
      </c>
      <c r="D617" s="12">
        <v>6.1</v>
      </c>
      <c r="E617" s="14">
        <v>0.6</v>
      </c>
      <c r="F617" s="7">
        <f t="shared" si="452"/>
        <v>10.166666666666666</v>
      </c>
      <c r="G617" s="7">
        <f t="shared" si="453"/>
        <v>5.5</v>
      </c>
      <c r="H617" s="16">
        <f t="shared" si="454"/>
        <v>6.6999999999999993</v>
      </c>
      <c r="I617" s="11">
        <f t="shared" si="419"/>
        <v>0.22306045616761169</v>
      </c>
      <c r="J617" s="33">
        <f t="shared" si="420"/>
        <v>2.1940372737797871E-2</v>
      </c>
      <c r="K617" s="33">
        <f t="shared" si="458"/>
        <v>45.578077088783715</v>
      </c>
      <c r="L617" s="33">
        <f t="shared" si="459"/>
        <v>0.20112008342981383</v>
      </c>
      <c r="M617" s="33">
        <f t="shared" si="460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61"/>
        <v>1974</v>
      </c>
      <c r="Y617" s="7">
        <f t="shared" si="449"/>
        <v>9.4307999999999996</v>
      </c>
      <c r="Z617" s="7">
        <f t="shared" si="445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9">
        <v>0</v>
      </c>
      <c r="AL617" s="30">
        <v>1</v>
      </c>
      <c r="AM617" s="21">
        <v>2001</v>
      </c>
      <c r="AN617" s="23"/>
      <c r="AO617" s="33">
        <v>0.13719999999999999</v>
      </c>
      <c r="AP617" s="33">
        <f t="shared" si="450"/>
        <v>0.2238</v>
      </c>
      <c r="AQ617" s="33">
        <v>0.28599999999999998</v>
      </c>
      <c r="AR617" s="43">
        <v>0.35299999999999998</v>
      </c>
      <c r="AS617" s="33" t="s">
        <v>107</v>
      </c>
      <c r="AT617" s="43" t="s">
        <v>107</v>
      </c>
      <c r="AU617" s="42">
        <v>0.56999999999999995</v>
      </c>
      <c r="AV617" s="18">
        <v>0.43</v>
      </c>
      <c r="AW617">
        <v>1</v>
      </c>
      <c r="AX617" s="40">
        <v>0</v>
      </c>
      <c r="AY617" t="s">
        <v>107</v>
      </c>
      <c r="AZ617" s="40" t="s">
        <v>107</v>
      </c>
      <c r="BB617" s="18"/>
      <c r="BC617" t="s">
        <v>107</v>
      </c>
      <c r="BD617" s="18" t="s">
        <v>107</v>
      </c>
      <c r="BE617" s="18" t="s">
        <v>343</v>
      </c>
      <c r="BL617" s="18"/>
      <c r="BO617" s="18"/>
      <c r="BR617" s="25">
        <v>39.1</v>
      </c>
      <c r="BS617">
        <v>1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 s="18">
        <v>0</v>
      </c>
      <c r="CA617">
        <v>1</v>
      </c>
      <c r="CB617">
        <v>0</v>
      </c>
      <c r="CC617">
        <v>0</v>
      </c>
      <c r="CD617" s="18">
        <v>0</v>
      </c>
      <c r="CE617">
        <v>0</v>
      </c>
      <c r="CF617">
        <v>0</v>
      </c>
      <c r="CG617">
        <v>0</v>
      </c>
      <c r="CH617">
        <v>0</v>
      </c>
      <c r="CI617" s="18">
        <v>0</v>
      </c>
      <c r="CJ617">
        <v>1</v>
      </c>
      <c r="CK617">
        <v>1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 s="18">
        <v>0</v>
      </c>
      <c r="CZ617" s="34" t="s">
        <v>87</v>
      </c>
    </row>
    <row r="618" spans="1:104" x14ac:dyDescent="0.25">
      <c r="A618">
        <v>617</v>
      </c>
      <c r="B618">
        <v>39</v>
      </c>
      <c r="C618" s="25" t="s">
        <v>342</v>
      </c>
      <c r="D618" s="12">
        <v>10.6</v>
      </c>
      <c r="E618" s="14">
        <v>1.4</v>
      </c>
      <c r="F618" s="7">
        <f t="shared" si="452"/>
        <v>7.5714285714285721</v>
      </c>
      <c r="G618" s="7">
        <f t="shared" si="453"/>
        <v>9.1999999999999993</v>
      </c>
      <c r="H618" s="16">
        <f t="shared" si="454"/>
        <v>12</v>
      </c>
      <c r="I618" s="11">
        <f t="shared" si="419"/>
        <v>0.13344285198072434</v>
      </c>
      <c r="J618" s="33">
        <f t="shared" si="420"/>
        <v>1.7624527620095667E-2</v>
      </c>
      <c r="K618" s="33">
        <f t="shared" si="458"/>
        <v>56.739109356882267</v>
      </c>
      <c r="L618" s="33">
        <f t="shared" si="459"/>
        <v>0.11581832436062867</v>
      </c>
      <c r="M618" s="33">
        <f t="shared" si="460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61"/>
        <v>3162</v>
      </c>
      <c r="Y618" s="7">
        <f t="shared" si="449"/>
        <v>9.4307999999999996</v>
      </c>
      <c r="Z618" s="7">
        <f t="shared" si="445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9">
        <v>0</v>
      </c>
      <c r="AL618" s="30">
        <v>1</v>
      </c>
      <c r="AM618" s="21">
        <v>2001</v>
      </c>
      <c r="AN618" s="23"/>
      <c r="AO618" s="33">
        <v>0.13719999999999999</v>
      </c>
      <c r="AP618" s="33">
        <f t="shared" si="450"/>
        <v>0.2238</v>
      </c>
      <c r="AQ618" s="33">
        <v>0.28599999999999998</v>
      </c>
      <c r="AR618" s="43">
        <v>0.35299999999999998</v>
      </c>
      <c r="AS618" s="33" t="s">
        <v>107</v>
      </c>
      <c r="AT618" s="43" t="s">
        <v>107</v>
      </c>
      <c r="AU618" s="42">
        <v>0.56999999999999995</v>
      </c>
      <c r="AV618" s="18">
        <v>0.43</v>
      </c>
      <c r="AW618">
        <v>0</v>
      </c>
      <c r="AX618" s="40">
        <v>1</v>
      </c>
      <c r="AY618" t="s">
        <v>107</v>
      </c>
      <c r="AZ618" s="40" t="s">
        <v>107</v>
      </c>
      <c r="BB618" s="18"/>
      <c r="BC618" t="s">
        <v>107</v>
      </c>
      <c r="BD618" s="18" t="s">
        <v>107</v>
      </c>
      <c r="BE618" s="18" t="s">
        <v>343</v>
      </c>
      <c r="BL618" s="18"/>
      <c r="BO618" s="18"/>
      <c r="BR618" s="25">
        <v>39.1</v>
      </c>
      <c r="BS618">
        <v>1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 s="18">
        <v>0</v>
      </c>
      <c r="CA618">
        <v>1</v>
      </c>
      <c r="CB618">
        <v>0</v>
      </c>
      <c r="CC618">
        <v>0</v>
      </c>
      <c r="CD618" s="18">
        <v>0</v>
      </c>
      <c r="CE618">
        <v>0</v>
      </c>
      <c r="CF618">
        <v>0</v>
      </c>
      <c r="CG618">
        <v>0</v>
      </c>
      <c r="CH618">
        <v>0</v>
      </c>
      <c r="CI618" s="18">
        <v>0</v>
      </c>
      <c r="CJ618">
        <v>1</v>
      </c>
      <c r="CK618">
        <v>1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 s="18">
        <v>0</v>
      </c>
      <c r="CZ618" s="34" t="s">
        <v>87</v>
      </c>
    </row>
    <row r="619" spans="1:104" x14ac:dyDescent="0.25">
      <c r="A619">
        <v>618</v>
      </c>
      <c r="B619">
        <v>39</v>
      </c>
      <c r="C619" s="25" t="s">
        <v>342</v>
      </c>
      <c r="D619" s="12">
        <v>8.9</v>
      </c>
      <c r="E619" s="14">
        <v>0.9</v>
      </c>
      <c r="F619" s="7">
        <f t="shared" si="452"/>
        <v>9.8888888888888893</v>
      </c>
      <c r="G619" s="7">
        <f t="shared" si="453"/>
        <v>8</v>
      </c>
      <c r="H619" s="16">
        <f t="shared" si="454"/>
        <v>9.8000000000000007</v>
      </c>
      <c r="I619" s="11">
        <f t="shared" si="419"/>
        <v>0.21725742008147989</v>
      </c>
      <c r="J619" s="33">
        <f t="shared" si="420"/>
        <v>2.1969851468913698E-2</v>
      </c>
      <c r="K619" s="33">
        <f t="shared" si="458"/>
        <v>45.516921287108055</v>
      </c>
      <c r="L619" s="33">
        <f t="shared" si="459"/>
        <v>0.19528756861256619</v>
      </c>
      <c r="M619" s="33">
        <f t="shared" si="460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61"/>
        <v>1974</v>
      </c>
      <c r="Y619" s="7">
        <f t="shared" si="449"/>
        <v>9.4307999999999996</v>
      </c>
      <c r="Z619" s="7">
        <f t="shared" si="445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9">
        <v>0</v>
      </c>
      <c r="AL619" s="30">
        <v>1</v>
      </c>
      <c r="AM619" s="21">
        <v>2001</v>
      </c>
      <c r="AN619" s="23"/>
      <c r="AO619" s="33">
        <v>0.13719999999999999</v>
      </c>
      <c r="AP619" s="33">
        <f t="shared" si="450"/>
        <v>0.2238</v>
      </c>
      <c r="AQ619" s="33">
        <v>0.28599999999999998</v>
      </c>
      <c r="AR619" s="43">
        <v>0.35299999999999998</v>
      </c>
      <c r="AS619" s="33" t="s">
        <v>107</v>
      </c>
      <c r="AT619" s="43" t="s">
        <v>107</v>
      </c>
      <c r="AU619" s="42">
        <v>0.56999999999999995</v>
      </c>
      <c r="AV619" s="18">
        <v>0.43</v>
      </c>
      <c r="AW619">
        <v>1</v>
      </c>
      <c r="AX619" s="40">
        <v>0</v>
      </c>
      <c r="AY619" t="s">
        <v>107</v>
      </c>
      <c r="AZ619" s="40" t="s">
        <v>107</v>
      </c>
      <c r="BB619" s="18"/>
      <c r="BC619" t="s">
        <v>107</v>
      </c>
      <c r="BD619" s="18" t="s">
        <v>107</v>
      </c>
      <c r="BE619" s="18" t="s">
        <v>343</v>
      </c>
      <c r="BL619" s="18"/>
      <c r="BO619" s="18"/>
      <c r="BR619" s="25">
        <v>39.1</v>
      </c>
      <c r="BS619">
        <v>1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 s="18">
        <v>0</v>
      </c>
      <c r="CA619">
        <v>1</v>
      </c>
      <c r="CB619">
        <v>0</v>
      </c>
      <c r="CC619">
        <v>0</v>
      </c>
      <c r="CD619" s="18">
        <v>0</v>
      </c>
      <c r="CE619">
        <v>0</v>
      </c>
      <c r="CF619">
        <v>0</v>
      </c>
      <c r="CG619">
        <v>0</v>
      </c>
      <c r="CH619">
        <v>0</v>
      </c>
      <c r="CI619" s="18">
        <v>0</v>
      </c>
      <c r="CJ619">
        <v>1</v>
      </c>
      <c r="CK619">
        <v>1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 s="18">
        <v>0</v>
      </c>
      <c r="CZ619" s="34" t="s">
        <v>87</v>
      </c>
    </row>
    <row r="620" spans="1:104" x14ac:dyDescent="0.25">
      <c r="A620">
        <v>619</v>
      </c>
      <c r="B620">
        <v>39</v>
      </c>
      <c r="C620" s="25" t="s">
        <v>342</v>
      </c>
      <c r="D620" s="12">
        <v>10</v>
      </c>
      <c r="E620" s="14">
        <v>0.8</v>
      </c>
      <c r="F620" s="7">
        <f t="shared" si="452"/>
        <v>12.5</v>
      </c>
      <c r="G620" s="7">
        <f t="shared" si="453"/>
        <v>9.1999999999999993</v>
      </c>
      <c r="H620" s="16">
        <f t="shared" si="454"/>
        <v>10.8</v>
      </c>
      <c r="I620" s="11">
        <f t="shared" si="419"/>
        <v>0.21699786527230083</v>
      </c>
      <c r="J620" s="33">
        <f t="shared" si="420"/>
        <v>1.7359829221784067E-2</v>
      </c>
      <c r="K620" s="33">
        <f t="shared" si="458"/>
        <v>57.604253315184984</v>
      </c>
      <c r="L620" s="33">
        <f t="shared" si="459"/>
        <v>0.19963803605051678</v>
      </c>
      <c r="M620" s="33">
        <f t="shared" si="460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61"/>
        <v>3162</v>
      </c>
      <c r="Y620" s="7">
        <f t="shared" si="449"/>
        <v>9.4307999999999996</v>
      </c>
      <c r="Z620" s="7">
        <f t="shared" si="445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9">
        <v>0</v>
      </c>
      <c r="AL620" s="30">
        <v>1</v>
      </c>
      <c r="AM620" s="21">
        <v>2001</v>
      </c>
      <c r="AN620" s="23"/>
      <c r="AO620" s="33">
        <v>0.13719999999999999</v>
      </c>
      <c r="AP620" s="33">
        <f t="shared" si="450"/>
        <v>0.2238</v>
      </c>
      <c r="AQ620" s="33">
        <v>0.28599999999999998</v>
      </c>
      <c r="AR620" s="43">
        <v>0.35299999999999998</v>
      </c>
      <c r="AS620" s="33" t="s">
        <v>107</v>
      </c>
      <c r="AT620" s="43" t="s">
        <v>107</v>
      </c>
      <c r="AU620" s="42">
        <v>0.56999999999999995</v>
      </c>
      <c r="AV620" s="18">
        <v>0.43</v>
      </c>
      <c r="AW620">
        <v>0</v>
      </c>
      <c r="AX620" s="40">
        <v>1</v>
      </c>
      <c r="AY620" t="s">
        <v>107</v>
      </c>
      <c r="AZ620" s="40" t="s">
        <v>107</v>
      </c>
      <c r="BB620" s="18"/>
      <c r="BC620" t="s">
        <v>107</v>
      </c>
      <c r="BD620" s="18" t="s">
        <v>107</v>
      </c>
      <c r="BE620" s="18" t="s">
        <v>343</v>
      </c>
      <c r="BL620" s="18"/>
      <c r="BO620" s="18"/>
      <c r="BR620" s="25">
        <v>39.1</v>
      </c>
      <c r="BS620">
        <v>1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 s="18">
        <v>0</v>
      </c>
      <c r="CA620">
        <v>1</v>
      </c>
      <c r="CB620">
        <v>0</v>
      </c>
      <c r="CC620">
        <v>0</v>
      </c>
      <c r="CD620" s="18">
        <v>0</v>
      </c>
      <c r="CE620">
        <v>0</v>
      </c>
      <c r="CF620">
        <v>0</v>
      </c>
      <c r="CG620">
        <v>0</v>
      </c>
      <c r="CH620">
        <v>0</v>
      </c>
      <c r="CI620" s="18">
        <v>0</v>
      </c>
      <c r="CJ620">
        <v>1</v>
      </c>
      <c r="CK620">
        <v>1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 s="18">
        <v>0</v>
      </c>
      <c r="CZ620" s="34" t="s">
        <v>87</v>
      </c>
    </row>
    <row r="621" spans="1:104" x14ac:dyDescent="0.25">
      <c r="A621">
        <v>620</v>
      </c>
      <c r="B621">
        <v>39</v>
      </c>
      <c r="C621" s="25" t="s">
        <v>342</v>
      </c>
      <c r="D621" s="12">
        <v>5.0999999999999996</v>
      </c>
      <c r="E621" s="14">
        <v>0.6</v>
      </c>
      <c r="F621" s="7">
        <f t="shared" si="452"/>
        <v>8.5</v>
      </c>
      <c r="G621" s="7">
        <f t="shared" si="453"/>
        <v>4.5</v>
      </c>
      <c r="H621" s="16">
        <f t="shared" si="454"/>
        <v>5.6999999999999993</v>
      </c>
      <c r="I621" s="11">
        <f t="shared" si="419"/>
        <v>0.18790553781709984</v>
      </c>
      <c r="J621" s="33">
        <f t="shared" si="420"/>
        <v>2.2106533860835276E-2</v>
      </c>
      <c r="K621" s="33">
        <f t="shared" si="458"/>
        <v>45.235494912734183</v>
      </c>
      <c r="L621" s="33">
        <f t="shared" si="459"/>
        <v>0.16579900395626457</v>
      </c>
      <c r="M621" s="33">
        <f t="shared" si="460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61"/>
        <v>1974</v>
      </c>
      <c r="Y621" s="7">
        <f t="shared" si="449"/>
        <v>9.4307999999999996</v>
      </c>
      <c r="Z621" s="7">
        <f t="shared" si="445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9">
        <v>0</v>
      </c>
      <c r="AL621" s="30">
        <v>1</v>
      </c>
      <c r="AM621" s="21">
        <v>2001</v>
      </c>
      <c r="AN621" s="23"/>
      <c r="AO621" s="33">
        <v>0.13719999999999999</v>
      </c>
      <c r="AP621" s="33">
        <f t="shared" si="450"/>
        <v>0.2238</v>
      </c>
      <c r="AQ621" s="33">
        <v>0.28599999999999998</v>
      </c>
      <c r="AR621" s="43">
        <v>0.35299999999999998</v>
      </c>
      <c r="AS621" s="33" t="s">
        <v>107</v>
      </c>
      <c r="AT621" s="43" t="s">
        <v>107</v>
      </c>
      <c r="AU621" s="42">
        <v>0.56999999999999995</v>
      </c>
      <c r="AV621" s="18">
        <v>0.43</v>
      </c>
      <c r="AW621">
        <v>1</v>
      </c>
      <c r="AX621" s="40">
        <v>0</v>
      </c>
      <c r="AY621" t="s">
        <v>107</v>
      </c>
      <c r="AZ621" s="40" t="s">
        <v>107</v>
      </c>
      <c r="BB621" s="18"/>
      <c r="BC621" t="s">
        <v>107</v>
      </c>
      <c r="BD621" s="18" t="s">
        <v>107</v>
      </c>
      <c r="BE621" s="18" t="s">
        <v>343</v>
      </c>
      <c r="BL621" s="18"/>
      <c r="BO621" s="18"/>
      <c r="BR621" s="25">
        <v>39.1</v>
      </c>
      <c r="BS621">
        <v>1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 s="18">
        <v>0</v>
      </c>
      <c r="CA621">
        <v>1</v>
      </c>
      <c r="CB621">
        <v>0</v>
      </c>
      <c r="CC621">
        <v>0</v>
      </c>
      <c r="CD621" s="18">
        <v>0</v>
      </c>
      <c r="CE621">
        <v>0</v>
      </c>
      <c r="CF621">
        <v>0</v>
      </c>
      <c r="CG621">
        <v>0</v>
      </c>
      <c r="CH621">
        <v>0</v>
      </c>
      <c r="CI621" s="18">
        <v>0</v>
      </c>
      <c r="CJ621">
        <v>1</v>
      </c>
      <c r="CK621">
        <v>1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 s="18">
        <v>0</v>
      </c>
      <c r="CZ621" s="34" t="s">
        <v>87</v>
      </c>
    </row>
    <row r="622" spans="1:104" x14ac:dyDescent="0.25">
      <c r="A622">
        <v>621</v>
      </c>
      <c r="B622">
        <v>39</v>
      </c>
      <c r="C622" s="25" t="s">
        <v>342</v>
      </c>
      <c r="D622" s="12">
        <v>8.1</v>
      </c>
      <c r="E622" s="14">
        <v>0.9</v>
      </c>
      <c r="F622" s="7">
        <f t="shared" si="452"/>
        <v>9</v>
      </c>
      <c r="G622" s="7">
        <f t="shared" si="453"/>
        <v>7.1999999999999993</v>
      </c>
      <c r="H622" s="16">
        <f t="shared" si="454"/>
        <v>9</v>
      </c>
      <c r="I622" s="11">
        <f t="shared" si="419"/>
        <v>0.15804073293140256</v>
      </c>
      <c r="J622" s="33">
        <f t="shared" si="420"/>
        <v>1.7560081436822507E-2</v>
      </c>
      <c r="K622" s="33">
        <f t="shared" si="458"/>
        <v>56.947344099615393</v>
      </c>
      <c r="L622" s="33">
        <f t="shared" si="459"/>
        <v>0.14048065149458006</v>
      </c>
      <c r="M622" s="33">
        <f t="shared" si="460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61"/>
        <v>3162</v>
      </c>
      <c r="Y622" s="7">
        <f t="shared" si="449"/>
        <v>9.4307999999999996</v>
      </c>
      <c r="Z622" s="7">
        <f t="shared" si="445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9">
        <v>0</v>
      </c>
      <c r="AL622" s="30">
        <v>1</v>
      </c>
      <c r="AM622" s="21">
        <v>2001</v>
      </c>
      <c r="AN622" s="23"/>
      <c r="AO622" s="33">
        <v>0.13719999999999999</v>
      </c>
      <c r="AP622" s="33">
        <f t="shared" si="450"/>
        <v>0.2238</v>
      </c>
      <c r="AQ622" s="33">
        <v>0.28599999999999998</v>
      </c>
      <c r="AR622" s="43">
        <v>0.35299999999999998</v>
      </c>
      <c r="AS622" s="33" t="s">
        <v>107</v>
      </c>
      <c r="AT622" s="43" t="s">
        <v>107</v>
      </c>
      <c r="AU622" s="42">
        <v>0.56999999999999995</v>
      </c>
      <c r="AV622" s="18">
        <v>0.43</v>
      </c>
      <c r="AW622">
        <v>0</v>
      </c>
      <c r="AX622" s="40">
        <v>1</v>
      </c>
      <c r="AY622" t="s">
        <v>107</v>
      </c>
      <c r="AZ622" s="40" t="s">
        <v>107</v>
      </c>
      <c r="BB622" s="18"/>
      <c r="BC622" t="s">
        <v>107</v>
      </c>
      <c r="BD622" s="18" t="s">
        <v>107</v>
      </c>
      <c r="BE622" s="18" t="s">
        <v>343</v>
      </c>
      <c r="BL622" s="18"/>
      <c r="BO622" s="18"/>
      <c r="BR622" s="25">
        <v>39.1</v>
      </c>
      <c r="BS622">
        <v>1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 s="18">
        <v>0</v>
      </c>
      <c r="CA622">
        <v>1</v>
      </c>
      <c r="CB622">
        <v>0</v>
      </c>
      <c r="CC622">
        <v>0</v>
      </c>
      <c r="CD622" s="18">
        <v>0</v>
      </c>
      <c r="CE622">
        <v>0</v>
      </c>
      <c r="CF622">
        <v>0</v>
      </c>
      <c r="CG622">
        <v>0</v>
      </c>
      <c r="CH622">
        <v>0</v>
      </c>
      <c r="CI622" s="18">
        <v>0</v>
      </c>
      <c r="CJ622">
        <v>1</v>
      </c>
      <c r="CK622">
        <v>1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 s="18">
        <v>0</v>
      </c>
      <c r="CZ622" s="34" t="s">
        <v>87</v>
      </c>
    </row>
    <row r="623" spans="1:104" x14ac:dyDescent="0.25">
      <c r="A623">
        <v>622</v>
      </c>
      <c r="B623">
        <v>39</v>
      </c>
      <c r="C623" s="25" t="s">
        <v>342</v>
      </c>
      <c r="D623" s="12">
        <v>3.6</v>
      </c>
      <c r="E623" s="14">
        <v>0.7</v>
      </c>
      <c r="F623" s="7">
        <f t="shared" si="452"/>
        <v>5.1428571428571432</v>
      </c>
      <c r="G623" s="7">
        <f t="shared" si="453"/>
        <v>2.9000000000000004</v>
      </c>
      <c r="H623" s="16">
        <f t="shared" si="454"/>
        <v>4.3</v>
      </c>
      <c r="I623" s="11">
        <f t="shared" si="419"/>
        <v>0.11498487595858155</v>
      </c>
      <c r="J623" s="33">
        <f t="shared" si="420"/>
        <v>2.2358170325279741E-2</v>
      </c>
      <c r="K623" s="33">
        <f t="shared" si="458"/>
        <v>44.726379012746349</v>
      </c>
      <c r="L623" s="33">
        <f t="shared" si="459"/>
        <v>9.2626705633301804E-2</v>
      </c>
      <c r="M623" s="33">
        <f t="shared" si="460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61"/>
        <v>1974</v>
      </c>
      <c r="Y623" s="7">
        <f t="shared" si="449"/>
        <v>9.4307999999999996</v>
      </c>
      <c r="Z623" s="7">
        <f t="shared" si="445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9">
        <v>0</v>
      </c>
      <c r="AL623" s="30">
        <v>1</v>
      </c>
      <c r="AM623" s="21">
        <v>2001</v>
      </c>
      <c r="AN623" s="23"/>
      <c r="AO623" s="33">
        <v>0.13719999999999999</v>
      </c>
      <c r="AP623" s="33">
        <f t="shared" si="450"/>
        <v>0.2238</v>
      </c>
      <c r="AQ623" s="33">
        <v>0.28599999999999998</v>
      </c>
      <c r="AR623" s="43">
        <v>0.35299999999999998</v>
      </c>
      <c r="AS623" s="33" t="s">
        <v>107</v>
      </c>
      <c r="AT623" s="43" t="s">
        <v>107</v>
      </c>
      <c r="AU623" s="42">
        <v>0.56999999999999995</v>
      </c>
      <c r="AV623" s="18">
        <v>0.43</v>
      </c>
      <c r="AW623">
        <v>1</v>
      </c>
      <c r="AX623" s="40">
        <v>0</v>
      </c>
      <c r="AY623" t="s">
        <v>107</v>
      </c>
      <c r="AZ623" s="40" t="s">
        <v>107</v>
      </c>
      <c r="BB623" s="18"/>
      <c r="BC623" t="s">
        <v>107</v>
      </c>
      <c r="BD623" s="18" t="s">
        <v>107</v>
      </c>
      <c r="BE623" s="18" t="s">
        <v>343</v>
      </c>
      <c r="BL623" s="18"/>
      <c r="BO623" s="18"/>
      <c r="BR623" s="25">
        <v>39.1</v>
      </c>
      <c r="BS623">
        <v>1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 s="18">
        <v>0</v>
      </c>
      <c r="CA623">
        <v>1</v>
      </c>
      <c r="CB623">
        <v>0</v>
      </c>
      <c r="CC623">
        <v>0</v>
      </c>
      <c r="CD623" s="18">
        <v>0</v>
      </c>
      <c r="CE623">
        <v>0</v>
      </c>
      <c r="CF623">
        <v>0</v>
      </c>
      <c r="CG623">
        <v>0</v>
      </c>
      <c r="CH623">
        <v>0</v>
      </c>
      <c r="CI623" s="18">
        <v>0</v>
      </c>
      <c r="CJ623">
        <v>1</v>
      </c>
      <c r="CK623">
        <v>1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 s="18">
        <v>0</v>
      </c>
      <c r="CZ623" s="34" t="s">
        <v>87</v>
      </c>
    </row>
    <row r="624" spans="1:104" x14ac:dyDescent="0.25">
      <c r="A624">
        <v>623</v>
      </c>
      <c r="B624">
        <v>39</v>
      </c>
      <c r="C624" s="25" t="s">
        <v>342</v>
      </c>
      <c r="D624" s="12">
        <v>7.1</v>
      </c>
      <c r="E624" s="14">
        <v>0.9</v>
      </c>
      <c r="F624" s="7">
        <f t="shared" si="452"/>
        <v>7.8888888888888884</v>
      </c>
      <c r="G624" s="7">
        <f t="shared" si="453"/>
        <v>6.1999999999999993</v>
      </c>
      <c r="H624" s="16">
        <f t="shared" si="454"/>
        <v>8</v>
      </c>
      <c r="I624" s="11">
        <f t="shared" si="419"/>
        <v>0.13893207571861219</v>
      </c>
      <c r="J624" s="33">
        <f t="shared" si="420"/>
        <v>1.7611108189683235E-2</v>
      </c>
      <c r="K624" s="33">
        <f t="shared" si="458"/>
        <v>56.782343804225228</v>
      </c>
      <c r="L624" s="33">
        <f t="shared" si="459"/>
        <v>0.12132096752892896</v>
      </c>
      <c r="M624" s="33">
        <f t="shared" si="460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61"/>
        <v>3162</v>
      </c>
      <c r="Y624" s="7">
        <f t="shared" si="449"/>
        <v>9.4307999999999996</v>
      </c>
      <c r="Z624" s="7">
        <f t="shared" si="445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9">
        <v>0</v>
      </c>
      <c r="AL624" s="30">
        <v>1</v>
      </c>
      <c r="AM624" s="21">
        <v>2001</v>
      </c>
      <c r="AN624" s="23"/>
      <c r="AO624" s="33">
        <v>0.13719999999999999</v>
      </c>
      <c r="AP624" s="33">
        <f t="shared" si="450"/>
        <v>0.2238</v>
      </c>
      <c r="AQ624" s="33">
        <v>0.28599999999999998</v>
      </c>
      <c r="AR624" s="43">
        <v>0.35299999999999998</v>
      </c>
      <c r="AS624" s="33" t="s">
        <v>107</v>
      </c>
      <c r="AT624" s="43" t="s">
        <v>107</v>
      </c>
      <c r="AU624" s="42">
        <v>0.56999999999999995</v>
      </c>
      <c r="AV624" s="18">
        <v>0.43</v>
      </c>
      <c r="AW624">
        <v>0</v>
      </c>
      <c r="AX624" s="40">
        <v>1</v>
      </c>
      <c r="AY624" t="s">
        <v>107</v>
      </c>
      <c r="AZ624" s="40" t="s">
        <v>107</v>
      </c>
      <c r="BB624" s="18"/>
      <c r="BC624" t="s">
        <v>107</v>
      </c>
      <c r="BD624" s="18" t="s">
        <v>107</v>
      </c>
      <c r="BE624" s="18" t="s">
        <v>343</v>
      </c>
      <c r="BL624" s="18"/>
      <c r="BO624" s="18"/>
      <c r="BR624" s="25">
        <v>39.1</v>
      </c>
      <c r="BS624">
        <v>1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 s="18">
        <v>0</v>
      </c>
      <c r="CA624">
        <v>1</v>
      </c>
      <c r="CB624">
        <v>0</v>
      </c>
      <c r="CC624">
        <v>0</v>
      </c>
      <c r="CD624" s="18">
        <v>0</v>
      </c>
      <c r="CE624">
        <v>0</v>
      </c>
      <c r="CF624">
        <v>0</v>
      </c>
      <c r="CG624">
        <v>0</v>
      </c>
      <c r="CH624">
        <v>0</v>
      </c>
      <c r="CI624" s="18">
        <v>0</v>
      </c>
      <c r="CJ624">
        <v>1</v>
      </c>
      <c r="CK624">
        <v>1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 s="18">
        <v>0</v>
      </c>
      <c r="CZ624" s="34" t="s">
        <v>87</v>
      </c>
    </row>
    <row r="625" spans="1:104" x14ac:dyDescent="0.25">
      <c r="A625">
        <v>624</v>
      </c>
      <c r="B625">
        <v>39</v>
      </c>
      <c r="C625" s="25" t="s">
        <v>342</v>
      </c>
      <c r="D625" s="12">
        <v>2.6</v>
      </c>
      <c r="E625" s="14">
        <v>0.7</v>
      </c>
      <c r="F625" s="7">
        <f t="shared" si="452"/>
        <v>3.7142857142857149</v>
      </c>
      <c r="G625" s="7">
        <f t="shared" si="453"/>
        <v>1.9000000000000001</v>
      </c>
      <c r="H625" s="16">
        <f t="shared" si="454"/>
        <v>3.3</v>
      </c>
      <c r="I625" s="11">
        <f t="shared" si="419"/>
        <v>8.3308518375353649E-2</v>
      </c>
      <c r="J625" s="33">
        <f t="shared" si="420"/>
        <v>2.2429216485672133E-2</v>
      </c>
      <c r="K625" s="33">
        <f t="shared" si="458"/>
        <v>44.584704982396673</v>
      </c>
      <c r="L625" s="33">
        <f t="shared" si="459"/>
        <v>6.087930188968152E-2</v>
      </c>
      <c r="M625" s="33">
        <f t="shared" si="460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61"/>
        <v>1974</v>
      </c>
      <c r="Y625" s="7">
        <f t="shared" si="449"/>
        <v>9.4307999999999996</v>
      </c>
      <c r="Z625" s="7">
        <f t="shared" si="445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9">
        <v>0</v>
      </c>
      <c r="AL625" s="30">
        <v>1</v>
      </c>
      <c r="AM625" s="21">
        <v>2001</v>
      </c>
      <c r="AN625" s="23"/>
      <c r="AO625" s="33">
        <v>0.13719999999999999</v>
      </c>
      <c r="AP625" s="33">
        <f t="shared" si="450"/>
        <v>0.2238</v>
      </c>
      <c r="AQ625" s="33">
        <v>0.28599999999999998</v>
      </c>
      <c r="AR625" s="43">
        <v>0.35299999999999998</v>
      </c>
      <c r="AS625" s="33" t="s">
        <v>107</v>
      </c>
      <c r="AT625" s="43" t="s">
        <v>107</v>
      </c>
      <c r="AU625" s="42">
        <v>0.56999999999999995</v>
      </c>
      <c r="AV625" s="18">
        <v>0.43</v>
      </c>
      <c r="AW625">
        <v>1</v>
      </c>
      <c r="AX625" s="40">
        <v>0</v>
      </c>
      <c r="AY625" t="s">
        <v>107</v>
      </c>
      <c r="AZ625" s="40" t="s">
        <v>107</v>
      </c>
      <c r="BB625" s="18"/>
      <c r="BC625" t="s">
        <v>107</v>
      </c>
      <c r="BD625" s="18" t="s">
        <v>107</v>
      </c>
      <c r="BE625" s="18" t="s">
        <v>343</v>
      </c>
      <c r="BL625" s="18"/>
      <c r="BO625" s="18"/>
      <c r="BR625" s="25">
        <v>39.1</v>
      </c>
      <c r="BS625">
        <v>1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 s="18">
        <v>0</v>
      </c>
      <c r="CA625">
        <v>1</v>
      </c>
      <c r="CB625">
        <v>0</v>
      </c>
      <c r="CC625">
        <v>0</v>
      </c>
      <c r="CD625" s="18">
        <v>0</v>
      </c>
      <c r="CE625">
        <v>0</v>
      </c>
      <c r="CF625">
        <v>0</v>
      </c>
      <c r="CG625">
        <v>0</v>
      </c>
      <c r="CH625">
        <v>0</v>
      </c>
      <c r="CI625" s="18">
        <v>0</v>
      </c>
      <c r="CJ625">
        <v>1</v>
      </c>
      <c r="CK625">
        <v>1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 s="18">
        <v>0</v>
      </c>
      <c r="CZ625" s="34" t="s">
        <v>87</v>
      </c>
    </row>
    <row r="626" spans="1:104" x14ac:dyDescent="0.25">
      <c r="A626">
        <v>625</v>
      </c>
      <c r="B626">
        <v>39</v>
      </c>
      <c r="C626" s="25" t="s">
        <v>342</v>
      </c>
      <c r="D626" s="12">
        <v>7.7</v>
      </c>
      <c r="E626" s="14">
        <v>1.3</v>
      </c>
      <c r="F626" s="7">
        <f t="shared" si="452"/>
        <v>5.9230769230769234</v>
      </c>
      <c r="G626" s="7">
        <f t="shared" si="453"/>
        <v>6.4</v>
      </c>
      <c r="H626" s="16">
        <f t="shared" si="454"/>
        <v>9</v>
      </c>
      <c r="I626" s="11">
        <f t="shared" si="419"/>
        <v>0.10475395483515031</v>
      </c>
      <c r="J626" s="33">
        <f t="shared" si="420"/>
        <v>1.7685732634505895E-2</v>
      </c>
      <c r="K626" s="33">
        <f t="shared" si="458"/>
        <v>56.542752322792765</v>
      </c>
      <c r="L626" s="33">
        <f t="shared" si="459"/>
        <v>8.7068222200644418E-2</v>
      </c>
      <c r="M626" s="33">
        <f t="shared" si="460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61"/>
        <v>3162</v>
      </c>
      <c r="Y626" s="7">
        <f t="shared" si="449"/>
        <v>9.4307999999999996</v>
      </c>
      <c r="Z626" s="7">
        <f t="shared" si="445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9">
        <v>0</v>
      </c>
      <c r="AL626" s="30">
        <v>1</v>
      </c>
      <c r="AM626" s="21">
        <v>2001</v>
      </c>
      <c r="AN626" s="23"/>
      <c r="AO626" s="33">
        <v>0.13719999999999999</v>
      </c>
      <c r="AP626" s="33">
        <f t="shared" si="450"/>
        <v>0.2238</v>
      </c>
      <c r="AQ626" s="33">
        <v>0.28599999999999998</v>
      </c>
      <c r="AR626" s="43">
        <v>0.35299999999999998</v>
      </c>
      <c r="AS626" s="33" t="s">
        <v>107</v>
      </c>
      <c r="AT626" s="43" t="s">
        <v>107</v>
      </c>
      <c r="AU626" s="42">
        <v>0.56999999999999995</v>
      </c>
      <c r="AV626" s="18">
        <v>0.43</v>
      </c>
      <c r="AW626">
        <v>0</v>
      </c>
      <c r="AX626" s="40">
        <v>1</v>
      </c>
      <c r="AY626" t="s">
        <v>107</v>
      </c>
      <c r="AZ626" s="40" t="s">
        <v>107</v>
      </c>
      <c r="BB626" s="18"/>
      <c r="BC626" t="s">
        <v>107</v>
      </c>
      <c r="BD626" s="18" t="s">
        <v>107</v>
      </c>
      <c r="BE626" s="18" t="s">
        <v>343</v>
      </c>
      <c r="BL626" s="18"/>
      <c r="BO626" s="18"/>
      <c r="BR626" s="25">
        <v>39.1</v>
      </c>
      <c r="BS626">
        <v>1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 s="18">
        <v>0</v>
      </c>
      <c r="CA626">
        <v>1</v>
      </c>
      <c r="CB626">
        <v>0</v>
      </c>
      <c r="CC626">
        <v>0</v>
      </c>
      <c r="CD626" s="18">
        <v>0</v>
      </c>
      <c r="CE626">
        <v>0</v>
      </c>
      <c r="CF626">
        <v>0</v>
      </c>
      <c r="CG626">
        <v>0</v>
      </c>
      <c r="CH626">
        <v>0</v>
      </c>
      <c r="CI626" s="18">
        <v>0</v>
      </c>
      <c r="CJ626">
        <v>1</v>
      </c>
      <c r="CK626">
        <v>1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 s="18">
        <v>0</v>
      </c>
      <c r="CZ626" s="34" t="s">
        <v>87</v>
      </c>
    </row>
    <row r="627" spans="1:104" x14ac:dyDescent="0.25">
      <c r="A627">
        <v>626</v>
      </c>
      <c r="B627">
        <v>39</v>
      </c>
      <c r="C627" s="25" t="s">
        <v>342</v>
      </c>
      <c r="D627" s="12">
        <v>5.7</v>
      </c>
      <c r="E627" s="14">
        <v>0.9</v>
      </c>
      <c r="F627" s="7">
        <f t="shared" si="452"/>
        <v>6.333333333333333</v>
      </c>
      <c r="G627" s="7">
        <f t="shared" si="453"/>
        <v>4.8</v>
      </c>
      <c r="H627" s="16">
        <f t="shared" si="454"/>
        <v>6.6000000000000005</v>
      </c>
      <c r="I627" s="11">
        <f t="shared" si="419"/>
        <v>0.14112067126126332</v>
      </c>
      <c r="J627" s="33">
        <f t="shared" si="420"/>
        <v>2.2282211251778417E-2</v>
      </c>
      <c r="K627" s="33">
        <f t="shared" si="458"/>
        <v>44.878849262331926</v>
      </c>
      <c r="L627" s="33">
        <f t="shared" si="459"/>
        <v>0.11883846000948491</v>
      </c>
      <c r="M627" s="33">
        <f t="shared" si="460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61"/>
        <v>1974</v>
      </c>
      <c r="Y627" s="7">
        <f t="shared" si="449"/>
        <v>9.4307999999999996</v>
      </c>
      <c r="Z627" s="7">
        <f t="shared" si="445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9">
        <v>0</v>
      </c>
      <c r="AL627" s="30">
        <v>1</v>
      </c>
      <c r="AM627" s="21">
        <v>2001</v>
      </c>
      <c r="AN627" s="23"/>
      <c r="AO627" s="33">
        <v>0.13719999999999999</v>
      </c>
      <c r="AP627" s="33">
        <f t="shared" si="450"/>
        <v>0.2238</v>
      </c>
      <c r="AQ627" s="33">
        <v>0.28599999999999998</v>
      </c>
      <c r="AR627" s="43">
        <v>0.35299999999999998</v>
      </c>
      <c r="AS627" s="33" t="s">
        <v>107</v>
      </c>
      <c r="AT627" s="43" t="s">
        <v>107</v>
      </c>
      <c r="AU627" s="42">
        <v>0.56999999999999995</v>
      </c>
      <c r="AV627" s="18">
        <v>0.43</v>
      </c>
      <c r="AW627">
        <v>1</v>
      </c>
      <c r="AX627" s="40">
        <v>0</v>
      </c>
      <c r="AY627" t="s">
        <v>107</v>
      </c>
      <c r="AZ627" s="40" t="s">
        <v>107</v>
      </c>
      <c r="BB627" s="18"/>
      <c r="BC627" t="s">
        <v>107</v>
      </c>
      <c r="BD627" s="18" t="s">
        <v>107</v>
      </c>
      <c r="BE627" s="18" t="s">
        <v>343</v>
      </c>
      <c r="BL627" s="18"/>
      <c r="BO627" s="18"/>
      <c r="BR627" s="25">
        <v>39.1</v>
      </c>
      <c r="BS627">
        <v>1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 s="18">
        <v>0</v>
      </c>
      <c r="CA627">
        <v>1</v>
      </c>
      <c r="CB627">
        <v>0</v>
      </c>
      <c r="CC627">
        <v>0</v>
      </c>
      <c r="CD627" s="18">
        <v>0</v>
      </c>
      <c r="CE627">
        <v>0</v>
      </c>
      <c r="CF627">
        <v>0</v>
      </c>
      <c r="CG627">
        <v>0</v>
      </c>
      <c r="CH627">
        <v>0</v>
      </c>
      <c r="CI627" s="18">
        <v>0</v>
      </c>
      <c r="CJ627">
        <v>1</v>
      </c>
      <c r="CK627">
        <v>1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 s="18">
        <v>0</v>
      </c>
      <c r="CZ627" s="34" t="s">
        <v>87</v>
      </c>
    </row>
    <row r="628" spans="1:104" x14ac:dyDescent="0.25">
      <c r="A628">
        <v>627</v>
      </c>
      <c r="B628">
        <v>39</v>
      </c>
      <c r="C628" s="25" t="s">
        <v>342</v>
      </c>
      <c r="D628" s="12">
        <v>6.4</v>
      </c>
      <c r="E628" s="14">
        <v>0.2</v>
      </c>
      <c r="F628" s="7">
        <f t="shared" si="452"/>
        <v>32</v>
      </c>
      <c r="G628" s="7">
        <f t="shared" si="453"/>
        <v>6.2</v>
      </c>
      <c r="H628" s="16">
        <f t="shared" si="454"/>
        <v>6.6000000000000005</v>
      </c>
      <c r="I628" s="11">
        <f t="shared" si="419"/>
        <v>0.25757916462010488</v>
      </c>
      <c r="J628" s="33">
        <f t="shared" si="420"/>
        <v>8.0493488943782776E-3</v>
      </c>
      <c r="K628" s="33">
        <f t="shared" si="458"/>
        <v>124.23365083583433</v>
      </c>
      <c r="L628" s="33">
        <f t="shared" si="459"/>
        <v>0.24952981572572661</v>
      </c>
      <c r="M628" s="33">
        <f t="shared" si="460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61"/>
        <v>14410</v>
      </c>
      <c r="Y628" s="7">
        <f t="shared" si="449"/>
        <v>9.4307999999999996</v>
      </c>
      <c r="Z628" s="7">
        <f t="shared" si="445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9">
        <v>0</v>
      </c>
      <c r="AL628" s="30">
        <v>1</v>
      </c>
      <c r="AM628" s="21">
        <v>2001</v>
      </c>
      <c r="AN628" s="23"/>
      <c r="AO628" s="33">
        <v>0.13719999999999999</v>
      </c>
      <c r="AP628" s="33">
        <f t="shared" si="450"/>
        <v>0.2238</v>
      </c>
      <c r="AQ628" s="33">
        <v>0.28599999999999998</v>
      </c>
      <c r="AR628" s="43">
        <v>0.35299999999999998</v>
      </c>
      <c r="AS628" s="33" t="s">
        <v>107</v>
      </c>
      <c r="AT628" s="43" t="s">
        <v>107</v>
      </c>
      <c r="AU628" s="42">
        <v>0.56999999999999995</v>
      </c>
      <c r="AV628" s="18">
        <v>0.43</v>
      </c>
      <c r="AW628">
        <v>1</v>
      </c>
      <c r="AX628" s="40">
        <v>0</v>
      </c>
      <c r="AY628" t="s">
        <v>107</v>
      </c>
      <c r="AZ628" s="40" t="s">
        <v>107</v>
      </c>
      <c r="BB628" s="18"/>
      <c r="BC628" t="s">
        <v>107</v>
      </c>
      <c r="BD628" s="18" t="s">
        <v>107</v>
      </c>
      <c r="BE628" s="18" t="s">
        <v>343</v>
      </c>
      <c r="BL628" s="18"/>
      <c r="BO628" s="18"/>
      <c r="BR628" s="25">
        <v>39.1</v>
      </c>
      <c r="BS628">
        <v>1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 s="18">
        <v>0</v>
      </c>
      <c r="CA628">
        <v>0</v>
      </c>
      <c r="CB628">
        <v>0</v>
      </c>
      <c r="CC628">
        <v>1</v>
      </c>
      <c r="CD628" s="18">
        <v>0</v>
      </c>
      <c r="CE628">
        <v>0</v>
      </c>
      <c r="CF628">
        <v>0</v>
      </c>
      <c r="CG628">
        <v>0</v>
      </c>
      <c r="CH628">
        <v>0</v>
      </c>
      <c r="CI628" s="18">
        <v>1</v>
      </c>
      <c r="CJ628">
        <v>1</v>
      </c>
      <c r="CK628">
        <v>1</v>
      </c>
      <c r="CL628">
        <v>0</v>
      </c>
      <c r="CM628">
        <v>0</v>
      </c>
      <c r="CN628">
        <v>0</v>
      </c>
      <c r="CO628">
        <v>1</v>
      </c>
      <c r="CP628">
        <v>0</v>
      </c>
      <c r="CQ628">
        <v>0</v>
      </c>
      <c r="CR628">
        <v>0</v>
      </c>
      <c r="CS628">
        <v>0</v>
      </c>
      <c r="CT628" s="18">
        <v>1</v>
      </c>
      <c r="CZ628" s="34" t="s">
        <v>87</v>
      </c>
    </row>
    <row r="629" spans="1:104" x14ac:dyDescent="0.25">
      <c r="A629">
        <v>628</v>
      </c>
      <c r="B629">
        <v>39</v>
      </c>
      <c r="C629" s="25" t="s">
        <v>342</v>
      </c>
      <c r="D629" s="12">
        <v>20.5</v>
      </c>
      <c r="E629" s="14">
        <v>1.2</v>
      </c>
      <c r="F629" s="7">
        <f t="shared" si="452"/>
        <v>17.083333333333336</v>
      </c>
      <c r="G629" s="7">
        <f t="shared" si="453"/>
        <v>19.3</v>
      </c>
      <c r="H629" s="16">
        <f t="shared" si="454"/>
        <v>21.7</v>
      </c>
      <c r="I629" s="11">
        <f t="shared" si="419"/>
        <v>0.14089213975768597</v>
      </c>
      <c r="J629" s="33">
        <f t="shared" si="420"/>
        <v>8.2473447663035677E-3</v>
      </c>
      <c r="K629" s="33">
        <f t="shared" ref="K629:K650" si="462">IFERROR(1/J629, "X")</f>
        <v>121.25114546996156</v>
      </c>
      <c r="L629" s="33">
        <f t="shared" ref="L629:L650" si="463">IFERROR(I629-J629, "X")</f>
        <v>0.1326447949913824</v>
      </c>
      <c r="M629" s="33">
        <f t="shared" ref="M629:M650" si="464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65">U629-V629-1</f>
        <v>14410</v>
      </c>
      <c r="Y629" s="7">
        <f t="shared" si="449"/>
        <v>9.4307999999999996</v>
      </c>
      <c r="Z629" s="7">
        <f t="shared" si="445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9">
        <v>0</v>
      </c>
      <c r="AL629" s="30">
        <v>1</v>
      </c>
      <c r="AM629" s="21">
        <v>2001</v>
      </c>
      <c r="AN629" s="23"/>
      <c r="AO629" s="33">
        <v>0.13719999999999999</v>
      </c>
      <c r="AP629" s="33">
        <f t="shared" si="450"/>
        <v>0.2238</v>
      </c>
      <c r="AQ629" s="33">
        <v>0.28599999999999998</v>
      </c>
      <c r="AR629" s="43">
        <v>0.35299999999999998</v>
      </c>
      <c r="AS629" s="33" t="s">
        <v>107</v>
      </c>
      <c r="AT629" s="43" t="s">
        <v>107</v>
      </c>
      <c r="AU629" s="42">
        <v>0.56999999999999995</v>
      </c>
      <c r="AV629" s="18">
        <v>0.43</v>
      </c>
      <c r="AW629">
        <v>1</v>
      </c>
      <c r="AX629" s="40">
        <v>0</v>
      </c>
      <c r="AY629" t="s">
        <v>107</v>
      </c>
      <c r="AZ629" s="40" t="s">
        <v>107</v>
      </c>
      <c r="BB629" s="18"/>
      <c r="BC629" t="s">
        <v>107</v>
      </c>
      <c r="BD629" s="18" t="s">
        <v>107</v>
      </c>
      <c r="BE629" s="18" t="s">
        <v>343</v>
      </c>
      <c r="BL629" s="18"/>
      <c r="BO629" s="18"/>
      <c r="BR629" s="25">
        <v>39.1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 s="18">
        <v>1</v>
      </c>
      <c r="CA629">
        <v>0</v>
      </c>
      <c r="CB629">
        <v>0</v>
      </c>
      <c r="CC629">
        <v>1</v>
      </c>
      <c r="CD629" s="18">
        <v>0</v>
      </c>
      <c r="CE629">
        <v>0</v>
      </c>
      <c r="CF629">
        <v>0</v>
      </c>
      <c r="CG629">
        <v>0</v>
      </c>
      <c r="CH629">
        <v>0</v>
      </c>
      <c r="CI629" s="18">
        <v>1</v>
      </c>
      <c r="CJ629">
        <v>1</v>
      </c>
      <c r="CK629">
        <v>1</v>
      </c>
      <c r="CL629">
        <v>0</v>
      </c>
      <c r="CM629">
        <v>0</v>
      </c>
      <c r="CN629">
        <v>0</v>
      </c>
      <c r="CO629">
        <v>1</v>
      </c>
      <c r="CP629">
        <v>0</v>
      </c>
      <c r="CQ629">
        <v>0</v>
      </c>
      <c r="CR629">
        <v>0</v>
      </c>
      <c r="CS629">
        <v>0</v>
      </c>
      <c r="CT629" s="18">
        <v>1</v>
      </c>
      <c r="CZ629" s="34" t="s">
        <v>87</v>
      </c>
    </row>
    <row r="630" spans="1:104" x14ac:dyDescent="0.25">
      <c r="A630">
        <v>629</v>
      </c>
      <c r="B630">
        <v>39</v>
      </c>
      <c r="C630" s="25" t="s">
        <v>342</v>
      </c>
      <c r="D630" s="12">
        <v>9.5</v>
      </c>
      <c r="E630" s="14">
        <v>0.7</v>
      </c>
      <c r="F630" s="7">
        <f t="shared" si="452"/>
        <v>13.571428571428573</v>
      </c>
      <c r="G630" s="7">
        <f t="shared" si="453"/>
        <v>8.8000000000000007</v>
      </c>
      <c r="H630" s="16">
        <f t="shared" si="454"/>
        <v>10.199999999999999</v>
      </c>
      <c r="I630" s="11">
        <f t="shared" si="419"/>
        <v>0.10093927473308457</v>
      </c>
      <c r="J630" s="33">
        <f t="shared" si="420"/>
        <v>7.4376307698062307E-3</v>
      </c>
      <c r="K630" s="33">
        <f t="shared" si="462"/>
        <v>134.45141752123473</v>
      </c>
      <c r="L630" s="33">
        <f t="shared" si="463"/>
        <v>9.3501643963278341E-2</v>
      </c>
      <c r="M630" s="33">
        <f t="shared" si="464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65"/>
        <v>17893</v>
      </c>
      <c r="Y630" s="7">
        <f t="shared" si="449"/>
        <v>9.4307999999999996</v>
      </c>
      <c r="Z630" s="7">
        <f t="shared" si="445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9">
        <v>0</v>
      </c>
      <c r="AL630" s="30">
        <v>1</v>
      </c>
      <c r="AM630" s="21">
        <v>2001</v>
      </c>
      <c r="AN630" s="23"/>
      <c r="AO630" s="33">
        <v>0.13719999999999999</v>
      </c>
      <c r="AP630" s="33">
        <f t="shared" si="450"/>
        <v>0.2238</v>
      </c>
      <c r="AQ630" s="33">
        <v>0.28599999999999998</v>
      </c>
      <c r="AR630" s="43">
        <v>0.35299999999999998</v>
      </c>
      <c r="AS630" s="33" t="s">
        <v>107</v>
      </c>
      <c r="AT630" s="43" t="s">
        <v>107</v>
      </c>
      <c r="AU630" s="42">
        <v>0.56999999999999995</v>
      </c>
      <c r="AV630" s="18">
        <v>0.43</v>
      </c>
      <c r="AW630">
        <v>1</v>
      </c>
      <c r="AX630" s="40">
        <v>0</v>
      </c>
      <c r="AY630" t="s">
        <v>107</v>
      </c>
      <c r="AZ630" s="40" t="s">
        <v>107</v>
      </c>
      <c r="BB630" s="18"/>
      <c r="BC630" t="s">
        <v>107</v>
      </c>
      <c r="BD630" s="18" t="s">
        <v>107</v>
      </c>
      <c r="BE630" s="18" t="s">
        <v>343</v>
      </c>
      <c r="BL630" s="18"/>
      <c r="BO630" s="18"/>
      <c r="BR630" s="25">
        <v>39.1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 s="18">
        <v>1</v>
      </c>
      <c r="CA630">
        <v>0</v>
      </c>
      <c r="CB630">
        <v>0</v>
      </c>
      <c r="CC630">
        <v>1</v>
      </c>
      <c r="CD630" s="18">
        <v>0</v>
      </c>
      <c r="CE630">
        <v>0</v>
      </c>
      <c r="CF630">
        <v>0</v>
      </c>
      <c r="CG630">
        <v>0</v>
      </c>
      <c r="CH630">
        <v>0</v>
      </c>
      <c r="CI630" s="18">
        <v>1</v>
      </c>
      <c r="CJ630">
        <v>1</v>
      </c>
      <c r="CK630">
        <v>1</v>
      </c>
      <c r="CL630">
        <v>0</v>
      </c>
      <c r="CM630">
        <v>0</v>
      </c>
      <c r="CN630">
        <v>0</v>
      </c>
      <c r="CO630">
        <v>1</v>
      </c>
      <c r="CP630">
        <v>0</v>
      </c>
      <c r="CQ630">
        <v>0</v>
      </c>
      <c r="CR630">
        <v>0</v>
      </c>
      <c r="CS630">
        <v>0</v>
      </c>
      <c r="CT630" s="18">
        <v>1</v>
      </c>
      <c r="CZ630" s="34" t="s">
        <v>87</v>
      </c>
    </row>
    <row r="631" spans="1:104" x14ac:dyDescent="0.25">
      <c r="A631">
        <v>630</v>
      </c>
      <c r="B631">
        <v>39</v>
      </c>
      <c r="C631" s="25" t="s">
        <v>342</v>
      </c>
      <c r="D631" s="12">
        <v>6.4</v>
      </c>
      <c r="E631" s="14">
        <v>0.2</v>
      </c>
      <c r="F631" s="7">
        <f t="shared" si="452"/>
        <v>32</v>
      </c>
      <c r="G631" s="7">
        <f t="shared" si="453"/>
        <v>6.2</v>
      </c>
      <c r="H631" s="16">
        <f t="shared" si="454"/>
        <v>6.6000000000000005</v>
      </c>
      <c r="I631" s="11">
        <f t="shared" si="419"/>
        <v>0.33193163431017081</v>
      </c>
      <c r="J631" s="33">
        <f t="shared" si="420"/>
        <v>1.0372863572192838E-2</v>
      </c>
      <c r="K631" s="33">
        <f t="shared" si="462"/>
        <v>96.405394039960228</v>
      </c>
      <c r="L631" s="33">
        <f t="shared" si="463"/>
        <v>0.32155877073797795</v>
      </c>
      <c r="M631" s="33">
        <f t="shared" si="464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65"/>
        <v>8270</v>
      </c>
      <c r="Y631" s="7">
        <f t="shared" si="449"/>
        <v>9.4307999999999996</v>
      </c>
      <c r="Z631" s="7">
        <f t="shared" si="445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9">
        <v>0</v>
      </c>
      <c r="AL631" s="30">
        <v>1</v>
      </c>
      <c r="AM631" s="21">
        <v>2001</v>
      </c>
      <c r="AN631" s="23"/>
      <c r="AO631" s="33">
        <v>0.13719999999999999</v>
      </c>
      <c r="AP631" s="33">
        <f t="shared" si="450"/>
        <v>0.2238</v>
      </c>
      <c r="AQ631" s="33">
        <v>0.28599999999999998</v>
      </c>
      <c r="AR631" s="43">
        <v>0.35299999999999998</v>
      </c>
      <c r="AS631" s="33" t="s">
        <v>107</v>
      </c>
      <c r="AT631" s="43" t="s">
        <v>107</v>
      </c>
      <c r="AU631" s="42">
        <v>0.56999999999999995</v>
      </c>
      <c r="AV631" s="18">
        <v>0.43</v>
      </c>
      <c r="AW631">
        <v>1</v>
      </c>
      <c r="AX631" s="40">
        <v>0</v>
      </c>
      <c r="AY631" t="s">
        <v>107</v>
      </c>
      <c r="AZ631" s="40" t="s">
        <v>107</v>
      </c>
      <c r="BB631" s="18"/>
      <c r="BC631" t="s">
        <v>107</v>
      </c>
      <c r="BD631" s="18" t="s">
        <v>107</v>
      </c>
      <c r="BE631" s="18" t="s">
        <v>343</v>
      </c>
      <c r="BL631" s="18"/>
      <c r="BO631" s="18"/>
      <c r="BR631" s="25">
        <v>39.1</v>
      </c>
      <c r="BS631">
        <v>1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 s="18">
        <v>0</v>
      </c>
      <c r="CA631">
        <v>0</v>
      </c>
      <c r="CB631">
        <v>0</v>
      </c>
      <c r="CC631">
        <v>1</v>
      </c>
      <c r="CD631" s="18">
        <v>0</v>
      </c>
      <c r="CE631">
        <v>0</v>
      </c>
      <c r="CF631">
        <v>0</v>
      </c>
      <c r="CG631">
        <v>0</v>
      </c>
      <c r="CH631">
        <v>0</v>
      </c>
      <c r="CI631" s="18">
        <v>1</v>
      </c>
      <c r="CJ631">
        <v>1</v>
      </c>
      <c r="CK631">
        <v>1</v>
      </c>
      <c r="CL631">
        <v>0</v>
      </c>
      <c r="CM631">
        <v>0</v>
      </c>
      <c r="CN631">
        <v>0</v>
      </c>
      <c r="CO631">
        <v>1</v>
      </c>
      <c r="CP631">
        <v>0</v>
      </c>
      <c r="CQ631">
        <v>0</v>
      </c>
      <c r="CR631">
        <v>0</v>
      </c>
      <c r="CS631">
        <v>0</v>
      </c>
      <c r="CT631" s="18">
        <v>1</v>
      </c>
      <c r="CZ631" s="34" t="s">
        <v>87</v>
      </c>
    </row>
    <row r="632" spans="1:104" x14ac:dyDescent="0.25">
      <c r="A632">
        <v>631</v>
      </c>
      <c r="B632">
        <v>39</v>
      </c>
      <c r="C632" s="25" t="s">
        <v>342</v>
      </c>
      <c r="D632" s="12">
        <v>20.9</v>
      </c>
      <c r="E632" s="14">
        <v>1.4</v>
      </c>
      <c r="F632" s="7">
        <f t="shared" si="452"/>
        <v>14.928571428571429</v>
      </c>
      <c r="G632" s="7">
        <f t="shared" si="453"/>
        <v>19.5</v>
      </c>
      <c r="H632" s="16">
        <f t="shared" si="454"/>
        <v>22.299999999999997</v>
      </c>
      <c r="I632" s="11">
        <f t="shared" si="419"/>
        <v>0.1619911208929482</v>
      </c>
      <c r="J632" s="33">
        <f t="shared" si="420"/>
        <v>1.0851079868427153E-2</v>
      </c>
      <c r="K632" s="33">
        <f t="shared" si="462"/>
        <v>92.156726530937277</v>
      </c>
      <c r="L632" s="33">
        <f t="shared" si="463"/>
        <v>0.15114004102452105</v>
      </c>
      <c r="M632" s="33">
        <f t="shared" si="464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65"/>
        <v>8270</v>
      </c>
      <c r="Y632" s="7">
        <f t="shared" si="449"/>
        <v>9.4307999999999996</v>
      </c>
      <c r="Z632" s="7">
        <f t="shared" ref="Z632:Z663" si="466">BR632-Y632-6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9">
        <v>0</v>
      </c>
      <c r="AL632" s="30">
        <v>1</v>
      </c>
      <c r="AM632" s="21">
        <v>2001</v>
      </c>
      <c r="AN632" s="23"/>
      <c r="AO632" s="33">
        <v>0.13719999999999999</v>
      </c>
      <c r="AP632" s="33">
        <f t="shared" si="450"/>
        <v>0.2238</v>
      </c>
      <c r="AQ632" s="33">
        <v>0.28599999999999998</v>
      </c>
      <c r="AR632" s="43">
        <v>0.35299999999999998</v>
      </c>
      <c r="AS632" s="33" t="s">
        <v>107</v>
      </c>
      <c r="AT632" s="43" t="s">
        <v>107</v>
      </c>
      <c r="AU632" s="42">
        <v>0.56999999999999995</v>
      </c>
      <c r="AV632" s="18">
        <v>0.43</v>
      </c>
      <c r="AW632">
        <v>1</v>
      </c>
      <c r="AX632" s="40">
        <v>0</v>
      </c>
      <c r="AY632" t="s">
        <v>107</v>
      </c>
      <c r="AZ632" s="40" t="s">
        <v>107</v>
      </c>
      <c r="BB632" s="18"/>
      <c r="BC632" t="s">
        <v>107</v>
      </c>
      <c r="BD632" s="18" t="s">
        <v>107</v>
      </c>
      <c r="BE632" s="18" t="s">
        <v>343</v>
      </c>
      <c r="BL632" s="18"/>
      <c r="BO632" s="18"/>
      <c r="BR632" s="25">
        <v>39.1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 s="18">
        <v>1</v>
      </c>
      <c r="CA632">
        <v>0</v>
      </c>
      <c r="CB632">
        <v>0</v>
      </c>
      <c r="CC632">
        <v>1</v>
      </c>
      <c r="CD632" s="18">
        <v>0</v>
      </c>
      <c r="CE632">
        <v>0</v>
      </c>
      <c r="CF632">
        <v>0</v>
      </c>
      <c r="CG632">
        <v>0</v>
      </c>
      <c r="CH632">
        <v>0</v>
      </c>
      <c r="CI632" s="18">
        <v>1</v>
      </c>
      <c r="CJ632">
        <v>1</v>
      </c>
      <c r="CK632">
        <v>1</v>
      </c>
      <c r="CL632">
        <v>0</v>
      </c>
      <c r="CM632">
        <v>0</v>
      </c>
      <c r="CN632">
        <v>0</v>
      </c>
      <c r="CO632">
        <v>1</v>
      </c>
      <c r="CP632">
        <v>0</v>
      </c>
      <c r="CQ632">
        <v>0</v>
      </c>
      <c r="CR632">
        <v>0</v>
      </c>
      <c r="CS632">
        <v>0</v>
      </c>
      <c r="CT632" s="18">
        <v>1</v>
      </c>
      <c r="CZ632" s="34" t="s">
        <v>87</v>
      </c>
    </row>
    <row r="633" spans="1:104" x14ac:dyDescent="0.25">
      <c r="A633">
        <v>632</v>
      </c>
      <c r="B633">
        <v>39</v>
      </c>
      <c r="C633" s="25" t="s">
        <v>342</v>
      </c>
      <c r="D633" s="12">
        <v>7.5</v>
      </c>
      <c r="E633" s="14">
        <v>0.5</v>
      </c>
      <c r="F633" s="7">
        <f t="shared" si="452"/>
        <v>15</v>
      </c>
      <c r="G633" s="7">
        <f t="shared" si="453"/>
        <v>7</v>
      </c>
      <c r="H633" s="16">
        <f t="shared" si="454"/>
        <v>8</v>
      </c>
      <c r="I633" s="11">
        <f t="shared" si="419"/>
        <v>0.25800784355766804</v>
      </c>
      <c r="J633" s="33">
        <f t="shared" si="420"/>
        <v>1.7200522903844537E-2</v>
      </c>
      <c r="K633" s="33">
        <f t="shared" si="462"/>
        <v>58.137767414994528</v>
      </c>
      <c r="L633" s="33">
        <f t="shared" si="463"/>
        <v>0.24080732065382349</v>
      </c>
      <c r="M633" s="33">
        <f t="shared" si="464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65"/>
        <v>3155</v>
      </c>
      <c r="Y633" s="7">
        <f t="shared" si="449"/>
        <v>9.4307999999999996</v>
      </c>
      <c r="Z633" s="7">
        <f t="shared" si="466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9">
        <v>0</v>
      </c>
      <c r="AL633" s="30">
        <v>1</v>
      </c>
      <c r="AM633" s="21">
        <v>2001</v>
      </c>
      <c r="AN633" s="23"/>
      <c r="AO633" s="33">
        <v>0.13719999999999999</v>
      </c>
      <c r="AP633" s="33">
        <f t="shared" si="450"/>
        <v>0.2238</v>
      </c>
      <c r="AQ633" s="33">
        <v>0.28599999999999998</v>
      </c>
      <c r="AR633" s="43">
        <v>0.35299999999999998</v>
      </c>
      <c r="AS633" s="33" t="s">
        <v>107</v>
      </c>
      <c r="AT633" s="43" t="s">
        <v>107</v>
      </c>
      <c r="AU633" s="42">
        <v>0.56999999999999995</v>
      </c>
      <c r="AV633" s="18">
        <v>0.43</v>
      </c>
      <c r="AW633">
        <v>1</v>
      </c>
      <c r="AX633" s="40">
        <v>0</v>
      </c>
      <c r="AY633" t="s">
        <v>107</v>
      </c>
      <c r="AZ633" s="40" t="s">
        <v>107</v>
      </c>
      <c r="BB633" s="18"/>
      <c r="BC633" t="s">
        <v>107</v>
      </c>
      <c r="BD633" s="18" t="s">
        <v>107</v>
      </c>
      <c r="BE633" s="18" t="s">
        <v>343</v>
      </c>
      <c r="BL633" s="18"/>
      <c r="BO633" s="18"/>
      <c r="BR633" s="25">
        <v>39.1</v>
      </c>
      <c r="BS633">
        <v>1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 s="18">
        <v>0</v>
      </c>
      <c r="CA633">
        <v>0</v>
      </c>
      <c r="CB633">
        <v>0</v>
      </c>
      <c r="CC633">
        <v>1</v>
      </c>
      <c r="CD633" s="18">
        <v>0</v>
      </c>
      <c r="CE633">
        <v>0</v>
      </c>
      <c r="CF633">
        <v>0</v>
      </c>
      <c r="CG633">
        <v>0</v>
      </c>
      <c r="CH633">
        <v>0</v>
      </c>
      <c r="CI633" s="18">
        <v>1</v>
      </c>
      <c r="CJ633">
        <v>1</v>
      </c>
      <c r="CK633">
        <v>1</v>
      </c>
      <c r="CL633">
        <v>0</v>
      </c>
      <c r="CM633">
        <v>0</v>
      </c>
      <c r="CN633">
        <v>0</v>
      </c>
      <c r="CO633">
        <v>1</v>
      </c>
      <c r="CP633">
        <v>0</v>
      </c>
      <c r="CQ633">
        <v>0</v>
      </c>
      <c r="CR633">
        <v>0</v>
      </c>
      <c r="CS633">
        <v>0</v>
      </c>
      <c r="CT633" s="18">
        <v>1</v>
      </c>
      <c r="CZ633" s="34" t="s">
        <v>87</v>
      </c>
    </row>
    <row r="634" spans="1:104" x14ac:dyDescent="0.25">
      <c r="A634">
        <v>633</v>
      </c>
      <c r="B634">
        <v>39</v>
      </c>
      <c r="C634" s="25" t="s">
        <v>342</v>
      </c>
      <c r="D634" s="12">
        <v>20.3</v>
      </c>
      <c r="E634" s="14">
        <v>2.9</v>
      </c>
      <c r="F634" s="7">
        <f t="shared" si="452"/>
        <v>7.0000000000000009</v>
      </c>
      <c r="G634" s="7">
        <f t="shared" si="453"/>
        <v>17.400000000000002</v>
      </c>
      <c r="H634" s="16">
        <f t="shared" si="454"/>
        <v>23.2</v>
      </c>
      <c r="I634" s="11">
        <f t="shared" si="419"/>
        <v>0.12382109909351439</v>
      </c>
      <c r="J634" s="33">
        <f t="shared" si="420"/>
        <v>1.7688728441930625E-2</v>
      </c>
      <c r="K634" s="33">
        <f t="shared" si="462"/>
        <v>56.53317610041028</v>
      </c>
      <c r="L634" s="33">
        <f t="shared" si="463"/>
        <v>0.10613237065158376</v>
      </c>
      <c r="M634" s="33">
        <f t="shared" si="464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65"/>
        <v>3147</v>
      </c>
      <c r="Y634" s="7">
        <f t="shared" si="449"/>
        <v>9.4307999999999996</v>
      </c>
      <c r="Z634" s="7">
        <f t="shared" si="466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9">
        <v>0</v>
      </c>
      <c r="AL634" s="30">
        <v>1</v>
      </c>
      <c r="AM634" s="21">
        <v>2001</v>
      </c>
      <c r="AN634" s="23"/>
      <c r="AO634" s="33">
        <v>0.13719999999999999</v>
      </c>
      <c r="AP634" s="33">
        <f t="shared" si="450"/>
        <v>0.2238</v>
      </c>
      <c r="AQ634" s="33">
        <v>0.28599999999999998</v>
      </c>
      <c r="AR634" s="43">
        <v>0.35299999999999998</v>
      </c>
      <c r="AS634" s="33" t="s">
        <v>107</v>
      </c>
      <c r="AT634" s="43" t="s">
        <v>107</v>
      </c>
      <c r="AU634" s="42">
        <v>0.56999999999999995</v>
      </c>
      <c r="AV634" s="18">
        <v>0.43</v>
      </c>
      <c r="AW634">
        <v>1</v>
      </c>
      <c r="AX634" s="40">
        <v>0</v>
      </c>
      <c r="AY634" t="s">
        <v>107</v>
      </c>
      <c r="AZ634" s="40" t="s">
        <v>107</v>
      </c>
      <c r="BB634" s="18"/>
      <c r="BC634" t="s">
        <v>107</v>
      </c>
      <c r="BD634" s="18" t="s">
        <v>107</v>
      </c>
      <c r="BE634" s="18" t="s">
        <v>343</v>
      </c>
      <c r="BL634" s="18"/>
      <c r="BO634" s="18"/>
      <c r="BR634" s="25">
        <v>39.1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 s="18">
        <v>1</v>
      </c>
      <c r="CA634">
        <v>0</v>
      </c>
      <c r="CB634">
        <v>0</v>
      </c>
      <c r="CC634">
        <v>1</v>
      </c>
      <c r="CD634" s="18">
        <v>0</v>
      </c>
      <c r="CE634">
        <v>0</v>
      </c>
      <c r="CF634">
        <v>0</v>
      </c>
      <c r="CG634">
        <v>0</v>
      </c>
      <c r="CH634">
        <v>0</v>
      </c>
      <c r="CI634" s="18">
        <v>1</v>
      </c>
      <c r="CJ634">
        <v>1</v>
      </c>
      <c r="CK634">
        <v>1</v>
      </c>
      <c r="CL634">
        <v>0</v>
      </c>
      <c r="CM634">
        <v>0</v>
      </c>
      <c r="CN634">
        <v>0</v>
      </c>
      <c r="CO634">
        <v>1</v>
      </c>
      <c r="CP634">
        <v>0</v>
      </c>
      <c r="CQ634">
        <v>0</v>
      </c>
      <c r="CR634">
        <v>0</v>
      </c>
      <c r="CS634">
        <v>0</v>
      </c>
      <c r="CT634" s="18">
        <v>1</v>
      </c>
      <c r="CZ634" s="34" t="s">
        <v>87</v>
      </c>
    </row>
    <row r="635" spans="1:104" x14ac:dyDescent="0.25">
      <c r="A635">
        <v>634</v>
      </c>
      <c r="B635">
        <v>39</v>
      </c>
      <c r="C635" s="25" t="s">
        <v>342</v>
      </c>
      <c r="D635" s="12">
        <v>8.4</v>
      </c>
      <c r="E635" s="14">
        <v>3</v>
      </c>
      <c r="F635" s="7">
        <f t="shared" si="452"/>
        <v>2.8000000000000003</v>
      </c>
      <c r="G635" s="7">
        <f t="shared" si="453"/>
        <v>5.4</v>
      </c>
      <c r="H635" s="16">
        <f t="shared" si="454"/>
        <v>11.4</v>
      </c>
      <c r="I635" s="11">
        <f t="shared" si="419"/>
        <v>5.6227166832005605E-2</v>
      </c>
      <c r="J635" s="33">
        <f t="shared" si="420"/>
        <v>2.008113101143057E-2</v>
      </c>
      <c r="K635" s="33">
        <f t="shared" si="462"/>
        <v>49.797991927385986</v>
      </c>
      <c r="L635" s="33">
        <f t="shared" si="463"/>
        <v>3.6146035820575032E-2</v>
      </c>
      <c r="M635" s="33">
        <f t="shared" si="464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65"/>
        <v>2472</v>
      </c>
      <c r="Y635" s="7">
        <f t="shared" si="449"/>
        <v>9.4307999999999996</v>
      </c>
      <c r="Z635" s="7">
        <f t="shared" si="466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9">
        <v>0</v>
      </c>
      <c r="AL635" s="30">
        <v>1</v>
      </c>
      <c r="AM635" s="21">
        <v>2001</v>
      </c>
      <c r="AN635" s="23"/>
      <c r="AO635" s="33">
        <v>0.13719999999999999</v>
      </c>
      <c r="AP635" s="33">
        <f t="shared" si="450"/>
        <v>0.2238</v>
      </c>
      <c r="AQ635" s="33">
        <v>0.28599999999999998</v>
      </c>
      <c r="AR635" s="43">
        <v>0.35299999999999998</v>
      </c>
      <c r="AS635" s="33" t="s">
        <v>107</v>
      </c>
      <c r="AT635" s="43" t="s">
        <v>107</v>
      </c>
      <c r="AU635" s="42">
        <v>0.56999999999999995</v>
      </c>
      <c r="AV635" s="18">
        <v>0.43</v>
      </c>
      <c r="AW635">
        <v>1</v>
      </c>
      <c r="AX635" s="40">
        <v>0</v>
      </c>
      <c r="AY635" t="s">
        <v>107</v>
      </c>
      <c r="AZ635" s="40" t="s">
        <v>107</v>
      </c>
      <c r="BB635" s="18"/>
      <c r="BC635" t="s">
        <v>107</v>
      </c>
      <c r="BD635" s="18" t="s">
        <v>107</v>
      </c>
      <c r="BE635" s="18" t="s">
        <v>343</v>
      </c>
      <c r="BL635" s="18"/>
      <c r="BO635" s="18"/>
      <c r="BR635" s="25">
        <v>39.1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 s="18">
        <v>1</v>
      </c>
      <c r="CA635">
        <v>0</v>
      </c>
      <c r="CB635">
        <v>0</v>
      </c>
      <c r="CC635">
        <v>1</v>
      </c>
      <c r="CD635" s="18">
        <v>0</v>
      </c>
      <c r="CE635">
        <v>0</v>
      </c>
      <c r="CF635">
        <v>0</v>
      </c>
      <c r="CG635">
        <v>0</v>
      </c>
      <c r="CH635">
        <v>0</v>
      </c>
      <c r="CI635" s="18">
        <v>1</v>
      </c>
      <c r="CJ635">
        <v>1</v>
      </c>
      <c r="CK635">
        <v>1</v>
      </c>
      <c r="CL635">
        <v>0</v>
      </c>
      <c r="CM635">
        <v>0</v>
      </c>
      <c r="CN635">
        <v>0</v>
      </c>
      <c r="CO635">
        <v>1</v>
      </c>
      <c r="CP635">
        <v>0</v>
      </c>
      <c r="CQ635">
        <v>0</v>
      </c>
      <c r="CR635">
        <v>0</v>
      </c>
      <c r="CS635">
        <v>0</v>
      </c>
      <c r="CT635" s="18">
        <v>1</v>
      </c>
      <c r="CZ635" s="34" t="s">
        <v>87</v>
      </c>
    </row>
    <row r="636" spans="1:104" x14ac:dyDescent="0.25">
      <c r="A636">
        <v>635</v>
      </c>
      <c r="B636">
        <v>39</v>
      </c>
      <c r="C636" s="25" t="s">
        <v>342</v>
      </c>
      <c r="D636" s="12">
        <v>6.1</v>
      </c>
      <c r="E636" s="14">
        <v>0.6</v>
      </c>
      <c r="F636" s="7">
        <f t="shared" si="452"/>
        <v>10.166666666666666</v>
      </c>
      <c r="G636" s="7">
        <f t="shared" si="453"/>
        <v>5.5</v>
      </c>
      <c r="H636" s="16">
        <f t="shared" si="454"/>
        <v>6.6999999999999993</v>
      </c>
      <c r="I636" s="11">
        <f t="shared" si="419"/>
        <v>0.17810617536526374</v>
      </c>
      <c r="J636" s="33">
        <f t="shared" si="420"/>
        <v>1.7518640199862007E-2</v>
      </c>
      <c r="K636" s="33">
        <f t="shared" si="462"/>
        <v>57.082055946778155</v>
      </c>
      <c r="L636" s="33">
        <f t="shared" si="463"/>
        <v>0.16058753516540172</v>
      </c>
      <c r="M636" s="33">
        <f t="shared" si="464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65"/>
        <v>3155</v>
      </c>
      <c r="Y636" s="7">
        <f t="shared" si="449"/>
        <v>9.4307999999999996</v>
      </c>
      <c r="Z636" s="7">
        <f t="shared" si="466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9">
        <v>0</v>
      </c>
      <c r="AL636" s="30">
        <v>1</v>
      </c>
      <c r="AM636" s="21">
        <v>2001</v>
      </c>
      <c r="AN636" s="23"/>
      <c r="AO636" s="33">
        <v>0.13719999999999999</v>
      </c>
      <c r="AP636" s="33">
        <f t="shared" si="450"/>
        <v>0.2238</v>
      </c>
      <c r="AQ636" s="33">
        <v>0.28599999999999998</v>
      </c>
      <c r="AR636" s="43">
        <v>0.35299999999999998</v>
      </c>
      <c r="AS636" s="33" t="s">
        <v>107</v>
      </c>
      <c r="AT636" s="43" t="s">
        <v>107</v>
      </c>
      <c r="AU636" s="42">
        <v>0.56999999999999995</v>
      </c>
      <c r="AV636" s="18">
        <v>0.43</v>
      </c>
      <c r="AW636">
        <v>1</v>
      </c>
      <c r="AX636" s="40">
        <v>0</v>
      </c>
      <c r="AY636" t="s">
        <v>107</v>
      </c>
      <c r="AZ636" s="40" t="s">
        <v>107</v>
      </c>
      <c r="BB636" s="18"/>
      <c r="BC636" t="s">
        <v>107</v>
      </c>
      <c r="BD636" s="18" t="s">
        <v>107</v>
      </c>
      <c r="BE636" s="18" t="s">
        <v>343</v>
      </c>
      <c r="BL636" s="18"/>
      <c r="BO636" s="18"/>
      <c r="BR636" s="25">
        <v>39.1</v>
      </c>
      <c r="BS636">
        <v>1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 s="18">
        <v>0</v>
      </c>
      <c r="CA636">
        <v>0</v>
      </c>
      <c r="CB636">
        <v>0</v>
      </c>
      <c r="CC636">
        <v>1</v>
      </c>
      <c r="CD636" s="18">
        <v>0</v>
      </c>
      <c r="CE636">
        <v>0</v>
      </c>
      <c r="CF636">
        <v>0</v>
      </c>
      <c r="CG636">
        <v>0</v>
      </c>
      <c r="CH636">
        <v>0</v>
      </c>
      <c r="CI636" s="18">
        <v>1</v>
      </c>
      <c r="CJ636">
        <v>1</v>
      </c>
      <c r="CK636">
        <v>1</v>
      </c>
      <c r="CL636">
        <v>0</v>
      </c>
      <c r="CM636">
        <v>0</v>
      </c>
      <c r="CN636">
        <v>0</v>
      </c>
      <c r="CO636">
        <v>1</v>
      </c>
      <c r="CP636">
        <v>0</v>
      </c>
      <c r="CQ636">
        <v>0</v>
      </c>
      <c r="CR636">
        <v>0</v>
      </c>
      <c r="CS636">
        <v>0</v>
      </c>
      <c r="CT636" s="18">
        <v>1</v>
      </c>
      <c r="CZ636" s="34" t="s">
        <v>87</v>
      </c>
    </row>
    <row r="637" spans="1:104" x14ac:dyDescent="0.25">
      <c r="A637">
        <v>636</v>
      </c>
      <c r="B637">
        <v>39</v>
      </c>
      <c r="C637" s="25" t="s">
        <v>342</v>
      </c>
      <c r="D637" s="12">
        <v>19.100000000000001</v>
      </c>
      <c r="E637" s="14">
        <v>3.1</v>
      </c>
      <c r="F637" s="7">
        <f t="shared" si="452"/>
        <v>6.161290322580645</v>
      </c>
      <c r="G637" s="7">
        <f t="shared" si="453"/>
        <v>16</v>
      </c>
      <c r="H637" s="16">
        <f t="shared" si="454"/>
        <v>22.200000000000003</v>
      </c>
      <c r="I637" s="11">
        <f t="shared" si="419"/>
        <v>0.12750634932750621</v>
      </c>
      <c r="J637" s="33">
        <f t="shared" si="420"/>
        <v>2.0694747796610954E-2</v>
      </c>
      <c r="K637" s="33">
        <f t="shared" si="462"/>
        <v>48.321439324994508</v>
      </c>
      <c r="L637" s="33">
        <f t="shared" si="463"/>
        <v>0.10681160153089525</v>
      </c>
      <c r="M637" s="33">
        <f t="shared" si="464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65"/>
        <v>2297</v>
      </c>
      <c r="Y637" s="7">
        <f t="shared" si="449"/>
        <v>9.4307999999999996</v>
      </c>
      <c r="Z637" s="7">
        <f t="shared" si="466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9">
        <v>0</v>
      </c>
      <c r="AL637" s="30">
        <v>1</v>
      </c>
      <c r="AM637" s="21">
        <v>2001</v>
      </c>
      <c r="AN637" s="23"/>
      <c r="AO637" s="33">
        <v>0.13719999999999999</v>
      </c>
      <c r="AP637" s="33">
        <f t="shared" si="450"/>
        <v>0.2238</v>
      </c>
      <c r="AQ637" s="33">
        <v>0.28599999999999998</v>
      </c>
      <c r="AR637" s="43">
        <v>0.35299999999999998</v>
      </c>
      <c r="AS637" s="33" t="s">
        <v>107</v>
      </c>
      <c r="AT637" s="43" t="s">
        <v>107</v>
      </c>
      <c r="AU637" s="42">
        <v>0.56999999999999995</v>
      </c>
      <c r="AV637" s="18">
        <v>0.43</v>
      </c>
      <c r="AW637">
        <v>1</v>
      </c>
      <c r="AX637" s="40">
        <v>0</v>
      </c>
      <c r="AY637" t="s">
        <v>107</v>
      </c>
      <c r="AZ637" s="40" t="s">
        <v>107</v>
      </c>
      <c r="BB637" s="18"/>
      <c r="BC637" t="s">
        <v>107</v>
      </c>
      <c r="BD637" s="18" t="s">
        <v>107</v>
      </c>
      <c r="BE637" s="18" t="s">
        <v>343</v>
      </c>
      <c r="BL637" s="18"/>
      <c r="BO637" s="18"/>
      <c r="BR637" s="25">
        <v>39.1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 s="18">
        <v>1</v>
      </c>
      <c r="CA637">
        <v>0</v>
      </c>
      <c r="CB637">
        <v>0</v>
      </c>
      <c r="CC637">
        <v>1</v>
      </c>
      <c r="CD637" s="18">
        <v>0</v>
      </c>
      <c r="CE637">
        <v>0</v>
      </c>
      <c r="CF637">
        <v>0</v>
      </c>
      <c r="CG637">
        <v>0</v>
      </c>
      <c r="CH637">
        <v>0</v>
      </c>
      <c r="CI637" s="18">
        <v>1</v>
      </c>
      <c r="CJ637">
        <v>1</v>
      </c>
      <c r="CK637">
        <v>1</v>
      </c>
      <c r="CL637">
        <v>0</v>
      </c>
      <c r="CM637">
        <v>0</v>
      </c>
      <c r="CN637">
        <v>0</v>
      </c>
      <c r="CO637">
        <v>1</v>
      </c>
      <c r="CP637">
        <v>0</v>
      </c>
      <c r="CQ637">
        <v>0</v>
      </c>
      <c r="CR637">
        <v>0</v>
      </c>
      <c r="CS637">
        <v>0</v>
      </c>
      <c r="CT637" s="18">
        <v>1</v>
      </c>
      <c r="CZ637" s="34" t="s">
        <v>87</v>
      </c>
    </row>
    <row r="638" spans="1:104" x14ac:dyDescent="0.25">
      <c r="A638">
        <v>637</v>
      </c>
      <c r="B638">
        <v>39</v>
      </c>
      <c r="C638" s="25" t="s">
        <v>342</v>
      </c>
      <c r="D638" s="12">
        <v>8</v>
      </c>
      <c r="E638" s="14">
        <v>3.3</v>
      </c>
      <c r="F638" s="7">
        <f t="shared" si="452"/>
        <v>2.4242424242424243</v>
      </c>
      <c r="G638" s="7">
        <f t="shared" si="453"/>
        <v>4.7</v>
      </c>
      <c r="H638" s="16">
        <f t="shared" si="454"/>
        <v>11.3</v>
      </c>
      <c r="I638" s="11">
        <f t="shared" si="419"/>
        <v>5.4703978219744508E-2</v>
      </c>
      <c r="J638" s="33">
        <f t="shared" si="420"/>
        <v>2.2565391015644611E-2</v>
      </c>
      <c r="K638" s="33">
        <f t="shared" si="462"/>
        <v>44.31565131340728</v>
      </c>
      <c r="L638" s="33">
        <f t="shared" si="463"/>
        <v>3.21385872040999E-2</v>
      </c>
      <c r="M638" s="33">
        <f t="shared" si="464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65"/>
        <v>1958</v>
      </c>
      <c r="Y638" s="7">
        <f t="shared" si="449"/>
        <v>9.4307999999999996</v>
      </c>
      <c r="Z638" s="7">
        <f t="shared" si="466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9">
        <v>0</v>
      </c>
      <c r="AL638" s="30">
        <v>1</v>
      </c>
      <c r="AM638" s="21">
        <v>2001</v>
      </c>
      <c r="AN638" s="23"/>
      <c r="AO638" s="33">
        <v>0.13719999999999999</v>
      </c>
      <c r="AP638" s="33">
        <f t="shared" si="450"/>
        <v>0.2238</v>
      </c>
      <c r="AQ638" s="33">
        <v>0.28599999999999998</v>
      </c>
      <c r="AR638" s="43">
        <v>0.35299999999999998</v>
      </c>
      <c r="AS638" s="33" t="s">
        <v>107</v>
      </c>
      <c r="AT638" s="43" t="s">
        <v>107</v>
      </c>
      <c r="AU638" s="42">
        <v>0.56999999999999995</v>
      </c>
      <c r="AV638" s="18">
        <v>0.43</v>
      </c>
      <c r="AW638">
        <v>1</v>
      </c>
      <c r="AX638" s="40">
        <v>0</v>
      </c>
      <c r="AY638" t="s">
        <v>107</v>
      </c>
      <c r="AZ638" s="40" t="s">
        <v>107</v>
      </c>
      <c r="BB638" s="18"/>
      <c r="BC638" t="s">
        <v>107</v>
      </c>
      <c r="BD638" s="18" t="s">
        <v>107</v>
      </c>
      <c r="BE638" s="18" t="s">
        <v>343</v>
      </c>
      <c r="BL638" s="18"/>
      <c r="BO638" s="18"/>
      <c r="BR638" s="25">
        <v>39.1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 s="18">
        <v>1</v>
      </c>
      <c r="CA638">
        <v>0</v>
      </c>
      <c r="CB638">
        <v>0</v>
      </c>
      <c r="CC638">
        <v>1</v>
      </c>
      <c r="CD638" s="18">
        <v>0</v>
      </c>
      <c r="CE638">
        <v>0</v>
      </c>
      <c r="CF638">
        <v>0</v>
      </c>
      <c r="CG638">
        <v>0</v>
      </c>
      <c r="CH638">
        <v>0</v>
      </c>
      <c r="CI638" s="18">
        <v>1</v>
      </c>
      <c r="CJ638">
        <v>1</v>
      </c>
      <c r="CK638">
        <v>1</v>
      </c>
      <c r="CL638">
        <v>0</v>
      </c>
      <c r="CM638">
        <v>0</v>
      </c>
      <c r="CN638">
        <v>0</v>
      </c>
      <c r="CO638">
        <v>1</v>
      </c>
      <c r="CP638">
        <v>0</v>
      </c>
      <c r="CQ638">
        <v>0</v>
      </c>
      <c r="CR638">
        <v>0</v>
      </c>
      <c r="CS638">
        <v>0</v>
      </c>
      <c r="CT638" s="18">
        <v>1</v>
      </c>
      <c r="CZ638" s="34" t="s">
        <v>87</v>
      </c>
    </row>
    <row r="639" spans="1:104" x14ac:dyDescent="0.25">
      <c r="A639">
        <v>638</v>
      </c>
      <c r="B639">
        <v>39</v>
      </c>
      <c r="C639" s="25" t="s">
        <v>342</v>
      </c>
      <c r="D639" s="12">
        <v>9.1999999999999993</v>
      </c>
      <c r="E639" s="14">
        <v>0.2</v>
      </c>
      <c r="F639" s="7">
        <f t="shared" si="452"/>
        <v>45.999999999999993</v>
      </c>
      <c r="G639" s="7">
        <f t="shared" si="453"/>
        <v>9</v>
      </c>
      <c r="H639" s="16">
        <f t="shared" si="454"/>
        <v>9.3999999999999986</v>
      </c>
      <c r="I639" s="11">
        <f t="shared" si="419"/>
        <v>0.39071541861692216</v>
      </c>
      <c r="J639" s="33">
        <f t="shared" si="420"/>
        <v>8.4938134481939605E-3</v>
      </c>
      <c r="K639" s="33">
        <f t="shared" si="462"/>
        <v>117.7327482054165</v>
      </c>
      <c r="L639" s="33">
        <f t="shared" si="463"/>
        <v>0.38222160516872822</v>
      </c>
      <c r="M639" s="33">
        <f t="shared" si="464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65"/>
        <v>11745</v>
      </c>
      <c r="Y639" s="7">
        <f t="shared" si="449"/>
        <v>9.4307999999999996</v>
      </c>
      <c r="Z639" s="7">
        <f t="shared" si="466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9">
        <v>0</v>
      </c>
      <c r="AL639" s="30">
        <v>1</v>
      </c>
      <c r="AM639" s="21">
        <v>2001</v>
      </c>
      <c r="AN639" s="23"/>
      <c r="AO639" s="33">
        <v>0.13719999999999999</v>
      </c>
      <c r="AP639" s="33">
        <f t="shared" si="450"/>
        <v>0.2238</v>
      </c>
      <c r="AQ639" s="33">
        <v>0.28599999999999998</v>
      </c>
      <c r="AR639" s="43">
        <v>0.35299999999999998</v>
      </c>
      <c r="AS639" s="33" t="s">
        <v>107</v>
      </c>
      <c r="AT639" s="43" t="s">
        <v>107</v>
      </c>
      <c r="AU639" s="42">
        <v>0.56999999999999995</v>
      </c>
      <c r="AV639" s="18">
        <v>0.43</v>
      </c>
      <c r="AW639">
        <v>0</v>
      </c>
      <c r="AX639" s="40">
        <v>1</v>
      </c>
      <c r="AY639" t="s">
        <v>107</v>
      </c>
      <c r="AZ639" s="40" t="s">
        <v>107</v>
      </c>
      <c r="BB639" s="18"/>
      <c r="BC639" t="s">
        <v>107</v>
      </c>
      <c r="BD639" s="18" t="s">
        <v>107</v>
      </c>
      <c r="BE639" s="18" t="s">
        <v>343</v>
      </c>
      <c r="BL639" s="18"/>
      <c r="BO639" s="18"/>
      <c r="BR639" s="25">
        <v>39.1</v>
      </c>
      <c r="BS639">
        <v>1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 s="18">
        <v>0</v>
      </c>
      <c r="CA639">
        <v>0</v>
      </c>
      <c r="CB639">
        <v>0</v>
      </c>
      <c r="CC639">
        <v>1</v>
      </c>
      <c r="CD639" s="18">
        <v>0</v>
      </c>
      <c r="CE639">
        <v>0</v>
      </c>
      <c r="CF639">
        <v>0</v>
      </c>
      <c r="CG639">
        <v>0</v>
      </c>
      <c r="CH639">
        <v>0</v>
      </c>
      <c r="CI639" s="18">
        <v>1</v>
      </c>
      <c r="CJ639">
        <v>1</v>
      </c>
      <c r="CK639">
        <v>1</v>
      </c>
      <c r="CL639">
        <v>0</v>
      </c>
      <c r="CM639">
        <v>0</v>
      </c>
      <c r="CN639">
        <v>0</v>
      </c>
      <c r="CO639">
        <v>1</v>
      </c>
      <c r="CP639">
        <v>0</v>
      </c>
      <c r="CQ639">
        <v>0</v>
      </c>
      <c r="CR639">
        <v>0</v>
      </c>
      <c r="CS639">
        <v>0</v>
      </c>
      <c r="CT639" s="18">
        <v>1</v>
      </c>
      <c r="CZ639" s="34" t="s">
        <v>87</v>
      </c>
    </row>
    <row r="640" spans="1:104" x14ac:dyDescent="0.25">
      <c r="A640">
        <v>639</v>
      </c>
      <c r="B640">
        <v>39</v>
      </c>
      <c r="C640" s="25" t="s">
        <v>342</v>
      </c>
      <c r="D640" s="12">
        <v>16.3</v>
      </c>
      <c r="E640" s="14">
        <v>1.1000000000000001</v>
      </c>
      <c r="F640" s="7">
        <f t="shared" si="452"/>
        <v>14.818181818181818</v>
      </c>
      <c r="G640" s="7">
        <f t="shared" si="453"/>
        <v>15.200000000000001</v>
      </c>
      <c r="H640" s="16">
        <f t="shared" si="454"/>
        <v>17.400000000000002</v>
      </c>
      <c r="I640" s="11">
        <f t="shared" si="419"/>
        <v>0.13547096277416754</v>
      </c>
      <c r="J640" s="33">
        <f t="shared" si="420"/>
        <v>9.1422122117536374E-3</v>
      </c>
      <c r="K640" s="33">
        <f t="shared" si="462"/>
        <v>109.38271578451824</v>
      </c>
      <c r="L640" s="33">
        <f t="shared" si="463"/>
        <v>0.12632875056241391</v>
      </c>
      <c r="M640" s="33">
        <f t="shared" si="464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65"/>
        <v>11745</v>
      </c>
      <c r="Y640" s="7">
        <f t="shared" si="449"/>
        <v>9.4307999999999996</v>
      </c>
      <c r="Z640" s="7">
        <f t="shared" si="466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9">
        <v>0</v>
      </c>
      <c r="AL640" s="30">
        <v>1</v>
      </c>
      <c r="AM640" s="21">
        <v>2001</v>
      </c>
      <c r="AN640" s="23"/>
      <c r="AO640" s="33">
        <v>0.13719999999999999</v>
      </c>
      <c r="AP640" s="33">
        <f t="shared" si="450"/>
        <v>0.2238</v>
      </c>
      <c r="AQ640" s="33">
        <v>0.28599999999999998</v>
      </c>
      <c r="AR640" s="43">
        <v>0.35299999999999998</v>
      </c>
      <c r="AS640" s="33" t="s">
        <v>107</v>
      </c>
      <c r="AT640" s="43" t="s">
        <v>107</v>
      </c>
      <c r="AU640" s="42">
        <v>0.56999999999999995</v>
      </c>
      <c r="AV640" s="18">
        <v>0.43</v>
      </c>
      <c r="AW640">
        <v>0</v>
      </c>
      <c r="AX640" s="40">
        <v>1</v>
      </c>
      <c r="AY640" t="s">
        <v>107</v>
      </c>
      <c r="AZ640" s="40" t="s">
        <v>107</v>
      </c>
      <c r="BB640" s="18"/>
      <c r="BC640" t="s">
        <v>107</v>
      </c>
      <c r="BD640" s="18" t="s">
        <v>107</v>
      </c>
      <c r="BE640" s="18" t="s">
        <v>343</v>
      </c>
      <c r="BL640" s="18"/>
      <c r="BO640" s="18"/>
      <c r="BR640" s="25">
        <v>39.1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 s="18">
        <v>1</v>
      </c>
      <c r="CA640">
        <v>0</v>
      </c>
      <c r="CB640">
        <v>0</v>
      </c>
      <c r="CC640">
        <v>1</v>
      </c>
      <c r="CD640" s="18">
        <v>0</v>
      </c>
      <c r="CE640">
        <v>0</v>
      </c>
      <c r="CF640">
        <v>0</v>
      </c>
      <c r="CG640">
        <v>0</v>
      </c>
      <c r="CH640">
        <v>0</v>
      </c>
      <c r="CI640" s="18">
        <v>1</v>
      </c>
      <c r="CJ640">
        <v>1</v>
      </c>
      <c r="CK640">
        <v>1</v>
      </c>
      <c r="CL640">
        <v>0</v>
      </c>
      <c r="CM640">
        <v>0</v>
      </c>
      <c r="CN640">
        <v>0</v>
      </c>
      <c r="CO640">
        <v>1</v>
      </c>
      <c r="CP640">
        <v>0</v>
      </c>
      <c r="CQ640">
        <v>0</v>
      </c>
      <c r="CR640">
        <v>0</v>
      </c>
      <c r="CS640">
        <v>0</v>
      </c>
      <c r="CT640" s="18">
        <v>1</v>
      </c>
      <c r="CZ640" s="34" t="s">
        <v>87</v>
      </c>
    </row>
    <row r="641" spans="1:104" x14ac:dyDescent="0.25">
      <c r="A641">
        <v>640</v>
      </c>
      <c r="B641">
        <v>39</v>
      </c>
      <c r="C641" s="25" t="s">
        <v>342</v>
      </c>
      <c r="D641" s="12">
        <v>12.6</v>
      </c>
      <c r="E641" s="14">
        <v>0.8</v>
      </c>
      <c r="F641" s="7">
        <f t="shared" si="452"/>
        <v>15.749999999999998</v>
      </c>
      <c r="G641" s="7">
        <f t="shared" si="453"/>
        <v>11.799999999999999</v>
      </c>
      <c r="H641" s="16">
        <f t="shared" si="454"/>
        <v>13.4</v>
      </c>
      <c r="I641" s="11">
        <f t="shared" si="419"/>
        <v>0.11981062609680501</v>
      </c>
      <c r="J641" s="33">
        <f t="shared" si="420"/>
        <v>7.607023879162224E-3</v>
      </c>
      <c r="K641" s="33">
        <f t="shared" si="462"/>
        <v>131.45745509479482</v>
      </c>
      <c r="L641" s="33">
        <f t="shared" si="463"/>
        <v>0.11220360221764279</v>
      </c>
      <c r="M641" s="33">
        <f t="shared" si="464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65"/>
        <v>17033</v>
      </c>
      <c r="Y641" s="7">
        <f t="shared" si="449"/>
        <v>9.4307999999999996</v>
      </c>
      <c r="Z641" s="7">
        <f t="shared" si="466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9">
        <v>0</v>
      </c>
      <c r="AL641" s="30">
        <v>1</v>
      </c>
      <c r="AM641" s="21">
        <v>2001</v>
      </c>
      <c r="AN641" s="23"/>
      <c r="AO641" s="33">
        <v>0.13719999999999999</v>
      </c>
      <c r="AP641" s="33">
        <f t="shared" si="450"/>
        <v>0.2238</v>
      </c>
      <c r="AQ641" s="33">
        <v>0.28599999999999998</v>
      </c>
      <c r="AR641" s="43">
        <v>0.35299999999999998</v>
      </c>
      <c r="AS641" s="33" t="s">
        <v>107</v>
      </c>
      <c r="AT641" s="43" t="s">
        <v>107</v>
      </c>
      <c r="AU641" s="42">
        <v>0.56999999999999995</v>
      </c>
      <c r="AV641" s="18">
        <v>0.43</v>
      </c>
      <c r="AW641">
        <v>0</v>
      </c>
      <c r="AX641" s="40">
        <v>1</v>
      </c>
      <c r="AY641" t="s">
        <v>107</v>
      </c>
      <c r="AZ641" s="40" t="s">
        <v>107</v>
      </c>
      <c r="BB641" s="18"/>
      <c r="BC641" t="s">
        <v>107</v>
      </c>
      <c r="BD641" s="18" t="s">
        <v>107</v>
      </c>
      <c r="BE641" s="18" t="s">
        <v>343</v>
      </c>
      <c r="BL641" s="18"/>
      <c r="BO641" s="18"/>
      <c r="BR641" s="25">
        <v>39.1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 s="18">
        <v>1</v>
      </c>
      <c r="CA641">
        <v>0</v>
      </c>
      <c r="CB641">
        <v>0</v>
      </c>
      <c r="CC641">
        <v>1</v>
      </c>
      <c r="CD641" s="18">
        <v>0</v>
      </c>
      <c r="CE641">
        <v>0</v>
      </c>
      <c r="CF641">
        <v>0</v>
      </c>
      <c r="CG641">
        <v>0</v>
      </c>
      <c r="CH641">
        <v>0</v>
      </c>
      <c r="CI641" s="18">
        <v>1</v>
      </c>
      <c r="CJ641">
        <v>1</v>
      </c>
      <c r="CK641">
        <v>1</v>
      </c>
      <c r="CL641">
        <v>0</v>
      </c>
      <c r="CM641">
        <v>0</v>
      </c>
      <c r="CN641">
        <v>0</v>
      </c>
      <c r="CO641">
        <v>1</v>
      </c>
      <c r="CP641">
        <v>0</v>
      </c>
      <c r="CQ641">
        <v>0</v>
      </c>
      <c r="CR641">
        <v>0</v>
      </c>
      <c r="CS641">
        <v>0</v>
      </c>
      <c r="CT641" s="18">
        <v>1</v>
      </c>
      <c r="CZ641" s="34" t="s">
        <v>87</v>
      </c>
    </row>
    <row r="642" spans="1:104" x14ac:dyDescent="0.25">
      <c r="A642">
        <v>641</v>
      </c>
      <c r="B642">
        <v>39</v>
      </c>
      <c r="C642" s="25" t="s">
        <v>342</v>
      </c>
      <c r="D642" s="12">
        <v>10.3</v>
      </c>
      <c r="E642" s="14">
        <v>0.2</v>
      </c>
      <c r="F642" s="7">
        <f t="shared" si="452"/>
        <v>51.5</v>
      </c>
      <c r="G642" s="7">
        <f t="shared" si="453"/>
        <v>10.100000000000001</v>
      </c>
      <c r="H642" s="16">
        <f t="shared" si="454"/>
        <v>10.5</v>
      </c>
      <c r="I642" s="11">
        <f t="shared" ref="I642:I691" si="467">IFERROR(F642/SQRT(F642^2+W642), "X")</f>
        <v>0.47764592668287958</v>
      </c>
      <c r="J642" s="33">
        <f t="shared" ref="J642:J705" si="468">IFERROR(SQRT((1-I642^2)/W642), "X")</f>
        <v>9.2746781880170773E-3</v>
      </c>
      <c r="K642" s="33">
        <f t="shared" si="462"/>
        <v>107.82045260524555</v>
      </c>
      <c r="L642" s="33">
        <f t="shared" si="463"/>
        <v>0.4683712484948625</v>
      </c>
      <c r="M642" s="33">
        <f t="shared" si="464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65"/>
        <v>8973</v>
      </c>
      <c r="Y642" s="7">
        <f t="shared" si="449"/>
        <v>9.4307999999999996</v>
      </c>
      <c r="Z642" s="7">
        <f t="shared" si="466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9">
        <v>0</v>
      </c>
      <c r="AL642" s="30">
        <v>1</v>
      </c>
      <c r="AM642" s="21">
        <v>2001</v>
      </c>
      <c r="AN642" s="23"/>
      <c r="AO642" s="33">
        <v>0.13719999999999999</v>
      </c>
      <c r="AP642" s="33">
        <f t="shared" si="450"/>
        <v>0.2238</v>
      </c>
      <c r="AQ642" s="33">
        <v>0.28599999999999998</v>
      </c>
      <c r="AR642" s="43">
        <v>0.35299999999999998</v>
      </c>
      <c r="AS642" s="33" t="s">
        <v>107</v>
      </c>
      <c r="AT642" s="43" t="s">
        <v>107</v>
      </c>
      <c r="AU642" s="42">
        <v>0.56999999999999995</v>
      </c>
      <c r="AV642" s="18">
        <v>0.43</v>
      </c>
      <c r="AW642">
        <v>0</v>
      </c>
      <c r="AX642" s="40">
        <v>1</v>
      </c>
      <c r="AY642" t="s">
        <v>107</v>
      </c>
      <c r="AZ642" s="40" t="s">
        <v>107</v>
      </c>
      <c r="BB642" s="18"/>
      <c r="BC642" t="s">
        <v>107</v>
      </c>
      <c r="BD642" s="18" t="s">
        <v>107</v>
      </c>
      <c r="BE642" s="18" t="s">
        <v>343</v>
      </c>
      <c r="BL642" s="18"/>
      <c r="BO642" s="18"/>
      <c r="BR642" s="25">
        <v>39.1</v>
      </c>
      <c r="BS642">
        <v>1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 s="18">
        <v>0</v>
      </c>
      <c r="CA642">
        <v>0</v>
      </c>
      <c r="CB642">
        <v>0</v>
      </c>
      <c r="CC642">
        <v>1</v>
      </c>
      <c r="CD642" s="18">
        <v>0</v>
      </c>
      <c r="CE642">
        <v>0</v>
      </c>
      <c r="CF642">
        <v>0</v>
      </c>
      <c r="CG642">
        <v>0</v>
      </c>
      <c r="CH642">
        <v>0</v>
      </c>
      <c r="CI642" s="18">
        <v>1</v>
      </c>
      <c r="CJ642">
        <v>1</v>
      </c>
      <c r="CK642">
        <v>1</v>
      </c>
      <c r="CL642">
        <v>0</v>
      </c>
      <c r="CM642">
        <v>0</v>
      </c>
      <c r="CN642">
        <v>0</v>
      </c>
      <c r="CO642">
        <v>1</v>
      </c>
      <c r="CP642">
        <v>0</v>
      </c>
      <c r="CQ642">
        <v>0</v>
      </c>
      <c r="CR642">
        <v>0</v>
      </c>
      <c r="CS642">
        <v>0</v>
      </c>
      <c r="CT642" s="18">
        <v>1</v>
      </c>
      <c r="CZ642" s="34" t="s">
        <v>87</v>
      </c>
    </row>
    <row r="643" spans="1:104" x14ac:dyDescent="0.25">
      <c r="A643">
        <v>642</v>
      </c>
      <c r="B643">
        <v>39</v>
      </c>
      <c r="C643" s="25" t="s">
        <v>342</v>
      </c>
      <c r="D643" s="12">
        <v>16.8</v>
      </c>
      <c r="E643" s="14">
        <v>1.1000000000000001</v>
      </c>
      <c r="F643" s="7">
        <f t="shared" si="452"/>
        <v>15.272727272727272</v>
      </c>
      <c r="G643" s="7">
        <f t="shared" si="453"/>
        <v>15.700000000000001</v>
      </c>
      <c r="H643" s="16">
        <f t="shared" si="454"/>
        <v>17.900000000000002</v>
      </c>
      <c r="I643" s="11">
        <f t="shared" si="467"/>
        <v>0.15917507687208587</v>
      </c>
      <c r="J643" s="33">
        <f t="shared" si="468"/>
        <v>1.0422177652338957E-2</v>
      </c>
      <c r="K643" s="33">
        <f t="shared" si="462"/>
        <v>95.949237612120243</v>
      </c>
      <c r="L643" s="33">
        <f t="shared" si="463"/>
        <v>0.14875289921974691</v>
      </c>
      <c r="M643" s="33">
        <f t="shared" si="464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65"/>
        <v>8973</v>
      </c>
      <c r="Y643" s="7">
        <f t="shared" si="449"/>
        <v>9.4307999999999996</v>
      </c>
      <c r="Z643" s="7">
        <f t="shared" si="466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9">
        <v>0</v>
      </c>
      <c r="AL643" s="30">
        <v>1</v>
      </c>
      <c r="AM643" s="21">
        <v>2001</v>
      </c>
      <c r="AN643" s="23"/>
      <c r="AO643" s="33">
        <v>0.13719999999999999</v>
      </c>
      <c r="AP643" s="33">
        <f t="shared" si="450"/>
        <v>0.2238</v>
      </c>
      <c r="AQ643" s="33">
        <v>0.28599999999999998</v>
      </c>
      <c r="AR643" s="43">
        <v>0.35299999999999998</v>
      </c>
      <c r="AS643" s="33" t="s">
        <v>107</v>
      </c>
      <c r="AT643" s="43" t="s">
        <v>107</v>
      </c>
      <c r="AU643" s="42">
        <v>0.56999999999999995</v>
      </c>
      <c r="AV643" s="18">
        <v>0.43</v>
      </c>
      <c r="AW643">
        <v>0</v>
      </c>
      <c r="AX643" s="40">
        <v>1</v>
      </c>
      <c r="AY643" t="s">
        <v>107</v>
      </c>
      <c r="AZ643" s="40" t="s">
        <v>107</v>
      </c>
      <c r="BB643" s="18"/>
      <c r="BC643" t="s">
        <v>107</v>
      </c>
      <c r="BD643" s="18" t="s">
        <v>107</v>
      </c>
      <c r="BE643" s="18" t="s">
        <v>343</v>
      </c>
      <c r="BL643" s="18"/>
      <c r="BO643" s="18"/>
      <c r="BR643" s="25">
        <v>39.1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 s="18">
        <v>1</v>
      </c>
      <c r="CA643">
        <v>0</v>
      </c>
      <c r="CB643">
        <v>0</v>
      </c>
      <c r="CC643">
        <v>1</v>
      </c>
      <c r="CD643" s="18">
        <v>0</v>
      </c>
      <c r="CE643">
        <v>0</v>
      </c>
      <c r="CF643">
        <v>0</v>
      </c>
      <c r="CG643">
        <v>0</v>
      </c>
      <c r="CH643">
        <v>0</v>
      </c>
      <c r="CI643" s="18">
        <v>1</v>
      </c>
      <c r="CJ643">
        <v>1</v>
      </c>
      <c r="CK643">
        <v>1</v>
      </c>
      <c r="CL643">
        <v>0</v>
      </c>
      <c r="CM643">
        <v>0</v>
      </c>
      <c r="CN643">
        <v>0</v>
      </c>
      <c r="CO643">
        <v>1</v>
      </c>
      <c r="CP643">
        <v>0</v>
      </c>
      <c r="CQ643">
        <v>0</v>
      </c>
      <c r="CR643">
        <v>0</v>
      </c>
      <c r="CS643">
        <v>0</v>
      </c>
      <c r="CT643" s="18">
        <v>1</v>
      </c>
      <c r="CZ643" s="34" t="s">
        <v>87</v>
      </c>
    </row>
    <row r="644" spans="1:104" x14ac:dyDescent="0.25">
      <c r="A644">
        <v>643</v>
      </c>
      <c r="B644">
        <v>39</v>
      </c>
      <c r="C644" s="25" t="s">
        <v>342</v>
      </c>
      <c r="D644" s="12">
        <v>12</v>
      </c>
      <c r="E644" s="14">
        <v>0.6</v>
      </c>
      <c r="F644" s="7">
        <f t="shared" si="452"/>
        <v>20</v>
      </c>
      <c r="G644" s="7">
        <f t="shared" si="453"/>
        <v>11.4</v>
      </c>
      <c r="H644" s="16">
        <f t="shared" si="454"/>
        <v>12.6</v>
      </c>
      <c r="I644" s="11">
        <f t="shared" si="467"/>
        <v>0.38454428462686413</v>
      </c>
      <c r="J644" s="33">
        <f t="shared" si="468"/>
        <v>1.9227214231343204E-2</v>
      </c>
      <c r="K644" s="33">
        <f t="shared" si="462"/>
        <v>52.009614495783381</v>
      </c>
      <c r="L644" s="33">
        <f t="shared" si="463"/>
        <v>0.36531707039552092</v>
      </c>
      <c r="M644" s="33">
        <f t="shared" si="464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65"/>
        <v>2305</v>
      </c>
      <c r="Y644" s="7">
        <f t="shared" si="449"/>
        <v>9.4307999999999996</v>
      </c>
      <c r="Z644" s="7">
        <f t="shared" si="466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9">
        <v>0</v>
      </c>
      <c r="AL644" s="30">
        <v>1</v>
      </c>
      <c r="AM644" s="21">
        <v>2001</v>
      </c>
      <c r="AN644" s="23"/>
      <c r="AO644" s="33">
        <v>0.13719999999999999</v>
      </c>
      <c r="AP644" s="33">
        <f t="shared" si="450"/>
        <v>0.2238</v>
      </c>
      <c r="AQ644" s="33">
        <v>0.28599999999999998</v>
      </c>
      <c r="AR644" s="43">
        <v>0.35299999999999998</v>
      </c>
      <c r="AS644" s="33" t="s">
        <v>107</v>
      </c>
      <c r="AT644" s="43" t="s">
        <v>107</v>
      </c>
      <c r="AU644" s="42">
        <v>0.56999999999999995</v>
      </c>
      <c r="AV644" s="18">
        <v>0.43</v>
      </c>
      <c r="AW644">
        <v>0</v>
      </c>
      <c r="AX644" s="40">
        <v>1</v>
      </c>
      <c r="AY644" t="s">
        <v>107</v>
      </c>
      <c r="AZ644" s="40" t="s">
        <v>107</v>
      </c>
      <c r="BB644" s="18"/>
      <c r="BC644" t="s">
        <v>107</v>
      </c>
      <c r="BD644" s="18" t="s">
        <v>107</v>
      </c>
      <c r="BE644" s="18" t="s">
        <v>343</v>
      </c>
      <c r="BL644" s="18"/>
      <c r="BO644" s="18"/>
      <c r="BR644" s="25">
        <v>39.1</v>
      </c>
      <c r="BS644">
        <v>1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 s="18">
        <v>0</v>
      </c>
      <c r="CA644">
        <v>0</v>
      </c>
      <c r="CB644">
        <v>0</v>
      </c>
      <c r="CC644">
        <v>1</v>
      </c>
      <c r="CD644" s="18">
        <v>0</v>
      </c>
      <c r="CE644">
        <v>0</v>
      </c>
      <c r="CF644">
        <v>0</v>
      </c>
      <c r="CG644">
        <v>0</v>
      </c>
      <c r="CH644">
        <v>0</v>
      </c>
      <c r="CI644" s="18">
        <v>1</v>
      </c>
      <c r="CJ644">
        <v>1</v>
      </c>
      <c r="CK644">
        <v>1</v>
      </c>
      <c r="CL644">
        <v>0</v>
      </c>
      <c r="CM644">
        <v>0</v>
      </c>
      <c r="CN644">
        <v>0</v>
      </c>
      <c r="CO644">
        <v>1</v>
      </c>
      <c r="CP644">
        <v>0</v>
      </c>
      <c r="CQ644">
        <v>0</v>
      </c>
      <c r="CR644">
        <v>0</v>
      </c>
      <c r="CS644">
        <v>0</v>
      </c>
      <c r="CT644" s="18">
        <v>1</v>
      </c>
      <c r="CZ644" s="34" t="s">
        <v>87</v>
      </c>
    </row>
    <row r="645" spans="1:104" x14ac:dyDescent="0.25">
      <c r="A645">
        <v>644</v>
      </c>
      <c r="B645">
        <v>39</v>
      </c>
      <c r="C645" s="25" t="s">
        <v>342</v>
      </c>
      <c r="D645" s="12">
        <v>24.1</v>
      </c>
      <c r="E645" s="14">
        <v>3</v>
      </c>
      <c r="F645" s="7">
        <f t="shared" si="452"/>
        <v>8.0333333333333332</v>
      </c>
      <c r="G645" s="7">
        <f t="shared" si="453"/>
        <v>21.1</v>
      </c>
      <c r="H645" s="16">
        <f t="shared" si="454"/>
        <v>27.1</v>
      </c>
      <c r="I645" s="11">
        <f t="shared" si="467"/>
        <v>0.15218210253381906</v>
      </c>
      <c r="J645" s="33">
        <f t="shared" si="468"/>
        <v>1.8943830190931835E-2</v>
      </c>
      <c r="K645" s="33">
        <f t="shared" si="462"/>
        <v>52.787635336738134</v>
      </c>
      <c r="L645" s="33">
        <f t="shared" si="463"/>
        <v>0.13323827234288721</v>
      </c>
      <c r="M645" s="33">
        <f t="shared" si="464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65"/>
        <v>2722</v>
      </c>
      <c r="Y645" s="7">
        <f t="shared" si="449"/>
        <v>9.4307999999999996</v>
      </c>
      <c r="Z645" s="7">
        <f t="shared" si="466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9">
        <v>0</v>
      </c>
      <c r="AL645" s="30">
        <v>1</v>
      </c>
      <c r="AM645" s="21">
        <v>2001</v>
      </c>
      <c r="AN645" s="23"/>
      <c r="AO645" s="33">
        <v>0.13719999999999999</v>
      </c>
      <c r="AP645" s="33">
        <f t="shared" si="450"/>
        <v>0.2238</v>
      </c>
      <c r="AQ645" s="33">
        <v>0.28599999999999998</v>
      </c>
      <c r="AR645" s="43">
        <v>0.35299999999999998</v>
      </c>
      <c r="AS645" s="33" t="s">
        <v>107</v>
      </c>
      <c r="AT645" s="43" t="s">
        <v>107</v>
      </c>
      <c r="AU645" s="42">
        <v>0.56999999999999995</v>
      </c>
      <c r="AV645" s="18">
        <v>0.43</v>
      </c>
      <c r="AW645">
        <v>0</v>
      </c>
      <c r="AX645" s="40">
        <v>1</v>
      </c>
      <c r="AY645" t="s">
        <v>107</v>
      </c>
      <c r="AZ645" s="40" t="s">
        <v>107</v>
      </c>
      <c r="BB645" s="18"/>
      <c r="BC645" t="s">
        <v>107</v>
      </c>
      <c r="BD645" s="18" t="s">
        <v>107</v>
      </c>
      <c r="BE645" s="18" t="s">
        <v>343</v>
      </c>
      <c r="BL645" s="18"/>
      <c r="BO645" s="18"/>
      <c r="BR645" s="25">
        <v>39.1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 s="18">
        <v>1</v>
      </c>
      <c r="CA645">
        <v>0</v>
      </c>
      <c r="CB645">
        <v>0</v>
      </c>
      <c r="CC645">
        <v>1</v>
      </c>
      <c r="CD645" s="18">
        <v>0</v>
      </c>
      <c r="CE645">
        <v>0</v>
      </c>
      <c r="CF645">
        <v>0</v>
      </c>
      <c r="CG645">
        <v>0</v>
      </c>
      <c r="CH645">
        <v>0</v>
      </c>
      <c r="CI645" s="18">
        <v>1</v>
      </c>
      <c r="CJ645">
        <v>1</v>
      </c>
      <c r="CK645">
        <v>1</v>
      </c>
      <c r="CL645">
        <v>0</v>
      </c>
      <c r="CM645">
        <v>0</v>
      </c>
      <c r="CN645">
        <v>0</v>
      </c>
      <c r="CO645">
        <v>1</v>
      </c>
      <c r="CP645">
        <v>0</v>
      </c>
      <c r="CQ645">
        <v>0</v>
      </c>
      <c r="CR645">
        <v>0</v>
      </c>
      <c r="CS645">
        <v>0</v>
      </c>
      <c r="CT645" s="18">
        <v>1</v>
      </c>
      <c r="CZ645" s="34" t="s">
        <v>87</v>
      </c>
    </row>
    <row r="646" spans="1:104" x14ac:dyDescent="0.25">
      <c r="A646">
        <v>645</v>
      </c>
      <c r="B646">
        <v>39</v>
      </c>
      <c r="C646" s="25" t="s">
        <v>342</v>
      </c>
      <c r="D646" s="12">
        <v>21.9</v>
      </c>
      <c r="E646" s="14">
        <v>2.5</v>
      </c>
      <c r="F646" s="7">
        <f t="shared" si="452"/>
        <v>8.76</v>
      </c>
      <c r="G646" s="7">
        <f t="shared" si="453"/>
        <v>19.399999999999999</v>
      </c>
      <c r="H646" s="16">
        <f t="shared" si="454"/>
        <v>24.4</v>
      </c>
      <c r="I646" s="11">
        <f t="shared" si="467"/>
        <v>0.18622549971585556</v>
      </c>
      <c r="J646" s="33">
        <f t="shared" si="468"/>
        <v>2.1258618689024608E-2</v>
      </c>
      <c r="K646" s="33">
        <f t="shared" si="462"/>
        <v>47.039744897267461</v>
      </c>
      <c r="L646" s="33">
        <f t="shared" si="463"/>
        <v>0.16496688102683094</v>
      </c>
      <c r="M646" s="33">
        <f t="shared" si="464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65"/>
        <v>2136</v>
      </c>
      <c r="Y646" s="7">
        <f t="shared" si="449"/>
        <v>9.4307999999999996</v>
      </c>
      <c r="Z646" s="7">
        <f t="shared" si="466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9">
        <v>0</v>
      </c>
      <c r="AL646" s="30">
        <v>1</v>
      </c>
      <c r="AM646" s="21">
        <v>2001</v>
      </c>
      <c r="AN646" s="23"/>
      <c r="AO646" s="33">
        <v>0.13719999999999999</v>
      </c>
      <c r="AP646" s="33">
        <f t="shared" si="450"/>
        <v>0.2238</v>
      </c>
      <c r="AQ646" s="33">
        <v>0.28599999999999998</v>
      </c>
      <c r="AR646" s="43">
        <v>0.35299999999999998</v>
      </c>
      <c r="AS646" s="33" t="s">
        <v>107</v>
      </c>
      <c r="AT646" s="43" t="s">
        <v>107</v>
      </c>
      <c r="AU646" s="42">
        <v>0.56999999999999995</v>
      </c>
      <c r="AV646" s="18">
        <v>0.43</v>
      </c>
      <c r="AW646">
        <v>0</v>
      </c>
      <c r="AX646" s="40">
        <v>1</v>
      </c>
      <c r="AY646" t="s">
        <v>107</v>
      </c>
      <c r="AZ646" s="40" t="s">
        <v>107</v>
      </c>
      <c r="BB646" s="18"/>
      <c r="BC646" t="s">
        <v>107</v>
      </c>
      <c r="BD646" s="18" t="s">
        <v>107</v>
      </c>
      <c r="BE646" s="18" t="s">
        <v>343</v>
      </c>
      <c r="BL646" s="18"/>
      <c r="BO646" s="18"/>
      <c r="BR646" s="25">
        <v>39.1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 s="18">
        <v>1</v>
      </c>
      <c r="CA646">
        <v>0</v>
      </c>
      <c r="CB646">
        <v>0</v>
      </c>
      <c r="CC646">
        <v>1</v>
      </c>
      <c r="CD646" s="18">
        <v>0</v>
      </c>
      <c r="CE646">
        <v>0</v>
      </c>
      <c r="CF646">
        <v>0</v>
      </c>
      <c r="CG646">
        <v>0</v>
      </c>
      <c r="CH646">
        <v>0</v>
      </c>
      <c r="CI646" s="18">
        <v>1</v>
      </c>
      <c r="CJ646">
        <v>1</v>
      </c>
      <c r="CK646">
        <v>1</v>
      </c>
      <c r="CL646">
        <v>0</v>
      </c>
      <c r="CM646">
        <v>0</v>
      </c>
      <c r="CN646">
        <v>0</v>
      </c>
      <c r="CO646">
        <v>1</v>
      </c>
      <c r="CP646">
        <v>0</v>
      </c>
      <c r="CQ646">
        <v>0</v>
      </c>
      <c r="CR646">
        <v>0</v>
      </c>
      <c r="CS646">
        <v>0</v>
      </c>
      <c r="CT646" s="18">
        <v>1</v>
      </c>
      <c r="CZ646" s="34" t="s">
        <v>87</v>
      </c>
    </row>
    <row r="647" spans="1:104" x14ac:dyDescent="0.25">
      <c r="A647">
        <v>646</v>
      </c>
      <c r="B647">
        <v>39</v>
      </c>
      <c r="C647" s="25" t="s">
        <v>342</v>
      </c>
      <c r="D647" s="12">
        <v>10.7</v>
      </c>
      <c r="E647" s="14">
        <v>0.7</v>
      </c>
      <c r="F647" s="7">
        <f t="shared" si="452"/>
        <v>15.285714285714286</v>
      </c>
      <c r="G647" s="7">
        <f t="shared" si="453"/>
        <v>10</v>
      </c>
      <c r="H647" s="16">
        <f t="shared" si="454"/>
        <v>11.399999999999999</v>
      </c>
      <c r="I647" s="11">
        <f t="shared" si="467"/>
        <v>0.32584416439046376</v>
      </c>
      <c r="J647" s="33">
        <f t="shared" si="468"/>
        <v>2.1316907950777998E-2</v>
      </c>
      <c r="K647" s="33">
        <f t="shared" si="462"/>
        <v>46.911118737720273</v>
      </c>
      <c r="L647" s="33">
        <f t="shared" si="463"/>
        <v>0.30452725643968576</v>
      </c>
      <c r="M647" s="33">
        <f t="shared" si="464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65"/>
        <v>1967</v>
      </c>
      <c r="Y647" s="7">
        <f t="shared" si="449"/>
        <v>9.4307999999999996</v>
      </c>
      <c r="Z647" s="7">
        <f t="shared" si="466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9">
        <v>0</v>
      </c>
      <c r="AL647" s="30">
        <v>1</v>
      </c>
      <c r="AM647" s="21">
        <v>2001</v>
      </c>
      <c r="AN647" s="23"/>
      <c r="AO647" s="33">
        <v>0.13719999999999999</v>
      </c>
      <c r="AP647" s="33">
        <f t="shared" si="450"/>
        <v>0.2238</v>
      </c>
      <c r="AQ647" s="33">
        <v>0.28599999999999998</v>
      </c>
      <c r="AR647" s="43">
        <v>0.35299999999999998</v>
      </c>
      <c r="AS647" s="33" t="s">
        <v>107</v>
      </c>
      <c r="AT647" s="43" t="s">
        <v>107</v>
      </c>
      <c r="AU647" s="42">
        <v>0.56999999999999995</v>
      </c>
      <c r="AV647" s="18">
        <v>0.43</v>
      </c>
      <c r="AW647">
        <v>0</v>
      </c>
      <c r="AX647" s="40">
        <v>1</v>
      </c>
      <c r="AY647" t="s">
        <v>107</v>
      </c>
      <c r="AZ647" s="40" t="s">
        <v>107</v>
      </c>
      <c r="BB647" s="18"/>
      <c r="BC647" t="s">
        <v>107</v>
      </c>
      <c r="BD647" s="18" t="s">
        <v>107</v>
      </c>
      <c r="BE647" s="18" t="s">
        <v>343</v>
      </c>
      <c r="BL647" s="18"/>
      <c r="BO647" s="18"/>
      <c r="BR647" s="25">
        <v>39.1</v>
      </c>
      <c r="BS647">
        <v>1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 s="18">
        <v>0</v>
      </c>
      <c r="CA647">
        <v>0</v>
      </c>
      <c r="CB647">
        <v>0</v>
      </c>
      <c r="CC647">
        <v>1</v>
      </c>
      <c r="CD647" s="18">
        <v>0</v>
      </c>
      <c r="CE647">
        <v>0</v>
      </c>
      <c r="CF647">
        <v>0</v>
      </c>
      <c r="CG647">
        <v>0</v>
      </c>
      <c r="CH647">
        <v>0</v>
      </c>
      <c r="CI647" s="18">
        <v>1</v>
      </c>
      <c r="CJ647">
        <v>1</v>
      </c>
      <c r="CK647">
        <v>1</v>
      </c>
      <c r="CL647">
        <v>0</v>
      </c>
      <c r="CM647">
        <v>0</v>
      </c>
      <c r="CN647">
        <v>0</v>
      </c>
      <c r="CO647">
        <v>1</v>
      </c>
      <c r="CP647">
        <v>0</v>
      </c>
      <c r="CQ647">
        <v>0</v>
      </c>
      <c r="CR647">
        <v>0</v>
      </c>
      <c r="CS647">
        <v>0</v>
      </c>
      <c r="CT647" s="18">
        <v>1</v>
      </c>
      <c r="CZ647" s="34" t="s">
        <v>87</v>
      </c>
    </row>
    <row r="648" spans="1:104" x14ac:dyDescent="0.25">
      <c r="A648">
        <v>647</v>
      </c>
      <c r="B648">
        <v>39</v>
      </c>
      <c r="C648" s="25" t="s">
        <v>342</v>
      </c>
      <c r="D648" s="12">
        <v>21.5</v>
      </c>
      <c r="E648" s="14">
        <v>4.3</v>
      </c>
      <c r="F648" s="7">
        <f t="shared" si="452"/>
        <v>5</v>
      </c>
      <c r="G648" s="7">
        <f t="shared" si="453"/>
        <v>17.2</v>
      </c>
      <c r="H648" s="16">
        <f t="shared" si="454"/>
        <v>25.8</v>
      </c>
      <c r="I648" s="11">
        <f t="shared" si="467"/>
        <v>0.11211213233271874</v>
      </c>
      <c r="J648" s="33">
        <f t="shared" si="468"/>
        <v>2.242242646654375E-2</v>
      </c>
      <c r="K648" s="33">
        <f t="shared" si="462"/>
        <v>44.598206241955516</v>
      </c>
      <c r="L648" s="33">
        <f t="shared" si="463"/>
        <v>8.9689705866175001E-2</v>
      </c>
      <c r="M648" s="33">
        <f t="shared" si="464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65"/>
        <v>1964</v>
      </c>
      <c r="Y648" s="7">
        <f t="shared" si="449"/>
        <v>9.4307999999999996</v>
      </c>
      <c r="Z648" s="7">
        <f t="shared" si="466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9">
        <v>0</v>
      </c>
      <c r="AL648" s="30">
        <v>1</v>
      </c>
      <c r="AM648" s="21">
        <v>2001</v>
      </c>
      <c r="AN648" s="23"/>
      <c r="AO648" s="33">
        <v>0.13719999999999999</v>
      </c>
      <c r="AP648" s="33">
        <f t="shared" si="450"/>
        <v>0.2238</v>
      </c>
      <c r="AQ648" s="33">
        <v>0.28599999999999998</v>
      </c>
      <c r="AR648" s="43">
        <v>0.35299999999999998</v>
      </c>
      <c r="AS648" s="33" t="s">
        <v>107</v>
      </c>
      <c r="AT648" s="43" t="s">
        <v>107</v>
      </c>
      <c r="AU648" s="42">
        <v>0.56999999999999995</v>
      </c>
      <c r="AV648" s="18">
        <v>0.43</v>
      </c>
      <c r="AW648">
        <v>0</v>
      </c>
      <c r="AX648" s="40">
        <v>1</v>
      </c>
      <c r="AY648" t="s">
        <v>107</v>
      </c>
      <c r="AZ648" s="40" t="s">
        <v>107</v>
      </c>
      <c r="BB648" s="18"/>
      <c r="BC648" t="s">
        <v>107</v>
      </c>
      <c r="BD648" s="18" t="s">
        <v>107</v>
      </c>
      <c r="BE648" s="18" t="s">
        <v>343</v>
      </c>
      <c r="BL648" s="18"/>
      <c r="BO648" s="18"/>
      <c r="BR648" s="25">
        <v>39.1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 s="18">
        <v>1</v>
      </c>
      <c r="CA648">
        <v>0</v>
      </c>
      <c r="CB648">
        <v>0</v>
      </c>
      <c r="CC648">
        <v>1</v>
      </c>
      <c r="CD648" s="18">
        <v>0</v>
      </c>
      <c r="CE648">
        <v>0</v>
      </c>
      <c r="CF648">
        <v>0</v>
      </c>
      <c r="CG648">
        <v>0</v>
      </c>
      <c r="CH648">
        <v>0</v>
      </c>
      <c r="CI648" s="18">
        <v>1</v>
      </c>
      <c r="CJ648">
        <v>1</v>
      </c>
      <c r="CK648">
        <v>1</v>
      </c>
      <c r="CL648">
        <v>0</v>
      </c>
      <c r="CM648">
        <v>0</v>
      </c>
      <c r="CN648">
        <v>0</v>
      </c>
      <c r="CO648">
        <v>1</v>
      </c>
      <c r="CP648">
        <v>0</v>
      </c>
      <c r="CQ648">
        <v>0</v>
      </c>
      <c r="CR648">
        <v>0</v>
      </c>
      <c r="CS648">
        <v>0</v>
      </c>
      <c r="CT648" s="18">
        <v>1</v>
      </c>
      <c r="CZ648" s="34" t="s">
        <v>87</v>
      </c>
    </row>
    <row r="649" spans="1:104" s="118" customFormat="1" x14ac:dyDescent="0.25">
      <c r="A649" s="118">
        <v>648</v>
      </c>
      <c r="B649" s="118">
        <v>39</v>
      </c>
      <c r="C649" s="119" t="s">
        <v>342</v>
      </c>
      <c r="D649" s="120">
        <v>20.7</v>
      </c>
      <c r="E649" s="121">
        <v>3.2</v>
      </c>
      <c r="F649" s="122">
        <f t="shared" si="452"/>
        <v>6.4687499999999991</v>
      </c>
      <c r="G649" s="122">
        <f t="shared" si="453"/>
        <v>17.5</v>
      </c>
      <c r="H649" s="123">
        <f t="shared" si="454"/>
        <v>23.9</v>
      </c>
      <c r="I649" s="124">
        <f t="shared" si="467"/>
        <v>0.15598245363248828</v>
      </c>
      <c r="J649" s="125">
        <f t="shared" si="468"/>
        <v>2.4113229547051335E-2</v>
      </c>
      <c r="K649" s="125">
        <f t="shared" si="462"/>
        <v>41.471010676887289</v>
      </c>
      <c r="L649" s="125">
        <f t="shared" si="463"/>
        <v>0.13186922408543694</v>
      </c>
      <c r="M649" s="125">
        <f t="shared" si="464"/>
        <v>0.18009568317953961</v>
      </c>
      <c r="N649" s="126">
        <v>0</v>
      </c>
      <c r="O649" s="127">
        <v>1</v>
      </c>
      <c r="P649" s="126">
        <v>0</v>
      </c>
      <c r="Q649" s="127">
        <v>0</v>
      </c>
      <c r="R649" s="127">
        <v>0</v>
      </c>
      <c r="S649" s="127">
        <v>1</v>
      </c>
      <c r="T649" s="127">
        <v>0</v>
      </c>
      <c r="U649" s="126">
        <v>1692</v>
      </c>
      <c r="V649" s="127">
        <v>13</v>
      </c>
      <c r="W649" s="127">
        <f t="shared" si="465"/>
        <v>1678</v>
      </c>
      <c r="X649" s="127"/>
      <c r="Y649" s="122">
        <f t="shared" si="449"/>
        <v>9.4307999999999996</v>
      </c>
      <c r="Z649" s="122">
        <f t="shared" si="466"/>
        <v>23.669200000000004</v>
      </c>
      <c r="AA649" s="127">
        <v>1</v>
      </c>
      <c r="AB649" s="127">
        <v>0</v>
      </c>
      <c r="AC649" s="127">
        <v>0</v>
      </c>
      <c r="AD649" s="127">
        <v>1</v>
      </c>
      <c r="AE649" s="127">
        <v>0</v>
      </c>
      <c r="AF649" s="127">
        <v>0</v>
      </c>
      <c r="AG649" s="126">
        <v>1</v>
      </c>
      <c r="AH649" s="127">
        <v>0</v>
      </c>
      <c r="AI649" s="128">
        <v>0</v>
      </c>
      <c r="AJ649" s="127">
        <v>0</v>
      </c>
      <c r="AK649" s="127">
        <v>0</v>
      </c>
      <c r="AL649" s="128">
        <v>1</v>
      </c>
      <c r="AM649" s="129">
        <v>2001</v>
      </c>
      <c r="AN649" s="130"/>
      <c r="AO649" s="125">
        <v>0.13719999999999999</v>
      </c>
      <c r="AP649" s="125">
        <f t="shared" si="450"/>
        <v>0.2238</v>
      </c>
      <c r="AQ649" s="125">
        <v>0.28599999999999998</v>
      </c>
      <c r="AR649" s="131">
        <v>0.35299999999999998</v>
      </c>
      <c r="AS649" s="125" t="s">
        <v>107</v>
      </c>
      <c r="AT649" s="131" t="s">
        <v>107</v>
      </c>
      <c r="AU649" s="132">
        <v>0.56999999999999995</v>
      </c>
      <c r="AV649" s="133">
        <v>0.43</v>
      </c>
      <c r="AW649" s="118">
        <v>0</v>
      </c>
      <c r="AX649" s="134">
        <v>1</v>
      </c>
      <c r="AY649" s="118" t="s">
        <v>107</v>
      </c>
      <c r="AZ649" s="134" t="s">
        <v>107</v>
      </c>
      <c r="BB649" s="133"/>
      <c r="BC649" s="118" t="s">
        <v>107</v>
      </c>
      <c r="BD649" s="133" t="s">
        <v>107</v>
      </c>
      <c r="BE649" s="133" t="s">
        <v>343</v>
      </c>
      <c r="BL649" s="133"/>
      <c r="BO649" s="133"/>
      <c r="BR649" s="119">
        <v>39.1</v>
      </c>
      <c r="BS649" s="118">
        <v>0</v>
      </c>
      <c r="BT649" s="118">
        <v>0</v>
      </c>
      <c r="BU649" s="118">
        <v>0</v>
      </c>
      <c r="BV649" s="118">
        <v>0</v>
      </c>
      <c r="BW649" s="118">
        <v>0</v>
      </c>
      <c r="BX649" s="118">
        <v>0</v>
      </c>
      <c r="BY649" s="118">
        <v>0</v>
      </c>
      <c r="BZ649" s="133">
        <v>1</v>
      </c>
      <c r="CA649" s="118">
        <v>0</v>
      </c>
      <c r="CB649" s="118">
        <v>0</v>
      </c>
      <c r="CC649" s="118">
        <v>1</v>
      </c>
      <c r="CD649" s="133">
        <v>0</v>
      </c>
      <c r="CE649" s="118">
        <v>0</v>
      </c>
      <c r="CF649" s="118">
        <v>0</v>
      </c>
      <c r="CG649" s="118">
        <v>0</v>
      </c>
      <c r="CH649" s="118">
        <v>0</v>
      </c>
      <c r="CI649" s="133">
        <v>1</v>
      </c>
      <c r="CJ649" s="118">
        <v>1</v>
      </c>
      <c r="CK649" s="118">
        <v>1</v>
      </c>
      <c r="CL649" s="118">
        <v>0</v>
      </c>
      <c r="CM649" s="118">
        <v>0</v>
      </c>
      <c r="CN649" s="118">
        <v>0</v>
      </c>
      <c r="CO649" s="118">
        <v>1</v>
      </c>
      <c r="CP649" s="118">
        <v>0</v>
      </c>
      <c r="CQ649" s="118">
        <v>0</v>
      </c>
      <c r="CR649" s="118">
        <v>0</v>
      </c>
      <c r="CS649" s="118">
        <v>0</v>
      </c>
      <c r="CT649" s="133">
        <v>1</v>
      </c>
      <c r="CX649" s="154"/>
      <c r="CY649" s="119"/>
      <c r="CZ649" s="135" t="s">
        <v>87</v>
      </c>
    </row>
    <row r="650" spans="1:104" x14ac:dyDescent="0.25">
      <c r="A650">
        <v>649</v>
      </c>
      <c r="B650">
        <v>40</v>
      </c>
      <c r="C650" s="25" t="s">
        <v>344</v>
      </c>
      <c r="D650" s="12">
        <v>5.6</v>
      </c>
      <c r="E650" s="14">
        <v>0.08</v>
      </c>
      <c r="F650" s="7">
        <f t="shared" si="452"/>
        <v>70</v>
      </c>
      <c r="G650" s="7">
        <f t="shared" si="453"/>
        <v>5.52</v>
      </c>
      <c r="H650" s="16">
        <f t="shared" si="454"/>
        <v>5.68</v>
      </c>
      <c r="I650" s="11">
        <f t="shared" si="467"/>
        <v>0.45067594598575533</v>
      </c>
      <c r="J650" s="33">
        <f t="shared" si="468"/>
        <v>6.4382277997965046E-3</v>
      </c>
      <c r="K650" s="33">
        <f t="shared" si="462"/>
        <v>155.32224567009067</v>
      </c>
      <c r="L650" s="33">
        <f t="shared" si="463"/>
        <v>0.44423771818595881</v>
      </c>
      <c r="M650" s="33">
        <f t="shared" si="464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65"/>
        <v>19225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9">
        <v>0</v>
      </c>
      <c r="AL650" s="30">
        <v>1</v>
      </c>
      <c r="AM650" s="21">
        <v>2001</v>
      </c>
      <c r="AN650" s="23"/>
      <c r="AO650" s="33" t="s">
        <v>107</v>
      </c>
      <c r="AP650" s="33" t="s">
        <v>107</v>
      </c>
      <c r="AQ650" s="33" t="s">
        <v>107</v>
      </c>
      <c r="AR650" s="43" t="s">
        <v>107</v>
      </c>
      <c r="AS650" s="33" t="s">
        <v>107</v>
      </c>
      <c r="AT650" s="43" t="s">
        <v>107</v>
      </c>
      <c r="AU650" s="42">
        <v>1</v>
      </c>
      <c r="AV650" s="18">
        <v>0</v>
      </c>
      <c r="AW650">
        <v>0.64219999999999999</v>
      </c>
      <c r="AX650" s="40">
        <f>1-AW650</f>
        <v>0.35780000000000001</v>
      </c>
      <c r="AY650">
        <v>0</v>
      </c>
      <c r="AZ650" s="40">
        <v>1</v>
      </c>
      <c r="BB650" s="18"/>
      <c r="BC650" t="s">
        <v>107</v>
      </c>
      <c r="BD650" s="18" t="s">
        <v>107</v>
      </c>
      <c r="BE650" s="18" t="s">
        <v>26</v>
      </c>
      <c r="BL650" s="18"/>
      <c r="BO650" s="18"/>
      <c r="BR650" s="97">
        <f>6+Y650+Z650</f>
        <v>33</v>
      </c>
      <c r="BS650">
        <v>1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 s="18">
        <v>0</v>
      </c>
      <c r="CA650">
        <v>0</v>
      </c>
      <c r="CB650">
        <v>0</v>
      </c>
      <c r="CC650">
        <v>0</v>
      </c>
      <c r="CD650" s="18">
        <v>1</v>
      </c>
      <c r="CE650">
        <v>0</v>
      </c>
      <c r="CF650">
        <v>0</v>
      </c>
      <c r="CG650">
        <v>0</v>
      </c>
      <c r="CH650">
        <v>0</v>
      </c>
      <c r="CI650" s="18">
        <v>1</v>
      </c>
      <c r="CJ650">
        <v>0</v>
      </c>
      <c r="CK650">
        <v>0</v>
      </c>
      <c r="CL650">
        <v>1</v>
      </c>
      <c r="CM650">
        <v>1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 s="18">
        <v>0</v>
      </c>
      <c r="CZ650" s="34" t="s">
        <v>87</v>
      </c>
    </row>
    <row r="651" spans="1:104" x14ac:dyDescent="0.25">
      <c r="A651">
        <v>650</v>
      </c>
      <c r="B651">
        <v>40</v>
      </c>
      <c r="C651" s="25" t="s">
        <v>344</v>
      </c>
      <c r="D651" s="12">
        <v>6.8</v>
      </c>
      <c r="E651" s="14">
        <v>0.18</v>
      </c>
      <c r="F651" s="7">
        <f t="shared" si="452"/>
        <v>37.777777777777779</v>
      </c>
      <c r="G651" s="7">
        <f t="shared" si="453"/>
        <v>6.62</v>
      </c>
      <c r="H651" s="16">
        <f t="shared" si="454"/>
        <v>6.9799999999999995</v>
      </c>
      <c r="I651" s="11">
        <f t="shared" si="467"/>
        <v>0.26685477272919289</v>
      </c>
      <c r="J651" s="33">
        <f t="shared" si="468"/>
        <v>7.0638028075374589E-3</v>
      </c>
      <c r="K651" s="33">
        <f t="shared" ref="K651:K664" si="469">IFERROR(1/J651, "X")</f>
        <v>141.5668057626051</v>
      </c>
      <c r="L651" s="33">
        <f t="shared" ref="L651:L664" si="470">IFERROR(I651-J651, "X")</f>
        <v>0.25979096992165546</v>
      </c>
      <c r="M651" s="33">
        <f t="shared" ref="M651:M664" si="471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65"/>
        <v>18614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9">
        <v>0</v>
      </c>
      <c r="AL651" s="30">
        <v>1</v>
      </c>
      <c r="AM651" s="21">
        <v>2001</v>
      </c>
      <c r="AN651" s="23"/>
      <c r="AO651" s="33" t="s">
        <v>107</v>
      </c>
      <c r="AP651" s="33" t="s">
        <v>107</v>
      </c>
      <c r="AQ651" s="33" t="s">
        <v>107</v>
      </c>
      <c r="AR651" s="43" t="s">
        <v>107</v>
      </c>
      <c r="AS651" s="33" t="s">
        <v>107</v>
      </c>
      <c r="AT651" s="43" t="s">
        <v>107</v>
      </c>
      <c r="AU651" s="42">
        <v>1</v>
      </c>
      <c r="AV651" s="18">
        <v>0</v>
      </c>
      <c r="AW651">
        <v>0.64219999999999999</v>
      </c>
      <c r="AX651" s="40">
        <f t="shared" ref="AX651:AX655" si="472">1-AW651</f>
        <v>0.35780000000000001</v>
      </c>
      <c r="AY651">
        <v>0</v>
      </c>
      <c r="AZ651" s="40">
        <v>1</v>
      </c>
      <c r="BB651" s="18"/>
      <c r="BC651" t="s">
        <v>107</v>
      </c>
      <c r="BD651" s="18" t="s">
        <v>107</v>
      </c>
      <c r="BE651" s="18" t="s">
        <v>26</v>
      </c>
      <c r="BL651" s="18"/>
      <c r="BO651" s="18"/>
      <c r="BR651" s="97">
        <f t="shared" ref="BR651:BR660" si="473">6+Y651+Z651</f>
        <v>33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 s="18">
        <v>1</v>
      </c>
      <c r="CA651">
        <v>0</v>
      </c>
      <c r="CB651">
        <v>0</v>
      </c>
      <c r="CC651">
        <v>0</v>
      </c>
      <c r="CD651" s="18">
        <v>1</v>
      </c>
      <c r="CE651">
        <v>0</v>
      </c>
      <c r="CF651">
        <v>0</v>
      </c>
      <c r="CG651">
        <v>0</v>
      </c>
      <c r="CH651">
        <v>0</v>
      </c>
      <c r="CI651" s="18">
        <v>1</v>
      </c>
      <c r="CJ651">
        <v>0</v>
      </c>
      <c r="CK651">
        <v>0</v>
      </c>
      <c r="CL651">
        <v>1</v>
      </c>
      <c r="CM651">
        <v>1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 s="18">
        <v>0</v>
      </c>
      <c r="CZ651" s="34" t="s">
        <v>87</v>
      </c>
    </row>
    <row r="652" spans="1:104" x14ac:dyDescent="0.25">
      <c r="A652">
        <v>651</v>
      </c>
      <c r="B652">
        <v>40</v>
      </c>
      <c r="C652" s="25" t="s">
        <v>344</v>
      </c>
      <c r="D652" s="12">
        <v>4.54</v>
      </c>
      <c r="E652" s="14">
        <v>0.45</v>
      </c>
      <c r="F652" s="7">
        <f t="shared" si="452"/>
        <v>10.088888888888889</v>
      </c>
      <c r="G652" s="7">
        <f t="shared" si="453"/>
        <v>4.09</v>
      </c>
      <c r="H652" s="16">
        <f t="shared" si="454"/>
        <v>4.99</v>
      </c>
      <c r="I652" s="11">
        <f t="shared" si="467"/>
        <v>0.31287540391824742</v>
      </c>
      <c r="J652" s="33">
        <f t="shared" si="468"/>
        <v>3.101187924299809E-2</v>
      </c>
      <c r="K652" s="33">
        <f t="shared" si="469"/>
        <v>32.245707916129639</v>
      </c>
      <c r="L652" s="33">
        <f t="shared" si="470"/>
        <v>0.28186352467524933</v>
      </c>
      <c r="M652" s="33">
        <f t="shared" si="471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74">U652-V652-1</f>
        <v>938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9">
        <v>0</v>
      </c>
      <c r="AL652" s="30">
        <v>1</v>
      </c>
      <c r="AM652" s="21">
        <v>2001</v>
      </c>
      <c r="AN652" s="23"/>
      <c r="AO652" s="33" t="s">
        <v>107</v>
      </c>
      <c r="AP652" s="33" t="s">
        <v>107</v>
      </c>
      <c r="AQ652" s="33" t="s">
        <v>107</v>
      </c>
      <c r="AR652" s="43" t="s">
        <v>107</v>
      </c>
      <c r="AS652" s="33" t="s">
        <v>107</v>
      </c>
      <c r="AT652" s="43" t="s">
        <v>107</v>
      </c>
      <c r="AU652" s="42">
        <v>1</v>
      </c>
      <c r="AV652" s="18">
        <v>0</v>
      </c>
      <c r="AW652">
        <v>0.64219999999999999</v>
      </c>
      <c r="AX652" s="40">
        <f t="shared" si="472"/>
        <v>0.35780000000000001</v>
      </c>
      <c r="AY652">
        <v>0</v>
      </c>
      <c r="AZ652" s="40">
        <v>1</v>
      </c>
      <c r="BB652" s="18"/>
      <c r="BC652" t="s">
        <v>107</v>
      </c>
      <c r="BD652" s="18" t="s">
        <v>107</v>
      </c>
      <c r="BE652" s="18" t="s">
        <v>26</v>
      </c>
      <c r="BL652" s="18"/>
      <c r="BO652" s="18"/>
      <c r="BR652" s="97">
        <f t="shared" si="473"/>
        <v>43.75</v>
      </c>
      <c r="BS652">
        <v>1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 s="18">
        <v>0</v>
      </c>
      <c r="CA652">
        <v>0</v>
      </c>
      <c r="CB652">
        <v>0</v>
      </c>
      <c r="CC652">
        <v>0</v>
      </c>
      <c r="CD652" s="18">
        <v>1</v>
      </c>
      <c r="CE652">
        <v>0</v>
      </c>
      <c r="CF652">
        <v>0</v>
      </c>
      <c r="CG652">
        <v>0</v>
      </c>
      <c r="CH652">
        <v>0</v>
      </c>
      <c r="CI652" s="18">
        <v>1</v>
      </c>
      <c r="CJ652">
        <v>0</v>
      </c>
      <c r="CK652">
        <v>0</v>
      </c>
      <c r="CL652">
        <v>1</v>
      </c>
      <c r="CM652">
        <v>1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 s="18">
        <v>0</v>
      </c>
      <c r="CZ652" s="34" t="s">
        <v>87</v>
      </c>
    </row>
    <row r="653" spans="1:104" x14ac:dyDescent="0.25">
      <c r="A653">
        <v>652</v>
      </c>
      <c r="B653">
        <v>40</v>
      </c>
      <c r="C653" s="25" t="s">
        <v>344</v>
      </c>
      <c r="D653" s="12">
        <v>7.51</v>
      </c>
      <c r="E653" s="14">
        <v>1.1399999999999999</v>
      </c>
      <c r="F653" s="7">
        <f t="shared" si="452"/>
        <v>6.5877192982456148</v>
      </c>
      <c r="G653" s="7">
        <f t="shared" si="453"/>
        <v>6.37</v>
      </c>
      <c r="H653" s="16">
        <f t="shared" si="454"/>
        <v>8.65</v>
      </c>
      <c r="I653" s="11">
        <f t="shared" si="467"/>
        <v>0.21346458722465919</v>
      </c>
      <c r="J653" s="33">
        <f t="shared" si="468"/>
        <v>3.2403412707871032E-2</v>
      </c>
      <c r="K653" s="33">
        <f t="shared" si="469"/>
        <v>30.860946932206698</v>
      </c>
      <c r="L653" s="33">
        <f t="shared" si="470"/>
        <v>0.18106117451678816</v>
      </c>
      <c r="M653" s="33">
        <f t="shared" si="471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74"/>
        <v>909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9">
        <v>0</v>
      </c>
      <c r="AL653" s="30">
        <v>1</v>
      </c>
      <c r="AM653" s="21">
        <v>2001</v>
      </c>
      <c r="AN653" s="23"/>
      <c r="AO653" s="33" t="s">
        <v>107</v>
      </c>
      <c r="AP653" s="33" t="s">
        <v>107</v>
      </c>
      <c r="AQ653" s="33" t="s">
        <v>107</v>
      </c>
      <c r="AR653" s="43" t="s">
        <v>107</v>
      </c>
      <c r="AS653" s="33" t="s">
        <v>107</v>
      </c>
      <c r="AT653" s="43" t="s">
        <v>107</v>
      </c>
      <c r="AU653" s="42">
        <v>1</v>
      </c>
      <c r="AV653" s="18">
        <v>0</v>
      </c>
      <c r="AW653">
        <v>0.64219999999999999</v>
      </c>
      <c r="AX653" s="40">
        <f t="shared" si="472"/>
        <v>0.35780000000000001</v>
      </c>
      <c r="AY653">
        <v>0</v>
      </c>
      <c r="AZ653" s="40">
        <v>1</v>
      </c>
      <c r="BB653" s="18"/>
      <c r="BC653" t="s">
        <v>107</v>
      </c>
      <c r="BD653" s="18" t="s">
        <v>107</v>
      </c>
      <c r="BE653" s="18" t="s">
        <v>26</v>
      </c>
      <c r="BL653" s="18"/>
      <c r="BO653" s="18"/>
      <c r="BR653" s="97">
        <f t="shared" si="473"/>
        <v>43.75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 s="18">
        <v>1</v>
      </c>
      <c r="CA653">
        <v>0</v>
      </c>
      <c r="CB653">
        <v>0</v>
      </c>
      <c r="CC653">
        <v>0</v>
      </c>
      <c r="CD653" s="18">
        <v>1</v>
      </c>
      <c r="CE653">
        <v>0</v>
      </c>
      <c r="CF653">
        <v>0</v>
      </c>
      <c r="CG653">
        <v>0</v>
      </c>
      <c r="CH653">
        <v>0</v>
      </c>
      <c r="CI653" s="18">
        <v>1</v>
      </c>
      <c r="CJ653">
        <v>0</v>
      </c>
      <c r="CK653">
        <v>0</v>
      </c>
      <c r="CL653">
        <v>1</v>
      </c>
      <c r="CM653">
        <v>1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 s="18">
        <v>0</v>
      </c>
      <c r="CZ653" s="34" t="s">
        <v>87</v>
      </c>
    </row>
    <row r="654" spans="1:104" x14ac:dyDescent="0.25">
      <c r="A654">
        <v>653</v>
      </c>
      <c r="B654">
        <v>40</v>
      </c>
      <c r="C654" s="25" t="s">
        <v>344</v>
      </c>
      <c r="D654" s="12">
        <v>3.05</v>
      </c>
      <c r="E654" s="14">
        <v>3.6</v>
      </c>
      <c r="F654" s="7">
        <f t="shared" si="452"/>
        <v>0.8472222222222221</v>
      </c>
      <c r="G654" s="7">
        <f t="shared" si="453"/>
        <v>-0.55000000000000027</v>
      </c>
      <c r="H654" s="16">
        <f t="shared" si="454"/>
        <v>6.65</v>
      </c>
      <c r="I654" s="11">
        <f t="shared" si="467"/>
        <v>2.3582057357347679E-2</v>
      </c>
      <c r="J654" s="33">
        <f t="shared" si="468"/>
        <v>2.7834559503754644E-2</v>
      </c>
      <c r="K654" s="33">
        <f t="shared" si="469"/>
        <v>35.926561002882352</v>
      </c>
      <c r="L654" s="33">
        <f t="shared" si="470"/>
        <v>-4.2525021464069647E-3</v>
      </c>
      <c r="M654" s="33">
        <f t="shared" si="471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74"/>
        <v>1290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9">
        <v>0</v>
      </c>
      <c r="AL654" s="30">
        <v>1</v>
      </c>
      <c r="AM654" s="21">
        <v>2001</v>
      </c>
      <c r="AN654" s="23"/>
      <c r="AO654" s="33" t="s">
        <v>107</v>
      </c>
      <c r="AP654" s="33" t="s">
        <v>107</v>
      </c>
      <c r="AQ654" s="33" t="s">
        <v>107</v>
      </c>
      <c r="AR654" s="43" t="s">
        <v>107</v>
      </c>
      <c r="AS654" s="33" t="s">
        <v>107</v>
      </c>
      <c r="AT654" s="43" t="s">
        <v>107</v>
      </c>
      <c r="AU654" s="42">
        <v>1</v>
      </c>
      <c r="AV654" s="18">
        <v>0</v>
      </c>
      <c r="AW654">
        <v>0.64219999999999999</v>
      </c>
      <c r="AX654" s="40">
        <f t="shared" si="472"/>
        <v>0.35780000000000001</v>
      </c>
      <c r="AY654">
        <v>0</v>
      </c>
      <c r="AZ654" s="40">
        <v>1</v>
      </c>
      <c r="BB654" s="18"/>
      <c r="BC654" t="s">
        <v>107</v>
      </c>
      <c r="BD654" s="18" t="s">
        <v>107</v>
      </c>
      <c r="BE654" s="18" t="s">
        <v>26</v>
      </c>
      <c r="BL654" s="18"/>
      <c r="BO654" s="18"/>
      <c r="BR654" s="97">
        <f t="shared" si="473"/>
        <v>24.799999999999997</v>
      </c>
      <c r="BS654">
        <v>1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 s="18">
        <v>0</v>
      </c>
      <c r="CA654">
        <v>0</v>
      </c>
      <c r="CB654">
        <v>0</v>
      </c>
      <c r="CC654">
        <v>0</v>
      </c>
      <c r="CD654" s="18">
        <v>1</v>
      </c>
      <c r="CE654">
        <v>0</v>
      </c>
      <c r="CF654">
        <v>0</v>
      </c>
      <c r="CG654">
        <v>0</v>
      </c>
      <c r="CH654">
        <v>0</v>
      </c>
      <c r="CI654" s="18">
        <v>1</v>
      </c>
      <c r="CJ654">
        <v>0</v>
      </c>
      <c r="CK654">
        <v>0</v>
      </c>
      <c r="CL654">
        <v>1</v>
      </c>
      <c r="CM654">
        <v>1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 s="18">
        <v>0</v>
      </c>
      <c r="CZ654" s="34" t="s">
        <v>87</v>
      </c>
    </row>
    <row r="655" spans="1:104" x14ac:dyDescent="0.25">
      <c r="A655">
        <v>654</v>
      </c>
      <c r="B655">
        <v>40</v>
      </c>
      <c r="C655" s="25" t="s">
        <v>344</v>
      </c>
      <c r="D655" s="12">
        <v>5.65</v>
      </c>
      <c r="E655" s="14">
        <v>1.1000000000000001</v>
      </c>
      <c r="F655" s="7">
        <f t="shared" si="452"/>
        <v>5.1363636363636367</v>
      </c>
      <c r="G655" s="7">
        <f t="shared" si="453"/>
        <v>4.5500000000000007</v>
      </c>
      <c r="H655" s="16">
        <f t="shared" si="454"/>
        <v>6.75</v>
      </c>
      <c r="I655" s="11">
        <f t="shared" si="467"/>
        <v>0.1445068320716868</v>
      </c>
      <c r="J655" s="33">
        <f t="shared" si="468"/>
        <v>2.8134073500682387E-2</v>
      </c>
      <c r="K655" s="33">
        <f t="shared" si="469"/>
        <v>35.544088557803235</v>
      </c>
      <c r="L655" s="33">
        <f t="shared" si="470"/>
        <v>0.1163727585710044</v>
      </c>
      <c r="M655" s="33">
        <f t="shared" si="471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74"/>
        <v>1237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9">
        <v>0</v>
      </c>
      <c r="AL655" s="30">
        <v>1</v>
      </c>
      <c r="AM655" s="21">
        <v>2001</v>
      </c>
      <c r="AN655" s="23"/>
      <c r="AO655" s="33" t="s">
        <v>107</v>
      </c>
      <c r="AP655" s="33" t="s">
        <v>107</v>
      </c>
      <c r="AQ655" s="33" t="s">
        <v>107</v>
      </c>
      <c r="AR655" s="43" t="s">
        <v>107</v>
      </c>
      <c r="AS655" s="33" t="s">
        <v>107</v>
      </c>
      <c r="AT655" s="43" t="s">
        <v>107</v>
      </c>
      <c r="AU655" s="42">
        <v>1</v>
      </c>
      <c r="AV655" s="18">
        <v>0</v>
      </c>
      <c r="AW655">
        <v>0.64219999999999999</v>
      </c>
      <c r="AX655" s="40">
        <f t="shared" si="472"/>
        <v>0.35780000000000001</v>
      </c>
      <c r="AY655">
        <v>0</v>
      </c>
      <c r="AZ655" s="40">
        <v>1</v>
      </c>
      <c r="BB655" s="18"/>
      <c r="BC655" t="s">
        <v>107</v>
      </c>
      <c r="BD655" s="18" t="s">
        <v>107</v>
      </c>
      <c r="BE655" s="18" t="s">
        <v>26</v>
      </c>
      <c r="BL655" s="18"/>
      <c r="BO655" s="18"/>
      <c r="BR655" s="97">
        <f t="shared" si="473"/>
        <v>24.799999999999997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 s="18">
        <v>1</v>
      </c>
      <c r="CA655">
        <v>0</v>
      </c>
      <c r="CB655">
        <v>0</v>
      </c>
      <c r="CC655">
        <v>0</v>
      </c>
      <c r="CD655" s="18">
        <v>1</v>
      </c>
      <c r="CE655">
        <v>0</v>
      </c>
      <c r="CF655">
        <v>0</v>
      </c>
      <c r="CG655">
        <v>0</v>
      </c>
      <c r="CH655">
        <v>0</v>
      </c>
      <c r="CI655" s="18">
        <v>1</v>
      </c>
      <c r="CJ655">
        <v>0</v>
      </c>
      <c r="CK655">
        <v>0</v>
      </c>
      <c r="CL655">
        <v>1</v>
      </c>
      <c r="CM655">
        <v>1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 s="18">
        <v>0</v>
      </c>
      <c r="CZ655" s="34" t="s">
        <v>87</v>
      </c>
    </row>
    <row r="656" spans="1:104" x14ac:dyDescent="0.25">
      <c r="A656">
        <v>655</v>
      </c>
      <c r="B656">
        <v>40</v>
      </c>
      <c r="C656" s="25" t="s">
        <v>344</v>
      </c>
      <c r="D656" s="12">
        <v>4.4000000000000004</v>
      </c>
      <c r="E656" s="14">
        <v>0.37</v>
      </c>
      <c r="F656" s="7">
        <f t="shared" si="452"/>
        <v>11.891891891891893</v>
      </c>
      <c r="G656" s="7">
        <f t="shared" si="453"/>
        <v>4.03</v>
      </c>
      <c r="H656" s="16">
        <f t="shared" si="454"/>
        <v>4.7700000000000005</v>
      </c>
      <c r="I656" s="11">
        <f t="shared" si="467"/>
        <v>0.30417954748127174</v>
      </c>
      <c r="J656" s="33">
        <f t="shared" si="468"/>
        <v>2.5578734674561485E-2</v>
      </c>
      <c r="K656" s="33">
        <f t="shared" si="469"/>
        <v>39.09497528798866</v>
      </c>
      <c r="L656" s="33">
        <f t="shared" si="470"/>
        <v>0.27860081280671023</v>
      </c>
      <c r="M656" s="33">
        <f t="shared" si="471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75">U656-V656-1</f>
        <v>1387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9">
        <v>0</v>
      </c>
      <c r="AL656" s="30">
        <v>1</v>
      </c>
      <c r="AM656" s="21">
        <v>2001</v>
      </c>
      <c r="AN656" s="23"/>
      <c r="AO656" s="33" t="s">
        <v>107</v>
      </c>
      <c r="AP656" s="33" t="s">
        <v>107</v>
      </c>
      <c r="AQ656" s="33" t="s">
        <v>107</v>
      </c>
      <c r="AR656" s="43" t="s">
        <v>107</v>
      </c>
      <c r="AS656" s="33" t="s">
        <v>107</v>
      </c>
      <c r="AT656" s="43" t="s">
        <v>107</v>
      </c>
      <c r="AU656" s="42">
        <v>1</v>
      </c>
      <c r="AV656" s="18">
        <v>0</v>
      </c>
      <c r="AW656">
        <v>1</v>
      </c>
      <c r="AX656" s="40">
        <v>0</v>
      </c>
      <c r="AY656">
        <v>0</v>
      </c>
      <c r="AZ656" s="40">
        <v>1</v>
      </c>
      <c r="BB656" s="18"/>
      <c r="BC656" t="s">
        <v>107</v>
      </c>
      <c r="BD656" s="18" t="s">
        <v>107</v>
      </c>
      <c r="BE656" s="18" t="s">
        <v>26</v>
      </c>
      <c r="BL656" s="18"/>
      <c r="BO656" s="18"/>
      <c r="BR656" s="97">
        <f t="shared" si="473"/>
        <v>34.86</v>
      </c>
      <c r="BS656">
        <v>1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 s="18">
        <v>0</v>
      </c>
      <c r="CA656">
        <v>0</v>
      </c>
      <c r="CB656">
        <v>0</v>
      </c>
      <c r="CC656">
        <v>0</v>
      </c>
      <c r="CD656" s="18">
        <v>1</v>
      </c>
      <c r="CE656">
        <v>0</v>
      </c>
      <c r="CF656">
        <v>0</v>
      </c>
      <c r="CG656">
        <v>0</v>
      </c>
      <c r="CH656">
        <v>0</v>
      </c>
      <c r="CI656" s="18">
        <v>1</v>
      </c>
      <c r="CJ656">
        <v>0</v>
      </c>
      <c r="CK656">
        <v>0</v>
      </c>
      <c r="CL656">
        <v>1</v>
      </c>
      <c r="CM656">
        <v>1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 s="18">
        <v>0</v>
      </c>
      <c r="CZ656" s="34" t="s">
        <v>87</v>
      </c>
    </row>
    <row r="657" spans="1:104" x14ac:dyDescent="0.25">
      <c r="A657">
        <v>656</v>
      </c>
      <c r="B657">
        <v>40</v>
      </c>
      <c r="C657" s="25" t="s">
        <v>344</v>
      </c>
      <c r="D657" s="12">
        <v>8.39</v>
      </c>
      <c r="E657" s="14">
        <v>1.0900000000000001</v>
      </c>
      <c r="F657" s="7">
        <f t="shared" si="452"/>
        <v>7.6972477064220186</v>
      </c>
      <c r="G657" s="7">
        <f t="shared" si="453"/>
        <v>7.3000000000000007</v>
      </c>
      <c r="H657" s="16">
        <f t="shared" si="454"/>
        <v>9.48</v>
      </c>
      <c r="I657" s="11">
        <f t="shared" si="467"/>
        <v>0.20547940779494051</v>
      </c>
      <c r="J657" s="33">
        <f t="shared" si="468"/>
        <v>2.6695179320200848E-2</v>
      </c>
      <c r="K657" s="33">
        <f t="shared" si="469"/>
        <v>37.459946906716496</v>
      </c>
      <c r="L657" s="33">
        <f t="shared" si="470"/>
        <v>0.17878422847473965</v>
      </c>
      <c r="M657" s="33">
        <f t="shared" si="471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75"/>
        <v>1344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9">
        <v>0</v>
      </c>
      <c r="AL657" s="30">
        <v>1</v>
      </c>
      <c r="AM657" s="21">
        <v>2001</v>
      </c>
      <c r="AN657" s="23"/>
      <c r="AO657" s="33" t="s">
        <v>107</v>
      </c>
      <c r="AP657" s="33" t="s">
        <v>107</v>
      </c>
      <c r="AQ657" s="33" t="s">
        <v>107</v>
      </c>
      <c r="AR657" s="43" t="s">
        <v>107</v>
      </c>
      <c r="AS657" s="33" t="s">
        <v>107</v>
      </c>
      <c r="AT657" s="43" t="s">
        <v>107</v>
      </c>
      <c r="AU657" s="42">
        <v>1</v>
      </c>
      <c r="AV657" s="18">
        <v>0</v>
      </c>
      <c r="AW657">
        <v>1</v>
      </c>
      <c r="AX657" s="40">
        <v>0</v>
      </c>
      <c r="AY657">
        <v>0</v>
      </c>
      <c r="AZ657" s="40">
        <v>1</v>
      </c>
      <c r="BB657" s="18"/>
      <c r="BC657" t="s">
        <v>107</v>
      </c>
      <c r="BD657" s="18" t="s">
        <v>107</v>
      </c>
      <c r="BE657" s="18" t="s">
        <v>26</v>
      </c>
      <c r="BL657" s="18"/>
      <c r="BO657" s="18"/>
      <c r="BR657" s="97">
        <f t="shared" si="473"/>
        <v>34.86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 s="18">
        <v>1</v>
      </c>
      <c r="CA657">
        <v>0</v>
      </c>
      <c r="CB657">
        <v>0</v>
      </c>
      <c r="CC657">
        <v>0</v>
      </c>
      <c r="CD657" s="18">
        <v>1</v>
      </c>
      <c r="CE657">
        <v>0</v>
      </c>
      <c r="CF657">
        <v>0</v>
      </c>
      <c r="CG657">
        <v>0</v>
      </c>
      <c r="CH657">
        <v>0</v>
      </c>
      <c r="CI657" s="18">
        <v>1</v>
      </c>
      <c r="CJ657">
        <v>0</v>
      </c>
      <c r="CK657">
        <v>0</v>
      </c>
      <c r="CL657">
        <v>1</v>
      </c>
      <c r="CM657">
        <v>1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 s="18">
        <v>0</v>
      </c>
      <c r="CZ657" s="34" t="s">
        <v>87</v>
      </c>
    </row>
    <row r="658" spans="1:104" x14ac:dyDescent="0.25">
      <c r="A658">
        <v>657</v>
      </c>
      <c r="B658">
        <v>40</v>
      </c>
      <c r="C658" s="25" t="s">
        <v>344</v>
      </c>
      <c r="D658" s="12">
        <v>2.58</v>
      </c>
      <c r="E658" s="14">
        <v>0.39</v>
      </c>
      <c r="F658" s="7">
        <f t="shared" si="452"/>
        <v>6.615384615384615</v>
      </c>
      <c r="G658" s="7">
        <f t="shared" si="453"/>
        <v>2.19</v>
      </c>
      <c r="H658" s="16">
        <f t="shared" si="454"/>
        <v>2.97</v>
      </c>
      <c r="I658" s="11">
        <f t="shared" si="467"/>
        <v>0.21637359917513771</v>
      </c>
      <c r="J658" s="33">
        <f t="shared" si="468"/>
        <v>3.2707637084613848E-2</v>
      </c>
      <c r="K658" s="33">
        <f t="shared" si="469"/>
        <v>30.573899221549535</v>
      </c>
      <c r="L658" s="33">
        <f t="shared" si="470"/>
        <v>0.18366596209052385</v>
      </c>
      <c r="M658" s="33">
        <f t="shared" si="471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75"/>
        <v>891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9">
        <v>0</v>
      </c>
      <c r="AL658" s="30">
        <v>1</v>
      </c>
      <c r="AM658" s="21">
        <v>2001</v>
      </c>
      <c r="AN658" s="23"/>
      <c r="AO658" s="33" t="s">
        <v>107</v>
      </c>
      <c r="AP658" s="33" t="s">
        <v>107</v>
      </c>
      <c r="AQ658" s="33" t="s">
        <v>107</v>
      </c>
      <c r="AR658" s="43" t="s">
        <v>107</v>
      </c>
      <c r="AS658" s="33" t="s">
        <v>107</v>
      </c>
      <c r="AT658" s="43" t="s">
        <v>107</v>
      </c>
      <c r="AU658" s="42">
        <v>1</v>
      </c>
      <c r="AV658" s="18">
        <v>0</v>
      </c>
      <c r="AW658">
        <v>0</v>
      </c>
      <c r="AX658" s="40">
        <v>1</v>
      </c>
      <c r="AY658">
        <v>0</v>
      </c>
      <c r="AZ658" s="40">
        <v>1</v>
      </c>
      <c r="BB658" s="18"/>
      <c r="BC658" t="s">
        <v>107</v>
      </c>
      <c r="BD658" s="18" t="s">
        <v>107</v>
      </c>
      <c r="BE658" s="18" t="s">
        <v>26</v>
      </c>
      <c r="BL658" s="18"/>
      <c r="BO658" s="18"/>
      <c r="BR658" s="97">
        <f t="shared" si="473"/>
        <v>30.17</v>
      </c>
      <c r="BS658">
        <v>1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 s="18">
        <v>0</v>
      </c>
      <c r="CA658">
        <v>0</v>
      </c>
      <c r="CB658">
        <v>0</v>
      </c>
      <c r="CC658">
        <v>0</v>
      </c>
      <c r="CD658" s="18">
        <v>1</v>
      </c>
      <c r="CE658">
        <v>0</v>
      </c>
      <c r="CF658">
        <v>0</v>
      </c>
      <c r="CG658">
        <v>0</v>
      </c>
      <c r="CH658">
        <v>0</v>
      </c>
      <c r="CI658" s="18">
        <v>1</v>
      </c>
      <c r="CJ658">
        <v>0</v>
      </c>
      <c r="CK658">
        <v>0</v>
      </c>
      <c r="CL658">
        <v>1</v>
      </c>
      <c r="CM658">
        <v>1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 s="18">
        <v>0</v>
      </c>
      <c r="CZ658" s="34" t="s">
        <v>87</v>
      </c>
    </row>
    <row r="659" spans="1:104" s="154" customFormat="1" x14ac:dyDescent="0.25">
      <c r="A659" s="154">
        <v>658</v>
      </c>
      <c r="B659" s="154">
        <v>40</v>
      </c>
      <c r="C659" s="155" t="s">
        <v>344</v>
      </c>
      <c r="D659" s="156">
        <v>3.13</v>
      </c>
      <c r="E659" s="157">
        <v>1.03</v>
      </c>
      <c r="F659" s="158">
        <f t="shared" si="452"/>
        <v>3.0388349514563107</v>
      </c>
      <c r="G659" s="158">
        <f t="shared" si="453"/>
        <v>2.0999999999999996</v>
      </c>
      <c r="H659" s="159">
        <f t="shared" si="454"/>
        <v>4.16</v>
      </c>
      <c r="I659" s="160">
        <f t="shared" si="467"/>
        <v>0.10366955995013886</v>
      </c>
      <c r="J659" s="161">
        <f t="shared" si="468"/>
        <v>3.4114903114582436E-2</v>
      </c>
      <c r="K659" s="161">
        <f t="shared" si="469"/>
        <v>29.312702329573654</v>
      </c>
      <c r="L659" s="161">
        <f t="shared" si="470"/>
        <v>6.9554656835556422E-2</v>
      </c>
      <c r="M659" s="161">
        <f t="shared" si="471"/>
        <v>0.13778446306472131</v>
      </c>
      <c r="N659" s="162">
        <v>0</v>
      </c>
      <c r="O659" s="163">
        <v>1</v>
      </c>
      <c r="P659" s="162">
        <v>0</v>
      </c>
      <c r="Q659" s="163">
        <v>0</v>
      </c>
      <c r="R659" s="163">
        <v>1</v>
      </c>
      <c r="S659" s="163">
        <v>0</v>
      </c>
      <c r="T659" s="163">
        <v>0</v>
      </c>
      <c r="U659" s="162">
        <v>859</v>
      </c>
      <c r="V659" s="163">
        <v>8</v>
      </c>
      <c r="W659" s="163">
        <f t="shared" si="475"/>
        <v>850</v>
      </c>
      <c r="X659" s="163"/>
      <c r="Y659" s="158">
        <v>9.9600000000000009</v>
      </c>
      <c r="Z659" s="158">
        <v>14.21</v>
      </c>
      <c r="AA659" s="163">
        <v>1</v>
      </c>
      <c r="AB659" s="163">
        <v>0</v>
      </c>
      <c r="AC659" s="163">
        <v>0</v>
      </c>
      <c r="AD659" s="163">
        <v>0</v>
      </c>
      <c r="AE659" s="163">
        <v>0</v>
      </c>
      <c r="AF659" s="163">
        <v>1</v>
      </c>
      <c r="AG659" s="162">
        <v>0</v>
      </c>
      <c r="AH659" s="163">
        <v>1</v>
      </c>
      <c r="AI659" s="164">
        <v>0</v>
      </c>
      <c r="AJ659" s="163">
        <v>0</v>
      </c>
      <c r="AK659" s="163">
        <v>0</v>
      </c>
      <c r="AL659" s="164">
        <v>1</v>
      </c>
      <c r="AM659" s="165">
        <v>2001</v>
      </c>
      <c r="AN659" s="166"/>
      <c r="AO659" s="161" t="s">
        <v>107</v>
      </c>
      <c r="AP659" s="161" t="s">
        <v>107</v>
      </c>
      <c r="AQ659" s="161" t="s">
        <v>107</v>
      </c>
      <c r="AR659" s="167" t="s">
        <v>107</v>
      </c>
      <c r="AS659" s="161" t="s">
        <v>107</v>
      </c>
      <c r="AT659" s="167" t="s">
        <v>107</v>
      </c>
      <c r="AU659" s="168">
        <v>1</v>
      </c>
      <c r="AV659" s="169">
        <v>0</v>
      </c>
      <c r="AW659" s="154">
        <v>0</v>
      </c>
      <c r="AX659" s="170">
        <v>1</v>
      </c>
      <c r="AY659" s="154">
        <v>0</v>
      </c>
      <c r="AZ659" s="170">
        <v>1</v>
      </c>
      <c r="BB659" s="169"/>
      <c r="BC659" s="154" t="s">
        <v>107</v>
      </c>
      <c r="BD659" s="169" t="s">
        <v>107</v>
      </c>
      <c r="BE659" s="169" t="s">
        <v>26</v>
      </c>
      <c r="BL659" s="169"/>
      <c r="BO659" s="169"/>
      <c r="BR659" s="171">
        <f t="shared" si="473"/>
        <v>30.17</v>
      </c>
      <c r="BS659" s="154">
        <v>0</v>
      </c>
      <c r="BT659" s="154">
        <v>0</v>
      </c>
      <c r="BU659" s="154">
        <v>0</v>
      </c>
      <c r="BV659" s="154">
        <v>0</v>
      </c>
      <c r="BW659" s="154">
        <v>0</v>
      </c>
      <c r="BX659" s="154">
        <v>0</v>
      </c>
      <c r="BY659" s="154">
        <v>0</v>
      </c>
      <c r="BZ659" s="169">
        <v>1</v>
      </c>
      <c r="CA659" s="154">
        <v>0</v>
      </c>
      <c r="CB659" s="154">
        <v>0</v>
      </c>
      <c r="CC659" s="154">
        <v>0</v>
      </c>
      <c r="CD659" s="169">
        <v>1</v>
      </c>
      <c r="CE659" s="154">
        <v>0</v>
      </c>
      <c r="CF659" s="154">
        <v>0</v>
      </c>
      <c r="CG659" s="154">
        <v>0</v>
      </c>
      <c r="CH659" s="154">
        <v>0</v>
      </c>
      <c r="CI659" s="169">
        <v>1</v>
      </c>
      <c r="CJ659" s="154">
        <v>0</v>
      </c>
      <c r="CK659" s="154">
        <v>0</v>
      </c>
      <c r="CL659" s="154">
        <v>1</v>
      </c>
      <c r="CM659" s="154">
        <v>1</v>
      </c>
      <c r="CN659" s="154">
        <v>0</v>
      </c>
      <c r="CO659" s="154">
        <v>0</v>
      </c>
      <c r="CP659" s="154">
        <v>0</v>
      </c>
      <c r="CQ659" s="154">
        <v>0</v>
      </c>
      <c r="CR659" s="154">
        <v>0</v>
      </c>
      <c r="CS659" s="154">
        <v>0</v>
      </c>
      <c r="CT659" s="169">
        <v>0</v>
      </c>
      <c r="CY659" s="155"/>
      <c r="CZ659" s="172" t="s">
        <v>87</v>
      </c>
    </row>
    <row r="660" spans="1:104" x14ac:dyDescent="0.25">
      <c r="A660">
        <v>659</v>
      </c>
      <c r="B660">
        <v>41</v>
      </c>
      <c r="C660" s="25" t="s">
        <v>347</v>
      </c>
      <c r="D660" s="12">
        <v>8.6</v>
      </c>
      <c r="E660" s="14">
        <v>0.3</v>
      </c>
      <c r="F660" s="7">
        <f t="shared" si="452"/>
        <v>28.666666666666668</v>
      </c>
      <c r="G660" s="7">
        <f t="shared" si="453"/>
        <v>8.2999999999999989</v>
      </c>
      <c r="H660" s="16">
        <f t="shared" si="454"/>
        <v>8.9</v>
      </c>
      <c r="I660" s="11">
        <f t="shared" si="467"/>
        <v>0.30072687606952542</v>
      </c>
      <c r="J660" s="33">
        <f t="shared" si="468"/>
        <v>1.0490472421029956E-2</v>
      </c>
      <c r="K660" s="33">
        <f t="shared" si="469"/>
        <v>95.324591673805656</v>
      </c>
      <c r="L660" s="33">
        <f t="shared" si="470"/>
        <v>0.29023640364849546</v>
      </c>
      <c r="M660" s="33">
        <f t="shared" si="471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75"/>
        <v>8265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9">
        <v>0</v>
      </c>
      <c r="AL660" s="30">
        <v>0</v>
      </c>
      <c r="AM660" s="21">
        <v>2002</v>
      </c>
      <c r="AN660" s="23"/>
      <c r="AO660" s="33">
        <f>1-SUM(AP660:AR660)</f>
        <v>3.0000000000000027E-2</v>
      </c>
      <c r="AP660" s="33">
        <v>0.26100000000000001</v>
      </c>
      <c r="AQ660" s="33">
        <v>0.45100000000000001</v>
      </c>
      <c r="AR660" s="43">
        <v>0.25800000000000001</v>
      </c>
      <c r="AS660" s="33">
        <v>1</v>
      </c>
      <c r="AT660" s="43">
        <v>0</v>
      </c>
      <c r="AU660" s="42">
        <v>1</v>
      </c>
      <c r="AV660" s="18">
        <v>0</v>
      </c>
      <c r="AW660">
        <v>0.55100000000000005</v>
      </c>
      <c r="AX660" s="40">
        <v>0.44900000000000001</v>
      </c>
      <c r="AY660" t="s">
        <v>107</v>
      </c>
      <c r="AZ660" s="40" t="s">
        <v>107</v>
      </c>
      <c r="BB660" s="18"/>
      <c r="BC660">
        <v>0</v>
      </c>
      <c r="BD660" s="18">
        <v>1</v>
      </c>
      <c r="BE660" s="18" t="s">
        <v>5</v>
      </c>
      <c r="BL660" s="18"/>
      <c r="BO660" s="18"/>
      <c r="BR660" s="25">
        <f t="shared" si="473"/>
        <v>37.39</v>
      </c>
      <c r="BS660">
        <v>1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 s="18">
        <v>0</v>
      </c>
      <c r="CA660">
        <v>0</v>
      </c>
      <c r="CB660">
        <v>0</v>
      </c>
      <c r="CC660">
        <v>1</v>
      </c>
      <c r="CD660" s="18">
        <v>0</v>
      </c>
      <c r="CE660">
        <v>0</v>
      </c>
      <c r="CF660">
        <v>0</v>
      </c>
      <c r="CG660">
        <v>0</v>
      </c>
      <c r="CH660">
        <v>0</v>
      </c>
      <c r="CI660" s="18">
        <v>0</v>
      </c>
      <c r="CJ660">
        <v>0</v>
      </c>
      <c r="CK660">
        <v>0</v>
      </c>
      <c r="CL660">
        <v>1</v>
      </c>
      <c r="CM660">
        <v>1</v>
      </c>
      <c r="CN660">
        <v>0</v>
      </c>
      <c r="CO660">
        <v>0</v>
      </c>
      <c r="CP660">
        <v>1</v>
      </c>
      <c r="CQ660">
        <v>0</v>
      </c>
      <c r="CR660">
        <v>0</v>
      </c>
      <c r="CS660">
        <v>0</v>
      </c>
      <c r="CT660" s="18">
        <v>0</v>
      </c>
      <c r="CZ660" s="34" t="s">
        <v>87</v>
      </c>
    </row>
    <row r="661" spans="1:104" x14ac:dyDescent="0.25">
      <c r="A661">
        <v>660</v>
      </c>
      <c r="B661">
        <v>41</v>
      </c>
      <c r="C661" s="25" t="s">
        <v>347</v>
      </c>
      <c r="D661" s="12">
        <v>8.3000000000000007</v>
      </c>
      <c r="E661" s="14">
        <v>0.2</v>
      </c>
      <c r="F661" s="7">
        <f t="shared" si="452"/>
        <v>41.5</v>
      </c>
      <c r="G661" s="7">
        <f t="shared" si="453"/>
        <v>8.1000000000000014</v>
      </c>
      <c r="H661" s="16">
        <f t="shared" si="454"/>
        <v>8.5</v>
      </c>
      <c r="I661" s="11">
        <f t="shared" si="467"/>
        <v>0.41530640149835174</v>
      </c>
      <c r="J661" s="33">
        <f t="shared" si="468"/>
        <v>1.0007383168634981E-2</v>
      </c>
      <c r="K661" s="33">
        <f t="shared" si="469"/>
        <v>99.926222784612449</v>
      </c>
      <c r="L661" s="33">
        <f t="shared" si="470"/>
        <v>0.40529901832971676</v>
      </c>
      <c r="M661" s="33">
        <f t="shared" si="471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75"/>
        <v>8263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9">
        <v>0</v>
      </c>
      <c r="AL661" s="30">
        <v>0</v>
      </c>
      <c r="AM661" s="21">
        <v>2002</v>
      </c>
      <c r="AN661" s="23"/>
      <c r="AO661" s="33">
        <f t="shared" ref="AO661:AO676" si="476">1-SUM(AP661:AR661)</f>
        <v>3.0000000000000027E-2</v>
      </c>
      <c r="AP661" s="33">
        <v>0.26100000000000001</v>
      </c>
      <c r="AQ661" s="33">
        <v>0.45100000000000001</v>
      </c>
      <c r="AR661" s="43">
        <v>0.25800000000000001</v>
      </c>
      <c r="AS661" s="33">
        <v>1</v>
      </c>
      <c r="AT661" s="43">
        <v>0</v>
      </c>
      <c r="AU661" s="42">
        <v>1</v>
      </c>
      <c r="AV661" s="18">
        <v>0</v>
      </c>
      <c r="AW661">
        <v>0.55100000000000005</v>
      </c>
      <c r="AX661" s="40">
        <v>0.44900000000000001</v>
      </c>
      <c r="AY661" t="s">
        <v>107</v>
      </c>
      <c r="AZ661" s="40" t="s">
        <v>107</v>
      </c>
      <c r="BB661" s="18"/>
      <c r="BC661">
        <v>0</v>
      </c>
      <c r="BD661" s="18">
        <v>1</v>
      </c>
      <c r="BE661" s="18" t="s">
        <v>5</v>
      </c>
      <c r="BL661" s="18"/>
      <c r="BO661" s="18"/>
      <c r="BR661" s="25">
        <f t="shared" ref="BR661:BR676" si="477">6+Y661+Z661</f>
        <v>37.39</v>
      </c>
      <c r="BS661">
        <v>1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 s="18">
        <v>0</v>
      </c>
      <c r="CA661">
        <v>0</v>
      </c>
      <c r="CB661">
        <v>0</v>
      </c>
      <c r="CC661">
        <v>1</v>
      </c>
      <c r="CD661" s="18">
        <v>0</v>
      </c>
      <c r="CE661">
        <v>0</v>
      </c>
      <c r="CF661">
        <v>0</v>
      </c>
      <c r="CG661">
        <v>0</v>
      </c>
      <c r="CH661">
        <v>0</v>
      </c>
      <c r="CI661" s="18">
        <v>0</v>
      </c>
      <c r="CJ661">
        <v>0</v>
      </c>
      <c r="CK661">
        <v>0</v>
      </c>
      <c r="CL661">
        <v>1</v>
      </c>
      <c r="CM661">
        <v>1</v>
      </c>
      <c r="CN661">
        <v>1</v>
      </c>
      <c r="CO661">
        <v>0</v>
      </c>
      <c r="CP661">
        <v>1</v>
      </c>
      <c r="CQ661">
        <v>0</v>
      </c>
      <c r="CR661">
        <v>0</v>
      </c>
      <c r="CS661">
        <v>0</v>
      </c>
      <c r="CT661" s="18">
        <v>1</v>
      </c>
      <c r="CZ661" s="34" t="s">
        <v>87</v>
      </c>
    </row>
    <row r="662" spans="1:104" x14ac:dyDescent="0.25">
      <c r="A662">
        <v>661</v>
      </c>
      <c r="B662">
        <v>41</v>
      </c>
      <c r="C662" s="25" t="s">
        <v>347</v>
      </c>
      <c r="D662" s="12">
        <v>6.6</v>
      </c>
      <c r="E662" s="14">
        <v>0.2</v>
      </c>
      <c r="F662" s="7">
        <f t="shared" si="452"/>
        <v>32.999999999999993</v>
      </c>
      <c r="G662" s="7">
        <f t="shared" si="453"/>
        <v>6.3999999999999995</v>
      </c>
      <c r="H662" s="16">
        <f t="shared" si="454"/>
        <v>6.8</v>
      </c>
      <c r="I662" s="11">
        <f t="shared" si="467"/>
        <v>0.34124138094380424</v>
      </c>
      <c r="J662" s="33">
        <f t="shared" si="468"/>
        <v>1.034064790738801E-2</v>
      </c>
      <c r="K662" s="33">
        <f t="shared" si="469"/>
        <v>96.705739229892643</v>
      </c>
      <c r="L662" s="33">
        <f t="shared" si="470"/>
        <v>0.33090073303641621</v>
      </c>
      <c r="M662" s="33">
        <f t="shared" si="471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75"/>
        <v>8263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9">
        <v>0</v>
      </c>
      <c r="AL662" s="30">
        <v>0</v>
      </c>
      <c r="AM662" s="21">
        <v>2002</v>
      </c>
      <c r="AN662" s="23"/>
      <c r="AO662" s="33">
        <f t="shared" si="476"/>
        <v>3.0000000000000027E-2</v>
      </c>
      <c r="AP662" s="33">
        <v>0.26100000000000001</v>
      </c>
      <c r="AQ662" s="33">
        <v>0.45100000000000001</v>
      </c>
      <c r="AR662" s="43">
        <v>0.25800000000000001</v>
      </c>
      <c r="AS662" s="33">
        <v>1</v>
      </c>
      <c r="AT662" s="43">
        <v>0</v>
      </c>
      <c r="AU662" s="42">
        <v>1</v>
      </c>
      <c r="AV662" s="18">
        <v>0</v>
      </c>
      <c r="AW662">
        <v>0.55100000000000005</v>
      </c>
      <c r="AX662" s="40">
        <v>0.44900000000000001</v>
      </c>
      <c r="AY662" t="s">
        <v>107</v>
      </c>
      <c r="AZ662" s="40" t="s">
        <v>107</v>
      </c>
      <c r="BB662" s="18"/>
      <c r="BC662">
        <v>0</v>
      </c>
      <c r="BD662" s="18">
        <v>1</v>
      </c>
      <c r="BE662" s="18" t="s">
        <v>5</v>
      </c>
      <c r="BL662" s="18"/>
      <c r="BO662" s="18"/>
      <c r="BR662" s="25">
        <f t="shared" si="477"/>
        <v>37.39</v>
      </c>
      <c r="BS662">
        <v>1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 s="18">
        <v>0</v>
      </c>
      <c r="CA662">
        <v>0</v>
      </c>
      <c r="CB662">
        <v>0</v>
      </c>
      <c r="CC662">
        <v>1</v>
      </c>
      <c r="CD662" s="18">
        <v>0</v>
      </c>
      <c r="CE662">
        <v>0</v>
      </c>
      <c r="CF662">
        <v>0</v>
      </c>
      <c r="CG662">
        <v>0</v>
      </c>
      <c r="CH662">
        <v>0</v>
      </c>
      <c r="CI662" s="18">
        <v>0</v>
      </c>
      <c r="CJ662">
        <v>0</v>
      </c>
      <c r="CK662">
        <v>0</v>
      </c>
      <c r="CL662">
        <v>1</v>
      </c>
      <c r="CM662">
        <v>1</v>
      </c>
      <c r="CN662">
        <v>0</v>
      </c>
      <c r="CO662">
        <v>0</v>
      </c>
      <c r="CP662">
        <v>1</v>
      </c>
      <c r="CQ662">
        <v>0</v>
      </c>
      <c r="CR662">
        <v>1</v>
      </c>
      <c r="CS662">
        <v>0</v>
      </c>
      <c r="CT662" s="18">
        <v>0</v>
      </c>
      <c r="CZ662" s="34" t="s">
        <v>87</v>
      </c>
    </row>
    <row r="663" spans="1:104" x14ac:dyDescent="0.25">
      <c r="A663">
        <v>662</v>
      </c>
      <c r="B663">
        <v>41</v>
      </c>
      <c r="C663" s="25" t="s">
        <v>347</v>
      </c>
      <c r="D663" s="12">
        <v>6.8</v>
      </c>
      <c r="E663" s="14">
        <v>0.3</v>
      </c>
      <c r="F663" s="7">
        <f t="shared" si="452"/>
        <v>22.666666666666668</v>
      </c>
      <c r="G663" s="7">
        <f t="shared" si="453"/>
        <v>6.5</v>
      </c>
      <c r="H663" s="16">
        <f t="shared" si="454"/>
        <v>7.1</v>
      </c>
      <c r="I663" s="11">
        <f t="shared" si="467"/>
        <v>0.24202966751607363</v>
      </c>
      <c r="J663" s="33">
        <f t="shared" si="468"/>
        <v>1.0677779449238542E-2</v>
      </c>
      <c r="K663" s="33">
        <f t="shared" si="469"/>
        <v>93.652430709393641</v>
      </c>
      <c r="L663" s="33">
        <f t="shared" si="470"/>
        <v>0.2313518880668351</v>
      </c>
      <c r="M663" s="33">
        <f t="shared" si="471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75"/>
        <v>8257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9">
        <v>0</v>
      </c>
      <c r="AL663" s="30">
        <v>0</v>
      </c>
      <c r="AM663" s="21">
        <v>2002</v>
      </c>
      <c r="AN663" s="23"/>
      <c r="AO663" s="33">
        <f t="shared" si="476"/>
        <v>3.0000000000000027E-2</v>
      </c>
      <c r="AP663" s="33">
        <v>0.26100000000000001</v>
      </c>
      <c r="AQ663" s="33">
        <v>0.45100000000000001</v>
      </c>
      <c r="AR663" s="43">
        <v>0.25800000000000001</v>
      </c>
      <c r="AS663" s="33">
        <v>1</v>
      </c>
      <c r="AT663" s="43">
        <v>0</v>
      </c>
      <c r="AU663" s="42">
        <v>1</v>
      </c>
      <c r="AV663" s="18">
        <v>0</v>
      </c>
      <c r="AW663">
        <v>0.55100000000000005</v>
      </c>
      <c r="AX663" s="40">
        <v>0.44900000000000001</v>
      </c>
      <c r="AY663" t="s">
        <v>107</v>
      </c>
      <c r="AZ663" s="40" t="s">
        <v>107</v>
      </c>
      <c r="BB663" s="18"/>
      <c r="BC663">
        <v>0</v>
      </c>
      <c r="BD663" s="18">
        <v>1</v>
      </c>
      <c r="BE663" s="18" t="s">
        <v>5</v>
      </c>
      <c r="BL663" s="18"/>
      <c r="BO663" s="18"/>
      <c r="BR663" s="25">
        <f t="shared" si="477"/>
        <v>37.39</v>
      </c>
      <c r="BS663">
        <v>1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 s="18">
        <v>0</v>
      </c>
      <c r="CA663">
        <v>0</v>
      </c>
      <c r="CB663">
        <v>0</v>
      </c>
      <c r="CC663">
        <v>1</v>
      </c>
      <c r="CD663" s="18">
        <v>0</v>
      </c>
      <c r="CE663">
        <v>0</v>
      </c>
      <c r="CF663">
        <v>0</v>
      </c>
      <c r="CG663">
        <v>0</v>
      </c>
      <c r="CH663">
        <v>0</v>
      </c>
      <c r="CI663" s="18">
        <v>0</v>
      </c>
      <c r="CJ663">
        <v>0</v>
      </c>
      <c r="CK663">
        <v>0</v>
      </c>
      <c r="CL663">
        <v>1</v>
      </c>
      <c r="CM663">
        <v>1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 s="18">
        <v>0</v>
      </c>
      <c r="CZ663" s="34" t="s">
        <v>87</v>
      </c>
    </row>
    <row r="664" spans="1:104" x14ac:dyDescent="0.25">
      <c r="A664">
        <v>663</v>
      </c>
      <c r="B664">
        <v>41</v>
      </c>
      <c r="C664" s="25" t="s">
        <v>347</v>
      </c>
      <c r="D664" s="12">
        <v>6.8</v>
      </c>
      <c r="E664" s="14">
        <v>0.3</v>
      </c>
      <c r="F664" s="7">
        <f t="shared" si="452"/>
        <v>22.666666666666668</v>
      </c>
      <c r="G664" s="7">
        <f t="shared" si="453"/>
        <v>6.5</v>
      </c>
      <c r="H664" s="16">
        <f t="shared" si="454"/>
        <v>7.1</v>
      </c>
      <c r="I664" s="11">
        <f t="shared" si="467"/>
        <v>0.24202966751607363</v>
      </c>
      <c r="J664" s="33">
        <f t="shared" si="468"/>
        <v>1.0677779449238542E-2</v>
      </c>
      <c r="K664" s="33">
        <f t="shared" si="469"/>
        <v>93.652430709393641</v>
      </c>
      <c r="L664" s="33">
        <f t="shared" si="470"/>
        <v>0.2313518880668351</v>
      </c>
      <c r="M664" s="33">
        <f t="shared" si="471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75"/>
        <v>8257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9">
        <v>0</v>
      </c>
      <c r="AL664" s="30">
        <v>0</v>
      </c>
      <c r="AM664" s="21">
        <v>2002</v>
      </c>
      <c r="AN664" s="23"/>
      <c r="AO664" s="33">
        <f t="shared" si="476"/>
        <v>3.0000000000000027E-2</v>
      </c>
      <c r="AP664" s="33">
        <v>0.26100000000000001</v>
      </c>
      <c r="AQ664" s="33">
        <v>0.45100000000000001</v>
      </c>
      <c r="AR664" s="43">
        <v>0.25800000000000001</v>
      </c>
      <c r="AS664" s="33">
        <v>1</v>
      </c>
      <c r="AT664" s="43">
        <v>0</v>
      </c>
      <c r="AU664" s="42">
        <v>1</v>
      </c>
      <c r="AV664" s="18">
        <v>0</v>
      </c>
      <c r="AW664">
        <v>0.55100000000000005</v>
      </c>
      <c r="AX664" s="40">
        <v>0.44900000000000001</v>
      </c>
      <c r="AY664" t="s">
        <v>107</v>
      </c>
      <c r="AZ664" s="40" t="s">
        <v>107</v>
      </c>
      <c r="BB664" s="18"/>
      <c r="BC664">
        <v>0</v>
      </c>
      <c r="BD664" s="18">
        <v>1</v>
      </c>
      <c r="BE664" s="18" t="s">
        <v>5</v>
      </c>
      <c r="BL664" s="18"/>
      <c r="BO664" s="18"/>
      <c r="BR664" s="25">
        <f t="shared" si="477"/>
        <v>37.39</v>
      </c>
      <c r="BS664">
        <v>1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 s="18">
        <v>0</v>
      </c>
      <c r="CA664">
        <v>0</v>
      </c>
      <c r="CB664">
        <v>0</v>
      </c>
      <c r="CC664">
        <v>1</v>
      </c>
      <c r="CD664" s="18">
        <v>0</v>
      </c>
      <c r="CE664">
        <v>0</v>
      </c>
      <c r="CF664">
        <v>0</v>
      </c>
      <c r="CG664">
        <v>0</v>
      </c>
      <c r="CH664">
        <v>0</v>
      </c>
      <c r="CI664" s="18">
        <v>0</v>
      </c>
      <c r="CJ664">
        <v>0</v>
      </c>
      <c r="CK664">
        <v>0</v>
      </c>
      <c r="CL664">
        <v>1</v>
      </c>
      <c r="CM664">
        <v>1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 s="18">
        <v>0</v>
      </c>
      <c r="CZ664" s="34" t="s">
        <v>87</v>
      </c>
    </row>
    <row r="665" spans="1:104" x14ac:dyDescent="0.25">
      <c r="A665">
        <v>664</v>
      </c>
      <c r="B665">
        <v>41</v>
      </c>
      <c r="C665" s="25" t="s">
        <v>347</v>
      </c>
      <c r="D665" s="12">
        <v>6</v>
      </c>
      <c r="E665" s="14">
        <v>0.4</v>
      </c>
      <c r="F665" s="7">
        <f t="shared" ref="F665:F681" si="478">D665/E665</f>
        <v>15</v>
      </c>
      <c r="G665" s="7">
        <f t="shared" ref="G665:G681" si="479">D665-E665</f>
        <v>5.6</v>
      </c>
      <c r="H665" s="16">
        <f t="shared" ref="H665:H681" si="480">D665+E665</f>
        <v>6.4</v>
      </c>
      <c r="I665" s="11">
        <f t="shared" si="467"/>
        <v>0.16287038575505658</v>
      </c>
      <c r="J665" s="33">
        <f t="shared" si="468"/>
        <v>1.0858025717003773E-2</v>
      </c>
      <c r="K665" s="33">
        <f t="shared" ref="K665:K666" si="481">IFERROR(1/J665, "X")</f>
        <v>92.097774131626011</v>
      </c>
      <c r="L665" s="33">
        <f t="shared" ref="L665:L666" si="482">IFERROR(I665-J665, "X")</f>
        <v>0.1520123600380528</v>
      </c>
      <c r="M665" s="33">
        <f t="shared" ref="M665:M666" si="48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75"/>
        <v>8257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9">
        <v>0</v>
      </c>
      <c r="AL665" s="30">
        <v>0</v>
      </c>
      <c r="AM665" s="21">
        <v>2002</v>
      </c>
      <c r="AN665" s="23"/>
      <c r="AO665" s="33">
        <f t="shared" si="476"/>
        <v>3.0000000000000027E-2</v>
      </c>
      <c r="AP665" s="33">
        <v>0.26100000000000001</v>
      </c>
      <c r="AQ665" s="33">
        <v>0.45100000000000001</v>
      </c>
      <c r="AR665" s="43">
        <v>0.25800000000000001</v>
      </c>
      <c r="AS665" s="33">
        <v>1</v>
      </c>
      <c r="AT665" s="43">
        <v>0</v>
      </c>
      <c r="AU665" s="42">
        <v>1</v>
      </c>
      <c r="AV665" s="18">
        <v>0</v>
      </c>
      <c r="AW665">
        <v>0.55100000000000005</v>
      </c>
      <c r="AX665" s="40">
        <v>0.44900000000000001</v>
      </c>
      <c r="AY665" t="s">
        <v>107</v>
      </c>
      <c r="AZ665" s="40" t="s">
        <v>107</v>
      </c>
      <c r="BB665" s="18"/>
      <c r="BC665">
        <v>0</v>
      </c>
      <c r="BD665" s="18">
        <v>1</v>
      </c>
      <c r="BE665" s="18" t="s">
        <v>5</v>
      </c>
      <c r="BL665" s="18"/>
      <c r="BO665" s="18"/>
      <c r="BR665" s="25">
        <f t="shared" si="477"/>
        <v>37.39</v>
      </c>
      <c r="BS665">
        <v>1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 s="18">
        <v>0</v>
      </c>
      <c r="CA665">
        <v>0</v>
      </c>
      <c r="CB665">
        <v>0</v>
      </c>
      <c r="CC665">
        <v>1</v>
      </c>
      <c r="CD665" s="18">
        <v>0</v>
      </c>
      <c r="CE665">
        <v>0</v>
      </c>
      <c r="CF665">
        <v>0</v>
      </c>
      <c r="CG665">
        <v>0</v>
      </c>
      <c r="CH665">
        <v>0</v>
      </c>
      <c r="CI665" s="18">
        <v>0</v>
      </c>
      <c r="CJ665">
        <v>0</v>
      </c>
      <c r="CK665">
        <v>0</v>
      </c>
      <c r="CL665">
        <v>1</v>
      </c>
      <c r="CM665">
        <v>1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 s="18">
        <v>0</v>
      </c>
      <c r="CZ665" s="34" t="s">
        <v>87</v>
      </c>
    </row>
    <row r="666" spans="1:104" x14ac:dyDescent="0.25">
      <c r="A666">
        <v>665</v>
      </c>
      <c r="B666">
        <v>41</v>
      </c>
      <c r="C666" s="25" t="s">
        <v>347</v>
      </c>
      <c r="D666" s="12">
        <v>6</v>
      </c>
      <c r="E666" s="14">
        <v>0.4</v>
      </c>
      <c r="F666" s="7">
        <f t="shared" si="478"/>
        <v>15</v>
      </c>
      <c r="G666" s="7">
        <f t="shared" si="479"/>
        <v>5.6</v>
      </c>
      <c r="H666" s="16">
        <f t="shared" si="480"/>
        <v>6.4</v>
      </c>
      <c r="I666" s="11">
        <f t="shared" si="467"/>
        <v>0.16287038575505658</v>
      </c>
      <c r="J666" s="33">
        <f t="shared" si="468"/>
        <v>1.0858025717003773E-2</v>
      </c>
      <c r="K666" s="33">
        <f t="shared" si="481"/>
        <v>92.097774131626011</v>
      </c>
      <c r="L666" s="33">
        <f t="shared" si="482"/>
        <v>0.1520123600380528</v>
      </c>
      <c r="M666" s="33">
        <f t="shared" si="48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484">U666-V666-1</f>
        <v>8257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9">
        <v>0</v>
      </c>
      <c r="AL666" s="30">
        <v>0</v>
      </c>
      <c r="AM666" s="21">
        <v>2002</v>
      </c>
      <c r="AN666" s="23"/>
      <c r="AO666" s="33">
        <f t="shared" si="476"/>
        <v>3.0000000000000027E-2</v>
      </c>
      <c r="AP666" s="33">
        <v>0.26100000000000001</v>
      </c>
      <c r="AQ666" s="33">
        <v>0.45100000000000001</v>
      </c>
      <c r="AR666" s="43">
        <v>0.25800000000000001</v>
      </c>
      <c r="AS666" s="33">
        <v>1</v>
      </c>
      <c r="AT666" s="43">
        <v>0</v>
      </c>
      <c r="AU666" s="42">
        <v>1</v>
      </c>
      <c r="AV666" s="18">
        <v>0</v>
      </c>
      <c r="AW666">
        <v>0.55100000000000005</v>
      </c>
      <c r="AX666" s="40">
        <v>0.44900000000000001</v>
      </c>
      <c r="AY666" t="s">
        <v>107</v>
      </c>
      <c r="AZ666" s="40" t="s">
        <v>107</v>
      </c>
      <c r="BB666" s="18"/>
      <c r="BC666">
        <v>0</v>
      </c>
      <c r="BD666" s="18">
        <v>1</v>
      </c>
      <c r="BE666" s="18" t="s">
        <v>5</v>
      </c>
      <c r="BL666" s="18"/>
      <c r="BO666" s="18"/>
      <c r="BR666" s="25">
        <f t="shared" si="477"/>
        <v>37.39</v>
      </c>
      <c r="BS666">
        <v>1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 s="18">
        <v>0</v>
      </c>
      <c r="CA666">
        <v>0</v>
      </c>
      <c r="CB666">
        <v>0</v>
      </c>
      <c r="CC666">
        <v>1</v>
      </c>
      <c r="CD666" s="18">
        <v>0</v>
      </c>
      <c r="CE666">
        <v>0</v>
      </c>
      <c r="CF666">
        <v>0</v>
      </c>
      <c r="CG666">
        <v>0</v>
      </c>
      <c r="CH666">
        <v>0</v>
      </c>
      <c r="CI666" s="18">
        <v>0</v>
      </c>
      <c r="CJ666">
        <v>0</v>
      </c>
      <c r="CK666">
        <v>0</v>
      </c>
      <c r="CL666">
        <v>1</v>
      </c>
      <c r="CM666">
        <v>1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 s="18">
        <v>0</v>
      </c>
      <c r="CZ666" s="34" t="s">
        <v>87</v>
      </c>
    </row>
    <row r="667" spans="1:104" x14ac:dyDescent="0.25">
      <c r="A667">
        <v>666</v>
      </c>
      <c r="B667">
        <v>41</v>
      </c>
      <c r="C667" s="25" t="s">
        <v>347</v>
      </c>
      <c r="D667" s="12">
        <v>7.2</v>
      </c>
      <c r="E667" s="14">
        <v>0.4</v>
      </c>
      <c r="F667" s="7">
        <f t="shared" si="478"/>
        <v>18</v>
      </c>
      <c r="G667" s="7">
        <f t="shared" si="479"/>
        <v>6.8</v>
      </c>
      <c r="H667" s="16">
        <f t="shared" si="480"/>
        <v>7.6000000000000005</v>
      </c>
      <c r="I667" s="11">
        <f t="shared" si="467"/>
        <v>0.19431375937366141</v>
      </c>
      <c r="J667" s="33">
        <f t="shared" si="468"/>
        <v>1.0795208854092301E-2</v>
      </c>
      <c r="K667" s="33">
        <f t="shared" ref="K667:K681" si="485">IFERROR(1/J667, "X")</f>
        <v>92.633687176966021</v>
      </c>
      <c r="L667" s="33">
        <f t="shared" ref="L667:L681" si="486">IFERROR(I667-J667, "X")</f>
        <v>0.18351855051956911</v>
      </c>
      <c r="M667" s="33">
        <f t="shared" ref="M667:M681" si="48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484"/>
        <v>8257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9">
        <v>0</v>
      </c>
      <c r="AL667" s="30">
        <v>0</v>
      </c>
      <c r="AM667" s="21">
        <v>2002</v>
      </c>
      <c r="AN667" s="23"/>
      <c r="AO667" s="33">
        <f t="shared" si="476"/>
        <v>3.0000000000000027E-2</v>
      </c>
      <c r="AP667" s="33">
        <v>0.26100000000000001</v>
      </c>
      <c r="AQ667" s="33">
        <v>0.45100000000000001</v>
      </c>
      <c r="AR667" s="43">
        <v>0.25800000000000001</v>
      </c>
      <c r="AS667" s="33">
        <v>1</v>
      </c>
      <c r="AT667" s="43">
        <v>0</v>
      </c>
      <c r="AU667" s="42">
        <v>1</v>
      </c>
      <c r="AV667" s="18">
        <v>0</v>
      </c>
      <c r="AW667">
        <v>0.55100000000000005</v>
      </c>
      <c r="AX667" s="40">
        <v>0.44900000000000001</v>
      </c>
      <c r="AY667" t="s">
        <v>107</v>
      </c>
      <c r="AZ667" s="40" t="s">
        <v>107</v>
      </c>
      <c r="BB667" s="18"/>
      <c r="BC667">
        <v>0</v>
      </c>
      <c r="BD667" s="18">
        <v>1</v>
      </c>
      <c r="BE667" s="18" t="s">
        <v>5</v>
      </c>
      <c r="BL667" s="18"/>
      <c r="BO667" s="18"/>
      <c r="BR667" s="25">
        <f t="shared" si="477"/>
        <v>37.39</v>
      </c>
      <c r="BS667">
        <v>0</v>
      </c>
      <c r="BT667">
        <v>0</v>
      </c>
      <c r="BU667">
        <v>1</v>
      </c>
      <c r="BV667">
        <v>0</v>
      </c>
      <c r="BW667">
        <v>0</v>
      </c>
      <c r="BX667">
        <v>0</v>
      </c>
      <c r="BY667">
        <v>0</v>
      </c>
      <c r="BZ667" s="18">
        <v>0</v>
      </c>
      <c r="CA667">
        <v>0</v>
      </c>
      <c r="CB667">
        <v>0</v>
      </c>
      <c r="CC667">
        <v>1</v>
      </c>
      <c r="CD667" s="18">
        <v>0</v>
      </c>
      <c r="CE667">
        <v>0</v>
      </c>
      <c r="CF667">
        <v>0</v>
      </c>
      <c r="CG667">
        <v>0</v>
      </c>
      <c r="CH667">
        <v>0</v>
      </c>
      <c r="CI667" s="18">
        <v>0</v>
      </c>
      <c r="CJ667">
        <v>0</v>
      </c>
      <c r="CK667">
        <v>0</v>
      </c>
      <c r="CL667">
        <v>1</v>
      </c>
      <c r="CM667">
        <v>1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 s="18">
        <v>0</v>
      </c>
      <c r="CZ667" s="34" t="s">
        <v>87</v>
      </c>
    </row>
    <row r="668" spans="1:104" x14ac:dyDescent="0.25">
      <c r="A668">
        <v>667</v>
      </c>
      <c r="B668">
        <v>41</v>
      </c>
      <c r="C668" s="25" t="s">
        <v>347</v>
      </c>
      <c r="D668" s="12">
        <v>7.2</v>
      </c>
      <c r="E668" s="14">
        <v>0.4</v>
      </c>
      <c r="F668" s="7">
        <f t="shared" si="478"/>
        <v>18</v>
      </c>
      <c r="G668" s="7">
        <f t="shared" si="479"/>
        <v>6.8</v>
      </c>
      <c r="H668" s="16">
        <f t="shared" si="480"/>
        <v>7.6000000000000005</v>
      </c>
      <c r="I668" s="11">
        <f t="shared" si="467"/>
        <v>0.19431375937366141</v>
      </c>
      <c r="J668" s="33">
        <f t="shared" si="468"/>
        <v>1.0795208854092301E-2</v>
      </c>
      <c r="K668" s="33">
        <f t="shared" si="485"/>
        <v>92.633687176966021</v>
      </c>
      <c r="L668" s="33">
        <f t="shared" si="486"/>
        <v>0.18351855051956911</v>
      </c>
      <c r="M668" s="33">
        <f t="shared" si="48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484"/>
        <v>8257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9">
        <v>0</v>
      </c>
      <c r="AL668" s="30">
        <v>0</v>
      </c>
      <c r="AM668" s="21">
        <v>2002</v>
      </c>
      <c r="AN668" s="23"/>
      <c r="AO668" s="33">
        <f t="shared" si="476"/>
        <v>3.0000000000000027E-2</v>
      </c>
      <c r="AP668" s="33">
        <v>0.26100000000000001</v>
      </c>
      <c r="AQ668" s="33">
        <v>0.45100000000000001</v>
      </c>
      <c r="AR668" s="43">
        <v>0.25800000000000001</v>
      </c>
      <c r="AS668" s="33">
        <v>1</v>
      </c>
      <c r="AT668" s="43">
        <v>0</v>
      </c>
      <c r="AU668" s="42">
        <v>1</v>
      </c>
      <c r="AV668" s="18">
        <v>0</v>
      </c>
      <c r="AW668">
        <v>0.55100000000000005</v>
      </c>
      <c r="AX668" s="40">
        <v>0.44900000000000001</v>
      </c>
      <c r="AY668" t="s">
        <v>107</v>
      </c>
      <c r="AZ668" s="40" t="s">
        <v>107</v>
      </c>
      <c r="BB668" s="18"/>
      <c r="BC668">
        <v>0</v>
      </c>
      <c r="BD668" s="18">
        <v>1</v>
      </c>
      <c r="BE668" s="18" t="s">
        <v>5</v>
      </c>
      <c r="BL668" s="18"/>
      <c r="BO668" s="18"/>
      <c r="BR668" s="25">
        <f t="shared" si="477"/>
        <v>37.39</v>
      </c>
      <c r="BS668">
        <v>0</v>
      </c>
      <c r="BT668">
        <v>0</v>
      </c>
      <c r="BU668">
        <v>1</v>
      </c>
      <c r="BV668">
        <v>0</v>
      </c>
      <c r="BW668">
        <v>0</v>
      </c>
      <c r="BX668">
        <v>0</v>
      </c>
      <c r="BY668">
        <v>0</v>
      </c>
      <c r="BZ668" s="18">
        <v>0</v>
      </c>
      <c r="CA668">
        <v>0</v>
      </c>
      <c r="CB668">
        <v>0</v>
      </c>
      <c r="CC668">
        <v>1</v>
      </c>
      <c r="CD668" s="18">
        <v>0</v>
      </c>
      <c r="CE668">
        <v>0</v>
      </c>
      <c r="CF668">
        <v>0</v>
      </c>
      <c r="CG668">
        <v>0</v>
      </c>
      <c r="CH668">
        <v>0</v>
      </c>
      <c r="CI668" s="18">
        <v>0</v>
      </c>
      <c r="CJ668">
        <v>0</v>
      </c>
      <c r="CK668">
        <v>0</v>
      </c>
      <c r="CL668">
        <v>1</v>
      </c>
      <c r="CM668">
        <v>1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 s="18">
        <v>0</v>
      </c>
      <c r="CZ668" s="34" t="s">
        <v>87</v>
      </c>
    </row>
    <row r="669" spans="1:104" x14ac:dyDescent="0.25">
      <c r="A669">
        <v>668</v>
      </c>
      <c r="B669">
        <v>41</v>
      </c>
      <c r="C669" s="25" t="s">
        <v>347</v>
      </c>
      <c r="D669" s="12">
        <v>7.4</v>
      </c>
      <c r="E669" s="14">
        <v>0.5</v>
      </c>
      <c r="F669" s="7">
        <f t="shared" si="478"/>
        <v>14.8</v>
      </c>
      <c r="G669" s="7">
        <f t="shared" si="479"/>
        <v>6.9</v>
      </c>
      <c r="H669" s="16">
        <f t="shared" si="480"/>
        <v>7.9</v>
      </c>
      <c r="I669" s="11">
        <f t="shared" si="467"/>
        <v>0.16075526904413717</v>
      </c>
      <c r="J669" s="33">
        <f t="shared" si="468"/>
        <v>1.0861842502982241E-2</v>
      </c>
      <c r="K669" s="33">
        <f t="shared" si="485"/>
        <v>92.065411528977592</v>
      </c>
      <c r="L669" s="33">
        <f t="shared" si="486"/>
        <v>0.14989342654115492</v>
      </c>
      <c r="M669" s="33">
        <f t="shared" si="48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484"/>
        <v>8257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9">
        <v>0</v>
      </c>
      <c r="AL669" s="30">
        <v>0</v>
      </c>
      <c r="AM669" s="21">
        <v>2002</v>
      </c>
      <c r="AN669" s="23"/>
      <c r="AO669" s="33">
        <f t="shared" si="476"/>
        <v>3.0000000000000027E-2</v>
      </c>
      <c r="AP669" s="33">
        <v>0.26100000000000001</v>
      </c>
      <c r="AQ669" s="33">
        <v>0.45100000000000001</v>
      </c>
      <c r="AR669" s="43">
        <v>0.25800000000000001</v>
      </c>
      <c r="AS669" s="33">
        <v>1</v>
      </c>
      <c r="AT669" s="43">
        <v>0</v>
      </c>
      <c r="AU669" s="42">
        <v>1</v>
      </c>
      <c r="AV669" s="18">
        <v>0</v>
      </c>
      <c r="AW669">
        <v>0.55100000000000005</v>
      </c>
      <c r="AX669" s="40">
        <v>0.44900000000000001</v>
      </c>
      <c r="AY669" t="s">
        <v>107</v>
      </c>
      <c r="AZ669" s="40" t="s">
        <v>107</v>
      </c>
      <c r="BB669" s="18"/>
      <c r="BC669">
        <v>0</v>
      </c>
      <c r="BD669" s="18">
        <v>1</v>
      </c>
      <c r="BE669" s="18" t="s">
        <v>5</v>
      </c>
      <c r="BL669" s="18"/>
      <c r="BO669" s="18"/>
      <c r="BR669" s="25">
        <f t="shared" si="477"/>
        <v>37.39</v>
      </c>
      <c r="BS669">
        <v>0</v>
      </c>
      <c r="BT669">
        <v>0</v>
      </c>
      <c r="BU669">
        <v>1</v>
      </c>
      <c r="BV669">
        <v>0</v>
      </c>
      <c r="BW669">
        <v>0</v>
      </c>
      <c r="BX669">
        <v>0</v>
      </c>
      <c r="BY669">
        <v>0</v>
      </c>
      <c r="BZ669" s="18">
        <v>0</v>
      </c>
      <c r="CA669">
        <v>0</v>
      </c>
      <c r="CB669">
        <v>0</v>
      </c>
      <c r="CC669">
        <v>1</v>
      </c>
      <c r="CD669" s="18">
        <v>0</v>
      </c>
      <c r="CE669">
        <v>0</v>
      </c>
      <c r="CF669">
        <v>0</v>
      </c>
      <c r="CG669">
        <v>0</v>
      </c>
      <c r="CH669">
        <v>0</v>
      </c>
      <c r="CI669" s="18">
        <v>0</v>
      </c>
      <c r="CJ669">
        <v>0</v>
      </c>
      <c r="CK669">
        <v>0</v>
      </c>
      <c r="CL669">
        <v>1</v>
      </c>
      <c r="CM669">
        <v>1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 s="18">
        <v>0</v>
      </c>
      <c r="CZ669" s="34" t="s">
        <v>87</v>
      </c>
    </row>
    <row r="670" spans="1:104" x14ac:dyDescent="0.25">
      <c r="A670">
        <v>669</v>
      </c>
      <c r="B670">
        <v>41</v>
      </c>
      <c r="C670" s="25" t="s">
        <v>347</v>
      </c>
      <c r="D670" s="12">
        <v>7.3</v>
      </c>
      <c r="E670" s="14">
        <v>0.5</v>
      </c>
      <c r="F670" s="7">
        <f t="shared" si="478"/>
        <v>14.6</v>
      </c>
      <c r="G670" s="7">
        <f t="shared" si="479"/>
        <v>6.8</v>
      </c>
      <c r="H670" s="16">
        <f t="shared" si="480"/>
        <v>7.8</v>
      </c>
      <c r="I670" s="11">
        <f t="shared" si="467"/>
        <v>0.15863793525842246</v>
      </c>
      <c r="J670" s="33">
        <f t="shared" si="468"/>
        <v>1.0865612004001537E-2</v>
      </c>
      <c r="K670" s="33">
        <f t="shared" si="485"/>
        <v>92.033472171813671</v>
      </c>
      <c r="L670" s="33">
        <f t="shared" si="486"/>
        <v>0.14777232325442091</v>
      </c>
      <c r="M670" s="33">
        <f t="shared" si="48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484"/>
        <v>8257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9">
        <v>0</v>
      </c>
      <c r="AL670" s="30">
        <v>0</v>
      </c>
      <c r="AM670" s="21">
        <v>2002</v>
      </c>
      <c r="AN670" s="23"/>
      <c r="AO670" s="33">
        <f t="shared" si="476"/>
        <v>3.0000000000000027E-2</v>
      </c>
      <c r="AP670" s="33">
        <v>0.26100000000000001</v>
      </c>
      <c r="AQ670" s="33">
        <v>0.45100000000000001</v>
      </c>
      <c r="AR670" s="43">
        <v>0.25800000000000001</v>
      </c>
      <c r="AS670" s="33">
        <v>1</v>
      </c>
      <c r="AT670" s="43">
        <v>0</v>
      </c>
      <c r="AU670" s="42">
        <v>1</v>
      </c>
      <c r="AV670" s="18">
        <v>0</v>
      </c>
      <c r="AW670">
        <v>0.55100000000000005</v>
      </c>
      <c r="AX670" s="40">
        <v>0.44900000000000001</v>
      </c>
      <c r="AY670" t="s">
        <v>107</v>
      </c>
      <c r="AZ670" s="40" t="s">
        <v>107</v>
      </c>
      <c r="BB670" s="18"/>
      <c r="BC670">
        <v>0</v>
      </c>
      <c r="BD670" s="18">
        <v>1</v>
      </c>
      <c r="BE670" s="18" t="s">
        <v>5</v>
      </c>
      <c r="BL670" s="18"/>
      <c r="BO670" s="18"/>
      <c r="BR670" s="25">
        <f t="shared" si="477"/>
        <v>37.39</v>
      </c>
      <c r="BS670">
        <v>0</v>
      </c>
      <c r="BT670">
        <v>0</v>
      </c>
      <c r="BU670">
        <v>1</v>
      </c>
      <c r="BV670">
        <v>0</v>
      </c>
      <c r="BW670">
        <v>0</v>
      </c>
      <c r="BX670">
        <v>0</v>
      </c>
      <c r="BY670">
        <v>0</v>
      </c>
      <c r="BZ670" s="18">
        <v>0</v>
      </c>
      <c r="CA670">
        <v>0</v>
      </c>
      <c r="CB670">
        <v>0</v>
      </c>
      <c r="CC670">
        <v>1</v>
      </c>
      <c r="CD670" s="18">
        <v>0</v>
      </c>
      <c r="CE670">
        <v>0</v>
      </c>
      <c r="CF670">
        <v>0</v>
      </c>
      <c r="CG670">
        <v>0</v>
      </c>
      <c r="CH670">
        <v>0</v>
      </c>
      <c r="CI670" s="18">
        <v>0</v>
      </c>
      <c r="CJ670">
        <v>0</v>
      </c>
      <c r="CK670">
        <v>0</v>
      </c>
      <c r="CL670">
        <v>1</v>
      </c>
      <c r="CM670">
        <v>1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 s="18">
        <v>0</v>
      </c>
      <c r="CZ670" s="34" t="s">
        <v>87</v>
      </c>
    </row>
    <row r="671" spans="1:104" x14ac:dyDescent="0.25">
      <c r="A671">
        <v>670</v>
      </c>
      <c r="B671">
        <v>41</v>
      </c>
      <c r="C671" s="25" t="s">
        <v>347</v>
      </c>
      <c r="D671" s="12">
        <v>7.6</v>
      </c>
      <c r="E671" s="14">
        <v>0.8</v>
      </c>
      <c r="F671" s="7">
        <f t="shared" si="478"/>
        <v>9.4999999999999982</v>
      </c>
      <c r="G671" s="7">
        <f t="shared" si="479"/>
        <v>6.8</v>
      </c>
      <c r="H671" s="16">
        <f t="shared" si="480"/>
        <v>8.4</v>
      </c>
      <c r="I671" s="11">
        <f t="shared" si="467"/>
        <v>0.10398049842845901</v>
      </c>
      <c r="J671" s="33">
        <f t="shared" si="468"/>
        <v>1.0945315624048319E-2</v>
      </c>
      <c r="K671" s="33">
        <f t="shared" si="485"/>
        <v>91.363285842837328</v>
      </c>
      <c r="L671" s="33">
        <f t="shared" si="486"/>
        <v>9.3035182804410685E-2</v>
      </c>
      <c r="M671" s="33">
        <f t="shared" si="48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484"/>
        <v>8257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9">
        <v>0</v>
      </c>
      <c r="AL671" s="30">
        <v>0</v>
      </c>
      <c r="AM671" s="21">
        <v>2002</v>
      </c>
      <c r="AN671" s="23"/>
      <c r="AO671" s="33">
        <f t="shared" si="476"/>
        <v>3.0000000000000027E-2</v>
      </c>
      <c r="AP671" s="33">
        <v>0.26100000000000001</v>
      </c>
      <c r="AQ671" s="33">
        <v>0.45100000000000001</v>
      </c>
      <c r="AR671" s="43">
        <v>0.25800000000000001</v>
      </c>
      <c r="AS671" s="33">
        <v>1</v>
      </c>
      <c r="AT671" s="43">
        <v>0</v>
      </c>
      <c r="AU671" s="42">
        <v>1</v>
      </c>
      <c r="AV671" s="18">
        <v>0</v>
      </c>
      <c r="AW671">
        <v>0.55100000000000005</v>
      </c>
      <c r="AX671" s="40">
        <v>0.44900000000000001</v>
      </c>
      <c r="AY671" t="s">
        <v>107</v>
      </c>
      <c r="AZ671" s="40" t="s">
        <v>107</v>
      </c>
      <c r="BB671" s="18"/>
      <c r="BC671">
        <v>0</v>
      </c>
      <c r="BD671" s="18">
        <v>1</v>
      </c>
      <c r="BE671" s="18" t="s">
        <v>5</v>
      </c>
      <c r="BL671" s="18"/>
      <c r="BO671" s="18"/>
      <c r="BR671" s="25">
        <f t="shared" si="477"/>
        <v>37.39</v>
      </c>
      <c r="BS671">
        <v>0</v>
      </c>
      <c r="BT671">
        <v>0</v>
      </c>
      <c r="BU671">
        <v>1</v>
      </c>
      <c r="BV671">
        <v>0</v>
      </c>
      <c r="BW671">
        <v>0</v>
      </c>
      <c r="BX671">
        <v>0</v>
      </c>
      <c r="BY671">
        <v>0</v>
      </c>
      <c r="BZ671" s="18">
        <v>0</v>
      </c>
      <c r="CA671">
        <v>0</v>
      </c>
      <c r="CB671">
        <v>0</v>
      </c>
      <c r="CC671">
        <v>1</v>
      </c>
      <c r="CD671" s="18">
        <v>0</v>
      </c>
      <c r="CE671">
        <v>0</v>
      </c>
      <c r="CF671">
        <v>0</v>
      </c>
      <c r="CG671">
        <v>0</v>
      </c>
      <c r="CH671">
        <v>0</v>
      </c>
      <c r="CI671" s="18">
        <v>0</v>
      </c>
      <c r="CJ671">
        <v>0</v>
      </c>
      <c r="CK671">
        <v>0</v>
      </c>
      <c r="CL671">
        <v>1</v>
      </c>
      <c r="CM671">
        <v>1</v>
      </c>
      <c r="CN671">
        <v>0</v>
      </c>
      <c r="CO671">
        <v>0</v>
      </c>
      <c r="CP671">
        <v>0</v>
      </c>
      <c r="CQ671">
        <v>0</v>
      </c>
      <c r="CR671">
        <v>0</v>
      </c>
      <c r="CS671">
        <v>0</v>
      </c>
      <c r="CT671" s="18">
        <v>0</v>
      </c>
      <c r="CZ671" s="34" t="s">
        <v>87</v>
      </c>
    </row>
    <row r="672" spans="1:104" x14ac:dyDescent="0.25">
      <c r="A672">
        <v>671</v>
      </c>
      <c r="B672">
        <v>41</v>
      </c>
      <c r="C672" s="25" t="s">
        <v>347</v>
      </c>
      <c r="D672" s="12">
        <v>7.5</v>
      </c>
      <c r="E672" s="14">
        <v>0.8</v>
      </c>
      <c r="F672" s="7">
        <f t="shared" si="478"/>
        <v>9.375</v>
      </c>
      <c r="G672" s="7">
        <f t="shared" si="479"/>
        <v>6.7</v>
      </c>
      <c r="H672" s="16">
        <f t="shared" si="480"/>
        <v>8.3000000000000007</v>
      </c>
      <c r="I672" s="11">
        <f t="shared" si="467"/>
        <v>0.10262683889087333</v>
      </c>
      <c r="J672" s="33">
        <f t="shared" si="468"/>
        <v>1.0946862815026489E-2</v>
      </c>
      <c r="K672" s="33">
        <f t="shared" si="485"/>
        <v>91.35037287827565</v>
      </c>
      <c r="L672" s="33">
        <f t="shared" si="486"/>
        <v>9.1679976075846839E-2</v>
      </c>
      <c r="M672" s="33">
        <f t="shared" si="48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484"/>
        <v>8257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9">
        <v>0</v>
      </c>
      <c r="AL672" s="30">
        <v>0</v>
      </c>
      <c r="AM672" s="21">
        <v>2002</v>
      </c>
      <c r="AN672" s="23"/>
      <c r="AO672" s="33">
        <f t="shared" si="476"/>
        <v>3.0000000000000027E-2</v>
      </c>
      <c r="AP672" s="33">
        <v>0.26100000000000001</v>
      </c>
      <c r="AQ672" s="33">
        <v>0.45100000000000001</v>
      </c>
      <c r="AR672" s="43">
        <v>0.25800000000000001</v>
      </c>
      <c r="AS672" s="33">
        <v>1</v>
      </c>
      <c r="AT672" s="43">
        <v>0</v>
      </c>
      <c r="AU672" s="42">
        <v>1</v>
      </c>
      <c r="AV672" s="18">
        <v>0</v>
      </c>
      <c r="AW672">
        <v>0.55100000000000005</v>
      </c>
      <c r="AX672" s="40">
        <v>0.44900000000000001</v>
      </c>
      <c r="AY672" t="s">
        <v>107</v>
      </c>
      <c r="AZ672" s="40" t="s">
        <v>107</v>
      </c>
      <c r="BB672" s="18"/>
      <c r="BC672">
        <v>0</v>
      </c>
      <c r="BD672" s="18">
        <v>1</v>
      </c>
      <c r="BE672" s="18" t="s">
        <v>5</v>
      </c>
      <c r="BL672" s="18"/>
      <c r="BO672" s="18"/>
      <c r="BR672" s="25">
        <f t="shared" si="477"/>
        <v>37.39</v>
      </c>
      <c r="BS672">
        <v>0</v>
      </c>
      <c r="BT672">
        <v>0</v>
      </c>
      <c r="BU672">
        <v>1</v>
      </c>
      <c r="BV672">
        <v>0</v>
      </c>
      <c r="BW672">
        <v>0</v>
      </c>
      <c r="BX672">
        <v>0</v>
      </c>
      <c r="BY672">
        <v>0</v>
      </c>
      <c r="BZ672" s="18">
        <v>0</v>
      </c>
      <c r="CA672">
        <v>0</v>
      </c>
      <c r="CB672">
        <v>0</v>
      </c>
      <c r="CC672">
        <v>1</v>
      </c>
      <c r="CD672" s="18">
        <v>0</v>
      </c>
      <c r="CE672">
        <v>0</v>
      </c>
      <c r="CF672">
        <v>0</v>
      </c>
      <c r="CG672">
        <v>0</v>
      </c>
      <c r="CH672">
        <v>0</v>
      </c>
      <c r="CI672" s="18">
        <v>0</v>
      </c>
      <c r="CJ672">
        <v>0</v>
      </c>
      <c r="CK672">
        <v>0</v>
      </c>
      <c r="CL672">
        <v>1</v>
      </c>
      <c r="CM672">
        <v>1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 s="18">
        <v>0</v>
      </c>
      <c r="CZ672" s="34" t="s">
        <v>87</v>
      </c>
    </row>
    <row r="673" spans="1:104" x14ac:dyDescent="0.25">
      <c r="A673">
        <v>672</v>
      </c>
      <c r="B673">
        <v>41</v>
      </c>
      <c r="C673" s="25" t="s">
        <v>347</v>
      </c>
      <c r="D673" s="12">
        <v>6.5</v>
      </c>
      <c r="E673" s="14">
        <v>0.3</v>
      </c>
      <c r="F673" s="7">
        <f t="shared" si="478"/>
        <v>21.666666666666668</v>
      </c>
      <c r="G673" s="7">
        <f t="shared" si="479"/>
        <v>6.2</v>
      </c>
      <c r="H673" s="16">
        <f t="shared" si="480"/>
        <v>6.8</v>
      </c>
      <c r="I673" s="11">
        <f t="shared" si="467"/>
        <v>0.23193881706518138</v>
      </c>
      <c r="J673" s="33">
        <f t="shared" si="468"/>
        <v>1.0704868479931448E-2</v>
      </c>
      <c r="K673" s="33">
        <f t="shared" si="485"/>
        <v>93.415440075206206</v>
      </c>
      <c r="L673" s="33">
        <f t="shared" si="486"/>
        <v>0.22123394858524992</v>
      </c>
      <c r="M673" s="33">
        <f t="shared" si="48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488">U673-V673-1</f>
        <v>8257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9">
        <v>0</v>
      </c>
      <c r="AL673" s="30">
        <v>0</v>
      </c>
      <c r="AM673" s="21">
        <v>2002</v>
      </c>
      <c r="AN673" s="23"/>
      <c r="AO673" s="33">
        <f t="shared" si="476"/>
        <v>3.0000000000000027E-2</v>
      </c>
      <c r="AP673" s="33">
        <v>0.26100000000000001</v>
      </c>
      <c r="AQ673" s="33">
        <v>0.45100000000000001</v>
      </c>
      <c r="AR673" s="43">
        <v>0.25800000000000001</v>
      </c>
      <c r="AS673" s="33">
        <v>1</v>
      </c>
      <c r="AT673" s="43">
        <v>0</v>
      </c>
      <c r="AU673" s="42">
        <v>1</v>
      </c>
      <c r="AV673" s="18">
        <v>0</v>
      </c>
      <c r="AW673">
        <v>0.55100000000000005</v>
      </c>
      <c r="AX673" s="40">
        <v>0.44900000000000001</v>
      </c>
      <c r="AY673" t="s">
        <v>107</v>
      </c>
      <c r="AZ673" s="40" t="s">
        <v>107</v>
      </c>
      <c r="BB673" s="18"/>
      <c r="BC673">
        <v>0</v>
      </c>
      <c r="BD673" s="18">
        <v>1</v>
      </c>
      <c r="BE673" s="18" t="s">
        <v>5</v>
      </c>
      <c r="BL673" s="18"/>
      <c r="BO673" s="18"/>
      <c r="BR673" s="25">
        <f t="shared" si="477"/>
        <v>37.39</v>
      </c>
      <c r="BS673">
        <v>0</v>
      </c>
      <c r="BT673">
        <v>0</v>
      </c>
      <c r="BU673">
        <v>1</v>
      </c>
      <c r="BV673">
        <v>0</v>
      </c>
      <c r="BW673">
        <v>0</v>
      </c>
      <c r="BX673">
        <v>0</v>
      </c>
      <c r="BY673">
        <v>0</v>
      </c>
      <c r="BZ673" s="18">
        <v>0</v>
      </c>
      <c r="CA673">
        <v>0</v>
      </c>
      <c r="CB673">
        <v>0</v>
      </c>
      <c r="CC673">
        <v>1</v>
      </c>
      <c r="CD673" s="18">
        <v>0</v>
      </c>
      <c r="CE673">
        <v>0</v>
      </c>
      <c r="CF673">
        <v>0</v>
      </c>
      <c r="CG673">
        <v>0</v>
      </c>
      <c r="CH673">
        <v>0</v>
      </c>
      <c r="CI673" s="18">
        <v>0</v>
      </c>
      <c r="CJ673">
        <v>0</v>
      </c>
      <c r="CK673">
        <v>0</v>
      </c>
      <c r="CL673">
        <v>1</v>
      </c>
      <c r="CM673">
        <v>1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 s="18">
        <v>0</v>
      </c>
      <c r="CZ673" s="34" t="s">
        <v>87</v>
      </c>
    </row>
    <row r="674" spans="1:104" x14ac:dyDescent="0.25">
      <c r="A674">
        <v>673</v>
      </c>
      <c r="B674">
        <v>41</v>
      </c>
      <c r="C674" s="25" t="s">
        <v>347</v>
      </c>
      <c r="D674" s="12">
        <v>6.5</v>
      </c>
      <c r="E674" s="14">
        <v>0.3</v>
      </c>
      <c r="F674" s="7">
        <f t="shared" si="478"/>
        <v>21.666666666666668</v>
      </c>
      <c r="G674" s="7">
        <f t="shared" si="479"/>
        <v>6.2</v>
      </c>
      <c r="H674" s="16">
        <f t="shared" si="480"/>
        <v>6.8</v>
      </c>
      <c r="I674" s="11">
        <f t="shared" si="467"/>
        <v>0.23193881706518138</v>
      </c>
      <c r="J674" s="33">
        <f t="shared" si="468"/>
        <v>1.0704868479931448E-2</v>
      </c>
      <c r="K674" s="33">
        <f t="shared" si="485"/>
        <v>93.415440075206206</v>
      </c>
      <c r="L674" s="33">
        <f t="shared" si="486"/>
        <v>0.22123394858524992</v>
      </c>
      <c r="M674" s="33">
        <f t="shared" si="48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488"/>
        <v>8257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9">
        <v>0</v>
      </c>
      <c r="AL674" s="30">
        <v>0</v>
      </c>
      <c r="AM674" s="21">
        <v>2002</v>
      </c>
      <c r="AN674" s="23"/>
      <c r="AO674" s="33">
        <f t="shared" si="476"/>
        <v>3.0000000000000027E-2</v>
      </c>
      <c r="AP674" s="33">
        <v>0.26100000000000001</v>
      </c>
      <c r="AQ674" s="33">
        <v>0.45100000000000001</v>
      </c>
      <c r="AR674" s="43">
        <v>0.25800000000000001</v>
      </c>
      <c r="AS674" s="33">
        <v>1</v>
      </c>
      <c r="AT674" s="43">
        <v>0</v>
      </c>
      <c r="AU674" s="42">
        <v>1</v>
      </c>
      <c r="AV674" s="18">
        <v>0</v>
      </c>
      <c r="AW674">
        <v>0.55100000000000005</v>
      </c>
      <c r="AX674" s="40">
        <v>0.44900000000000001</v>
      </c>
      <c r="AY674" t="s">
        <v>107</v>
      </c>
      <c r="AZ674" s="40" t="s">
        <v>107</v>
      </c>
      <c r="BB674" s="18"/>
      <c r="BC674">
        <v>0</v>
      </c>
      <c r="BD674" s="18">
        <v>1</v>
      </c>
      <c r="BE674" s="18" t="s">
        <v>5</v>
      </c>
      <c r="BL674" s="18"/>
      <c r="BO674" s="18"/>
      <c r="BR674" s="25">
        <f t="shared" si="477"/>
        <v>37.39</v>
      </c>
      <c r="BS674">
        <v>0</v>
      </c>
      <c r="BT674">
        <v>0</v>
      </c>
      <c r="BU674">
        <v>1</v>
      </c>
      <c r="BV674">
        <v>0</v>
      </c>
      <c r="BW674">
        <v>0</v>
      </c>
      <c r="BX674">
        <v>0</v>
      </c>
      <c r="BY674">
        <v>0</v>
      </c>
      <c r="BZ674" s="18">
        <v>0</v>
      </c>
      <c r="CA674">
        <v>0</v>
      </c>
      <c r="CB674">
        <v>0</v>
      </c>
      <c r="CC674">
        <v>1</v>
      </c>
      <c r="CD674" s="18">
        <v>0</v>
      </c>
      <c r="CE674">
        <v>0</v>
      </c>
      <c r="CF674">
        <v>0</v>
      </c>
      <c r="CG674">
        <v>0</v>
      </c>
      <c r="CH674">
        <v>0</v>
      </c>
      <c r="CI674" s="18">
        <v>0</v>
      </c>
      <c r="CJ674">
        <v>0</v>
      </c>
      <c r="CK674">
        <v>0</v>
      </c>
      <c r="CL674">
        <v>1</v>
      </c>
      <c r="CM674">
        <v>1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 s="18">
        <v>0</v>
      </c>
      <c r="CZ674" s="34" t="s">
        <v>87</v>
      </c>
    </row>
    <row r="675" spans="1:104" x14ac:dyDescent="0.25">
      <c r="A675">
        <v>674</v>
      </c>
      <c r="B675">
        <v>41</v>
      </c>
      <c r="C675" s="25" t="s">
        <v>347</v>
      </c>
      <c r="D675" s="12">
        <v>4.3</v>
      </c>
      <c r="E675" s="14">
        <v>0.4</v>
      </c>
      <c r="F675" s="7">
        <f t="shared" si="478"/>
        <v>10.749999999999998</v>
      </c>
      <c r="G675" s="7">
        <f t="shared" si="479"/>
        <v>3.9</v>
      </c>
      <c r="H675" s="16">
        <f t="shared" si="480"/>
        <v>4.7</v>
      </c>
      <c r="I675" s="11">
        <f t="shared" si="467"/>
        <v>0.11748414622991958</v>
      </c>
      <c r="J675" s="33">
        <f t="shared" si="468"/>
        <v>1.092875778882973E-2</v>
      </c>
      <c r="K675" s="33">
        <f t="shared" si="485"/>
        <v>91.501707634338715</v>
      </c>
      <c r="L675" s="33">
        <f t="shared" si="486"/>
        <v>0.10655538844108985</v>
      </c>
      <c r="M675" s="33">
        <f t="shared" si="48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488"/>
        <v>8257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9">
        <v>0</v>
      </c>
      <c r="AL675" s="30">
        <v>0</v>
      </c>
      <c r="AM675" s="21">
        <v>2002</v>
      </c>
      <c r="AN675" s="23"/>
      <c r="AO675" s="33">
        <f t="shared" si="476"/>
        <v>3.0000000000000027E-2</v>
      </c>
      <c r="AP675" s="33">
        <v>0.26100000000000001</v>
      </c>
      <c r="AQ675" s="33">
        <v>0.45100000000000001</v>
      </c>
      <c r="AR675" s="43">
        <v>0.25800000000000001</v>
      </c>
      <c r="AS675" s="33">
        <v>1</v>
      </c>
      <c r="AT675" s="43">
        <v>0</v>
      </c>
      <c r="AU675" s="42">
        <v>1</v>
      </c>
      <c r="AV675" s="18">
        <v>0</v>
      </c>
      <c r="AW675">
        <v>0.55100000000000005</v>
      </c>
      <c r="AX675" s="40">
        <v>0.44900000000000001</v>
      </c>
      <c r="AY675" t="s">
        <v>107</v>
      </c>
      <c r="AZ675" s="40" t="s">
        <v>107</v>
      </c>
      <c r="BB675" s="18"/>
      <c r="BC675">
        <v>0</v>
      </c>
      <c r="BD675" s="18">
        <v>1</v>
      </c>
      <c r="BE675" s="18" t="s">
        <v>5</v>
      </c>
      <c r="BL675" s="18"/>
      <c r="BO675" s="18"/>
      <c r="BR675" s="25">
        <f t="shared" si="477"/>
        <v>37.39</v>
      </c>
      <c r="BS675">
        <v>0</v>
      </c>
      <c r="BT675">
        <v>0</v>
      </c>
      <c r="BU675">
        <v>1</v>
      </c>
      <c r="BV675">
        <v>0</v>
      </c>
      <c r="BW675">
        <v>0</v>
      </c>
      <c r="BX675">
        <v>0</v>
      </c>
      <c r="BY675">
        <v>0</v>
      </c>
      <c r="BZ675" s="18">
        <v>0</v>
      </c>
      <c r="CA675">
        <v>0</v>
      </c>
      <c r="CB675">
        <v>0</v>
      </c>
      <c r="CC675">
        <v>1</v>
      </c>
      <c r="CD675" s="18">
        <v>0</v>
      </c>
      <c r="CE675">
        <v>0</v>
      </c>
      <c r="CF675">
        <v>0</v>
      </c>
      <c r="CG675">
        <v>0</v>
      </c>
      <c r="CH675">
        <v>0</v>
      </c>
      <c r="CI675" s="18">
        <v>0</v>
      </c>
      <c r="CJ675">
        <v>0</v>
      </c>
      <c r="CK675">
        <v>0</v>
      </c>
      <c r="CL675">
        <v>1</v>
      </c>
      <c r="CM675">
        <v>1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 s="18">
        <v>0</v>
      </c>
      <c r="CZ675" s="34" t="s">
        <v>87</v>
      </c>
    </row>
    <row r="676" spans="1:104" s="136" customFormat="1" x14ac:dyDescent="0.25">
      <c r="A676" s="136">
        <v>675</v>
      </c>
      <c r="B676" s="136">
        <v>41</v>
      </c>
      <c r="C676" s="137" t="s">
        <v>347</v>
      </c>
      <c r="D676" s="138">
        <v>4.2</v>
      </c>
      <c r="E676" s="139">
        <v>0.4</v>
      </c>
      <c r="F676" s="140">
        <f t="shared" si="478"/>
        <v>10.5</v>
      </c>
      <c r="G676" s="140">
        <f t="shared" si="479"/>
        <v>3.8000000000000003</v>
      </c>
      <c r="H676" s="141">
        <f t="shared" si="480"/>
        <v>4.6000000000000005</v>
      </c>
      <c r="I676" s="142">
        <f t="shared" si="467"/>
        <v>0.11478837992273992</v>
      </c>
      <c r="J676" s="143">
        <f t="shared" si="468"/>
        <v>1.0932226659308564E-2</v>
      </c>
      <c r="K676" s="143">
        <f t="shared" si="485"/>
        <v>91.472673515099572</v>
      </c>
      <c r="L676" s="143">
        <f t="shared" si="486"/>
        <v>0.10385615326343135</v>
      </c>
      <c r="M676" s="143">
        <f t="shared" si="487"/>
        <v>0.12572060658204848</v>
      </c>
      <c r="N676" s="144">
        <v>1</v>
      </c>
      <c r="O676" s="145">
        <v>0</v>
      </c>
      <c r="P676" s="144">
        <v>0</v>
      </c>
      <c r="Q676" s="145">
        <v>0</v>
      </c>
      <c r="R676" s="145">
        <v>1</v>
      </c>
      <c r="S676" s="145">
        <v>0</v>
      </c>
      <c r="T676" s="145">
        <v>0</v>
      </c>
      <c r="U676" s="144">
        <v>8270</v>
      </c>
      <c r="V676" s="145">
        <v>12</v>
      </c>
      <c r="W676" s="145">
        <f t="shared" si="488"/>
        <v>8257</v>
      </c>
      <c r="X676" s="145"/>
      <c r="Y676" s="140">
        <v>11.13</v>
      </c>
      <c r="Z676" s="140">
        <v>20.260000000000002</v>
      </c>
      <c r="AA676" s="145">
        <v>1</v>
      </c>
      <c r="AB676" s="145">
        <v>0</v>
      </c>
      <c r="AC676" s="145">
        <v>0</v>
      </c>
      <c r="AD676" s="145">
        <v>1</v>
      </c>
      <c r="AE676" s="145">
        <v>0</v>
      </c>
      <c r="AF676" s="145">
        <v>0</v>
      </c>
      <c r="AG676" s="144">
        <v>1</v>
      </c>
      <c r="AH676" s="145">
        <v>0</v>
      </c>
      <c r="AI676" s="146">
        <v>0</v>
      </c>
      <c r="AJ676" s="145">
        <v>1</v>
      </c>
      <c r="AK676" s="145">
        <v>0</v>
      </c>
      <c r="AL676" s="146">
        <v>0</v>
      </c>
      <c r="AM676" s="147">
        <v>2002</v>
      </c>
      <c r="AN676" s="148"/>
      <c r="AO676" s="143">
        <f t="shared" si="476"/>
        <v>3.0000000000000027E-2</v>
      </c>
      <c r="AP676" s="143">
        <v>0.26100000000000001</v>
      </c>
      <c r="AQ676" s="143">
        <v>0.45100000000000001</v>
      </c>
      <c r="AR676" s="149">
        <v>0.25800000000000001</v>
      </c>
      <c r="AS676" s="143">
        <v>1</v>
      </c>
      <c r="AT676" s="149">
        <v>0</v>
      </c>
      <c r="AU676" s="150">
        <v>1</v>
      </c>
      <c r="AV676" s="151">
        <v>0</v>
      </c>
      <c r="AW676" s="136">
        <v>0.55100000000000005</v>
      </c>
      <c r="AX676" s="152">
        <v>0.44900000000000001</v>
      </c>
      <c r="AY676" s="136" t="s">
        <v>107</v>
      </c>
      <c r="AZ676" s="152" t="s">
        <v>107</v>
      </c>
      <c r="BB676" s="151"/>
      <c r="BC676" s="136">
        <v>0</v>
      </c>
      <c r="BD676" s="151">
        <v>1</v>
      </c>
      <c r="BE676" s="151" t="s">
        <v>5</v>
      </c>
      <c r="BL676" s="151"/>
      <c r="BO676" s="151"/>
      <c r="BR676" s="137">
        <f t="shared" si="477"/>
        <v>37.39</v>
      </c>
      <c r="BS676" s="136">
        <v>0</v>
      </c>
      <c r="BT676" s="136">
        <v>0</v>
      </c>
      <c r="BU676" s="136">
        <v>1</v>
      </c>
      <c r="BV676" s="136">
        <v>0</v>
      </c>
      <c r="BW676" s="136">
        <v>0</v>
      </c>
      <c r="BX676" s="136">
        <v>0</v>
      </c>
      <c r="BY676" s="136">
        <v>0</v>
      </c>
      <c r="BZ676" s="151">
        <v>0</v>
      </c>
      <c r="CA676" s="136">
        <v>0</v>
      </c>
      <c r="CB676" s="136">
        <v>0</v>
      </c>
      <c r="CC676" s="136">
        <v>1</v>
      </c>
      <c r="CD676" s="151">
        <v>0</v>
      </c>
      <c r="CE676" s="136">
        <v>0</v>
      </c>
      <c r="CF676" s="136">
        <v>0</v>
      </c>
      <c r="CG676" s="136">
        <v>0</v>
      </c>
      <c r="CH676" s="136">
        <v>0</v>
      </c>
      <c r="CI676" s="151">
        <v>0</v>
      </c>
      <c r="CJ676" s="136">
        <v>0</v>
      </c>
      <c r="CK676" s="136">
        <v>0</v>
      </c>
      <c r="CL676" s="136">
        <v>1</v>
      </c>
      <c r="CM676" s="136">
        <v>1</v>
      </c>
      <c r="CN676" s="136">
        <v>0</v>
      </c>
      <c r="CO676" s="136">
        <v>0</v>
      </c>
      <c r="CP676" s="136">
        <v>0</v>
      </c>
      <c r="CQ676" s="136">
        <v>0</v>
      </c>
      <c r="CR676" s="136">
        <v>0</v>
      </c>
      <c r="CS676" s="136">
        <v>0</v>
      </c>
      <c r="CT676" s="151">
        <v>0</v>
      </c>
      <c r="CX676" s="154"/>
      <c r="CY676" s="137"/>
      <c r="CZ676" s="153" t="s">
        <v>87</v>
      </c>
    </row>
    <row r="677" spans="1:104" x14ac:dyDescent="0.25">
      <c r="A677">
        <v>676</v>
      </c>
      <c r="B677">
        <v>42</v>
      </c>
      <c r="C677" s="25" t="s">
        <v>348</v>
      </c>
      <c r="D677" s="12">
        <v>4.0999999999999996</v>
      </c>
      <c r="E677" s="14">
        <v>0.2</v>
      </c>
      <c r="F677" s="7">
        <f t="shared" si="478"/>
        <v>20.499999999999996</v>
      </c>
      <c r="G677" s="7">
        <f t="shared" si="479"/>
        <v>3.8999999999999995</v>
      </c>
      <c r="H677" s="16">
        <f t="shared" si="480"/>
        <v>4.3</v>
      </c>
      <c r="I677" s="11">
        <f t="shared" si="467"/>
        <v>0.21871410847199574</v>
      </c>
      <c r="J677" s="33">
        <f t="shared" si="468"/>
        <v>1.0668980901072963E-2</v>
      </c>
      <c r="K677" s="33">
        <f t="shared" si="485"/>
        <v>93.729664461151259</v>
      </c>
      <c r="L677" s="33">
        <f t="shared" si="486"/>
        <v>0.20804512757092278</v>
      </c>
      <c r="M677" s="33">
        <f t="shared" si="48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488"/>
        <v>8365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9">
        <v>0</v>
      </c>
      <c r="AL677" s="30">
        <v>1</v>
      </c>
      <c r="AM677" s="21">
        <v>2012</v>
      </c>
      <c r="AN677" s="23"/>
      <c r="AO677" s="33">
        <v>0.19700000000000001</v>
      </c>
      <c r="AP677" s="33">
        <v>0.12</v>
      </c>
      <c r="AQ677" s="33">
        <f>1-SUM(AP677,AO677,AR677)</f>
        <v>0.43999999999999995</v>
      </c>
      <c r="AR677" s="43">
        <v>0.24299999999999999</v>
      </c>
      <c r="AS677" s="33" t="s">
        <v>107</v>
      </c>
      <c r="AT677" s="43" t="s">
        <v>107</v>
      </c>
      <c r="AU677" s="42">
        <v>1</v>
      </c>
      <c r="AV677" s="18">
        <v>0</v>
      </c>
      <c r="AW677">
        <v>1</v>
      </c>
      <c r="AX677" s="40">
        <v>0</v>
      </c>
      <c r="AY677">
        <v>55.2</v>
      </c>
      <c r="AZ677" s="40">
        <v>44.8</v>
      </c>
      <c r="BB677" s="18"/>
      <c r="BC677" t="s">
        <v>107</v>
      </c>
      <c r="BD677" s="18" t="s">
        <v>107</v>
      </c>
      <c r="BE677" s="18" t="s">
        <v>6</v>
      </c>
      <c r="BL677" s="18"/>
      <c r="BO677" s="18"/>
      <c r="BR677" s="25">
        <v>35.5</v>
      </c>
      <c r="BS677">
        <v>1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 s="18">
        <v>0</v>
      </c>
      <c r="CA677">
        <v>0</v>
      </c>
      <c r="CB677">
        <v>0</v>
      </c>
      <c r="CC677">
        <v>1</v>
      </c>
      <c r="CD677" s="18">
        <v>0</v>
      </c>
      <c r="CE677">
        <v>0</v>
      </c>
      <c r="CF677">
        <v>0</v>
      </c>
      <c r="CG677">
        <v>0</v>
      </c>
      <c r="CH677">
        <v>0</v>
      </c>
      <c r="CI677" s="18">
        <v>0</v>
      </c>
      <c r="CJ677">
        <v>0</v>
      </c>
      <c r="CK677">
        <v>0</v>
      </c>
      <c r="CL677">
        <v>1</v>
      </c>
      <c r="CM677">
        <v>1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 s="18">
        <v>0</v>
      </c>
      <c r="CZ677" s="34" t="s">
        <v>87</v>
      </c>
    </row>
    <row r="678" spans="1:104" x14ac:dyDescent="0.25">
      <c r="A678">
        <v>677</v>
      </c>
      <c r="B678">
        <v>42</v>
      </c>
      <c r="C678" s="25" t="s">
        <v>348</v>
      </c>
      <c r="D678" s="12">
        <v>2.2000000000000002</v>
      </c>
      <c r="E678" s="14">
        <v>0.2</v>
      </c>
      <c r="F678" s="7">
        <f t="shared" si="478"/>
        <v>11</v>
      </c>
      <c r="G678" s="7">
        <f t="shared" si="479"/>
        <v>2</v>
      </c>
      <c r="H678" s="16">
        <f t="shared" si="480"/>
        <v>2.4000000000000004</v>
      </c>
      <c r="I678" s="11">
        <f t="shared" si="467"/>
        <v>0.15786943985836729</v>
      </c>
      <c r="J678" s="33">
        <f t="shared" si="468"/>
        <v>1.4351767259851572E-2</v>
      </c>
      <c r="K678" s="33">
        <f t="shared" si="485"/>
        <v>69.677830046579373</v>
      </c>
      <c r="L678" s="33">
        <f t="shared" si="486"/>
        <v>0.14351767259851572</v>
      </c>
      <c r="M678" s="33">
        <f t="shared" si="48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488"/>
        <v>4734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9">
        <v>0</v>
      </c>
      <c r="AL678" s="30">
        <v>1</v>
      </c>
      <c r="AM678" s="21">
        <v>2012</v>
      </c>
      <c r="AN678" s="23"/>
      <c r="AO678" s="33">
        <v>0.19700000000000001</v>
      </c>
      <c r="AP678" s="33">
        <v>0.12</v>
      </c>
      <c r="AQ678" s="33">
        <f t="shared" ref="AQ678:AQ691" si="489">1-SUM(AP678,AO678,AR678)</f>
        <v>0.43999999999999995</v>
      </c>
      <c r="AR678" s="43">
        <v>0.24299999999999999</v>
      </c>
      <c r="AS678" s="33" t="s">
        <v>107</v>
      </c>
      <c r="AT678" s="43" t="s">
        <v>107</v>
      </c>
      <c r="AU678" s="42">
        <v>1</v>
      </c>
      <c r="AV678" s="18">
        <v>0</v>
      </c>
      <c r="AW678">
        <v>1</v>
      </c>
      <c r="AX678" s="40">
        <v>0</v>
      </c>
      <c r="AY678">
        <v>55.2</v>
      </c>
      <c r="AZ678" s="40">
        <v>44.8</v>
      </c>
      <c r="BB678" s="18"/>
      <c r="BC678" t="s">
        <v>107</v>
      </c>
      <c r="BD678" s="18" t="s">
        <v>107</v>
      </c>
      <c r="BE678" s="18" t="s">
        <v>6</v>
      </c>
      <c r="BL678" s="18"/>
      <c r="BO678" s="18"/>
      <c r="BR678" s="25">
        <v>35.5</v>
      </c>
      <c r="BS678">
        <v>1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 s="18">
        <v>0</v>
      </c>
      <c r="CA678">
        <v>0</v>
      </c>
      <c r="CB678">
        <v>0</v>
      </c>
      <c r="CC678">
        <v>1</v>
      </c>
      <c r="CD678" s="18">
        <v>0</v>
      </c>
      <c r="CE678">
        <v>0</v>
      </c>
      <c r="CF678">
        <v>0</v>
      </c>
      <c r="CG678">
        <v>0</v>
      </c>
      <c r="CH678">
        <v>0</v>
      </c>
      <c r="CI678" s="18">
        <v>0</v>
      </c>
      <c r="CJ678">
        <v>0</v>
      </c>
      <c r="CK678">
        <v>0</v>
      </c>
      <c r="CL678">
        <v>1</v>
      </c>
      <c r="CM678">
        <v>1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 s="18">
        <v>0</v>
      </c>
      <c r="CZ678" s="34" t="s">
        <v>87</v>
      </c>
    </row>
    <row r="679" spans="1:104" x14ac:dyDescent="0.25">
      <c r="A679">
        <v>678</v>
      </c>
      <c r="B679">
        <v>42</v>
      </c>
      <c r="C679" s="25" t="s">
        <v>348</v>
      </c>
      <c r="D679" s="12">
        <v>5.3</v>
      </c>
      <c r="E679" s="14">
        <v>0.2</v>
      </c>
      <c r="F679" s="7">
        <f t="shared" si="478"/>
        <v>26.499999999999996</v>
      </c>
      <c r="G679" s="7">
        <f t="shared" si="479"/>
        <v>5.0999999999999996</v>
      </c>
      <c r="H679" s="16">
        <f t="shared" si="480"/>
        <v>5.5</v>
      </c>
      <c r="I679" s="11">
        <f t="shared" si="467"/>
        <v>0.40275370209545769</v>
      </c>
      <c r="J679" s="33">
        <f t="shared" si="468"/>
        <v>1.5198252909262555E-2</v>
      </c>
      <c r="K679" s="33">
        <f t="shared" si="485"/>
        <v>65.797036407424912</v>
      </c>
      <c r="L679" s="33">
        <f t="shared" si="486"/>
        <v>0.38755544918619511</v>
      </c>
      <c r="M679" s="33">
        <f t="shared" si="48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488"/>
        <v>3627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9">
        <v>0</v>
      </c>
      <c r="AL679" s="30">
        <v>1</v>
      </c>
      <c r="AM679" s="21">
        <v>2012</v>
      </c>
      <c r="AN679" s="23"/>
      <c r="AO679" s="33">
        <v>0.19700000000000001</v>
      </c>
      <c r="AP679" s="33">
        <v>0.12</v>
      </c>
      <c r="AQ679" s="33">
        <f t="shared" si="489"/>
        <v>0.43999999999999995</v>
      </c>
      <c r="AR679" s="43">
        <v>0.24299999999999999</v>
      </c>
      <c r="AS679" s="33" t="s">
        <v>107</v>
      </c>
      <c r="AT679" s="43" t="s">
        <v>107</v>
      </c>
      <c r="AU679" s="42">
        <v>1</v>
      </c>
      <c r="AV679" s="18">
        <v>0</v>
      </c>
      <c r="AW679">
        <v>1</v>
      </c>
      <c r="AX679" s="40">
        <v>0</v>
      </c>
      <c r="AY679">
        <v>55.2</v>
      </c>
      <c r="AZ679" s="40">
        <v>44.8</v>
      </c>
      <c r="BB679" s="18"/>
      <c r="BC679" t="s">
        <v>107</v>
      </c>
      <c r="BD679" s="18" t="s">
        <v>107</v>
      </c>
      <c r="BE679" s="18" t="s">
        <v>6</v>
      </c>
      <c r="BL679" s="18"/>
      <c r="BO679" s="18"/>
      <c r="BR679" s="25">
        <v>35.5</v>
      </c>
      <c r="BS679">
        <v>1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 s="18">
        <v>0</v>
      </c>
      <c r="CA679">
        <v>0</v>
      </c>
      <c r="CB679">
        <v>0</v>
      </c>
      <c r="CC679">
        <v>1</v>
      </c>
      <c r="CD679" s="18">
        <v>0</v>
      </c>
      <c r="CE679">
        <v>0</v>
      </c>
      <c r="CF679">
        <v>0</v>
      </c>
      <c r="CG679">
        <v>0</v>
      </c>
      <c r="CH679">
        <v>0</v>
      </c>
      <c r="CI679" s="18">
        <v>0</v>
      </c>
      <c r="CJ679">
        <v>0</v>
      </c>
      <c r="CK679">
        <v>0</v>
      </c>
      <c r="CL679">
        <v>1</v>
      </c>
      <c r="CM679">
        <v>1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 s="18">
        <v>0</v>
      </c>
      <c r="CZ679" s="34" t="s">
        <v>87</v>
      </c>
    </row>
    <row r="680" spans="1:104" x14ac:dyDescent="0.25">
      <c r="A680">
        <v>679</v>
      </c>
      <c r="B680">
        <v>42</v>
      </c>
      <c r="C680" s="25" t="s">
        <v>348</v>
      </c>
      <c r="D680" s="12">
        <v>1.8</v>
      </c>
      <c r="E680" s="14">
        <v>0.5</v>
      </c>
      <c r="F680" s="7">
        <f t="shared" si="478"/>
        <v>3.6</v>
      </c>
      <c r="G680" s="7">
        <f t="shared" si="479"/>
        <v>1.3</v>
      </c>
      <c r="H680" s="16">
        <f t="shared" si="480"/>
        <v>2.2999999999999998</v>
      </c>
      <c r="I680" s="11">
        <f t="shared" si="467"/>
        <v>7.4951869287651629E-2</v>
      </c>
      <c r="J680" s="33">
        <f t="shared" si="468"/>
        <v>2.081996369101434E-2</v>
      </c>
      <c r="K680" s="33">
        <f t="shared" si="485"/>
        <v>48.030823436622448</v>
      </c>
      <c r="L680" s="33">
        <f t="shared" si="486"/>
        <v>5.4131905596637289E-2</v>
      </c>
      <c r="M680" s="33">
        <f t="shared" si="48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488"/>
        <v>2294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9">
        <v>0</v>
      </c>
      <c r="AL680" s="30">
        <v>1</v>
      </c>
      <c r="AM680" s="21">
        <v>2012</v>
      </c>
      <c r="AN680" s="23"/>
      <c r="AO680" s="33">
        <v>0.19700000000000001</v>
      </c>
      <c r="AP680" s="33">
        <v>0.12</v>
      </c>
      <c r="AQ680" s="33">
        <f t="shared" si="489"/>
        <v>0.43999999999999995</v>
      </c>
      <c r="AR680" s="43">
        <v>0.24299999999999999</v>
      </c>
      <c r="AS680" s="33" t="s">
        <v>107</v>
      </c>
      <c r="AT680" s="43" t="s">
        <v>107</v>
      </c>
      <c r="AU680" s="42">
        <v>1</v>
      </c>
      <c r="AV680" s="18">
        <v>0</v>
      </c>
      <c r="AW680">
        <v>1</v>
      </c>
      <c r="AX680" s="40">
        <v>0</v>
      </c>
      <c r="AY680">
        <v>55.2</v>
      </c>
      <c r="AZ680" s="40">
        <v>44.8</v>
      </c>
      <c r="BB680" s="18"/>
      <c r="BC680" t="s">
        <v>107</v>
      </c>
      <c r="BD680" s="18" t="s">
        <v>107</v>
      </c>
      <c r="BE680" s="18" t="s">
        <v>6</v>
      </c>
      <c r="BL680" s="18"/>
      <c r="BO680" s="18"/>
      <c r="BR680" s="25">
        <v>29.52</v>
      </c>
      <c r="BS680">
        <v>0</v>
      </c>
      <c r="BT680">
        <v>0</v>
      </c>
      <c r="BU680">
        <v>0</v>
      </c>
      <c r="BV680">
        <v>1</v>
      </c>
      <c r="BW680">
        <v>0</v>
      </c>
      <c r="BX680">
        <v>0</v>
      </c>
      <c r="BY680">
        <v>0</v>
      </c>
      <c r="BZ680" s="18">
        <v>0</v>
      </c>
      <c r="CA680">
        <v>0</v>
      </c>
      <c r="CB680">
        <v>0</v>
      </c>
      <c r="CC680">
        <v>1</v>
      </c>
      <c r="CD680" s="18">
        <v>0</v>
      </c>
      <c r="CE680">
        <v>0</v>
      </c>
      <c r="CF680">
        <v>0</v>
      </c>
      <c r="CG680">
        <v>0</v>
      </c>
      <c r="CH680">
        <v>0</v>
      </c>
      <c r="CI680" s="18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 s="18">
        <v>0</v>
      </c>
      <c r="CZ680" s="34" t="s">
        <v>87</v>
      </c>
    </row>
    <row r="681" spans="1:104" x14ac:dyDescent="0.25">
      <c r="A681">
        <v>680</v>
      </c>
      <c r="B681">
        <v>42</v>
      </c>
      <c r="C681" s="25" t="s">
        <v>348</v>
      </c>
      <c r="D681" s="12">
        <v>0.7</v>
      </c>
      <c r="E681" s="14">
        <v>0.7</v>
      </c>
      <c r="F681" s="7">
        <f t="shared" si="478"/>
        <v>1</v>
      </c>
      <c r="G681" s="7">
        <f t="shared" si="479"/>
        <v>0</v>
      </c>
      <c r="H681" s="16">
        <f t="shared" si="480"/>
        <v>1.4</v>
      </c>
      <c r="I681" s="11">
        <f t="shared" si="467"/>
        <v>2.4640709031819093E-2</v>
      </c>
      <c r="J681" s="33">
        <f t="shared" si="468"/>
        <v>2.4640709031819093E-2</v>
      </c>
      <c r="K681" s="33">
        <f t="shared" si="485"/>
        <v>40.583247775406051</v>
      </c>
      <c r="L681" s="33">
        <f t="shared" si="486"/>
        <v>0</v>
      </c>
      <c r="M681" s="33">
        <f t="shared" si="48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488"/>
        <v>1646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9">
        <v>0</v>
      </c>
      <c r="AL681" s="30">
        <v>1</v>
      </c>
      <c r="AM681" s="21">
        <v>2012</v>
      </c>
      <c r="AN681" s="23"/>
      <c r="AO681" s="33">
        <v>0.19700000000000001</v>
      </c>
      <c r="AP681" s="33">
        <v>0.12</v>
      </c>
      <c r="AQ681" s="33">
        <f t="shared" si="489"/>
        <v>0.43999999999999995</v>
      </c>
      <c r="AR681" s="43">
        <v>0.24299999999999999</v>
      </c>
      <c r="AS681" s="33" t="s">
        <v>107</v>
      </c>
      <c r="AT681" s="43" t="s">
        <v>107</v>
      </c>
      <c r="AU681" s="42">
        <v>1</v>
      </c>
      <c r="AV681" s="18">
        <v>0</v>
      </c>
      <c r="AW681">
        <v>1</v>
      </c>
      <c r="AX681" s="40">
        <v>0</v>
      </c>
      <c r="AY681">
        <v>55.2</v>
      </c>
      <c r="AZ681" s="40">
        <v>44.8</v>
      </c>
      <c r="BB681" s="18"/>
      <c r="BC681" t="s">
        <v>107</v>
      </c>
      <c r="BD681" s="18" t="s">
        <v>107</v>
      </c>
      <c r="BE681" s="18" t="s">
        <v>6</v>
      </c>
      <c r="BL681" s="18"/>
      <c r="BO681" s="18"/>
      <c r="BR681" s="25">
        <v>29.52</v>
      </c>
      <c r="BS681">
        <v>0</v>
      </c>
      <c r="BT681">
        <v>0</v>
      </c>
      <c r="BU681">
        <v>0</v>
      </c>
      <c r="BV681">
        <v>1</v>
      </c>
      <c r="BW681">
        <v>0</v>
      </c>
      <c r="BX681">
        <v>0</v>
      </c>
      <c r="BY681">
        <v>0</v>
      </c>
      <c r="BZ681" s="18">
        <v>0</v>
      </c>
      <c r="CA681">
        <v>0</v>
      </c>
      <c r="CB681">
        <v>0</v>
      </c>
      <c r="CC681">
        <v>1</v>
      </c>
      <c r="CD681" s="18">
        <v>0</v>
      </c>
      <c r="CE681">
        <v>0</v>
      </c>
      <c r="CF681">
        <v>0</v>
      </c>
      <c r="CG681">
        <v>0</v>
      </c>
      <c r="CH681">
        <v>0</v>
      </c>
      <c r="CI681" s="18">
        <v>0</v>
      </c>
      <c r="CJ681">
        <v>0</v>
      </c>
      <c r="CK681">
        <v>0</v>
      </c>
      <c r="CL681">
        <v>1</v>
      </c>
      <c r="CM681">
        <v>1</v>
      </c>
      <c r="CN681">
        <v>0</v>
      </c>
      <c r="CO681">
        <v>0</v>
      </c>
      <c r="CP681">
        <v>0</v>
      </c>
      <c r="CQ681">
        <v>1</v>
      </c>
      <c r="CR681">
        <v>0</v>
      </c>
      <c r="CS681">
        <v>0</v>
      </c>
      <c r="CT681" s="18">
        <v>0</v>
      </c>
      <c r="CZ681" s="34" t="s">
        <v>87</v>
      </c>
    </row>
    <row r="682" spans="1:104" x14ac:dyDescent="0.25">
      <c r="A682">
        <v>681</v>
      </c>
      <c r="B682">
        <v>42</v>
      </c>
      <c r="C682" s="25" t="s">
        <v>348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490">D682-E682</f>
        <v>0.13569412876046977</v>
      </c>
      <c r="H682" s="16">
        <f t="shared" ref="H682:H691" si="491">D682+E682</f>
        <v>1.0516294978936398</v>
      </c>
      <c r="I682" s="11">
        <f t="shared" si="467"/>
        <v>1.4173581477608995E-2</v>
      </c>
      <c r="J682" s="33">
        <f t="shared" si="468"/>
        <v>1.0933905711298366E-2</v>
      </c>
      <c r="K682" s="33">
        <f t="shared" ref="K682:K691" si="492">IFERROR(1/J682, "X")</f>
        <v>91.458626624762914</v>
      </c>
      <c r="L682" s="33">
        <f t="shared" ref="L682:L691" si="493">IFERROR(I682-J682, "X")</f>
        <v>3.2396757663106287E-3</v>
      </c>
      <c r="M682" s="33">
        <f t="shared" ref="M682:M691" si="49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488"/>
        <v>8363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9">
        <v>0</v>
      </c>
      <c r="AL682" s="30">
        <v>1</v>
      </c>
      <c r="AM682" s="21">
        <v>2012</v>
      </c>
      <c r="AN682" s="23"/>
      <c r="AO682" s="33">
        <v>0.19700000000000001</v>
      </c>
      <c r="AP682" s="33">
        <v>0.12</v>
      </c>
      <c r="AQ682" s="33">
        <f t="shared" si="489"/>
        <v>0.43999999999999995</v>
      </c>
      <c r="AR682" s="43">
        <v>0.24299999999999999</v>
      </c>
      <c r="AS682" s="33" t="s">
        <v>107</v>
      </c>
      <c r="AT682" s="43" t="s">
        <v>107</v>
      </c>
      <c r="AU682" s="42">
        <v>1</v>
      </c>
      <c r="AV682" s="18">
        <v>0</v>
      </c>
      <c r="AW682">
        <v>1</v>
      </c>
      <c r="AX682" s="40">
        <v>0</v>
      </c>
      <c r="AY682">
        <v>55.2</v>
      </c>
      <c r="AZ682" s="40">
        <v>44.8</v>
      </c>
      <c r="BB682" s="18"/>
      <c r="BC682" t="s">
        <v>107</v>
      </c>
      <c r="BD682" s="18" t="s">
        <v>107</v>
      </c>
      <c r="BE682" s="18" t="s">
        <v>6</v>
      </c>
      <c r="BL682" s="18"/>
      <c r="BO682" s="18"/>
      <c r="BR682" s="25">
        <v>35.5</v>
      </c>
      <c r="BS682">
        <v>1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 s="18">
        <v>0</v>
      </c>
      <c r="CA682">
        <v>0</v>
      </c>
      <c r="CB682">
        <v>0</v>
      </c>
      <c r="CC682">
        <v>1</v>
      </c>
      <c r="CD682" s="18">
        <v>0</v>
      </c>
      <c r="CE682">
        <v>0</v>
      </c>
      <c r="CF682">
        <v>0</v>
      </c>
      <c r="CG682">
        <v>0</v>
      </c>
      <c r="CH682">
        <v>0</v>
      </c>
      <c r="CI682" s="18">
        <v>0</v>
      </c>
      <c r="CJ682">
        <v>0</v>
      </c>
      <c r="CK682">
        <v>0</v>
      </c>
      <c r="CL682">
        <v>1</v>
      </c>
      <c r="CM682">
        <v>1</v>
      </c>
      <c r="CN682">
        <v>0</v>
      </c>
      <c r="CO682">
        <v>0</v>
      </c>
      <c r="CP682">
        <v>0</v>
      </c>
      <c r="CQ682">
        <v>1</v>
      </c>
      <c r="CR682">
        <v>0</v>
      </c>
      <c r="CS682">
        <v>0</v>
      </c>
      <c r="CT682" s="18">
        <v>0</v>
      </c>
      <c r="CZ682" s="34" t="s">
        <v>87</v>
      </c>
    </row>
    <row r="683" spans="1:104" x14ac:dyDescent="0.25">
      <c r="A683">
        <v>682</v>
      </c>
      <c r="B683">
        <v>42</v>
      </c>
      <c r="C683" s="25" t="s">
        <v>348</v>
      </c>
      <c r="D683" s="12">
        <v>1.2184273858862005</v>
      </c>
      <c r="E683" s="14">
        <v>0.50767807745258353</v>
      </c>
      <c r="F683" s="7">
        <v>2.4</v>
      </c>
      <c r="G683" s="7">
        <f t="shared" si="490"/>
        <v>0.71074930843361694</v>
      </c>
      <c r="H683" s="16">
        <f t="shared" si="491"/>
        <v>1.726105463338784</v>
      </c>
      <c r="I683" s="11">
        <f t="shared" si="467"/>
        <v>2.6234976834956101E-2</v>
      </c>
      <c r="J683" s="33">
        <f t="shared" si="468"/>
        <v>1.0931240347898375E-2</v>
      </c>
      <c r="K683" s="33">
        <f t="shared" si="492"/>
        <v>91.480926973877999</v>
      </c>
      <c r="L683" s="33">
        <f t="shared" si="493"/>
        <v>1.5303736487057726E-2</v>
      </c>
      <c r="M683" s="33">
        <f t="shared" si="49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1" si="495">U683-V683-1</f>
        <v>8363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9">
        <v>0</v>
      </c>
      <c r="AL683" s="30">
        <v>1</v>
      </c>
      <c r="AM683" s="21">
        <v>2012</v>
      </c>
      <c r="AN683" s="23"/>
      <c r="AO683" s="33">
        <v>0.19700000000000001</v>
      </c>
      <c r="AP683" s="33">
        <v>0.12</v>
      </c>
      <c r="AQ683" s="33">
        <f t="shared" si="489"/>
        <v>0.43999999999999995</v>
      </c>
      <c r="AR683" s="43">
        <v>0.24299999999999999</v>
      </c>
      <c r="AS683" s="33" t="s">
        <v>107</v>
      </c>
      <c r="AT683" s="43" t="s">
        <v>107</v>
      </c>
      <c r="AU683" s="42">
        <v>1</v>
      </c>
      <c r="AV683" s="18">
        <v>0</v>
      </c>
      <c r="AW683">
        <v>1</v>
      </c>
      <c r="AX683" s="40">
        <v>0</v>
      </c>
      <c r="AY683">
        <v>55.2</v>
      </c>
      <c r="AZ683" s="40">
        <v>44.8</v>
      </c>
      <c r="BB683" s="18"/>
      <c r="BC683" t="s">
        <v>107</v>
      </c>
      <c r="BD683" s="18" t="s">
        <v>107</v>
      </c>
      <c r="BE683" s="18" t="s">
        <v>6</v>
      </c>
      <c r="BL683" s="18"/>
      <c r="BO683" s="18"/>
      <c r="BR683" s="25">
        <v>35.5</v>
      </c>
      <c r="BS683">
        <v>1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 s="18">
        <v>0</v>
      </c>
      <c r="CA683">
        <v>0</v>
      </c>
      <c r="CB683">
        <v>0</v>
      </c>
      <c r="CC683">
        <v>1</v>
      </c>
      <c r="CD683" s="18">
        <v>0</v>
      </c>
      <c r="CE683">
        <v>0</v>
      </c>
      <c r="CF683">
        <v>0</v>
      </c>
      <c r="CG683">
        <v>0</v>
      </c>
      <c r="CH683">
        <v>0</v>
      </c>
      <c r="CI683" s="18">
        <v>0</v>
      </c>
      <c r="CJ683">
        <v>0</v>
      </c>
      <c r="CK683">
        <v>0</v>
      </c>
      <c r="CL683">
        <v>1</v>
      </c>
      <c r="CM683">
        <v>1</v>
      </c>
      <c r="CN683">
        <v>0</v>
      </c>
      <c r="CO683">
        <v>0</v>
      </c>
      <c r="CP683">
        <v>0</v>
      </c>
      <c r="CQ683">
        <v>1</v>
      </c>
      <c r="CR683">
        <v>0</v>
      </c>
      <c r="CS683">
        <v>0</v>
      </c>
      <c r="CT683" s="18">
        <v>0</v>
      </c>
      <c r="CZ683" s="34" t="s">
        <v>87</v>
      </c>
    </row>
    <row r="684" spans="1:104" x14ac:dyDescent="0.25">
      <c r="A684">
        <v>683</v>
      </c>
      <c r="B684">
        <v>42</v>
      </c>
      <c r="C684" s="25" t="s">
        <v>348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490"/>
        <v>4.170099307420899</v>
      </c>
      <c r="H684" s="16">
        <f t="shared" si="491"/>
        <v>5.063692016153948</v>
      </c>
      <c r="I684" s="11">
        <f t="shared" si="467"/>
        <v>0.11228052410736152</v>
      </c>
      <c r="J684" s="33">
        <f t="shared" si="468"/>
        <v>1.0865857171680147E-2</v>
      </c>
      <c r="K684" s="33">
        <f t="shared" si="492"/>
        <v>92.031395609203813</v>
      </c>
      <c r="L684" s="33">
        <f t="shared" si="493"/>
        <v>0.10141466693568137</v>
      </c>
      <c r="M684" s="33">
        <f t="shared" si="49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495"/>
        <v>8363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9">
        <v>0</v>
      </c>
      <c r="AL684" s="30">
        <v>1</v>
      </c>
      <c r="AM684" s="21">
        <v>2012</v>
      </c>
      <c r="AN684" s="23"/>
      <c r="AO684" s="33">
        <v>0.19700000000000001</v>
      </c>
      <c r="AP684" s="33">
        <v>0.12</v>
      </c>
      <c r="AQ684" s="33">
        <f t="shared" si="489"/>
        <v>0.43999999999999995</v>
      </c>
      <c r="AR684" s="43">
        <v>0.24299999999999999</v>
      </c>
      <c r="AS684" s="33" t="s">
        <v>107</v>
      </c>
      <c r="AT684" s="43" t="s">
        <v>107</v>
      </c>
      <c r="AU684" s="42">
        <v>1</v>
      </c>
      <c r="AV684" s="18">
        <v>0</v>
      </c>
      <c r="AW684">
        <v>1</v>
      </c>
      <c r="AX684" s="40">
        <v>0</v>
      </c>
      <c r="AY684">
        <v>55.2</v>
      </c>
      <c r="AZ684" s="40">
        <v>44.8</v>
      </c>
      <c r="BB684" s="18"/>
      <c r="BC684" t="s">
        <v>107</v>
      </c>
      <c r="BD684" s="18" t="s">
        <v>107</v>
      </c>
      <c r="BE684" s="18" t="s">
        <v>6</v>
      </c>
      <c r="BL684" s="18"/>
      <c r="BO684" s="18"/>
      <c r="BR684" s="25">
        <v>35.5</v>
      </c>
      <c r="BS684">
        <v>1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 s="18">
        <v>0</v>
      </c>
      <c r="CA684">
        <v>0</v>
      </c>
      <c r="CB684">
        <v>0</v>
      </c>
      <c r="CC684">
        <v>1</v>
      </c>
      <c r="CD684" s="18">
        <v>0</v>
      </c>
      <c r="CE684">
        <v>0</v>
      </c>
      <c r="CF684">
        <v>0</v>
      </c>
      <c r="CG684">
        <v>0</v>
      </c>
      <c r="CH684">
        <v>0</v>
      </c>
      <c r="CI684" s="18">
        <v>0</v>
      </c>
      <c r="CJ684">
        <v>0</v>
      </c>
      <c r="CK684">
        <v>0</v>
      </c>
      <c r="CL684">
        <v>1</v>
      </c>
      <c r="CM684">
        <v>1</v>
      </c>
      <c r="CN684">
        <v>0</v>
      </c>
      <c r="CO684">
        <v>0</v>
      </c>
      <c r="CP684">
        <v>0</v>
      </c>
      <c r="CQ684">
        <v>1</v>
      </c>
      <c r="CR684">
        <v>0</v>
      </c>
      <c r="CS684">
        <v>0</v>
      </c>
      <c r="CT684" s="18">
        <v>0</v>
      </c>
      <c r="CZ684" s="34" t="s">
        <v>87</v>
      </c>
    </row>
    <row r="685" spans="1:104" x14ac:dyDescent="0.25">
      <c r="A685">
        <v>684</v>
      </c>
      <c r="B685">
        <v>42</v>
      </c>
      <c r="C685" s="25" t="s">
        <v>348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490"/>
        <v>4.202316470520584</v>
      </c>
      <c r="H685" s="16">
        <f t="shared" si="491"/>
        <v>6.1824655927554151</v>
      </c>
      <c r="I685" s="11">
        <f t="shared" si="467"/>
        <v>5.7253950698126888E-2</v>
      </c>
      <c r="J685" s="33">
        <f t="shared" si="468"/>
        <v>1.0917066870405549E-2</v>
      </c>
      <c r="K685" s="33">
        <f t="shared" si="492"/>
        <v>91.599695400862913</v>
      </c>
      <c r="L685" s="33">
        <f t="shared" si="493"/>
        <v>4.6336883827721338E-2</v>
      </c>
      <c r="M685" s="33">
        <f t="shared" si="49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495"/>
        <v>8363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9">
        <v>0</v>
      </c>
      <c r="AL685" s="30">
        <v>1</v>
      </c>
      <c r="AM685" s="21">
        <v>2012</v>
      </c>
      <c r="AN685" s="23"/>
      <c r="AO685" s="33">
        <v>0.19700000000000001</v>
      </c>
      <c r="AP685" s="33">
        <v>0.12</v>
      </c>
      <c r="AQ685" s="33">
        <f t="shared" si="489"/>
        <v>0.43999999999999995</v>
      </c>
      <c r="AR685" s="43">
        <v>0.24299999999999999</v>
      </c>
      <c r="AS685" s="33" t="s">
        <v>107</v>
      </c>
      <c r="AT685" s="43" t="s">
        <v>107</v>
      </c>
      <c r="AU685" s="42">
        <v>1</v>
      </c>
      <c r="AV685" s="18">
        <v>0</v>
      </c>
      <c r="AW685">
        <v>1</v>
      </c>
      <c r="AX685" s="40">
        <v>0</v>
      </c>
      <c r="AY685">
        <v>55.2</v>
      </c>
      <c r="AZ685" s="40">
        <v>44.8</v>
      </c>
      <c r="BB685" s="18"/>
      <c r="BC685" t="s">
        <v>107</v>
      </c>
      <c r="BD685" s="18" t="s">
        <v>107</v>
      </c>
      <c r="BE685" s="18" t="s">
        <v>6</v>
      </c>
      <c r="BL685" s="18"/>
      <c r="BO685" s="18"/>
      <c r="BR685" s="25">
        <v>35.5</v>
      </c>
      <c r="BS685">
        <v>1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 s="18">
        <v>0</v>
      </c>
      <c r="CA685">
        <v>0</v>
      </c>
      <c r="CB685">
        <v>0</v>
      </c>
      <c r="CC685">
        <v>1</v>
      </c>
      <c r="CD685" s="18">
        <v>0</v>
      </c>
      <c r="CE685">
        <v>0</v>
      </c>
      <c r="CF685">
        <v>0</v>
      </c>
      <c r="CG685">
        <v>0</v>
      </c>
      <c r="CH685">
        <v>0</v>
      </c>
      <c r="CI685" s="18">
        <v>0</v>
      </c>
      <c r="CJ685">
        <v>0</v>
      </c>
      <c r="CK685">
        <v>0</v>
      </c>
      <c r="CL685">
        <v>1</v>
      </c>
      <c r="CM685">
        <v>1</v>
      </c>
      <c r="CN685">
        <v>0</v>
      </c>
      <c r="CO685">
        <v>0</v>
      </c>
      <c r="CP685">
        <v>0</v>
      </c>
      <c r="CQ685">
        <v>1</v>
      </c>
      <c r="CR685">
        <v>0</v>
      </c>
      <c r="CS685">
        <v>0</v>
      </c>
      <c r="CT685" s="18">
        <v>0</v>
      </c>
      <c r="CZ685" s="34" t="s">
        <v>87</v>
      </c>
    </row>
    <row r="686" spans="1:104" x14ac:dyDescent="0.25">
      <c r="A686">
        <v>685</v>
      </c>
      <c r="B686">
        <v>42</v>
      </c>
      <c r="C686" s="25" t="s">
        <v>348</v>
      </c>
      <c r="D686" s="12">
        <v>7.36957776560212</v>
      </c>
      <c r="E686" s="14">
        <v>0.31304401128221399</v>
      </c>
      <c r="F686" s="7">
        <v>23.541666666666664</v>
      </c>
      <c r="G686" s="7">
        <f t="shared" si="490"/>
        <v>7.056533754319906</v>
      </c>
      <c r="H686" s="16">
        <f t="shared" si="491"/>
        <v>7.6826217768843339</v>
      </c>
      <c r="I686" s="11">
        <f t="shared" si="467"/>
        <v>0.24930024610104237</v>
      </c>
      <c r="J686" s="33">
        <f t="shared" si="468"/>
        <v>1.0589744967123924E-2</v>
      </c>
      <c r="K686" s="33">
        <f t="shared" si="492"/>
        <v>94.43098045368609</v>
      </c>
      <c r="L686" s="33">
        <f t="shared" si="493"/>
        <v>0.23871050113391845</v>
      </c>
      <c r="M686" s="33">
        <f t="shared" si="49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495"/>
        <v>8363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9">
        <v>0</v>
      </c>
      <c r="AL686" s="30">
        <v>1</v>
      </c>
      <c r="AM686" s="21">
        <v>2012</v>
      </c>
      <c r="AN686" s="23"/>
      <c r="AO686" s="33">
        <v>0.19700000000000001</v>
      </c>
      <c r="AP686" s="33">
        <v>0.12</v>
      </c>
      <c r="AQ686" s="33">
        <f t="shared" si="489"/>
        <v>0.43999999999999995</v>
      </c>
      <c r="AR686" s="43">
        <v>0.24299999999999999</v>
      </c>
      <c r="AS686" s="33" t="s">
        <v>107</v>
      </c>
      <c r="AT686" s="43" t="s">
        <v>107</v>
      </c>
      <c r="AU686" s="42">
        <v>1</v>
      </c>
      <c r="AV686" s="18">
        <v>0</v>
      </c>
      <c r="AW686">
        <v>1</v>
      </c>
      <c r="AX686" s="40">
        <v>0</v>
      </c>
      <c r="AY686">
        <v>55.2</v>
      </c>
      <c r="AZ686" s="40">
        <v>44.8</v>
      </c>
      <c r="BB686" s="18"/>
      <c r="BC686" t="s">
        <v>107</v>
      </c>
      <c r="BD686" s="18" t="s">
        <v>107</v>
      </c>
      <c r="BE686" s="18" t="s">
        <v>6</v>
      </c>
      <c r="BL686" s="18"/>
      <c r="BO686" s="18"/>
      <c r="BR686" s="25">
        <v>35.5</v>
      </c>
      <c r="BS686">
        <v>1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 s="18">
        <v>0</v>
      </c>
      <c r="CA686">
        <v>0</v>
      </c>
      <c r="CB686">
        <v>0</v>
      </c>
      <c r="CC686">
        <v>1</v>
      </c>
      <c r="CD686" s="18">
        <v>0</v>
      </c>
      <c r="CE686">
        <v>0</v>
      </c>
      <c r="CF686">
        <v>0</v>
      </c>
      <c r="CG686">
        <v>0</v>
      </c>
      <c r="CH686">
        <v>0</v>
      </c>
      <c r="CI686" s="18">
        <v>0</v>
      </c>
      <c r="CJ686">
        <v>0</v>
      </c>
      <c r="CK686">
        <v>0</v>
      </c>
      <c r="CL686">
        <v>1</v>
      </c>
      <c r="CM686">
        <v>1</v>
      </c>
      <c r="CN686">
        <v>0</v>
      </c>
      <c r="CO686">
        <v>0</v>
      </c>
      <c r="CP686">
        <v>0</v>
      </c>
      <c r="CQ686">
        <v>1</v>
      </c>
      <c r="CR686">
        <v>0</v>
      </c>
      <c r="CS686">
        <v>0</v>
      </c>
      <c r="CT686" s="18">
        <v>0</v>
      </c>
      <c r="CZ686" s="34" t="s">
        <v>87</v>
      </c>
    </row>
    <row r="687" spans="1:104" x14ac:dyDescent="0.25">
      <c r="A687">
        <v>686</v>
      </c>
      <c r="B687">
        <v>42</v>
      </c>
      <c r="C687" s="25" t="s">
        <v>348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490"/>
        <v>-5.1374631625074274E-2</v>
      </c>
      <c r="H687" s="16">
        <f t="shared" si="491"/>
        <v>1.9008613701277446</v>
      </c>
      <c r="I687" s="11">
        <f t="shared" si="467"/>
        <v>1.9784568514971724E-2</v>
      </c>
      <c r="J687" s="33">
        <f t="shared" si="468"/>
        <v>2.0883711210247929E-2</v>
      </c>
      <c r="K687" s="33">
        <f t="shared" si="492"/>
        <v>47.884209369323493</v>
      </c>
      <c r="L687" s="33">
        <f t="shared" si="493"/>
        <v>-1.0991426952762055E-3</v>
      </c>
      <c r="M687" s="33">
        <f t="shared" si="49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495"/>
        <v>2292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9">
        <v>0</v>
      </c>
      <c r="AL687" s="30">
        <v>1</v>
      </c>
      <c r="AM687" s="21">
        <v>2012</v>
      </c>
      <c r="AN687" s="23"/>
      <c r="AO687" s="33">
        <v>0.19700000000000001</v>
      </c>
      <c r="AP687" s="33">
        <v>0.12</v>
      </c>
      <c r="AQ687" s="33">
        <f t="shared" si="489"/>
        <v>0.43999999999999995</v>
      </c>
      <c r="AR687" s="43">
        <v>0.24299999999999999</v>
      </c>
      <c r="AS687" s="33" t="s">
        <v>107</v>
      </c>
      <c r="AT687" s="43" t="s">
        <v>107</v>
      </c>
      <c r="AU687" s="42">
        <v>1</v>
      </c>
      <c r="AV687" s="18">
        <v>0</v>
      </c>
      <c r="AW687">
        <v>1</v>
      </c>
      <c r="AX687" s="40">
        <v>0</v>
      </c>
      <c r="AY687">
        <v>55.2</v>
      </c>
      <c r="AZ687" s="40">
        <v>44.8</v>
      </c>
      <c r="BB687" s="18"/>
      <c r="BC687" t="s">
        <v>107</v>
      </c>
      <c r="BD687" s="18" t="s">
        <v>107</v>
      </c>
      <c r="BE687" s="18" t="s">
        <v>6</v>
      </c>
      <c r="BL687" s="18"/>
      <c r="BO687" s="18"/>
      <c r="BR687" s="25">
        <v>29.52</v>
      </c>
      <c r="BS687">
        <v>0</v>
      </c>
      <c r="BT687">
        <v>0</v>
      </c>
      <c r="BU687">
        <v>0</v>
      </c>
      <c r="BV687">
        <v>1</v>
      </c>
      <c r="BW687">
        <v>0</v>
      </c>
      <c r="BX687">
        <v>0</v>
      </c>
      <c r="BY687">
        <v>0</v>
      </c>
      <c r="BZ687" s="18">
        <v>0</v>
      </c>
      <c r="CA687">
        <v>0</v>
      </c>
      <c r="CB687">
        <v>0</v>
      </c>
      <c r="CC687">
        <v>1</v>
      </c>
      <c r="CD687" s="18">
        <v>0</v>
      </c>
      <c r="CE687">
        <v>0</v>
      </c>
      <c r="CF687">
        <v>0</v>
      </c>
      <c r="CG687">
        <v>0</v>
      </c>
      <c r="CH687">
        <v>0</v>
      </c>
      <c r="CI687" s="18">
        <v>0</v>
      </c>
      <c r="CJ687">
        <v>0</v>
      </c>
      <c r="CK687">
        <v>0</v>
      </c>
      <c r="CL687">
        <v>1</v>
      </c>
      <c r="CM687">
        <v>1</v>
      </c>
      <c r="CN687">
        <v>0</v>
      </c>
      <c r="CO687">
        <v>0</v>
      </c>
      <c r="CP687">
        <v>0</v>
      </c>
      <c r="CQ687">
        <v>1</v>
      </c>
      <c r="CR687">
        <v>0</v>
      </c>
      <c r="CS687">
        <v>0</v>
      </c>
      <c r="CT687" s="18">
        <v>0</v>
      </c>
      <c r="CZ687" s="34" t="s">
        <v>87</v>
      </c>
    </row>
    <row r="688" spans="1:104" x14ac:dyDescent="0.25">
      <c r="A688">
        <v>687</v>
      </c>
      <c r="B688">
        <v>42</v>
      </c>
      <c r="C688" s="25" t="s">
        <v>348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490"/>
        <v>1.1591391254638259</v>
      </c>
      <c r="H688" s="16">
        <f t="shared" si="491"/>
        <v>-2.839890857386373</v>
      </c>
      <c r="I688" s="11">
        <f t="shared" si="467"/>
        <v>8.7785920158698506E-3</v>
      </c>
      <c r="J688" s="33">
        <f t="shared" si="468"/>
        <v>2.0886994796379989E-2</v>
      </c>
      <c r="K688" s="33">
        <f t="shared" si="492"/>
        <v>47.876681626469029</v>
      </c>
      <c r="L688" s="33">
        <f t="shared" si="493"/>
        <v>-1.2108402780510138E-2</v>
      </c>
      <c r="M688" s="33">
        <f t="shared" si="49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495"/>
        <v>2292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9">
        <v>0</v>
      </c>
      <c r="AL688" s="30">
        <v>1</v>
      </c>
      <c r="AM688" s="21">
        <v>2012</v>
      </c>
      <c r="AN688" s="23"/>
      <c r="AO688" s="33">
        <v>0.19700000000000001</v>
      </c>
      <c r="AP688" s="33">
        <v>0.12</v>
      </c>
      <c r="AQ688" s="33">
        <f t="shared" si="489"/>
        <v>0.43999999999999995</v>
      </c>
      <c r="AR688" s="43">
        <v>0.24299999999999999</v>
      </c>
      <c r="AS688" s="33" t="s">
        <v>107</v>
      </c>
      <c r="AT688" s="43" t="s">
        <v>107</v>
      </c>
      <c r="AU688" s="42">
        <v>1</v>
      </c>
      <c r="AV688" s="18">
        <v>0</v>
      </c>
      <c r="AW688">
        <v>1</v>
      </c>
      <c r="AX688" s="40">
        <v>0</v>
      </c>
      <c r="AY688">
        <v>55.2</v>
      </c>
      <c r="AZ688" s="40">
        <v>44.8</v>
      </c>
      <c r="BB688" s="18"/>
      <c r="BC688" t="s">
        <v>107</v>
      </c>
      <c r="BD688" s="18" t="s">
        <v>107</v>
      </c>
      <c r="BE688" s="18" t="s">
        <v>6</v>
      </c>
      <c r="BL688" s="18"/>
      <c r="BO688" s="18"/>
      <c r="BR688" s="25">
        <v>29.52</v>
      </c>
      <c r="BS688">
        <v>0</v>
      </c>
      <c r="BT688">
        <v>0</v>
      </c>
      <c r="BU688">
        <v>0</v>
      </c>
      <c r="BV688">
        <v>1</v>
      </c>
      <c r="BW688">
        <v>0</v>
      </c>
      <c r="BX688">
        <v>0</v>
      </c>
      <c r="BY688">
        <v>0</v>
      </c>
      <c r="BZ688" s="18">
        <v>0</v>
      </c>
      <c r="CA688">
        <v>0</v>
      </c>
      <c r="CB688">
        <v>0</v>
      </c>
      <c r="CC688">
        <v>1</v>
      </c>
      <c r="CD688" s="18">
        <v>0</v>
      </c>
      <c r="CE688">
        <v>0</v>
      </c>
      <c r="CF688">
        <v>0</v>
      </c>
      <c r="CG688">
        <v>0</v>
      </c>
      <c r="CH688">
        <v>0</v>
      </c>
      <c r="CI688" s="18">
        <v>0</v>
      </c>
      <c r="CJ688">
        <v>0</v>
      </c>
      <c r="CK688">
        <v>0</v>
      </c>
      <c r="CL688">
        <v>1</v>
      </c>
      <c r="CM688">
        <v>1</v>
      </c>
      <c r="CN688">
        <v>0</v>
      </c>
      <c r="CO688">
        <v>0</v>
      </c>
      <c r="CP688">
        <v>0</v>
      </c>
      <c r="CQ688">
        <v>1</v>
      </c>
      <c r="CR688">
        <v>0</v>
      </c>
      <c r="CS688">
        <v>0</v>
      </c>
      <c r="CT688" s="18">
        <v>0</v>
      </c>
      <c r="CZ688" s="34" t="s">
        <v>87</v>
      </c>
    </row>
    <row r="689" spans="1:104" x14ac:dyDescent="0.25">
      <c r="A689">
        <v>688</v>
      </c>
      <c r="B689">
        <v>42</v>
      </c>
      <c r="C689" s="25" t="s">
        <v>348</v>
      </c>
      <c r="D689" s="12">
        <v>2.3764126172991284</v>
      </c>
      <c r="E689" s="14">
        <v>1.2813989603083535</v>
      </c>
      <c r="F689" s="7">
        <v>1.8545454545454545</v>
      </c>
      <c r="G689" s="7">
        <f t="shared" si="490"/>
        <v>1.0950136569907749</v>
      </c>
      <c r="H689" s="16">
        <f t="shared" si="491"/>
        <v>3.657811577607482</v>
      </c>
      <c r="I689" s="11">
        <f t="shared" si="467"/>
        <v>3.8708342234612933E-2</v>
      </c>
      <c r="J689" s="33">
        <f t="shared" si="468"/>
        <v>2.0872145322585408E-2</v>
      </c>
      <c r="K689" s="33">
        <f t="shared" si="492"/>
        <v>47.910743459509952</v>
      </c>
      <c r="L689" s="33">
        <f t="shared" si="493"/>
        <v>1.7836196912027525E-2</v>
      </c>
      <c r="M689" s="33">
        <f t="shared" si="49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495"/>
        <v>2292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9">
        <v>0</v>
      </c>
      <c r="AL689" s="30">
        <v>1</v>
      </c>
      <c r="AM689" s="21">
        <v>2012</v>
      </c>
      <c r="AN689" s="23"/>
      <c r="AO689" s="33">
        <v>0.19700000000000001</v>
      </c>
      <c r="AP689" s="33">
        <v>0.12</v>
      </c>
      <c r="AQ689" s="33">
        <f t="shared" si="489"/>
        <v>0.43999999999999995</v>
      </c>
      <c r="AR689" s="43">
        <v>0.24299999999999999</v>
      </c>
      <c r="AS689" s="33" t="s">
        <v>107</v>
      </c>
      <c r="AT689" s="43" t="s">
        <v>107</v>
      </c>
      <c r="AU689" s="42">
        <v>1</v>
      </c>
      <c r="AV689" s="18">
        <v>0</v>
      </c>
      <c r="AW689">
        <v>1</v>
      </c>
      <c r="AX689" s="40">
        <v>0</v>
      </c>
      <c r="AY689">
        <v>55.2</v>
      </c>
      <c r="AZ689" s="40">
        <v>44.8</v>
      </c>
      <c r="BB689" s="18"/>
      <c r="BC689" t="s">
        <v>107</v>
      </c>
      <c r="BD689" s="18" t="s">
        <v>107</v>
      </c>
      <c r="BE689" s="18" t="s">
        <v>6</v>
      </c>
      <c r="BL689" s="18"/>
      <c r="BO689" s="18"/>
      <c r="BR689" s="25">
        <v>29.52</v>
      </c>
      <c r="BS689">
        <v>0</v>
      </c>
      <c r="BT689">
        <v>0</v>
      </c>
      <c r="BU689">
        <v>0</v>
      </c>
      <c r="BV689">
        <v>1</v>
      </c>
      <c r="BW689">
        <v>0</v>
      </c>
      <c r="BX689">
        <v>0</v>
      </c>
      <c r="BY689">
        <v>0</v>
      </c>
      <c r="BZ689" s="18">
        <v>0</v>
      </c>
      <c r="CA689">
        <v>0</v>
      </c>
      <c r="CB689">
        <v>0</v>
      </c>
      <c r="CC689">
        <v>1</v>
      </c>
      <c r="CD689" s="18">
        <v>0</v>
      </c>
      <c r="CE689">
        <v>0</v>
      </c>
      <c r="CF689">
        <v>0</v>
      </c>
      <c r="CG689">
        <v>0</v>
      </c>
      <c r="CH689">
        <v>0</v>
      </c>
      <c r="CI689" s="18">
        <v>0</v>
      </c>
      <c r="CJ689">
        <v>0</v>
      </c>
      <c r="CK689">
        <v>0</v>
      </c>
      <c r="CL689">
        <v>1</v>
      </c>
      <c r="CM689">
        <v>1</v>
      </c>
      <c r="CN689">
        <v>0</v>
      </c>
      <c r="CO689">
        <v>0</v>
      </c>
      <c r="CP689">
        <v>0</v>
      </c>
      <c r="CQ689">
        <v>1</v>
      </c>
      <c r="CR689">
        <v>0</v>
      </c>
      <c r="CS689">
        <v>0</v>
      </c>
      <c r="CT689" s="18">
        <v>0</v>
      </c>
      <c r="CZ689" s="34" t="s">
        <v>87</v>
      </c>
    </row>
    <row r="690" spans="1:104" x14ac:dyDescent="0.25">
      <c r="A690">
        <v>689</v>
      </c>
      <c r="B690">
        <v>42</v>
      </c>
      <c r="C690" s="25" t="s">
        <v>348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490"/>
        <v>-0.30065951089193677</v>
      </c>
      <c r="H690" s="16">
        <f t="shared" si="491"/>
        <v>4.9261904476909635</v>
      </c>
      <c r="I690" s="11">
        <f t="shared" si="467"/>
        <v>1.848162126220294E-2</v>
      </c>
      <c r="J690" s="33">
        <f t="shared" si="468"/>
        <v>2.0884232026289321E-2</v>
      </c>
      <c r="K690" s="33">
        <f t="shared" si="492"/>
        <v>47.883015221301321</v>
      </c>
      <c r="L690" s="33">
        <f t="shared" si="493"/>
        <v>-2.4026107640863804E-3</v>
      </c>
      <c r="M690" s="33">
        <f t="shared" si="49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495"/>
        <v>2292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9">
        <v>0</v>
      </c>
      <c r="AL690" s="30">
        <v>1</v>
      </c>
      <c r="AM690" s="21">
        <v>2012</v>
      </c>
      <c r="AN690" s="23"/>
      <c r="AO690" s="33">
        <v>0.19700000000000001</v>
      </c>
      <c r="AP690" s="33">
        <v>0.12</v>
      </c>
      <c r="AQ690" s="33">
        <f t="shared" si="489"/>
        <v>0.43999999999999995</v>
      </c>
      <c r="AR690" s="43">
        <v>0.24299999999999999</v>
      </c>
      <c r="AS690" s="33" t="s">
        <v>107</v>
      </c>
      <c r="AT690" s="43" t="s">
        <v>107</v>
      </c>
      <c r="AU690" s="42">
        <v>1</v>
      </c>
      <c r="AV690" s="18">
        <v>0</v>
      </c>
      <c r="AW690">
        <v>1</v>
      </c>
      <c r="AX690" s="40">
        <v>0</v>
      </c>
      <c r="AY690">
        <v>55.2</v>
      </c>
      <c r="AZ690" s="40">
        <v>44.8</v>
      </c>
      <c r="BB690" s="18"/>
      <c r="BC690" t="s">
        <v>107</v>
      </c>
      <c r="BD690" s="18" t="s">
        <v>107</v>
      </c>
      <c r="BE690" s="18" t="s">
        <v>6</v>
      </c>
      <c r="BL690" s="18"/>
      <c r="BO690" s="18"/>
      <c r="BR690" s="25">
        <v>29.52</v>
      </c>
      <c r="BS690">
        <v>0</v>
      </c>
      <c r="BT690">
        <v>0</v>
      </c>
      <c r="BU690">
        <v>0</v>
      </c>
      <c r="BV690">
        <v>1</v>
      </c>
      <c r="BW690">
        <v>0</v>
      </c>
      <c r="BX690">
        <v>0</v>
      </c>
      <c r="BY690">
        <v>0</v>
      </c>
      <c r="BZ690" s="18">
        <v>0</v>
      </c>
      <c r="CA690">
        <v>0</v>
      </c>
      <c r="CB690">
        <v>0</v>
      </c>
      <c r="CC690">
        <v>1</v>
      </c>
      <c r="CD690" s="18">
        <v>0</v>
      </c>
      <c r="CE690">
        <v>0</v>
      </c>
      <c r="CF690">
        <v>0</v>
      </c>
      <c r="CG690">
        <v>0</v>
      </c>
      <c r="CH690">
        <v>0</v>
      </c>
      <c r="CI690" s="18">
        <v>0</v>
      </c>
      <c r="CJ690">
        <v>0</v>
      </c>
      <c r="CK690">
        <v>0</v>
      </c>
      <c r="CL690">
        <v>1</v>
      </c>
      <c r="CM690">
        <v>1</v>
      </c>
      <c r="CN690">
        <v>0</v>
      </c>
      <c r="CO690">
        <v>0</v>
      </c>
      <c r="CP690">
        <v>0</v>
      </c>
      <c r="CQ690">
        <v>1</v>
      </c>
      <c r="CR690">
        <v>0</v>
      </c>
      <c r="CS690">
        <v>0</v>
      </c>
      <c r="CT690" s="18">
        <v>0</v>
      </c>
      <c r="CZ690" s="34" t="s">
        <v>87</v>
      </c>
    </row>
    <row r="691" spans="1:104" s="154" customFormat="1" x14ac:dyDescent="0.25">
      <c r="A691" s="154">
        <v>690</v>
      </c>
      <c r="B691" s="154">
        <v>42</v>
      </c>
      <c r="C691" s="155" t="s">
        <v>348</v>
      </c>
      <c r="D691" s="156">
        <v>3.9364104664247002</v>
      </c>
      <c r="E691" s="157">
        <v>1.0909901667244486</v>
      </c>
      <c r="F691" s="158">
        <v>3.6081081081081083</v>
      </c>
      <c r="G691" s="158">
        <f t="shared" si="490"/>
        <v>2.8454202997002516</v>
      </c>
      <c r="H691" s="159">
        <f t="shared" si="491"/>
        <v>5.0274006331491492</v>
      </c>
      <c r="I691" s="160">
        <f t="shared" si="467"/>
        <v>7.5152310851901466E-2</v>
      </c>
      <c r="J691" s="161">
        <f t="shared" si="468"/>
        <v>2.0828730348467071E-2</v>
      </c>
      <c r="K691" s="161">
        <f t="shared" si="492"/>
        <v>48.010607620814334</v>
      </c>
      <c r="L691" s="161">
        <f t="shared" si="493"/>
        <v>5.4323580503434395E-2</v>
      </c>
      <c r="M691" s="161">
        <f t="shared" si="494"/>
        <v>9.5981041200368544E-2</v>
      </c>
      <c r="N691" s="162">
        <v>1</v>
      </c>
      <c r="O691" s="163">
        <v>0</v>
      </c>
      <c r="P691" s="162">
        <v>0</v>
      </c>
      <c r="Q691" s="163">
        <v>1</v>
      </c>
      <c r="R691" s="163">
        <v>0</v>
      </c>
      <c r="S691" s="163">
        <v>0</v>
      </c>
      <c r="T691" s="163">
        <v>0</v>
      </c>
      <c r="U691" s="162">
        <v>2300</v>
      </c>
      <c r="V691" s="163">
        <v>7</v>
      </c>
      <c r="W691" s="163">
        <f t="shared" si="495"/>
        <v>2292</v>
      </c>
      <c r="X691" s="163"/>
      <c r="Y691" s="158">
        <v>9.81</v>
      </c>
      <c r="Z691" s="158">
        <v>11.78</v>
      </c>
      <c r="AA691" s="163">
        <v>0</v>
      </c>
      <c r="AB691" s="163">
        <v>1</v>
      </c>
      <c r="AC691" s="163">
        <v>0</v>
      </c>
      <c r="AD691" s="163">
        <v>1</v>
      </c>
      <c r="AE691" s="163">
        <v>0</v>
      </c>
      <c r="AF691" s="163">
        <v>0</v>
      </c>
      <c r="AG691" s="162">
        <v>0</v>
      </c>
      <c r="AH691" s="163">
        <v>1</v>
      </c>
      <c r="AI691" s="164">
        <v>0</v>
      </c>
      <c r="AJ691" s="163">
        <v>0</v>
      </c>
      <c r="AK691" s="163">
        <v>0</v>
      </c>
      <c r="AL691" s="164">
        <v>1</v>
      </c>
      <c r="AM691" s="165">
        <v>2012</v>
      </c>
      <c r="AN691" s="166"/>
      <c r="AO691" s="161">
        <v>0.19700000000000001</v>
      </c>
      <c r="AP691" s="161">
        <v>0.12</v>
      </c>
      <c r="AQ691" s="161">
        <f t="shared" si="489"/>
        <v>0.43999999999999995</v>
      </c>
      <c r="AR691" s="167">
        <v>0.24299999999999999</v>
      </c>
      <c r="AS691" s="161" t="s">
        <v>107</v>
      </c>
      <c r="AT691" s="167" t="s">
        <v>107</v>
      </c>
      <c r="AU691" s="168">
        <v>1</v>
      </c>
      <c r="AV691" s="169">
        <v>0</v>
      </c>
      <c r="AW691" s="154">
        <v>1</v>
      </c>
      <c r="AX691" s="170">
        <v>0</v>
      </c>
      <c r="AY691" s="154">
        <v>55.2</v>
      </c>
      <c r="AZ691" s="170">
        <v>44.8</v>
      </c>
      <c r="BB691" s="169"/>
      <c r="BC691" s="154" t="s">
        <v>107</v>
      </c>
      <c r="BD691" s="169" t="s">
        <v>107</v>
      </c>
      <c r="BE691" s="169" t="s">
        <v>6</v>
      </c>
      <c r="BL691" s="169"/>
      <c r="BO691" s="169"/>
      <c r="BR691" s="155">
        <v>29.52</v>
      </c>
      <c r="BS691" s="154">
        <v>0</v>
      </c>
      <c r="BT691" s="154">
        <v>0</v>
      </c>
      <c r="BU691" s="154">
        <v>0</v>
      </c>
      <c r="BV691" s="154">
        <v>1</v>
      </c>
      <c r="BW691" s="154">
        <v>0</v>
      </c>
      <c r="BX691" s="154">
        <v>0</v>
      </c>
      <c r="BY691" s="154">
        <v>0</v>
      </c>
      <c r="BZ691" s="169">
        <v>0</v>
      </c>
      <c r="CA691" s="154">
        <v>0</v>
      </c>
      <c r="CB691" s="154">
        <v>0</v>
      </c>
      <c r="CC691" s="154">
        <v>1</v>
      </c>
      <c r="CD691" s="169">
        <v>0</v>
      </c>
      <c r="CE691" s="154">
        <v>0</v>
      </c>
      <c r="CF691" s="154">
        <v>0</v>
      </c>
      <c r="CG691" s="154">
        <v>0</v>
      </c>
      <c r="CH691" s="154">
        <v>0</v>
      </c>
      <c r="CI691" s="169">
        <v>0</v>
      </c>
      <c r="CJ691" s="154">
        <v>0</v>
      </c>
      <c r="CK691" s="154">
        <v>0</v>
      </c>
      <c r="CL691" s="154">
        <v>1</v>
      </c>
      <c r="CM691" s="154">
        <v>1</v>
      </c>
      <c r="CN691" s="154">
        <v>0</v>
      </c>
      <c r="CO691" s="154">
        <v>0</v>
      </c>
      <c r="CP691" s="154">
        <v>0</v>
      </c>
      <c r="CQ691" s="154">
        <v>1</v>
      </c>
      <c r="CR691" s="154">
        <v>0</v>
      </c>
      <c r="CS691" s="154">
        <v>0</v>
      </c>
      <c r="CT691" s="169">
        <v>0</v>
      </c>
      <c r="CY691" s="155"/>
      <c r="CZ691" s="172" t="s">
        <v>87</v>
      </c>
    </row>
    <row r="692" spans="1:104" x14ac:dyDescent="0.25">
      <c r="A692">
        <v>691</v>
      </c>
      <c r="B692">
        <v>43</v>
      </c>
      <c r="D692" s="12"/>
      <c r="E692" s="14"/>
      <c r="H692" s="16"/>
      <c r="I692" s="11"/>
      <c r="J692" s="33"/>
      <c r="K692" s="33"/>
      <c r="L692" s="33"/>
      <c r="M692" s="33"/>
      <c r="N692" s="8"/>
      <c r="AG692" s="8"/>
      <c r="AI692" s="30"/>
      <c r="AL692" s="30"/>
      <c r="AM692" s="21"/>
      <c r="AN692" s="23"/>
      <c r="AX692" s="40"/>
      <c r="AZ692" s="40"/>
      <c r="BB692" s="18"/>
      <c r="BD692" s="18"/>
      <c r="BE692" s="18"/>
      <c r="BL692" s="18"/>
      <c r="BO692" s="18"/>
      <c r="BZ692" s="18"/>
      <c r="CD692" s="18"/>
      <c r="CI692" s="18"/>
      <c r="CT692" s="18"/>
      <c r="CZ692" s="34" t="s">
        <v>87</v>
      </c>
    </row>
    <row r="693" spans="1:104" x14ac:dyDescent="0.25">
      <c r="A693">
        <v>692</v>
      </c>
      <c r="B693">
        <v>43</v>
      </c>
      <c r="D693" s="12"/>
      <c r="E693" s="14"/>
      <c r="H693" s="16"/>
      <c r="I693" s="11"/>
      <c r="J693" s="33"/>
      <c r="K693" s="33"/>
      <c r="L693" s="33"/>
      <c r="M693" s="33"/>
      <c r="N693" s="8"/>
      <c r="AG693" s="8"/>
      <c r="AI693" s="30"/>
      <c r="AL693" s="30"/>
      <c r="AM693" s="21"/>
      <c r="AN693" s="23"/>
      <c r="AX693" s="40"/>
      <c r="AZ693" s="40"/>
      <c r="BB693" s="18"/>
      <c r="BD693" s="18"/>
      <c r="BE693" s="18"/>
      <c r="BL693" s="18"/>
      <c r="BO693" s="18"/>
      <c r="BZ693" s="18"/>
      <c r="CD693" s="18"/>
      <c r="CI693" s="18"/>
      <c r="CT693" s="18"/>
      <c r="CZ693" s="34" t="s">
        <v>87</v>
      </c>
    </row>
    <row r="694" spans="1:104" x14ac:dyDescent="0.25">
      <c r="A694">
        <v>693</v>
      </c>
      <c r="D694" s="12"/>
      <c r="E694" s="14"/>
      <c r="H694" s="16"/>
      <c r="I694" s="11"/>
      <c r="J694" s="33"/>
      <c r="K694" s="33"/>
      <c r="L694" s="33"/>
      <c r="M694" s="33"/>
      <c r="N694" s="8"/>
      <c r="AG694" s="8"/>
      <c r="AI694" s="30"/>
      <c r="AL694" s="30"/>
      <c r="AM694" s="21"/>
      <c r="AN694" s="23"/>
      <c r="AX694" s="40"/>
      <c r="AZ694" s="40"/>
      <c r="BB694" s="18"/>
      <c r="BD694" s="18"/>
      <c r="BE694" s="18"/>
      <c r="BL694" s="18"/>
      <c r="BO694" s="18"/>
      <c r="BZ694" s="18"/>
      <c r="CD694" s="18"/>
      <c r="CI694" s="18"/>
      <c r="CT694" s="18"/>
      <c r="CZ694" s="34" t="s">
        <v>87</v>
      </c>
    </row>
    <row r="695" spans="1:104" x14ac:dyDescent="0.25">
      <c r="A695">
        <v>694</v>
      </c>
      <c r="D695" s="12"/>
      <c r="E695" s="14"/>
      <c r="H695" s="16"/>
      <c r="I695" s="11"/>
      <c r="J695" s="33"/>
      <c r="K695" s="33"/>
      <c r="L695" s="33"/>
      <c r="M695" s="33"/>
      <c r="N695" s="8"/>
      <c r="AG695" s="8"/>
      <c r="AI695" s="30"/>
      <c r="AL695" s="30"/>
      <c r="AM695" s="21"/>
      <c r="AN695" s="23"/>
      <c r="AX695" s="40"/>
      <c r="AZ695" s="40"/>
      <c r="BB695" s="18"/>
      <c r="BD695" s="18"/>
      <c r="BE695" s="18"/>
      <c r="BL695" s="18"/>
      <c r="BO695" s="18"/>
      <c r="BZ695" s="18"/>
      <c r="CD695" s="18"/>
      <c r="CI695" s="18"/>
      <c r="CT695" s="18"/>
      <c r="CZ695" s="34" t="s">
        <v>87</v>
      </c>
    </row>
    <row r="696" spans="1:104" x14ac:dyDescent="0.25">
      <c r="A696">
        <v>695</v>
      </c>
      <c r="D696" s="12"/>
      <c r="E696" s="14"/>
      <c r="H696" s="16"/>
      <c r="I696" s="11"/>
      <c r="J696" s="33"/>
      <c r="K696" s="33"/>
      <c r="L696" s="33"/>
      <c r="M696" s="33"/>
      <c r="N696" s="8"/>
      <c r="AG696" s="8"/>
      <c r="AI696" s="30"/>
      <c r="AL696" s="30"/>
      <c r="AM696" s="21"/>
      <c r="AN696" s="23"/>
      <c r="AX696" s="40"/>
      <c r="AZ696" s="40"/>
      <c r="BB696" s="18"/>
      <c r="BD696" s="18"/>
      <c r="BE696" s="18"/>
      <c r="BL696" s="18"/>
      <c r="BO696" s="18"/>
      <c r="BZ696" s="18"/>
      <c r="CD696" s="18"/>
      <c r="CI696" s="18"/>
      <c r="CT696" s="18"/>
      <c r="CZ696" s="34" t="s">
        <v>87</v>
      </c>
    </row>
    <row r="697" spans="1:104" x14ac:dyDescent="0.25">
      <c r="A697">
        <v>696</v>
      </c>
      <c r="D697" s="12"/>
      <c r="E697" s="14"/>
      <c r="H697" s="16"/>
      <c r="I697" s="11"/>
      <c r="J697" s="33"/>
      <c r="K697" s="33"/>
      <c r="L697" s="33"/>
      <c r="M697" s="33"/>
      <c r="N697" s="8"/>
      <c r="AG697" s="8"/>
      <c r="AI697" s="30"/>
      <c r="AL697" s="30"/>
      <c r="AM697" s="21"/>
      <c r="AN697" s="23"/>
      <c r="AX697" s="40"/>
      <c r="AZ697" s="40"/>
      <c r="BB697" s="18"/>
      <c r="BD697" s="18"/>
      <c r="BE697" s="18"/>
      <c r="BL697" s="18"/>
      <c r="BO697" s="18"/>
      <c r="BZ697" s="18"/>
      <c r="CD697" s="18"/>
      <c r="CI697" s="18"/>
      <c r="CT697" s="18"/>
      <c r="CZ697" s="34" t="s">
        <v>87</v>
      </c>
    </row>
    <row r="698" spans="1:104" x14ac:dyDescent="0.25">
      <c r="A698">
        <v>697</v>
      </c>
      <c r="D698" s="12"/>
      <c r="E698" s="14"/>
      <c r="H698" s="16"/>
      <c r="I698" s="11"/>
      <c r="J698" s="33"/>
      <c r="K698" s="33"/>
      <c r="L698" s="33"/>
      <c r="M698" s="33"/>
      <c r="N698" s="8"/>
      <c r="AG698" s="8"/>
      <c r="AI698" s="30"/>
      <c r="AL698" s="30"/>
      <c r="AM698" s="21"/>
      <c r="AN698" s="23"/>
      <c r="AX698" s="40"/>
      <c r="AZ698" s="40"/>
      <c r="BB698" s="18"/>
      <c r="BD698" s="18"/>
      <c r="BE698" s="18"/>
      <c r="BL698" s="18"/>
      <c r="BO698" s="18"/>
      <c r="BZ698" s="18"/>
      <c r="CD698" s="18"/>
      <c r="CI698" s="18"/>
      <c r="CT698" s="18"/>
      <c r="CZ698" s="34" t="s">
        <v>87</v>
      </c>
    </row>
    <row r="699" spans="1:104" x14ac:dyDescent="0.25">
      <c r="A699">
        <v>698</v>
      </c>
      <c r="D699" s="12"/>
      <c r="E699" s="14"/>
      <c r="H699" s="16"/>
      <c r="I699" s="11"/>
      <c r="J699" s="33"/>
      <c r="K699" s="33"/>
      <c r="L699" s="33"/>
      <c r="M699" s="33"/>
      <c r="N699" s="8"/>
      <c r="AG699" s="8"/>
      <c r="AI699" s="30"/>
      <c r="AL699" s="30"/>
      <c r="AM699" s="21"/>
      <c r="AN699" s="23"/>
      <c r="AX699" s="40"/>
      <c r="AZ699" s="40"/>
      <c r="BB699" s="18"/>
      <c r="BD699" s="18"/>
      <c r="BE699" s="18"/>
      <c r="BL699" s="18"/>
      <c r="BO699" s="18"/>
      <c r="BZ699" s="18"/>
      <c r="CD699" s="18"/>
      <c r="CI699" s="18"/>
      <c r="CT699" s="18"/>
      <c r="CZ699" s="34" t="s">
        <v>87</v>
      </c>
    </row>
    <row r="700" spans="1:104" x14ac:dyDescent="0.25">
      <c r="A700">
        <v>699</v>
      </c>
      <c r="D700" s="12"/>
      <c r="E700" s="14"/>
      <c r="H700" s="16"/>
      <c r="I700" s="11"/>
      <c r="J700" s="33"/>
      <c r="K700" s="33"/>
      <c r="L700" s="33"/>
      <c r="M700" s="33"/>
      <c r="N700" s="8"/>
      <c r="AG700" s="8"/>
      <c r="AI700" s="30"/>
      <c r="AL700" s="30"/>
      <c r="AM700" s="21"/>
      <c r="AN700" s="23"/>
      <c r="AX700" s="40"/>
      <c r="AZ700" s="40"/>
      <c r="BB700" s="18"/>
      <c r="BD700" s="18"/>
      <c r="BE700" s="18"/>
      <c r="BL700" s="18"/>
      <c r="BO700" s="18"/>
      <c r="BZ700" s="18"/>
      <c r="CD700" s="18"/>
      <c r="CI700" s="18"/>
      <c r="CT700" s="18"/>
      <c r="CZ700" s="34" t="s">
        <v>87</v>
      </c>
    </row>
    <row r="701" spans="1:104" x14ac:dyDescent="0.25">
      <c r="A701">
        <v>700</v>
      </c>
      <c r="D701" s="12"/>
      <c r="E701" s="14"/>
      <c r="H701" s="16"/>
      <c r="I701" s="11"/>
      <c r="J701" s="33"/>
      <c r="K701" s="33"/>
      <c r="L701" s="33"/>
      <c r="M701" s="33"/>
      <c r="N701" s="8"/>
      <c r="AG701" s="8"/>
      <c r="AI701" s="30"/>
      <c r="AL701" s="30"/>
      <c r="AM701" s="21"/>
      <c r="AN701" s="23"/>
      <c r="AX701" s="40"/>
      <c r="AZ701" s="40"/>
      <c r="BB701" s="18"/>
      <c r="BD701" s="18"/>
      <c r="BE701" s="18"/>
      <c r="BL701" s="18"/>
      <c r="BO701" s="18"/>
      <c r="BZ701" s="18"/>
      <c r="CD701" s="18"/>
      <c r="CI701" s="18"/>
      <c r="CT701" s="18"/>
      <c r="CZ701" s="34" t="s">
        <v>87</v>
      </c>
    </row>
    <row r="702" spans="1:104" x14ac:dyDescent="0.25">
      <c r="A702">
        <v>701</v>
      </c>
      <c r="D702" s="12"/>
      <c r="E702" s="14"/>
      <c r="H702" s="16"/>
      <c r="I702" s="11"/>
      <c r="J702" s="33"/>
      <c r="K702" s="33"/>
      <c r="L702" s="33"/>
      <c r="M702" s="33"/>
      <c r="N702" s="8"/>
      <c r="AG702" s="8"/>
      <c r="AI702" s="30"/>
      <c r="AL702" s="30"/>
      <c r="AM702" s="21"/>
      <c r="AN702" s="23"/>
      <c r="AX702" s="40"/>
      <c r="AZ702" s="40"/>
      <c r="BB702" s="18"/>
      <c r="BD702" s="18"/>
      <c r="BE702" s="18"/>
      <c r="BL702" s="18"/>
      <c r="BO702" s="18"/>
      <c r="BZ702" s="18"/>
      <c r="CD702" s="18"/>
      <c r="CI702" s="18"/>
      <c r="CT702" s="18"/>
      <c r="CZ702" s="34" t="s">
        <v>87</v>
      </c>
    </row>
    <row r="703" spans="1:104" x14ac:dyDescent="0.25">
      <c r="A703">
        <v>702</v>
      </c>
      <c r="D703" s="12"/>
      <c r="E703" s="14"/>
      <c r="H703" s="16"/>
      <c r="I703" s="11"/>
      <c r="J703" s="33"/>
      <c r="K703" s="33"/>
      <c r="L703" s="33"/>
      <c r="M703" s="33"/>
      <c r="N703" s="8"/>
      <c r="AG703" s="8"/>
      <c r="AI703" s="30"/>
      <c r="AL703" s="30"/>
      <c r="AM703" s="21"/>
      <c r="AN703" s="23"/>
      <c r="AX703" s="40"/>
      <c r="AZ703" s="40"/>
      <c r="BB703" s="18"/>
      <c r="BD703" s="18"/>
      <c r="BE703" s="18"/>
      <c r="BL703" s="18"/>
      <c r="BO703" s="18"/>
      <c r="BZ703" s="18"/>
      <c r="CD703" s="18"/>
      <c r="CI703" s="18"/>
      <c r="CT703" s="18"/>
      <c r="CZ703" s="34" t="s">
        <v>87</v>
      </c>
    </row>
    <row r="704" spans="1:104" x14ac:dyDescent="0.25">
      <c r="A704">
        <v>703</v>
      </c>
      <c r="D704" s="12"/>
      <c r="E704" s="14"/>
      <c r="H704" s="16"/>
      <c r="I704" s="11"/>
      <c r="J704" s="33"/>
      <c r="K704" s="33"/>
      <c r="L704" s="33"/>
      <c r="M704" s="33"/>
      <c r="N704" s="8"/>
      <c r="AG704" s="8"/>
      <c r="AI704" s="30"/>
      <c r="AL704" s="30"/>
      <c r="AM704" s="21"/>
      <c r="AN704" s="23"/>
      <c r="AX704" s="40"/>
      <c r="AZ704" s="40"/>
      <c r="BB704" s="18"/>
      <c r="BD704" s="18"/>
      <c r="BE704" s="18"/>
      <c r="BL704" s="18"/>
      <c r="BO704" s="18"/>
      <c r="BZ704" s="18"/>
      <c r="CD704" s="18"/>
      <c r="CI704" s="18"/>
      <c r="CT704" s="18"/>
      <c r="CZ704" s="34" t="s">
        <v>87</v>
      </c>
    </row>
    <row r="705" spans="1:104" x14ac:dyDescent="0.25">
      <c r="A705">
        <v>704</v>
      </c>
      <c r="D705" s="12"/>
      <c r="E705" s="14"/>
      <c r="H705" s="16"/>
      <c r="I705" s="11"/>
      <c r="J705" s="33"/>
      <c r="K705" s="33"/>
      <c r="L705" s="33"/>
      <c r="M705" s="33"/>
      <c r="N705" s="8"/>
      <c r="AG705" s="8"/>
      <c r="AI705" s="30"/>
      <c r="AL705" s="30"/>
      <c r="AM705" s="21"/>
      <c r="AN705" s="23"/>
      <c r="AX705" s="40"/>
      <c r="AZ705" s="40"/>
      <c r="BB705" s="18"/>
      <c r="BD705" s="18"/>
      <c r="BE705" s="18"/>
      <c r="BL705" s="18"/>
      <c r="BO705" s="18"/>
      <c r="BZ705" s="18"/>
      <c r="CD705" s="18"/>
      <c r="CI705" s="18"/>
      <c r="CT705" s="18"/>
      <c r="CZ705" s="34" t="s">
        <v>87</v>
      </c>
    </row>
    <row r="706" spans="1:104" x14ac:dyDescent="0.25">
      <c r="A706">
        <v>705</v>
      </c>
      <c r="D706" s="12"/>
      <c r="E706" s="14"/>
      <c r="H706" s="16"/>
      <c r="I706" s="11"/>
      <c r="J706" s="33"/>
      <c r="K706" s="33"/>
      <c r="L706" s="33"/>
      <c r="M706" s="33"/>
      <c r="N706" s="8"/>
      <c r="AG706" s="8"/>
      <c r="AI706" s="30"/>
      <c r="AL706" s="30"/>
      <c r="AM706" s="21"/>
      <c r="AN706" s="23"/>
      <c r="AX706" s="40"/>
      <c r="AZ706" s="40"/>
      <c r="BB706" s="18"/>
      <c r="BD706" s="18"/>
      <c r="BE706" s="18"/>
      <c r="BL706" s="18"/>
      <c r="BO706" s="18"/>
      <c r="BZ706" s="18"/>
      <c r="CD706" s="18"/>
      <c r="CI706" s="18"/>
      <c r="CT706" s="18"/>
      <c r="CZ706" s="34" t="s">
        <v>87</v>
      </c>
    </row>
    <row r="707" spans="1:104" x14ac:dyDescent="0.25">
      <c r="A707">
        <v>706</v>
      </c>
      <c r="D707" s="12"/>
      <c r="E707" s="14"/>
      <c r="H707" s="16"/>
      <c r="I707" s="11"/>
      <c r="J707" s="33"/>
      <c r="K707" s="33"/>
      <c r="L707" s="33"/>
      <c r="M707" s="33"/>
      <c r="N707" s="8"/>
      <c r="AG707" s="8"/>
      <c r="AI707" s="30"/>
      <c r="AL707" s="30"/>
      <c r="AM707" s="21"/>
      <c r="AN707" s="23"/>
      <c r="AX707" s="40"/>
      <c r="AZ707" s="40"/>
      <c r="BB707" s="18"/>
      <c r="BD707" s="18"/>
      <c r="BE707" s="18"/>
      <c r="BL707" s="18"/>
      <c r="BO707" s="18"/>
      <c r="BZ707" s="18"/>
      <c r="CD707" s="18"/>
      <c r="CI707" s="18"/>
      <c r="CT707" s="18"/>
      <c r="CZ707" s="34" t="s">
        <v>87</v>
      </c>
    </row>
    <row r="708" spans="1:104" x14ac:dyDescent="0.25">
      <c r="A708">
        <v>707</v>
      </c>
      <c r="D708" s="12"/>
      <c r="E708" s="14"/>
      <c r="H708" s="16"/>
      <c r="I708" s="11"/>
      <c r="J708" s="33"/>
      <c r="K708" s="33"/>
      <c r="L708" s="33"/>
      <c r="M708" s="33"/>
      <c r="N708" s="8"/>
      <c r="AG708" s="8"/>
      <c r="AI708" s="30"/>
      <c r="AL708" s="30"/>
      <c r="AM708" s="21"/>
      <c r="AN708" s="23"/>
      <c r="AX708" s="40"/>
      <c r="AZ708" s="40"/>
      <c r="BB708" s="18"/>
      <c r="BD708" s="18"/>
      <c r="BE708" s="18"/>
      <c r="BL708" s="18"/>
      <c r="BO708" s="18"/>
      <c r="BZ708" s="18"/>
      <c r="CD708" s="18"/>
      <c r="CI708" s="18"/>
      <c r="CT708" s="18"/>
      <c r="CZ708" s="34" t="s">
        <v>87</v>
      </c>
    </row>
    <row r="709" spans="1:104" x14ac:dyDescent="0.25">
      <c r="A709">
        <v>708</v>
      </c>
      <c r="D709" s="12"/>
      <c r="E709" s="14"/>
      <c r="H709" s="16"/>
      <c r="I709" s="11"/>
      <c r="J709" s="33"/>
      <c r="K709" s="33"/>
      <c r="L709" s="33"/>
      <c r="M709" s="33"/>
      <c r="N709" s="8"/>
      <c r="AG709" s="8"/>
      <c r="AI709" s="30"/>
      <c r="AL709" s="30"/>
      <c r="AM709" s="21"/>
      <c r="AN709" s="23"/>
      <c r="AX709" s="40"/>
      <c r="AZ709" s="40"/>
      <c r="BB709" s="18"/>
      <c r="BD709" s="18"/>
      <c r="BE709" s="18"/>
      <c r="BL709" s="18"/>
      <c r="BO709" s="18"/>
      <c r="BZ709" s="18"/>
      <c r="CD709" s="18"/>
      <c r="CI709" s="18"/>
      <c r="CT709" s="18"/>
      <c r="CZ709" s="34" t="s">
        <v>87</v>
      </c>
    </row>
    <row r="710" spans="1:104" x14ac:dyDescent="0.25">
      <c r="A710">
        <v>709</v>
      </c>
      <c r="D710" s="12"/>
      <c r="E710" s="14"/>
      <c r="H710" s="16"/>
      <c r="I710" s="11"/>
      <c r="J710" s="33"/>
      <c r="K710" s="33"/>
      <c r="L710" s="33"/>
      <c r="M710" s="33"/>
      <c r="N710" s="8"/>
      <c r="AG710" s="8"/>
      <c r="AI710" s="30"/>
      <c r="AL710" s="30"/>
      <c r="AM710" s="21"/>
      <c r="AN710" s="23"/>
      <c r="AX710" s="40"/>
      <c r="AZ710" s="40"/>
      <c r="BB710" s="18"/>
      <c r="BD710" s="18"/>
      <c r="BE710" s="18"/>
      <c r="BL710" s="18"/>
      <c r="BO710" s="18"/>
      <c r="BZ710" s="18"/>
      <c r="CD710" s="18"/>
      <c r="CI710" s="18"/>
      <c r="CT710" s="18"/>
      <c r="CZ710" s="34" t="s">
        <v>87</v>
      </c>
    </row>
    <row r="711" spans="1:104" x14ac:dyDescent="0.25">
      <c r="A711">
        <v>710</v>
      </c>
      <c r="D711" s="12"/>
      <c r="E711" s="14"/>
      <c r="H711" s="16"/>
      <c r="I711" s="11"/>
      <c r="J711" s="33"/>
      <c r="K711" s="33"/>
      <c r="L711" s="33"/>
      <c r="M711" s="33"/>
      <c r="N711" s="8"/>
      <c r="AG711" s="8"/>
      <c r="AI711" s="30"/>
      <c r="AL711" s="30"/>
      <c r="AM711" s="21"/>
      <c r="AN711" s="23"/>
      <c r="AX711" s="40"/>
      <c r="AZ711" s="40"/>
      <c r="BB711" s="18"/>
      <c r="BD711" s="18"/>
      <c r="BE711" s="18"/>
      <c r="BL711" s="18"/>
      <c r="BO711" s="18"/>
      <c r="BZ711" s="18"/>
      <c r="CD711" s="18"/>
      <c r="CI711" s="18"/>
      <c r="CT711" s="18"/>
      <c r="CZ711" s="34" t="s">
        <v>87</v>
      </c>
    </row>
    <row r="712" spans="1:104" x14ac:dyDescent="0.25">
      <c r="A712">
        <v>711</v>
      </c>
      <c r="D712" s="12"/>
      <c r="E712" s="14"/>
      <c r="H712" s="16"/>
      <c r="I712" s="11"/>
      <c r="J712" s="33"/>
      <c r="K712" s="33"/>
      <c r="L712" s="33"/>
      <c r="M712" s="33"/>
      <c r="N712" s="8"/>
      <c r="AG712" s="8"/>
      <c r="AI712" s="30"/>
      <c r="AL712" s="30"/>
      <c r="AM712" s="21"/>
      <c r="AN712" s="23"/>
      <c r="AX712" s="40"/>
      <c r="AZ712" s="40"/>
      <c r="BB712" s="18"/>
      <c r="BD712" s="18"/>
      <c r="BE712" s="18"/>
      <c r="BL712" s="18"/>
      <c r="BO712" s="18"/>
      <c r="BZ712" s="18"/>
      <c r="CD712" s="18"/>
      <c r="CI712" s="18"/>
      <c r="CT712" s="18"/>
      <c r="CZ712" s="34" t="s">
        <v>87</v>
      </c>
    </row>
    <row r="713" spans="1:104" x14ac:dyDescent="0.25">
      <c r="A713">
        <v>712</v>
      </c>
      <c r="D713" s="12"/>
      <c r="E713" s="14"/>
      <c r="H713" s="16"/>
      <c r="I713" s="11"/>
      <c r="J713" s="33"/>
      <c r="K713" s="33"/>
      <c r="L713" s="33"/>
      <c r="M713" s="33"/>
      <c r="N713" s="8"/>
      <c r="AG713" s="8"/>
      <c r="AI713" s="30"/>
      <c r="AL713" s="30"/>
      <c r="AM713" s="21"/>
      <c r="AN713" s="23"/>
      <c r="AX713" s="40"/>
      <c r="AZ713" s="40"/>
      <c r="BB713" s="18"/>
      <c r="BD713" s="18"/>
      <c r="BE713" s="18"/>
      <c r="BL713" s="18"/>
      <c r="BO713" s="18"/>
      <c r="BZ713" s="18"/>
      <c r="CD713" s="18"/>
      <c r="CI713" s="18"/>
      <c r="CT713" s="18"/>
      <c r="CZ713" s="34" t="s">
        <v>87</v>
      </c>
    </row>
    <row r="714" spans="1:104" x14ac:dyDescent="0.25">
      <c r="A714">
        <v>713</v>
      </c>
      <c r="D714" s="12"/>
      <c r="E714" s="14"/>
      <c r="H714" s="16"/>
      <c r="I714" s="11"/>
      <c r="J714" s="33"/>
      <c r="K714" s="33"/>
      <c r="L714" s="33"/>
      <c r="M714" s="33"/>
      <c r="N714" s="8"/>
      <c r="AG714" s="8"/>
      <c r="AI714" s="30"/>
      <c r="AL714" s="30"/>
      <c r="AM714" s="21"/>
      <c r="AN714" s="23"/>
      <c r="AX714" s="40"/>
      <c r="AZ714" s="40"/>
      <c r="BB714" s="18"/>
      <c r="BD714" s="18"/>
      <c r="BE714" s="18"/>
      <c r="BL714" s="18"/>
      <c r="BO714" s="18"/>
      <c r="BZ714" s="18"/>
      <c r="CD714" s="18"/>
      <c r="CI714" s="18"/>
      <c r="CT714" s="18"/>
      <c r="CZ714" s="34" t="s">
        <v>87</v>
      </c>
    </row>
    <row r="715" spans="1:104" x14ac:dyDescent="0.25">
      <c r="A715">
        <v>714</v>
      </c>
      <c r="D715" s="12"/>
      <c r="E715" s="14"/>
      <c r="H715" s="16"/>
      <c r="I715" s="11"/>
      <c r="J715" s="33"/>
      <c r="K715" s="33"/>
      <c r="L715" s="33"/>
      <c r="M715" s="33"/>
      <c r="N715" s="8"/>
      <c r="AG715" s="8"/>
      <c r="AI715" s="30"/>
      <c r="AL715" s="30"/>
      <c r="AM715" s="21"/>
      <c r="AN715" s="23"/>
      <c r="AX715" s="40"/>
      <c r="AZ715" s="40"/>
      <c r="BB715" s="18"/>
      <c r="BD715" s="18"/>
      <c r="BE715" s="18"/>
      <c r="BL715" s="18"/>
      <c r="BO715" s="18"/>
      <c r="BZ715" s="18"/>
      <c r="CD715" s="18"/>
      <c r="CI715" s="18"/>
      <c r="CT715" s="18"/>
      <c r="CZ715" s="34" t="s">
        <v>87</v>
      </c>
    </row>
    <row r="716" spans="1:104" x14ac:dyDescent="0.25">
      <c r="A716">
        <v>715</v>
      </c>
      <c r="D716" s="12"/>
      <c r="E716" s="14"/>
      <c r="H716" s="16"/>
      <c r="I716" s="11"/>
      <c r="J716" s="33"/>
      <c r="K716" s="33"/>
      <c r="L716" s="33"/>
      <c r="M716" s="33"/>
      <c r="N716" s="8"/>
      <c r="AG716" s="8"/>
      <c r="AI716" s="30"/>
      <c r="AL716" s="30"/>
      <c r="AM716" s="21"/>
      <c r="AN716" s="23"/>
      <c r="AX716" s="40"/>
      <c r="AZ716" s="40"/>
      <c r="BB716" s="18"/>
      <c r="BD716" s="18"/>
      <c r="BE716" s="18"/>
      <c r="BL716" s="18"/>
      <c r="BO716" s="18"/>
      <c r="BZ716" s="18"/>
      <c r="CD716" s="18"/>
      <c r="CI716" s="18"/>
      <c r="CT716" s="18"/>
      <c r="CZ716" s="34" t="s">
        <v>87</v>
      </c>
    </row>
    <row r="717" spans="1:104" x14ac:dyDescent="0.25">
      <c r="A717">
        <v>716</v>
      </c>
      <c r="D717" s="12"/>
      <c r="E717" s="14"/>
      <c r="H717" s="16"/>
      <c r="I717" s="11"/>
      <c r="J717" s="33"/>
      <c r="K717" s="33"/>
      <c r="L717" s="33"/>
      <c r="M717" s="33"/>
      <c r="N717" s="8"/>
      <c r="AG717" s="8"/>
      <c r="AI717" s="30"/>
      <c r="AL717" s="30"/>
      <c r="AM717" s="21"/>
      <c r="AN717" s="23"/>
      <c r="AX717" s="40"/>
      <c r="AZ717" s="40"/>
      <c r="BB717" s="18"/>
      <c r="BD717" s="18"/>
      <c r="BE717" s="18"/>
      <c r="BL717" s="18"/>
      <c r="BO717" s="18"/>
      <c r="BZ717" s="18"/>
      <c r="CD717" s="18"/>
      <c r="CI717" s="18"/>
      <c r="CT717" s="18"/>
      <c r="CZ717" s="34" t="s">
        <v>87</v>
      </c>
    </row>
    <row r="718" spans="1:104" x14ac:dyDescent="0.25">
      <c r="A718">
        <v>717</v>
      </c>
      <c r="D718" s="12"/>
      <c r="E718" s="14"/>
      <c r="H718" s="16"/>
      <c r="I718" s="11"/>
      <c r="J718" s="33"/>
      <c r="K718" s="33"/>
      <c r="L718" s="33"/>
      <c r="M718" s="33"/>
      <c r="N718" s="8"/>
      <c r="AG718" s="8"/>
      <c r="AI718" s="30"/>
      <c r="AL718" s="30"/>
      <c r="AM718" s="21"/>
      <c r="AN718" s="23"/>
      <c r="AX718" s="40"/>
      <c r="AZ718" s="40"/>
      <c r="BB718" s="18"/>
      <c r="BD718" s="18"/>
      <c r="BE718" s="18"/>
      <c r="BL718" s="18"/>
      <c r="BO718" s="18"/>
      <c r="BZ718" s="18"/>
      <c r="CD718" s="18"/>
      <c r="CI718" s="18"/>
      <c r="CT718" s="18"/>
      <c r="CZ718" s="34" t="s">
        <v>87</v>
      </c>
    </row>
    <row r="719" spans="1:104" x14ac:dyDescent="0.25">
      <c r="A719">
        <v>718</v>
      </c>
      <c r="D719" s="12"/>
      <c r="E719" s="14"/>
      <c r="H719" s="16"/>
      <c r="I719" s="11"/>
      <c r="J719" s="33"/>
      <c r="K719" s="33"/>
      <c r="L719" s="33"/>
      <c r="M719" s="33"/>
      <c r="N719" s="8"/>
      <c r="AG719" s="8"/>
      <c r="AI719" s="30"/>
      <c r="AL719" s="30"/>
      <c r="AM719" s="21"/>
      <c r="AN719" s="23"/>
      <c r="AX719" s="40"/>
      <c r="AZ719" s="40"/>
      <c r="BB719" s="18"/>
      <c r="BD719" s="18"/>
      <c r="BE719" s="18"/>
      <c r="BL719" s="18"/>
      <c r="BO719" s="18"/>
      <c r="BZ719" s="18"/>
      <c r="CD719" s="18"/>
      <c r="CI719" s="18"/>
      <c r="CT719" s="18"/>
      <c r="CZ719" s="34" t="s">
        <v>87</v>
      </c>
    </row>
    <row r="720" spans="1:104" x14ac:dyDescent="0.25">
      <c r="A720">
        <v>719</v>
      </c>
      <c r="D720" s="12"/>
      <c r="E720" s="14"/>
      <c r="H720" s="16"/>
      <c r="I720" s="11"/>
      <c r="J720" s="33"/>
      <c r="K720" s="33"/>
      <c r="L720" s="33"/>
      <c r="M720" s="33"/>
      <c r="N720" s="8"/>
      <c r="AG720" s="8"/>
      <c r="AI720" s="30"/>
      <c r="AL720" s="30"/>
      <c r="AM720" s="21"/>
      <c r="AN720" s="23"/>
      <c r="AX720" s="40"/>
      <c r="AZ720" s="40"/>
      <c r="BB720" s="18"/>
      <c r="BD720" s="18"/>
      <c r="BE720" s="18"/>
      <c r="BL720" s="18"/>
      <c r="BO720" s="18"/>
      <c r="BZ720" s="18"/>
      <c r="CD720" s="18"/>
      <c r="CI720" s="18"/>
      <c r="CT720" s="18"/>
      <c r="CZ720" s="34" t="s">
        <v>87</v>
      </c>
    </row>
    <row r="721" spans="1:104" x14ac:dyDescent="0.25">
      <c r="A721">
        <v>720</v>
      </c>
      <c r="D721" s="12"/>
      <c r="E721" s="14"/>
      <c r="H721" s="16"/>
      <c r="I721" s="11"/>
      <c r="J721" s="33"/>
      <c r="K721" s="33"/>
      <c r="L721" s="33"/>
      <c r="M721" s="33"/>
      <c r="N721" s="8"/>
      <c r="AG721" s="8"/>
      <c r="AI721" s="30"/>
      <c r="AL721" s="30"/>
      <c r="AM721" s="21"/>
      <c r="AN721" s="23"/>
      <c r="AX721" s="40"/>
      <c r="AZ721" s="40"/>
      <c r="BB721" s="18"/>
      <c r="BD721" s="18"/>
      <c r="BE721" s="18"/>
      <c r="BL721" s="18"/>
      <c r="BO721" s="18"/>
      <c r="BZ721" s="18"/>
      <c r="CD721" s="18"/>
      <c r="CI721" s="18"/>
      <c r="CT721" s="18"/>
      <c r="CZ721" s="34" t="s">
        <v>87</v>
      </c>
    </row>
    <row r="722" spans="1:104" x14ac:dyDescent="0.25">
      <c r="A722">
        <v>721</v>
      </c>
      <c r="D722" s="12"/>
      <c r="E722" s="14"/>
      <c r="H722" s="16"/>
      <c r="I722" s="11"/>
      <c r="J722" s="33"/>
      <c r="K722" s="33"/>
      <c r="L722" s="33"/>
      <c r="M722" s="33"/>
      <c r="N722" s="8"/>
      <c r="AG722" s="8"/>
      <c r="AI722" s="30"/>
      <c r="AL722" s="30"/>
      <c r="AM722" s="21"/>
      <c r="AN722" s="23"/>
      <c r="AX722" s="40"/>
      <c r="AZ722" s="40"/>
      <c r="BB722" s="18"/>
      <c r="BD722" s="18"/>
      <c r="BE722" s="18"/>
      <c r="BL722" s="18"/>
      <c r="BO722" s="18"/>
      <c r="BZ722" s="18"/>
      <c r="CD722" s="18"/>
      <c r="CI722" s="18"/>
      <c r="CT722" s="18"/>
      <c r="CZ722" s="34" t="s">
        <v>87</v>
      </c>
    </row>
    <row r="723" spans="1:104" x14ac:dyDescent="0.25">
      <c r="A723">
        <v>722</v>
      </c>
      <c r="D723" s="12"/>
      <c r="E723" s="14"/>
      <c r="H723" s="16"/>
      <c r="I723" s="11"/>
      <c r="J723" s="33"/>
      <c r="K723" s="33"/>
      <c r="L723" s="33"/>
      <c r="M723" s="33"/>
      <c r="N723" s="8"/>
      <c r="AG723" s="8"/>
      <c r="AI723" s="30"/>
      <c r="AL723" s="30"/>
      <c r="AM723" s="21"/>
      <c r="AN723" s="23"/>
      <c r="AX723" s="40"/>
      <c r="AZ723" s="40"/>
      <c r="BB723" s="18"/>
      <c r="BD723" s="18"/>
      <c r="BE723" s="18"/>
      <c r="BL723" s="18"/>
      <c r="BO723" s="18"/>
      <c r="BZ723" s="18"/>
      <c r="CD723" s="18"/>
      <c r="CI723" s="18"/>
      <c r="CT723" s="18"/>
      <c r="CZ723" s="34" t="s">
        <v>87</v>
      </c>
    </row>
    <row r="724" spans="1:104" x14ac:dyDescent="0.25">
      <c r="A724">
        <v>723</v>
      </c>
      <c r="D724" s="12"/>
      <c r="E724" s="14"/>
      <c r="H724" s="16"/>
      <c r="I724" s="11"/>
      <c r="J724" s="33"/>
      <c r="K724" s="33"/>
      <c r="L724" s="33"/>
      <c r="M724" s="33"/>
      <c r="N724" s="8"/>
      <c r="AG724" s="8"/>
      <c r="AI724" s="30"/>
      <c r="AL724" s="30"/>
      <c r="AM724" s="21"/>
      <c r="AN724" s="23"/>
      <c r="AX724" s="40"/>
      <c r="AZ724" s="40"/>
      <c r="BB724" s="18"/>
      <c r="BD724" s="18"/>
      <c r="BE724" s="18"/>
      <c r="BL724" s="18"/>
      <c r="BO724" s="18"/>
      <c r="BZ724" s="18"/>
      <c r="CD724" s="18"/>
      <c r="CI724" s="18"/>
      <c r="CT724" s="18"/>
      <c r="CZ724" s="34" t="s">
        <v>87</v>
      </c>
    </row>
    <row r="725" spans="1:104" x14ac:dyDescent="0.25">
      <c r="A725">
        <v>724</v>
      </c>
      <c r="D725" s="12"/>
      <c r="E725" s="14"/>
      <c r="H725" s="16"/>
      <c r="I725" s="11"/>
      <c r="J725" s="33"/>
      <c r="K725" s="33"/>
      <c r="L725" s="33"/>
      <c r="M725" s="33"/>
      <c r="N725" s="8"/>
      <c r="AG725" s="8"/>
      <c r="AI725" s="30"/>
      <c r="AL725" s="30"/>
      <c r="AM725" s="21"/>
      <c r="AN725" s="23"/>
      <c r="AX725" s="40"/>
      <c r="AZ725" s="40"/>
      <c r="BB725" s="18"/>
      <c r="BD725" s="18"/>
      <c r="BE725" s="18"/>
      <c r="BL725" s="18"/>
      <c r="BO725" s="18"/>
      <c r="BZ725" s="18"/>
      <c r="CD725" s="18"/>
      <c r="CI725" s="18"/>
      <c r="CT725" s="18"/>
      <c r="CZ725" s="34" t="s">
        <v>87</v>
      </c>
    </row>
    <row r="726" spans="1:104" x14ac:dyDescent="0.25">
      <c r="A726">
        <v>725</v>
      </c>
      <c r="D726" s="12"/>
      <c r="E726" s="14"/>
      <c r="H726" s="16"/>
      <c r="I726" s="11"/>
      <c r="J726" s="33"/>
      <c r="K726" s="33"/>
      <c r="L726" s="33"/>
      <c r="M726" s="33"/>
      <c r="N726" s="8"/>
      <c r="AG726" s="8"/>
      <c r="AI726" s="30"/>
      <c r="AL726" s="30"/>
      <c r="AM726" s="21"/>
      <c r="AN726" s="23"/>
      <c r="AX726" s="40"/>
      <c r="AZ726" s="40"/>
      <c r="BB726" s="18"/>
      <c r="BD726" s="18"/>
      <c r="BE726" s="18"/>
      <c r="BL726" s="18"/>
      <c r="BO726" s="18"/>
      <c r="BZ726" s="18"/>
      <c r="CD726" s="18"/>
      <c r="CI726" s="18"/>
      <c r="CT726" s="18"/>
      <c r="CZ726" s="34" t="s">
        <v>87</v>
      </c>
    </row>
    <row r="727" spans="1:104" x14ac:dyDescent="0.25">
      <c r="A727">
        <v>726</v>
      </c>
      <c r="D727" s="12"/>
      <c r="E727" s="14"/>
      <c r="H727" s="16"/>
      <c r="I727" s="11"/>
      <c r="J727" s="33"/>
      <c r="K727" s="33"/>
      <c r="L727" s="33"/>
      <c r="M727" s="33"/>
      <c r="N727" s="8"/>
      <c r="AG727" s="8"/>
      <c r="AI727" s="30"/>
      <c r="AL727" s="30"/>
      <c r="AM727" s="21"/>
      <c r="AN727" s="23"/>
      <c r="AX727" s="40"/>
      <c r="AZ727" s="40"/>
      <c r="BB727" s="18"/>
      <c r="BD727" s="18"/>
      <c r="BE727" s="18"/>
      <c r="BL727" s="18"/>
      <c r="BO727" s="18"/>
      <c r="BZ727" s="18"/>
      <c r="CD727" s="18"/>
      <c r="CI727" s="18"/>
      <c r="CT727" s="18"/>
      <c r="CZ727" s="34" t="s">
        <v>87</v>
      </c>
    </row>
    <row r="728" spans="1:104" x14ac:dyDescent="0.25">
      <c r="A728">
        <v>727</v>
      </c>
      <c r="D728" s="12"/>
      <c r="E728" s="14"/>
      <c r="H728" s="16"/>
      <c r="I728" s="11"/>
      <c r="J728" s="33"/>
      <c r="K728" s="33"/>
      <c r="L728" s="33"/>
      <c r="M728" s="33"/>
      <c r="N728" s="8"/>
      <c r="AG728" s="8"/>
      <c r="AI728" s="30"/>
      <c r="AL728" s="30"/>
      <c r="AM728" s="21"/>
      <c r="AN728" s="23"/>
      <c r="AX728" s="40"/>
      <c r="AZ728" s="40"/>
      <c r="BB728" s="18"/>
      <c r="BD728" s="18"/>
      <c r="BE728" s="18"/>
      <c r="BL728" s="18"/>
      <c r="BO728" s="18"/>
      <c r="BZ728" s="18"/>
      <c r="CD728" s="18"/>
      <c r="CI728" s="18"/>
      <c r="CT728" s="18"/>
      <c r="CZ728" s="34" t="s">
        <v>87</v>
      </c>
    </row>
    <row r="729" spans="1:104" x14ac:dyDescent="0.25">
      <c r="A729">
        <v>728</v>
      </c>
      <c r="D729" s="12"/>
      <c r="E729" s="14"/>
      <c r="H729" s="16"/>
      <c r="I729" s="11"/>
      <c r="J729" s="33"/>
      <c r="K729" s="33"/>
      <c r="L729" s="33"/>
      <c r="M729" s="33"/>
      <c r="N729" s="8"/>
      <c r="AG729" s="8"/>
      <c r="AI729" s="30"/>
      <c r="AL729" s="30"/>
      <c r="AM729" s="21"/>
      <c r="AN729" s="23"/>
      <c r="AX729" s="40"/>
      <c r="AZ729" s="40"/>
      <c r="BB729" s="18"/>
      <c r="BD729" s="18"/>
      <c r="BE729" s="18"/>
      <c r="BL729" s="18"/>
      <c r="BO729" s="18"/>
      <c r="BZ729" s="18"/>
      <c r="CD729" s="18"/>
      <c r="CI729" s="18"/>
      <c r="CT729" s="18"/>
      <c r="CZ729" s="34" t="s">
        <v>87</v>
      </c>
    </row>
    <row r="730" spans="1:104" x14ac:dyDescent="0.25">
      <c r="A730">
        <v>729</v>
      </c>
      <c r="D730" s="12"/>
      <c r="E730" s="14"/>
      <c r="H730" s="16"/>
      <c r="I730" s="11"/>
      <c r="J730" s="33"/>
      <c r="K730" s="33"/>
      <c r="L730" s="33"/>
      <c r="M730" s="33"/>
      <c r="N730" s="8"/>
      <c r="AG730" s="8"/>
      <c r="AI730" s="30"/>
      <c r="AL730" s="30"/>
      <c r="AM730" s="21"/>
      <c r="AN730" s="23"/>
      <c r="AX730" s="40"/>
      <c r="AZ730" s="40"/>
      <c r="BB730" s="18"/>
      <c r="BD730" s="18"/>
      <c r="BE730" s="18"/>
      <c r="BL730" s="18"/>
      <c r="BO730" s="18"/>
      <c r="BZ730" s="18"/>
      <c r="CD730" s="18"/>
      <c r="CI730" s="18"/>
      <c r="CT730" s="18"/>
      <c r="CZ730" s="34" t="s">
        <v>87</v>
      </c>
    </row>
    <row r="731" spans="1:104" x14ac:dyDescent="0.25">
      <c r="A731">
        <v>730</v>
      </c>
      <c r="D731" s="12"/>
      <c r="E731" s="14"/>
      <c r="H731" s="16"/>
      <c r="I731" s="11"/>
      <c r="J731" s="33"/>
      <c r="K731" s="33"/>
      <c r="L731" s="33"/>
      <c r="M731" s="33"/>
      <c r="N731" s="8"/>
      <c r="AG731" s="8"/>
      <c r="AI731" s="30"/>
      <c r="AL731" s="30"/>
      <c r="AM731" s="21"/>
      <c r="AN731" s="23"/>
      <c r="AX731" s="40"/>
      <c r="AZ731" s="40"/>
      <c r="BB731" s="18"/>
      <c r="BD731" s="18"/>
      <c r="BE731" s="18"/>
      <c r="BL731" s="18"/>
      <c r="BO731" s="18"/>
      <c r="BZ731" s="18"/>
      <c r="CD731" s="18"/>
      <c r="CI731" s="18"/>
      <c r="CT731" s="18"/>
      <c r="CZ731" s="34" t="s">
        <v>87</v>
      </c>
    </row>
    <row r="732" spans="1:104" x14ac:dyDescent="0.25">
      <c r="A732">
        <v>731</v>
      </c>
      <c r="D732" s="12"/>
      <c r="E732" s="14"/>
      <c r="H732" s="16"/>
      <c r="I732" s="11"/>
      <c r="J732" s="33"/>
      <c r="K732" s="33"/>
      <c r="L732" s="33"/>
      <c r="M732" s="33"/>
      <c r="N732" s="8"/>
      <c r="AG732" s="8"/>
      <c r="AI732" s="30"/>
      <c r="AL732" s="30"/>
      <c r="AM732" s="21"/>
      <c r="AN732" s="23"/>
      <c r="AX732" s="40"/>
      <c r="AZ732" s="40"/>
      <c r="BB732" s="18"/>
      <c r="BD732" s="18"/>
      <c r="BE732" s="18"/>
      <c r="BL732" s="18"/>
      <c r="BO732" s="18"/>
      <c r="BZ732" s="18"/>
      <c r="CD732" s="18"/>
      <c r="CI732" s="18"/>
      <c r="CT732" s="18"/>
      <c r="CZ732" s="34" t="s">
        <v>87</v>
      </c>
    </row>
    <row r="733" spans="1:104" x14ac:dyDescent="0.25">
      <c r="A733">
        <v>732</v>
      </c>
      <c r="D733" s="12"/>
      <c r="E733" s="14"/>
      <c r="H733" s="16"/>
      <c r="I733" s="11"/>
      <c r="J733" s="33"/>
      <c r="K733" s="33"/>
      <c r="L733" s="33"/>
      <c r="M733" s="33"/>
      <c r="N733" s="8"/>
      <c r="AG733" s="8"/>
      <c r="AI733" s="30"/>
      <c r="AL733" s="30"/>
      <c r="AM733" s="21"/>
      <c r="AN733" s="23"/>
      <c r="AX733" s="40"/>
      <c r="AZ733" s="40"/>
      <c r="BB733" s="18"/>
      <c r="BD733" s="18"/>
      <c r="BE733" s="18"/>
      <c r="BL733" s="18"/>
      <c r="BO733" s="18"/>
      <c r="BZ733" s="18"/>
      <c r="CD733" s="18"/>
      <c r="CI733" s="18"/>
      <c r="CT733" s="18"/>
      <c r="CZ733" s="34" t="s">
        <v>87</v>
      </c>
    </row>
    <row r="734" spans="1:104" x14ac:dyDescent="0.25">
      <c r="A734">
        <v>733</v>
      </c>
      <c r="D734" s="12"/>
      <c r="E734" s="14"/>
      <c r="H734" s="16"/>
      <c r="I734" s="11"/>
      <c r="J734" s="33"/>
      <c r="K734" s="33"/>
      <c r="L734" s="33"/>
      <c r="M734" s="33"/>
      <c r="N734" s="8"/>
      <c r="AG734" s="8"/>
      <c r="AI734" s="30"/>
      <c r="AL734" s="30"/>
      <c r="AM734" s="21"/>
      <c r="AN734" s="23"/>
      <c r="AX734" s="40"/>
      <c r="AZ734" s="40"/>
      <c r="BB734" s="18"/>
      <c r="BD734" s="18"/>
      <c r="BE734" s="18"/>
      <c r="BL734" s="18"/>
      <c r="BO734" s="18"/>
      <c r="BZ734" s="18"/>
      <c r="CD734" s="18"/>
      <c r="CI734" s="18"/>
      <c r="CT734" s="18"/>
      <c r="CZ734" s="34" t="s">
        <v>87</v>
      </c>
    </row>
    <row r="735" spans="1:104" x14ac:dyDescent="0.25">
      <c r="A735">
        <v>734</v>
      </c>
      <c r="D735" s="12"/>
      <c r="E735" s="14"/>
      <c r="H735" s="16"/>
      <c r="I735" s="11"/>
      <c r="J735" s="33"/>
      <c r="K735" s="33"/>
      <c r="L735" s="33"/>
      <c r="M735" s="33"/>
      <c r="N735" s="8"/>
      <c r="AG735" s="8"/>
      <c r="AI735" s="30"/>
      <c r="AL735" s="30"/>
      <c r="AM735" s="21"/>
      <c r="AN735" s="23"/>
      <c r="AX735" s="40"/>
      <c r="AZ735" s="40"/>
      <c r="BB735" s="18"/>
      <c r="BD735" s="18"/>
      <c r="BE735" s="18"/>
      <c r="BL735" s="18"/>
      <c r="BO735" s="18"/>
      <c r="BZ735" s="18"/>
      <c r="CD735" s="18"/>
      <c r="CI735" s="18"/>
      <c r="CT735" s="18"/>
      <c r="CZ735" s="34" t="s">
        <v>87</v>
      </c>
    </row>
    <row r="736" spans="1:104" x14ac:dyDescent="0.25">
      <c r="A736">
        <v>735</v>
      </c>
      <c r="D736" s="12"/>
      <c r="E736" s="14"/>
      <c r="H736" s="16"/>
      <c r="I736" s="11"/>
      <c r="J736" s="33"/>
      <c r="K736" s="33"/>
      <c r="L736" s="33"/>
      <c r="M736" s="33"/>
      <c r="N736" s="8"/>
      <c r="AG736" s="8"/>
      <c r="AI736" s="30"/>
      <c r="AL736" s="30"/>
      <c r="AM736" s="21"/>
      <c r="AN736" s="23"/>
      <c r="AX736" s="40"/>
      <c r="AZ736" s="40"/>
      <c r="BB736" s="18"/>
      <c r="BD736" s="18"/>
      <c r="BE736" s="18"/>
      <c r="BL736" s="18"/>
      <c r="BO736" s="18"/>
      <c r="BZ736" s="18"/>
      <c r="CD736" s="18"/>
      <c r="CI736" s="18"/>
      <c r="CT736" s="18"/>
      <c r="CZ736" s="34" t="s">
        <v>87</v>
      </c>
    </row>
    <row r="737" spans="1:104" x14ac:dyDescent="0.25">
      <c r="A737">
        <v>736</v>
      </c>
      <c r="D737" s="12"/>
      <c r="E737" s="14"/>
      <c r="H737" s="16"/>
      <c r="I737" s="11"/>
      <c r="J737" s="33"/>
      <c r="K737" s="33"/>
      <c r="L737" s="33"/>
      <c r="M737" s="33"/>
      <c r="N737" s="8"/>
      <c r="AG737" s="8"/>
      <c r="AI737" s="30"/>
      <c r="AL737" s="30"/>
      <c r="AM737" s="21"/>
      <c r="AN737" s="23"/>
      <c r="AX737" s="40"/>
      <c r="AZ737" s="40"/>
      <c r="BB737" s="18"/>
      <c r="BD737" s="18"/>
      <c r="BE737" s="18"/>
      <c r="BL737" s="18"/>
      <c r="BO737" s="18"/>
      <c r="BZ737" s="18"/>
      <c r="CD737" s="18"/>
      <c r="CI737" s="18"/>
      <c r="CT737" s="18"/>
      <c r="CZ737" s="34" t="s">
        <v>87</v>
      </c>
    </row>
    <row r="738" spans="1:104" x14ac:dyDescent="0.25">
      <c r="A738">
        <v>737</v>
      </c>
      <c r="D738" s="12"/>
      <c r="E738" s="14"/>
      <c r="H738" s="16"/>
      <c r="I738" s="11"/>
      <c r="J738" s="33"/>
      <c r="K738" s="33"/>
      <c r="L738" s="33"/>
      <c r="M738" s="33"/>
      <c r="N738" s="8"/>
      <c r="AG738" s="8"/>
      <c r="AI738" s="30"/>
      <c r="AL738" s="30"/>
      <c r="AM738" s="21"/>
      <c r="AN738" s="23"/>
      <c r="AX738" s="40"/>
      <c r="AZ738" s="40"/>
      <c r="BB738" s="18"/>
      <c r="BD738" s="18"/>
      <c r="BE738" s="18"/>
      <c r="BL738" s="18"/>
      <c r="BO738" s="18"/>
      <c r="BZ738" s="18"/>
      <c r="CD738" s="18"/>
      <c r="CI738" s="18"/>
      <c r="CT738" s="18"/>
      <c r="CZ738" s="34" t="s">
        <v>87</v>
      </c>
    </row>
    <row r="739" spans="1:104" x14ac:dyDescent="0.25">
      <c r="A739">
        <v>738</v>
      </c>
      <c r="D739" s="12"/>
      <c r="E739" s="14"/>
      <c r="H739" s="16"/>
      <c r="I739" s="11"/>
      <c r="J739" s="33"/>
      <c r="K739" s="33"/>
      <c r="L739" s="33"/>
      <c r="M739" s="33"/>
      <c r="N739" s="8"/>
      <c r="AG739" s="8"/>
      <c r="AI739" s="30"/>
      <c r="AL739" s="30"/>
      <c r="AM739" s="21"/>
      <c r="AN739" s="23"/>
      <c r="AX739" s="40"/>
      <c r="AZ739" s="40"/>
      <c r="BB739" s="18"/>
      <c r="BD739" s="18"/>
      <c r="BE739" s="18"/>
      <c r="BL739" s="18"/>
      <c r="BO739" s="18"/>
      <c r="BZ739" s="18"/>
      <c r="CD739" s="18"/>
      <c r="CI739" s="18"/>
      <c r="CT739" s="18"/>
      <c r="CZ739" s="34" t="s">
        <v>87</v>
      </c>
    </row>
    <row r="740" spans="1:104" x14ac:dyDescent="0.25">
      <c r="A740">
        <v>739</v>
      </c>
      <c r="D740" s="12"/>
      <c r="E740" s="14"/>
      <c r="H740" s="16"/>
      <c r="I740" s="11"/>
      <c r="J740" s="33"/>
      <c r="K740" s="33"/>
      <c r="L740" s="33"/>
      <c r="M740" s="33"/>
      <c r="N740" s="8"/>
      <c r="AG740" s="8"/>
      <c r="AI740" s="30"/>
      <c r="AL740" s="30"/>
      <c r="AM740" s="21"/>
      <c r="AN740" s="23"/>
      <c r="AX740" s="40"/>
      <c r="AZ740" s="40"/>
      <c r="BB740" s="18"/>
      <c r="BD740" s="18"/>
      <c r="BE740" s="18"/>
      <c r="BL740" s="18"/>
      <c r="BO740" s="18"/>
      <c r="BZ740" s="18"/>
      <c r="CD740" s="18"/>
      <c r="CI740" s="18"/>
      <c r="CT740" s="18"/>
      <c r="CZ740" s="34" t="s">
        <v>87</v>
      </c>
    </row>
    <row r="741" spans="1:104" x14ac:dyDescent="0.25">
      <c r="A741">
        <v>740</v>
      </c>
      <c r="D741" s="12"/>
      <c r="E741" s="14"/>
      <c r="H741" s="16"/>
      <c r="I741" s="11"/>
      <c r="J741" s="33"/>
      <c r="K741" s="33"/>
      <c r="L741" s="33"/>
      <c r="M741" s="33"/>
      <c r="N741" s="8"/>
      <c r="AG741" s="8"/>
      <c r="AI741" s="30"/>
      <c r="AL741" s="30"/>
      <c r="AM741" s="21"/>
      <c r="AN741" s="23"/>
      <c r="AX741" s="40"/>
      <c r="AZ741" s="40"/>
      <c r="BB741" s="18"/>
      <c r="BD741" s="18"/>
      <c r="BE741" s="18"/>
      <c r="BL741" s="18"/>
      <c r="BO741" s="18"/>
      <c r="BZ741" s="18"/>
      <c r="CD741" s="18"/>
      <c r="CI741" s="18"/>
      <c r="CT741" s="18"/>
      <c r="CZ741" s="34" t="s">
        <v>87</v>
      </c>
    </row>
    <row r="742" spans="1:104" x14ac:dyDescent="0.25">
      <c r="A742">
        <v>741</v>
      </c>
      <c r="D742" s="12"/>
      <c r="E742" s="14"/>
      <c r="H742" s="16"/>
      <c r="I742" s="11"/>
      <c r="J742" s="33"/>
      <c r="K742" s="33"/>
      <c r="L742" s="33"/>
      <c r="M742" s="33"/>
      <c r="N742" s="8"/>
      <c r="AG742" s="8"/>
      <c r="AI742" s="30"/>
      <c r="AL742" s="30"/>
      <c r="AM742" s="21"/>
      <c r="AN742" s="23"/>
      <c r="AX742" s="40"/>
      <c r="AZ742" s="40"/>
      <c r="BB742" s="18"/>
      <c r="BD742" s="18"/>
      <c r="BE742" s="18"/>
      <c r="BL742" s="18"/>
      <c r="BO742" s="18"/>
      <c r="BZ742" s="18"/>
      <c r="CD742" s="18"/>
      <c r="CI742" s="18"/>
      <c r="CT742" s="18"/>
      <c r="CZ742" s="34" t="s">
        <v>87</v>
      </c>
    </row>
    <row r="743" spans="1:104" x14ac:dyDescent="0.25">
      <c r="A743">
        <v>742</v>
      </c>
      <c r="D743" s="12"/>
      <c r="E743" s="14"/>
      <c r="H743" s="16"/>
      <c r="I743" s="11"/>
      <c r="J743" s="33"/>
      <c r="K743" s="33"/>
      <c r="L743" s="33"/>
      <c r="M743" s="33"/>
      <c r="N743" s="8"/>
      <c r="AG743" s="8"/>
      <c r="AI743" s="30"/>
      <c r="AL743" s="30"/>
      <c r="AM743" s="21"/>
      <c r="AN743" s="23"/>
      <c r="AX743" s="40"/>
      <c r="AZ743" s="40"/>
      <c r="BB743" s="18"/>
      <c r="BD743" s="18"/>
      <c r="BE743" s="18"/>
      <c r="BL743" s="18"/>
      <c r="BO743" s="18"/>
      <c r="BZ743" s="18"/>
      <c r="CD743" s="18"/>
      <c r="CI743" s="18"/>
      <c r="CT743" s="18"/>
      <c r="CZ743" s="34" t="s">
        <v>87</v>
      </c>
    </row>
    <row r="744" spans="1:104" x14ac:dyDescent="0.25">
      <c r="A744">
        <v>743</v>
      </c>
      <c r="D744" s="12"/>
      <c r="E744" s="14"/>
      <c r="H744" s="16"/>
      <c r="I744" s="11"/>
      <c r="J744" s="33"/>
      <c r="K744" s="33"/>
      <c r="L744" s="33"/>
      <c r="M744" s="33"/>
      <c r="N744" s="8"/>
      <c r="AG744" s="8"/>
      <c r="AI744" s="30"/>
      <c r="AL744" s="30"/>
      <c r="AM744" s="21"/>
      <c r="AN744" s="23"/>
      <c r="AX744" s="40"/>
      <c r="AZ744" s="40"/>
      <c r="BB744" s="18"/>
      <c r="BD744" s="18"/>
      <c r="BE744" s="18"/>
      <c r="BL744" s="18"/>
      <c r="BO744" s="18"/>
      <c r="BZ744" s="18"/>
      <c r="CD744" s="18"/>
      <c r="CI744" s="18"/>
      <c r="CT744" s="18"/>
      <c r="CZ744" s="34" t="s">
        <v>87</v>
      </c>
    </row>
    <row r="745" spans="1:104" x14ac:dyDescent="0.25">
      <c r="A745">
        <v>744</v>
      </c>
      <c r="D745" s="12"/>
      <c r="E745" s="14"/>
      <c r="H745" s="16"/>
      <c r="I745" s="11"/>
      <c r="J745" s="33"/>
      <c r="K745" s="33"/>
      <c r="L745" s="33"/>
      <c r="M745" s="33"/>
      <c r="N745" s="8"/>
      <c r="AG745" s="8"/>
      <c r="AI745" s="30"/>
      <c r="AL745" s="30"/>
      <c r="AM745" s="21"/>
      <c r="AN745" s="23"/>
      <c r="AX745" s="40"/>
      <c r="AZ745" s="40"/>
      <c r="BB745" s="18"/>
      <c r="BD745" s="18"/>
      <c r="BE745" s="18"/>
      <c r="BL745" s="18"/>
      <c r="BO745" s="18"/>
      <c r="BZ745" s="18"/>
      <c r="CD745" s="18"/>
      <c r="CI745" s="18"/>
      <c r="CT745" s="18"/>
      <c r="CZ745" s="34" t="s">
        <v>87</v>
      </c>
    </row>
    <row r="746" spans="1:104" x14ac:dyDescent="0.25">
      <c r="A746">
        <v>745</v>
      </c>
      <c r="D746" s="12"/>
      <c r="E746" s="14"/>
      <c r="H746" s="16"/>
      <c r="I746" s="11"/>
      <c r="J746" s="33"/>
      <c r="K746" s="33"/>
      <c r="L746" s="33"/>
      <c r="M746" s="33"/>
      <c r="N746" s="8"/>
      <c r="AG746" s="8"/>
      <c r="AI746" s="30"/>
      <c r="AL746" s="30"/>
      <c r="AM746" s="21"/>
      <c r="AN746" s="23"/>
      <c r="AX746" s="40"/>
      <c r="AZ746" s="40"/>
      <c r="BB746" s="18"/>
      <c r="BD746" s="18"/>
      <c r="BE746" s="18"/>
      <c r="BL746" s="18"/>
      <c r="BO746" s="18"/>
      <c r="BZ746" s="18"/>
      <c r="CD746" s="18"/>
      <c r="CI746" s="18"/>
      <c r="CT746" s="18"/>
      <c r="CZ746" s="34" t="s">
        <v>87</v>
      </c>
    </row>
    <row r="747" spans="1:104" x14ac:dyDescent="0.25">
      <c r="A747">
        <v>746</v>
      </c>
      <c r="D747" s="12"/>
      <c r="E747" s="14"/>
      <c r="H747" s="16"/>
      <c r="I747" s="11"/>
      <c r="J747" s="33"/>
      <c r="K747" s="33"/>
      <c r="L747" s="33"/>
      <c r="M747" s="33"/>
      <c r="N747" s="8"/>
      <c r="AG747" s="8"/>
      <c r="AI747" s="30"/>
      <c r="AL747" s="30"/>
      <c r="AM747" s="21"/>
      <c r="AN747" s="23"/>
      <c r="AX747" s="40"/>
      <c r="AZ747" s="40"/>
      <c r="BB747" s="18"/>
      <c r="BD747" s="18"/>
      <c r="BE747" s="18"/>
      <c r="BL747" s="18"/>
      <c r="BO747" s="18"/>
      <c r="BZ747" s="18"/>
      <c r="CD747" s="18"/>
      <c r="CI747" s="18"/>
      <c r="CT747" s="18"/>
      <c r="CZ747" s="34" t="s">
        <v>87</v>
      </c>
    </row>
    <row r="748" spans="1:104" x14ac:dyDescent="0.25">
      <c r="A748">
        <v>747</v>
      </c>
      <c r="D748" s="12"/>
      <c r="E748" s="14"/>
      <c r="H748" s="16"/>
      <c r="I748" s="11"/>
      <c r="J748" s="33"/>
      <c r="K748" s="33"/>
      <c r="L748" s="33"/>
      <c r="M748" s="33"/>
      <c r="N748" s="8"/>
      <c r="AG748" s="8"/>
      <c r="AI748" s="30"/>
      <c r="AL748" s="30"/>
      <c r="AM748" s="21"/>
      <c r="AN748" s="23"/>
      <c r="AX748" s="40"/>
      <c r="AZ748" s="40"/>
      <c r="BB748" s="18"/>
      <c r="BD748" s="18"/>
      <c r="BE748" s="18"/>
      <c r="BL748" s="18"/>
      <c r="BO748" s="18"/>
      <c r="BZ748" s="18"/>
      <c r="CD748" s="18"/>
      <c r="CI748" s="18"/>
      <c r="CT748" s="18"/>
      <c r="CZ748" s="34" t="s">
        <v>87</v>
      </c>
    </row>
    <row r="749" spans="1:104" x14ac:dyDescent="0.25">
      <c r="A749">
        <v>748</v>
      </c>
      <c r="D749" s="12"/>
      <c r="E749" s="14"/>
      <c r="H749" s="16"/>
      <c r="I749" s="11"/>
      <c r="J749" s="33"/>
      <c r="K749" s="33"/>
      <c r="L749" s="33"/>
      <c r="M749" s="33"/>
      <c r="N749" s="8"/>
      <c r="AG749" s="8"/>
      <c r="AI749" s="30"/>
      <c r="AL749" s="30"/>
      <c r="AM749" s="21"/>
      <c r="AN749" s="23"/>
      <c r="AX749" s="40"/>
      <c r="AZ749" s="40"/>
      <c r="BB749" s="18"/>
      <c r="BD749" s="18"/>
      <c r="BE749" s="18"/>
      <c r="BL749" s="18"/>
      <c r="BO749" s="18"/>
      <c r="BZ749" s="18"/>
      <c r="CD749" s="18"/>
      <c r="CI749" s="18"/>
      <c r="CT749" s="18"/>
      <c r="CZ749" s="34" t="s">
        <v>87</v>
      </c>
    </row>
    <row r="750" spans="1:104" x14ac:dyDescent="0.25">
      <c r="A750">
        <v>749</v>
      </c>
      <c r="D750" s="12"/>
      <c r="E750" s="14"/>
      <c r="H750" s="16"/>
      <c r="I750" s="11"/>
      <c r="J750" s="33"/>
      <c r="K750" s="33"/>
      <c r="L750" s="33"/>
      <c r="M750" s="33"/>
      <c r="N750" s="8"/>
      <c r="AG750" s="8"/>
      <c r="AI750" s="30"/>
      <c r="AL750" s="30"/>
      <c r="AM750" s="21"/>
      <c r="AN750" s="23"/>
      <c r="AX750" s="40"/>
      <c r="AZ750" s="40"/>
      <c r="BB750" s="18"/>
      <c r="BD750" s="18"/>
      <c r="BE750" s="18"/>
      <c r="BL750" s="18"/>
      <c r="BO750" s="18"/>
      <c r="BZ750" s="18"/>
      <c r="CD750" s="18"/>
      <c r="CI750" s="18"/>
      <c r="CT750" s="18"/>
      <c r="CZ750" s="34" t="s">
        <v>87</v>
      </c>
    </row>
    <row r="751" spans="1:104" x14ac:dyDescent="0.25">
      <c r="A751">
        <v>750</v>
      </c>
      <c r="D751" s="12"/>
      <c r="E751" s="14"/>
      <c r="H751" s="16"/>
      <c r="I751" s="11"/>
      <c r="J751" s="33"/>
      <c r="K751" s="33"/>
      <c r="L751" s="33"/>
      <c r="M751" s="33"/>
      <c r="N751" s="8"/>
      <c r="AG751" s="8"/>
      <c r="AI751" s="30"/>
      <c r="AL751" s="30"/>
      <c r="AM751" s="21"/>
      <c r="AN751" s="23"/>
      <c r="AX751" s="40"/>
      <c r="AZ751" s="40"/>
      <c r="BB751" s="18"/>
      <c r="BD751" s="18"/>
      <c r="BE751" s="18"/>
      <c r="BL751" s="18"/>
      <c r="BO751" s="18"/>
      <c r="BZ751" s="18"/>
      <c r="CD751" s="18"/>
      <c r="CI751" s="18"/>
      <c r="CT751" s="18"/>
      <c r="CZ751" s="34" t="s">
        <v>87</v>
      </c>
    </row>
    <row r="752" spans="1:104" x14ac:dyDescent="0.25">
      <c r="A752">
        <v>751</v>
      </c>
      <c r="D752" s="12"/>
      <c r="E752" s="14"/>
      <c r="H752" s="16"/>
      <c r="I752" s="11"/>
      <c r="J752" s="33"/>
      <c r="K752" s="33"/>
      <c r="L752" s="33"/>
      <c r="M752" s="33"/>
      <c r="N752" s="8"/>
      <c r="AG752" s="8"/>
      <c r="AI752" s="30"/>
      <c r="AL752" s="30"/>
      <c r="AM752" s="21"/>
      <c r="AN752" s="23"/>
      <c r="AX752" s="40"/>
      <c r="AZ752" s="40"/>
      <c r="BB752" s="18"/>
      <c r="BD752" s="18"/>
      <c r="BE752" s="18"/>
      <c r="BL752" s="18"/>
      <c r="BO752" s="18"/>
      <c r="BZ752" s="18"/>
      <c r="CD752" s="18"/>
      <c r="CI752" s="18"/>
      <c r="CT752" s="18"/>
      <c r="CZ752" s="34" t="s">
        <v>87</v>
      </c>
    </row>
    <row r="753" spans="1:104" x14ac:dyDescent="0.25">
      <c r="A753">
        <v>752</v>
      </c>
      <c r="D753" s="12"/>
      <c r="E753" s="14"/>
      <c r="H753" s="16"/>
      <c r="I753" s="11"/>
      <c r="J753" s="33"/>
      <c r="K753" s="33"/>
      <c r="L753" s="33"/>
      <c r="M753" s="33"/>
      <c r="N753" s="8"/>
      <c r="AG753" s="8"/>
      <c r="AI753" s="30"/>
      <c r="AL753" s="30"/>
      <c r="AM753" s="21"/>
      <c r="AN753" s="23"/>
      <c r="AX753" s="40"/>
      <c r="AZ753" s="40"/>
      <c r="BB753" s="18"/>
      <c r="BD753" s="18"/>
      <c r="BE753" s="18"/>
      <c r="BL753" s="18"/>
      <c r="BO753" s="18"/>
      <c r="BZ753" s="18"/>
      <c r="CD753" s="18"/>
      <c r="CI753" s="18"/>
      <c r="CT753" s="18"/>
      <c r="CZ753" s="34" t="s">
        <v>87</v>
      </c>
    </row>
    <row r="754" spans="1:104" x14ac:dyDescent="0.25">
      <c r="A754">
        <v>753</v>
      </c>
      <c r="D754" s="12"/>
      <c r="E754" s="14"/>
      <c r="H754" s="16"/>
      <c r="I754" s="11"/>
      <c r="J754" s="33"/>
      <c r="K754" s="33"/>
      <c r="L754" s="33"/>
      <c r="M754" s="33"/>
      <c r="N754" s="8"/>
      <c r="AG754" s="8"/>
      <c r="AI754" s="30"/>
      <c r="AL754" s="30"/>
      <c r="AM754" s="21"/>
      <c r="AN754" s="23"/>
      <c r="AX754" s="40"/>
      <c r="AZ754" s="40"/>
      <c r="BB754" s="18"/>
      <c r="BD754" s="18"/>
      <c r="BE754" s="18"/>
      <c r="BL754" s="18"/>
      <c r="BO754" s="18"/>
      <c r="BZ754" s="18"/>
      <c r="CD754" s="18"/>
      <c r="CI754" s="18"/>
      <c r="CT754" s="18"/>
      <c r="CZ754" s="34" t="s">
        <v>87</v>
      </c>
    </row>
    <row r="755" spans="1:104" x14ac:dyDescent="0.25">
      <c r="A755">
        <v>754</v>
      </c>
      <c r="D755" s="12"/>
      <c r="E755" s="14"/>
      <c r="H755" s="16"/>
      <c r="I755" s="11"/>
      <c r="J755" s="33"/>
      <c r="K755" s="33"/>
      <c r="L755" s="33"/>
      <c r="M755" s="33"/>
      <c r="N755" s="8"/>
      <c r="AG755" s="8"/>
      <c r="AI755" s="30"/>
      <c r="AL755" s="30"/>
      <c r="AM755" s="21"/>
      <c r="AN755" s="23"/>
      <c r="AX755" s="40"/>
      <c r="AZ755" s="40"/>
      <c r="BB755" s="18"/>
      <c r="BD755" s="18"/>
      <c r="BE755" s="18"/>
      <c r="BL755" s="18"/>
      <c r="BO755" s="18"/>
      <c r="BZ755" s="18"/>
      <c r="CD755" s="18"/>
      <c r="CI755" s="18"/>
      <c r="CT755" s="18"/>
      <c r="CZ755" s="34" t="s">
        <v>87</v>
      </c>
    </row>
    <row r="756" spans="1:104" x14ac:dyDescent="0.25">
      <c r="A756">
        <v>755</v>
      </c>
      <c r="D756" s="12"/>
      <c r="E756" s="14"/>
      <c r="H756" s="16"/>
      <c r="I756" s="11"/>
      <c r="J756" s="33"/>
      <c r="K756" s="33"/>
      <c r="L756" s="33"/>
      <c r="M756" s="33"/>
      <c r="N756" s="8"/>
      <c r="AG756" s="8"/>
      <c r="AI756" s="30"/>
      <c r="AL756" s="30"/>
      <c r="AM756" s="21"/>
      <c r="AN756" s="23"/>
      <c r="AX756" s="40"/>
      <c r="AZ756" s="40"/>
      <c r="BB756" s="18"/>
      <c r="BD756" s="18"/>
      <c r="BE756" s="18"/>
      <c r="BL756" s="18"/>
      <c r="BO756" s="18"/>
      <c r="BZ756" s="18"/>
      <c r="CD756" s="18"/>
      <c r="CI756" s="18"/>
      <c r="CT756" s="18"/>
      <c r="CZ756" s="34" t="s">
        <v>87</v>
      </c>
    </row>
    <row r="757" spans="1:104" x14ac:dyDescent="0.25">
      <c r="A757">
        <v>756</v>
      </c>
      <c r="D757" s="12"/>
      <c r="E757" s="14"/>
      <c r="H757" s="16"/>
      <c r="I757" s="11"/>
      <c r="J757" s="33"/>
      <c r="K757" s="33"/>
      <c r="L757" s="33"/>
      <c r="M757" s="33"/>
      <c r="N757" s="8"/>
      <c r="AG757" s="8"/>
      <c r="AI757" s="30"/>
      <c r="AL757" s="30"/>
      <c r="AM757" s="21"/>
      <c r="AN757" s="23"/>
      <c r="AX757" s="40"/>
      <c r="AZ757" s="40"/>
      <c r="BB757" s="18"/>
      <c r="BD757" s="18"/>
      <c r="BE757" s="18"/>
      <c r="BL757" s="18"/>
      <c r="BO757" s="18"/>
      <c r="BZ757" s="18"/>
      <c r="CD757" s="18"/>
      <c r="CI757" s="18"/>
      <c r="CT757" s="18"/>
      <c r="CZ757" s="34" t="s">
        <v>87</v>
      </c>
    </row>
    <row r="758" spans="1:104" x14ac:dyDescent="0.25">
      <c r="A758">
        <v>757</v>
      </c>
      <c r="D758" s="12"/>
      <c r="E758" s="14"/>
      <c r="H758" s="16"/>
      <c r="I758" s="11"/>
      <c r="J758" s="33"/>
      <c r="K758" s="33"/>
      <c r="L758" s="33"/>
      <c r="M758" s="33"/>
      <c r="N758" s="8"/>
      <c r="AG758" s="8"/>
      <c r="AI758" s="30"/>
      <c r="AL758" s="30"/>
      <c r="AM758" s="21"/>
      <c r="AN758" s="23"/>
      <c r="AX758" s="40"/>
      <c r="AZ758" s="40"/>
      <c r="BB758" s="18"/>
      <c r="BD758" s="18"/>
      <c r="BE758" s="18"/>
      <c r="BL758" s="18"/>
      <c r="BO758" s="18"/>
      <c r="BZ758" s="18"/>
      <c r="CD758" s="18"/>
      <c r="CI758" s="18"/>
      <c r="CT758" s="18"/>
      <c r="CZ758" s="34" t="s">
        <v>87</v>
      </c>
    </row>
    <row r="759" spans="1:104" x14ac:dyDescent="0.25">
      <c r="A759">
        <v>758</v>
      </c>
      <c r="D759" s="12"/>
      <c r="E759" s="14"/>
      <c r="H759" s="16"/>
      <c r="I759" s="11"/>
      <c r="J759" s="33"/>
      <c r="K759" s="33"/>
      <c r="L759" s="33"/>
      <c r="M759" s="33"/>
      <c r="N759" s="8"/>
      <c r="AG759" s="8"/>
      <c r="AI759" s="30"/>
      <c r="AL759" s="30"/>
      <c r="AM759" s="21"/>
      <c r="AN759" s="23"/>
      <c r="AX759" s="40"/>
      <c r="AZ759" s="40"/>
      <c r="BB759" s="18"/>
      <c r="BD759" s="18"/>
      <c r="BE759" s="18"/>
      <c r="BL759" s="18"/>
      <c r="BO759" s="18"/>
      <c r="BZ759" s="18"/>
      <c r="CD759" s="18"/>
      <c r="CI759" s="18"/>
      <c r="CT759" s="18"/>
      <c r="CZ759" s="34" t="s">
        <v>87</v>
      </c>
    </row>
    <row r="760" spans="1:104" x14ac:dyDescent="0.25">
      <c r="A760">
        <v>759</v>
      </c>
      <c r="D760" s="12"/>
      <c r="E760" s="14"/>
      <c r="H760" s="16"/>
      <c r="I760" s="11"/>
      <c r="J760" s="33"/>
      <c r="K760" s="33"/>
      <c r="L760" s="33"/>
      <c r="M760" s="33"/>
      <c r="N760" s="8"/>
      <c r="AG760" s="8"/>
      <c r="AI760" s="30"/>
      <c r="AL760" s="30"/>
      <c r="AM760" s="21"/>
      <c r="AN760" s="23"/>
      <c r="AX760" s="40"/>
      <c r="AZ760" s="40"/>
      <c r="BB760" s="18"/>
      <c r="BD760" s="18"/>
      <c r="BE760" s="18"/>
      <c r="BL760" s="18"/>
      <c r="BO760" s="18"/>
      <c r="BZ760" s="18"/>
      <c r="CD760" s="18"/>
      <c r="CI760" s="18"/>
      <c r="CT760" s="18"/>
      <c r="CZ760" s="34" t="s">
        <v>87</v>
      </c>
    </row>
    <row r="761" spans="1:104" x14ac:dyDescent="0.25">
      <c r="A761">
        <v>760</v>
      </c>
      <c r="D761" s="12"/>
      <c r="E761" s="14"/>
      <c r="H761" s="16"/>
      <c r="I761" s="11"/>
      <c r="J761" s="33"/>
      <c r="K761" s="33"/>
      <c r="L761" s="33"/>
      <c r="M761" s="33"/>
      <c r="N761" s="8"/>
      <c r="AG761" s="8"/>
      <c r="AI761" s="30"/>
      <c r="AL761" s="30"/>
      <c r="AM761" s="21"/>
      <c r="AN761" s="23"/>
      <c r="AX761" s="40"/>
      <c r="AZ761" s="40"/>
      <c r="BB761" s="18"/>
      <c r="BD761" s="18"/>
      <c r="BE761" s="18"/>
      <c r="BL761" s="18"/>
      <c r="BO761" s="18"/>
      <c r="BZ761" s="18"/>
      <c r="CD761" s="18"/>
      <c r="CI761" s="18"/>
      <c r="CT761" s="18"/>
      <c r="CZ761" s="34" t="s">
        <v>87</v>
      </c>
    </row>
    <row r="762" spans="1:104" x14ac:dyDescent="0.25">
      <c r="A762">
        <v>761</v>
      </c>
      <c r="D762" s="12"/>
      <c r="E762" s="14"/>
      <c r="H762" s="16"/>
      <c r="I762" s="11"/>
      <c r="J762" s="33"/>
      <c r="K762" s="33"/>
      <c r="L762" s="33"/>
      <c r="M762" s="33"/>
      <c r="N762" s="8"/>
      <c r="AG762" s="8"/>
      <c r="AI762" s="30"/>
      <c r="AL762" s="30"/>
      <c r="AM762" s="21"/>
      <c r="AN762" s="23"/>
      <c r="AX762" s="40"/>
      <c r="AZ762" s="40"/>
      <c r="BB762" s="18"/>
      <c r="BD762" s="18"/>
      <c r="BE762" s="18"/>
      <c r="BL762" s="18"/>
      <c r="BO762" s="18"/>
      <c r="BZ762" s="18"/>
      <c r="CD762" s="18"/>
      <c r="CI762" s="18"/>
      <c r="CT762" s="18"/>
      <c r="CZ762" s="34" t="s">
        <v>87</v>
      </c>
    </row>
    <row r="763" spans="1:104" x14ac:dyDescent="0.25">
      <c r="A763">
        <v>762</v>
      </c>
      <c r="D763" s="12"/>
      <c r="E763" s="14"/>
      <c r="H763" s="16"/>
      <c r="I763" s="11"/>
      <c r="J763" s="33"/>
      <c r="K763" s="33"/>
      <c r="L763" s="33"/>
      <c r="M763" s="33"/>
      <c r="N763" s="8"/>
      <c r="AG763" s="8"/>
      <c r="AI763" s="30"/>
      <c r="AL763" s="30"/>
      <c r="AM763" s="21"/>
      <c r="AN763" s="23"/>
      <c r="AX763" s="40"/>
      <c r="AZ763" s="40"/>
      <c r="BB763" s="18"/>
      <c r="BD763" s="18"/>
      <c r="BE763" s="18"/>
      <c r="BL763" s="18"/>
      <c r="BO763" s="18"/>
      <c r="BZ763" s="18"/>
      <c r="CD763" s="18"/>
      <c r="CI763" s="18"/>
      <c r="CT763" s="18"/>
      <c r="CZ763" s="34" t="s">
        <v>87</v>
      </c>
    </row>
    <row r="764" spans="1:104" x14ac:dyDescent="0.25">
      <c r="A764">
        <v>763</v>
      </c>
      <c r="D764" s="12"/>
      <c r="E764" s="14"/>
      <c r="H764" s="16"/>
      <c r="I764" s="11"/>
      <c r="J764" s="33"/>
      <c r="K764" s="33"/>
      <c r="L764" s="33"/>
      <c r="M764" s="33"/>
      <c r="N764" s="8"/>
      <c r="AG764" s="8"/>
      <c r="AI764" s="30"/>
      <c r="AL764" s="30"/>
      <c r="AM764" s="21"/>
      <c r="AN764" s="23"/>
      <c r="AX764" s="40"/>
      <c r="AZ764" s="40"/>
      <c r="BB764" s="18"/>
      <c r="BD764" s="18"/>
      <c r="BE764" s="18"/>
      <c r="BL764" s="18"/>
      <c r="BO764" s="18"/>
      <c r="BZ764" s="18"/>
      <c r="CD764" s="18"/>
      <c r="CI764" s="18"/>
      <c r="CT764" s="18"/>
      <c r="CZ764" s="34" t="s">
        <v>87</v>
      </c>
    </row>
    <row r="765" spans="1:104" x14ac:dyDescent="0.25">
      <c r="A765">
        <v>764</v>
      </c>
      <c r="D765" s="12"/>
      <c r="E765" s="14"/>
      <c r="H765" s="16"/>
      <c r="I765" s="11"/>
      <c r="J765" s="33"/>
      <c r="K765" s="33"/>
      <c r="L765" s="33"/>
      <c r="M765" s="33"/>
      <c r="N765" s="8"/>
      <c r="AG765" s="8"/>
      <c r="AI765" s="30"/>
      <c r="AL765" s="30"/>
      <c r="AM765" s="21"/>
      <c r="AN765" s="23"/>
      <c r="AX765" s="40"/>
      <c r="AZ765" s="40"/>
      <c r="BB765" s="18"/>
      <c r="BD765" s="18"/>
      <c r="BE765" s="18"/>
      <c r="BL765" s="18"/>
      <c r="BO765" s="18"/>
      <c r="BZ765" s="18"/>
      <c r="CD765" s="18"/>
      <c r="CI765" s="18"/>
      <c r="CT765" s="18"/>
      <c r="CZ765" s="34" t="s">
        <v>87</v>
      </c>
    </row>
    <row r="766" spans="1:104" x14ac:dyDescent="0.25">
      <c r="A766">
        <v>765</v>
      </c>
      <c r="D766" s="12"/>
      <c r="E766" s="14"/>
      <c r="H766" s="16"/>
      <c r="I766" s="11"/>
      <c r="J766" s="33"/>
      <c r="K766" s="33"/>
      <c r="L766" s="33"/>
      <c r="M766" s="33"/>
      <c r="N766" s="8"/>
      <c r="AG766" s="8"/>
      <c r="AI766" s="30"/>
      <c r="AL766" s="30"/>
      <c r="AM766" s="21"/>
      <c r="AN766" s="23"/>
      <c r="AX766" s="40"/>
      <c r="AZ766" s="40"/>
      <c r="BB766" s="18"/>
      <c r="BD766" s="18"/>
      <c r="BE766" s="18"/>
      <c r="BL766" s="18"/>
      <c r="BO766" s="18"/>
      <c r="BZ766" s="18"/>
      <c r="CD766" s="18"/>
      <c r="CI766" s="18"/>
      <c r="CT766" s="18"/>
      <c r="CZ766" s="34" t="s">
        <v>87</v>
      </c>
    </row>
    <row r="767" spans="1:104" x14ac:dyDescent="0.25">
      <c r="A767">
        <v>766</v>
      </c>
      <c r="D767" s="12"/>
      <c r="E767" s="14"/>
      <c r="H767" s="16"/>
      <c r="I767" s="11"/>
      <c r="J767" s="33"/>
      <c r="K767" s="33"/>
      <c r="L767" s="33"/>
      <c r="M767" s="33"/>
      <c r="N767" s="8"/>
      <c r="AG767" s="8"/>
      <c r="AI767" s="30"/>
      <c r="AL767" s="30"/>
      <c r="AM767" s="21"/>
      <c r="AN767" s="23"/>
      <c r="AX767" s="40"/>
      <c r="AZ767" s="40"/>
      <c r="BB767" s="18"/>
      <c r="BD767" s="18"/>
      <c r="BE767" s="18"/>
      <c r="BL767" s="18"/>
      <c r="BO767" s="18"/>
      <c r="BZ767" s="18"/>
      <c r="CD767" s="18"/>
      <c r="CI767" s="18"/>
      <c r="CT767" s="18"/>
      <c r="CZ767" s="34" t="s">
        <v>87</v>
      </c>
    </row>
    <row r="768" spans="1:104" x14ac:dyDescent="0.25">
      <c r="A768">
        <v>767</v>
      </c>
      <c r="D768" s="12"/>
      <c r="E768" s="14"/>
      <c r="H768" s="16"/>
      <c r="I768" s="11"/>
      <c r="J768" s="33"/>
      <c r="K768" s="33"/>
      <c r="L768" s="33"/>
      <c r="M768" s="33"/>
      <c r="N768" s="8"/>
      <c r="AG768" s="8"/>
      <c r="AI768" s="30"/>
      <c r="AL768" s="30"/>
      <c r="AM768" s="21"/>
      <c r="AN768" s="23"/>
      <c r="AX768" s="40"/>
      <c r="AZ768" s="40"/>
      <c r="BB768" s="18"/>
      <c r="BD768" s="18"/>
      <c r="BE768" s="18"/>
      <c r="BL768" s="18"/>
      <c r="BO768" s="18"/>
      <c r="BZ768" s="18"/>
      <c r="CD768" s="18"/>
      <c r="CI768" s="18"/>
      <c r="CT768" s="18"/>
      <c r="CZ768" s="34" t="s">
        <v>87</v>
      </c>
    </row>
    <row r="769" spans="1:104" x14ac:dyDescent="0.25">
      <c r="A769">
        <v>768</v>
      </c>
      <c r="D769" s="12"/>
      <c r="E769" s="14"/>
      <c r="H769" s="16"/>
      <c r="I769" s="11"/>
      <c r="J769" s="33"/>
      <c r="K769" s="33"/>
      <c r="L769" s="33"/>
      <c r="M769" s="33"/>
      <c r="N769" s="8"/>
      <c r="AG769" s="8"/>
      <c r="AI769" s="30"/>
      <c r="AL769" s="30"/>
      <c r="AM769" s="21"/>
      <c r="AN769" s="23"/>
      <c r="AX769" s="40"/>
      <c r="AZ769" s="40"/>
      <c r="BB769" s="18"/>
      <c r="BD769" s="18"/>
      <c r="BE769" s="18"/>
      <c r="BL769" s="18"/>
      <c r="BO769" s="18"/>
      <c r="BZ769" s="18"/>
      <c r="CD769" s="18"/>
      <c r="CI769" s="18"/>
      <c r="CT769" s="18"/>
      <c r="CZ769" s="34" t="s">
        <v>87</v>
      </c>
    </row>
    <row r="770" spans="1:104" x14ac:dyDescent="0.25">
      <c r="A770">
        <v>769</v>
      </c>
      <c r="D770" s="12"/>
      <c r="E770" s="14"/>
      <c r="H770" s="16"/>
      <c r="I770" s="11"/>
      <c r="J770" s="33"/>
      <c r="K770" s="33"/>
      <c r="L770" s="33"/>
      <c r="M770" s="33"/>
      <c r="N770" s="8"/>
      <c r="AG770" s="8"/>
      <c r="AI770" s="30"/>
      <c r="AL770" s="30"/>
      <c r="AM770" s="21"/>
      <c r="AN770" s="23"/>
      <c r="AX770" s="40"/>
      <c r="AZ770" s="40"/>
      <c r="BB770" s="18"/>
      <c r="BD770" s="18"/>
      <c r="BE770" s="18"/>
      <c r="BL770" s="18"/>
      <c r="BO770" s="18"/>
      <c r="BZ770" s="18"/>
      <c r="CD770" s="18"/>
      <c r="CI770" s="18"/>
      <c r="CT770" s="18"/>
      <c r="CZ770" s="34" t="s">
        <v>87</v>
      </c>
    </row>
    <row r="771" spans="1:104" x14ac:dyDescent="0.25">
      <c r="A771">
        <v>770</v>
      </c>
      <c r="D771" s="12"/>
      <c r="E771" s="14"/>
      <c r="H771" s="16"/>
      <c r="I771" s="11"/>
      <c r="J771" s="33"/>
      <c r="K771" s="33"/>
      <c r="L771" s="33"/>
      <c r="M771" s="33"/>
      <c r="N771" s="8"/>
      <c r="AG771" s="8"/>
      <c r="AI771" s="30"/>
      <c r="AL771" s="30"/>
      <c r="AM771" s="21"/>
      <c r="AN771" s="23"/>
      <c r="AX771" s="40"/>
      <c r="AZ771" s="40"/>
      <c r="BB771" s="18"/>
      <c r="BD771" s="18"/>
      <c r="BE771" s="18"/>
      <c r="BL771" s="18"/>
      <c r="BO771" s="18"/>
      <c r="BZ771" s="18"/>
      <c r="CD771" s="18"/>
      <c r="CI771" s="18"/>
      <c r="CT771" s="18"/>
      <c r="CZ771" s="34" t="s">
        <v>87</v>
      </c>
    </row>
    <row r="772" spans="1:104" x14ac:dyDescent="0.25">
      <c r="A772">
        <v>771</v>
      </c>
      <c r="D772" s="12"/>
      <c r="E772" s="14"/>
      <c r="H772" s="16"/>
      <c r="I772" s="11"/>
      <c r="J772" s="33"/>
      <c r="K772" s="33"/>
      <c r="L772" s="33"/>
      <c r="M772" s="33"/>
      <c r="N772" s="8"/>
      <c r="AG772" s="8"/>
      <c r="AI772" s="30"/>
      <c r="AL772" s="30"/>
      <c r="AM772" s="21"/>
      <c r="AN772" s="23"/>
      <c r="AX772" s="40"/>
      <c r="AZ772" s="40"/>
      <c r="BB772" s="18"/>
      <c r="BD772" s="18"/>
      <c r="BE772" s="18"/>
      <c r="BL772" s="18"/>
      <c r="BO772" s="18"/>
      <c r="BZ772" s="18"/>
      <c r="CD772" s="18"/>
      <c r="CI772" s="18"/>
      <c r="CT772" s="18"/>
      <c r="CZ772" s="34" t="s">
        <v>87</v>
      </c>
    </row>
    <row r="773" spans="1:104" x14ac:dyDescent="0.25">
      <c r="A773">
        <v>772</v>
      </c>
      <c r="D773" s="12"/>
      <c r="E773" s="14"/>
      <c r="H773" s="16"/>
      <c r="I773" s="11"/>
      <c r="J773" s="33"/>
      <c r="K773" s="33"/>
      <c r="L773" s="33"/>
      <c r="M773" s="33"/>
      <c r="N773" s="8"/>
      <c r="AG773" s="8"/>
      <c r="AI773" s="30"/>
      <c r="AL773" s="30"/>
      <c r="AM773" s="21"/>
      <c r="AN773" s="23"/>
      <c r="AX773" s="40"/>
      <c r="AZ773" s="40"/>
      <c r="BB773" s="18"/>
      <c r="BD773" s="18"/>
      <c r="BE773" s="18"/>
      <c r="BL773" s="18"/>
      <c r="BO773" s="18"/>
      <c r="BZ773" s="18"/>
      <c r="CD773" s="18"/>
      <c r="CI773" s="18"/>
      <c r="CT773" s="18"/>
      <c r="CZ773" s="34" t="s">
        <v>87</v>
      </c>
    </row>
    <row r="774" spans="1:104" x14ac:dyDescent="0.25">
      <c r="A774">
        <v>773</v>
      </c>
      <c r="D774" s="12"/>
      <c r="E774" s="14"/>
      <c r="H774" s="16"/>
      <c r="I774" s="11"/>
      <c r="J774" s="33"/>
      <c r="K774" s="33"/>
      <c r="L774" s="33"/>
      <c r="M774" s="33"/>
      <c r="N774" s="8"/>
      <c r="AG774" s="8"/>
      <c r="AI774" s="30"/>
      <c r="AL774" s="30"/>
      <c r="AM774" s="21"/>
      <c r="AN774" s="23"/>
      <c r="AX774" s="40"/>
      <c r="AZ774" s="40"/>
      <c r="BB774" s="18"/>
      <c r="BD774" s="18"/>
      <c r="BE774" s="18"/>
      <c r="BL774" s="18"/>
      <c r="BO774" s="18"/>
      <c r="BZ774" s="18"/>
      <c r="CD774" s="18"/>
      <c r="CI774" s="18"/>
      <c r="CT774" s="18"/>
      <c r="CZ774" s="34" t="s">
        <v>87</v>
      </c>
    </row>
    <row r="775" spans="1:104" x14ac:dyDescent="0.25">
      <c r="A775">
        <v>774</v>
      </c>
      <c r="D775" s="12"/>
      <c r="E775" s="14"/>
      <c r="H775" s="16"/>
      <c r="I775" s="11"/>
      <c r="J775" s="33"/>
      <c r="K775" s="33"/>
      <c r="L775" s="33"/>
      <c r="M775" s="33"/>
      <c r="N775" s="8"/>
      <c r="AG775" s="8"/>
      <c r="AI775" s="30"/>
      <c r="AL775" s="30"/>
      <c r="AM775" s="21"/>
      <c r="AN775" s="23"/>
      <c r="AX775" s="40"/>
      <c r="AZ775" s="40"/>
      <c r="BB775" s="18"/>
      <c r="BD775" s="18"/>
      <c r="BE775" s="18"/>
      <c r="BL775" s="18"/>
      <c r="BO775" s="18"/>
      <c r="BZ775" s="18"/>
      <c r="CD775" s="18"/>
      <c r="CI775" s="18"/>
      <c r="CT775" s="18"/>
      <c r="CZ775" s="34" t="s">
        <v>87</v>
      </c>
    </row>
    <row r="776" spans="1:104" x14ac:dyDescent="0.25">
      <c r="A776">
        <v>775</v>
      </c>
      <c r="D776" s="12"/>
      <c r="E776" s="14"/>
      <c r="H776" s="16"/>
      <c r="I776" s="11"/>
      <c r="J776" s="33"/>
      <c r="K776" s="33"/>
      <c r="L776" s="33"/>
      <c r="M776" s="33"/>
      <c r="N776" s="8"/>
      <c r="AG776" s="8"/>
      <c r="AI776" s="30"/>
      <c r="AL776" s="30"/>
      <c r="AM776" s="21"/>
      <c r="AN776" s="23"/>
      <c r="AX776" s="40"/>
      <c r="AZ776" s="40"/>
      <c r="BB776" s="18"/>
      <c r="BD776" s="18"/>
      <c r="BE776" s="18"/>
      <c r="BL776" s="18"/>
      <c r="BO776" s="18"/>
      <c r="BZ776" s="18"/>
      <c r="CD776" s="18"/>
      <c r="CI776" s="18"/>
      <c r="CT776" s="18"/>
      <c r="CZ776" s="34" t="s">
        <v>87</v>
      </c>
    </row>
    <row r="777" spans="1:104" x14ac:dyDescent="0.25">
      <c r="A777">
        <v>776</v>
      </c>
      <c r="D777" s="12"/>
      <c r="E777" s="14"/>
      <c r="H777" s="16"/>
      <c r="I777" s="11"/>
      <c r="J777" s="33"/>
      <c r="K777" s="33"/>
      <c r="L777" s="33"/>
      <c r="M777" s="33"/>
      <c r="N777" s="8"/>
      <c r="AG777" s="8"/>
      <c r="AI777" s="30"/>
      <c r="AL777" s="30"/>
      <c r="AM777" s="21"/>
      <c r="AN777" s="23"/>
      <c r="AX777" s="40"/>
      <c r="AZ777" s="40"/>
      <c r="BB777" s="18"/>
      <c r="BD777" s="18"/>
      <c r="BE777" s="18"/>
      <c r="BL777" s="18"/>
      <c r="BO777" s="18"/>
      <c r="BZ777" s="18"/>
      <c r="CD777" s="18"/>
      <c r="CI777" s="18"/>
      <c r="CT777" s="18"/>
      <c r="CZ777" s="34" t="s">
        <v>87</v>
      </c>
    </row>
    <row r="778" spans="1:104" x14ac:dyDescent="0.25">
      <c r="A778">
        <v>777</v>
      </c>
      <c r="D778" s="12"/>
      <c r="E778" s="14"/>
      <c r="H778" s="16"/>
      <c r="I778" s="11"/>
      <c r="J778" s="33"/>
      <c r="K778" s="33"/>
      <c r="L778" s="33"/>
      <c r="M778" s="33"/>
      <c r="N778" s="8"/>
      <c r="AG778" s="8"/>
      <c r="AI778" s="30"/>
      <c r="AL778" s="30"/>
      <c r="AM778" s="21"/>
      <c r="AN778" s="23"/>
      <c r="AX778" s="40"/>
      <c r="AZ778" s="40"/>
      <c r="BB778" s="18"/>
      <c r="BD778" s="18"/>
      <c r="BE778" s="18"/>
      <c r="BL778" s="18"/>
      <c r="BO778" s="18"/>
      <c r="BZ778" s="18"/>
      <c r="CD778" s="18"/>
      <c r="CI778" s="18"/>
      <c r="CT778" s="18"/>
      <c r="CZ778" s="34" t="s">
        <v>87</v>
      </c>
    </row>
    <row r="779" spans="1:104" x14ac:dyDescent="0.25">
      <c r="A779">
        <v>778</v>
      </c>
      <c r="D779" s="12"/>
      <c r="E779" s="14"/>
      <c r="H779" s="16"/>
      <c r="I779" s="11"/>
      <c r="J779" s="33"/>
      <c r="K779" s="33"/>
      <c r="L779" s="33"/>
      <c r="M779" s="33"/>
      <c r="N779" s="8"/>
      <c r="AG779" s="8"/>
      <c r="AI779" s="30"/>
      <c r="AL779" s="30"/>
      <c r="AM779" s="21"/>
      <c r="AN779" s="23"/>
      <c r="AX779" s="40"/>
      <c r="AZ779" s="40"/>
      <c r="BB779" s="18"/>
      <c r="BD779" s="18"/>
      <c r="BE779" s="18"/>
      <c r="BL779" s="18"/>
      <c r="BO779" s="18"/>
      <c r="BZ779" s="18"/>
      <c r="CD779" s="18"/>
      <c r="CI779" s="18"/>
      <c r="CT779" s="18"/>
      <c r="CZ779" s="34" t="s">
        <v>87</v>
      </c>
    </row>
    <row r="780" spans="1:104" x14ac:dyDescent="0.25">
      <c r="A780">
        <v>779</v>
      </c>
      <c r="D780" s="12"/>
      <c r="E780" s="14"/>
      <c r="H780" s="16"/>
      <c r="I780" s="11"/>
      <c r="J780" s="33"/>
      <c r="K780" s="33"/>
      <c r="L780" s="33"/>
      <c r="M780" s="33"/>
      <c r="N780" s="8"/>
      <c r="AG780" s="8"/>
      <c r="AI780" s="30"/>
      <c r="AL780" s="30"/>
      <c r="AM780" s="21"/>
      <c r="AN780" s="23"/>
      <c r="AX780" s="40"/>
      <c r="AZ780" s="40"/>
      <c r="BB780" s="18"/>
      <c r="BD780" s="18"/>
      <c r="BE780" s="18"/>
      <c r="BL780" s="18"/>
      <c r="BO780" s="18"/>
      <c r="BZ780" s="18"/>
      <c r="CD780" s="18"/>
      <c r="CI780" s="18"/>
      <c r="CT780" s="18"/>
      <c r="CZ780" s="34" t="s">
        <v>87</v>
      </c>
    </row>
    <row r="781" spans="1:104" x14ac:dyDescent="0.25">
      <c r="A781">
        <v>780</v>
      </c>
      <c r="D781" s="12"/>
      <c r="E781" s="14"/>
      <c r="H781" s="16"/>
      <c r="I781" s="11"/>
      <c r="J781" s="33"/>
      <c r="K781" s="33"/>
      <c r="L781" s="33"/>
      <c r="M781" s="33"/>
      <c r="N781" s="8"/>
      <c r="AG781" s="8"/>
      <c r="AI781" s="30"/>
      <c r="AL781" s="30"/>
      <c r="AM781" s="21"/>
      <c r="AN781" s="23"/>
      <c r="AX781" s="40"/>
      <c r="AZ781" s="40"/>
      <c r="BB781" s="18"/>
      <c r="BD781" s="18"/>
      <c r="BE781" s="18"/>
      <c r="BL781" s="18"/>
      <c r="BO781" s="18"/>
      <c r="BZ781" s="18"/>
      <c r="CD781" s="18"/>
      <c r="CI781" s="18"/>
      <c r="CT781" s="18"/>
      <c r="CZ781" s="34" t="s">
        <v>87</v>
      </c>
    </row>
    <row r="782" spans="1:104" x14ac:dyDescent="0.25">
      <c r="A782">
        <v>781</v>
      </c>
      <c r="D782" s="12"/>
      <c r="E782" s="14"/>
      <c r="H782" s="16"/>
      <c r="I782" s="11"/>
      <c r="J782" s="33"/>
      <c r="K782" s="33"/>
      <c r="L782" s="33"/>
      <c r="M782" s="33"/>
      <c r="N782" s="8"/>
      <c r="AG782" s="8"/>
      <c r="AI782" s="30"/>
      <c r="AL782" s="30"/>
      <c r="AM782" s="21"/>
      <c r="AN782" s="23"/>
      <c r="AX782" s="40"/>
      <c r="AZ782" s="40"/>
      <c r="BB782" s="18"/>
      <c r="BD782" s="18"/>
      <c r="BE782" s="18"/>
      <c r="BL782" s="18"/>
      <c r="BO782" s="18"/>
      <c r="BZ782" s="18"/>
      <c r="CD782" s="18"/>
      <c r="CI782" s="18"/>
      <c r="CT782" s="18"/>
      <c r="CZ782" s="34" t="s">
        <v>87</v>
      </c>
    </row>
    <row r="783" spans="1:104" x14ac:dyDescent="0.25">
      <c r="A783">
        <v>782</v>
      </c>
      <c r="D783" s="12"/>
      <c r="E783" s="14"/>
      <c r="H783" s="16"/>
      <c r="I783" s="11"/>
      <c r="J783" s="33"/>
      <c r="K783" s="33"/>
      <c r="L783" s="33"/>
      <c r="M783" s="33"/>
      <c r="N783" s="8"/>
      <c r="AG783" s="8"/>
      <c r="AI783" s="30"/>
      <c r="AL783" s="30"/>
      <c r="AM783" s="21"/>
      <c r="AN783" s="23"/>
      <c r="AX783" s="40"/>
      <c r="AZ783" s="40"/>
      <c r="BB783" s="18"/>
      <c r="BD783" s="18"/>
      <c r="BE783" s="18"/>
      <c r="BL783" s="18"/>
      <c r="BO783" s="18"/>
      <c r="BZ783" s="18"/>
      <c r="CD783" s="18"/>
      <c r="CI783" s="18"/>
      <c r="CT783" s="18"/>
      <c r="CZ783" s="34" t="s">
        <v>87</v>
      </c>
    </row>
    <row r="784" spans="1:104" x14ac:dyDescent="0.25">
      <c r="A784">
        <v>783</v>
      </c>
      <c r="D784" s="12"/>
      <c r="E784" s="14"/>
      <c r="H784" s="16"/>
      <c r="I784" s="11"/>
      <c r="J784" s="33"/>
      <c r="K784" s="33"/>
      <c r="L784" s="33"/>
      <c r="M784" s="33"/>
      <c r="N784" s="8"/>
      <c r="AG784" s="8"/>
      <c r="AI784" s="30"/>
      <c r="AL784" s="30"/>
      <c r="AM784" s="21"/>
      <c r="AN784" s="23"/>
      <c r="AX784" s="40"/>
      <c r="AZ784" s="40"/>
      <c r="BB784" s="18"/>
      <c r="BD784" s="18"/>
      <c r="BE784" s="18"/>
      <c r="BL784" s="18"/>
      <c r="BO784" s="18"/>
      <c r="BZ784" s="18"/>
      <c r="CD784" s="18"/>
      <c r="CI784" s="18"/>
      <c r="CT784" s="18"/>
      <c r="CZ784" s="34" t="s">
        <v>87</v>
      </c>
    </row>
    <row r="785" spans="1:104" x14ac:dyDescent="0.25">
      <c r="A785">
        <v>784</v>
      </c>
      <c r="D785" s="12"/>
      <c r="E785" s="14"/>
      <c r="H785" s="16"/>
      <c r="I785" s="11"/>
      <c r="J785" s="33"/>
      <c r="K785" s="33"/>
      <c r="L785" s="33"/>
      <c r="M785" s="33"/>
      <c r="N785" s="8"/>
      <c r="AG785" s="8"/>
      <c r="AI785" s="30"/>
      <c r="AL785" s="30"/>
      <c r="AM785" s="21"/>
      <c r="AN785" s="23"/>
      <c r="AX785" s="40"/>
      <c r="AZ785" s="40"/>
      <c r="BB785" s="18"/>
      <c r="BD785" s="18"/>
      <c r="BE785" s="18"/>
      <c r="BL785" s="18"/>
      <c r="BO785" s="18"/>
      <c r="BZ785" s="18"/>
      <c r="CD785" s="18"/>
      <c r="CI785" s="18"/>
      <c r="CT785" s="18"/>
      <c r="CZ785" s="34" t="s">
        <v>87</v>
      </c>
    </row>
    <row r="786" spans="1:104" x14ac:dyDescent="0.25">
      <c r="A786">
        <v>785</v>
      </c>
      <c r="D786" s="12"/>
      <c r="E786" s="14"/>
      <c r="H786" s="16"/>
      <c r="I786" s="11"/>
      <c r="J786" s="33"/>
      <c r="K786" s="33"/>
      <c r="L786" s="33"/>
      <c r="M786" s="33"/>
      <c r="N786" s="8"/>
      <c r="AG786" s="8"/>
      <c r="AI786" s="30"/>
      <c r="AL786" s="30"/>
      <c r="AM786" s="21"/>
      <c r="AN786" s="23"/>
      <c r="AX786" s="40"/>
      <c r="AZ786" s="40"/>
      <c r="BB786" s="18"/>
      <c r="BD786" s="18"/>
      <c r="BE786" s="18"/>
      <c r="BL786" s="18"/>
      <c r="BO786" s="18"/>
      <c r="BZ786" s="18"/>
      <c r="CD786" s="18"/>
      <c r="CI786" s="18"/>
      <c r="CT786" s="18"/>
      <c r="CZ786" s="34" t="s">
        <v>87</v>
      </c>
    </row>
    <row r="787" spans="1:104" x14ac:dyDescent="0.25">
      <c r="A787">
        <v>786</v>
      </c>
      <c r="D787" s="12"/>
      <c r="E787" s="14"/>
      <c r="H787" s="16"/>
      <c r="I787" s="11"/>
      <c r="J787" s="33"/>
      <c r="K787" s="33"/>
      <c r="L787" s="33"/>
      <c r="M787" s="33"/>
      <c r="N787" s="8"/>
      <c r="AG787" s="8"/>
      <c r="AI787" s="30"/>
      <c r="AL787" s="30"/>
      <c r="AM787" s="21"/>
      <c r="AN787" s="23"/>
      <c r="AX787" s="40"/>
      <c r="AZ787" s="40"/>
      <c r="BB787" s="18"/>
      <c r="BD787" s="18"/>
      <c r="BE787" s="18"/>
      <c r="BL787" s="18"/>
      <c r="BO787" s="18"/>
      <c r="BZ787" s="18"/>
      <c r="CD787" s="18"/>
      <c r="CI787" s="18"/>
      <c r="CT787" s="18"/>
      <c r="CZ787" s="34" t="s">
        <v>87</v>
      </c>
    </row>
    <row r="788" spans="1:104" x14ac:dyDescent="0.25">
      <c r="A788">
        <v>787</v>
      </c>
      <c r="D788" s="12"/>
      <c r="E788" s="14"/>
      <c r="H788" s="16"/>
      <c r="I788" s="11"/>
      <c r="J788" s="33"/>
      <c r="K788" s="33"/>
      <c r="L788" s="33"/>
      <c r="M788" s="33"/>
      <c r="N788" s="8"/>
      <c r="AG788" s="8"/>
      <c r="AI788" s="30"/>
      <c r="AL788" s="30"/>
      <c r="AM788" s="21"/>
      <c r="AN788" s="23"/>
      <c r="AX788" s="40"/>
      <c r="AZ788" s="40"/>
      <c r="BB788" s="18"/>
      <c r="BD788" s="18"/>
      <c r="BE788" s="18"/>
      <c r="BL788" s="18"/>
      <c r="BO788" s="18"/>
      <c r="BZ788" s="18"/>
      <c r="CD788" s="18"/>
      <c r="CI788" s="18"/>
      <c r="CT788" s="18"/>
      <c r="CZ788" s="34" t="s">
        <v>87</v>
      </c>
    </row>
    <row r="789" spans="1:104" x14ac:dyDescent="0.25">
      <c r="A789">
        <v>788</v>
      </c>
      <c r="D789" s="12"/>
      <c r="E789" s="14"/>
      <c r="H789" s="16"/>
      <c r="I789" s="11"/>
      <c r="J789" s="33"/>
      <c r="K789" s="33"/>
      <c r="L789" s="33"/>
      <c r="M789" s="33"/>
      <c r="N789" s="8"/>
      <c r="AG789" s="8"/>
      <c r="AI789" s="30"/>
      <c r="AL789" s="30"/>
      <c r="AM789" s="21"/>
      <c r="AN789" s="23"/>
      <c r="AX789" s="40"/>
      <c r="AZ789" s="40"/>
      <c r="BB789" s="18"/>
      <c r="BD789" s="18"/>
      <c r="BE789" s="18"/>
      <c r="BL789" s="18"/>
      <c r="BO789" s="18"/>
      <c r="BZ789" s="18"/>
      <c r="CD789" s="18"/>
      <c r="CI789" s="18"/>
      <c r="CT789" s="18"/>
      <c r="CZ789" s="34" t="s">
        <v>87</v>
      </c>
    </row>
    <row r="790" spans="1:104" x14ac:dyDescent="0.25">
      <c r="A790">
        <v>789</v>
      </c>
      <c r="D790" s="12"/>
      <c r="E790" s="14"/>
      <c r="H790" s="16"/>
      <c r="I790" s="11"/>
      <c r="J790" s="33"/>
      <c r="K790" s="33"/>
      <c r="L790" s="33"/>
      <c r="M790" s="33"/>
      <c r="N790" s="8"/>
      <c r="AG790" s="8"/>
      <c r="AI790" s="30"/>
      <c r="AL790" s="30"/>
      <c r="AM790" s="21"/>
      <c r="AN790" s="23"/>
      <c r="AX790" s="40"/>
      <c r="AZ790" s="40"/>
      <c r="BB790" s="18"/>
      <c r="BD790" s="18"/>
      <c r="BE790" s="18"/>
      <c r="BL790" s="18"/>
      <c r="BO790" s="18"/>
      <c r="BZ790" s="18"/>
      <c r="CD790" s="18"/>
      <c r="CI790" s="18"/>
      <c r="CT790" s="18"/>
      <c r="CZ790" s="34" t="s">
        <v>87</v>
      </c>
    </row>
    <row r="791" spans="1:104" x14ac:dyDescent="0.25">
      <c r="A791">
        <v>790</v>
      </c>
      <c r="D791" s="12"/>
      <c r="E791" s="14"/>
      <c r="H791" s="16"/>
      <c r="I791" s="11"/>
      <c r="J791" s="33"/>
      <c r="K791" s="33"/>
      <c r="L791" s="33"/>
      <c r="M791" s="33"/>
      <c r="N791" s="8"/>
      <c r="AG791" s="8"/>
      <c r="AI791" s="30"/>
      <c r="AL791" s="30"/>
      <c r="AM791" s="21"/>
      <c r="AN791" s="23"/>
      <c r="AX791" s="40"/>
      <c r="AZ791" s="40"/>
      <c r="BB791" s="18"/>
      <c r="BD791" s="18"/>
      <c r="BE791" s="18"/>
      <c r="BL791" s="18"/>
      <c r="BO791" s="18"/>
      <c r="BZ791" s="18"/>
      <c r="CD791" s="18"/>
      <c r="CI791" s="18"/>
      <c r="CT791" s="18"/>
      <c r="CZ791" s="34" t="s">
        <v>87</v>
      </c>
    </row>
    <row r="792" spans="1:104" x14ac:dyDescent="0.25">
      <c r="A792">
        <v>791</v>
      </c>
      <c r="D792" s="12"/>
      <c r="E792" s="14"/>
      <c r="H792" s="16"/>
      <c r="I792" s="11"/>
      <c r="J792" s="33"/>
      <c r="K792" s="33"/>
      <c r="L792" s="33"/>
      <c r="M792" s="33"/>
      <c r="N792" s="8"/>
      <c r="AG792" s="8"/>
      <c r="AI792" s="30"/>
      <c r="AL792" s="30"/>
      <c r="AM792" s="21"/>
      <c r="AN792" s="23"/>
      <c r="AX792" s="40"/>
      <c r="AZ792" s="40"/>
      <c r="BB792" s="18"/>
      <c r="BD792" s="18"/>
      <c r="BE792" s="18"/>
      <c r="BL792" s="18"/>
      <c r="BO792" s="18"/>
      <c r="BZ792" s="18"/>
      <c r="CD792" s="18"/>
      <c r="CI792" s="18"/>
      <c r="CT792" s="18"/>
      <c r="CZ792" s="34" t="s">
        <v>87</v>
      </c>
    </row>
    <row r="793" spans="1:104" x14ac:dyDescent="0.25">
      <c r="A793">
        <v>792</v>
      </c>
      <c r="D793" s="12"/>
      <c r="E793" s="14"/>
      <c r="H793" s="16"/>
      <c r="I793" s="11"/>
      <c r="J793" s="33"/>
      <c r="K793" s="33"/>
      <c r="L793" s="33"/>
      <c r="M793" s="33"/>
      <c r="N793" s="8"/>
      <c r="AG793" s="8"/>
      <c r="AI793" s="30"/>
      <c r="AL793" s="30"/>
      <c r="AM793" s="21"/>
      <c r="AN793" s="23"/>
      <c r="AX793" s="40"/>
      <c r="AZ793" s="40"/>
      <c r="BB793" s="18"/>
      <c r="BD793" s="18"/>
      <c r="BE793" s="18"/>
      <c r="BL793" s="18"/>
      <c r="BO793" s="18"/>
      <c r="BZ793" s="18"/>
      <c r="CD793" s="18"/>
      <c r="CI793" s="18"/>
      <c r="CT793" s="18"/>
      <c r="CZ793" s="34" t="s">
        <v>87</v>
      </c>
    </row>
    <row r="794" spans="1:104" x14ac:dyDescent="0.25">
      <c r="A794">
        <v>793</v>
      </c>
      <c r="D794" s="12"/>
      <c r="E794" s="14"/>
      <c r="H794" s="16"/>
      <c r="I794" s="11"/>
      <c r="J794" s="33"/>
      <c r="K794" s="33"/>
      <c r="L794" s="33"/>
      <c r="M794" s="33"/>
      <c r="N794" s="8"/>
      <c r="AG794" s="8"/>
      <c r="AI794" s="30"/>
      <c r="AL794" s="30"/>
      <c r="AM794" s="21"/>
      <c r="AN794" s="23"/>
      <c r="AX794" s="40"/>
      <c r="AZ794" s="40"/>
      <c r="BB794" s="18"/>
      <c r="BD794" s="18"/>
      <c r="BE794" s="18"/>
      <c r="BL794" s="18"/>
      <c r="BO794" s="18"/>
      <c r="BZ794" s="18"/>
      <c r="CD794" s="18"/>
      <c r="CI794" s="18"/>
      <c r="CT794" s="18"/>
      <c r="CZ794" s="34" t="s">
        <v>87</v>
      </c>
    </row>
    <row r="795" spans="1:104" x14ac:dyDescent="0.25">
      <c r="A795">
        <v>794</v>
      </c>
      <c r="D795" s="12"/>
      <c r="E795" s="14"/>
      <c r="H795" s="16"/>
      <c r="I795" s="11"/>
      <c r="J795" s="33"/>
      <c r="K795" s="33"/>
      <c r="L795" s="33"/>
      <c r="M795" s="33"/>
      <c r="N795" s="8"/>
      <c r="AG795" s="8"/>
      <c r="AI795" s="30"/>
      <c r="AL795" s="30"/>
      <c r="AM795" s="21"/>
      <c r="AN795" s="23"/>
      <c r="AX795" s="40"/>
      <c r="AZ795" s="40"/>
      <c r="BB795" s="18"/>
      <c r="BD795" s="18"/>
      <c r="BE795" s="18"/>
      <c r="BL795" s="18"/>
      <c r="BO795" s="18"/>
      <c r="BZ795" s="18"/>
      <c r="CD795" s="18"/>
      <c r="CI795" s="18"/>
      <c r="CT795" s="18"/>
      <c r="CZ795" s="34" t="s">
        <v>87</v>
      </c>
    </row>
    <row r="796" spans="1:104" x14ac:dyDescent="0.25">
      <c r="A796">
        <v>795</v>
      </c>
      <c r="D796" s="12"/>
      <c r="E796" s="14"/>
      <c r="H796" s="16"/>
      <c r="I796" s="11"/>
      <c r="J796" s="33"/>
      <c r="K796" s="33"/>
      <c r="L796" s="33"/>
      <c r="M796" s="33"/>
      <c r="N796" s="8"/>
      <c r="AG796" s="8"/>
      <c r="AI796" s="30"/>
      <c r="AL796" s="30"/>
      <c r="AM796" s="21"/>
      <c r="AN796" s="23"/>
      <c r="AX796" s="40"/>
      <c r="AZ796" s="40"/>
      <c r="BB796" s="18"/>
      <c r="BD796" s="18"/>
      <c r="BE796" s="18"/>
      <c r="BL796" s="18"/>
      <c r="BO796" s="18"/>
      <c r="BZ796" s="18"/>
      <c r="CD796" s="18"/>
      <c r="CI796" s="18"/>
      <c r="CT796" s="18"/>
      <c r="CZ796" s="34" t="s">
        <v>87</v>
      </c>
    </row>
    <row r="797" spans="1:104" x14ac:dyDescent="0.25">
      <c r="A797">
        <v>796</v>
      </c>
      <c r="D797" s="12"/>
      <c r="E797" s="14"/>
      <c r="H797" s="16"/>
      <c r="I797" s="11"/>
      <c r="J797" s="33"/>
      <c r="K797" s="33"/>
      <c r="L797" s="33"/>
      <c r="M797" s="33"/>
      <c r="N797" s="8"/>
      <c r="AG797" s="8"/>
      <c r="AI797" s="30"/>
      <c r="AL797" s="30"/>
      <c r="AM797" s="21"/>
      <c r="AN797" s="23"/>
      <c r="AX797" s="40"/>
      <c r="AZ797" s="40"/>
      <c r="BB797" s="18"/>
      <c r="BD797" s="18"/>
      <c r="BE797" s="18"/>
      <c r="BL797" s="18"/>
      <c r="BO797" s="18"/>
      <c r="BZ797" s="18"/>
      <c r="CD797" s="18"/>
      <c r="CI797" s="18"/>
      <c r="CT797" s="18"/>
      <c r="CZ797" s="34" t="s">
        <v>87</v>
      </c>
    </row>
    <row r="798" spans="1:104" x14ac:dyDescent="0.25">
      <c r="A798">
        <v>797</v>
      </c>
      <c r="D798" s="12"/>
      <c r="E798" s="14"/>
      <c r="H798" s="16"/>
      <c r="I798" s="11"/>
      <c r="J798" s="33"/>
      <c r="K798" s="33"/>
      <c r="L798" s="33"/>
      <c r="M798" s="33"/>
      <c r="N798" s="8"/>
      <c r="AG798" s="8"/>
      <c r="AI798" s="30"/>
      <c r="AL798" s="30"/>
      <c r="AM798" s="21"/>
      <c r="AN798" s="23"/>
      <c r="AX798" s="40"/>
      <c r="AZ798" s="40"/>
      <c r="BB798" s="18"/>
      <c r="BD798" s="18"/>
      <c r="BE798" s="18"/>
      <c r="BL798" s="18"/>
      <c r="BO798" s="18"/>
      <c r="BZ798" s="18"/>
      <c r="CD798" s="18"/>
      <c r="CI798" s="18"/>
      <c r="CT798" s="18"/>
      <c r="CZ798" s="34" t="s">
        <v>87</v>
      </c>
    </row>
    <row r="799" spans="1:104" x14ac:dyDescent="0.25">
      <c r="A799">
        <v>798</v>
      </c>
      <c r="D799" s="12"/>
      <c r="E799" s="14"/>
      <c r="H799" s="16"/>
      <c r="I799" s="11"/>
      <c r="J799" s="33"/>
      <c r="K799" s="33"/>
      <c r="L799" s="33"/>
      <c r="M799" s="33"/>
      <c r="N799" s="8"/>
      <c r="AG799" s="8"/>
      <c r="AI799" s="30"/>
      <c r="AL799" s="30"/>
      <c r="AM799" s="21"/>
      <c r="AN799" s="23"/>
      <c r="AX799" s="40"/>
      <c r="AZ799" s="40"/>
      <c r="BB799" s="18"/>
      <c r="BD799" s="18"/>
      <c r="BE799" s="18"/>
      <c r="BL799" s="18"/>
      <c r="BO799" s="18"/>
      <c r="BZ799" s="18"/>
      <c r="CD799" s="18"/>
      <c r="CI799" s="18"/>
      <c r="CT799" s="18"/>
      <c r="CZ799" s="34" t="s">
        <v>87</v>
      </c>
    </row>
    <row r="800" spans="1:104" x14ac:dyDescent="0.25">
      <c r="A800">
        <v>799</v>
      </c>
      <c r="D800" s="12"/>
      <c r="E800" s="14"/>
      <c r="H800" s="16"/>
      <c r="I800" s="11"/>
      <c r="J800" s="33"/>
      <c r="K800" s="33"/>
      <c r="L800" s="33"/>
      <c r="M800" s="33"/>
      <c r="N800" s="8"/>
      <c r="AG800" s="8"/>
      <c r="AI800" s="30"/>
      <c r="AL800" s="30"/>
      <c r="AM800" s="21"/>
      <c r="AN800" s="23"/>
      <c r="AX800" s="40"/>
      <c r="AZ800" s="40"/>
      <c r="BB800" s="18"/>
      <c r="BD800" s="18"/>
      <c r="BE800" s="18"/>
      <c r="BL800" s="18"/>
      <c r="BO800" s="18"/>
      <c r="BZ800" s="18"/>
      <c r="CD800" s="18"/>
      <c r="CI800" s="18"/>
      <c r="CT800" s="18"/>
      <c r="CZ800" s="34" t="s">
        <v>87</v>
      </c>
    </row>
    <row r="801" spans="1:104" x14ac:dyDescent="0.25">
      <c r="A801">
        <v>800</v>
      </c>
      <c r="D801" s="12"/>
      <c r="E801" s="14"/>
      <c r="H801" s="16"/>
      <c r="I801" s="11"/>
      <c r="J801" s="33"/>
      <c r="K801" s="33"/>
      <c r="L801" s="33"/>
      <c r="M801" s="33"/>
      <c r="N801" s="8"/>
      <c r="AG801" s="8"/>
      <c r="AI801" s="30"/>
      <c r="AL801" s="30"/>
      <c r="AM801" s="21"/>
      <c r="AN801" s="23"/>
      <c r="AX801" s="40"/>
      <c r="AZ801" s="40"/>
      <c r="BB801" s="18"/>
      <c r="BD801" s="18"/>
      <c r="BE801" s="18"/>
      <c r="BL801" s="18"/>
      <c r="BO801" s="18"/>
      <c r="BZ801" s="18"/>
      <c r="CD801" s="18"/>
      <c r="CI801" s="18"/>
      <c r="CT801" s="18"/>
      <c r="CZ801" s="34" t="s">
        <v>87</v>
      </c>
    </row>
    <row r="802" spans="1:104" x14ac:dyDescent="0.25">
      <c r="A802">
        <v>801</v>
      </c>
      <c r="D802" s="12"/>
      <c r="E802" s="14"/>
      <c r="H802" s="16"/>
      <c r="I802" s="11"/>
      <c r="J802" s="33"/>
      <c r="K802" s="33"/>
      <c r="L802" s="33"/>
      <c r="M802" s="33"/>
      <c r="N802" s="8"/>
      <c r="AG802" s="8"/>
      <c r="AI802" s="30"/>
      <c r="AL802" s="30"/>
      <c r="AM802" s="21"/>
      <c r="AN802" s="23"/>
      <c r="AX802" s="40"/>
      <c r="AZ802" s="40"/>
      <c r="BB802" s="18"/>
      <c r="BD802" s="18"/>
      <c r="BE802" s="18"/>
      <c r="BL802" s="18"/>
      <c r="BO802" s="18"/>
      <c r="BZ802" s="18"/>
      <c r="CD802" s="18"/>
      <c r="CI802" s="18"/>
      <c r="CT802" s="18"/>
      <c r="CZ802" s="34" t="s">
        <v>87</v>
      </c>
    </row>
    <row r="803" spans="1:104" x14ac:dyDescent="0.25">
      <c r="A803">
        <v>802</v>
      </c>
      <c r="D803" s="12"/>
      <c r="E803" s="14"/>
      <c r="H803" s="16"/>
      <c r="I803" s="11"/>
      <c r="J803" s="33"/>
      <c r="K803" s="33"/>
      <c r="L803" s="33"/>
      <c r="M803" s="33"/>
      <c r="N803" s="8"/>
      <c r="AG803" s="8"/>
      <c r="AI803" s="30"/>
      <c r="AL803" s="30"/>
      <c r="AM803" s="21"/>
      <c r="AN803" s="23"/>
      <c r="AX803" s="40"/>
      <c r="AZ803" s="40"/>
      <c r="BB803" s="18"/>
      <c r="BD803" s="18"/>
      <c r="BE803" s="18"/>
      <c r="BL803" s="18"/>
      <c r="BO803" s="18"/>
      <c r="BZ803" s="18"/>
      <c r="CD803" s="18"/>
      <c r="CI803" s="18"/>
      <c r="CT803" s="18"/>
      <c r="CZ803" s="34" t="s">
        <v>87</v>
      </c>
    </row>
    <row r="804" spans="1:104" x14ac:dyDescent="0.25">
      <c r="A804">
        <v>803</v>
      </c>
      <c r="D804" s="12"/>
      <c r="E804" s="14"/>
      <c r="H804" s="16"/>
      <c r="I804" s="11"/>
      <c r="J804" s="33"/>
      <c r="K804" s="33"/>
      <c r="L804" s="33"/>
      <c r="M804" s="33"/>
      <c r="N804" s="8"/>
      <c r="AG804" s="8"/>
      <c r="AI804" s="30"/>
      <c r="AL804" s="30"/>
      <c r="AM804" s="21"/>
      <c r="AN804" s="23"/>
      <c r="AX804" s="40"/>
      <c r="AZ804" s="40"/>
      <c r="BB804" s="18"/>
      <c r="BD804" s="18"/>
      <c r="BE804" s="18"/>
      <c r="BL804" s="18"/>
      <c r="BO804" s="18"/>
      <c r="BZ804" s="18"/>
      <c r="CD804" s="18"/>
      <c r="CI804" s="18"/>
      <c r="CT804" s="18"/>
      <c r="CZ804" s="34" t="s">
        <v>87</v>
      </c>
    </row>
    <row r="805" spans="1:104" x14ac:dyDescent="0.25">
      <c r="A805">
        <v>804</v>
      </c>
      <c r="D805" s="12"/>
      <c r="E805" s="14"/>
      <c r="H805" s="16"/>
      <c r="I805" s="11"/>
      <c r="J805" s="33"/>
      <c r="K805" s="33"/>
      <c r="L805" s="33"/>
      <c r="M805" s="33"/>
      <c r="N805" s="8"/>
      <c r="AG805" s="8"/>
      <c r="AI805" s="30"/>
      <c r="AL805" s="30"/>
      <c r="AM805" s="21"/>
      <c r="AN805" s="23"/>
      <c r="AX805" s="40"/>
      <c r="AZ805" s="40"/>
      <c r="BB805" s="18"/>
      <c r="BD805" s="18"/>
      <c r="BE805" s="18"/>
      <c r="BL805" s="18"/>
      <c r="BO805" s="18"/>
      <c r="BZ805" s="18"/>
      <c r="CD805" s="18"/>
      <c r="CI805" s="18"/>
      <c r="CT805" s="18"/>
      <c r="CZ805" s="34" t="s">
        <v>87</v>
      </c>
    </row>
    <row r="806" spans="1:104" x14ac:dyDescent="0.25">
      <c r="A806">
        <v>805</v>
      </c>
      <c r="D806" s="12"/>
      <c r="E806" s="14"/>
      <c r="H806" s="16"/>
      <c r="I806" s="11"/>
      <c r="J806" s="33"/>
      <c r="K806" s="33"/>
      <c r="L806" s="33"/>
      <c r="M806" s="33"/>
      <c r="N806" s="8"/>
      <c r="AG806" s="8"/>
      <c r="AI806" s="30"/>
      <c r="AL806" s="30"/>
      <c r="AM806" s="21"/>
      <c r="AN806" s="23"/>
      <c r="AX806" s="40"/>
      <c r="AZ806" s="40"/>
      <c r="BB806" s="18"/>
      <c r="BD806" s="18"/>
      <c r="BE806" s="18"/>
      <c r="BL806" s="18"/>
      <c r="BO806" s="18"/>
      <c r="BZ806" s="18"/>
      <c r="CD806" s="18"/>
      <c r="CI806" s="18"/>
      <c r="CT806" s="18"/>
      <c r="CZ806" s="34" t="s">
        <v>87</v>
      </c>
    </row>
    <row r="807" spans="1:104" x14ac:dyDescent="0.25">
      <c r="A807">
        <v>806</v>
      </c>
      <c r="D807" s="12"/>
      <c r="E807" s="14"/>
      <c r="H807" s="16"/>
      <c r="I807" s="11"/>
      <c r="J807" s="33"/>
      <c r="K807" s="33"/>
      <c r="L807" s="33"/>
      <c r="M807" s="33"/>
      <c r="N807" s="8"/>
      <c r="AG807" s="8"/>
      <c r="AI807" s="30"/>
      <c r="AL807" s="30"/>
      <c r="AM807" s="21"/>
      <c r="AN807" s="23"/>
      <c r="AX807" s="40"/>
      <c r="AZ807" s="40"/>
      <c r="BB807" s="18"/>
      <c r="BD807" s="18"/>
      <c r="BE807" s="18"/>
      <c r="BL807" s="18"/>
      <c r="BO807" s="18"/>
      <c r="BZ807" s="18"/>
      <c r="CD807" s="18"/>
      <c r="CI807" s="18"/>
      <c r="CT807" s="18"/>
      <c r="CZ807" s="34" t="s">
        <v>87</v>
      </c>
    </row>
    <row r="808" spans="1:104" x14ac:dyDescent="0.25">
      <c r="A808">
        <v>807</v>
      </c>
      <c r="D808" s="12"/>
      <c r="E808" s="14"/>
      <c r="H808" s="16"/>
      <c r="I808" s="11"/>
      <c r="J808" s="33"/>
      <c r="K808" s="33"/>
      <c r="L808" s="33"/>
      <c r="M808" s="33"/>
      <c r="N808" s="8"/>
      <c r="AG808" s="8"/>
      <c r="AI808" s="30"/>
      <c r="AL808" s="30"/>
      <c r="AM808" s="21"/>
      <c r="AN808" s="23"/>
      <c r="AX808" s="40"/>
      <c r="AZ808" s="40"/>
      <c r="BB808" s="18"/>
      <c r="BD808" s="18"/>
      <c r="BE808" s="18"/>
      <c r="BL808" s="18"/>
      <c r="BO808" s="18"/>
      <c r="BZ808" s="18"/>
      <c r="CD808" s="18"/>
      <c r="CI808" s="18"/>
      <c r="CT808" s="18"/>
      <c r="CZ808" s="34" t="s">
        <v>87</v>
      </c>
    </row>
    <row r="809" spans="1:104" x14ac:dyDescent="0.25">
      <c r="A809">
        <v>808</v>
      </c>
      <c r="D809" s="12"/>
      <c r="E809" s="14"/>
      <c r="H809" s="16"/>
      <c r="I809" s="11"/>
      <c r="J809" s="33"/>
      <c r="K809" s="33"/>
      <c r="L809" s="33"/>
      <c r="M809" s="33"/>
      <c r="N809" s="8"/>
      <c r="AG809" s="8"/>
      <c r="AI809" s="30"/>
      <c r="AL809" s="30"/>
      <c r="AM809" s="21"/>
      <c r="AN809" s="23"/>
      <c r="AX809" s="40"/>
      <c r="AZ809" s="40"/>
      <c r="BB809" s="18"/>
      <c r="BD809" s="18"/>
      <c r="BE809" s="18"/>
      <c r="BL809" s="18"/>
      <c r="BO809" s="18"/>
      <c r="BZ809" s="18"/>
      <c r="CD809" s="18"/>
      <c r="CI809" s="18"/>
      <c r="CT809" s="18"/>
      <c r="CZ809" s="34" t="s">
        <v>87</v>
      </c>
    </row>
    <row r="810" spans="1:104" x14ac:dyDescent="0.25">
      <c r="A810">
        <v>809</v>
      </c>
      <c r="D810" s="12"/>
      <c r="E810" s="14"/>
      <c r="H810" s="16"/>
      <c r="I810" s="11"/>
      <c r="J810" s="33"/>
      <c r="K810" s="33"/>
      <c r="L810" s="33"/>
      <c r="M810" s="33"/>
      <c r="N810" s="8"/>
      <c r="AG810" s="8"/>
      <c r="AI810" s="30"/>
      <c r="AL810" s="30"/>
      <c r="AM810" s="21"/>
      <c r="AN810" s="23"/>
      <c r="AX810" s="40"/>
      <c r="AZ810" s="40"/>
      <c r="BB810" s="18"/>
      <c r="BD810" s="18"/>
      <c r="BE810" s="18"/>
      <c r="BL810" s="18"/>
      <c r="BO810" s="18"/>
      <c r="BZ810" s="18"/>
      <c r="CD810" s="18"/>
      <c r="CI810" s="18"/>
      <c r="CT810" s="18"/>
      <c r="CZ810" s="34" t="s">
        <v>87</v>
      </c>
    </row>
    <row r="811" spans="1:104" x14ac:dyDescent="0.25">
      <c r="A811">
        <v>810</v>
      </c>
      <c r="D811" s="12"/>
      <c r="E811" s="14"/>
      <c r="H811" s="16"/>
      <c r="I811" s="11"/>
      <c r="J811" s="33"/>
      <c r="K811" s="33"/>
      <c r="L811" s="33"/>
      <c r="M811" s="33"/>
      <c r="N811" s="8"/>
      <c r="AG811" s="8"/>
      <c r="AI811" s="30"/>
      <c r="AL811" s="30"/>
      <c r="AM811" s="21"/>
      <c r="AN811" s="23"/>
      <c r="AX811" s="40"/>
      <c r="AZ811" s="40"/>
      <c r="BB811" s="18"/>
      <c r="BD811" s="18"/>
      <c r="BE811" s="18"/>
      <c r="BL811" s="18"/>
      <c r="BO811" s="18"/>
      <c r="BZ811" s="18"/>
      <c r="CD811" s="18"/>
      <c r="CI811" s="18"/>
      <c r="CT811" s="18"/>
      <c r="CZ811" s="34" t="s">
        <v>87</v>
      </c>
    </row>
    <row r="812" spans="1:104" x14ac:dyDescent="0.25">
      <c r="A812">
        <v>811</v>
      </c>
      <c r="D812" s="12"/>
      <c r="E812" s="14"/>
      <c r="H812" s="16"/>
      <c r="I812" s="11"/>
      <c r="J812" s="33"/>
      <c r="K812" s="33"/>
      <c r="L812" s="33"/>
      <c r="M812" s="33"/>
      <c r="N812" s="8"/>
      <c r="AG812" s="8"/>
      <c r="AI812" s="30"/>
      <c r="AL812" s="30"/>
      <c r="AM812" s="21"/>
      <c r="AN812" s="23"/>
      <c r="AX812" s="40"/>
      <c r="AZ812" s="40"/>
      <c r="BB812" s="18"/>
      <c r="BD812" s="18"/>
      <c r="BE812" s="18"/>
      <c r="BL812" s="18"/>
      <c r="BO812" s="18"/>
      <c r="BZ812" s="18"/>
      <c r="CD812" s="18"/>
      <c r="CI812" s="18"/>
      <c r="CT812" s="18"/>
      <c r="CZ812" s="34" t="s">
        <v>87</v>
      </c>
    </row>
    <row r="813" spans="1:104" x14ac:dyDescent="0.25">
      <c r="A813">
        <v>812</v>
      </c>
      <c r="D813" s="12"/>
      <c r="E813" s="14"/>
      <c r="H813" s="16"/>
      <c r="I813" s="11"/>
      <c r="J813" s="33"/>
      <c r="K813" s="33"/>
      <c r="L813" s="33"/>
      <c r="M813" s="33"/>
      <c r="N813" s="8"/>
      <c r="AG813" s="8"/>
      <c r="AI813" s="30"/>
      <c r="AL813" s="30"/>
      <c r="AM813" s="21"/>
      <c r="AN813" s="23"/>
      <c r="AX813" s="40"/>
      <c r="AZ813" s="40"/>
      <c r="BB813" s="18"/>
      <c r="BD813" s="18"/>
      <c r="BE813" s="18"/>
      <c r="BL813" s="18"/>
      <c r="BO813" s="18"/>
      <c r="BZ813" s="18"/>
      <c r="CD813" s="18"/>
      <c r="CI813" s="18"/>
      <c r="CT813" s="18"/>
      <c r="CZ813" s="34" t="s">
        <v>87</v>
      </c>
    </row>
    <row r="814" spans="1:104" x14ac:dyDescent="0.25">
      <c r="A814">
        <v>813</v>
      </c>
      <c r="D814" s="12"/>
      <c r="E814" s="14"/>
      <c r="H814" s="16"/>
      <c r="I814" s="11"/>
      <c r="J814" s="33"/>
      <c r="K814" s="33"/>
      <c r="L814" s="33"/>
      <c r="M814" s="33"/>
      <c r="N814" s="8"/>
      <c r="AG814" s="8"/>
      <c r="AI814" s="30"/>
      <c r="AL814" s="30"/>
      <c r="AM814" s="21"/>
      <c r="AN814" s="23"/>
      <c r="AX814" s="40"/>
      <c r="AZ814" s="40"/>
      <c r="BB814" s="18"/>
      <c r="BD814" s="18"/>
      <c r="BE814" s="18"/>
      <c r="BL814" s="18"/>
      <c r="BO814" s="18"/>
      <c r="BZ814" s="18"/>
      <c r="CD814" s="18"/>
      <c r="CI814" s="18"/>
      <c r="CT814" s="18"/>
      <c r="CZ814" s="34" t="s">
        <v>87</v>
      </c>
    </row>
    <row r="815" spans="1:104" x14ac:dyDescent="0.25">
      <c r="A815">
        <v>814</v>
      </c>
      <c r="D815" s="12"/>
      <c r="E815" s="14"/>
      <c r="H815" s="16"/>
      <c r="I815" s="11"/>
      <c r="J815" s="33"/>
      <c r="K815" s="33"/>
      <c r="L815" s="33"/>
      <c r="M815" s="33"/>
      <c r="N815" s="8"/>
      <c r="AG815" s="8"/>
      <c r="AI815" s="30"/>
      <c r="AL815" s="30"/>
      <c r="AM815" s="21"/>
      <c r="AN815" s="23"/>
      <c r="AX815" s="40"/>
      <c r="AZ815" s="40"/>
      <c r="BB815" s="18"/>
      <c r="BD815" s="18"/>
      <c r="BE815" s="18"/>
      <c r="BL815" s="18"/>
      <c r="BO815" s="18"/>
      <c r="BZ815" s="18"/>
      <c r="CD815" s="18"/>
      <c r="CI815" s="18"/>
      <c r="CT815" s="18"/>
      <c r="CZ815" s="34" t="s">
        <v>87</v>
      </c>
    </row>
    <row r="816" spans="1:104" x14ac:dyDescent="0.25">
      <c r="A816">
        <v>815</v>
      </c>
      <c r="D816" s="12"/>
      <c r="E816" s="14"/>
      <c r="H816" s="16"/>
      <c r="I816" s="11"/>
      <c r="J816" s="33"/>
      <c r="K816" s="33"/>
      <c r="L816" s="33"/>
      <c r="M816" s="33"/>
      <c r="N816" s="8"/>
      <c r="AG816" s="8"/>
      <c r="AI816" s="30"/>
      <c r="AL816" s="30"/>
      <c r="AM816" s="21"/>
      <c r="AN816" s="23"/>
      <c r="AX816" s="40"/>
      <c r="AZ816" s="40"/>
      <c r="BB816" s="18"/>
      <c r="BD816" s="18"/>
      <c r="BE816" s="18"/>
      <c r="BL816" s="18"/>
      <c r="BO816" s="18"/>
      <c r="BZ816" s="18"/>
      <c r="CD816" s="18"/>
      <c r="CI816" s="18"/>
      <c r="CT816" s="18"/>
      <c r="CZ816" s="34" t="s">
        <v>87</v>
      </c>
    </row>
    <row r="817" spans="1:104" x14ac:dyDescent="0.25">
      <c r="A817">
        <v>816</v>
      </c>
      <c r="D817" s="12"/>
      <c r="E817" s="14"/>
      <c r="H817" s="16"/>
      <c r="I817" s="11"/>
      <c r="J817" s="33"/>
      <c r="K817" s="33"/>
      <c r="L817" s="33"/>
      <c r="M817" s="33"/>
      <c r="N817" s="8"/>
      <c r="AG817" s="8"/>
      <c r="AI817" s="30"/>
      <c r="AL817" s="30"/>
      <c r="AM817" s="21"/>
      <c r="AN817" s="23"/>
      <c r="AX817" s="40"/>
      <c r="AZ817" s="40"/>
      <c r="BB817" s="18"/>
      <c r="BD817" s="18"/>
      <c r="BE817" s="18"/>
      <c r="BL817" s="18"/>
      <c r="BO817" s="18"/>
      <c r="BZ817" s="18"/>
      <c r="CD817" s="18"/>
      <c r="CI817" s="18"/>
      <c r="CT817" s="18"/>
      <c r="CZ817" s="34" t="s">
        <v>87</v>
      </c>
    </row>
    <row r="818" spans="1:104" x14ac:dyDescent="0.25">
      <c r="A818">
        <v>817</v>
      </c>
      <c r="D818" s="12"/>
      <c r="E818" s="14"/>
      <c r="H818" s="16"/>
      <c r="I818" s="11"/>
      <c r="J818" s="33"/>
      <c r="K818" s="33"/>
      <c r="L818" s="33"/>
      <c r="M818" s="33"/>
      <c r="N818" s="8"/>
      <c r="AG818" s="8"/>
      <c r="AI818" s="30"/>
      <c r="AL818" s="30"/>
      <c r="AM818" s="21"/>
      <c r="AN818" s="23"/>
      <c r="AX818" s="40"/>
      <c r="AZ818" s="40"/>
      <c r="BB818" s="18"/>
      <c r="BD818" s="18"/>
      <c r="BE818" s="18"/>
      <c r="BL818" s="18"/>
      <c r="BO818" s="18"/>
      <c r="BZ818" s="18"/>
      <c r="CD818" s="18"/>
      <c r="CI818" s="18"/>
      <c r="CT818" s="18"/>
      <c r="CZ818" s="34" t="s">
        <v>87</v>
      </c>
    </row>
    <row r="819" spans="1:104" x14ac:dyDescent="0.25">
      <c r="A819">
        <v>818</v>
      </c>
      <c r="D819" s="12"/>
      <c r="E819" s="14"/>
      <c r="H819" s="16"/>
      <c r="I819" s="11"/>
      <c r="J819" s="33"/>
      <c r="K819" s="33"/>
      <c r="L819" s="33"/>
      <c r="M819" s="33"/>
      <c r="N819" s="8"/>
      <c r="AG819" s="8"/>
      <c r="AI819" s="30"/>
      <c r="AL819" s="30"/>
      <c r="AM819" s="21"/>
      <c r="AN819" s="23"/>
      <c r="AX819" s="40"/>
      <c r="AZ819" s="40"/>
      <c r="BB819" s="18"/>
      <c r="BD819" s="18"/>
      <c r="BE819" s="18"/>
      <c r="BL819" s="18"/>
      <c r="BO819" s="18"/>
      <c r="BZ819" s="18"/>
      <c r="CD819" s="18"/>
      <c r="CI819" s="18"/>
      <c r="CT819" s="18"/>
      <c r="CZ819" s="34" t="s">
        <v>87</v>
      </c>
    </row>
    <row r="820" spans="1:104" x14ac:dyDescent="0.25">
      <c r="A820">
        <v>819</v>
      </c>
      <c r="D820" s="12"/>
      <c r="E820" s="14"/>
      <c r="H820" s="16"/>
      <c r="I820" s="11"/>
      <c r="J820" s="33"/>
      <c r="K820" s="33"/>
      <c r="L820" s="33"/>
      <c r="M820" s="33"/>
      <c r="N820" s="8"/>
      <c r="AG820" s="8"/>
      <c r="AI820" s="30"/>
      <c r="AL820" s="30"/>
      <c r="AM820" s="21"/>
      <c r="AN820" s="23"/>
      <c r="AX820" s="40"/>
      <c r="AZ820" s="40"/>
      <c r="BB820" s="18"/>
      <c r="BD820" s="18"/>
      <c r="BE820" s="18"/>
      <c r="BL820" s="18"/>
      <c r="BO820" s="18"/>
      <c r="BZ820" s="18"/>
      <c r="CD820" s="18"/>
      <c r="CI820" s="18"/>
      <c r="CT820" s="18"/>
      <c r="CZ820" s="34" t="s">
        <v>87</v>
      </c>
    </row>
    <row r="821" spans="1:104" x14ac:dyDescent="0.25">
      <c r="A821">
        <v>820</v>
      </c>
      <c r="D821" s="12"/>
      <c r="E821" s="14"/>
      <c r="H821" s="16"/>
      <c r="I821" s="11"/>
      <c r="J821" s="33"/>
      <c r="K821" s="33"/>
      <c r="L821" s="33"/>
      <c r="M821" s="33"/>
      <c r="N821" s="8"/>
      <c r="AG821" s="8"/>
      <c r="AI821" s="30"/>
      <c r="AL821" s="30"/>
      <c r="AM821" s="21"/>
      <c r="AN821" s="23"/>
      <c r="AX821" s="40"/>
      <c r="AZ821" s="40"/>
      <c r="BB821" s="18"/>
      <c r="BD821" s="18"/>
      <c r="BE821" s="18"/>
      <c r="BL821" s="18"/>
      <c r="BO821" s="18"/>
      <c r="BZ821" s="18"/>
      <c r="CD821" s="18"/>
      <c r="CI821" s="18"/>
      <c r="CT821" s="18"/>
      <c r="CZ821" s="34" t="s">
        <v>87</v>
      </c>
    </row>
    <row r="822" spans="1:104" x14ac:dyDescent="0.25">
      <c r="A822">
        <v>821</v>
      </c>
      <c r="D822" s="12"/>
      <c r="E822" s="14"/>
      <c r="H822" s="16"/>
      <c r="I822" s="11"/>
      <c r="J822" s="33"/>
      <c r="K822" s="33"/>
      <c r="L822" s="33"/>
      <c r="M822" s="33"/>
      <c r="N822" s="8"/>
      <c r="AG822" s="8"/>
      <c r="AI822" s="30"/>
      <c r="AL822" s="30"/>
      <c r="AM822" s="21"/>
      <c r="AN822" s="23"/>
      <c r="AX822" s="40"/>
      <c r="AZ822" s="40"/>
      <c r="BB822" s="18"/>
      <c r="BD822" s="18"/>
      <c r="BE822" s="18"/>
      <c r="BL822" s="18"/>
      <c r="BO822" s="18"/>
      <c r="BZ822" s="18"/>
      <c r="CD822" s="18"/>
      <c r="CI822" s="18"/>
      <c r="CT822" s="18"/>
      <c r="CZ822" s="34" t="s">
        <v>87</v>
      </c>
    </row>
    <row r="823" spans="1:104" x14ac:dyDescent="0.25">
      <c r="A823">
        <v>822</v>
      </c>
      <c r="D823" s="12"/>
      <c r="E823" s="14"/>
      <c r="H823" s="16"/>
      <c r="I823" s="11"/>
      <c r="J823" s="33"/>
      <c r="K823" s="33"/>
      <c r="L823" s="33"/>
      <c r="M823" s="33"/>
      <c r="N823" s="8"/>
      <c r="AG823" s="8"/>
      <c r="AI823" s="30"/>
      <c r="AL823" s="30"/>
      <c r="AM823" s="21"/>
      <c r="AN823" s="23"/>
      <c r="AX823" s="40"/>
      <c r="AZ823" s="40"/>
      <c r="BB823" s="18"/>
      <c r="BD823" s="18"/>
      <c r="BE823" s="18"/>
      <c r="BL823" s="18"/>
      <c r="BO823" s="18"/>
      <c r="BZ823" s="18"/>
      <c r="CD823" s="18"/>
      <c r="CI823" s="18"/>
      <c r="CT823" s="18"/>
      <c r="CZ823" s="34" t="s">
        <v>87</v>
      </c>
    </row>
    <row r="824" spans="1:104" x14ac:dyDescent="0.25">
      <c r="A824">
        <v>823</v>
      </c>
      <c r="D824" s="12"/>
      <c r="E824" s="14"/>
      <c r="H824" s="16"/>
      <c r="I824" s="11"/>
      <c r="J824" s="33"/>
      <c r="K824" s="33"/>
      <c r="L824" s="33"/>
      <c r="M824" s="33"/>
      <c r="N824" s="8"/>
      <c r="AG824" s="8"/>
      <c r="AI824" s="30"/>
      <c r="AL824" s="30"/>
      <c r="AM824" s="21"/>
      <c r="AN824" s="23"/>
      <c r="AX824" s="40"/>
      <c r="AZ824" s="40"/>
      <c r="BB824" s="18"/>
      <c r="BD824" s="18"/>
      <c r="BE824" s="18"/>
      <c r="BL824" s="18"/>
      <c r="BO824" s="18"/>
      <c r="BZ824" s="18"/>
      <c r="CD824" s="18"/>
      <c r="CI824" s="18"/>
      <c r="CT824" s="18"/>
      <c r="CZ824" s="34" t="s">
        <v>87</v>
      </c>
    </row>
    <row r="825" spans="1:104" x14ac:dyDescent="0.25">
      <c r="A825">
        <v>824</v>
      </c>
      <c r="D825" s="12"/>
      <c r="E825" s="14"/>
      <c r="H825" s="16"/>
      <c r="I825" s="11"/>
      <c r="J825" s="33"/>
      <c r="K825" s="33"/>
      <c r="L825" s="33"/>
      <c r="M825" s="33"/>
      <c r="N825" s="8"/>
      <c r="AG825" s="8"/>
      <c r="AI825" s="30"/>
      <c r="AL825" s="30"/>
      <c r="AM825" s="21"/>
      <c r="AN825" s="23"/>
      <c r="AX825" s="40"/>
      <c r="AZ825" s="40"/>
      <c r="BB825" s="18"/>
      <c r="BD825" s="18"/>
      <c r="BE825" s="18"/>
      <c r="BL825" s="18"/>
      <c r="BO825" s="18"/>
      <c r="BZ825" s="18"/>
      <c r="CD825" s="18"/>
      <c r="CI825" s="18"/>
      <c r="CT825" s="18"/>
      <c r="CZ825" s="34" t="s">
        <v>87</v>
      </c>
    </row>
    <row r="826" spans="1:104" x14ac:dyDescent="0.25">
      <c r="A826">
        <v>825</v>
      </c>
      <c r="D826" s="12"/>
      <c r="E826" s="14"/>
      <c r="H826" s="16"/>
      <c r="I826" s="11"/>
      <c r="J826" s="33"/>
      <c r="K826" s="33"/>
      <c r="L826" s="33"/>
      <c r="M826" s="33"/>
      <c r="N826" s="8"/>
      <c r="AG826" s="8"/>
      <c r="AI826" s="30"/>
      <c r="AL826" s="30"/>
      <c r="AM826" s="21"/>
      <c r="AN826" s="23"/>
      <c r="AX826" s="40"/>
      <c r="AZ826" s="40"/>
      <c r="BB826" s="18"/>
      <c r="BD826" s="18"/>
      <c r="BE826" s="18"/>
      <c r="BL826" s="18"/>
      <c r="BO826" s="18"/>
      <c r="BZ826" s="18"/>
      <c r="CD826" s="18"/>
      <c r="CI826" s="18"/>
      <c r="CT826" s="18"/>
      <c r="CZ826" s="34" t="s">
        <v>87</v>
      </c>
    </row>
    <row r="827" spans="1:104" x14ac:dyDescent="0.25">
      <c r="A827">
        <v>826</v>
      </c>
      <c r="D827" s="12"/>
      <c r="E827" s="14"/>
      <c r="H827" s="16"/>
      <c r="I827" s="11"/>
      <c r="J827" s="33"/>
      <c r="K827" s="33"/>
      <c r="L827" s="33"/>
      <c r="M827" s="33"/>
      <c r="N827" s="8"/>
      <c r="AG827" s="8"/>
      <c r="AI827" s="30"/>
      <c r="AL827" s="30"/>
      <c r="AM827" s="21"/>
      <c r="AN827" s="23"/>
      <c r="AX827" s="40"/>
      <c r="AZ827" s="40"/>
      <c r="BB827" s="18"/>
      <c r="BD827" s="18"/>
      <c r="BE827" s="18"/>
      <c r="BL827" s="18"/>
      <c r="BO827" s="18"/>
      <c r="BZ827" s="18"/>
      <c r="CD827" s="18"/>
      <c r="CI827" s="18"/>
      <c r="CT827" s="18"/>
      <c r="CZ827" s="34" t="s">
        <v>87</v>
      </c>
    </row>
    <row r="828" spans="1:104" x14ac:dyDescent="0.25">
      <c r="A828">
        <v>827</v>
      </c>
      <c r="D828" s="12"/>
      <c r="E828" s="14"/>
      <c r="H828" s="16"/>
      <c r="I828" s="11"/>
      <c r="J828" s="33"/>
      <c r="K828" s="33"/>
      <c r="L828" s="33"/>
      <c r="M828" s="33"/>
      <c r="N828" s="8"/>
      <c r="AG828" s="8"/>
      <c r="AI828" s="30"/>
      <c r="AL828" s="30"/>
      <c r="AM828" s="21"/>
      <c r="AN828" s="23"/>
      <c r="AX828" s="40"/>
      <c r="AZ828" s="40"/>
      <c r="BB828" s="18"/>
      <c r="BD828" s="18"/>
      <c r="BE828" s="18"/>
      <c r="BL828" s="18"/>
      <c r="BO828" s="18"/>
      <c r="BZ828" s="18"/>
      <c r="CD828" s="18"/>
      <c r="CI828" s="18"/>
      <c r="CT828" s="18"/>
      <c r="CZ828" s="34" t="s">
        <v>87</v>
      </c>
    </row>
    <row r="829" spans="1:104" x14ac:dyDescent="0.25">
      <c r="A829">
        <v>828</v>
      </c>
      <c r="D829" s="12"/>
      <c r="E829" s="14"/>
      <c r="H829" s="16"/>
      <c r="I829" s="11"/>
      <c r="J829" s="33"/>
      <c r="K829" s="33"/>
      <c r="L829" s="33"/>
      <c r="M829" s="33"/>
      <c r="N829" s="8"/>
      <c r="AG829" s="8"/>
      <c r="AI829" s="30"/>
      <c r="AL829" s="30"/>
      <c r="AM829" s="21"/>
      <c r="AN829" s="23"/>
      <c r="AX829" s="40"/>
      <c r="AZ829" s="40"/>
      <c r="BB829" s="18"/>
      <c r="BD829" s="18"/>
      <c r="BE829" s="18"/>
      <c r="BL829" s="18"/>
      <c r="BO829" s="18"/>
      <c r="BZ829" s="18"/>
      <c r="CD829" s="18"/>
      <c r="CI829" s="18"/>
      <c r="CT829" s="18"/>
      <c r="CZ829" s="34" t="s">
        <v>87</v>
      </c>
    </row>
    <row r="830" spans="1:104" x14ac:dyDescent="0.25">
      <c r="A830">
        <v>829</v>
      </c>
      <c r="D830" s="12"/>
      <c r="E830" s="14"/>
      <c r="H830" s="16"/>
      <c r="I830" s="11"/>
      <c r="J830" s="33"/>
      <c r="K830" s="33"/>
      <c r="L830" s="33"/>
      <c r="M830" s="33"/>
      <c r="N830" s="8"/>
      <c r="AG830" s="8"/>
      <c r="AI830" s="30"/>
      <c r="AL830" s="30"/>
      <c r="AM830" s="21"/>
      <c r="AN830" s="23"/>
      <c r="AX830" s="40"/>
      <c r="AZ830" s="40"/>
      <c r="BB830" s="18"/>
      <c r="BD830" s="18"/>
      <c r="BE830" s="18"/>
      <c r="BL830" s="18"/>
      <c r="BO830" s="18"/>
      <c r="BZ830" s="18"/>
      <c r="CD830" s="18"/>
      <c r="CI830" s="18"/>
      <c r="CT830" s="18"/>
      <c r="CZ830" s="34" t="s">
        <v>87</v>
      </c>
    </row>
    <row r="831" spans="1:104" x14ac:dyDescent="0.25">
      <c r="A831">
        <v>830</v>
      </c>
      <c r="D831" s="12"/>
      <c r="E831" s="14"/>
      <c r="H831" s="16"/>
      <c r="I831" s="11"/>
      <c r="J831" s="33"/>
      <c r="K831" s="33"/>
      <c r="L831" s="33"/>
      <c r="M831" s="33"/>
      <c r="N831" s="8"/>
      <c r="AG831" s="8"/>
      <c r="AI831" s="30"/>
      <c r="AL831" s="30"/>
      <c r="AM831" s="21"/>
      <c r="AN831" s="23"/>
      <c r="AX831" s="40"/>
      <c r="AZ831" s="40"/>
      <c r="BB831" s="18"/>
      <c r="BD831" s="18"/>
      <c r="BE831" s="18"/>
      <c r="BL831" s="18"/>
      <c r="BO831" s="18"/>
      <c r="BZ831" s="18"/>
      <c r="CD831" s="18"/>
      <c r="CI831" s="18"/>
      <c r="CT831" s="18"/>
      <c r="CZ831" s="34" t="s">
        <v>87</v>
      </c>
    </row>
    <row r="832" spans="1:104" x14ac:dyDescent="0.25">
      <c r="A832">
        <v>831</v>
      </c>
      <c r="D832" s="12"/>
      <c r="E832" s="14"/>
      <c r="H832" s="16"/>
      <c r="I832" s="11"/>
      <c r="J832" s="33"/>
      <c r="K832" s="33"/>
      <c r="L832" s="33"/>
      <c r="M832" s="33"/>
      <c r="N832" s="8"/>
      <c r="AG832" s="8"/>
      <c r="AI832" s="30"/>
      <c r="AL832" s="30"/>
      <c r="AM832" s="21"/>
      <c r="AN832" s="23"/>
      <c r="AX832" s="40"/>
      <c r="AZ832" s="40"/>
      <c r="BB832" s="18"/>
      <c r="BD832" s="18"/>
      <c r="BE832" s="18"/>
      <c r="BL832" s="18"/>
      <c r="BO832" s="18"/>
      <c r="BZ832" s="18"/>
      <c r="CD832" s="18"/>
      <c r="CI832" s="18"/>
      <c r="CT832" s="18"/>
      <c r="CZ832" s="34" t="s">
        <v>87</v>
      </c>
    </row>
    <row r="833" spans="1:104" x14ac:dyDescent="0.25">
      <c r="A833">
        <v>832</v>
      </c>
      <c r="D833" s="12"/>
      <c r="E833" s="14"/>
      <c r="H833" s="16"/>
      <c r="I833" s="11"/>
      <c r="J833" s="33"/>
      <c r="K833" s="33"/>
      <c r="L833" s="33"/>
      <c r="M833" s="33"/>
      <c r="N833" s="8"/>
      <c r="AG833" s="8"/>
      <c r="AI833" s="30"/>
      <c r="AL833" s="30"/>
      <c r="AM833" s="21"/>
      <c r="AN833" s="23"/>
      <c r="AX833" s="40"/>
      <c r="AZ833" s="40"/>
      <c r="BB833" s="18"/>
      <c r="BD833" s="18"/>
      <c r="BE833" s="18"/>
      <c r="BL833" s="18"/>
      <c r="BO833" s="18"/>
      <c r="BZ833" s="18"/>
      <c r="CD833" s="18"/>
      <c r="CI833" s="18"/>
      <c r="CT833" s="18"/>
      <c r="CZ833" s="34" t="s">
        <v>87</v>
      </c>
    </row>
    <row r="834" spans="1:104" x14ac:dyDescent="0.25">
      <c r="A834">
        <v>833</v>
      </c>
      <c r="D834" s="12"/>
      <c r="E834" s="14"/>
      <c r="H834" s="16"/>
      <c r="I834" s="11"/>
      <c r="J834" s="33"/>
      <c r="K834" s="33"/>
      <c r="L834" s="33"/>
      <c r="M834" s="33"/>
      <c r="N834" s="8"/>
      <c r="AG834" s="8"/>
      <c r="AI834" s="30"/>
      <c r="AL834" s="30"/>
      <c r="AM834" s="21"/>
      <c r="AN834" s="23"/>
      <c r="AX834" s="40"/>
      <c r="AZ834" s="40"/>
      <c r="BB834" s="18"/>
      <c r="BD834" s="18"/>
      <c r="BE834" s="18"/>
      <c r="BL834" s="18"/>
      <c r="BO834" s="18"/>
      <c r="BZ834" s="18"/>
      <c r="CD834" s="18"/>
      <c r="CI834" s="18"/>
      <c r="CT834" s="18"/>
      <c r="CZ834" s="34" t="s">
        <v>87</v>
      </c>
    </row>
    <row r="835" spans="1:104" x14ac:dyDescent="0.25">
      <c r="A835">
        <v>834</v>
      </c>
      <c r="D835" s="12"/>
      <c r="E835" s="14"/>
      <c r="H835" s="16"/>
      <c r="I835" s="11"/>
      <c r="J835" s="33"/>
      <c r="K835" s="33"/>
      <c r="L835" s="33"/>
      <c r="M835" s="33"/>
      <c r="N835" s="8"/>
      <c r="AG835" s="8"/>
      <c r="AI835" s="30"/>
      <c r="AL835" s="30"/>
      <c r="AM835" s="21"/>
      <c r="AN835" s="23"/>
      <c r="AX835" s="40"/>
      <c r="AZ835" s="40"/>
      <c r="BB835" s="18"/>
      <c r="BD835" s="18"/>
      <c r="BE835" s="18"/>
      <c r="BL835" s="18"/>
      <c r="BO835" s="18"/>
      <c r="BZ835" s="18"/>
      <c r="CD835" s="18"/>
      <c r="CI835" s="18"/>
      <c r="CT835" s="18"/>
      <c r="CZ835" s="34" t="s">
        <v>87</v>
      </c>
    </row>
    <row r="836" spans="1:104" x14ac:dyDescent="0.25">
      <c r="A836">
        <v>835</v>
      </c>
      <c r="D836" s="12"/>
      <c r="E836" s="14"/>
      <c r="H836" s="16"/>
      <c r="I836" s="11"/>
      <c r="J836" s="33"/>
      <c r="K836" s="33"/>
      <c r="L836" s="33"/>
      <c r="M836" s="33"/>
      <c r="N836" s="8"/>
      <c r="AG836" s="8"/>
      <c r="AI836" s="30"/>
      <c r="AL836" s="30"/>
      <c r="AM836" s="21"/>
      <c r="AN836" s="23"/>
      <c r="AX836" s="40"/>
      <c r="AZ836" s="40"/>
      <c r="BB836" s="18"/>
      <c r="BD836" s="18"/>
      <c r="BE836" s="18"/>
      <c r="BL836" s="18"/>
      <c r="BO836" s="18"/>
      <c r="BZ836" s="18"/>
      <c r="CD836" s="18"/>
      <c r="CI836" s="18"/>
      <c r="CT836" s="18"/>
      <c r="CZ836" s="34" t="s">
        <v>87</v>
      </c>
    </row>
    <row r="837" spans="1:104" x14ac:dyDescent="0.25">
      <c r="A837">
        <v>836</v>
      </c>
      <c r="D837" s="12"/>
      <c r="E837" s="14"/>
      <c r="H837" s="16"/>
      <c r="I837" s="11"/>
      <c r="J837" s="33"/>
      <c r="K837" s="33"/>
      <c r="L837" s="33"/>
      <c r="M837" s="33"/>
      <c r="N837" s="8"/>
      <c r="AG837" s="8"/>
      <c r="AI837" s="30"/>
      <c r="AL837" s="30"/>
      <c r="AM837" s="21"/>
      <c r="AN837" s="23"/>
      <c r="AX837" s="40"/>
      <c r="AZ837" s="40"/>
      <c r="BB837" s="18"/>
      <c r="BD837" s="18"/>
      <c r="BE837" s="18"/>
      <c r="BL837" s="18"/>
      <c r="BO837" s="18"/>
      <c r="BZ837" s="18"/>
      <c r="CD837" s="18"/>
      <c r="CI837" s="18"/>
      <c r="CT837" s="18"/>
      <c r="CZ837" s="34" t="s">
        <v>87</v>
      </c>
    </row>
    <row r="838" spans="1:104" x14ac:dyDescent="0.25">
      <c r="A838">
        <v>837</v>
      </c>
      <c r="D838" s="12"/>
      <c r="E838" s="14"/>
      <c r="H838" s="16"/>
      <c r="I838" s="11"/>
      <c r="J838" s="33"/>
      <c r="K838" s="33"/>
      <c r="L838" s="33"/>
      <c r="M838" s="33"/>
      <c r="N838" s="8"/>
      <c r="AG838" s="8"/>
      <c r="AI838" s="30"/>
      <c r="AL838" s="30"/>
      <c r="AM838" s="21"/>
      <c r="AN838" s="23"/>
      <c r="AX838" s="40"/>
      <c r="AZ838" s="40"/>
      <c r="BB838" s="18"/>
      <c r="BD838" s="18"/>
      <c r="BE838" s="18"/>
      <c r="BL838" s="18"/>
      <c r="BO838" s="18"/>
      <c r="BZ838" s="18"/>
      <c r="CD838" s="18"/>
      <c r="CI838" s="18"/>
      <c r="CT838" s="18"/>
      <c r="CZ838" s="34" t="s">
        <v>87</v>
      </c>
    </row>
    <row r="839" spans="1:104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AG839" s="8"/>
      <c r="AI839" s="30"/>
      <c r="AL839" s="30"/>
      <c r="AM839" s="21"/>
      <c r="AN839" s="23"/>
      <c r="AX839" s="40"/>
      <c r="AZ839" s="40"/>
      <c r="BB839" s="18"/>
      <c r="BD839" s="18"/>
      <c r="BE839" s="18"/>
      <c r="BL839" s="18"/>
      <c r="BO839" s="18"/>
      <c r="BZ839" s="18"/>
      <c r="CD839" s="18"/>
      <c r="CI839" s="18"/>
      <c r="CT839" s="18"/>
      <c r="CZ839" s="34" t="s">
        <v>87</v>
      </c>
    </row>
    <row r="840" spans="1:104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AG840" s="8"/>
      <c r="AI840" s="30"/>
      <c r="AL840" s="30"/>
      <c r="AM840" s="21"/>
      <c r="AN840" s="23"/>
      <c r="AX840" s="40"/>
      <c r="AZ840" s="40"/>
      <c r="BB840" s="18"/>
      <c r="BD840" s="18"/>
      <c r="BE840" s="18"/>
      <c r="BL840" s="18"/>
      <c r="BO840" s="18"/>
      <c r="BZ840" s="18"/>
      <c r="CD840" s="18"/>
      <c r="CI840" s="18"/>
      <c r="CT840" s="18"/>
      <c r="CZ840" s="34" t="s">
        <v>87</v>
      </c>
    </row>
    <row r="841" spans="1:104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AG841" s="8"/>
      <c r="AI841" s="30"/>
      <c r="AL841" s="30"/>
      <c r="AM841" s="21"/>
      <c r="AN841" s="23"/>
      <c r="AX841" s="40"/>
      <c r="AZ841" s="40"/>
      <c r="BB841" s="18"/>
      <c r="BD841" s="18"/>
      <c r="BE841" s="18"/>
      <c r="BL841" s="18"/>
      <c r="BO841" s="18"/>
      <c r="BZ841" s="18"/>
      <c r="CD841" s="18"/>
      <c r="CI841" s="18"/>
      <c r="CT841" s="18"/>
      <c r="CZ841" s="34" t="s">
        <v>87</v>
      </c>
    </row>
    <row r="842" spans="1:104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AG842" s="8"/>
      <c r="AI842" s="30"/>
      <c r="AL842" s="30"/>
      <c r="AM842" s="21"/>
      <c r="AN842" s="23"/>
      <c r="AX842" s="40"/>
      <c r="AZ842" s="40"/>
      <c r="BB842" s="18"/>
      <c r="BD842" s="18"/>
      <c r="BE842" s="18"/>
      <c r="BL842" s="18"/>
      <c r="BO842" s="18"/>
      <c r="BZ842" s="18"/>
      <c r="CD842" s="18"/>
      <c r="CI842" s="18"/>
      <c r="CT842" s="18"/>
      <c r="CZ842" s="34" t="s">
        <v>87</v>
      </c>
    </row>
    <row r="843" spans="1:104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AG843" s="8"/>
      <c r="AI843" s="30"/>
      <c r="AL843" s="30"/>
      <c r="AM843" s="21"/>
      <c r="AN843" s="23"/>
      <c r="AX843" s="40"/>
      <c r="AZ843" s="40"/>
      <c r="BB843" s="18"/>
      <c r="BD843" s="18"/>
      <c r="BE843" s="18"/>
      <c r="BL843" s="18"/>
      <c r="BO843" s="18"/>
      <c r="BZ843" s="18"/>
      <c r="CD843" s="18"/>
      <c r="CI843" s="18"/>
      <c r="CT843" s="18"/>
      <c r="CZ843" s="34" t="s">
        <v>87</v>
      </c>
    </row>
    <row r="844" spans="1:104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AG844" s="8"/>
      <c r="AI844" s="30"/>
      <c r="AL844" s="30"/>
      <c r="AM844" s="21"/>
      <c r="AN844" s="23"/>
      <c r="AX844" s="40"/>
      <c r="AZ844" s="40"/>
      <c r="BB844" s="18"/>
      <c r="BD844" s="18"/>
      <c r="BE844" s="18"/>
      <c r="BL844" s="18"/>
      <c r="BO844" s="18"/>
      <c r="BZ844" s="18"/>
      <c r="CD844" s="18"/>
      <c r="CI844" s="18"/>
      <c r="CT844" s="18"/>
      <c r="CZ844" s="34" t="s">
        <v>87</v>
      </c>
    </row>
    <row r="845" spans="1:104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AG845" s="8"/>
      <c r="AI845" s="30"/>
      <c r="AL845" s="30"/>
      <c r="AM845" s="21"/>
      <c r="AN845" s="23"/>
      <c r="AX845" s="40"/>
      <c r="AZ845" s="40"/>
      <c r="BB845" s="18"/>
      <c r="BD845" s="18"/>
      <c r="BE845" s="18"/>
      <c r="BL845" s="18"/>
      <c r="BO845" s="18"/>
      <c r="BZ845" s="18"/>
      <c r="CD845" s="18"/>
      <c r="CI845" s="18"/>
      <c r="CT845" s="18"/>
      <c r="CZ845" s="34" t="s">
        <v>87</v>
      </c>
    </row>
    <row r="846" spans="1:104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AG846" s="8"/>
      <c r="AI846" s="30"/>
      <c r="AL846" s="30"/>
      <c r="AM846" s="21"/>
      <c r="AN846" s="23"/>
      <c r="AX846" s="40"/>
      <c r="AZ846" s="40"/>
      <c r="BB846" s="18"/>
      <c r="BD846" s="18"/>
      <c r="BE846" s="18"/>
      <c r="BL846" s="18"/>
      <c r="BO846" s="18"/>
      <c r="BZ846" s="18"/>
      <c r="CD846" s="18"/>
      <c r="CI846" s="18"/>
      <c r="CT846" s="18"/>
      <c r="CZ846" s="34" t="s">
        <v>87</v>
      </c>
    </row>
    <row r="847" spans="1:104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AG847" s="8"/>
      <c r="AI847" s="30"/>
      <c r="AL847" s="30"/>
      <c r="AM847" s="21"/>
      <c r="AN847" s="23"/>
      <c r="AX847" s="40"/>
      <c r="AZ847" s="40"/>
      <c r="BB847" s="18"/>
      <c r="BD847" s="18"/>
      <c r="BE847" s="18"/>
      <c r="BL847" s="18"/>
      <c r="BO847" s="18"/>
      <c r="BZ847" s="18"/>
      <c r="CD847" s="18"/>
      <c r="CI847" s="18"/>
      <c r="CT847" s="18"/>
      <c r="CZ847" s="34" t="s">
        <v>87</v>
      </c>
    </row>
    <row r="848" spans="1:104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AG848" s="8"/>
      <c r="AI848" s="30"/>
      <c r="AL848" s="30"/>
      <c r="AM848" s="21"/>
      <c r="AN848" s="23"/>
      <c r="AX848" s="40"/>
      <c r="AZ848" s="40"/>
      <c r="BB848" s="18"/>
      <c r="BD848" s="18"/>
      <c r="BE848" s="18"/>
      <c r="BL848" s="18"/>
      <c r="BO848" s="18"/>
      <c r="BZ848" s="18"/>
      <c r="CD848" s="18"/>
      <c r="CI848" s="18"/>
      <c r="CT848" s="18"/>
      <c r="CZ848" s="34" t="s">
        <v>87</v>
      </c>
    </row>
    <row r="849" spans="1:104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AG849" s="8"/>
      <c r="AI849" s="30"/>
      <c r="AL849" s="30"/>
      <c r="AM849" s="21"/>
      <c r="AN849" s="23"/>
      <c r="AX849" s="40"/>
      <c r="AZ849" s="40"/>
      <c r="BB849" s="18"/>
      <c r="BD849" s="18"/>
      <c r="BE849" s="18"/>
      <c r="BL849" s="18"/>
      <c r="BO849" s="18"/>
      <c r="BZ849" s="18"/>
      <c r="CD849" s="18"/>
      <c r="CI849" s="18"/>
      <c r="CT849" s="18"/>
      <c r="CZ849" s="34" t="s">
        <v>87</v>
      </c>
    </row>
    <row r="850" spans="1:104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AG850" s="8"/>
      <c r="AI850" s="30"/>
      <c r="AL850" s="30"/>
      <c r="AM850" s="21"/>
      <c r="AN850" s="23"/>
      <c r="AX850" s="40"/>
      <c r="AZ850" s="40"/>
      <c r="BB850" s="18"/>
      <c r="BD850" s="18"/>
      <c r="BE850" s="18"/>
      <c r="BL850" s="18"/>
      <c r="BO850" s="18"/>
      <c r="BZ850" s="18"/>
      <c r="CD850" s="18"/>
      <c r="CI850" s="18"/>
      <c r="CT850" s="18"/>
      <c r="CZ850" s="34" t="s">
        <v>87</v>
      </c>
    </row>
    <row r="851" spans="1:104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AG851" s="8"/>
      <c r="AI851" s="30"/>
      <c r="AL851" s="30"/>
      <c r="AM851" s="21"/>
      <c r="AN851" s="23"/>
      <c r="AX851" s="40"/>
      <c r="AZ851" s="40"/>
      <c r="BB851" s="18"/>
      <c r="BD851" s="18"/>
      <c r="BE851" s="18"/>
      <c r="BL851" s="18"/>
      <c r="BO851" s="18"/>
      <c r="BZ851" s="18"/>
      <c r="CD851" s="18"/>
      <c r="CI851" s="18"/>
      <c r="CT851" s="18"/>
      <c r="CZ851" s="34" t="s">
        <v>87</v>
      </c>
    </row>
    <row r="852" spans="1:104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AG852" s="8"/>
      <c r="AI852" s="30"/>
      <c r="AL852" s="30"/>
      <c r="AM852" s="21"/>
      <c r="AN852" s="23"/>
      <c r="AX852" s="40"/>
      <c r="AZ852" s="40"/>
      <c r="BB852" s="18"/>
      <c r="BD852" s="18"/>
      <c r="BE852" s="18"/>
      <c r="BL852" s="18"/>
      <c r="BO852" s="18"/>
      <c r="BZ852" s="18"/>
      <c r="CD852" s="18"/>
      <c r="CI852" s="18"/>
      <c r="CT852" s="18"/>
      <c r="CZ852" s="34" t="s">
        <v>87</v>
      </c>
    </row>
    <row r="853" spans="1:104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AG853" s="8"/>
      <c r="AI853" s="30"/>
      <c r="AL853" s="30"/>
      <c r="AM853" s="21"/>
      <c r="AN853" s="23"/>
      <c r="AX853" s="40"/>
      <c r="AZ853" s="40"/>
      <c r="BB853" s="18"/>
      <c r="BD853" s="18"/>
      <c r="BE853" s="18"/>
      <c r="BL853" s="18"/>
      <c r="BO853" s="18"/>
      <c r="BZ853" s="18"/>
      <c r="CD853" s="18"/>
      <c r="CI853" s="18"/>
      <c r="CT853" s="18"/>
      <c r="CZ853" s="34" t="s">
        <v>87</v>
      </c>
    </row>
    <row r="854" spans="1:104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AG854" s="8"/>
      <c r="AI854" s="30"/>
      <c r="AL854" s="30"/>
      <c r="AM854" s="21"/>
      <c r="AN854" s="23"/>
      <c r="AX854" s="40"/>
      <c r="AZ854" s="40"/>
      <c r="BB854" s="18"/>
      <c r="BD854" s="18"/>
      <c r="BE854" s="18"/>
      <c r="BL854" s="18"/>
      <c r="BO854" s="18"/>
      <c r="BZ854" s="18"/>
      <c r="CD854" s="18"/>
      <c r="CI854" s="18"/>
      <c r="CT854" s="18"/>
      <c r="CZ854" s="34" t="s">
        <v>87</v>
      </c>
    </row>
    <row r="855" spans="1:104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AG855" s="8"/>
      <c r="AI855" s="30"/>
      <c r="AL855" s="30"/>
      <c r="AM855" s="21"/>
      <c r="AN855" s="23"/>
      <c r="AX855" s="40"/>
      <c r="AZ855" s="40"/>
      <c r="BB855" s="18"/>
      <c r="BD855" s="18"/>
      <c r="BE855" s="18"/>
      <c r="BL855" s="18"/>
      <c r="BO855" s="18"/>
      <c r="BZ855" s="18"/>
      <c r="CD855" s="18"/>
      <c r="CI855" s="18"/>
      <c r="CT855" s="18"/>
      <c r="CZ855" s="34" t="s">
        <v>87</v>
      </c>
    </row>
    <row r="856" spans="1:104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AG856" s="8"/>
      <c r="AI856" s="30"/>
      <c r="AL856" s="30"/>
      <c r="AM856" s="21"/>
      <c r="AN856" s="23"/>
      <c r="AX856" s="40"/>
      <c r="AZ856" s="40"/>
      <c r="BB856" s="18"/>
      <c r="BD856" s="18"/>
      <c r="BE856" s="18"/>
      <c r="BL856" s="18"/>
      <c r="BO856" s="18"/>
      <c r="BZ856" s="18"/>
      <c r="CD856" s="18"/>
      <c r="CI856" s="18"/>
      <c r="CT856" s="18"/>
      <c r="CZ856" s="34" t="s">
        <v>87</v>
      </c>
    </row>
    <row r="857" spans="1:104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AG857" s="8"/>
      <c r="AI857" s="30"/>
      <c r="AL857" s="30"/>
      <c r="AM857" s="21"/>
      <c r="AN857" s="23"/>
      <c r="AX857" s="40"/>
      <c r="AZ857" s="40"/>
      <c r="BB857" s="18"/>
      <c r="BD857" s="18"/>
      <c r="BE857" s="18"/>
      <c r="BL857" s="18"/>
      <c r="BO857" s="18"/>
      <c r="BZ857" s="18"/>
      <c r="CD857" s="18"/>
      <c r="CI857" s="18"/>
      <c r="CT857" s="18"/>
      <c r="CZ857" s="34" t="s">
        <v>87</v>
      </c>
    </row>
    <row r="858" spans="1:104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AG858" s="8"/>
      <c r="AI858" s="30"/>
      <c r="AL858" s="30"/>
      <c r="AM858" s="21"/>
      <c r="AN858" s="23"/>
      <c r="AX858" s="40"/>
      <c r="AZ858" s="40"/>
      <c r="BB858" s="18"/>
      <c r="BD858" s="18"/>
      <c r="BE858" s="18"/>
      <c r="BL858" s="18"/>
      <c r="BO858" s="18"/>
      <c r="BZ858" s="18"/>
      <c r="CD858" s="18"/>
      <c r="CI858" s="18"/>
      <c r="CT858" s="18"/>
      <c r="CZ858" s="34" t="s">
        <v>87</v>
      </c>
    </row>
    <row r="859" spans="1:104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AG859" s="8"/>
      <c r="AI859" s="30"/>
      <c r="AL859" s="30"/>
      <c r="AM859" s="21"/>
      <c r="AN859" s="23"/>
      <c r="AX859" s="40"/>
      <c r="AZ859" s="40"/>
      <c r="BB859" s="18"/>
      <c r="BD859" s="18"/>
      <c r="BE859" s="18"/>
      <c r="BL859" s="18"/>
      <c r="BO859" s="18"/>
      <c r="BZ859" s="18"/>
      <c r="CD859" s="18"/>
      <c r="CI859" s="18"/>
      <c r="CT859" s="18"/>
      <c r="CZ859" s="34" t="s">
        <v>87</v>
      </c>
    </row>
    <row r="860" spans="1:104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AG860" s="8"/>
      <c r="AI860" s="30"/>
      <c r="AL860" s="30"/>
      <c r="AM860" s="21"/>
      <c r="AN860" s="23"/>
      <c r="AX860" s="40"/>
      <c r="AZ860" s="40"/>
      <c r="BB860" s="18"/>
      <c r="BD860" s="18"/>
      <c r="BE860" s="18"/>
      <c r="BL860" s="18"/>
      <c r="BO860" s="18"/>
      <c r="BZ860" s="18"/>
      <c r="CD860" s="18"/>
      <c r="CI860" s="18"/>
      <c r="CT860" s="18"/>
      <c r="CZ860" s="34" t="s">
        <v>87</v>
      </c>
    </row>
    <row r="861" spans="1:104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AG861" s="8"/>
      <c r="AI861" s="30"/>
      <c r="AL861" s="30"/>
      <c r="AM861" s="21"/>
      <c r="AN861" s="23"/>
      <c r="AX861" s="40"/>
      <c r="AZ861" s="40"/>
      <c r="BB861" s="18"/>
      <c r="BD861" s="18"/>
      <c r="BE861" s="18"/>
      <c r="BL861" s="18"/>
      <c r="BO861" s="18"/>
      <c r="BZ861" s="18"/>
      <c r="CD861" s="18"/>
      <c r="CI861" s="18"/>
      <c r="CT861" s="18"/>
      <c r="CZ861" s="34" t="s">
        <v>87</v>
      </c>
    </row>
    <row r="862" spans="1:104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AG862" s="8"/>
      <c r="AI862" s="30"/>
      <c r="AL862" s="30"/>
      <c r="AM862" s="21"/>
      <c r="AN862" s="23"/>
      <c r="AX862" s="40"/>
      <c r="AZ862" s="40"/>
      <c r="BB862" s="18"/>
      <c r="BD862" s="18"/>
      <c r="BE862" s="18"/>
      <c r="BL862" s="18"/>
      <c r="BO862" s="18"/>
      <c r="BZ862" s="18"/>
      <c r="CD862" s="18"/>
      <c r="CI862" s="18"/>
      <c r="CT862" s="18"/>
      <c r="CZ862" s="34" t="s">
        <v>87</v>
      </c>
    </row>
    <row r="863" spans="1:104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AG863" s="8"/>
      <c r="AI863" s="30"/>
      <c r="AL863" s="30"/>
      <c r="AM863" s="21"/>
      <c r="AN863" s="23"/>
      <c r="AX863" s="40"/>
      <c r="AZ863" s="40"/>
      <c r="BB863" s="18"/>
      <c r="BD863" s="18"/>
      <c r="BE863" s="18"/>
      <c r="BL863" s="18"/>
      <c r="BO863" s="18"/>
      <c r="BZ863" s="18"/>
      <c r="CD863" s="18"/>
      <c r="CI863" s="18"/>
      <c r="CT863" s="18"/>
      <c r="CZ863" s="34" t="s">
        <v>87</v>
      </c>
    </row>
    <row r="864" spans="1:104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AG864" s="8"/>
      <c r="AI864" s="30"/>
      <c r="AL864" s="30"/>
      <c r="AM864" s="21"/>
      <c r="AN864" s="23"/>
      <c r="AX864" s="40"/>
      <c r="AZ864" s="40"/>
      <c r="BB864" s="18"/>
      <c r="BD864" s="18"/>
      <c r="BE864" s="18"/>
      <c r="BL864" s="18"/>
      <c r="BO864" s="18"/>
      <c r="BZ864" s="18"/>
      <c r="CD864" s="18"/>
      <c r="CI864" s="18"/>
      <c r="CT864" s="18"/>
      <c r="CZ864" s="34" t="s">
        <v>87</v>
      </c>
    </row>
    <row r="865" spans="1:104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AG865" s="8"/>
      <c r="AI865" s="30"/>
      <c r="AL865" s="30"/>
      <c r="AM865" s="21"/>
      <c r="AN865" s="23"/>
      <c r="AX865" s="40"/>
      <c r="AZ865" s="40"/>
      <c r="BB865" s="18"/>
      <c r="BD865" s="18"/>
      <c r="BE865" s="18"/>
      <c r="BL865" s="18"/>
      <c r="BO865" s="18"/>
      <c r="BZ865" s="18"/>
      <c r="CD865" s="18"/>
      <c r="CI865" s="18"/>
      <c r="CT865" s="18"/>
      <c r="CZ865" s="34" t="s">
        <v>87</v>
      </c>
    </row>
    <row r="866" spans="1:104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AG866" s="8"/>
      <c r="AI866" s="30"/>
      <c r="AL866" s="30"/>
      <c r="AM866" s="21"/>
      <c r="AN866" s="23"/>
      <c r="AX866" s="40"/>
      <c r="AZ866" s="40"/>
      <c r="BB866" s="18"/>
      <c r="BD866" s="18"/>
      <c r="BE866" s="18"/>
      <c r="BL866" s="18"/>
      <c r="BO866" s="18"/>
      <c r="BZ866" s="18"/>
      <c r="CD866" s="18"/>
      <c r="CI866" s="18"/>
      <c r="CT866" s="18"/>
      <c r="CZ866" s="34" t="s">
        <v>87</v>
      </c>
    </row>
    <row r="867" spans="1:104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AG867" s="8"/>
      <c r="AI867" s="30"/>
      <c r="AL867" s="30"/>
      <c r="AM867" s="21"/>
      <c r="AN867" s="23"/>
      <c r="AX867" s="40"/>
      <c r="AZ867" s="40"/>
      <c r="BB867" s="18"/>
      <c r="BD867" s="18"/>
      <c r="BE867" s="18"/>
      <c r="BL867" s="18"/>
      <c r="BO867" s="18"/>
      <c r="BZ867" s="18"/>
      <c r="CD867" s="18"/>
      <c r="CI867" s="18"/>
      <c r="CT867" s="18"/>
      <c r="CZ867" s="34" t="s">
        <v>87</v>
      </c>
    </row>
    <row r="868" spans="1:104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AG868" s="8"/>
      <c r="AI868" s="30"/>
      <c r="AL868" s="30"/>
      <c r="AM868" s="21"/>
      <c r="AN868" s="23"/>
      <c r="AX868" s="40"/>
      <c r="AZ868" s="40"/>
      <c r="BB868" s="18"/>
      <c r="BD868" s="18"/>
      <c r="BE868" s="18"/>
      <c r="BL868" s="18"/>
      <c r="BO868" s="18"/>
      <c r="BZ868" s="18"/>
      <c r="CD868" s="18"/>
      <c r="CI868" s="18"/>
      <c r="CT868" s="18"/>
      <c r="CZ868" s="34" t="s">
        <v>87</v>
      </c>
    </row>
    <row r="869" spans="1:104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AG869" s="8"/>
      <c r="AI869" s="30"/>
      <c r="AL869" s="30"/>
      <c r="AM869" s="21"/>
      <c r="AN869" s="23"/>
      <c r="AX869" s="40"/>
      <c r="AZ869" s="40"/>
      <c r="BB869" s="18"/>
      <c r="BD869" s="18"/>
      <c r="BE869" s="18"/>
      <c r="BL869" s="18"/>
      <c r="BO869" s="18"/>
      <c r="BZ869" s="18"/>
      <c r="CD869" s="18"/>
      <c r="CI869" s="18"/>
      <c r="CT869" s="18"/>
      <c r="CZ869" s="34" t="s">
        <v>87</v>
      </c>
    </row>
    <row r="870" spans="1:104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AG870" s="8"/>
      <c r="AI870" s="30"/>
      <c r="AL870" s="30"/>
      <c r="AM870" s="21"/>
      <c r="AN870" s="23"/>
      <c r="AX870" s="40"/>
      <c r="AZ870" s="40"/>
      <c r="BB870" s="18"/>
      <c r="BD870" s="18"/>
      <c r="BE870" s="18"/>
      <c r="BL870" s="18"/>
      <c r="BO870" s="18"/>
      <c r="BZ870" s="18"/>
      <c r="CD870" s="18"/>
      <c r="CI870" s="18"/>
      <c r="CT870" s="18"/>
      <c r="CZ870" s="34" t="s">
        <v>87</v>
      </c>
    </row>
    <row r="871" spans="1:104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AG871" s="8"/>
      <c r="AI871" s="30"/>
      <c r="AL871" s="30"/>
      <c r="AM871" s="21"/>
      <c r="AN871" s="23"/>
      <c r="AX871" s="40"/>
      <c r="AZ871" s="40"/>
      <c r="BB871" s="18"/>
      <c r="BD871" s="18"/>
      <c r="BE871" s="18"/>
      <c r="BL871" s="18"/>
      <c r="BO871" s="18"/>
      <c r="BZ871" s="18"/>
      <c r="CD871" s="18"/>
      <c r="CI871" s="18"/>
      <c r="CT871" s="18"/>
      <c r="CZ871" s="34" t="s">
        <v>87</v>
      </c>
    </row>
    <row r="872" spans="1:104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AG872" s="8"/>
      <c r="AI872" s="30"/>
      <c r="AL872" s="30"/>
      <c r="AM872" s="21"/>
      <c r="AN872" s="23"/>
      <c r="AX872" s="40"/>
      <c r="AZ872" s="40"/>
      <c r="BB872" s="18"/>
      <c r="BD872" s="18"/>
      <c r="BE872" s="18"/>
      <c r="BL872" s="18"/>
      <c r="BO872" s="18"/>
      <c r="BZ872" s="18"/>
      <c r="CD872" s="18"/>
      <c r="CI872" s="18"/>
      <c r="CT872" s="18"/>
      <c r="CZ872" s="34" t="s">
        <v>87</v>
      </c>
    </row>
    <row r="873" spans="1:104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AG873" s="8"/>
      <c r="AI873" s="30"/>
      <c r="AL873" s="30"/>
      <c r="AM873" s="21"/>
      <c r="AN873" s="23"/>
      <c r="AX873" s="40"/>
      <c r="AZ873" s="40"/>
      <c r="BB873" s="18"/>
      <c r="BD873" s="18"/>
      <c r="BE873" s="18"/>
      <c r="BL873" s="18"/>
      <c r="BO873" s="18"/>
      <c r="BZ873" s="18"/>
      <c r="CD873" s="18"/>
      <c r="CI873" s="18"/>
      <c r="CT873" s="18"/>
      <c r="CZ873" s="34" t="s">
        <v>87</v>
      </c>
    </row>
    <row r="874" spans="1:104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AG874" s="8"/>
      <c r="AI874" s="30"/>
      <c r="AL874" s="30"/>
      <c r="AM874" s="21"/>
      <c r="AN874" s="23"/>
      <c r="AX874" s="40"/>
      <c r="AZ874" s="40"/>
      <c r="BB874" s="18"/>
      <c r="BD874" s="18"/>
      <c r="BE874" s="18"/>
      <c r="BL874" s="18"/>
      <c r="BO874" s="18"/>
      <c r="BZ874" s="18"/>
      <c r="CD874" s="18"/>
      <c r="CI874" s="18"/>
      <c r="CT874" s="18"/>
      <c r="CZ874" s="34" t="s">
        <v>87</v>
      </c>
    </row>
    <row r="875" spans="1:104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AG875" s="8"/>
      <c r="AI875" s="30"/>
      <c r="AL875" s="30"/>
      <c r="AM875" s="21"/>
      <c r="AN875" s="23"/>
      <c r="AX875" s="40"/>
      <c r="AZ875" s="40"/>
      <c r="BB875" s="18"/>
      <c r="BD875" s="18"/>
      <c r="BE875" s="18"/>
      <c r="BL875" s="18"/>
      <c r="BO875" s="18"/>
      <c r="BZ875" s="18"/>
      <c r="CD875" s="18"/>
      <c r="CI875" s="18"/>
      <c r="CT875" s="18"/>
      <c r="CZ875" s="34" t="s">
        <v>87</v>
      </c>
    </row>
    <row r="876" spans="1:104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AG876" s="8"/>
      <c r="AI876" s="30"/>
      <c r="AL876" s="30"/>
      <c r="AM876" s="21"/>
      <c r="AN876" s="23"/>
      <c r="AX876" s="40"/>
      <c r="AZ876" s="40"/>
      <c r="BB876" s="18"/>
      <c r="BD876" s="18"/>
      <c r="BE876" s="18"/>
      <c r="BL876" s="18"/>
      <c r="BO876" s="18"/>
      <c r="BZ876" s="18"/>
      <c r="CD876" s="18"/>
      <c r="CI876" s="18"/>
      <c r="CT876" s="18"/>
      <c r="CZ876" s="34" t="s">
        <v>87</v>
      </c>
    </row>
    <row r="877" spans="1:104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AG877" s="8"/>
      <c r="AI877" s="30"/>
      <c r="AL877" s="30"/>
      <c r="AM877" s="21"/>
      <c r="AN877" s="23"/>
      <c r="AX877" s="40"/>
      <c r="AZ877" s="40"/>
      <c r="BB877" s="18"/>
      <c r="BD877" s="18"/>
      <c r="BE877" s="18"/>
      <c r="BL877" s="18"/>
      <c r="BO877" s="18"/>
      <c r="BZ877" s="18"/>
      <c r="CD877" s="18"/>
      <c r="CI877" s="18"/>
      <c r="CT877" s="18"/>
      <c r="CZ877" s="34" t="s">
        <v>87</v>
      </c>
    </row>
    <row r="878" spans="1:104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AG878" s="8"/>
      <c r="AI878" s="30"/>
      <c r="AL878" s="30"/>
      <c r="AM878" s="21"/>
      <c r="AN878" s="23"/>
      <c r="AX878" s="40"/>
      <c r="AZ878" s="40"/>
      <c r="BB878" s="18"/>
      <c r="BD878" s="18"/>
      <c r="BE878" s="18"/>
      <c r="BL878" s="18"/>
      <c r="BO878" s="18"/>
      <c r="BZ878" s="18"/>
      <c r="CD878" s="18"/>
      <c r="CI878" s="18"/>
      <c r="CT878" s="18"/>
      <c r="CZ878" s="34" t="s">
        <v>87</v>
      </c>
    </row>
    <row r="879" spans="1:104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AG879" s="8"/>
      <c r="AI879" s="30"/>
      <c r="AL879" s="30"/>
      <c r="AM879" s="21"/>
      <c r="AN879" s="23"/>
      <c r="AX879" s="40"/>
      <c r="AZ879" s="40"/>
      <c r="BB879" s="18"/>
      <c r="BD879" s="18"/>
      <c r="BE879" s="18"/>
      <c r="BL879" s="18"/>
      <c r="BO879" s="18"/>
      <c r="BZ879" s="18"/>
      <c r="CD879" s="18"/>
      <c r="CI879" s="18"/>
      <c r="CT879" s="18"/>
      <c r="CZ879" s="34" t="s">
        <v>87</v>
      </c>
    </row>
    <row r="880" spans="1:104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AG880" s="8"/>
      <c r="AI880" s="30"/>
      <c r="AL880" s="30"/>
      <c r="AM880" s="21"/>
      <c r="AN880" s="23"/>
      <c r="AX880" s="40"/>
      <c r="AZ880" s="40"/>
      <c r="BB880" s="18"/>
      <c r="BD880" s="18"/>
      <c r="BE880" s="18"/>
      <c r="BL880" s="18"/>
      <c r="BO880" s="18"/>
      <c r="BZ880" s="18"/>
      <c r="CD880" s="18"/>
      <c r="CI880" s="18"/>
      <c r="CT880" s="18"/>
      <c r="CZ880" s="34" t="s">
        <v>87</v>
      </c>
    </row>
    <row r="881" spans="1:104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AG881" s="8"/>
      <c r="AI881" s="30"/>
      <c r="AL881" s="30"/>
      <c r="AM881" s="21"/>
      <c r="AN881" s="23"/>
      <c r="AX881" s="40"/>
      <c r="AZ881" s="40"/>
      <c r="BB881" s="18"/>
      <c r="BD881" s="18"/>
      <c r="BE881" s="18"/>
      <c r="BL881" s="18"/>
      <c r="BO881" s="18"/>
      <c r="BZ881" s="18"/>
      <c r="CD881" s="18"/>
      <c r="CI881" s="18"/>
      <c r="CT881" s="18"/>
      <c r="CZ881" s="34" t="s">
        <v>87</v>
      </c>
    </row>
    <row r="882" spans="1:104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AG882" s="8"/>
      <c r="AI882" s="30"/>
      <c r="AL882" s="30"/>
      <c r="AM882" s="21"/>
      <c r="AN882" s="23"/>
      <c r="AX882" s="40"/>
      <c r="AZ882" s="40"/>
      <c r="BB882" s="18"/>
      <c r="BD882" s="18"/>
      <c r="BE882" s="18"/>
      <c r="BL882" s="18"/>
      <c r="BO882" s="18"/>
      <c r="BZ882" s="18"/>
      <c r="CD882" s="18"/>
      <c r="CI882" s="18"/>
      <c r="CT882" s="18"/>
      <c r="CZ882" s="34" t="s">
        <v>87</v>
      </c>
    </row>
    <row r="883" spans="1:104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AG883" s="8"/>
      <c r="AI883" s="30"/>
      <c r="AL883" s="30"/>
      <c r="AM883" s="21"/>
      <c r="AN883" s="23"/>
      <c r="AX883" s="40"/>
      <c r="AZ883" s="40"/>
      <c r="BB883" s="18"/>
      <c r="BD883" s="18"/>
      <c r="BE883" s="18"/>
      <c r="BL883" s="18"/>
      <c r="BO883" s="18"/>
      <c r="BZ883" s="18"/>
      <c r="CD883" s="18"/>
      <c r="CI883" s="18"/>
      <c r="CT883" s="18"/>
      <c r="CZ883" s="34" t="s">
        <v>87</v>
      </c>
    </row>
    <row r="884" spans="1:104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AG884" s="8"/>
      <c r="AI884" s="30"/>
      <c r="AL884" s="30"/>
      <c r="AM884" s="21"/>
      <c r="AN884" s="23"/>
      <c r="AX884" s="40"/>
      <c r="AZ884" s="40"/>
      <c r="BB884" s="18"/>
      <c r="BD884" s="18"/>
      <c r="BE884" s="18"/>
      <c r="BL884" s="18"/>
      <c r="BO884" s="18"/>
      <c r="BZ884" s="18"/>
      <c r="CD884" s="18"/>
      <c r="CI884" s="18"/>
      <c r="CT884" s="18"/>
      <c r="CZ884" s="34" t="s">
        <v>87</v>
      </c>
    </row>
    <row r="885" spans="1:104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AG885" s="8"/>
      <c r="AI885" s="30"/>
      <c r="AL885" s="30"/>
      <c r="AM885" s="21"/>
      <c r="AN885" s="23"/>
      <c r="AX885" s="40"/>
      <c r="AZ885" s="40"/>
      <c r="BB885" s="18"/>
      <c r="BD885" s="18"/>
      <c r="BE885" s="18"/>
      <c r="BL885" s="18"/>
      <c r="BO885" s="18"/>
      <c r="BZ885" s="18"/>
      <c r="CD885" s="18"/>
      <c r="CI885" s="18"/>
      <c r="CT885" s="18"/>
      <c r="CZ885" s="34" t="s">
        <v>87</v>
      </c>
    </row>
    <row r="886" spans="1:104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AG886" s="8"/>
      <c r="AI886" s="30"/>
      <c r="AL886" s="30"/>
      <c r="AM886" s="21"/>
      <c r="AN886" s="23"/>
      <c r="AX886" s="40"/>
      <c r="AZ886" s="40"/>
      <c r="BB886" s="18"/>
      <c r="BD886" s="18"/>
      <c r="BE886" s="18"/>
      <c r="BL886" s="18"/>
      <c r="BO886" s="18"/>
      <c r="BZ886" s="18"/>
      <c r="CD886" s="18"/>
      <c r="CI886" s="18"/>
      <c r="CT886" s="18"/>
      <c r="CZ886" s="34" t="s">
        <v>87</v>
      </c>
    </row>
    <row r="887" spans="1:104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AG887" s="8"/>
      <c r="AI887" s="30"/>
      <c r="AL887" s="30"/>
      <c r="AM887" s="21"/>
      <c r="AN887" s="23"/>
      <c r="AX887" s="40"/>
      <c r="AZ887" s="40"/>
      <c r="BB887" s="18"/>
      <c r="BD887" s="18"/>
      <c r="BE887" s="18"/>
      <c r="BL887" s="18"/>
      <c r="BO887" s="18"/>
      <c r="BZ887" s="18"/>
      <c r="CD887" s="18"/>
      <c r="CI887" s="18"/>
      <c r="CT887" s="18"/>
      <c r="CZ887" s="34" t="s">
        <v>87</v>
      </c>
    </row>
    <row r="888" spans="1:104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AG888" s="8"/>
      <c r="AI888" s="30"/>
      <c r="AL888" s="30"/>
      <c r="AM888" s="21"/>
      <c r="AN888" s="23"/>
      <c r="AX888" s="40"/>
      <c r="AZ888" s="40"/>
      <c r="BB888" s="18"/>
      <c r="BD888" s="18"/>
      <c r="BE888" s="18"/>
      <c r="BL888" s="18"/>
      <c r="BO888" s="18"/>
      <c r="BZ888" s="18"/>
      <c r="CD888" s="18"/>
      <c r="CI888" s="18"/>
      <c r="CT888" s="18"/>
      <c r="CZ888" s="34" t="s">
        <v>87</v>
      </c>
    </row>
    <row r="889" spans="1:104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AG889" s="8"/>
      <c r="AI889" s="30"/>
      <c r="AL889" s="30"/>
      <c r="AM889" s="21"/>
      <c r="AN889" s="23"/>
      <c r="AX889" s="40"/>
      <c r="AZ889" s="40"/>
      <c r="BB889" s="18"/>
      <c r="BD889" s="18"/>
      <c r="BE889" s="18"/>
      <c r="BL889" s="18"/>
      <c r="BO889" s="18"/>
      <c r="BZ889" s="18"/>
      <c r="CD889" s="18"/>
      <c r="CI889" s="18"/>
      <c r="CT889" s="18"/>
      <c r="CZ889" s="34" t="s">
        <v>87</v>
      </c>
    </row>
    <row r="890" spans="1:104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AG890" s="8"/>
      <c r="AI890" s="30"/>
      <c r="AL890" s="30"/>
      <c r="AM890" s="21"/>
      <c r="AN890" s="23"/>
      <c r="AX890" s="40"/>
      <c r="AZ890" s="40"/>
      <c r="BB890" s="18"/>
      <c r="BD890" s="18"/>
      <c r="BE890" s="18"/>
      <c r="BL890" s="18"/>
      <c r="BO890" s="18"/>
      <c r="BZ890" s="18"/>
      <c r="CD890" s="18"/>
      <c r="CI890" s="18"/>
      <c r="CT890" s="18"/>
      <c r="CZ890" s="34" t="s">
        <v>87</v>
      </c>
    </row>
    <row r="891" spans="1:104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AG891" s="8"/>
      <c r="AI891" s="30"/>
      <c r="AL891" s="30"/>
      <c r="AM891" s="21"/>
      <c r="AN891" s="23"/>
      <c r="AX891" s="40"/>
      <c r="AZ891" s="40"/>
      <c r="BB891" s="18"/>
      <c r="BD891" s="18"/>
      <c r="BE891" s="18"/>
      <c r="BL891" s="18"/>
      <c r="BO891" s="18"/>
      <c r="BZ891" s="18"/>
      <c r="CD891" s="18"/>
      <c r="CI891" s="18"/>
      <c r="CT891" s="18"/>
      <c r="CZ891" s="34" t="s">
        <v>87</v>
      </c>
    </row>
    <row r="892" spans="1:104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AG892" s="8"/>
      <c r="AI892" s="30"/>
      <c r="AL892" s="30"/>
      <c r="AM892" s="21"/>
      <c r="AN892" s="23"/>
      <c r="AX892" s="40"/>
      <c r="AZ892" s="40"/>
      <c r="BB892" s="18"/>
      <c r="BD892" s="18"/>
      <c r="BE892" s="18"/>
      <c r="BL892" s="18"/>
      <c r="BO892" s="18"/>
      <c r="BZ892" s="18"/>
      <c r="CD892" s="18"/>
      <c r="CI892" s="18"/>
      <c r="CT892" s="18"/>
      <c r="CZ892" s="34" t="s">
        <v>87</v>
      </c>
    </row>
    <row r="893" spans="1:104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AG893" s="8"/>
      <c r="AI893" s="30"/>
      <c r="AL893" s="30"/>
      <c r="AM893" s="21"/>
      <c r="AN893" s="23"/>
      <c r="AX893" s="40"/>
      <c r="AZ893" s="40"/>
      <c r="BB893" s="18"/>
      <c r="BD893" s="18"/>
      <c r="BE893" s="18"/>
      <c r="BL893" s="18"/>
      <c r="BO893" s="18"/>
      <c r="BZ893" s="18"/>
      <c r="CD893" s="18"/>
      <c r="CI893" s="18"/>
      <c r="CT893" s="18"/>
      <c r="CZ893" s="34" t="s">
        <v>87</v>
      </c>
    </row>
    <row r="894" spans="1:104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AG894" s="8"/>
      <c r="AI894" s="30"/>
      <c r="AL894" s="30"/>
      <c r="AM894" s="21"/>
      <c r="AN894" s="23"/>
      <c r="AX894" s="40"/>
      <c r="AZ894" s="40"/>
      <c r="BB894" s="18"/>
      <c r="BD894" s="18"/>
      <c r="BE894" s="18"/>
      <c r="BL894" s="18"/>
      <c r="BO894" s="18"/>
      <c r="BZ894" s="18"/>
      <c r="CD894" s="18"/>
      <c r="CI894" s="18"/>
      <c r="CT894" s="18"/>
      <c r="CZ894" s="34" t="s">
        <v>87</v>
      </c>
    </row>
    <row r="895" spans="1:104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AG895" s="8"/>
      <c r="AI895" s="30"/>
      <c r="AL895" s="30"/>
      <c r="AM895" s="21"/>
      <c r="AN895" s="23"/>
      <c r="AX895" s="40"/>
      <c r="AZ895" s="40"/>
      <c r="BB895" s="18"/>
      <c r="BD895" s="18"/>
      <c r="BE895" s="18"/>
      <c r="BL895" s="18"/>
      <c r="BO895" s="18"/>
      <c r="BZ895" s="18"/>
      <c r="CD895" s="18"/>
      <c r="CI895" s="18"/>
      <c r="CT895" s="18"/>
      <c r="CZ895" s="34" t="s">
        <v>87</v>
      </c>
    </row>
    <row r="896" spans="1:104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AG896" s="8"/>
      <c r="AI896" s="30"/>
      <c r="AL896" s="30"/>
      <c r="AM896" s="21"/>
      <c r="AN896" s="23"/>
      <c r="AX896" s="40"/>
      <c r="AZ896" s="40"/>
      <c r="BB896" s="18"/>
      <c r="BD896" s="18"/>
      <c r="BE896" s="18"/>
      <c r="BL896" s="18"/>
      <c r="BO896" s="18"/>
      <c r="BZ896" s="18"/>
      <c r="CD896" s="18"/>
      <c r="CI896" s="18"/>
      <c r="CT896" s="18"/>
      <c r="CZ896" s="34" t="s">
        <v>87</v>
      </c>
    </row>
    <row r="897" spans="1:104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AG897" s="8"/>
      <c r="AI897" s="30"/>
      <c r="AL897" s="30"/>
      <c r="AM897" s="21"/>
      <c r="AN897" s="23"/>
      <c r="AX897" s="40"/>
      <c r="AZ897" s="40"/>
      <c r="BB897" s="18"/>
      <c r="BD897" s="18"/>
      <c r="BE897" s="18"/>
      <c r="BL897" s="18"/>
      <c r="BO897" s="18"/>
      <c r="BZ897" s="18"/>
      <c r="CD897" s="18"/>
      <c r="CI897" s="18"/>
      <c r="CT897" s="18"/>
      <c r="CZ897" s="34" t="s">
        <v>87</v>
      </c>
    </row>
    <row r="898" spans="1:104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AG898" s="8"/>
      <c r="AI898" s="30"/>
      <c r="AL898" s="30"/>
      <c r="AM898" s="21"/>
      <c r="AN898" s="23"/>
      <c r="AX898" s="40"/>
      <c r="AZ898" s="40"/>
      <c r="BB898" s="18"/>
      <c r="BD898" s="18"/>
      <c r="BE898" s="18"/>
      <c r="BL898" s="18"/>
      <c r="BO898" s="18"/>
      <c r="BZ898" s="18"/>
      <c r="CD898" s="18"/>
      <c r="CI898" s="18"/>
      <c r="CT898" s="18"/>
      <c r="CZ898" s="34" t="s">
        <v>87</v>
      </c>
    </row>
    <row r="899" spans="1:104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AG899" s="8"/>
      <c r="AI899" s="30"/>
      <c r="AL899" s="30"/>
      <c r="AM899" s="21"/>
      <c r="AN899" s="23"/>
      <c r="AX899" s="40"/>
      <c r="AZ899" s="40"/>
      <c r="BB899" s="18"/>
      <c r="BD899" s="18"/>
      <c r="BE899" s="18"/>
      <c r="BL899" s="18"/>
      <c r="BO899" s="18"/>
      <c r="BZ899" s="18"/>
      <c r="CD899" s="18"/>
      <c r="CI899" s="18"/>
      <c r="CT899" s="18"/>
      <c r="CZ899" s="34" t="s">
        <v>87</v>
      </c>
    </row>
    <row r="900" spans="1:104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AG900" s="8"/>
      <c r="AI900" s="30"/>
      <c r="AL900" s="30"/>
      <c r="AM900" s="21"/>
      <c r="AN900" s="23"/>
      <c r="AX900" s="40"/>
      <c r="AZ900" s="40"/>
      <c r="BB900" s="18"/>
      <c r="BD900" s="18"/>
      <c r="BE900" s="18"/>
      <c r="BL900" s="18"/>
      <c r="BO900" s="18"/>
      <c r="BZ900" s="18"/>
      <c r="CD900" s="18"/>
      <c r="CI900" s="18"/>
      <c r="CT900" s="18"/>
      <c r="CZ900" s="34" t="s">
        <v>87</v>
      </c>
    </row>
    <row r="901" spans="1:104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AG901" s="8"/>
      <c r="AI901" s="30"/>
      <c r="AL901" s="30"/>
      <c r="AM901" s="21"/>
      <c r="AN901" s="23"/>
      <c r="AX901" s="40"/>
      <c r="AZ901" s="40"/>
      <c r="BB901" s="18"/>
      <c r="BD901" s="18"/>
      <c r="BE901" s="18"/>
      <c r="BL901" s="18"/>
      <c r="BO901" s="18"/>
      <c r="BZ901" s="18"/>
      <c r="CD901" s="18"/>
      <c r="CI901" s="18"/>
      <c r="CT901" s="18"/>
      <c r="CZ901" s="34" t="s">
        <v>87</v>
      </c>
    </row>
    <row r="902" spans="1:104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AG902" s="8"/>
      <c r="AI902" s="30"/>
      <c r="AL902" s="30"/>
      <c r="AM902" s="21"/>
      <c r="AN902" s="23"/>
      <c r="AX902" s="40"/>
      <c r="AZ902" s="40"/>
      <c r="BB902" s="18"/>
      <c r="BD902" s="18"/>
      <c r="BE902" s="18"/>
      <c r="BL902" s="18"/>
      <c r="BO902" s="18"/>
      <c r="BZ902" s="18"/>
      <c r="CD902" s="18"/>
      <c r="CI902" s="18"/>
      <c r="CT902" s="18"/>
      <c r="CZ902" s="34" t="s">
        <v>87</v>
      </c>
    </row>
    <row r="903" spans="1:104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AG903" s="8"/>
      <c r="AI903" s="30"/>
      <c r="AL903" s="30"/>
      <c r="AM903" s="21"/>
      <c r="AN903" s="23"/>
      <c r="AX903" s="40"/>
      <c r="AZ903" s="40"/>
      <c r="BB903" s="18"/>
      <c r="BD903" s="18"/>
      <c r="BE903" s="18"/>
      <c r="BL903" s="18"/>
      <c r="BO903" s="18"/>
      <c r="BZ903" s="18"/>
      <c r="CD903" s="18"/>
      <c r="CI903" s="18"/>
      <c r="CT903" s="18"/>
      <c r="CZ903" s="34" t="s">
        <v>87</v>
      </c>
    </row>
    <row r="904" spans="1:104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AG904" s="8"/>
      <c r="AI904" s="30"/>
      <c r="AL904" s="30"/>
      <c r="AM904" s="21"/>
      <c r="AN904" s="23"/>
      <c r="AX904" s="40"/>
      <c r="AZ904" s="40"/>
      <c r="BB904" s="18"/>
      <c r="BD904" s="18"/>
      <c r="BE904" s="18"/>
      <c r="BL904" s="18"/>
      <c r="BO904" s="18"/>
      <c r="BZ904" s="18"/>
      <c r="CD904" s="18"/>
      <c r="CI904" s="18"/>
      <c r="CT904" s="18"/>
      <c r="CZ904" s="34" t="s">
        <v>87</v>
      </c>
    </row>
    <row r="905" spans="1:104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AG905" s="8"/>
      <c r="AI905" s="30"/>
      <c r="AL905" s="30"/>
      <c r="AM905" s="21"/>
      <c r="AN905" s="23"/>
      <c r="AX905" s="40"/>
      <c r="AZ905" s="40"/>
      <c r="BB905" s="18"/>
      <c r="BD905" s="18"/>
      <c r="BE905" s="18"/>
      <c r="BL905" s="18"/>
      <c r="BO905" s="18"/>
      <c r="BZ905" s="18"/>
      <c r="CD905" s="18"/>
      <c r="CI905" s="18"/>
      <c r="CT905" s="18"/>
      <c r="CZ905" s="34" t="s">
        <v>87</v>
      </c>
    </row>
    <row r="906" spans="1:104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AG906" s="8"/>
      <c r="AI906" s="30"/>
      <c r="AL906" s="30"/>
      <c r="AM906" s="21"/>
      <c r="AN906" s="23"/>
      <c r="AX906" s="40"/>
      <c r="AZ906" s="40"/>
      <c r="BB906" s="18"/>
      <c r="BD906" s="18"/>
      <c r="BE906" s="18"/>
      <c r="BL906" s="18"/>
      <c r="BO906" s="18"/>
      <c r="BZ906" s="18"/>
      <c r="CD906" s="18"/>
      <c r="CI906" s="18"/>
      <c r="CT906" s="18"/>
      <c r="CZ906" s="34" t="s">
        <v>87</v>
      </c>
    </row>
    <row r="907" spans="1:104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AG907" s="8"/>
      <c r="AI907" s="30"/>
      <c r="AL907" s="30"/>
      <c r="AM907" s="21"/>
      <c r="AN907" s="23"/>
      <c r="AX907" s="40"/>
      <c r="AZ907" s="40"/>
      <c r="BB907" s="18"/>
      <c r="BD907" s="18"/>
      <c r="BE907" s="18"/>
      <c r="BL907" s="18"/>
      <c r="BO907" s="18"/>
      <c r="BZ907" s="18"/>
      <c r="CD907" s="18"/>
      <c r="CI907" s="18"/>
      <c r="CT907" s="18"/>
      <c r="CZ907" s="34" t="s">
        <v>87</v>
      </c>
    </row>
    <row r="908" spans="1:104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AG908" s="8"/>
      <c r="AI908" s="30"/>
      <c r="AL908" s="30"/>
      <c r="AM908" s="21"/>
      <c r="AN908" s="23"/>
      <c r="AX908" s="40"/>
      <c r="AZ908" s="40"/>
      <c r="BB908" s="18"/>
      <c r="BD908" s="18"/>
      <c r="BE908" s="18"/>
      <c r="BL908" s="18"/>
      <c r="BO908" s="18"/>
      <c r="BZ908" s="18"/>
      <c r="CD908" s="18"/>
      <c r="CI908" s="18"/>
      <c r="CT908" s="18"/>
      <c r="CZ908" s="34" t="s">
        <v>87</v>
      </c>
    </row>
    <row r="909" spans="1:104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AG909" s="8"/>
      <c r="AI909" s="30"/>
      <c r="AL909" s="30"/>
      <c r="AM909" s="21"/>
      <c r="AN909" s="23"/>
      <c r="AX909" s="40"/>
      <c r="AZ909" s="40"/>
      <c r="BB909" s="18"/>
      <c r="BD909" s="18"/>
      <c r="BE909" s="18"/>
      <c r="BL909" s="18"/>
      <c r="BO909" s="18"/>
      <c r="BZ909" s="18"/>
      <c r="CD909" s="18"/>
      <c r="CI909" s="18"/>
      <c r="CT909" s="18"/>
      <c r="CZ909" s="34" t="s">
        <v>87</v>
      </c>
    </row>
    <row r="910" spans="1:104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AG910" s="8"/>
      <c r="AI910" s="30"/>
      <c r="AL910" s="30"/>
      <c r="AM910" s="21"/>
      <c r="AN910" s="23"/>
      <c r="AX910" s="40"/>
      <c r="AZ910" s="40"/>
      <c r="BB910" s="18"/>
      <c r="BD910" s="18"/>
      <c r="BE910" s="18"/>
      <c r="BL910" s="18"/>
      <c r="BO910" s="18"/>
      <c r="BZ910" s="18"/>
      <c r="CD910" s="18"/>
      <c r="CI910" s="18"/>
      <c r="CT910" s="18"/>
      <c r="CZ910" s="34" t="s">
        <v>87</v>
      </c>
    </row>
    <row r="911" spans="1:104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AG911" s="8"/>
      <c r="AI911" s="30"/>
      <c r="AL911" s="30"/>
      <c r="AM911" s="21"/>
      <c r="AN911" s="23"/>
      <c r="AX911" s="40"/>
      <c r="AZ911" s="40"/>
      <c r="BB911" s="18"/>
      <c r="BD911" s="18"/>
      <c r="BE911" s="18"/>
      <c r="BL911" s="18"/>
      <c r="BO911" s="18"/>
      <c r="BZ911" s="18"/>
      <c r="CD911" s="18"/>
      <c r="CI911" s="18"/>
      <c r="CT911" s="18"/>
      <c r="CZ911" s="34" t="s">
        <v>87</v>
      </c>
    </row>
    <row r="912" spans="1:104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AG912" s="8"/>
      <c r="AI912" s="30"/>
      <c r="AL912" s="30"/>
      <c r="AM912" s="21"/>
      <c r="AN912" s="23"/>
      <c r="AX912" s="40"/>
      <c r="AZ912" s="40"/>
      <c r="BB912" s="18"/>
      <c r="BD912" s="18"/>
      <c r="BE912" s="18"/>
      <c r="BL912" s="18"/>
      <c r="BO912" s="18"/>
      <c r="BZ912" s="18"/>
      <c r="CD912" s="18"/>
      <c r="CI912" s="18"/>
      <c r="CT912" s="18"/>
      <c r="CZ912" s="34" t="s">
        <v>87</v>
      </c>
    </row>
    <row r="913" spans="1:104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AG913" s="8"/>
      <c r="AI913" s="30"/>
      <c r="AL913" s="30"/>
      <c r="AM913" s="21"/>
      <c r="AN913" s="23"/>
      <c r="AX913" s="40"/>
      <c r="AZ913" s="40"/>
      <c r="BB913" s="18"/>
      <c r="BD913" s="18"/>
      <c r="BE913" s="18"/>
      <c r="BL913" s="18"/>
      <c r="BO913" s="18"/>
      <c r="BZ913" s="18"/>
      <c r="CD913" s="18"/>
      <c r="CI913" s="18"/>
      <c r="CT913" s="18"/>
      <c r="CZ913" s="34" t="s">
        <v>87</v>
      </c>
    </row>
    <row r="914" spans="1:104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AG914" s="8"/>
      <c r="AI914" s="30"/>
      <c r="AL914" s="30"/>
      <c r="AM914" s="21"/>
      <c r="AN914" s="23"/>
      <c r="AX914" s="40"/>
      <c r="AZ914" s="40"/>
      <c r="BB914" s="18"/>
      <c r="BD914" s="18"/>
      <c r="BE914" s="18"/>
      <c r="BL914" s="18"/>
      <c r="BO914" s="18"/>
      <c r="BZ914" s="18"/>
      <c r="CD914" s="18"/>
      <c r="CI914" s="18"/>
      <c r="CT914" s="18"/>
      <c r="CZ914" s="34" t="s">
        <v>87</v>
      </c>
    </row>
    <row r="915" spans="1:104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AG915" s="8"/>
      <c r="AI915" s="30"/>
      <c r="AL915" s="30"/>
      <c r="AM915" s="21"/>
      <c r="AN915" s="23"/>
      <c r="AX915" s="40"/>
      <c r="AZ915" s="40"/>
      <c r="BB915" s="18"/>
      <c r="BD915" s="18"/>
      <c r="BE915" s="18"/>
      <c r="BL915" s="18"/>
      <c r="BO915" s="18"/>
      <c r="BZ915" s="18"/>
      <c r="CD915" s="18"/>
      <c r="CI915" s="18"/>
      <c r="CT915" s="18"/>
      <c r="CZ915" s="34" t="s">
        <v>87</v>
      </c>
    </row>
    <row r="916" spans="1:104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AG916" s="8"/>
      <c r="AI916" s="30"/>
      <c r="AL916" s="30"/>
      <c r="AM916" s="21"/>
      <c r="AN916" s="23"/>
      <c r="AX916" s="40"/>
      <c r="AZ916" s="40"/>
      <c r="BB916" s="18"/>
      <c r="BD916" s="18"/>
      <c r="BE916" s="18"/>
      <c r="BL916" s="18"/>
      <c r="BO916" s="18"/>
      <c r="BZ916" s="18"/>
      <c r="CD916" s="18"/>
      <c r="CI916" s="18"/>
      <c r="CT916" s="18"/>
      <c r="CZ916" s="34" t="s">
        <v>87</v>
      </c>
    </row>
    <row r="917" spans="1:104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AG917" s="8"/>
      <c r="AI917" s="30"/>
      <c r="AL917" s="30"/>
      <c r="AM917" s="21"/>
      <c r="AN917" s="23"/>
      <c r="AX917" s="40"/>
      <c r="AZ917" s="40"/>
      <c r="BB917" s="18"/>
      <c r="BD917" s="18"/>
      <c r="BE917" s="18"/>
      <c r="BL917" s="18"/>
      <c r="BO917" s="18"/>
      <c r="BZ917" s="18"/>
      <c r="CD917" s="18"/>
      <c r="CI917" s="18"/>
      <c r="CT917" s="18"/>
      <c r="CZ917" s="34" t="s">
        <v>87</v>
      </c>
    </row>
    <row r="918" spans="1:104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AG918" s="8"/>
      <c r="AI918" s="30"/>
      <c r="AL918" s="30"/>
      <c r="AM918" s="21"/>
      <c r="AN918" s="23"/>
      <c r="AX918" s="40"/>
      <c r="AZ918" s="40"/>
      <c r="BB918" s="18"/>
      <c r="BD918" s="18"/>
      <c r="BE918" s="18"/>
      <c r="BL918" s="18"/>
      <c r="BO918" s="18"/>
      <c r="BZ918" s="18"/>
      <c r="CD918" s="18"/>
      <c r="CI918" s="18"/>
      <c r="CT918" s="18"/>
      <c r="CZ918" s="34" t="s">
        <v>87</v>
      </c>
    </row>
    <row r="919" spans="1:104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AG919" s="8"/>
      <c r="AI919" s="30"/>
      <c r="AL919" s="30"/>
      <c r="AM919" s="21"/>
      <c r="AN919" s="23"/>
      <c r="AX919" s="40"/>
      <c r="AZ919" s="40"/>
      <c r="BB919" s="18"/>
      <c r="BD919" s="18"/>
      <c r="BE919" s="18"/>
      <c r="BL919" s="18"/>
      <c r="BO919" s="18"/>
      <c r="BZ919" s="18"/>
      <c r="CD919" s="18"/>
      <c r="CI919" s="18"/>
      <c r="CT919" s="18"/>
      <c r="CZ919" s="34" t="s">
        <v>87</v>
      </c>
    </row>
    <row r="920" spans="1:104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AG920" s="8"/>
      <c r="AI920" s="30"/>
      <c r="AL920" s="30"/>
      <c r="AM920" s="21"/>
      <c r="AN920" s="23"/>
      <c r="AX920" s="40"/>
      <c r="AZ920" s="40"/>
      <c r="BB920" s="18"/>
      <c r="BD920" s="18"/>
      <c r="BE920" s="18"/>
      <c r="BL920" s="18"/>
      <c r="BO920" s="18"/>
      <c r="BZ920" s="18"/>
      <c r="CD920" s="18"/>
      <c r="CI920" s="18"/>
      <c r="CT920" s="18"/>
      <c r="CZ920" s="34" t="s">
        <v>87</v>
      </c>
    </row>
    <row r="921" spans="1:104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AG921" s="8"/>
      <c r="AI921" s="30"/>
      <c r="AL921" s="30"/>
      <c r="AM921" s="21"/>
      <c r="AN921" s="23"/>
      <c r="AX921" s="40"/>
      <c r="AZ921" s="40"/>
      <c r="BB921" s="18"/>
      <c r="BD921" s="18"/>
      <c r="BE921" s="18"/>
      <c r="BL921" s="18"/>
      <c r="BO921" s="18"/>
      <c r="BZ921" s="18"/>
      <c r="CD921" s="18"/>
      <c r="CI921" s="18"/>
      <c r="CT921" s="18"/>
      <c r="CZ921" s="34" t="s">
        <v>87</v>
      </c>
    </row>
    <row r="922" spans="1:104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AG922" s="8"/>
      <c r="AI922" s="30"/>
      <c r="AL922" s="30"/>
      <c r="AM922" s="21"/>
      <c r="AN922" s="23"/>
      <c r="AX922" s="40"/>
      <c r="AZ922" s="40"/>
      <c r="BB922" s="18"/>
      <c r="BD922" s="18"/>
      <c r="BE922" s="18"/>
      <c r="BL922" s="18"/>
      <c r="BO922" s="18"/>
      <c r="BZ922" s="18"/>
      <c r="CD922" s="18"/>
      <c r="CI922" s="18"/>
      <c r="CT922" s="18"/>
      <c r="CZ922" s="34" t="s">
        <v>87</v>
      </c>
    </row>
    <row r="923" spans="1:104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AG923" s="8"/>
      <c r="AI923" s="30"/>
      <c r="AL923" s="30"/>
      <c r="AM923" s="21"/>
      <c r="AN923" s="23"/>
      <c r="AX923" s="40"/>
      <c r="AZ923" s="40"/>
      <c r="BB923" s="18"/>
      <c r="BD923" s="18"/>
      <c r="BE923" s="18"/>
      <c r="BL923" s="18"/>
      <c r="BO923" s="18"/>
      <c r="BZ923" s="18"/>
      <c r="CD923" s="18"/>
      <c r="CI923" s="18"/>
      <c r="CT923" s="18"/>
      <c r="CZ923" s="34" t="s">
        <v>87</v>
      </c>
    </row>
    <row r="924" spans="1:104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AG924" s="8"/>
      <c r="AI924" s="30"/>
      <c r="AL924" s="30"/>
      <c r="AM924" s="21"/>
      <c r="AN924" s="23"/>
      <c r="AX924" s="40"/>
      <c r="AZ924" s="40"/>
      <c r="BB924" s="18"/>
      <c r="BD924" s="18"/>
      <c r="BE924" s="18"/>
      <c r="BL924" s="18"/>
      <c r="BO924" s="18"/>
      <c r="BZ924" s="18"/>
      <c r="CD924" s="18"/>
      <c r="CI924" s="18"/>
      <c r="CT924" s="18"/>
      <c r="CZ924" s="34" t="s">
        <v>87</v>
      </c>
    </row>
    <row r="925" spans="1:104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AG925" s="8"/>
      <c r="AI925" s="30"/>
      <c r="AL925" s="30"/>
      <c r="AM925" s="21"/>
      <c r="AN925" s="23"/>
      <c r="AX925" s="40"/>
      <c r="AZ925" s="40"/>
      <c r="BB925" s="18"/>
      <c r="BD925" s="18"/>
      <c r="BE925" s="18"/>
      <c r="BL925" s="18"/>
      <c r="BO925" s="18"/>
      <c r="BZ925" s="18"/>
      <c r="CD925" s="18"/>
      <c r="CI925" s="18"/>
      <c r="CT925" s="18"/>
      <c r="CZ925" s="34" t="s">
        <v>87</v>
      </c>
    </row>
    <row r="926" spans="1:104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AG926" s="8"/>
      <c r="AI926" s="30"/>
      <c r="AL926" s="30"/>
      <c r="AM926" s="21"/>
      <c r="AN926" s="23"/>
      <c r="AX926" s="40"/>
      <c r="AZ926" s="40"/>
      <c r="BB926" s="18"/>
      <c r="BD926" s="18"/>
      <c r="BE926" s="18"/>
      <c r="BL926" s="18"/>
      <c r="BO926" s="18"/>
      <c r="BZ926" s="18"/>
      <c r="CD926" s="18"/>
      <c r="CI926" s="18"/>
      <c r="CT926" s="18"/>
      <c r="CZ926" s="34" t="s">
        <v>87</v>
      </c>
    </row>
    <row r="927" spans="1:104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AG927" s="8"/>
      <c r="AI927" s="30"/>
      <c r="AL927" s="30"/>
      <c r="AM927" s="21"/>
      <c r="AN927" s="23"/>
      <c r="AX927" s="40"/>
      <c r="AZ927" s="40"/>
      <c r="BB927" s="18"/>
      <c r="BD927" s="18"/>
      <c r="BE927" s="18"/>
      <c r="BL927" s="18"/>
      <c r="BO927" s="18"/>
      <c r="BZ927" s="18"/>
      <c r="CD927" s="18"/>
      <c r="CI927" s="18"/>
      <c r="CT927" s="18"/>
      <c r="CZ927" s="34" t="s">
        <v>87</v>
      </c>
    </row>
    <row r="928" spans="1:104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AG928" s="8"/>
      <c r="AI928" s="30"/>
      <c r="AL928" s="30"/>
      <c r="AM928" s="21"/>
      <c r="AN928" s="23"/>
      <c r="AX928" s="40"/>
      <c r="AZ928" s="40"/>
      <c r="BB928" s="18"/>
      <c r="BD928" s="18"/>
      <c r="BE928" s="18"/>
      <c r="BL928" s="18"/>
      <c r="BO928" s="18"/>
      <c r="BZ928" s="18"/>
      <c r="CD928" s="18"/>
      <c r="CI928" s="18"/>
      <c r="CT928" s="18"/>
      <c r="CZ928" s="34" t="s">
        <v>87</v>
      </c>
    </row>
    <row r="929" spans="1:104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AG929" s="8"/>
      <c r="AI929" s="30"/>
      <c r="AL929" s="30"/>
      <c r="AM929" s="21"/>
      <c r="AN929" s="23"/>
      <c r="AX929" s="40"/>
      <c r="AZ929" s="40"/>
      <c r="BB929" s="18"/>
      <c r="BD929" s="18"/>
      <c r="BE929" s="18"/>
      <c r="BL929" s="18"/>
      <c r="BO929" s="18"/>
      <c r="BZ929" s="18"/>
      <c r="CD929" s="18"/>
      <c r="CI929" s="18"/>
      <c r="CT929" s="18"/>
      <c r="CZ929" s="34" t="s">
        <v>87</v>
      </c>
    </row>
    <row r="930" spans="1:104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AG930" s="8"/>
      <c r="AI930" s="30"/>
      <c r="AL930" s="30"/>
      <c r="AM930" s="21"/>
      <c r="AN930" s="23"/>
      <c r="AX930" s="40"/>
      <c r="AZ930" s="40"/>
      <c r="BB930" s="18"/>
      <c r="BD930" s="18"/>
      <c r="BE930" s="18"/>
      <c r="BL930" s="18"/>
      <c r="BO930" s="18"/>
      <c r="BZ930" s="18"/>
      <c r="CD930" s="18"/>
      <c r="CI930" s="18"/>
      <c r="CT930" s="18"/>
      <c r="CZ930" s="34" t="s">
        <v>87</v>
      </c>
    </row>
    <row r="931" spans="1:104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AG931" s="8"/>
      <c r="AI931" s="30"/>
      <c r="AL931" s="30"/>
      <c r="AM931" s="21"/>
      <c r="AN931" s="23"/>
      <c r="AX931" s="40"/>
      <c r="AZ931" s="40"/>
      <c r="BB931" s="18"/>
      <c r="BD931" s="18"/>
      <c r="BE931" s="18"/>
      <c r="BL931" s="18"/>
      <c r="BO931" s="18"/>
      <c r="BZ931" s="18"/>
      <c r="CD931" s="18"/>
      <c r="CI931" s="18"/>
      <c r="CT931" s="18"/>
      <c r="CZ931" s="34" t="s">
        <v>87</v>
      </c>
    </row>
    <row r="932" spans="1:104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AG932" s="8"/>
      <c r="AI932" s="30"/>
      <c r="AL932" s="30"/>
      <c r="AM932" s="21"/>
      <c r="AN932" s="23"/>
      <c r="AX932" s="40"/>
      <c r="AZ932" s="40"/>
      <c r="BB932" s="18"/>
      <c r="BD932" s="18"/>
      <c r="BE932" s="18"/>
      <c r="BL932" s="18"/>
      <c r="BO932" s="18"/>
      <c r="BZ932" s="18"/>
      <c r="CD932" s="18"/>
      <c r="CI932" s="18"/>
      <c r="CT932" s="18"/>
      <c r="CZ932" s="34" t="s">
        <v>87</v>
      </c>
    </row>
    <row r="933" spans="1:104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AG933" s="8"/>
      <c r="AI933" s="30"/>
      <c r="AL933" s="30"/>
      <c r="AM933" s="21"/>
      <c r="AN933" s="23"/>
      <c r="AX933" s="40"/>
      <c r="AZ933" s="40"/>
      <c r="BB933" s="18"/>
      <c r="BD933" s="18"/>
      <c r="BE933" s="18"/>
      <c r="BL933" s="18"/>
      <c r="BO933" s="18"/>
      <c r="BZ933" s="18"/>
      <c r="CD933" s="18"/>
      <c r="CI933" s="18"/>
      <c r="CT933" s="18"/>
      <c r="CZ933" s="34" t="s">
        <v>87</v>
      </c>
    </row>
    <row r="934" spans="1:104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AG934" s="8"/>
      <c r="AI934" s="30"/>
      <c r="AL934" s="30"/>
      <c r="AM934" s="21"/>
      <c r="AN934" s="23"/>
      <c r="AX934" s="40"/>
      <c r="AZ934" s="40"/>
      <c r="BB934" s="18"/>
      <c r="BD934" s="18"/>
      <c r="BE934" s="18"/>
      <c r="BL934" s="18"/>
      <c r="BO934" s="18"/>
      <c r="BZ934" s="18"/>
      <c r="CD934" s="18"/>
      <c r="CI934" s="18"/>
      <c r="CT934" s="18"/>
      <c r="CZ934" s="34" t="s">
        <v>87</v>
      </c>
    </row>
    <row r="935" spans="1:104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AG935" s="8"/>
      <c r="AI935" s="30"/>
      <c r="AL935" s="30"/>
      <c r="AM935" s="21"/>
      <c r="AN935" s="23"/>
      <c r="AX935" s="40"/>
      <c r="AZ935" s="40"/>
      <c r="BB935" s="18"/>
      <c r="BD935" s="18"/>
      <c r="BE935" s="18"/>
      <c r="BL935" s="18"/>
      <c r="BO935" s="18"/>
      <c r="BZ935" s="18"/>
      <c r="CD935" s="18"/>
      <c r="CI935" s="18"/>
      <c r="CT935" s="18"/>
      <c r="CZ935" s="34" t="s">
        <v>87</v>
      </c>
    </row>
    <row r="936" spans="1:104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AG936" s="8"/>
      <c r="AI936" s="30"/>
      <c r="AL936" s="30"/>
      <c r="AM936" s="21"/>
      <c r="AN936" s="23"/>
      <c r="AX936" s="40"/>
      <c r="AZ936" s="40"/>
      <c r="BB936" s="18"/>
      <c r="BD936" s="18"/>
      <c r="BE936" s="18"/>
      <c r="BL936" s="18"/>
      <c r="BO936" s="18"/>
      <c r="BZ936" s="18"/>
      <c r="CD936" s="18"/>
      <c r="CI936" s="18"/>
      <c r="CT936" s="18"/>
      <c r="CZ936" s="34" t="s">
        <v>87</v>
      </c>
    </row>
    <row r="937" spans="1:104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AG937" s="8"/>
      <c r="AI937" s="30"/>
      <c r="AL937" s="30"/>
      <c r="AM937" s="21"/>
      <c r="AN937" s="23"/>
      <c r="AX937" s="40"/>
      <c r="AZ937" s="40"/>
      <c r="BB937" s="18"/>
      <c r="BD937" s="18"/>
      <c r="BE937" s="18"/>
      <c r="BL937" s="18"/>
      <c r="BO937" s="18"/>
      <c r="BZ937" s="18"/>
      <c r="CD937" s="18"/>
      <c r="CI937" s="18"/>
      <c r="CT937" s="18"/>
      <c r="CZ937" s="34" t="s">
        <v>87</v>
      </c>
    </row>
    <row r="938" spans="1:104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AG938" s="8"/>
      <c r="AI938" s="30"/>
      <c r="AL938" s="30"/>
      <c r="AM938" s="21"/>
      <c r="AN938" s="23"/>
      <c r="AX938" s="40"/>
      <c r="AZ938" s="40"/>
      <c r="BB938" s="18"/>
      <c r="BD938" s="18"/>
      <c r="BE938" s="18"/>
      <c r="BL938" s="18"/>
      <c r="BO938" s="18"/>
      <c r="BZ938" s="18"/>
      <c r="CD938" s="18"/>
      <c r="CI938" s="18"/>
      <c r="CT938" s="18"/>
      <c r="CZ938" s="34" t="s">
        <v>87</v>
      </c>
    </row>
    <row r="939" spans="1:104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AG939" s="8"/>
      <c r="AI939" s="30"/>
      <c r="AL939" s="30"/>
      <c r="AM939" s="21"/>
      <c r="AN939" s="23"/>
      <c r="AX939" s="40"/>
      <c r="AZ939" s="40"/>
      <c r="BB939" s="18"/>
      <c r="BD939" s="18"/>
      <c r="BE939" s="18"/>
      <c r="BL939" s="18"/>
      <c r="BO939" s="18"/>
      <c r="BZ939" s="18"/>
      <c r="CD939" s="18"/>
      <c r="CI939" s="18"/>
      <c r="CT939" s="18"/>
      <c r="CZ939" s="34" t="s">
        <v>87</v>
      </c>
    </row>
    <row r="940" spans="1:104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AG940" s="8"/>
      <c r="AI940" s="30"/>
      <c r="AL940" s="30"/>
      <c r="AM940" s="21"/>
      <c r="AN940" s="23"/>
      <c r="AX940" s="40"/>
      <c r="AZ940" s="40"/>
      <c r="BB940" s="18"/>
      <c r="BD940" s="18"/>
      <c r="BE940" s="18"/>
      <c r="BL940" s="18"/>
      <c r="BO940" s="18"/>
      <c r="BZ940" s="18"/>
      <c r="CD940" s="18"/>
      <c r="CI940" s="18"/>
      <c r="CT940" s="18"/>
      <c r="CZ940" s="34" t="s">
        <v>87</v>
      </c>
    </row>
    <row r="941" spans="1:104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AG941" s="8"/>
      <c r="AI941" s="30"/>
      <c r="AL941" s="30"/>
      <c r="AM941" s="21"/>
      <c r="AN941" s="23"/>
      <c r="AX941" s="40"/>
      <c r="AZ941" s="40"/>
      <c r="BB941" s="18"/>
      <c r="BD941" s="18"/>
      <c r="BE941" s="18"/>
      <c r="BL941" s="18"/>
      <c r="BO941" s="18"/>
      <c r="BZ941" s="18"/>
      <c r="CD941" s="18"/>
      <c r="CI941" s="18"/>
      <c r="CT941" s="18"/>
      <c r="CZ941" s="34" t="s">
        <v>87</v>
      </c>
    </row>
    <row r="942" spans="1:104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AG942" s="8"/>
      <c r="AI942" s="30"/>
      <c r="AL942" s="30"/>
      <c r="AM942" s="21"/>
      <c r="AN942" s="23"/>
      <c r="AX942" s="40"/>
      <c r="AZ942" s="40"/>
      <c r="BB942" s="18"/>
      <c r="BD942" s="18"/>
      <c r="BE942" s="18"/>
      <c r="BL942" s="18"/>
      <c r="BO942" s="18"/>
      <c r="BZ942" s="18"/>
      <c r="CD942" s="18"/>
      <c r="CI942" s="18"/>
      <c r="CT942" s="18"/>
      <c r="CZ942" s="34" t="s">
        <v>87</v>
      </c>
    </row>
    <row r="943" spans="1:104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AG943" s="8"/>
      <c r="AI943" s="30"/>
      <c r="AL943" s="30"/>
      <c r="AM943" s="21"/>
      <c r="AN943" s="23"/>
      <c r="AX943" s="40"/>
      <c r="AZ943" s="40"/>
      <c r="BB943" s="18"/>
      <c r="BD943" s="18"/>
      <c r="BE943" s="18"/>
      <c r="BL943" s="18"/>
      <c r="BO943" s="18"/>
      <c r="BZ943" s="18"/>
      <c r="CD943" s="18"/>
      <c r="CI943" s="18"/>
      <c r="CT943" s="18"/>
      <c r="CZ943" s="34" t="s">
        <v>87</v>
      </c>
    </row>
    <row r="944" spans="1:104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AG944" s="8"/>
      <c r="AI944" s="30"/>
      <c r="AL944" s="30"/>
      <c r="AM944" s="21"/>
      <c r="AN944" s="23"/>
      <c r="AX944" s="40"/>
      <c r="AZ944" s="40"/>
      <c r="BB944" s="18"/>
      <c r="BD944" s="18"/>
      <c r="BE944" s="18"/>
      <c r="BL944" s="18"/>
      <c r="BO944" s="18"/>
      <c r="BZ944" s="18"/>
      <c r="CD944" s="18"/>
      <c r="CI944" s="18"/>
      <c r="CT944" s="18"/>
      <c r="CZ944" s="34" t="s">
        <v>87</v>
      </c>
    </row>
    <row r="945" spans="1:104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AG945" s="8"/>
      <c r="AI945" s="30"/>
      <c r="AL945" s="30"/>
      <c r="AM945" s="21"/>
      <c r="AN945" s="23"/>
      <c r="AX945" s="40"/>
      <c r="AZ945" s="40"/>
      <c r="BB945" s="18"/>
      <c r="BD945" s="18"/>
      <c r="BE945" s="18"/>
      <c r="BL945" s="18"/>
      <c r="BO945" s="18"/>
      <c r="BZ945" s="18"/>
      <c r="CD945" s="18"/>
      <c r="CI945" s="18"/>
      <c r="CT945" s="18"/>
      <c r="CZ945" s="34" t="s">
        <v>87</v>
      </c>
    </row>
    <row r="946" spans="1:104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AG946" s="8"/>
      <c r="AI946" s="30"/>
      <c r="AL946" s="30"/>
      <c r="AM946" s="21"/>
      <c r="AN946" s="23"/>
      <c r="AX946" s="40"/>
      <c r="AZ946" s="40"/>
      <c r="BB946" s="18"/>
      <c r="BD946" s="18"/>
      <c r="BE946" s="18"/>
      <c r="BL946" s="18"/>
      <c r="BO946" s="18"/>
      <c r="BZ946" s="18"/>
      <c r="CD946" s="18"/>
      <c r="CI946" s="18"/>
      <c r="CT946" s="18"/>
      <c r="CZ946" s="34" t="s">
        <v>87</v>
      </c>
    </row>
    <row r="947" spans="1:104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AG947" s="8"/>
      <c r="AI947" s="30"/>
      <c r="AL947" s="30"/>
      <c r="AM947" s="21"/>
      <c r="AN947" s="23"/>
      <c r="AX947" s="40"/>
      <c r="AZ947" s="40"/>
      <c r="BB947" s="18"/>
      <c r="BD947" s="18"/>
      <c r="BE947" s="18"/>
      <c r="BL947" s="18"/>
      <c r="BO947" s="18"/>
      <c r="BZ947" s="18"/>
      <c r="CD947" s="18"/>
      <c r="CI947" s="18"/>
      <c r="CT947" s="18"/>
      <c r="CZ947" s="34" t="s">
        <v>87</v>
      </c>
    </row>
    <row r="948" spans="1:104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AG948" s="8"/>
      <c r="AI948" s="30"/>
      <c r="AL948" s="30"/>
      <c r="AM948" s="21"/>
      <c r="AN948" s="23"/>
      <c r="AX948" s="40"/>
      <c r="AZ948" s="40"/>
      <c r="BB948" s="18"/>
      <c r="BD948" s="18"/>
      <c r="BE948" s="18"/>
      <c r="BL948" s="18"/>
      <c r="BO948" s="18"/>
      <c r="BZ948" s="18"/>
      <c r="CD948" s="18"/>
      <c r="CI948" s="18"/>
      <c r="CT948" s="18"/>
      <c r="CZ948" s="34" t="s">
        <v>87</v>
      </c>
    </row>
    <row r="949" spans="1:104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AG949" s="8"/>
      <c r="AI949" s="30"/>
      <c r="AL949" s="30"/>
      <c r="AM949" s="21"/>
      <c r="AN949" s="23"/>
      <c r="AX949" s="40"/>
      <c r="AZ949" s="40"/>
      <c r="BB949" s="18"/>
      <c r="BD949" s="18"/>
      <c r="BE949" s="18"/>
      <c r="BL949" s="18"/>
      <c r="BO949" s="18"/>
      <c r="BZ949" s="18"/>
      <c r="CD949" s="18"/>
      <c r="CI949" s="18"/>
      <c r="CT949" s="18"/>
      <c r="CZ949" s="34" t="s">
        <v>87</v>
      </c>
    </row>
    <row r="950" spans="1:104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AG950" s="8"/>
      <c r="AI950" s="30"/>
      <c r="AL950" s="30"/>
      <c r="AM950" s="21"/>
      <c r="AN950" s="23"/>
      <c r="AX950" s="40"/>
      <c r="AZ950" s="40"/>
      <c r="BB950" s="18"/>
      <c r="BD950" s="18"/>
      <c r="BE950" s="18"/>
      <c r="BL950" s="18"/>
      <c r="BO950" s="18"/>
      <c r="BZ950" s="18"/>
      <c r="CD950" s="18"/>
      <c r="CI950" s="18"/>
      <c r="CT950" s="18"/>
      <c r="CZ950" s="34" t="s">
        <v>87</v>
      </c>
    </row>
    <row r="951" spans="1:104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AG951" s="8"/>
      <c r="AI951" s="30"/>
      <c r="AL951" s="30"/>
      <c r="AM951" s="21"/>
      <c r="AN951" s="23"/>
      <c r="AX951" s="40"/>
      <c r="AZ951" s="40"/>
      <c r="BB951" s="18"/>
      <c r="BD951" s="18"/>
      <c r="BE951" s="18"/>
      <c r="BL951" s="18"/>
      <c r="BO951" s="18"/>
      <c r="BZ951" s="18"/>
      <c r="CD951" s="18"/>
      <c r="CI951" s="18"/>
      <c r="CT951" s="18"/>
      <c r="CZ951" s="34" t="s">
        <v>87</v>
      </c>
    </row>
    <row r="952" spans="1:104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AG952" s="8"/>
      <c r="AI952" s="30"/>
      <c r="AL952" s="30"/>
      <c r="AM952" s="21"/>
      <c r="AN952" s="23"/>
      <c r="AX952" s="40"/>
      <c r="AZ952" s="40"/>
      <c r="BB952" s="18"/>
      <c r="BD952" s="18"/>
      <c r="BE952" s="18"/>
      <c r="BL952" s="18"/>
      <c r="BO952" s="18"/>
      <c r="BZ952" s="18"/>
      <c r="CD952" s="18"/>
      <c r="CI952" s="18"/>
      <c r="CT952" s="18"/>
      <c r="CZ952" s="34" t="s">
        <v>87</v>
      </c>
    </row>
    <row r="953" spans="1:104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AG953" s="8"/>
      <c r="AI953" s="30"/>
      <c r="AL953" s="30"/>
      <c r="AM953" s="21"/>
      <c r="AN953" s="23"/>
      <c r="AX953" s="40"/>
      <c r="AZ953" s="40"/>
      <c r="BB953" s="18"/>
      <c r="BD953" s="18"/>
      <c r="BE953" s="18"/>
      <c r="BL953" s="18"/>
      <c r="BO953" s="18"/>
      <c r="BZ953" s="18"/>
      <c r="CD953" s="18"/>
      <c r="CI953" s="18"/>
      <c r="CT953" s="18"/>
      <c r="CZ953" s="34" t="s">
        <v>87</v>
      </c>
    </row>
    <row r="954" spans="1:104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AG954" s="8"/>
      <c r="AI954" s="30"/>
      <c r="AL954" s="30"/>
      <c r="AM954" s="21"/>
      <c r="AN954" s="23"/>
      <c r="AX954" s="40"/>
      <c r="AZ954" s="40"/>
      <c r="BB954" s="18"/>
      <c r="BD954" s="18"/>
      <c r="BE954" s="18"/>
      <c r="BL954" s="18"/>
      <c r="BO954" s="18"/>
      <c r="BZ954" s="18"/>
      <c r="CD954" s="18"/>
      <c r="CI954" s="18"/>
      <c r="CT954" s="18"/>
      <c r="CZ954" s="34" t="s">
        <v>87</v>
      </c>
    </row>
    <row r="955" spans="1:104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AG955" s="8"/>
      <c r="AI955" s="30"/>
      <c r="AL955" s="30"/>
      <c r="AM955" s="21"/>
      <c r="AN955" s="23"/>
      <c r="AX955" s="40"/>
      <c r="AZ955" s="40"/>
      <c r="BB955" s="18"/>
      <c r="BD955" s="18"/>
      <c r="BE955" s="18"/>
      <c r="BL955" s="18"/>
      <c r="BO955" s="18"/>
      <c r="BZ955" s="18"/>
      <c r="CD955" s="18"/>
      <c r="CI955" s="18"/>
      <c r="CT955" s="18"/>
      <c r="CZ955" s="34" t="s">
        <v>87</v>
      </c>
    </row>
    <row r="956" spans="1:104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AG956" s="8"/>
      <c r="AI956" s="30"/>
      <c r="AL956" s="30"/>
      <c r="AM956" s="21"/>
      <c r="AN956" s="23"/>
      <c r="AX956" s="40"/>
      <c r="AZ956" s="40"/>
      <c r="BB956" s="18"/>
      <c r="BD956" s="18"/>
      <c r="BE956" s="18"/>
      <c r="BL956" s="18"/>
      <c r="BO956" s="18"/>
      <c r="BZ956" s="18"/>
      <c r="CD956" s="18"/>
      <c r="CI956" s="18"/>
      <c r="CT956" s="18"/>
      <c r="CZ956" s="34" t="s">
        <v>87</v>
      </c>
    </row>
    <row r="957" spans="1:104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AG957" s="8"/>
      <c r="AI957" s="30"/>
      <c r="AL957" s="30"/>
      <c r="AM957" s="21"/>
      <c r="AN957" s="23"/>
      <c r="AX957" s="40"/>
      <c r="AZ957" s="40"/>
      <c r="BB957" s="18"/>
      <c r="BD957" s="18"/>
      <c r="BE957" s="18"/>
      <c r="BL957" s="18"/>
      <c r="BO957" s="18"/>
      <c r="BZ957" s="18"/>
      <c r="CD957" s="18"/>
      <c r="CI957" s="18"/>
      <c r="CT957" s="18"/>
      <c r="CZ957" s="34" t="s">
        <v>87</v>
      </c>
    </row>
    <row r="958" spans="1:104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AG958" s="8"/>
      <c r="AI958" s="30"/>
      <c r="AL958" s="30"/>
      <c r="AM958" s="21"/>
      <c r="AN958" s="23"/>
      <c r="AX958" s="40"/>
      <c r="AZ958" s="40"/>
      <c r="BB958" s="18"/>
      <c r="BD958" s="18"/>
      <c r="BE958" s="18"/>
      <c r="BL958" s="18"/>
      <c r="BO958" s="18"/>
      <c r="BZ958" s="18"/>
      <c r="CD958" s="18"/>
      <c r="CI958" s="18"/>
      <c r="CT958" s="18"/>
      <c r="CZ958" s="34" t="s">
        <v>87</v>
      </c>
    </row>
    <row r="959" spans="1:104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AG959" s="8"/>
      <c r="AI959" s="30"/>
      <c r="AL959" s="30"/>
      <c r="AM959" s="21"/>
      <c r="AN959" s="23"/>
      <c r="AX959" s="40"/>
      <c r="AZ959" s="40"/>
      <c r="BB959" s="18"/>
      <c r="BD959" s="18"/>
      <c r="BE959" s="18"/>
      <c r="BL959" s="18"/>
      <c r="BO959" s="18"/>
      <c r="BZ959" s="18"/>
      <c r="CD959" s="18"/>
      <c r="CI959" s="18"/>
      <c r="CT959" s="18"/>
      <c r="CZ959" s="34" t="s">
        <v>87</v>
      </c>
    </row>
    <row r="960" spans="1:104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AG960" s="8"/>
      <c r="AI960" s="30"/>
      <c r="AL960" s="30"/>
      <c r="AM960" s="21"/>
      <c r="AN960" s="23"/>
      <c r="AX960" s="40"/>
      <c r="AZ960" s="40"/>
      <c r="BB960" s="18"/>
      <c r="BD960" s="18"/>
      <c r="BE960" s="18"/>
      <c r="BL960" s="18"/>
      <c r="BO960" s="18"/>
      <c r="BZ960" s="18"/>
      <c r="CD960" s="18"/>
      <c r="CI960" s="18"/>
      <c r="CT960" s="18"/>
      <c r="CZ960" s="34" t="s">
        <v>87</v>
      </c>
    </row>
    <row r="961" spans="1:104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AG961" s="8"/>
      <c r="AI961" s="30"/>
      <c r="AL961" s="30"/>
      <c r="AM961" s="21"/>
      <c r="AN961" s="23"/>
      <c r="AX961" s="40"/>
      <c r="AZ961" s="40"/>
      <c r="BB961" s="18"/>
      <c r="BD961" s="18"/>
      <c r="BE961" s="18"/>
      <c r="BL961" s="18"/>
      <c r="BO961" s="18"/>
      <c r="BZ961" s="18"/>
      <c r="CD961" s="18"/>
      <c r="CI961" s="18"/>
      <c r="CT961" s="18"/>
      <c r="CZ961" s="34" t="s">
        <v>87</v>
      </c>
    </row>
    <row r="962" spans="1:104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AG962" s="8"/>
      <c r="AI962" s="30"/>
      <c r="AL962" s="30"/>
      <c r="AM962" s="21"/>
      <c r="AN962" s="23"/>
      <c r="AX962" s="40"/>
      <c r="AZ962" s="40"/>
      <c r="BB962" s="18"/>
      <c r="BD962" s="18"/>
      <c r="BE962" s="18"/>
      <c r="BL962" s="18"/>
      <c r="BO962" s="18"/>
      <c r="BZ962" s="18"/>
      <c r="CD962" s="18"/>
      <c r="CI962" s="18"/>
      <c r="CT962" s="18"/>
      <c r="CZ962" s="34" t="s">
        <v>87</v>
      </c>
    </row>
    <row r="963" spans="1:104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AG963" s="8"/>
      <c r="AI963" s="30"/>
      <c r="AL963" s="30"/>
      <c r="AM963" s="21"/>
      <c r="AN963" s="23"/>
      <c r="AX963" s="40"/>
      <c r="AZ963" s="40"/>
      <c r="BB963" s="18"/>
      <c r="BD963" s="18"/>
      <c r="BE963" s="18"/>
      <c r="BL963" s="18"/>
      <c r="BO963" s="18"/>
      <c r="BZ963" s="18"/>
      <c r="CD963" s="18"/>
      <c r="CI963" s="18"/>
      <c r="CT963" s="18"/>
      <c r="CZ963" s="34" t="s">
        <v>87</v>
      </c>
    </row>
    <row r="964" spans="1:104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AG964" s="8"/>
      <c r="AI964" s="30"/>
      <c r="AL964" s="30"/>
      <c r="AM964" s="21"/>
      <c r="AN964" s="23"/>
      <c r="AX964" s="40"/>
      <c r="AZ964" s="40"/>
      <c r="BB964" s="18"/>
      <c r="BD964" s="18"/>
      <c r="BE964" s="18"/>
      <c r="BL964" s="18"/>
      <c r="BO964" s="18"/>
      <c r="BZ964" s="18"/>
      <c r="CD964" s="18"/>
      <c r="CI964" s="18"/>
      <c r="CT964" s="18"/>
      <c r="CZ964" s="34" t="s">
        <v>87</v>
      </c>
    </row>
    <row r="965" spans="1:104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AG965" s="8"/>
      <c r="AI965" s="30"/>
      <c r="AL965" s="30"/>
      <c r="AM965" s="21"/>
      <c r="AN965" s="23"/>
      <c r="AX965" s="40"/>
      <c r="AZ965" s="40"/>
      <c r="BB965" s="18"/>
      <c r="BD965" s="18"/>
      <c r="BE965" s="18"/>
      <c r="BL965" s="18"/>
      <c r="BO965" s="18"/>
      <c r="BZ965" s="18"/>
      <c r="CD965" s="18"/>
      <c r="CI965" s="18"/>
      <c r="CT965" s="18"/>
      <c r="CZ965" s="34" t="s">
        <v>87</v>
      </c>
    </row>
    <row r="966" spans="1:104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AG966" s="8"/>
      <c r="AI966" s="30"/>
      <c r="AL966" s="30"/>
      <c r="AM966" s="21"/>
      <c r="AN966" s="23"/>
      <c r="AX966" s="40"/>
      <c r="AZ966" s="40"/>
      <c r="BB966" s="18"/>
      <c r="BD966" s="18"/>
      <c r="BE966" s="18"/>
      <c r="BL966" s="18"/>
      <c r="BO966" s="18"/>
      <c r="BZ966" s="18"/>
      <c r="CD966" s="18"/>
      <c r="CI966" s="18"/>
      <c r="CT966" s="18"/>
      <c r="CZ966" s="34" t="s">
        <v>87</v>
      </c>
    </row>
    <row r="967" spans="1:104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AG967" s="8"/>
      <c r="AI967" s="30"/>
      <c r="AL967" s="30"/>
      <c r="AM967" s="21"/>
      <c r="AN967" s="23"/>
      <c r="AX967" s="40"/>
      <c r="AZ967" s="40"/>
      <c r="BB967" s="18"/>
      <c r="BD967" s="18"/>
      <c r="BE967" s="18"/>
      <c r="BL967" s="18"/>
      <c r="BO967" s="18"/>
      <c r="BZ967" s="18"/>
      <c r="CD967" s="18"/>
      <c r="CI967" s="18"/>
      <c r="CT967" s="18"/>
      <c r="CZ967" s="34" t="s">
        <v>87</v>
      </c>
    </row>
    <row r="968" spans="1:104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AG968" s="8"/>
      <c r="AI968" s="30"/>
      <c r="AL968" s="30"/>
      <c r="AM968" s="21"/>
      <c r="AN968" s="23"/>
      <c r="AX968" s="40"/>
      <c r="AZ968" s="40"/>
      <c r="BB968" s="18"/>
      <c r="BD968" s="18"/>
      <c r="BE968" s="18"/>
      <c r="BL968" s="18"/>
      <c r="BO968" s="18"/>
      <c r="BZ968" s="18"/>
      <c r="CD968" s="18"/>
      <c r="CI968" s="18"/>
      <c r="CT968" s="18"/>
      <c r="CZ968" s="34" t="s">
        <v>87</v>
      </c>
    </row>
    <row r="969" spans="1:104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AG969" s="8"/>
      <c r="AI969" s="30"/>
      <c r="AL969" s="30"/>
      <c r="AM969" s="21"/>
      <c r="AN969" s="23"/>
      <c r="AX969" s="40"/>
      <c r="AZ969" s="40"/>
      <c r="BB969" s="18"/>
      <c r="BD969" s="18"/>
      <c r="BE969" s="18"/>
      <c r="BL969" s="18"/>
      <c r="BO969" s="18"/>
      <c r="BZ969" s="18"/>
      <c r="CD969" s="18"/>
      <c r="CI969" s="18"/>
      <c r="CT969" s="18"/>
      <c r="CZ969" s="34" t="s">
        <v>87</v>
      </c>
    </row>
    <row r="970" spans="1:104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AG970" s="8"/>
      <c r="AI970" s="30"/>
      <c r="AL970" s="30"/>
      <c r="AM970" s="21"/>
      <c r="AN970" s="23"/>
      <c r="AX970" s="40"/>
      <c r="AZ970" s="40"/>
      <c r="BB970" s="18"/>
      <c r="BD970" s="18"/>
      <c r="BE970" s="18"/>
      <c r="BL970" s="18"/>
      <c r="BO970" s="18"/>
      <c r="BZ970" s="18"/>
      <c r="CD970" s="18"/>
      <c r="CI970" s="18"/>
      <c r="CT970" s="18"/>
      <c r="CZ970" s="34" t="s">
        <v>87</v>
      </c>
    </row>
    <row r="971" spans="1:104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AG971" s="8"/>
      <c r="AI971" s="30"/>
      <c r="AL971" s="30"/>
      <c r="AM971" s="21"/>
      <c r="AN971" s="23"/>
      <c r="AX971" s="40"/>
      <c r="AZ971" s="40"/>
      <c r="BB971" s="18"/>
      <c r="BD971" s="18"/>
      <c r="BE971" s="18"/>
      <c r="BL971" s="18"/>
      <c r="BO971" s="18"/>
      <c r="BZ971" s="18"/>
      <c r="CD971" s="18"/>
      <c r="CI971" s="18"/>
      <c r="CT971" s="18"/>
      <c r="CZ971" s="34" t="s">
        <v>87</v>
      </c>
    </row>
    <row r="972" spans="1:104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AG972" s="8"/>
      <c r="AI972" s="30"/>
      <c r="AL972" s="30"/>
      <c r="AM972" s="21"/>
      <c r="AN972" s="23"/>
      <c r="AX972" s="40"/>
      <c r="AZ972" s="40"/>
      <c r="BB972" s="18"/>
      <c r="BD972" s="18"/>
      <c r="BE972" s="18"/>
      <c r="BL972" s="18"/>
      <c r="BO972" s="18"/>
      <c r="BZ972" s="18"/>
      <c r="CD972" s="18"/>
      <c r="CI972" s="18"/>
      <c r="CT972" s="18"/>
      <c r="CZ972" s="34" t="s">
        <v>87</v>
      </c>
    </row>
    <row r="973" spans="1:104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AG973" s="8"/>
      <c r="AI973" s="30"/>
      <c r="AL973" s="30"/>
      <c r="AM973" s="21"/>
      <c r="AN973" s="23"/>
      <c r="AX973" s="40"/>
      <c r="AZ973" s="40"/>
      <c r="BB973" s="18"/>
      <c r="BD973" s="18"/>
      <c r="BE973" s="18"/>
      <c r="BL973" s="18"/>
      <c r="BO973" s="18"/>
      <c r="BZ973" s="18"/>
      <c r="CD973" s="18"/>
      <c r="CI973" s="18"/>
      <c r="CT973" s="18"/>
      <c r="CZ973" s="34" t="s">
        <v>87</v>
      </c>
    </row>
    <row r="974" spans="1:104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AG974" s="8"/>
      <c r="AI974" s="30"/>
      <c r="AL974" s="30"/>
      <c r="AM974" s="21"/>
      <c r="AN974" s="23"/>
      <c r="AX974" s="40"/>
      <c r="AZ974" s="40"/>
      <c r="BB974" s="18"/>
      <c r="BD974" s="18"/>
      <c r="BE974" s="18"/>
      <c r="BL974" s="18"/>
      <c r="BO974" s="18"/>
      <c r="BZ974" s="18"/>
      <c r="CD974" s="18"/>
      <c r="CI974" s="18"/>
      <c r="CT974" s="18"/>
      <c r="CZ974" s="34" t="s">
        <v>87</v>
      </c>
    </row>
    <row r="975" spans="1:104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AG975" s="8"/>
      <c r="AI975" s="30"/>
      <c r="AL975" s="30"/>
      <c r="AM975" s="21"/>
      <c r="AN975" s="23"/>
      <c r="AX975" s="40"/>
      <c r="AZ975" s="40"/>
      <c r="BB975" s="18"/>
      <c r="BD975" s="18"/>
      <c r="BE975" s="18"/>
      <c r="BL975" s="18"/>
      <c r="BO975" s="18"/>
      <c r="BZ975" s="18"/>
      <c r="CD975" s="18"/>
      <c r="CI975" s="18"/>
      <c r="CT975" s="18"/>
      <c r="CZ975" s="34" t="s">
        <v>87</v>
      </c>
    </row>
    <row r="976" spans="1:104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AG976" s="8"/>
      <c r="AI976" s="30"/>
      <c r="AL976" s="30"/>
      <c r="AM976" s="21"/>
      <c r="AN976" s="23"/>
      <c r="AX976" s="40"/>
      <c r="AZ976" s="40"/>
      <c r="BB976" s="18"/>
      <c r="BD976" s="18"/>
      <c r="BE976" s="18"/>
      <c r="BL976" s="18"/>
      <c r="BO976" s="18"/>
      <c r="BZ976" s="18"/>
      <c r="CD976" s="18"/>
      <c r="CI976" s="18"/>
      <c r="CT976" s="18"/>
      <c r="CZ976" s="34" t="s">
        <v>87</v>
      </c>
    </row>
    <row r="977" spans="1:104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AG977" s="8"/>
      <c r="AI977" s="30"/>
      <c r="AL977" s="30"/>
      <c r="AM977" s="21"/>
      <c r="AN977" s="23"/>
      <c r="AX977" s="40"/>
      <c r="AZ977" s="40"/>
      <c r="BB977" s="18"/>
      <c r="BD977" s="18"/>
      <c r="BE977" s="18"/>
      <c r="BL977" s="18"/>
      <c r="BO977" s="18"/>
      <c r="BZ977" s="18"/>
      <c r="CD977" s="18"/>
      <c r="CI977" s="18"/>
      <c r="CT977" s="18"/>
      <c r="CZ977" s="34" t="s">
        <v>87</v>
      </c>
    </row>
    <row r="978" spans="1:104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AG978" s="8"/>
      <c r="AI978" s="30"/>
      <c r="AL978" s="30"/>
      <c r="AM978" s="21"/>
      <c r="AN978" s="23"/>
      <c r="AX978" s="40"/>
      <c r="AZ978" s="40"/>
      <c r="BB978" s="18"/>
      <c r="BD978" s="18"/>
      <c r="BE978" s="18"/>
      <c r="BL978" s="18"/>
      <c r="BO978" s="18"/>
      <c r="BZ978" s="18"/>
      <c r="CD978" s="18"/>
      <c r="CI978" s="18"/>
      <c r="CT978" s="18"/>
      <c r="CZ978" s="34" t="s">
        <v>87</v>
      </c>
    </row>
    <row r="979" spans="1:104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AG979" s="8"/>
      <c r="AI979" s="30"/>
      <c r="AL979" s="30"/>
      <c r="AM979" s="21"/>
      <c r="AN979" s="23"/>
      <c r="AX979" s="40"/>
      <c r="AZ979" s="40"/>
      <c r="BB979" s="18"/>
      <c r="BD979" s="18"/>
      <c r="BE979" s="18"/>
      <c r="BL979" s="18"/>
      <c r="BO979" s="18"/>
      <c r="BZ979" s="18"/>
      <c r="CD979" s="18"/>
      <c r="CI979" s="18"/>
      <c r="CT979" s="18"/>
      <c r="CZ979" s="34" t="s">
        <v>87</v>
      </c>
    </row>
    <row r="980" spans="1:104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AG980" s="8"/>
      <c r="AI980" s="30"/>
      <c r="AL980" s="30"/>
      <c r="AM980" s="21"/>
      <c r="AN980" s="23"/>
      <c r="AX980" s="40"/>
      <c r="AZ980" s="40"/>
      <c r="BB980" s="18"/>
      <c r="BD980" s="18"/>
      <c r="BE980" s="18"/>
      <c r="BL980" s="18"/>
      <c r="BO980" s="18"/>
      <c r="BZ980" s="18"/>
      <c r="CD980" s="18"/>
      <c r="CI980" s="18"/>
      <c r="CT980" s="18"/>
      <c r="CZ980" s="34" t="s">
        <v>87</v>
      </c>
    </row>
    <row r="981" spans="1:104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AG981" s="8"/>
      <c r="AI981" s="30"/>
      <c r="AL981" s="30"/>
      <c r="AM981" s="21"/>
      <c r="AN981" s="23"/>
      <c r="AX981" s="40"/>
      <c r="AZ981" s="40"/>
      <c r="BB981" s="18"/>
      <c r="BD981" s="18"/>
      <c r="BE981" s="18"/>
      <c r="BL981" s="18"/>
      <c r="BO981" s="18"/>
      <c r="BZ981" s="18"/>
      <c r="CD981" s="18"/>
      <c r="CI981" s="18"/>
      <c r="CT981" s="18"/>
      <c r="CZ981" s="34" t="s">
        <v>87</v>
      </c>
    </row>
    <row r="982" spans="1:104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AG982" s="8"/>
      <c r="AI982" s="30"/>
      <c r="AL982" s="30"/>
      <c r="AM982" s="21"/>
      <c r="AN982" s="23"/>
      <c r="AX982" s="40"/>
      <c r="AZ982" s="40"/>
      <c r="BB982" s="18"/>
      <c r="BD982" s="18"/>
      <c r="BE982" s="18"/>
      <c r="BL982" s="18"/>
      <c r="BO982" s="18"/>
      <c r="BZ982" s="18"/>
      <c r="CD982" s="18"/>
      <c r="CI982" s="18"/>
      <c r="CT982" s="18"/>
      <c r="CZ982" s="34" t="s">
        <v>87</v>
      </c>
    </row>
    <row r="983" spans="1:104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AG983" s="8"/>
      <c r="AI983" s="30"/>
      <c r="AL983" s="30"/>
      <c r="AM983" s="21"/>
      <c r="AN983" s="23"/>
      <c r="AX983" s="40"/>
      <c r="AZ983" s="40"/>
      <c r="BB983" s="18"/>
      <c r="BD983" s="18"/>
      <c r="BE983" s="18"/>
      <c r="BL983" s="18"/>
      <c r="BO983" s="18"/>
      <c r="BZ983" s="18"/>
      <c r="CD983" s="18"/>
      <c r="CI983" s="18"/>
      <c r="CT983" s="18"/>
      <c r="CZ983" s="34" t="s">
        <v>87</v>
      </c>
    </row>
    <row r="984" spans="1:104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AG984" s="8"/>
      <c r="AI984" s="30"/>
      <c r="AL984" s="30"/>
      <c r="AM984" s="21"/>
      <c r="AN984" s="23"/>
      <c r="AX984" s="40"/>
      <c r="AZ984" s="40"/>
      <c r="BB984" s="18"/>
      <c r="BD984" s="18"/>
      <c r="BE984" s="18"/>
      <c r="BL984" s="18"/>
      <c r="BO984" s="18"/>
      <c r="BZ984" s="18"/>
      <c r="CD984" s="18"/>
      <c r="CI984" s="18"/>
      <c r="CT984" s="18"/>
      <c r="CZ984" s="34" t="s">
        <v>87</v>
      </c>
    </row>
    <row r="985" spans="1:104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AG985" s="8"/>
      <c r="AI985" s="30"/>
      <c r="AL985" s="30"/>
      <c r="AM985" s="21"/>
      <c r="AN985" s="23"/>
      <c r="AX985" s="40"/>
      <c r="AZ985" s="40"/>
      <c r="BB985" s="18"/>
      <c r="BD985" s="18"/>
      <c r="BE985" s="18"/>
      <c r="BL985" s="18"/>
      <c r="BO985" s="18"/>
      <c r="BZ985" s="18"/>
      <c r="CD985" s="18"/>
      <c r="CI985" s="18"/>
      <c r="CT985" s="18"/>
      <c r="CZ985" s="34" t="s">
        <v>87</v>
      </c>
    </row>
    <row r="986" spans="1:104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AG986" s="8"/>
      <c r="AI986" s="30"/>
      <c r="AL986" s="30"/>
      <c r="AM986" s="21"/>
      <c r="AN986" s="23"/>
      <c r="AX986" s="40"/>
      <c r="AZ986" s="40"/>
      <c r="BB986" s="18"/>
      <c r="BD986" s="18"/>
      <c r="BE986" s="18"/>
      <c r="BL986" s="18"/>
      <c r="BO986" s="18"/>
      <c r="BZ986" s="18"/>
      <c r="CD986" s="18"/>
      <c r="CI986" s="18"/>
      <c r="CT986" s="18"/>
      <c r="CZ986" s="34" t="s">
        <v>87</v>
      </c>
    </row>
    <row r="987" spans="1:104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AG987" s="8"/>
      <c r="AI987" s="30"/>
      <c r="AL987" s="30"/>
      <c r="AM987" s="21"/>
      <c r="AN987" s="23"/>
      <c r="AX987" s="40"/>
      <c r="AZ987" s="40"/>
      <c r="BB987" s="18"/>
      <c r="BD987" s="18"/>
      <c r="BE987" s="18"/>
      <c r="BL987" s="18"/>
      <c r="BO987" s="18"/>
      <c r="BZ987" s="18"/>
      <c r="CD987" s="18"/>
      <c r="CI987" s="18"/>
      <c r="CT987" s="18"/>
      <c r="CZ987" s="34" t="s">
        <v>87</v>
      </c>
    </row>
    <row r="988" spans="1:104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AG988" s="8"/>
      <c r="AI988" s="30"/>
      <c r="AL988" s="30"/>
      <c r="AM988" s="21"/>
      <c r="AN988" s="23"/>
      <c r="AX988" s="40"/>
      <c r="AZ988" s="40"/>
      <c r="BB988" s="18"/>
      <c r="BD988" s="18"/>
      <c r="BE988" s="18"/>
      <c r="BL988" s="18"/>
      <c r="BO988" s="18"/>
      <c r="BZ988" s="18"/>
      <c r="CD988" s="18"/>
      <c r="CI988" s="18"/>
      <c r="CT988" s="18"/>
      <c r="CZ988" s="34" t="s">
        <v>87</v>
      </c>
    </row>
    <row r="989" spans="1:104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AG989" s="8"/>
      <c r="AI989" s="30"/>
      <c r="AL989" s="30"/>
      <c r="AM989" s="21"/>
      <c r="AN989" s="23"/>
      <c r="AX989" s="40"/>
      <c r="AZ989" s="40"/>
      <c r="BB989" s="18"/>
      <c r="BD989" s="18"/>
      <c r="BE989" s="18"/>
      <c r="BL989" s="18"/>
      <c r="BO989" s="18"/>
      <c r="BZ989" s="18"/>
      <c r="CD989" s="18"/>
      <c r="CI989" s="18"/>
      <c r="CT989" s="18"/>
      <c r="CZ989" s="34" t="s">
        <v>87</v>
      </c>
    </row>
    <row r="990" spans="1:104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AG990" s="8"/>
      <c r="AI990" s="30"/>
      <c r="AL990" s="30"/>
      <c r="AM990" s="21"/>
      <c r="AN990" s="23"/>
      <c r="AX990" s="40"/>
      <c r="AZ990" s="40"/>
      <c r="BB990" s="18"/>
      <c r="BD990" s="18"/>
      <c r="BE990" s="18"/>
      <c r="BL990" s="18"/>
      <c r="BO990" s="18"/>
      <c r="BZ990" s="18"/>
      <c r="CD990" s="18"/>
      <c r="CI990" s="18"/>
      <c r="CT990" s="18"/>
      <c r="CZ990" s="34" t="s">
        <v>87</v>
      </c>
    </row>
    <row r="991" spans="1:104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AG991" s="8"/>
      <c r="AI991" s="30"/>
      <c r="AL991" s="30"/>
      <c r="AM991" s="21"/>
      <c r="AN991" s="23"/>
      <c r="AX991" s="40"/>
      <c r="AZ991" s="40"/>
      <c r="BB991" s="18"/>
      <c r="BD991" s="18"/>
      <c r="BE991" s="18"/>
      <c r="BL991" s="18"/>
      <c r="BO991" s="18"/>
      <c r="BZ991" s="18"/>
      <c r="CD991" s="18"/>
      <c r="CI991" s="18"/>
      <c r="CT991" s="18"/>
      <c r="CZ991" s="34" t="s">
        <v>87</v>
      </c>
    </row>
    <row r="992" spans="1:104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AG992" s="8"/>
      <c r="AI992" s="30"/>
      <c r="AL992" s="30"/>
      <c r="AM992" s="21"/>
      <c r="AN992" s="23"/>
      <c r="AX992" s="40"/>
      <c r="AZ992" s="40"/>
      <c r="BB992" s="18"/>
      <c r="BD992" s="18"/>
      <c r="BE992" s="18"/>
      <c r="BL992" s="18"/>
      <c r="BO992" s="18"/>
      <c r="BZ992" s="18"/>
      <c r="CD992" s="18"/>
      <c r="CI992" s="18"/>
      <c r="CT992" s="18"/>
      <c r="CZ992" s="34" t="s">
        <v>87</v>
      </c>
    </row>
    <row r="993" spans="1:104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AG993" s="8"/>
      <c r="AI993" s="30"/>
      <c r="AL993" s="30"/>
      <c r="AM993" s="21"/>
      <c r="AN993" s="23"/>
      <c r="AX993" s="40"/>
      <c r="AZ993" s="40"/>
      <c r="BB993" s="18"/>
      <c r="BD993" s="18"/>
      <c r="BE993" s="18"/>
      <c r="BL993" s="18"/>
      <c r="BO993" s="18"/>
      <c r="BZ993" s="18"/>
      <c r="CD993" s="18"/>
      <c r="CI993" s="18"/>
      <c r="CT993" s="18"/>
      <c r="CZ993" s="34" t="s">
        <v>87</v>
      </c>
    </row>
    <row r="994" spans="1:104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AG994" s="8"/>
      <c r="AI994" s="30"/>
      <c r="AL994" s="30"/>
      <c r="AM994" s="21"/>
      <c r="AN994" s="23"/>
      <c r="AX994" s="40"/>
      <c r="AZ994" s="40"/>
      <c r="BB994" s="18"/>
      <c r="BD994" s="18"/>
      <c r="BE994" s="18"/>
      <c r="BL994" s="18"/>
      <c r="BO994" s="18"/>
      <c r="BZ994" s="18"/>
      <c r="CD994" s="18"/>
      <c r="CI994" s="18"/>
      <c r="CT994" s="18"/>
      <c r="CZ994" s="34" t="s">
        <v>87</v>
      </c>
    </row>
    <row r="995" spans="1:104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AG995" s="8"/>
      <c r="AI995" s="30"/>
      <c r="AL995" s="30"/>
      <c r="AM995" s="21"/>
      <c r="AN995" s="23"/>
      <c r="AX995" s="40"/>
      <c r="AZ995" s="40"/>
      <c r="BB995" s="18"/>
      <c r="BD995" s="18"/>
      <c r="BE995" s="18"/>
      <c r="BL995" s="18"/>
      <c r="BO995" s="18"/>
      <c r="BZ995" s="18"/>
      <c r="CD995" s="18"/>
      <c r="CI995" s="18"/>
      <c r="CT995" s="18"/>
      <c r="CZ995" s="34" t="s">
        <v>87</v>
      </c>
    </row>
    <row r="996" spans="1:104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AG996" s="8"/>
      <c r="AI996" s="30"/>
      <c r="AL996" s="30"/>
      <c r="AM996" s="21"/>
      <c r="AN996" s="23"/>
      <c r="AX996" s="40"/>
      <c r="AZ996" s="40"/>
      <c r="BB996" s="18"/>
      <c r="BD996" s="18"/>
      <c r="BE996" s="18"/>
      <c r="BL996" s="18"/>
      <c r="BO996" s="18"/>
      <c r="BZ996" s="18"/>
      <c r="CD996" s="18"/>
      <c r="CI996" s="18"/>
      <c r="CT996" s="18"/>
      <c r="CZ996" s="34" t="s">
        <v>87</v>
      </c>
    </row>
    <row r="997" spans="1:104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AG997" s="8"/>
      <c r="AI997" s="30"/>
      <c r="AL997" s="30"/>
      <c r="AM997" s="21"/>
      <c r="AN997" s="23"/>
      <c r="AX997" s="40"/>
      <c r="AZ997" s="40"/>
      <c r="BB997" s="18"/>
      <c r="BD997" s="18"/>
      <c r="BE997" s="18"/>
      <c r="BL997" s="18"/>
      <c r="BO997" s="18"/>
      <c r="BZ997" s="18"/>
      <c r="CD997" s="18"/>
      <c r="CI997" s="18"/>
      <c r="CT997" s="18"/>
      <c r="CZ997" s="34" t="s">
        <v>87</v>
      </c>
    </row>
    <row r="998" spans="1:104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AG998" s="8"/>
      <c r="AI998" s="30"/>
      <c r="AL998" s="30"/>
      <c r="AM998" s="21"/>
      <c r="AN998" s="23"/>
      <c r="AX998" s="40"/>
      <c r="AZ998" s="40"/>
      <c r="BB998" s="18"/>
      <c r="BD998" s="18"/>
      <c r="BE998" s="18"/>
      <c r="BL998" s="18"/>
      <c r="BO998" s="18"/>
      <c r="BZ998" s="18"/>
      <c r="CD998" s="18"/>
      <c r="CI998" s="18"/>
      <c r="CT998" s="18"/>
      <c r="CZ998" s="34" t="s">
        <v>87</v>
      </c>
    </row>
    <row r="999" spans="1:104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AG999" s="8"/>
      <c r="AI999" s="30"/>
      <c r="AL999" s="30"/>
      <c r="AM999" s="21"/>
      <c r="AN999" s="23"/>
      <c r="AX999" s="40"/>
      <c r="AZ999" s="40"/>
      <c r="BB999" s="18"/>
      <c r="BD999" s="18"/>
      <c r="BE999" s="18"/>
      <c r="BL999" s="18"/>
      <c r="BO999" s="18"/>
      <c r="BZ999" s="18"/>
      <c r="CD999" s="18"/>
      <c r="CI999" s="18"/>
      <c r="CT999" s="18"/>
      <c r="CZ999" s="34" t="s">
        <v>87</v>
      </c>
    </row>
    <row r="1000" spans="1:104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AG1000" s="8"/>
      <c r="AI1000" s="30"/>
      <c r="AL1000" s="30"/>
      <c r="AM1000" s="21"/>
      <c r="AN1000" s="23"/>
      <c r="AX1000" s="40"/>
      <c r="AZ1000" s="40"/>
      <c r="BB1000" s="18"/>
      <c r="BD1000" s="18"/>
      <c r="BE1000" s="18"/>
      <c r="BL1000" s="18"/>
      <c r="BO1000" s="18"/>
      <c r="BZ1000" s="18"/>
      <c r="CD1000" s="18"/>
      <c r="CI1000" s="18"/>
      <c r="CT1000" s="18"/>
      <c r="CZ1000" s="34" t="s">
        <v>87</v>
      </c>
    </row>
    <row r="1001" spans="1:104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AG1001" s="8"/>
      <c r="AI1001" s="30"/>
      <c r="AL1001" s="30"/>
      <c r="AM1001" s="21"/>
      <c r="AN1001" s="23"/>
      <c r="AX1001" s="40"/>
      <c r="AZ1001" s="40"/>
      <c r="BB1001" s="18"/>
      <c r="BD1001" s="18"/>
      <c r="BE1001" s="18"/>
      <c r="BL1001" s="18"/>
      <c r="BO1001" s="18"/>
      <c r="BZ1001" s="18"/>
      <c r="CD1001" s="18"/>
      <c r="CI1001" s="18"/>
      <c r="CT1001" s="18"/>
      <c r="CZ1001" s="34" t="s">
        <v>87</v>
      </c>
    </row>
    <row r="1002" spans="1:104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AG1002" s="8"/>
      <c r="AI1002" s="30"/>
      <c r="AL1002" s="30"/>
      <c r="AM1002" s="21"/>
      <c r="AN1002" s="23"/>
      <c r="AX1002" s="40"/>
      <c r="AZ1002" s="40"/>
      <c r="BB1002" s="18"/>
      <c r="BD1002" s="18"/>
      <c r="BE1002" s="18"/>
      <c r="BL1002" s="18"/>
      <c r="BO1002" s="18"/>
      <c r="BZ1002" s="18"/>
      <c r="CD1002" s="18"/>
      <c r="CI1002" s="18"/>
      <c r="CT1002" s="18"/>
      <c r="CZ1002" s="34" t="s">
        <v>87</v>
      </c>
    </row>
    <row r="1003" spans="1:104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AG1003" s="8"/>
      <c r="AI1003" s="30"/>
      <c r="AL1003" s="30"/>
      <c r="AM1003" s="21"/>
      <c r="AN1003" s="23"/>
      <c r="AX1003" s="40"/>
      <c r="AZ1003" s="40"/>
      <c r="BB1003" s="18"/>
      <c r="BD1003" s="18"/>
      <c r="BE1003" s="18"/>
      <c r="BL1003" s="18"/>
      <c r="BO1003" s="18"/>
      <c r="BZ1003" s="18"/>
      <c r="CD1003" s="18"/>
      <c r="CI1003" s="18"/>
      <c r="CT1003" s="18"/>
      <c r="CZ1003" s="34" t="s">
        <v>87</v>
      </c>
    </row>
    <row r="1004" spans="1:104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AG1004" s="8"/>
      <c r="AI1004" s="30"/>
      <c r="AL1004" s="30"/>
      <c r="AM1004" s="21"/>
      <c r="AN1004" s="23"/>
      <c r="AX1004" s="40"/>
      <c r="AZ1004" s="40"/>
      <c r="BB1004" s="18"/>
      <c r="BD1004" s="18"/>
      <c r="BE1004" s="18"/>
      <c r="BL1004" s="18"/>
      <c r="BO1004" s="18"/>
      <c r="BZ1004" s="18"/>
      <c r="CD1004" s="18"/>
      <c r="CI1004" s="18"/>
      <c r="CT1004" s="18"/>
      <c r="CZ1004" s="34" t="s">
        <v>87</v>
      </c>
    </row>
    <row r="1005" spans="1:104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AG1005" s="8"/>
      <c r="AI1005" s="30"/>
      <c r="AL1005" s="30"/>
      <c r="AM1005" s="21"/>
      <c r="AN1005" s="23"/>
      <c r="AX1005" s="40"/>
      <c r="AZ1005" s="40"/>
      <c r="BB1005" s="18"/>
      <c r="BD1005" s="18"/>
      <c r="BE1005" s="18"/>
      <c r="BL1005" s="18"/>
      <c r="BO1005" s="18"/>
      <c r="BZ1005" s="18"/>
      <c r="CD1005" s="18"/>
      <c r="CI1005" s="18"/>
      <c r="CT1005" s="18"/>
      <c r="CZ1005" s="34" t="s">
        <v>87</v>
      </c>
    </row>
    <row r="1006" spans="1:104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AG1006" s="8"/>
      <c r="AI1006" s="30"/>
      <c r="AL1006" s="30"/>
      <c r="AM1006" s="21"/>
      <c r="AN1006" s="23"/>
      <c r="AX1006" s="40"/>
      <c r="AZ1006" s="40"/>
      <c r="BB1006" s="18"/>
      <c r="BD1006" s="18"/>
      <c r="BE1006" s="18"/>
      <c r="BL1006" s="18"/>
      <c r="BO1006" s="18"/>
      <c r="BZ1006" s="18"/>
      <c r="CD1006" s="18"/>
      <c r="CI1006" s="18"/>
      <c r="CT1006" s="18"/>
      <c r="CZ1006" s="34" t="s">
        <v>87</v>
      </c>
    </row>
    <row r="1007" spans="1:104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AG1007" s="8"/>
      <c r="AI1007" s="30"/>
      <c r="AL1007" s="30"/>
      <c r="AM1007" s="21"/>
      <c r="AN1007" s="23"/>
      <c r="AX1007" s="40"/>
      <c r="AZ1007" s="40"/>
      <c r="BB1007" s="18"/>
      <c r="BD1007" s="18"/>
      <c r="BE1007" s="18"/>
      <c r="BL1007" s="18"/>
      <c r="BO1007" s="18"/>
      <c r="BZ1007" s="18"/>
      <c r="CD1007" s="18"/>
      <c r="CI1007" s="18"/>
      <c r="CT1007" s="18"/>
      <c r="CZ1007" s="34" t="s">
        <v>87</v>
      </c>
    </row>
    <row r="1008" spans="1:104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AG1008" s="8"/>
      <c r="AI1008" s="30"/>
      <c r="AL1008" s="30"/>
      <c r="AM1008" s="21"/>
      <c r="AN1008" s="23"/>
      <c r="AX1008" s="40"/>
      <c r="AZ1008" s="40"/>
      <c r="BB1008" s="18"/>
      <c r="BD1008" s="18"/>
      <c r="BE1008" s="18"/>
      <c r="BL1008" s="18"/>
      <c r="BO1008" s="18"/>
      <c r="BZ1008" s="18"/>
      <c r="CD1008" s="18"/>
      <c r="CI1008" s="18"/>
      <c r="CT1008" s="18"/>
      <c r="CZ1008" s="34" t="s">
        <v>87</v>
      </c>
    </row>
    <row r="1009" spans="4:104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AG1009" s="8"/>
      <c r="AI1009" s="30"/>
      <c r="AL1009" s="30"/>
      <c r="AM1009" s="21"/>
      <c r="AN1009" s="23"/>
      <c r="AX1009" s="40"/>
      <c r="AZ1009" s="40"/>
      <c r="BB1009" s="18"/>
      <c r="BD1009" s="18"/>
      <c r="BE1009" s="18"/>
      <c r="BL1009" s="18"/>
      <c r="BO1009" s="18"/>
      <c r="BZ1009" s="18"/>
      <c r="CD1009" s="18"/>
      <c r="CI1009" s="18"/>
      <c r="CT1009" s="18"/>
      <c r="CZ1009" s="34" t="s">
        <v>87</v>
      </c>
    </row>
    <row r="1010" spans="4:104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AG1010" s="8"/>
      <c r="AI1010" s="30"/>
      <c r="AL1010" s="30"/>
      <c r="AM1010" s="21"/>
      <c r="AN1010" s="23"/>
      <c r="AX1010" s="40"/>
      <c r="AZ1010" s="40"/>
      <c r="BB1010" s="18"/>
      <c r="BD1010" s="18"/>
      <c r="BE1010" s="18"/>
      <c r="BL1010" s="18"/>
      <c r="BO1010" s="18"/>
      <c r="BZ1010" s="18"/>
      <c r="CD1010" s="18"/>
      <c r="CI1010" s="18"/>
      <c r="CT1010" s="18"/>
      <c r="CZ1010" s="34" t="s">
        <v>87</v>
      </c>
    </row>
    <row r="1011" spans="4:104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AG1011" s="8"/>
      <c r="AI1011" s="30"/>
      <c r="AL1011" s="30"/>
      <c r="AM1011" s="21"/>
      <c r="AN1011" s="23"/>
      <c r="AX1011" s="40"/>
      <c r="AZ1011" s="40"/>
      <c r="BB1011" s="18"/>
      <c r="BD1011" s="18"/>
      <c r="BE1011" s="18"/>
      <c r="BL1011" s="18"/>
      <c r="BO1011" s="18"/>
      <c r="BZ1011" s="18"/>
      <c r="CD1011" s="18"/>
      <c r="CI1011" s="18"/>
      <c r="CT1011" s="18"/>
      <c r="CZ1011" s="34" t="s">
        <v>87</v>
      </c>
    </row>
    <row r="1012" spans="4:104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AG1012" s="8"/>
      <c r="AI1012" s="30"/>
      <c r="AL1012" s="30"/>
      <c r="AM1012" s="21"/>
      <c r="AN1012" s="23"/>
      <c r="AX1012" s="40"/>
      <c r="AZ1012" s="40"/>
      <c r="BB1012" s="18"/>
      <c r="BD1012" s="18"/>
      <c r="BE1012" s="18"/>
      <c r="BL1012" s="18"/>
      <c r="BO1012" s="18"/>
      <c r="BZ1012" s="18"/>
      <c r="CD1012" s="18"/>
      <c r="CI1012" s="18"/>
      <c r="CT1012" s="18"/>
      <c r="CZ1012" s="34" t="s">
        <v>87</v>
      </c>
    </row>
    <row r="1013" spans="4:104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AG1013" s="8"/>
      <c r="AI1013" s="30"/>
      <c r="AL1013" s="30"/>
      <c r="AM1013" s="21"/>
      <c r="AN1013" s="23"/>
      <c r="AX1013" s="40"/>
      <c r="AZ1013" s="40"/>
      <c r="BB1013" s="18"/>
      <c r="BD1013" s="18"/>
      <c r="BE1013" s="18"/>
      <c r="BL1013" s="18"/>
      <c r="BO1013" s="18"/>
      <c r="BZ1013" s="18"/>
      <c r="CD1013" s="18"/>
      <c r="CI1013" s="18"/>
      <c r="CT1013" s="18"/>
      <c r="CZ1013" s="34" t="s">
        <v>87</v>
      </c>
    </row>
    <row r="1014" spans="4:104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AG1014" s="8"/>
      <c r="AI1014" s="30"/>
      <c r="AL1014" s="30"/>
      <c r="AM1014" s="21"/>
      <c r="AN1014" s="23"/>
      <c r="AX1014" s="40"/>
      <c r="AZ1014" s="40"/>
      <c r="BB1014" s="18"/>
      <c r="BD1014" s="18"/>
      <c r="BE1014" s="18"/>
      <c r="BL1014" s="18"/>
      <c r="BO1014" s="18"/>
      <c r="BZ1014" s="18"/>
      <c r="CD1014" s="18"/>
      <c r="CI1014" s="18"/>
      <c r="CT1014" s="18"/>
      <c r="CZ1014" s="34" t="s">
        <v>87</v>
      </c>
    </row>
    <row r="1015" spans="4:104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AG1015" s="8"/>
      <c r="AI1015" s="30"/>
      <c r="AL1015" s="30"/>
      <c r="AM1015" s="21"/>
      <c r="AN1015" s="23"/>
      <c r="AX1015" s="40"/>
      <c r="AZ1015" s="40"/>
      <c r="BB1015" s="18"/>
      <c r="BD1015" s="18"/>
      <c r="BE1015" s="18"/>
      <c r="BL1015" s="18"/>
      <c r="BO1015" s="18"/>
      <c r="BZ1015" s="18"/>
      <c r="CD1015" s="18"/>
      <c r="CI1015" s="18"/>
      <c r="CT1015" s="18"/>
      <c r="CZ1015" s="34" t="s">
        <v>87</v>
      </c>
    </row>
    <row r="1016" spans="4:104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AG1016" s="8"/>
      <c r="AI1016" s="30"/>
      <c r="AL1016" s="30"/>
      <c r="AM1016" s="21"/>
      <c r="AN1016" s="23"/>
      <c r="AX1016" s="40"/>
      <c r="AZ1016" s="40"/>
      <c r="BB1016" s="18"/>
      <c r="BD1016" s="18"/>
      <c r="BE1016" s="18"/>
      <c r="BL1016" s="18"/>
      <c r="BO1016" s="18"/>
      <c r="BZ1016" s="18"/>
      <c r="CD1016" s="18"/>
      <c r="CI1016" s="18"/>
      <c r="CT1016" s="18"/>
      <c r="CZ1016" s="34" t="s">
        <v>87</v>
      </c>
    </row>
    <row r="1017" spans="4:104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AG1017" s="8"/>
      <c r="AI1017" s="30"/>
      <c r="AL1017" s="30"/>
      <c r="AM1017" s="21"/>
      <c r="AN1017" s="23"/>
      <c r="AX1017" s="40"/>
      <c r="AZ1017" s="40"/>
      <c r="BB1017" s="18"/>
      <c r="BD1017" s="18"/>
      <c r="BE1017" s="18"/>
      <c r="BL1017" s="18"/>
      <c r="BO1017" s="18"/>
      <c r="BZ1017" s="18"/>
      <c r="CD1017" s="18"/>
      <c r="CI1017" s="18"/>
      <c r="CT1017" s="18"/>
      <c r="CZ1017" s="34" t="s">
        <v>87</v>
      </c>
    </row>
    <row r="1018" spans="4:104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AG1018" s="8"/>
      <c r="AI1018" s="30"/>
      <c r="AL1018" s="30"/>
      <c r="AM1018" s="21"/>
      <c r="AN1018" s="23"/>
      <c r="AX1018" s="40"/>
      <c r="AZ1018" s="40"/>
      <c r="BB1018" s="18"/>
      <c r="BD1018" s="18"/>
      <c r="BE1018" s="18"/>
      <c r="BL1018" s="18"/>
      <c r="BO1018" s="18"/>
      <c r="BZ1018" s="18"/>
      <c r="CD1018" s="18"/>
      <c r="CI1018" s="18"/>
      <c r="CT1018" s="18"/>
      <c r="CZ1018" s="34" t="s">
        <v>87</v>
      </c>
    </row>
    <row r="1019" spans="4:104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AG1019" s="8"/>
      <c r="AI1019" s="30"/>
      <c r="AL1019" s="30"/>
      <c r="AM1019" s="21"/>
      <c r="AN1019" s="23"/>
      <c r="AX1019" s="40"/>
      <c r="AZ1019" s="40"/>
      <c r="BB1019" s="18"/>
      <c r="BD1019" s="18"/>
      <c r="BE1019" s="18"/>
      <c r="BL1019" s="18"/>
      <c r="BO1019" s="18"/>
      <c r="BZ1019" s="18"/>
      <c r="CD1019" s="18"/>
      <c r="CI1019" s="18"/>
      <c r="CT1019" s="18"/>
      <c r="CZ1019" s="34" t="s">
        <v>87</v>
      </c>
    </row>
    <row r="1020" spans="4:104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AG1020" s="8"/>
      <c r="AI1020" s="30"/>
      <c r="AL1020" s="30"/>
      <c r="AM1020" s="21"/>
      <c r="AN1020" s="23"/>
      <c r="AX1020" s="40"/>
      <c r="AZ1020" s="40"/>
      <c r="BB1020" s="18"/>
      <c r="BD1020" s="18"/>
      <c r="BE1020" s="18"/>
      <c r="BL1020" s="18"/>
      <c r="BO1020" s="18"/>
      <c r="BZ1020" s="18"/>
      <c r="CD1020" s="18"/>
      <c r="CI1020" s="18"/>
      <c r="CT1020" s="18"/>
      <c r="CZ1020" s="34" t="s">
        <v>87</v>
      </c>
    </row>
    <row r="1021" spans="4:104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AG1021" s="8"/>
      <c r="AI1021" s="30"/>
      <c r="AL1021" s="30"/>
      <c r="AM1021" s="21"/>
      <c r="AN1021" s="23"/>
      <c r="AX1021" s="40"/>
      <c r="AZ1021" s="40"/>
      <c r="BB1021" s="18"/>
      <c r="BD1021" s="18"/>
      <c r="BE1021" s="18"/>
      <c r="BL1021" s="18"/>
      <c r="BO1021" s="18"/>
      <c r="BZ1021" s="18"/>
      <c r="CD1021" s="18"/>
      <c r="CI1021" s="18"/>
      <c r="CT1021" s="18"/>
      <c r="CZ1021" s="34" t="s">
        <v>87</v>
      </c>
    </row>
    <row r="1022" spans="4:104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AG1022" s="8"/>
      <c r="AI1022" s="30"/>
      <c r="AL1022" s="30"/>
      <c r="AM1022" s="21"/>
      <c r="AN1022" s="23"/>
      <c r="AX1022" s="40"/>
      <c r="AZ1022" s="40"/>
      <c r="BB1022" s="18"/>
      <c r="BD1022" s="18"/>
      <c r="BE1022" s="18"/>
      <c r="BL1022" s="18"/>
      <c r="BO1022" s="18"/>
      <c r="BZ1022" s="18"/>
      <c r="CD1022" s="18"/>
      <c r="CI1022" s="18"/>
      <c r="CT1022" s="18"/>
      <c r="CZ1022" s="34" t="s">
        <v>87</v>
      </c>
    </row>
    <row r="1023" spans="4:104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AG1023" s="8"/>
      <c r="AI1023" s="30"/>
      <c r="AL1023" s="30"/>
      <c r="AM1023" s="21"/>
      <c r="AN1023" s="23"/>
      <c r="AX1023" s="40"/>
      <c r="AZ1023" s="40"/>
      <c r="BB1023" s="18"/>
      <c r="BD1023" s="18"/>
      <c r="BE1023" s="18"/>
      <c r="BL1023" s="18"/>
      <c r="BO1023" s="18"/>
      <c r="BZ1023" s="18"/>
      <c r="CD1023" s="18"/>
      <c r="CI1023" s="18"/>
      <c r="CT1023" s="18"/>
      <c r="CZ1023" s="34" t="s">
        <v>87</v>
      </c>
    </row>
    <row r="1024" spans="4:104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AG1024" s="8"/>
      <c r="AI1024" s="30"/>
      <c r="AL1024" s="30"/>
      <c r="AM1024" s="21"/>
      <c r="AN1024" s="23"/>
      <c r="AX1024" s="40"/>
      <c r="AZ1024" s="40"/>
      <c r="BB1024" s="18"/>
      <c r="BD1024" s="18"/>
      <c r="BE1024" s="18"/>
      <c r="BL1024" s="18"/>
      <c r="BO1024" s="18"/>
      <c r="BZ1024" s="18"/>
      <c r="CD1024" s="18"/>
      <c r="CI1024" s="18"/>
      <c r="CT1024" s="18"/>
      <c r="CZ1024" s="34" t="s">
        <v>87</v>
      </c>
    </row>
    <row r="1025" spans="4:104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AG1025" s="8"/>
      <c r="AI1025" s="30"/>
      <c r="AL1025" s="30"/>
      <c r="AM1025" s="21"/>
      <c r="AN1025" s="23"/>
      <c r="AX1025" s="40"/>
      <c r="AZ1025" s="40"/>
      <c r="BB1025" s="18"/>
      <c r="BD1025" s="18"/>
      <c r="BE1025" s="18"/>
      <c r="BL1025" s="18"/>
      <c r="BO1025" s="18"/>
      <c r="BZ1025" s="18"/>
      <c r="CD1025" s="18"/>
      <c r="CI1025" s="18"/>
      <c r="CT1025" s="18"/>
      <c r="CZ1025" s="34" t="s">
        <v>87</v>
      </c>
    </row>
    <row r="1026" spans="4:104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AG1026" s="8"/>
      <c r="AI1026" s="30"/>
      <c r="AL1026" s="30"/>
      <c r="AM1026" s="21"/>
      <c r="AN1026" s="23"/>
      <c r="AX1026" s="40"/>
      <c r="AZ1026" s="40"/>
      <c r="BB1026" s="18"/>
      <c r="BD1026" s="18"/>
      <c r="BE1026" s="18"/>
      <c r="BL1026" s="18"/>
      <c r="BO1026" s="18"/>
      <c r="BZ1026" s="18"/>
      <c r="CD1026" s="18"/>
      <c r="CI1026" s="18"/>
      <c r="CT1026" s="18"/>
      <c r="CZ1026" s="34" t="s">
        <v>87</v>
      </c>
    </row>
    <row r="1027" spans="4:104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AG1027" s="8"/>
      <c r="AI1027" s="30"/>
      <c r="AL1027" s="30"/>
      <c r="AM1027" s="21"/>
      <c r="AN1027" s="23"/>
      <c r="AX1027" s="40"/>
      <c r="AZ1027" s="40"/>
      <c r="BB1027" s="18"/>
      <c r="BD1027" s="18"/>
      <c r="BE1027" s="18"/>
      <c r="BL1027" s="18"/>
      <c r="BO1027" s="18"/>
      <c r="BZ1027" s="18"/>
      <c r="CD1027" s="18"/>
      <c r="CI1027" s="18"/>
      <c r="CT1027" s="18"/>
      <c r="CZ1027" s="34" t="s">
        <v>87</v>
      </c>
    </row>
    <row r="1028" spans="4:104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AG1028" s="8"/>
      <c r="AI1028" s="30"/>
      <c r="AL1028" s="30"/>
      <c r="AM1028" s="21"/>
      <c r="AN1028" s="23"/>
      <c r="AX1028" s="40"/>
      <c r="AZ1028" s="40"/>
      <c r="BB1028" s="18"/>
      <c r="BD1028" s="18"/>
      <c r="BE1028" s="18"/>
      <c r="BL1028" s="18"/>
      <c r="BO1028" s="18"/>
      <c r="BZ1028" s="18"/>
      <c r="CD1028" s="18"/>
      <c r="CI1028" s="18"/>
      <c r="CT1028" s="18"/>
      <c r="CZ1028" s="34" t="s">
        <v>87</v>
      </c>
    </row>
    <row r="1029" spans="4:104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AG1029" s="8"/>
      <c r="AI1029" s="30"/>
      <c r="AL1029" s="30"/>
      <c r="AM1029" s="21"/>
      <c r="AN1029" s="23"/>
      <c r="AX1029" s="40"/>
      <c r="AZ1029" s="40"/>
      <c r="BB1029" s="18"/>
      <c r="BD1029" s="18"/>
      <c r="BE1029" s="18"/>
      <c r="BL1029" s="18"/>
      <c r="BO1029" s="18"/>
      <c r="BZ1029" s="18"/>
      <c r="CD1029" s="18"/>
      <c r="CI1029" s="18"/>
      <c r="CT1029" s="18"/>
      <c r="CZ1029" s="34" t="s">
        <v>87</v>
      </c>
    </row>
    <row r="1030" spans="4:104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AG1030" s="8"/>
      <c r="AI1030" s="30"/>
      <c r="AL1030" s="30"/>
      <c r="AM1030" s="21"/>
      <c r="AN1030" s="23"/>
      <c r="AX1030" s="40"/>
      <c r="AZ1030" s="40"/>
      <c r="BB1030" s="18"/>
      <c r="BD1030" s="18"/>
      <c r="BE1030" s="18"/>
      <c r="BL1030" s="18"/>
      <c r="BO1030" s="18"/>
      <c r="BZ1030" s="18"/>
      <c r="CD1030" s="18"/>
      <c r="CI1030" s="18"/>
      <c r="CT1030" s="18"/>
      <c r="CZ1030" s="34" t="s">
        <v>87</v>
      </c>
    </row>
    <row r="1031" spans="4:104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AG1031" s="8"/>
      <c r="AI1031" s="30"/>
      <c r="AL1031" s="30"/>
      <c r="AM1031" s="21"/>
      <c r="AN1031" s="23"/>
      <c r="AX1031" s="40"/>
      <c r="AZ1031" s="40"/>
      <c r="BB1031" s="18"/>
      <c r="BD1031" s="18"/>
      <c r="BE1031" s="18"/>
      <c r="BL1031" s="18"/>
      <c r="BO1031" s="18"/>
      <c r="BZ1031" s="18"/>
      <c r="CD1031" s="18"/>
      <c r="CI1031" s="18"/>
      <c r="CT1031" s="18"/>
      <c r="CZ1031" s="34" t="s">
        <v>87</v>
      </c>
    </row>
    <row r="1032" spans="4:104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AG1032" s="8"/>
      <c r="AI1032" s="30"/>
      <c r="AL1032" s="30"/>
      <c r="AM1032" s="21"/>
      <c r="AN1032" s="23"/>
      <c r="AX1032" s="40"/>
      <c r="AZ1032" s="40"/>
      <c r="BB1032" s="18"/>
      <c r="BD1032" s="18"/>
      <c r="BE1032" s="18"/>
      <c r="BL1032" s="18"/>
      <c r="BO1032" s="18"/>
      <c r="BZ1032" s="18"/>
      <c r="CD1032" s="18"/>
      <c r="CI1032" s="18"/>
      <c r="CT1032" s="18"/>
      <c r="CZ1032" s="34" t="s">
        <v>87</v>
      </c>
    </row>
    <row r="1033" spans="4:104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AG1033" s="8"/>
      <c r="AI1033" s="30"/>
      <c r="AL1033" s="30"/>
      <c r="AM1033" s="21"/>
      <c r="AN1033" s="23"/>
      <c r="AX1033" s="40"/>
      <c r="AZ1033" s="40"/>
      <c r="BB1033" s="18"/>
      <c r="BD1033" s="18"/>
      <c r="BE1033" s="18"/>
      <c r="BL1033" s="18"/>
      <c r="BO1033" s="18"/>
      <c r="BZ1033" s="18"/>
      <c r="CD1033" s="18"/>
      <c r="CI1033" s="18"/>
      <c r="CT1033" s="18"/>
      <c r="CZ1033" s="34" t="s">
        <v>87</v>
      </c>
    </row>
    <row r="1034" spans="4:104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AG1034" s="8"/>
      <c r="AI1034" s="30"/>
      <c r="AL1034" s="30"/>
      <c r="AM1034" s="21"/>
      <c r="AN1034" s="23"/>
      <c r="AX1034" s="40"/>
      <c r="AZ1034" s="40"/>
      <c r="BB1034" s="18"/>
      <c r="BD1034" s="18"/>
      <c r="BE1034" s="18"/>
      <c r="BL1034" s="18"/>
      <c r="BO1034" s="18"/>
      <c r="BZ1034" s="18"/>
      <c r="CD1034" s="18"/>
      <c r="CI1034" s="18"/>
      <c r="CT1034" s="18"/>
      <c r="CZ1034" s="34" t="s">
        <v>87</v>
      </c>
    </row>
    <row r="1035" spans="4:104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L1035" s="30"/>
      <c r="AM1035" s="21"/>
      <c r="AN1035" s="23"/>
      <c r="AX1035" s="40"/>
      <c r="AZ1035" s="40"/>
      <c r="BB1035" s="18"/>
      <c r="BD1035" s="18"/>
      <c r="BE1035" s="18"/>
      <c r="BL1035" s="18"/>
      <c r="BO1035" s="18"/>
      <c r="BZ1035" s="18"/>
      <c r="CD1035" s="18"/>
      <c r="CI1035" s="18"/>
      <c r="CT1035" s="18"/>
      <c r="CZ1035" s="34" t="s">
        <v>87</v>
      </c>
    </row>
    <row r="1036" spans="4:104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L1036" s="30"/>
      <c r="AM1036" s="21"/>
      <c r="AN1036" s="23"/>
      <c r="AX1036" s="40"/>
      <c r="AZ1036" s="40"/>
      <c r="BB1036" s="18"/>
      <c r="BD1036" s="18"/>
      <c r="BE1036" s="18"/>
      <c r="BL1036" s="18"/>
      <c r="BO1036" s="18"/>
      <c r="BZ1036" s="18"/>
      <c r="CD1036" s="18"/>
      <c r="CI1036" s="18"/>
      <c r="CT1036" s="18"/>
      <c r="CZ1036" s="34" t="s">
        <v>87</v>
      </c>
    </row>
    <row r="1037" spans="4:104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L1037" s="30"/>
      <c r="AM1037" s="21"/>
      <c r="AN1037" s="23"/>
      <c r="AX1037" s="40"/>
      <c r="AZ1037" s="40"/>
      <c r="BB1037" s="18"/>
      <c r="BD1037" s="18"/>
      <c r="BE1037" s="18"/>
      <c r="BL1037" s="18"/>
      <c r="BO1037" s="18"/>
      <c r="BZ1037" s="18"/>
      <c r="CD1037" s="18"/>
      <c r="CI1037" s="18"/>
      <c r="CT1037" s="18"/>
      <c r="CZ1037" s="34" t="s">
        <v>87</v>
      </c>
    </row>
    <row r="1038" spans="4:104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L1038" s="30"/>
      <c r="AM1038" s="21"/>
      <c r="AN1038" s="23"/>
      <c r="AX1038" s="40"/>
      <c r="AZ1038" s="40"/>
      <c r="BB1038" s="18"/>
      <c r="BD1038" s="18"/>
      <c r="BE1038" s="18"/>
      <c r="BL1038" s="18"/>
      <c r="BO1038" s="18"/>
      <c r="BZ1038" s="18"/>
      <c r="CD1038" s="18"/>
      <c r="CI1038" s="18"/>
      <c r="CT1038" s="18"/>
      <c r="CZ1038" s="34" t="s">
        <v>87</v>
      </c>
    </row>
    <row r="1039" spans="4:104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L1039" s="30"/>
      <c r="AM1039" s="21"/>
      <c r="AN1039" s="23"/>
      <c r="AX1039" s="40"/>
      <c r="AZ1039" s="40"/>
      <c r="BB1039" s="18"/>
      <c r="BD1039" s="18"/>
      <c r="BE1039" s="18"/>
      <c r="BL1039" s="18"/>
      <c r="BO1039" s="18"/>
      <c r="BZ1039" s="18"/>
      <c r="CD1039" s="18"/>
      <c r="CI1039" s="18"/>
      <c r="CT1039" s="18"/>
      <c r="CZ1039" s="34" t="s">
        <v>87</v>
      </c>
    </row>
    <row r="1040" spans="4:104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L1040" s="30"/>
      <c r="AM1040" s="21"/>
      <c r="AN1040" s="23"/>
      <c r="AX1040" s="40"/>
      <c r="AZ1040" s="40"/>
      <c r="BB1040" s="18"/>
      <c r="BD1040" s="18"/>
      <c r="BE1040" s="18"/>
      <c r="BL1040" s="18"/>
      <c r="BO1040" s="18"/>
      <c r="BZ1040" s="18"/>
      <c r="CD1040" s="18"/>
      <c r="CI1040" s="18"/>
      <c r="CT1040" s="18"/>
      <c r="CZ1040" s="34" t="s">
        <v>87</v>
      </c>
    </row>
    <row r="1041" spans="4:104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L1041" s="30"/>
      <c r="AM1041" s="21"/>
      <c r="AN1041" s="23"/>
      <c r="AX1041" s="40"/>
      <c r="AZ1041" s="40"/>
      <c r="BB1041" s="18"/>
      <c r="BD1041" s="18"/>
      <c r="BE1041" s="18"/>
      <c r="BL1041" s="18"/>
      <c r="BO1041" s="18"/>
      <c r="BZ1041" s="18"/>
      <c r="CD1041" s="18"/>
      <c r="CI1041" s="18"/>
      <c r="CT1041" s="18"/>
      <c r="CZ1041" s="34" t="s">
        <v>87</v>
      </c>
    </row>
    <row r="1042" spans="4:104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L1042" s="30"/>
      <c r="AM1042" s="21"/>
      <c r="AN1042" s="23"/>
      <c r="AX1042" s="40"/>
      <c r="AZ1042" s="40"/>
      <c r="BB1042" s="18"/>
      <c r="BD1042" s="18"/>
      <c r="BE1042" s="18"/>
      <c r="BL1042" s="18"/>
      <c r="BO1042" s="18"/>
      <c r="BZ1042" s="18"/>
      <c r="CD1042" s="18"/>
      <c r="CI1042" s="18"/>
      <c r="CT1042" s="18"/>
      <c r="CZ1042" s="34" t="s">
        <v>87</v>
      </c>
    </row>
    <row r="1043" spans="4:104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L1043" s="30"/>
      <c r="AM1043" s="21"/>
      <c r="AN1043" s="23"/>
      <c r="AX1043" s="40"/>
      <c r="AZ1043" s="40"/>
      <c r="BB1043" s="18"/>
      <c r="BD1043" s="18"/>
      <c r="BE1043" s="18"/>
      <c r="BL1043" s="18"/>
      <c r="BO1043" s="18"/>
      <c r="BZ1043" s="18"/>
      <c r="CD1043" s="18"/>
      <c r="CI1043" s="18"/>
      <c r="CT1043" s="18"/>
      <c r="CZ1043" s="34" t="s">
        <v>87</v>
      </c>
    </row>
    <row r="1044" spans="4:104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L1044" s="30"/>
      <c r="AM1044" s="21"/>
      <c r="AN1044" s="23"/>
      <c r="AX1044" s="40"/>
      <c r="AZ1044" s="40"/>
      <c r="BB1044" s="18"/>
      <c r="BD1044" s="18"/>
      <c r="BE1044" s="18"/>
      <c r="BL1044" s="18"/>
      <c r="BO1044" s="18"/>
      <c r="BZ1044" s="18"/>
      <c r="CD1044" s="18"/>
      <c r="CI1044" s="18"/>
      <c r="CT1044" s="18"/>
      <c r="CZ1044" s="34" t="s">
        <v>87</v>
      </c>
    </row>
    <row r="1045" spans="4:104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L1045" s="30"/>
      <c r="AM1045" s="21"/>
      <c r="AN1045" s="23"/>
      <c r="AX1045" s="40"/>
      <c r="AZ1045" s="40"/>
      <c r="BB1045" s="18"/>
      <c r="BD1045" s="18"/>
      <c r="BE1045" s="18"/>
      <c r="BL1045" s="18"/>
      <c r="BO1045" s="18"/>
      <c r="BZ1045" s="18"/>
      <c r="CD1045" s="18"/>
      <c r="CI1045" s="18"/>
      <c r="CT1045" s="18"/>
      <c r="CZ1045" s="34" t="s">
        <v>87</v>
      </c>
    </row>
    <row r="1046" spans="4:104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L1046" s="30"/>
      <c r="AM1046" s="21"/>
      <c r="AN1046" s="23"/>
      <c r="AX1046" s="40"/>
      <c r="AZ1046" s="40"/>
      <c r="BB1046" s="18"/>
      <c r="BD1046" s="18"/>
      <c r="BE1046" s="18"/>
      <c r="BL1046" s="18"/>
      <c r="BO1046" s="18"/>
      <c r="BZ1046" s="18"/>
      <c r="CD1046" s="18"/>
      <c r="CI1046" s="18"/>
      <c r="CT1046" s="18"/>
      <c r="CZ1046" s="34" t="s">
        <v>87</v>
      </c>
    </row>
    <row r="1047" spans="4:104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L1047" s="30"/>
      <c r="AM1047" s="21"/>
      <c r="AN1047" s="23"/>
      <c r="AX1047" s="40"/>
      <c r="AZ1047" s="40"/>
      <c r="BB1047" s="18"/>
      <c r="BD1047" s="18"/>
      <c r="BE1047" s="18"/>
      <c r="BL1047" s="18"/>
      <c r="BO1047" s="18"/>
      <c r="BZ1047" s="18"/>
      <c r="CD1047" s="18"/>
      <c r="CI1047" s="18"/>
      <c r="CT1047" s="18"/>
      <c r="CZ1047" s="34" t="s">
        <v>87</v>
      </c>
    </row>
    <row r="1048" spans="4:104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L1048" s="30"/>
      <c r="AM1048" s="21"/>
      <c r="AN1048" s="23"/>
      <c r="AX1048" s="40"/>
      <c r="AZ1048" s="40"/>
      <c r="BB1048" s="18"/>
      <c r="BD1048" s="18"/>
      <c r="BE1048" s="18"/>
      <c r="BL1048" s="18"/>
      <c r="BO1048" s="18"/>
      <c r="BZ1048" s="18"/>
      <c r="CD1048" s="18"/>
      <c r="CI1048" s="18"/>
      <c r="CT1048" s="18"/>
      <c r="CZ1048" s="34" t="s">
        <v>87</v>
      </c>
    </row>
    <row r="1049" spans="4:104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L1049" s="30"/>
      <c r="AM1049" s="21"/>
      <c r="AN1049" s="23"/>
      <c r="AX1049" s="40"/>
      <c r="AZ1049" s="40"/>
      <c r="BB1049" s="18"/>
      <c r="BD1049" s="18"/>
      <c r="BE1049" s="18"/>
      <c r="BL1049" s="18"/>
      <c r="BO1049" s="18"/>
      <c r="BZ1049" s="18"/>
      <c r="CD1049" s="18"/>
      <c r="CI1049" s="18"/>
      <c r="CT1049" s="18"/>
      <c r="CZ1049" s="34" t="s">
        <v>87</v>
      </c>
    </row>
    <row r="1050" spans="4:104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L1050" s="30"/>
      <c r="AM1050" s="21"/>
      <c r="AN1050" s="23"/>
      <c r="AX1050" s="40"/>
      <c r="AZ1050" s="40"/>
      <c r="BB1050" s="18"/>
      <c r="BD1050" s="18"/>
      <c r="BE1050" s="18"/>
      <c r="BL1050" s="18"/>
      <c r="BO1050" s="18"/>
      <c r="BZ1050" s="18"/>
      <c r="CD1050" s="18"/>
      <c r="CI1050" s="18"/>
      <c r="CT1050" s="18"/>
      <c r="CZ1050" s="34" t="s">
        <v>87</v>
      </c>
    </row>
    <row r="1051" spans="4:104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L1051" s="30"/>
      <c r="AM1051" s="21"/>
      <c r="AN1051" s="23"/>
      <c r="AX1051" s="40"/>
      <c r="AZ1051" s="40"/>
      <c r="BB1051" s="18"/>
      <c r="BD1051" s="18"/>
      <c r="BE1051" s="18"/>
      <c r="BL1051" s="18"/>
      <c r="BO1051" s="18"/>
      <c r="BZ1051" s="18"/>
      <c r="CD1051" s="18"/>
      <c r="CI1051" s="18"/>
      <c r="CT1051" s="18"/>
      <c r="CZ1051" s="34" t="s">
        <v>87</v>
      </c>
    </row>
    <row r="1052" spans="4:104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L1052" s="30"/>
      <c r="AM1052" s="21"/>
      <c r="AN1052" s="23"/>
      <c r="AX1052" s="40"/>
      <c r="AZ1052" s="40"/>
      <c r="BB1052" s="18"/>
      <c r="BD1052" s="18"/>
      <c r="BE1052" s="18"/>
      <c r="BL1052" s="18"/>
      <c r="BO1052" s="18"/>
      <c r="BZ1052" s="18"/>
      <c r="CD1052" s="18"/>
      <c r="CI1052" s="18"/>
      <c r="CT1052" s="18"/>
      <c r="CZ1052" s="34" t="s">
        <v>87</v>
      </c>
    </row>
    <row r="1053" spans="4:104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L1053" s="30"/>
      <c r="AM1053" s="21"/>
      <c r="AN1053" s="23"/>
      <c r="AX1053" s="40"/>
      <c r="AZ1053" s="40"/>
      <c r="BB1053" s="18"/>
      <c r="BD1053" s="18"/>
      <c r="BE1053" s="18"/>
      <c r="BL1053" s="18"/>
      <c r="BO1053" s="18"/>
      <c r="BZ1053" s="18"/>
      <c r="CD1053" s="18"/>
      <c r="CI1053" s="18"/>
      <c r="CT1053" s="18"/>
      <c r="CZ1053" s="34" t="s">
        <v>87</v>
      </c>
    </row>
    <row r="1054" spans="4:104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L1054" s="30"/>
      <c r="AM1054" s="21"/>
      <c r="AN1054" s="23"/>
      <c r="AX1054" s="40"/>
      <c r="AZ1054" s="40"/>
      <c r="BB1054" s="18"/>
      <c r="BD1054" s="18"/>
      <c r="BE1054" s="18"/>
      <c r="BL1054" s="18"/>
      <c r="BO1054" s="18"/>
      <c r="BZ1054" s="18"/>
      <c r="CD1054" s="18"/>
      <c r="CI1054" s="18"/>
      <c r="CT1054" s="18"/>
      <c r="CZ1054" s="34" t="s">
        <v>87</v>
      </c>
    </row>
    <row r="1055" spans="4:104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L1055" s="30"/>
      <c r="AM1055" s="21"/>
      <c r="AN1055" s="23"/>
      <c r="AX1055" s="40"/>
      <c r="AZ1055" s="40"/>
      <c r="BB1055" s="18"/>
      <c r="BD1055" s="18"/>
      <c r="BE1055" s="18"/>
      <c r="BL1055" s="18"/>
      <c r="BO1055" s="18"/>
      <c r="BZ1055" s="18"/>
      <c r="CD1055" s="18"/>
      <c r="CI1055" s="18"/>
      <c r="CT1055" s="18"/>
      <c r="CZ1055" s="34" t="s">
        <v>87</v>
      </c>
    </row>
    <row r="1056" spans="4:104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L1056" s="30"/>
      <c r="AM1056" s="21"/>
      <c r="AN1056" s="23"/>
      <c r="AX1056" s="40"/>
      <c r="AZ1056" s="40"/>
      <c r="BB1056" s="18"/>
      <c r="BD1056" s="18"/>
      <c r="BE1056" s="18"/>
      <c r="BL1056" s="18"/>
      <c r="BO1056" s="18"/>
      <c r="BZ1056" s="18"/>
      <c r="CD1056" s="18"/>
      <c r="CI1056" s="18"/>
      <c r="CT1056" s="18"/>
      <c r="CZ1056" s="34" t="s">
        <v>87</v>
      </c>
    </row>
    <row r="1057" spans="4:104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L1057" s="30"/>
      <c r="AM1057" s="21"/>
      <c r="AN1057" s="23"/>
      <c r="AX1057" s="40"/>
      <c r="AZ1057" s="40"/>
      <c r="BB1057" s="18"/>
      <c r="BD1057" s="18"/>
      <c r="BE1057" s="18"/>
      <c r="BL1057" s="18"/>
      <c r="BO1057" s="18"/>
      <c r="BZ1057" s="18"/>
      <c r="CD1057" s="18"/>
      <c r="CI1057" s="18"/>
      <c r="CT1057" s="18"/>
      <c r="CZ1057" s="34" t="s">
        <v>87</v>
      </c>
    </row>
    <row r="1058" spans="4:104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L1058" s="30"/>
      <c r="AM1058" s="21"/>
      <c r="AN1058" s="23"/>
      <c r="AX1058" s="40"/>
      <c r="AZ1058" s="40"/>
      <c r="BB1058" s="18"/>
      <c r="BD1058" s="18"/>
      <c r="BE1058" s="18"/>
      <c r="BL1058" s="18"/>
      <c r="BO1058" s="18"/>
      <c r="BZ1058" s="18"/>
      <c r="CD1058" s="18"/>
      <c r="CI1058" s="18"/>
      <c r="CT1058" s="18"/>
      <c r="CZ1058" s="34" t="s">
        <v>87</v>
      </c>
    </row>
    <row r="1059" spans="4:104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L1059" s="30"/>
      <c r="AM1059" s="21"/>
      <c r="AN1059" s="23"/>
      <c r="AX1059" s="40"/>
      <c r="AZ1059" s="40"/>
      <c r="BB1059" s="18"/>
      <c r="BD1059" s="18"/>
      <c r="BE1059" s="18"/>
      <c r="BL1059" s="18"/>
      <c r="BO1059" s="18"/>
      <c r="BZ1059" s="18"/>
      <c r="CD1059" s="18"/>
      <c r="CI1059" s="18"/>
      <c r="CT1059" s="18"/>
      <c r="CZ1059" s="34" t="s">
        <v>87</v>
      </c>
    </row>
    <row r="1060" spans="4:104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L1060" s="30"/>
      <c r="AM1060" s="21"/>
      <c r="AN1060" s="23"/>
      <c r="AX1060" s="40"/>
      <c r="AZ1060" s="40"/>
      <c r="BB1060" s="18"/>
      <c r="BD1060" s="18"/>
      <c r="BE1060" s="18"/>
      <c r="BL1060" s="18"/>
      <c r="BO1060" s="18"/>
      <c r="BZ1060" s="18"/>
      <c r="CD1060" s="18"/>
      <c r="CI1060" s="18"/>
      <c r="CT1060" s="18"/>
      <c r="CZ1060" s="34" t="s">
        <v>87</v>
      </c>
    </row>
    <row r="1061" spans="4:104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L1061" s="30"/>
      <c r="AM1061" s="21"/>
      <c r="AN1061" s="23"/>
      <c r="AX1061" s="40"/>
      <c r="AZ1061" s="40"/>
      <c r="BB1061" s="18"/>
      <c r="BD1061" s="18"/>
      <c r="BE1061" s="18"/>
      <c r="BL1061" s="18"/>
      <c r="BO1061" s="18"/>
      <c r="BZ1061" s="18"/>
      <c r="CD1061" s="18"/>
      <c r="CI1061" s="18"/>
      <c r="CT1061" s="18"/>
      <c r="CZ1061" s="34" t="s">
        <v>87</v>
      </c>
    </row>
    <row r="1062" spans="4:104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L1062" s="30"/>
      <c r="AM1062" s="21"/>
      <c r="AN1062" s="23"/>
      <c r="AX1062" s="40"/>
      <c r="AZ1062" s="40"/>
      <c r="BB1062" s="18"/>
      <c r="BD1062" s="18"/>
      <c r="BE1062" s="18"/>
      <c r="BL1062" s="18"/>
      <c r="BO1062" s="18"/>
      <c r="BZ1062" s="18"/>
      <c r="CD1062" s="18"/>
      <c r="CI1062" s="18"/>
      <c r="CT1062" s="18"/>
      <c r="CZ1062" s="34" t="s">
        <v>87</v>
      </c>
    </row>
    <row r="1063" spans="4:104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L1063" s="30"/>
      <c r="AM1063" s="21"/>
      <c r="AN1063" s="23"/>
      <c r="AX1063" s="40"/>
      <c r="AZ1063" s="40"/>
      <c r="BB1063" s="18"/>
      <c r="BD1063" s="18"/>
      <c r="BE1063" s="18"/>
      <c r="BL1063" s="18"/>
      <c r="BO1063" s="18"/>
      <c r="BZ1063" s="18"/>
      <c r="CD1063" s="18"/>
      <c r="CI1063" s="18"/>
      <c r="CT1063" s="18"/>
      <c r="CZ1063" s="34" t="s">
        <v>87</v>
      </c>
    </row>
    <row r="1064" spans="4:104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L1064" s="30"/>
      <c r="AM1064" s="21"/>
      <c r="AN1064" s="23"/>
      <c r="AX1064" s="40"/>
      <c r="AZ1064" s="40"/>
      <c r="BB1064" s="18"/>
      <c r="BD1064" s="18"/>
      <c r="BE1064" s="18"/>
      <c r="BL1064" s="18"/>
      <c r="BO1064" s="18"/>
      <c r="BZ1064" s="18"/>
      <c r="CD1064" s="18"/>
      <c r="CI1064" s="18"/>
      <c r="CT1064" s="18"/>
      <c r="CZ1064" s="34" t="s">
        <v>87</v>
      </c>
    </row>
    <row r="1065" spans="4:104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L1065" s="30"/>
      <c r="AM1065" s="21"/>
      <c r="AN1065" s="23"/>
      <c r="AX1065" s="40"/>
      <c r="AZ1065" s="40"/>
      <c r="BB1065" s="18"/>
      <c r="BD1065" s="18"/>
      <c r="BE1065" s="18"/>
      <c r="BL1065" s="18"/>
      <c r="BO1065" s="18"/>
      <c r="BZ1065" s="18"/>
      <c r="CD1065" s="18"/>
      <c r="CI1065" s="18"/>
      <c r="CT1065" s="18"/>
      <c r="CZ1065" s="34" t="s">
        <v>87</v>
      </c>
    </row>
    <row r="1066" spans="4:104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L1066" s="30"/>
      <c r="AM1066" s="21"/>
      <c r="AN1066" s="23"/>
      <c r="AX1066" s="40"/>
      <c r="AZ1066" s="40"/>
      <c r="BB1066" s="18"/>
      <c r="BD1066" s="18"/>
      <c r="BE1066" s="18"/>
      <c r="BL1066" s="18"/>
      <c r="BO1066" s="18"/>
      <c r="BZ1066" s="18"/>
      <c r="CD1066" s="18"/>
      <c r="CI1066" s="18"/>
      <c r="CT1066" s="18"/>
      <c r="CZ1066" s="34" t="s">
        <v>87</v>
      </c>
    </row>
    <row r="1067" spans="4:104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L1067" s="30"/>
      <c r="AM1067" s="21"/>
      <c r="AN1067" s="23"/>
      <c r="AX1067" s="40"/>
      <c r="AZ1067" s="40"/>
      <c r="BB1067" s="18"/>
      <c r="BD1067" s="18"/>
      <c r="BE1067" s="18"/>
      <c r="BL1067" s="18"/>
      <c r="BO1067" s="18"/>
      <c r="BZ1067" s="18"/>
      <c r="CD1067" s="18"/>
      <c r="CI1067" s="18"/>
      <c r="CT1067" s="18"/>
      <c r="CZ1067" s="34" t="s">
        <v>87</v>
      </c>
    </row>
    <row r="1068" spans="4:104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L1068" s="30"/>
      <c r="AM1068" s="21"/>
      <c r="AN1068" s="23"/>
      <c r="AX1068" s="40"/>
      <c r="AZ1068" s="40"/>
      <c r="BB1068" s="18"/>
      <c r="BD1068" s="18"/>
      <c r="BE1068" s="18"/>
      <c r="BL1068" s="18"/>
      <c r="BO1068" s="18"/>
      <c r="BZ1068" s="18"/>
      <c r="CD1068" s="18"/>
      <c r="CI1068" s="18"/>
      <c r="CT1068" s="18"/>
      <c r="CZ1068" s="34" t="s">
        <v>87</v>
      </c>
    </row>
    <row r="1069" spans="4:104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L1069" s="30"/>
      <c r="AM1069" s="21"/>
      <c r="AN1069" s="23"/>
      <c r="AX1069" s="40"/>
      <c r="AZ1069" s="40"/>
      <c r="BB1069" s="18"/>
      <c r="BD1069" s="18"/>
      <c r="BE1069" s="18"/>
      <c r="BL1069" s="18"/>
      <c r="BO1069" s="18"/>
      <c r="BZ1069" s="18"/>
      <c r="CD1069" s="18"/>
      <c r="CI1069" s="18"/>
      <c r="CT1069" s="18"/>
      <c r="CZ1069" s="34" t="s">
        <v>87</v>
      </c>
    </row>
    <row r="1070" spans="4:104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L1070" s="30"/>
      <c r="AM1070" s="21"/>
      <c r="AN1070" s="23"/>
      <c r="AX1070" s="40"/>
      <c r="AZ1070" s="40"/>
      <c r="BB1070" s="18"/>
      <c r="BD1070" s="18"/>
      <c r="BE1070" s="18"/>
      <c r="BL1070" s="18"/>
      <c r="BO1070" s="18"/>
      <c r="BZ1070" s="18"/>
      <c r="CD1070" s="18"/>
      <c r="CI1070" s="18"/>
      <c r="CT1070" s="18"/>
      <c r="CZ1070" s="34" t="s">
        <v>87</v>
      </c>
    </row>
    <row r="1071" spans="4:104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L1071" s="30"/>
      <c r="AM1071" s="21"/>
      <c r="AN1071" s="23"/>
      <c r="AX1071" s="40"/>
      <c r="AZ1071" s="40"/>
      <c r="BB1071" s="18"/>
      <c r="BD1071" s="18"/>
      <c r="BE1071" s="18"/>
      <c r="BL1071" s="18"/>
      <c r="BO1071" s="18"/>
      <c r="BZ1071" s="18"/>
      <c r="CD1071" s="18"/>
      <c r="CI1071" s="18"/>
      <c r="CT1071" s="18"/>
      <c r="CZ1071" s="34" t="s">
        <v>87</v>
      </c>
    </row>
    <row r="1072" spans="4:104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L1072" s="30"/>
      <c r="AM1072" s="21"/>
      <c r="AN1072" s="23"/>
      <c r="AX1072" s="40"/>
      <c r="AZ1072" s="40"/>
      <c r="BB1072" s="18"/>
      <c r="BD1072" s="18"/>
      <c r="BE1072" s="18"/>
      <c r="BL1072" s="18"/>
      <c r="BO1072" s="18"/>
      <c r="BZ1072" s="18"/>
      <c r="CD1072" s="18"/>
      <c r="CI1072" s="18"/>
      <c r="CT1072" s="18"/>
      <c r="CZ1072" s="34" t="s">
        <v>87</v>
      </c>
    </row>
    <row r="1073" spans="4:104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L1073" s="30"/>
      <c r="AM1073" s="21"/>
      <c r="AN1073" s="23"/>
      <c r="AX1073" s="40"/>
      <c r="AZ1073" s="40"/>
      <c r="BB1073" s="18"/>
      <c r="BD1073" s="18"/>
      <c r="BE1073" s="18"/>
      <c r="BL1073" s="18"/>
      <c r="BO1073" s="18"/>
      <c r="BZ1073" s="18"/>
      <c r="CD1073" s="18"/>
      <c r="CI1073" s="18"/>
      <c r="CT1073" s="18"/>
      <c r="CZ1073" s="34" t="s">
        <v>87</v>
      </c>
    </row>
    <row r="1074" spans="4:104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L1074" s="30"/>
      <c r="AM1074" s="21"/>
      <c r="AN1074" s="23"/>
      <c r="AX1074" s="40"/>
      <c r="AZ1074" s="40"/>
      <c r="BB1074" s="18"/>
      <c r="BD1074" s="18"/>
      <c r="BE1074" s="18"/>
      <c r="BL1074" s="18"/>
      <c r="BO1074" s="18"/>
      <c r="BZ1074" s="18"/>
      <c r="CD1074" s="18"/>
      <c r="CI1074" s="18"/>
      <c r="CT1074" s="18"/>
      <c r="CZ1074" s="34" t="s">
        <v>87</v>
      </c>
    </row>
    <row r="1075" spans="4:104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L1075" s="30"/>
      <c r="AM1075" s="21"/>
      <c r="AN1075" s="23"/>
      <c r="AX1075" s="40"/>
      <c r="AZ1075" s="40"/>
      <c r="BB1075" s="18"/>
      <c r="BD1075" s="18"/>
      <c r="BE1075" s="18"/>
      <c r="BL1075" s="18"/>
      <c r="BO1075" s="18"/>
      <c r="BZ1075" s="18"/>
      <c r="CD1075" s="18"/>
      <c r="CI1075" s="18"/>
      <c r="CT1075" s="18"/>
      <c r="CZ1075" s="34" t="s">
        <v>87</v>
      </c>
    </row>
    <row r="1076" spans="4:104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L1076" s="30"/>
      <c r="AM1076" s="21"/>
      <c r="AN1076" s="23"/>
      <c r="AX1076" s="40"/>
      <c r="AZ1076" s="40"/>
      <c r="BB1076" s="18"/>
      <c r="BD1076" s="18"/>
      <c r="BE1076" s="18"/>
      <c r="BL1076" s="18"/>
      <c r="BO1076" s="18"/>
      <c r="BZ1076" s="18"/>
      <c r="CD1076" s="18"/>
      <c r="CI1076" s="18"/>
      <c r="CT1076" s="18"/>
      <c r="CZ1076" s="34" t="s">
        <v>87</v>
      </c>
    </row>
    <row r="1077" spans="4:104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L1077" s="30"/>
      <c r="AM1077" s="21"/>
      <c r="AN1077" s="23"/>
      <c r="AX1077" s="40"/>
      <c r="AZ1077" s="40"/>
      <c r="BB1077" s="18"/>
      <c r="BD1077" s="18"/>
      <c r="BE1077" s="18"/>
      <c r="BL1077" s="18"/>
      <c r="BO1077" s="18"/>
      <c r="BZ1077" s="18"/>
      <c r="CD1077" s="18"/>
      <c r="CI1077" s="18"/>
      <c r="CT1077" s="18"/>
      <c r="CZ1077" s="34" t="s">
        <v>87</v>
      </c>
    </row>
    <row r="1078" spans="4:104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L1078" s="30"/>
      <c r="AM1078" s="21"/>
      <c r="AN1078" s="23"/>
      <c r="AX1078" s="40"/>
      <c r="AZ1078" s="40"/>
      <c r="BB1078" s="18"/>
      <c r="BD1078" s="18"/>
      <c r="BE1078" s="18"/>
      <c r="BL1078" s="18"/>
      <c r="BO1078" s="18"/>
      <c r="BZ1078" s="18"/>
      <c r="CD1078" s="18"/>
      <c r="CI1078" s="18"/>
      <c r="CT1078" s="18"/>
      <c r="CZ1078" s="34" t="s">
        <v>87</v>
      </c>
    </row>
    <row r="1079" spans="4:104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L1079" s="30"/>
      <c r="AM1079" s="21"/>
      <c r="AN1079" s="23"/>
      <c r="AX1079" s="40"/>
      <c r="AZ1079" s="40"/>
      <c r="BB1079" s="18"/>
      <c r="BD1079" s="18"/>
      <c r="BE1079" s="18"/>
      <c r="BL1079" s="18"/>
      <c r="BO1079" s="18"/>
      <c r="BZ1079" s="18"/>
      <c r="CD1079" s="18"/>
      <c r="CI1079" s="18"/>
      <c r="CT1079" s="18"/>
      <c r="CZ1079" s="34" t="s">
        <v>87</v>
      </c>
    </row>
    <row r="1080" spans="4:104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L1080" s="30"/>
      <c r="AM1080" s="21"/>
      <c r="AN1080" s="23"/>
      <c r="AX1080" s="40"/>
      <c r="AZ1080" s="40"/>
      <c r="BB1080" s="18"/>
      <c r="BD1080" s="18"/>
      <c r="BE1080" s="18"/>
      <c r="BL1080" s="18"/>
      <c r="BO1080" s="18"/>
      <c r="BZ1080" s="18"/>
      <c r="CD1080" s="18"/>
      <c r="CI1080" s="18"/>
      <c r="CT1080" s="18"/>
      <c r="CZ1080" s="34" t="s">
        <v>87</v>
      </c>
    </row>
    <row r="1081" spans="4:104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L1081" s="30"/>
      <c r="AM1081" s="21"/>
      <c r="AN1081" s="23"/>
      <c r="AX1081" s="40"/>
      <c r="AZ1081" s="40"/>
      <c r="BB1081" s="18"/>
      <c r="BD1081" s="18"/>
      <c r="BE1081" s="18"/>
      <c r="BL1081" s="18"/>
      <c r="BO1081" s="18"/>
      <c r="BZ1081" s="18"/>
      <c r="CD1081" s="18"/>
      <c r="CI1081" s="18"/>
      <c r="CT1081" s="18"/>
      <c r="CZ1081" s="34" t="s">
        <v>87</v>
      </c>
    </row>
    <row r="1082" spans="4:104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L1082" s="30"/>
      <c r="AM1082" s="21"/>
      <c r="AN1082" s="23"/>
      <c r="AX1082" s="40"/>
      <c r="AZ1082" s="40"/>
      <c r="BB1082" s="18"/>
      <c r="BD1082" s="18"/>
      <c r="BE1082" s="18"/>
      <c r="BL1082" s="18"/>
      <c r="BO1082" s="18"/>
      <c r="BZ1082" s="18"/>
      <c r="CD1082" s="18"/>
      <c r="CI1082" s="18"/>
      <c r="CT1082" s="18"/>
      <c r="CZ1082" s="34" t="s">
        <v>87</v>
      </c>
    </row>
    <row r="1083" spans="4:104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L1083" s="30"/>
      <c r="AM1083" s="21"/>
      <c r="AN1083" s="23"/>
      <c r="AX1083" s="40"/>
      <c r="AZ1083" s="40"/>
      <c r="BB1083" s="18"/>
      <c r="BD1083" s="18"/>
      <c r="BE1083" s="18"/>
      <c r="BL1083" s="18"/>
      <c r="BO1083" s="18"/>
      <c r="BZ1083" s="18"/>
      <c r="CD1083" s="18"/>
      <c r="CI1083" s="18"/>
      <c r="CT1083" s="18"/>
      <c r="CZ1083" s="34" t="s">
        <v>87</v>
      </c>
    </row>
    <row r="1084" spans="4:104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L1084" s="30"/>
      <c r="AM1084" s="21"/>
      <c r="AN1084" s="23"/>
      <c r="AX1084" s="40"/>
      <c r="AZ1084" s="40"/>
      <c r="BB1084" s="18"/>
      <c r="BD1084" s="18"/>
      <c r="BE1084" s="18"/>
      <c r="BL1084" s="18"/>
      <c r="BO1084" s="18"/>
      <c r="BZ1084" s="18"/>
      <c r="CD1084" s="18"/>
      <c r="CI1084" s="18"/>
      <c r="CT1084" s="18"/>
      <c r="CZ1084" s="34" t="s">
        <v>87</v>
      </c>
    </row>
    <row r="1085" spans="4:104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L1085" s="30"/>
      <c r="AM1085" s="21"/>
      <c r="AN1085" s="23"/>
      <c r="AX1085" s="40"/>
      <c r="AZ1085" s="40"/>
      <c r="BB1085" s="18"/>
      <c r="BD1085" s="18"/>
      <c r="BE1085" s="18"/>
      <c r="BL1085" s="18"/>
      <c r="BO1085" s="18"/>
      <c r="BZ1085" s="18"/>
      <c r="CD1085" s="18"/>
      <c r="CI1085" s="18"/>
      <c r="CT1085" s="18"/>
      <c r="CZ1085" s="34" t="s">
        <v>87</v>
      </c>
    </row>
    <row r="1086" spans="4:104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L1086" s="30"/>
      <c r="AM1086" s="21"/>
      <c r="AN1086" s="23"/>
      <c r="AX1086" s="40"/>
      <c r="AZ1086" s="40"/>
      <c r="BB1086" s="18"/>
      <c r="BD1086" s="18"/>
      <c r="BE1086" s="18"/>
      <c r="BL1086" s="18"/>
      <c r="BO1086" s="18"/>
      <c r="BZ1086" s="18"/>
      <c r="CD1086" s="18"/>
      <c r="CI1086" s="18"/>
      <c r="CT1086" s="18"/>
      <c r="CZ1086" s="34" t="s">
        <v>87</v>
      </c>
    </row>
    <row r="1087" spans="4:104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L1087" s="30"/>
      <c r="AM1087" s="21"/>
      <c r="AN1087" s="23"/>
      <c r="AX1087" s="40"/>
      <c r="AZ1087" s="40"/>
      <c r="BB1087" s="18"/>
      <c r="BD1087" s="18"/>
      <c r="BE1087" s="18"/>
      <c r="BL1087" s="18"/>
      <c r="BO1087" s="18"/>
      <c r="BZ1087" s="18"/>
      <c r="CD1087" s="18"/>
      <c r="CI1087" s="18"/>
      <c r="CT1087" s="18"/>
      <c r="CZ1087" s="34" t="s">
        <v>87</v>
      </c>
    </row>
    <row r="1088" spans="4:104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L1088" s="30"/>
      <c r="AM1088" s="21"/>
      <c r="AN1088" s="23"/>
      <c r="AX1088" s="40"/>
      <c r="AZ1088" s="40"/>
      <c r="BB1088" s="18"/>
      <c r="BD1088" s="18"/>
      <c r="BE1088" s="18"/>
      <c r="BL1088" s="18"/>
      <c r="BO1088" s="18"/>
      <c r="BZ1088" s="18"/>
      <c r="CD1088" s="18"/>
      <c r="CI1088" s="18"/>
      <c r="CT1088" s="18"/>
      <c r="CZ1088" s="34" t="s">
        <v>87</v>
      </c>
    </row>
    <row r="1089" spans="4:104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L1089" s="30"/>
      <c r="AM1089" s="21"/>
      <c r="AN1089" s="23"/>
      <c r="AX1089" s="40"/>
      <c r="AZ1089" s="40"/>
      <c r="BB1089" s="18"/>
      <c r="BD1089" s="18"/>
      <c r="BE1089" s="18"/>
      <c r="BL1089" s="18"/>
      <c r="BO1089" s="18"/>
      <c r="BZ1089" s="18"/>
      <c r="CD1089" s="18"/>
      <c r="CI1089" s="18"/>
      <c r="CT1089" s="18"/>
      <c r="CZ1089" s="34" t="s">
        <v>87</v>
      </c>
    </row>
    <row r="1090" spans="4:104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L1090" s="30"/>
      <c r="AM1090" s="21"/>
      <c r="AN1090" s="23"/>
      <c r="AX1090" s="40"/>
      <c r="AZ1090" s="40"/>
      <c r="BB1090" s="18"/>
      <c r="BD1090" s="18"/>
      <c r="BE1090" s="18"/>
      <c r="BL1090" s="18"/>
      <c r="BO1090" s="18"/>
      <c r="BZ1090" s="18"/>
      <c r="CD1090" s="18"/>
      <c r="CI1090" s="18"/>
      <c r="CT1090" s="18"/>
      <c r="CZ1090" s="34" t="s">
        <v>87</v>
      </c>
    </row>
    <row r="1091" spans="4:104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L1091" s="30"/>
      <c r="AM1091" s="21"/>
      <c r="AN1091" s="23"/>
      <c r="AX1091" s="40"/>
      <c r="AZ1091" s="40"/>
      <c r="BB1091" s="18"/>
      <c r="BD1091" s="18"/>
      <c r="BE1091" s="18"/>
      <c r="BL1091" s="18"/>
      <c r="BO1091" s="18"/>
      <c r="BZ1091" s="18"/>
      <c r="CD1091" s="18"/>
      <c r="CI1091" s="18"/>
      <c r="CT1091" s="18"/>
      <c r="CZ1091" s="34" t="s">
        <v>87</v>
      </c>
    </row>
    <row r="1092" spans="4:104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L1092" s="30"/>
      <c r="AM1092" s="21"/>
      <c r="AN1092" s="23"/>
      <c r="AX1092" s="40"/>
      <c r="AZ1092" s="40"/>
      <c r="BB1092" s="18"/>
      <c r="BD1092" s="18"/>
      <c r="BE1092" s="18"/>
      <c r="BL1092" s="18"/>
      <c r="BO1092" s="18"/>
      <c r="BZ1092" s="18"/>
      <c r="CD1092" s="18"/>
      <c r="CI1092" s="18"/>
      <c r="CT1092" s="18"/>
      <c r="CZ1092" s="34" t="s">
        <v>87</v>
      </c>
    </row>
    <row r="1093" spans="4:104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L1093" s="30"/>
      <c r="AM1093" s="21"/>
      <c r="AN1093" s="23"/>
      <c r="AX1093" s="40"/>
      <c r="AZ1093" s="40"/>
      <c r="BB1093" s="18"/>
      <c r="BD1093" s="18"/>
      <c r="BE1093" s="18"/>
      <c r="BL1093" s="18"/>
      <c r="BO1093" s="18"/>
      <c r="BZ1093" s="18"/>
      <c r="CD1093" s="18"/>
      <c r="CI1093" s="18"/>
      <c r="CT1093" s="18"/>
      <c r="CZ1093" s="34" t="s">
        <v>87</v>
      </c>
    </row>
    <row r="1094" spans="4:104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L1094" s="30"/>
      <c r="AM1094" s="21"/>
      <c r="AN1094" s="23"/>
      <c r="AX1094" s="40"/>
      <c r="AZ1094" s="40"/>
      <c r="BB1094" s="18"/>
      <c r="BD1094" s="18"/>
      <c r="BE1094" s="18"/>
      <c r="BL1094" s="18"/>
      <c r="BO1094" s="18"/>
      <c r="BZ1094" s="18"/>
      <c r="CD1094" s="18"/>
      <c r="CI1094" s="18"/>
      <c r="CT1094" s="18"/>
      <c r="CZ1094" s="34" t="s">
        <v>87</v>
      </c>
    </row>
    <row r="1095" spans="4:104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L1095" s="30"/>
      <c r="AM1095" s="21"/>
      <c r="AN1095" s="23"/>
      <c r="AX1095" s="40"/>
      <c r="AZ1095" s="40"/>
      <c r="BB1095" s="18"/>
      <c r="BD1095" s="18"/>
      <c r="BE1095" s="18"/>
      <c r="BL1095" s="18"/>
      <c r="BO1095" s="18"/>
      <c r="BZ1095" s="18"/>
      <c r="CD1095" s="18"/>
      <c r="CI1095" s="18"/>
      <c r="CT1095" s="18"/>
      <c r="CZ1095" s="34" t="s">
        <v>87</v>
      </c>
    </row>
    <row r="1096" spans="4:104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L1096" s="30"/>
      <c r="AM1096" s="21"/>
      <c r="AN1096" s="23"/>
      <c r="AX1096" s="40"/>
      <c r="AZ1096" s="40"/>
      <c r="BB1096" s="18"/>
      <c r="BD1096" s="18"/>
      <c r="BE1096" s="18"/>
      <c r="BL1096" s="18"/>
      <c r="BO1096" s="18"/>
      <c r="BZ1096" s="18"/>
      <c r="CD1096" s="18"/>
      <c r="CI1096" s="18"/>
      <c r="CT1096" s="18"/>
      <c r="CZ1096" s="34" t="s">
        <v>87</v>
      </c>
    </row>
    <row r="1097" spans="4:104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L1097" s="30"/>
      <c r="AM1097" s="21"/>
      <c r="AN1097" s="23"/>
      <c r="AX1097" s="40"/>
      <c r="AZ1097" s="40"/>
      <c r="BB1097" s="18"/>
      <c r="BD1097" s="18"/>
      <c r="BE1097" s="18"/>
      <c r="BL1097" s="18"/>
      <c r="BO1097" s="18"/>
      <c r="BZ1097" s="18"/>
      <c r="CD1097" s="18"/>
      <c r="CI1097" s="18"/>
      <c r="CT1097" s="18"/>
      <c r="CZ1097" s="34" t="s">
        <v>87</v>
      </c>
    </row>
    <row r="1098" spans="4:104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L1098" s="30"/>
      <c r="AM1098" s="21"/>
      <c r="AN1098" s="23"/>
      <c r="AX1098" s="40"/>
      <c r="AZ1098" s="40"/>
      <c r="BB1098" s="18"/>
      <c r="BD1098" s="18"/>
      <c r="BE1098" s="18"/>
      <c r="BL1098" s="18"/>
      <c r="BO1098" s="18"/>
      <c r="BZ1098" s="18"/>
      <c r="CD1098" s="18"/>
      <c r="CI1098" s="18"/>
      <c r="CT1098" s="18"/>
      <c r="CZ1098" s="34" t="s">
        <v>87</v>
      </c>
    </row>
    <row r="1099" spans="4:104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L1099" s="30"/>
      <c r="AM1099" s="21"/>
      <c r="AN1099" s="23"/>
      <c r="AX1099" s="40"/>
      <c r="AZ1099" s="40"/>
      <c r="BB1099" s="18"/>
      <c r="BD1099" s="18"/>
      <c r="BE1099" s="18"/>
      <c r="BL1099" s="18"/>
      <c r="BO1099" s="18"/>
      <c r="BZ1099" s="18"/>
      <c r="CD1099" s="18"/>
      <c r="CI1099" s="18"/>
      <c r="CT1099" s="18"/>
      <c r="CZ1099" s="34" t="s">
        <v>87</v>
      </c>
    </row>
    <row r="1100" spans="4:104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L1100" s="30"/>
      <c r="AM1100" s="21"/>
      <c r="AN1100" s="23"/>
      <c r="AX1100" s="40"/>
      <c r="AZ1100" s="40"/>
      <c r="BB1100" s="18"/>
      <c r="BD1100" s="18"/>
      <c r="BE1100" s="18"/>
      <c r="BL1100" s="18"/>
      <c r="BO1100" s="18"/>
      <c r="BZ1100" s="18"/>
      <c r="CD1100" s="18"/>
      <c r="CI1100" s="18"/>
      <c r="CT1100" s="18"/>
      <c r="CZ1100" s="34" t="s">
        <v>87</v>
      </c>
    </row>
    <row r="1101" spans="4:104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L1101" s="30"/>
      <c r="AM1101" s="21"/>
      <c r="AN1101" s="23"/>
      <c r="AX1101" s="40"/>
      <c r="AZ1101" s="40"/>
      <c r="BB1101" s="18"/>
      <c r="BD1101" s="18"/>
      <c r="BE1101" s="18"/>
      <c r="BL1101" s="18"/>
      <c r="BO1101" s="18"/>
      <c r="BZ1101" s="18"/>
      <c r="CD1101" s="18"/>
      <c r="CI1101" s="18"/>
      <c r="CT1101" s="18"/>
      <c r="CZ1101" s="34" t="s">
        <v>87</v>
      </c>
    </row>
    <row r="1102" spans="4:104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L1102" s="30"/>
      <c r="AM1102" s="21"/>
      <c r="AN1102" s="23"/>
      <c r="AX1102" s="40"/>
      <c r="AZ1102" s="40"/>
      <c r="BB1102" s="18"/>
      <c r="BD1102" s="18"/>
      <c r="BE1102" s="18"/>
      <c r="BL1102" s="18"/>
      <c r="BO1102" s="18"/>
      <c r="BZ1102" s="18"/>
      <c r="CD1102" s="18"/>
      <c r="CI1102" s="18"/>
      <c r="CT1102" s="18"/>
      <c r="CZ1102" s="34" t="s">
        <v>87</v>
      </c>
    </row>
    <row r="1103" spans="4:104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L1103" s="30"/>
      <c r="AM1103" s="21"/>
      <c r="AN1103" s="23"/>
      <c r="AX1103" s="40"/>
      <c r="AZ1103" s="40"/>
      <c r="BB1103" s="18"/>
      <c r="BD1103" s="18"/>
      <c r="BE1103" s="18"/>
      <c r="BL1103" s="18"/>
      <c r="BO1103" s="18"/>
      <c r="BZ1103" s="18"/>
      <c r="CD1103" s="18"/>
      <c r="CI1103" s="18"/>
      <c r="CT1103" s="18"/>
      <c r="CZ1103" s="34" t="s">
        <v>87</v>
      </c>
    </row>
    <row r="1104" spans="4:104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L1104" s="30"/>
      <c r="AM1104" s="21"/>
      <c r="AN1104" s="23"/>
      <c r="AX1104" s="40"/>
      <c r="AZ1104" s="40"/>
      <c r="BB1104" s="18"/>
      <c r="BD1104" s="18"/>
      <c r="BE1104" s="18"/>
      <c r="BL1104" s="18"/>
      <c r="BO1104" s="18"/>
      <c r="BZ1104" s="18"/>
      <c r="CD1104" s="18"/>
      <c r="CI1104" s="18"/>
      <c r="CT1104" s="18"/>
      <c r="CZ1104" s="34" t="s">
        <v>87</v>
      </c>
    </row>
    <row r="1105" spans="4:104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L1105" s="30"/>
      <c r="AM1105" s="21"/>
      <c r="AN1105" s="23"/>
      <c r="AX1105" s="40"/>
      <c r="AZ1105" s="40"/>
      <c r="BB1105" s="18"/>
      <c r="BD1105" s="18"/>
      <c r="BE1105" s="18"/>
      <c r="BL1105" s="18"/>
      <c r="BO1105" s="18"/>
      <c r="BZ1105" s="18"/>
      <c r="CD1105" s="18"/>
      <c r="CI1105" s="18"/>
      <c r="CT1105" s="18"/>
      <c r="CZ1105" s="34" t="s">
        <v>87</v>
      </c>
    </row>
    <row r="1106" spans="4:104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L1106" s="30"/>
      <c r="AM1106" s="21"/>
      <c r="AN1106" s="23"/>
      <c r="AX1106" s="40"/>
      <c r="AZ1106" s="40"/>
      <c r="BB1106" s="18"/>
      <c r="BD1106" s="18"/>
      <c r="BE1106" s="18"/>
      <c r="BL1106" s="18"/>
      <c r="BO1106" s="18"/>
      <c r="BZ1106" s="18"/>
      <c r="CD1106" s="18"/>
      <c r="CI1106" s="18"/>
      <c r="CT1106" s="18"/>
      <c r="CZ1106" s="34" t="s">
        <v>87</v>
      </c>
    </row>
    <row r="1107" spans="4:104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L1107" s="30"/>
      <c r="AM1107" s="21"/>
      <c r="AN1107" s="23"/>
      <c r="AX1107" s="40"/>
      <c r="AZ1107" s="40"/>
      <c r="BB1107" s="18"/>
      <c r="BD1107" s="18"/>
      <c r="BE1107" s="18"/>
      <c r="BL1107" s="18"/>
      <c r="BO1107" s="18"/>
      <c r="BZ1107" s="18"/>
      <c r="CD1107" s="18"/>
      <c r="CI1107" s="18"/>
      <c r="CT1107" s="18"/>
      <c r="CZ1107" s="34" t="s">
        <v>87</v>
      </c>
    </row>
    <row r="1108" spans="4:104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L1108" s="30"/>
      <c r="AM1108" s="21"/>
      <c r="AN1108" s="23"/>
      <c r="AX1108" s="40"/>
      <c r="AZ1108" s="40"/>
      <c r="BB1108" s="18"/>
      <c r="BD1108" s="18"/>
      <c r="BE1108" s="18"/>
      <c r="BL1108" s="18"/>
      <c r="BO1108" s="18"/>
      <c r="BZ1108" s="18"/>
      <c r="CD1108" s="18"/>
      <c r="CI1108" s="18"/>
      <c r="CT1108" s="18"/>
      <c r="CZ1108" s="34" t="s">
        <v>87</v>
      </c>
    </row>
    <row r="1109" spans="4:104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L1109" s="30"/>
      <c r="AM1109" s="21"/>
      <c r="AN1109" s="23"/>
      <c r="AX1109" s="40"/>
      <c r="AZ1109" s="40"/>
      <c r="BB1109" s="18"/>
      <c r="BD1109" s="18"/>
      <c r="BE1109" s="18"/>
      <c r="BL1109" s="18"/>
      <c r="BO1109" s="18"/>
      <c r="BZ1109" s="18"/>
      <c r="CD1109" s="18"/>
      <c r="CI1109" s="18"/>
      <c r="CT1109" s="18"/>
      <c r="CZ1109" s="34" t="s">
        <v>87</v>
      </c>
    </row>
    <row r="1110" spans="4:104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L1110" s="30"/>
      <c r="AM1110" s="21"/>
      <c r="AN1110" s="23"/>
      <c r="AX1110" s="40"/>
      <c r="AZ1110" s="40"/>
      <c r="BB1110" s="18"/>
      <c r="BD1110" s="18"/>
      <c r="BE1110" s="18"/>
      <c r="BL1110" s="18"/>
      <c r="BO1110" s="18"/>
      <c r="BZ1110" s="18"/>
      <c r="CD1110" s="18"/>
      <c r="CI1110" s="18"/>
      <c r="CT1110" s="18"/>
      <c r="CZ1110" s="34" t="s">
        <v>87</v>
      </c>
    </row>
    <row r="1111" spans="4:104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L1111" s="30"/>
      <c r="AM1111" s="21"/>
      <c r="AN1111" s="23"/>
      <c r="AX1111" s="40"/>
      <c r="AZ1111" s="40"/>
      <c r="BB1111" s="18"/>
      <c r="BD1111" s="18"/>
      <c r="BE1111" s="18"/>
      <c r="BL1111" s="18"/>
      <c r="BO1111" s="18"/>
      <c r="BZ1111" s="18"/>
      <c r="CD1111" s="18"/>
      <c r="CI1111" s="18"/>
      <c r="CT1111" s="18"/>
      <c r="CZ1111" s="34" t="s">
        <v>87</v>
      </c>
    </row>
    <row r="1112" spans="4:104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L1112" s="30"/>
      <c r="AM1112" s="21"/>
      <c r="AN1112" s="23"/>
      <c r="AX1112" s="40"/>
      <c r="AZ1112" s="40"/>
      <c r="BB1112" s="18"/>
      <c r="BD1112" s="18"/>
      <c r="BE1112" s="18"/>
      <c r="BL1112" s="18"/>
      <c r="BO1112" s="18"/>
      <c r="BZ1112" s="18"/>
      <c r="CD1112" s="18"/>
      <c r="CI1112" s="18"/>
      <c r="CT1112" s="18"/>
      <c r="CZ1112" s="34" t="s">
        <v>87</v>
      </c>
    </row>
    <row r="1113" spans="4:104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L1113" s="30"/>
      <c r="AM1113" s="21"/>
      <c r="AN1113" s="23"/>
      <c r="AX1113" s="40"/>
      <c r="AZ1113" s="40"/>
      <c r="BB1113" s="18"/>
      <c r="BD1113" s="18"/>
      <c r="BE1113" s="18"/>
      <c r="BL1113" s="18"/>
      <c r="BO1113" s="18"/>
      <c r="BZ1113" s="18"/>
      <c r="CD1113" s="18"/>
      <c r="CI1113" s="18"/>
      <c r="CT1113" s="18"/>
      <c r="CZ1113" s="34" t="s">
        <v>87</v>
      </c>
    </row>
    <row r="1114" spans="4:104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L1114" s="30"/>
      <c r="AM1114" s="21"/>
      <c r="AN1114" s="23"/>
      <c r="AX1114" s="40"/>
      <c r="AZ1114" s="40"/>
      <c r="BB1114" s="18"/>
      <c r="BD1114" s="18"/>
      <c r="BE1114" s="18"/>
      <c r="BL1114" s="18"/>
      <c r="BO1114" s="18"/>
      <c r="BZ1114" s="18"/>
      <c r="CD1114" s="18"/>
      <c r="CI1114" s="18"/>
      <c r="CT1114" s="18"/>
      <c r="CZ1114" s="34" t="s">
        <v>87</v>
      </c>
    </row>
    <row r="1115" spans="4:104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L1115" s="30"/>
      <c r="AM1115" s="21"/>
      <c r="AN1115" s="23"/>
      <c r="AX1115" s="40"/>
      <c r="AZ1115" s="40"/>
      <c r="BB1115" s="18"/>
      <c r="BD1115" s="18"/>
      <c r="BE1115" s="18"/>
      <c r="BL1115" s="18"/>
      <c r="BO1115" s="18"/>
      <c r="BZ1115" s="18"/>
      <c r="CD1115" s="18"/>
      <c r="CI1115" s="18"/>
      <c r="CT1115" s="18"/>
      <c r="CZ1115" s="34" t="s">
        <v>87</v>
      </c>
    </row>
    <row r="1116" spans="4:104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L1116" s="30"/>
      <c r="AM1116" s="21"/>
      <c r="AN1116" s="23"/>
      <c r="AX1116" s="40"/>
      <c r="AZ1116" s="40"/>
      <c r="BB1116" s="18"/>
      <c r="BD1116" s="18"/>
      <c r="BE1116" s="18"/>
      <c r="BL1116" s="18"/>
      <c r="BO1116" s="18"/>
      <c r="BZ1116" s="18"/>
      <c r="CD1116" s="18"/>
      <c r="CI1116" s="18"/>
      <c r="CT1116" s="18"/>
      <c r="CZ1116" s="34" t="s">
        <v>87</v>
      </c>
    </row>
    <row r="1117" spans="4:104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L1117" s="30"/>
      <c r="AM1117" s="21"/>
      <c r="AN1117" s="23"/>
      <c r="AX1117" s="40"/>
      <c r="AZ1117" s="40"/>
      <c r="BB1117" s="18"/>
      <c r="BD1117" s="18"/>
      <c r="BE1117" s="18"/>
      <c r="BL1117" s="18"/>
      <c r="BO1117" s="18"/>
      <c r="BZ1117" s="18"/>
      <c r="CD1117" s="18"/>
      <c r="CI1117" s="18"/>
      <c r="CT1117" s="18"/>
      <c r="CZ1117" s="34" t="s">
        <v>87</v>
      </c>
    </row>
    <row r="1118" spans="4:104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L1118" s="30"/>
      <c r="AM1118" s="21"/>
      <c r="AN1118" s="23"/>
      <c r="AX1118" s="40"/>
      <c r="AZ1118" s="40"/>
      <c r="BB1118" s="18"/>
      <c r="BD1118" s="18"/>
      <c r="BE1118" s="18"/>
      <c r="BL1118" s="18"/>
      <c r="BO1118" s="18"/>
      <c r="BZ1118" s="18"/>
      <c r="CD1118" s="18"/>
      <c r="CI1118" s="18"/>
      <c r="CT1118" s="18"/>
      <c r="CZ1118" s="34" t="s">
        <v>87</v>
      </c>
    </row>
    <row r="1119" spans="4:104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L1119" s="30"/>
      <c r="AM1119" s="21"/>
      <c r="AN1119" s="23"/>
      <c r="AX1119" s="40"/>
      <c r="AZ1119" s="40"/>
      <c r="BB1119" s="18"/>
      <c r="BD1119" s="18"/>
      <c r="BE1119" s="18"/>
      <c r="BL1119" s="18"/>
      <c r="BO1119" s="18"/>
      <c r="BZ1119" s="18"/>
      <c r="CD1119" s="18"/>
      <c r="CI1119" s="18"/>
      <c r="CT1119" s="18"/>
      <c r="CZ1119" s="34" t="s">
        <v>87</v>
      </c>
    </row>
    <row r="1120" spans="4:104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L1120" s="30"/>
      <c r="AM1120" s="21"/>
      <c r="AN1120" s="23"/>
      <c r="AX1120" s="40"/>
      <c r="AZ1120" s="40"/>
      <c r="BB1120" s="18"/>
      <c r="BD1120" s="18"/>
      <c r="BE1120" s="18"/>
      <c r="BL1120" s="18"/>
      <c r="BO1120" s="18"/>
      <c r="BZ1120" s="18"/>
      <c r="CD1120" s="18"/>
      <c r="CI1120" s="18"/>
      <c r="CT1120" s="18"/>
      <c r="CZ1120" s="34" t="s">
        <v>87</v>
      </c>
    </row>
    <row r="1121" spans="4:104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L1121" s="30"/>
      <c r="AM1121" s="21"/>
      <c r="AN1121" s="23"/>
      <c r="AX1121" s="40"/>
      <c r="AZ1121" s="40"/>
      <c r="BB1121" s="18"/>
      <c r="BD1121" s="18"/>
      <c r="BE1121" s="18"/>
      <c r="BL1121" s="18"/>
      <c r="BO1121" s="18"/>
      <c r="BZ1121" s="18"/>
      <c r="CD1121" s="18"/>
      <c r="CI1121" s="18"/>
      <c r="CT1121" s="18"/>
      <c r="CZ1121" s="34" t="s">
        <v>87</v>
      </c>
    </row>
    <row r="1122" spans="4:104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L1122" s="30"/>
      <c r="AM1122" s="21"/>
      <c r="AN1122" s="23"/>
      <c r="AX1122" s="40"/>
      <c r="AZ1122" s="40"/>
      <c r="BB1122" s="18"/>
      <c r="BD1122" s="18"/>
      <c r="BE1122" s="18"/>
      <c r="BL1122" s="18"/>
      <c r="BO1122" s="18"/>
      <c r="BZ1122" s="18"/>
      <c r="CD1122" s="18"/>
      <c r="CI1122" s="18"/>
      <c r="CT1122" s="18"/>
      <c r="CZ1122" s="34" t="s">
        <v>87</v>
      </c>
    </row>
    <row r="1123" spans="4:104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L1123" s="30"/>
      <c r="AM1123" s="21"/>
      <c r="AN1123" s="23"/>
      <c r="AX1123" s="40"/>
      <c r="AZ1123" s="40"/>
      <c r="BB1123" s="18"/>
      <c r="BD1123" s="18"/>
      <c r="BE1123" s="18"/>
      <c r="BL1123" s="18"/>
      <c r="BO1123" s="18"/>
      <c r="BZ1123" s="18"/>
      <c r="CD1123" s="18"/>
      <c r="CI1123" s="18"/>
      <c r="CT1123" s="18"/>
      <c r="CZ1123" s="34" t="s">
        <v>87</v>
      </c>
    </row>
    <row r="1124" spans="4:104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L1124" s="30"/>
      <c r="AM1124" s="21"/>
      <c r="AN1124" s="23"/>
      <c r="AX1124" s="40"/>
      <c r="AZ1124" s="40"/>
      <c r="BB1124" s="18"/>
      <c r="BD1124" s="18"/>
      <c r="BE1124" s="18"/>
      <c r="BL1124" s="18"/>
      <c r="BO1124" s="18"/>
      <c r="BZ1124" s="18"/>
      <c r="CD1124" s="18"/>
      <c r="CI1124" s="18"/>
      <c r="CT1124" s="18"/>
      <c r="CZ1124" s="34" t="s">
        <v>87</v>
      </c>
    </row>
    <row r="1125" spans="4:104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L1125" s="30"/>
      <c r="AM1125" s="21"/>
      <c r="AN1125" s="23"/>
      <c r="AX1125" s="40"/>
      <c r="AZ1125" s="40"/>
      <c r="BB1125" s="18"/>
      <c r="BD1125" s="18"/>
      <c r="BE1125" s="18"/>
      <c r="BL1125" s="18"/>
      <c r="BO1125" s="18"/>
      <c r="BZ1125" s="18"/>
      <c r="CD1125" s="18"/>
      <c r="CI1125" s="18"/>
      <c r="CT1125" s="18"/>
      <c r="CZ1125" s="34" t="s">
        <v>87</v>
      </c>
    </row>
    <row r="1126" spans="4:104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L1126" s="30"/>
      <c r="AM1126" s="21"/>
      <c r="AN1126" s="23"/>
      <c r="AX1126" s="40"/>
      <c r="AZ1126" s="40"/>
      <c r="BB1126" s="18"/>
      <c r="BD1126" s="18"/>
      <c r="BE1126" s="18"/>
      <c r="BL1126" s="18"/>
      <c r="BO1126" s="18"/>
      <c r="BZ1126" s="18"/>
      <c r="CD1126" s="18"/>
      <c r="CI1126" s="18"/>
      <c r="CT1126" s="18"/>
      <c r="CZ1126" s="34" t="s">
        <v>87</v>
      </c>
    </row>
    <row r="1127" spans="4:104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L1127" s="30"/>
      <c r="AM1127" s="21"/>
      <c r="AN1127" s="23"/>
      <c r="AX1127" s="40"/>
      <c r="AZ1127" s="40"/>
      <c r="BB1127" s="18"/>
      <c r="BD1127" s="18"/>
      <c r="BE1127" s="18"/>
      <c r="BL1127" s="18"/>
      <c r="BO1127" s="18"/>
      <c r="BZ1127" s="18"/>
      <c r="CD1127" s="18"/>
      <c r="CI1127" s="18"/>
      <c r="CT1127" s="18"/>
      <c r="CZ1127" s="34" t="s">
        <v>87</v>
      </c>
    </row>
    <row r="1128" spans="4:104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L1128" s="30"/>
      <c r="AM1128" s="21"/>
      <c r="AN1128" s="23"/>
      <c r="AX1128" s="40"/>
      <c r="AZ1128" s="40"/>
      <c r="BB1128" s="18"/>
      <c r="BD1128" s="18"/>
      <c r="BE1128" s="18"/>
      <c r="BL1128" s="18"/>
      <c r="BO1128" s="18"/>
      <c r="BZ1128" s="18"/>
      <c r="CD1128" s="18"/>
      <c r="CI1128" s="18"/>
      <c r="CT1128" s="18"/>
      <c r="CZ1128" s="34" t="s">
        <v>87</v>
      </c>
    </row>
    <row r="1129" spans="4:104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L1129" s="30"/>
      <c r="AM1129" s="21"/>
      <c r="AN1129" s="23"/>
      <c r="AX1129" s="40"/>
      <c r="AZ1129" s="40"/>
      <c r="BB1129" s="18"/>
      <c r="BD1129" s="18"/>
      <c r="BE1129" s="18"/>
      <c r="BL1129" s="18"/>
      <c r="BO1129" s="18"/>
      <c r="BZ1129" s="18"/>
      <c r="CD1129" s="18"/>
      <c r="CI1129" s="18"/>
      <c r="CT1129" s="18"/>
      <c r="CZ1129" s="34" t="s">
        <v>87</v>
      </c>
    </row>
    <row r="1130" spans="4:104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L1130" s="30"/>
      <c r="AM1130" s="21"/>
      <c r="AN1130" s="23"/>
      <c r="AX1130" s="40"/>
      <c r="AZ1130" s="40"/>
      <c r="BB1130" s="18"/>
      <c r="BD1130" s="18"/>
      <c r="BE1130" s="18"/>
      <c r="BL1130" s="18"/>
      <c r="BO1130" s="18"/>
      <c r="BZ1130" s="18"/>
      <c r="CD1130" s="18"/>
      <c r="CI1130" s="18"/>
      <c r="CT1130" s="18"/>
      <c r="CZ1130" s="34" t="s">
        <v>87</v>
      </c>
    </row>
    <row r="1131" spans="4:104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L1131" s="30"/>
      <c r="AM1131" s="21"/>
      <c r="AN1131" s="23"/>
      <c r="AX1131" s="40"/>
      <c r="AZ1131" s="40"/>
      <c r="BB1131" s="18"/>
      <c r="BD1131" s="18"/>
      <c r="BE1131" s="18"/>
      <c r="BL1131" s="18"/>
      <c r="BO1131" s="18"/>
      <c r="BZ1131" s="18"/>
      <c r="CD1131" s="18"/>
      <c r="CI1131" s="18"/>
      <c r="CT1131" s="18"/>
      <c r="CZ1131" s="34" t="s">
        <v>87</v>
      </c>
    </row>
    <row r="1132" spans="4:104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L1132" s="30"/>
      <c r="AM1132" s="21"/>
      <c r="AN1132" s="23"/>
      <c r="AX1132" s="40"/>
      <c r="AZ1132" s="40"/>
      <c r="BB1132" s="18"/>
      <c r="BD1132" s="18"/>
      <c r="BE1132" s="18"/>
      <c r="BL1132" s="18"/>
      <c r="BO1132" s="18"/>
      <c r="BZ1132" s="18"/>
      <c r="CD1132" s="18"/>
      <c r="CI1132" s="18"/>
      <c r="CT1132" s="18"/>
      <c r="CZ1132" s="34" t="s">
        <v>87</v>
      </c>
    </row>
    <row r="1133" spans="4:104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L1133" s="30"/>
      <c r="AM1133" s="21"/>
      <c r="AN1133" s="23"/>
      <c r="AX1133" s="40"/>
      <c r="AZ1133" s="40"/>
      <c r="BB1133" s="18"/>
      <c r="BD1133" s="18"/>
      <c r="BE1133" s="18"/>
      <c r="BL1133" s="18"/>
      <c r="BO1133" s="18"/>
      <c r="BZ1133" s="18"/>
      <c r="CD1133" s="18"/>
      <c r="CI1133" s="18"/>
      <c r="CT1133" s="18"/>
      <c r="CZ1133" s="34" t="s">
        <v>87</v>
      </c>
    </row>
    <row r="1134" spans="4:104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L1134" s="30"/>
      <c r="AM1134" s="21"/>
      <c r="AN1134" s="23"/>
      <c r="AX1134" s="40"/>
      <c r="AZ1134" s="40"/>
      <c r="BB1134" s="18"/>
      <c r="BD1134" s="18"/>
      <c r="BE1134" s="18"/>
      <c r="BL1134" s="18"/>
      <c r="BO1134" s="18"/>
      <c r="BZ1134" s="18"/>
      <c r="CD1134" s="18"/>
      <c r="CI1134" s="18"/>
      <c r="CT1134" s="18"/>
      <c r="CZ1134" s="34" t="s">
        <v>87</v>
      </c>
    </row>
    <row r="1135" spans="4:104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L1135" s="30"/>
      <c r="AM1135" s="21"/>
      <c r="AN1135" s="23"/>
      <c r="AX1135" s="40"/>
      <c r="AZ1135" s="40"/>
      <c r="BB1135" s="18"/>
      <c r="BD1135" s="18"/>
      <c r="BE1135" s="18"/>
      <c r="BL1135" s="18"/>
      <c r="BO1135" s="18"/>
      <c r="BZ1135" s="18"/>
      <c r="CD1135" s="18"/>
      <c r="CI1135" s="18"/>
      <c r="CT1135" s="18"/>
      <c r="CZ1135" s="34" t="s">
        <v>87</v>
      </c>
    </row>
    <row r="1136" spans="4:104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L1136" s="30"/>
      <c r="AM1136" s="21"/>
      <c r="AN1136" s="23"/>
      <c r="AX1136" s="40"/>
      <c r="AZ1136" s="40"/>
      <c r="BB1136" s="18"/>
      <c r="BD1136" s="18"/>
      <c r="BE1136" s="18"/>
      <c r="BL1136" s="18"/>
      <c r="BO1136" s="18"/>
      <c r="BZ1136" s="18"/>
      <c r="CD1136" s="18"/>
      <c r="CI1136" s="18"/>
      <c r="CT1136" s="18"/>
      <c r="CZ1136" s="34" t="s">
        <v>87</v>
      </c>
    </row>
    <row r="1137" spans="4:104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L1137" s="30"/>
      <c r="AM1137" s="21"/>
      <c r="AN1137" s="23"/>
      <c r="AX1137" s="40"/>
      <c r="AZ1137" s="40"/>
      <c r="BB1137" s="18"/>
      <c r="BD1137" s="18"/>
      <c r="BE1137" s="18"/>
      <c r="BL1137" s="18"/>
      <c r="BO1137" s="18"/>
      <c r="BZ1137" s="18"/>
      <c r="CD1137" s="18"/>
      <c r="CI1137" s="18"/>
      <c r="CT1137" s="18"/>
      <c r="CZ1137" s="34" t="s">
        <v>87</v>
      </c>
    </row>
    <row r="1138" spans="4:104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L1138" s="30"/>
      <c r="AM1138" s="21"/>
      <c r="AN1138" s="23"/>
      <c r="AX1138" s="40"/>
      <c r="AZ1138" s="40"/>
      <c r="BB1138" s="18"/>
      <c r="BD1138" s="18"/>
      <c r="BE1138" s="18"/>
      <c r="BL1138" s="18"/>
      <c r="BO1138" s="18"/>
      <c r="BZ1138" s="18"/>
      <c r="CD1138" s="18"/>
      <c r="CI1138" s="18"/>
      <c r="CT1138" s="18"/>
      <c r="CZ1138" s="34" t="s">
        <v>87</v>
      </c>
    </row>
    <row r="1139" spans="4:104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L1139" s="30"/>
      <c r="AM1139" s="21"/>
      <c r="AN1139" s="23"/>
      <c r="AX1139" s="40"/>
      <c r="AZ1139" s="40"/>
      <c r="BB1139" s="18"/>
      <c r="BD1139" s="18"/>
      <c r="BE1139" s="18"/>
      <c r="BL1139" s="18"/>
      <c r="BO1139" s="18"/>
      <c r="BZ1139" s="18"/>
      <c r="CD1139" s="18"/>
      <c r="CI1139" s="18"/>
      <c r="CT1139" s="18"/>
      <c r="CZ1139" s="34" t="s">
        <v>87</v>
      </c>
    </row>
    <row r="1140" spans="4:104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L1140" s="30"/>
      <c r="AM1140" s="21"/>
      <c r="AN1140" s="23"/>
      <c r="AX1140" s="40"/>
      <c r="AZ1140" s="40"/>
      <c r="BB1140" s="18"/>
      <c r="BD1140" s="18"/>
      <c r="BE1140" s="18"/>
      <c r="BL1140" s="18"/>
      <c r="BO1140" s="18"/>
      <c r="BZ1140" s="18"/>
      <c r="CD1140" s="18"/>
      <c r="CI1140" s="18"/>
      <c r="CT1140" s="18"/>
      <c r="CZ1140" s="34" t="s">
        <v>87</v>
      </c>
    </row>
    <row r="1141" spans="4:104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L1141" s="30"/>
      <c r="AM1141" s="21"/>
      <c r="AN1141" s="23"/>
      <c r="AX1141" s="40"/>
      <c r="AZ1141" s="40"/>
      <c r="BB1141" s="18"/>
      <c r="BD1141" s="18"/>
      <c r="BE1141" s="18"/>
      <c r="BL1141" s="18"/>
      <c r="BO1141" s="18"/>
      <c r="BZ1141" s="18"/>
      <c r="CD1141" s="18"/>
      <c r="CI1141" s="18"/>
      <c r="CT1141" s="18"/>
      <c r="CZ1141" s="34" t="s">
        <v>87</v>
      </c>
    </row>
    <row r="1142" spans="4:104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L1142" s="30"/>
      <c r="AM1142" s="21"/>
      <c r="AN1142" s="23"/>
      <c r="AX1142" s="40"/>
      <c r="AZ1142" s="40"/>
      <c r="BB1142" s="18"/>
      <c r="BD1142" s="18"/>
      <c r="BE1142" s="18"/>
      <c r="BL1142" s="18"/>
      <c r="BO1142" s="18"/>
      <c r="BZ1142" s="18"/>
      <c r="CD1142" s="18"/>
      <c r="CI1142" s="18"/>
      <c r="CT1142" s="18"/>
      <c r="CZ1142" s="34" t="s">
        <v>87</v>
      </c>
    </row>
    <row r="1143" spans="4:104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L1143" s="30"/>
      <c r="AM1143" s="21"/>
      <c r="AN1143" s="23"/>
      <c r="AX1143" s="40"/>
      <c r="AZ1143" s="40"/>
      <c r="BB1143" s="18"/>
      <c r="BD1143" s="18"/>
      <c r="BE1143" s="18"/>
      <c r="BL1143" s="18"/>
      <c r="BO1143" s="18"/>
      <c r="BZ1143" s="18"/>
      <c r="CD1143" s="18"/>
      <c r="CI1143" s="18"/>
      <c r="CT1143" s="18"/>
      <c r="CZ1143" s="34" t="s">
        <v>87</v>
      </c>
    </row>
    <row r="1144" spans="4:104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L1144" s="30"/>
      <c r="AM1144" s="21"/>
      <c r="AN1144" s="23"/>
      <c r="AX1144" s="40"/>
      <c r="AZ1144" s="40"/>
      <c r="BB1144" s="18"/>
      <c r="BD1144" s="18"/>
      <c r="BE1144" s="18"/>
      <c r="BL1144" s="18"/>
      <c r="BO1144" s="18"/>
      <c r="BZ1144" s="18"/>
      <c r="CD1144" s="18"/>
      <c r="CI1144" s="18"/>
      <c r="CT1144" s="18"/>
      <c r="CZ1144" s="34" t="s">
        <v>87</v>
      </c>
    </row>
    <row r="1145" spans="4:104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L1145" s="30"/>
      <c r="AM1145" s="21"/>
      <c r="AN1145" s="23"/>
      <c r="AX1145" s="40"/>
      <c r="AZ1145" s="40"/>
      <c r="BB1145" s="18"/>
      <c r="BD1145" s="18"/>
      <c r="BE1145" s="18"/>
      <c r="BL1145" s="18"/>
      <c r="BO1145" s="18"/>
      <c r="BZ1145" s="18"/>
      <c r="CD1145" s="18"/>
      <c r="CI1145" s="18"/>
      <c r="CT1145" s="18"/>
      <c r="CZ1145" s="34" t="s">
        <v>87</v>
      </c>
    </row>
    <row r="1146" spans="4:104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L1146" s="30"/>
      <c r="AM1146" s="21"/>
      <c r="AN1146" s="23"/>
      <c r="AX1146" s="40"/>
      <c r="AZ1146" s="40"/>
      <c r="BB1146" s="18"/>
      <c r="BD1146" s="18"/>
      <c r="BE1146" s="18"/>
      <c r="BL1146" s="18"/>
      <c r="BO1146" s="18"/>
      <c r="BZ1146" s="18"/>
      <c r="CD1146" s="18"/>
      <c r="CI1146" s="18"/>
      <c r="CT1146" s="18"/>
      <c r="CZ1146" s="34" t="s">
        <v>87</v>
      </c>
    </row>
    <row r="1147" spans="4:104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L1147" s="30"/>
      <c r="AM1147" s="21"/>
      <c r="AN1147" s="23"/>
      <c r="AX1147" s="40"/>
      <c r="AZ1147" s="40"/>
      <c r="BB1147" s="18"/>
      <c r="BD1147" s="18"/>
      <c r="BE1147" s="18"/>
      <c r="BL1147" s="18"/>
      <c r="BO1147" s="18"/>
      <c r="BZ1147" s="18"/>
      <c r="CD1147" s="18"/>
      <c r="CI1147" s="18"/>
      <c r="CT1147" s="18"/>
      <c r="CZ1147" s="34" t="s">
        <v>87</v>
      </c>
    </row>
    <row r="1148" spans="4:104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L1148" s="30"/>
      <c r="AM1148" s="21"/>
      <c r="AN1148" s="23"/>
      <c r="AX1148" s="40"/>
      <c r="AZ1148" s="40"/>
      <c r="BB1148" s="18"/>
      <c r="BD1148" s="18"/>
      <c r="BE1148" s="18"/>
      <c r="BL1148" s="18"/>
      <c r="BO1148" s="18"/>
      <c r="BZ1148" s="18"/>
      <c r="CD1148" s="18"/>
      <c r="CI1148" s="18"/>
      <c r="CT1148" s="18"/>
      <c r="CZ1148" s="34" t="s">
        <v>87</v>
      </c>
    </row>
    <row r="1149" spans="4:104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L1149" s="30"/>
      <c r="AM1149" s="21"/>
      <c r="AN1149" s="23"/>
      <c r="AX1149" s="40"/>
      <c r="AZ1149" s="40"/>
      <c r="BB1149" s="18"/>
      <c r="BD1149" s="18"/>
      <c r="BE1149" s="18"/>
      <c r="BL1149" s="18"/>
      <c r="BO1149" s="18"/>
      <c r="BZ1149" s="18"/>
      <c r="CD1149" s="18"/>
      <c r="CI1149" s="18"/>
      <c r="CT1149" s="18"/>
      <c r="CZ1149" s="34" t="s">
        <v>87</v>
      </c>
    </row>
    <row r="1150" spans="4:104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L1150" s="30"/>
      <c r="AM1150" s="21"/>
      <c r="AN1150" s="23"/>
      <c r="AX1150" s="40"/>
      <c r="AZ1150" s="40"/>
      <c r="BB1150" s="18"/>
      <c r="BD1150" s="18"/>
      <c r="BE1150" s="18"/>
      <c r="BL1150" s="18"/>
      <c r="BO1150" s="18"/>
      <c r="BZ1150" s="18"/>
      <c r="CD1150" s="18"/>
      <c r="CI1150" s="18"/>
      <c r="CT1150" s="18"/>
      <c r="CZ1150" s="34" t="s">
        <v>87</v>
      </c>
    </row>
    <row r="1151" spans="4:104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L1151" s="30"/>
      <c r="AM1151" s="21"/>
      <c r="AN1151" s="23"/>
      <c r="AX1151" s="40"/>
      <c r="AZ1151" s="40"/>
      <c r="BB1151" s="18"/>
      <c r="BD1151" s="18"/>
      <c r="BE1151" s="18"/>
      <c r="BL1151" s="18"/>
      <c r="BO1151" s="18"/>
      <c r="BZ1151" s="18"/>
      <c r="CD1151" s="18"/>
      <c r="CI1151" s="18"/>
      <c r="CT1151" s="18"/>
      <c r="CZ1151" s="34" t="s">
        <v>87</v>
      </c>
    </row>
    <row r="1152" spans="4:104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L1152" s="30"/>
      <c r="AM1152" s="21"/>
      <c r="AN1152" s="23"/>
      <c r="AX1152" s="40"/>
      <c r="AZ1152" s="40"/>
      <c r="BB1152" s="18"/>
      <c r="BD1152" s="18"/>
      <c r="BE1152" s="18"/>
      <c r="BL1152" s="18"/>
      <c r="BO1152" s="18"/>
      <c r="BZ1152" s="18"/>
      <c r="CD1152" s="18"/>
      <c r="CI1152" s="18"/>
      <c r="CT1152" s="18"/>
      <c r="CZ1152" s="34" t="s">
        <v>87</v>
      </c>
    </row>
    <row r="1153" spans="4:104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L1153" s="30"/>
      <c r="AM1153" s="21"/>
      <c r="AN1153" s="23"/>
      <c r="AX1153" s="40"/>
      <c r="AZ1153" s="40"/>
      <c r="BB1153" s="18"/>
      <c r="BD1153" s="18"/>
      <c r="BE1153" s="18"/>
      <c r="BL1153" s="18"/>
      <c r="BO1153" s="18"/>
      <c r="BZ1153" s="18"/>
      <c r="CD1153" s="18"/>
      <c r="CI1153" s="18"/>
      <c r="CT1153" s="18"/>
      <c r="CZ1153" s="34" t="s">
        <v>87</v>
      </c>
    </row>
    <row r="1154" spans="4:104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L1154" s="30"/>
      <c r="AM1154" s="21"/>
      <c r="AN1154" s="23"/>
      <c r="AX1154" s="40"/>
      <c r="AZ1154" s="40"/>
      <c r="BB1154" s="18"/>
      <c r="BD1154" s="18"/>
      <c r="BE1154" s="18"/>
      <c r="BL1154" s="18"/>
      <c r="BO1154" s="18"/>
      <c r="BZ1154" s="18"/>
      <c r="CD1154" s="18"/>
      <c r="CI1154" s="18"/>
      <c r="CT1154" s="18"/>
      <c r="CZ1154" s="34" t="s">
        <v>87</v>
      </c>
    </row>
    <row r="1155" spans="4:104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L1155" s="30"/>
      <c r="AM1155" s="21"/>
      <c r="AN1155" s="23"/>
      <c r="AX1155" s="40"/>
      <c r="AZ1155" s="40"/>
      <c r="BB1155" s="18"/>
      <c r="BD1155" s="18"/>
      <c r="BE1155" s="18"/>
      <c r="BL1155" s="18"/>
      <c r="BO1155" s="18"/>
      <c r="BZ1155" s="18"/>
      <c r="CD1155" s="18"/>
      <c r="CI1155" s="18"/>
      <c r="CT1155" s="18"/>
      <c r="CZ1155" s="34" t="s">
        <v>87</v>
      </c>
    </row>
    <row r="1156" spans="4:104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L1156" s="30"/>
      <c r="AM1156" s="21"/>
      <c r="AN1156" s="23"/>
      <c r="AX1156" s="40"/>
      <c r="AZ1156" s="40"/>
      <c r="BB1156" s="18"/>
      <c r="BD1156" s="18"/>
      <c r="BE1156" s="18"/>
      <c r="BL1156" s="18"/>
      <c r="BO1156" s="18"/>
      <c r="BZ1156" s="18"/>
      <c r="CD1156" s="18"/>
      <c r="CI1156" s="18"/>
      <c r="CT1156" s="18"/>
      <c r="CZ1156" s="34" t="s">
        <v>87</v>
      </c>
    </row>
    <row r="1157" spans="4:104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L1157" s="30"/>
      <c r="AM1157" s="21"/>
      <c r="AN1157" s="23"/>
      <c r="AX1157" s="40"/>
      <c r="AZ1157" s="40"/>
      <c r="BB1157" s="18"/>
      <c r="BD1157" s="18"/>
      <c r="BE1157" s="18"/>
      <c r="BL1157" s="18"/>
      <c r="BO1157" s="18"/>
      <c r="BZ1157" s="18"/>
      <c r="CD1157" s="18"/>
      <c r="CI1157" s="18"/>
      <c r="CT1157" s="18"/>
      <c r="CZ1157" s="34" t="s">
        <v>87</v>
      </c>
    </row>
    <row r="1158" spans="4:104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L1158" s="30"/>
      <c r="AM1158" s="21"/>
      <c r="AN1158" s="23"/>
      <c r="AX1158" s="40"/>
      <c r="AZ1158" s="40"/>
      <c r="BB1158" s="18"/>
      <c r="BD1158" s="18"/>
      <c r="BE1158" s="18"/>
      <c r="BL1158" s="18"/>
      <c r="BO1158" s="18"/>
      <c r="BZ1158" s="18"/>
      <c r="CD1158" s="18"/>
      <c r="CI1158" s="18"/>
      <c r="CT1158" s="18"/>
      <c r="CZ1158" s="34" t="s">
        <v>87</v>
      </c>
    </row>
    <row r="1159" spans="4:104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L1159" s="30"/>
      <c r="AM1159" s="21"/>
      <c r="AN1159" s="23"/>
      <c r="AX1159" s="40"/>
      <c r="AZ1159" s="40"/>
      <c r="BB1159" s="18"/>
      <c r="BD1159" s="18"/>
      <c r="BE1159" s="18"/>
      <c r="BL1159" s="18"/>
      <c r="BO1159" s="18"/>
      <c r="BZ1159" s="18"/>
      <c r="CD1159" s="18"/>
      <c r="CI1159" s="18"/>
      <c r="CT1159" s="18"/>
      <c r="CZ1159" s="34" t="s">
        <v>87</v>
      </c>
    </row>
    <row r="1160" spans="4:104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L1160" s="30"/>
      <c r="AM1160" s="21"/>
      <c r="AN1160" s="23"/>
      <c r="AX1160" s="40"/>
      <c r="AZ1160" s="40"/>
      <c r="BB1160" s="18"/>
      <c r="BD1160" s="18"/>
      <c r="BE1160" s="18"/>
      <c r="BL1160" s="18"/>
      <c r="BO1160" s="18"/>
      <c r="BZ1160" s="18"/>
      <c r="CD1160" s="18"/>
      <c r="CI1160" s="18"/>
      <c r="CT1160" s="18"/>
      <c r="CZ1160" s="34" t="s">
        <v>87</v>
      </c>
    </row>
    <row r="1161" spans="4:104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L1161" s="30"/>
      <c r="AM1161" s="21"/>
      <c r="AN1161" s="23"/>
      <c r="AX1161" s="40"/>
      <c r="AZ1161" s="40"/>
      <c r="BB1161" s="18"/>
      <c r="BD1161" s="18"/>
      <c r="BE1161" s="18"/>
      <c r="BL1161" s="18"/>
      <c r="BO1161" s="18"/>
      <c r="BZ1161" s="18"/>
      <c r="CD1161" s="18"/>
      <c r="CI1161" s="18"/>
      <c r="CT1161" s="18"/>
      <c r="CZ1161" s="34" t="s">
        <v>87</v>
      </c>
    </row>
    <row r="1162" spans="4:104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L1162" s="30"/>
      <c r="AM1162" s="21"/>
      <c r="AN1162" s="23"/>
      <c r="AX1162" s="40"/>
      <c r="AZ1162" s="40"/>
      <c r="BB1162" s="18"/>
      <c r="BD1162" s="18"/>
      <c r="BE1162" s="18"/>
      <c r="BL1162" s="18"/>
      <c r="BO1162" s="18"/>
      <c r="BZ1162" s="18"/>
      <c r="CD1162" s="18"/>
      <c r="CI1162" s="18"/>
      <c r="CT1162" s="18"/>
      <c r="CZ1162" s="34" t="s">
        <v>87</v>
      </c>
    </row>
    <row r="1163" spans="4:104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L1163" s="30"/>
      <c r="AM1163" s="21"/>
      <c r="AN1163" s="23"/>
      <c r="AX1163" s="40"/>
      <c r="AZ1163" s="40"/>
      <c r="BB1163" s="18"/>
      <c r="BD1163" s="18"/>
      <c r="BE1163" s="18"/>
      <c r="BL1163" s="18"/>
      <c r="BO1163" s="18"/>
      <c r="BZ1163" s="18"/>
      <c r="CD1163" s="18"/>
      <c r="CI1163" s="18"/>
      <c r="CT1163" s="18"/>
      <c r="CZ1163" s="34" t="s">
        <v>87</v>
      </c>
    </row>
    <row r="1164" spans="4:104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L1164" s="30"/>
      <c r="AM1164" s="21"/>
      <c r="AN1164" s="23"/>
      <c r="AX1164" s="40"/>
      <c r="AZ1164" s="40"/>
      <c r="BB1164" s="18"/>
      <c r="BD1164" s="18"/>
      <c r="BE1164" s="18"/>
      <c r="BL1164" s="18"/>
      <c r="BO1164" s="18"/>
      <c r="BZ1164" s="18"/>
      <c r="CD1164" s="18"/>
      <c r="CI1164" s="18"/>
      <c r="CT1164" s="18"/>
      <c r="CZ1164" s="34" t="s">
        <v>87</v>
      </c>
    </row>
    <row r="1165" spans="4:104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L1165" s="30"/>
      <c r="AM1165" s="21"/>
      <c r="AN1165" s="23"/>
      <c r="AX1165" s="40"/>
      <c r="AZ1165" s="40"/>
      <c r="BB1165" s="18"/>
      <c r="BD1165" s="18"/>
      <c r="BE1165" s="18"/>
      <c r="BL1165" s="18"/>
      <c r="BO1165" s="18"/>
      <c r="BZ1165" s="18"/>
      <c r="CD1165" s="18"/>
      <c r="CI1165" s="18"/>
      <c r="CT1165" s="18"/>
      <c r="CZ1165" s="34" t="s">
        <v>87</v>
      </c>
    </row>
    <row r="1166" spans="4:104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L1166" s="30"/>
      <c r="AM1166" s="21"/>
      <c r="AN1166" s="23"/>
      <c r="AX1166" s="40"/>
      <c r="AZ1166" s="40"/>
      <c r="BB1166" s="18"/>
      <c r="BD1166" s="18"/>
      <c r="BE1166" s="18"/>
      <c r="BL1166" s="18"/>
      <c r="BO1166" s="18"/>
      <c r="BZ1166" s="18"/>
      <c r="CD1166" s="18"/>
      <c r="CI1166" s="18"/>
      <c r="CT1166" s="18"/>
      <c r="CZ1166" s="34" t="s">
        <v>87</v>
      </c>
    </row>
    <row r="1167" spans="4:104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L1167" s="30"/>
      <c r="AM1167" s="21"/>
      <c r="AN1167" s="23"/>
      <c r="AX1167" s="40"/>
      <c r="AZ1167" s="40"/>
      <c r="BB1167" s="18"/>
      <c r="BD1167" s="18"/>
      <c r="BE1167" s="18"/>
      <c r="BL1167" s="18"/>
      <c r="BO1167" s="18"/>
      <c r="BZ1167" s="18"/>
      <c r="CD1167" s="18"/>
      <c r="CI1167" s="18"/>
      <c r="CT1167" s="18"/>
      <c r="CZ1167" s="34" t="s">
        <v>87</v>
      </c>
    </row>
    <row r="1168" spans="4:104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L1168" s="30"/>
      <c r="AM1168" s="21"/>
      <c r="AN1168" s="23"/>
      <c r="AX1168" s="40"/>
      <c r="AZ1168" s="40"/>
      <c r="BB1168" s="18"/>
      <c r="BD1168" s="18"/>
      <c r="BE1168" s="18"/>
      <c r="BL1168" s="18"/>
      <c r="BO1168" s="18"/>
      <c r="BZ1168" s="18"/>
      <c r="CD1168" s="18"/>
      <c r="CI1168" s="18"/>
      <c r="CT1168" s="18"/>
      <c r="CZ1168" s="34" t="s">
        <v>87</v>
      </c>
    </row>
    <row r="1169" spans="4:104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L1169" s="30"/>
      <c r="AM1169" s="21"/>
      <c r="AN1169" s="23"/>
      <c r="AX1169" s="40"/>
      <c r="AZ1169" s="40"/>
      <c r="BB1169" s="18"/>
      <c r="BD1169" s="18"/>
      <c r="BE1169" s="18"/>
      <c r="BL1169" s="18"/>
      <c r="BO1169" s="18"/>
      <c r="BZ1169" s="18"/>
      <c r="CD1169" s="18"/>
      <c r="CI1169" s="18"/>
      <c r="CT1169" s="18"/>
      <c r="CZ1169" s="34" t="s">
        <v>87</v>
      </c>
    </row>
    <row r="1170" spans="4:104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L1170" s="30"/>
      <c r="AM1170" s="21"/>
      <c r="AN1170" s="23"/>
      <c r="AX1170" s="40"/>
      <c r="AZ1170" s="40"/>
      <c r="BB1170" s="18"/>
      <c r="BD1170" s="18"/>
      <c r="BE1170" s="18"/>
      <c r="BL1170" s="18"/>
      <c r="BO1170" s="18"/>
      <c r="BZ1170" s="18"/>
      <c r="CD1170" s="18"/>
      <c r="CI1170" s="18"/>
      <c r="CT1170" s="18"/>
      <c r="CZ1170" s="34" t="s">
        <v>87</v>
      </c>
    </row>
    <row r="1171" spans="4:104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L1171" s="30"/>
      <c r="AM1171" s="21"/>
      <c r="AN1171" s="23"/>
      <c r="AX1171" s="40"/>
      <c r="AZ1171" s="40"/>
      <c r="BB1171" s="18"/>
      <c r="BD1171" s="18"/>
      <c r="BE1171" s="18"/>
      <c r="BL1171" s="18"/>
      <c r="BO1171" s="18"/>
      <c r="BZ1171" s="18"/>
      <c r="CD1171" s="18"/>
      <c r="CI1171" s="18"/>
      <c r="CT1171" s="18"/>
      <c r="CZ1171" s="34" t="s">
        <v>87</v>
      </c>
    </row>
    <row r="1172" spans="4:104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L1172" s="30"/>
      <c r="AM1172" s="21"/>
      <c r="AN1172" s="23"/>
      <c r="AX1172" s="40"/>
      <c r="AZ1172" s="40"/>
      <c r="BB1172" s="18"/>
      <c r="BD1172" s="18"/>
      <c r="BE1172" s="18"/>
      <c r="BL1172" s="18"/>
      <c r="BO1172" s="18"/>
      <c r="BZ1172" s="18"/>
      <c r="CD1172" s="18"/>
      <c r="CI1172" s="18"/>
      <c r="CT1172" s="18"/>
      <c r="CZ1172" s="34" t="s">
        <v>87</v>
      </c>
    </row>
    <row r="1173" spans="4:104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L1173" s="30"/>
      <c r="AM1173" s="21"/>
      <c r="AN1173" s="23"/>
      <c r="AX1173" s="40"/>
      <c r="AZ1173" s="40"/>
      <c r="BB1173" s="18"/>
      <c r="BD1173" s="18"/>
      <c r="BE1173" s="18"/>
      <c r="BL1173" s="18"/>
      <c r="BO1173" s="18"/>
      <c r="BZ1173" s="18"/>
      <c r="CD1173" s="18"/>
      <c r="CI1173" s="18"/>
      <c r="CT1173" s="18"/>
      <c r="CZ1173" s="34" t="s">
        <v>87</v>
      </c>
    </row>
    <row r="1174" spans="4:104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L1174" s="30"/>
      <c r="AM1174" s="21"/>
      <c r="AN1174" s="23"/>
      <c r="AX1174" s="40"/>
      <c r="AZ1174" s="40"/>
      <c r="BB1174" s="18"/>
      <c r="BD1174" s="18"/>
      <c r="BE1174" s="18"/>
      <c r="BL1174" s="18"/>
      <c r="BO1174" s="18"/>
      <c r="BZ1174" s="18"/>
      <c r="CD1174" s="18"/>
      <c r="CI1174" s="18"/>
      <c r="CT1174" s="18"/>
      <c r="CZ1174" s="34" t="s">
        <v>87</v>
      </c>
    </row>
    <row r="1175" spans="4:104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L1175" s="30"/>
      <c r="AM1175" s="21"/>
      <c r="AN1175" s="23"/>
      <c r="AX1175" s="40"/>
      <c r="AZ1175" s="40"/>
      <c r="BB1175" s="18"/>
      <c r="BD1175" s="18"/>
      <c r="BE1175" s="18"/>
      <c r="BL1175" s="18"/>
      <c r="BO1175" s="18"/>
      <c r="BZ1175" s="18"/>
      <c r="CD1175" s="18"/>
      <c r="CI1175" s="18"/>
      <c r="CT1175" s="18"/>
      <c r="CZ1175" s="34" t="s">
        <v>87</v>
      </c>
    </row>
    <row r="1176" spans="4:104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L1176" s="30"/>
      <c r="AM1176" s="21"/>
      <c r="AN1176" s="23"/>
      <c r="AX1176" s="40"/>
      <c r="AZ1176" s="40"/>
      <c r="BB1176" s="18"/>
      <c r="BD1176" s="18"/>
      <c r="BE1176" s="18"/>
      <c r="BL1176" s="18"/>
      <c r="BO1176" s="18"/>
      <c r="BZ1176" s="18"/>
      <c r="CD1176" s="18"/>
      <c r="CI1176" s="18"/>
      <c r="CT1176" s="18"/>
      <c r="CZ1176" s="34" t="s">
        <v>87</v>
      </c>
    </row>
    <row r="1177" spans="4:104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L1177" s="30"/>
      <c r="AM1177" s="21"/>
      <c r="AN1177" s="23"/>
      <c r="AX1177" s="40"/>
      <c r="AZ1177" s="40"/>
      <c r="BB1177" s="18"/>
      <c r="BD1177" s="18"/>
      <c r="BE1177" s="18"/>
      <c r="BL1177" s="18"/>
      <c r="BO1177" s="18"/>
      <c r="BZ1177" s="18"/>
      <c r="CD1177" s="18"/>
      <c r="CI1177" s="18"/>
      <c r="CT1177" s="18"/>
      <c r="CZ1177" s="34" t="s">
        <v>87</v>
      </c>
    </row>
    <row r="1178" spans="4:104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L1178" s="30"/>
      <c r="AM1178" s="21"/>
      <c r="AN1178" s="23"/>
      <c r="AX1178" s="40"/>
      <c r="AZ1178" s="40"/>
      <c r="BB1178" s="18"/>
      <c r="BD1178" s="18"/>
      <c r="BE1178" s="18"/>
      <c r="BL1178" s="18"/>
      <c r="BO1178" s="18"/>
      <c r="BZ1178" s="18"/>
      <c r="CD1178" s="18"/>
      <c r="CI1178" s="18"/>
      <c r="CT1178" s="18"/>
      <c r="CZ1178" s="34" t="s">
        <v>87</v>
      </c>
    </row>
    <row r="1179" spans="4:104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L1179" s="30"/>
      <c r="AM1179" s="21"/>
      <c r="AN1179" s="23"/>
      <c r="AX1179" s="40"/>
      <c r="AZ1179" s="40"/>
      <c r="BB1179" s="18"/>
      <c r="BD1179" s="18"/>
      <c r="BE1179" s="18"/>
      <c r="BL1179" s="18"/>
      <c r="BO1179" s="18"/>
      <c r="BZ1179" s="18"/>
      <c r="CD1179" s="18"/>
      <c r="CI1179" s="18"/>
      <c r="CT1179" s="18"/>
      <c r="CZ1179" s="34" t="s">
        <v>87</v>
      </c>
    </row>
    <row r="1180" spans="4:104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L1180" s="30"/>
      <c r="AM1180" s="21"/>
      <c r="AN1180" s="23"/>
      <c r="AX1180" s="40"/>
      <c r="AZ1180" s="40"/>
      <c r="BB1180" s="18"/>
      <c r="BD1180" s="18"/>
      <c r="BE1180" s="18"/>
      <c r="BL1180" s="18"/>
      <c r="BO1180" s="18"/>
      <c r="BZ1180" s="18"/>
      <c r="CD1180" s="18"/>
      <c r="CI1180" s="18"/>
      <c r="CT1180" s="18"/>
      <c r="CZ1180" s="34" t="s">
        <v>87</v>
      </c>
    </row>
    <row r="1181" spans="4:104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L1181" s="30"/>
      <c r="AM1181" s="21"/>
      <c r="AN1181" s="23"/>
      <c r="AX1181" s="40"/>
      <c r="AZ1181" s="40"/>
      <c r="BB1181" s="18"/>
      <c r="BD1181" s="18"/>
      <c r="BE1181" s="18"/>
      <c r="BL1181" s="18"/>
      <c r="BO1181" s="18"/>
      <c r="BZ1181" s="18"/>
      <c r="CD1181" s="18"/>
      <c r="CI1181" s="18"/>
      <c r="CT1181" s="18"/>
      <c r="CZ1181" s="34" t="s">
        <v>87</v>
      </c>
    </row>
    <row r="1182" spans="4:104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L1182" s="30"/>
      <c r="AM1182" s="21"/>
      <c r="AN1182" s="23"/>
      <c r="AX1182" s="40"/>
      <c r="AZ1182" s="40"/>
      <c r="BB1182" s="18"/>
      <c r="BD1182" s="18"/>
      <c r="BE1182" s="18"/>
      <c r="BL1182" s="18"/>
      <c r="BO1182" s="18"/>
      <c r="BZ1182" s="18"/>
      <c r="CD1182" s="18"/>
      <c r="CI1182" s="18"/>
      <c r="CT1182" s="18"/>
      <c r="CZ1182" s="34" t="s">
        <v>87</v>
      </c>
    </row>
    <row r="1183" spans="4:104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L1183" s="30"/>
      <c r="AM1183" s="21"/>
      <c r="AN1183" s="23"/>
      <c r="AX1183" s="40"/>
      <c r="AZ1183" s="40"/>
      <c r="BB1183" s="18"/>
      <c r="BD1183" s="18"/>
      <c r="BE1183" s="18"/>
      <c r="BL1183" s="18"/>
      <c r="BO1183" s="18"/>
      <c r="BZ1183" s="18"/>
      <c r="CD1183" s="18"/>
      <c r="CI1183" s="18"/>
      <c r="CT1183" s="18"/>
      <c r="CZ1183" s="34" t="s">
        <v>87</v>
      </c>
    </row>
    <row r="1184" spans="4:104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L1184" s="30"/>
      <c r="AM1184" s="21"/>
      <c r="AN1184" s="23"/>
      <c r="AX1184" s="40"/>
      <c r="AZ1184" s="40"/>
      <c r="BB1184" s="18"/>
      <c r="BD1184" s="18"/>
      <c r="BE1184" s="18"/>
      <c r="BL1184" s="18"/>
      <c r="BO1184" s="18"/>
      <c r="BZ1184" s="18"/>
      <c r="CD1184" s="18"/>
      <c r="CI1184" s="18"/>
      <c r="CT1184" s="18"/>
      <c r="CZ1184" s="34" t="s">
        <v>87</v>
      </c>
    </row>
    <row r="1185" spans="4:104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L1185" s="30"/>
      <c r="AM1185" s="21"/>
      <c r="AN1185" s="23"/>
      <c r="AX1185" s="40"/>
      <c r="AZ1185" s="40"/>
      <c r="BB1185" s="18"/>
      <c r="BD1185" s="18"/>
      <c r="BE1185" s="18"/>
      <c r="BL1185" s="18"/>
      <c r="BO1185" s="18"/>
      <c r="BZ1185" s="18"/>
      <c r="CD1185" s="18"/>
      <c r="CI1185" s="18"/>
      <c r="CT1185" s="18"/>
      <c r="CZ1185" s="34" t="s">
        <v>87</v>
      </c>
    </row>
    <row r="1186" spans="4:104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L1186" s="30"/>
      <c r="AM1186" s="21"/>
      <c r="AN1186" s="23"/>
      <c r="AX1186" s="40"/>
      <c r="AZ1186" s="40"/>
      <c r="BB1186" s="18"/>
      <c r="BD1186" s="18"/>
      <c r="BE1186" s="18"/>
      <c r="BL1186" s="18"/>
      <c r="BO1186" s="18"/>
      <c r="BZ1186" s="18"/>
      <c r="CD1186" s="18"/>
      <c r="CI1186" s="18"/>
      <c r="CT1186" s="18"/>
      <c r="CZ1186" s="34" t="s">
        <v>87</v>
      </c>
    </row>
    <row r="1187" spans="4:104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L1187" s="30"/>
      <c r="AM1187" s="21"/>
      <c r="AN1187" s="23"/>
      <c r="AX1187" s="40"/>
      <c r="AZ1187" s="40"/>
      <c r="BB1187" s="18"/>
      <c r="BD1187" s="18"/>
      <c r="BE1187" s="18"/>
      <c r="BL1187" s="18"/>
      <c r="BO1187" s="18"/>
      <c r="BZ1187" s="18"/>
      <c r="CD1187" s="18"/>
      <c r="CI1187" s="18"/>
      <c r="CT1187" s="18"/>
      <c r="CZ1187" s="34" t="s">
        <v>87</v>
      </c>
    </row>
    <row r="1188" spans="4:104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L1188" s="30"/>
      <c r="AM1188" s="21"/>
      <c r="AN1188" s="23"/>
      <c r="AX1188" s="40"/>
      <c r="AZ1188" s="40"/>
      <c r="BB1188" s="18"/>
      <c r="BD1188" s="18"/>
      <c r="BE1188" s="18"/>
      <c r="BL1188" s="18"/>
      <c r="BO1188" s="18"/>
      <c r="BZ1188" s="18"/>
      <c r="CD1188" s="18"/>
      <c r="CI1188" s="18"/>
      <c r="CT1188" s="18"/>
      <c r="CZ1188" s="34" t="s">
        <v>87</v>
      </c>
    </row>
    <row r="1189" spans="4:104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L1189" s="30"/>
      <c r="AM1189" s="21"/>
      <c r="AN1189" s="23"/>
      <c r="AX1189" s="40"/>
      <c r="AZ1189" s="40"/>
      <c r="BB1189" s="18"/>
      <c r="BD1189" s="18"/>
      <c r="BE1189" s="18"/>
      <c r="BL1189" s="18"/>
      <c r="BO1189" s="18"/>
      <c r="BZ1189" s="18"/>
      <c r="CD1189" s="18"/>
      <c r="CI1189" s="18"/>
      <c r="CT1189" s="18"/>
      <c r="CZ1189" s="34" t="s">
        <v>87</v>
      </c>
    </row>
    <row r="1190" spans="4:104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L1190" s="30"/>
      <c r="AM1190" s="21"/>
      <c r="AN1190" s="23"/>
      <c r="AX1190" s="40"/>
      <c r="AZ1190" s="40"/>
      <c r="BB1190" s="18"/>
      <c r="BD1190" s="18"/>
      <c r="BE1190" s="18"/>
      <c r="BL1190" s="18"/>
      <c r="BO1190" s="18"/>
      <c r="BZ1190" s="18"/>
      <c r="CD1190" s="18"/>
      <c r="CI1190" s="18"/>
      <c r="CT1190" s="18"/>
      <c r="CZ1190" s="34" t="s">
        <v>87</v>
      </c>
    </row>
    <row r="1191" spans="4:104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L1191" s="30"/>
      <c r="AM1191" s="21"/>
      <c r="AN1191" s="23"/>
      <c r="AX1191" s="40"/>
      <c r="AZ1191" s="40"/>
      <c r="BB1191" s="18"/>
      <c r="BD1191" s="18"/>
      <c r="BE1191" s="18"/>
      <c r="BL1191" s="18"/>
      <c r="BO1191" s="18"/>
      <c r="BZ1191" s="18"/>
      <c r="CD1191" s="18"/>
      <c r="CI1191" s="18"/>
      <c r="CT1191" s="18"/>
      <c r="CZ1191" s="34" t="s">
        <v>87</v>
      </c>
    </row>
    <row r="1192" spans="4:104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L1192" s="30"/>
      <c r="AM1192" s="21"/>
      <c r="AN1192" s="23"/>
      <c r="AX1192" s="40"/>
      <c r="AZ1192" s="40"/>
      <c r="BB1192" s="18"/>
      <c r="BD1192" s="18"/>
      <c r="BE1192" s="18"/>
      <c r="BL1192" s="18"/>
      <c r="BO1192" s="18"/>
      <c r="BZ1192" s="18"/>
      <c r="CD1192" s="18"/>
      <c r="CI1192" s="18"/>
      <c r="CT1192" s="18"/>
      <c r="CZ1192" s="34" t="s">
        <v>87</v>
      </c>
    </row>
    <row r="1193" spans="4:104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L1193" s="30"/>
      <c r="AM1193" s="21"/>
      <c r="AN1193" s="23"/>
      <c r="AX1193" s="40"/>
      <c r="AZ1193" s="40"/>
      <c r="BB1193" s="18"/>
      <c r="BD1193" s="18"/>
      <c r="BE1193" s="18"/>
      <c r="BL1193" s="18"/>
      <c r="BO1193" s="18"/>
      <c r="BZ1193" s="18"/>
      <c r="CD1193" s="18"/>
      <c r="CI1193" s="18"/>
      <c r="CT1193" s="18"/>
      <c r="CZ1193" s="34" t="s">
        <v>87</v>
      </c>
    </row>
    <row r="1194" spans="4:104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L1194" s="30"/>
      <c r="AM1194" s="21"/>
      <c r="AN1194" s="23"/>
      <c r="AX1194" s="40"/>
      <c r="AZ1194" s="40"/>
      <c r="BB1194" s="18"/>
      <c r="BD1194" s="18"/>
      <c r="BE1194" s="18"/>
      <c r="BL1194" s="18"/>
      <c r="BO1194" s="18"/>
      <c r="BZ1194" s="18"/>
      <c r="CD1194" s="18"/>
      <c r="CI1194" s="18"/>
      <c r="CT1194" s="18"/>
      <c r="CZ1194" s="34" t="s">
        <v>87</v>
      </c>
    </row>
    <row r="1195" spans="4:104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L1195" s="30"/>
      <c r="AM1195" s="21"/>
      <c r="AN1195" s="23"/>
      <c r="AX1195" s="40"/>
      <c r="AZ1195" s="40"/>
      <c r="BB1195" s="18"/>
      <c r="BD1195" s="18"/>
      <c r="BE1195" s="18"/>
      <c r="BL1195" s="18"/>
      <c r="BO1195" s="18"/>
      <c r="BZ1195" s="18"/>
      <c r="CD1195" s="18"/>
      <c r="CI1195" s="18"/>
      <c r="CT1195" s="18"/>
      <c r="CZ1195" s="34" t="s">
        <v>87</v>
      </c>
    </row>
    <row r="1196" spans="4:104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L1196" s="30"/>
      <c r="AM1196" s="21"/>
      <c r="AN1196" s="23"/>
      <c r="AX1196" s="40"/>
      <c r="AZ1196" s="40"/>
      <c r="BB1196" s="18"/>
      <c r="BD1196" s="18"/>
      <c r="BE1196" s="18"/>
      <c r="BL1196" s="18"/>
      <c r="BO1196" s="18"/>
      <c r="BZ1196" s="18"/>
      <c r="CD1196" s="18"/>
      <c r="CI1196" s="18"/>
      <c r="CT1196" s="18"/>
      <c r="CZ1196" s="34" t="s">
        <v>87</v>
      </c>
    </row>
    <row r="1197" spans="4:104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L1197" s="30"/>
      <c r="AM1197" s="21"/>
      <c r="AN1197" s="23"/>
      <c r="AX1197" s="40"/>
      <c r="AZ1197" s="40"/>
      <c r="BB1197" s="18"/>
      <c r="BD1197" s="18"/>
      <c r="BE1197" s="18"/>
      <c r="BL1197" s="18"/>
      <c r="BO1197" s="18"/>
      <c r="BZ1197" s="18"/>
      <c r="CD1197" s="18"/>
      <c r="CI1197" s="18"/>
      <c r="CT1197" s="18"/>
      <c r="CZ1197" s="34" t="s">
        <v>87</v>
      </c>
    </row>
    <row r="1198" spans="4:104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L1198" s="30"/>
      <c r="AM1198" s="21"/>
      <c r="AN1198" s="23"/>
      <c r="AX1198" s="40"/>
      <c r="AZ1198" s="40"/>
      <c r="BB1198" s="18"/>
      <c r="BD1198" s="18"/>
      <c r="BE1198" s="18"/>
      <c r="BL1198" s="18"/>
      <c r="BO1198" s="18"/>
      <c r="BZ1198" s="18"/>
      <c r="CD1198" s="18"/>
      <c r="CI1198" s="18"/>
      <c r="CT1198" s="18"/>
      <c r="CZ1198" s="34" t="s">
        <v>87</v>
      </c>
    </row>
    <row r="1199" spans="4:104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L1199" s="30"/>
      <c r="AM1199" s="21"/>
      <c r="AN1199" s="23"/>
      <c r="AX1199" s="40"/>
      <c r="AZ1199" s="40"/>
      <c r="BB1199" s="18"/>
      <c r="BD1199" s="18"/>
      <c r="BE1199" s="18"/>
      <c r="BL1199" s="18"/>
      <c r="BO1199" s="18"/>
      <c r="BZ1199" s="18"/>
      <c r="CD1199" s="18"/>
      <c r="CI1199" s="18"/>
      <c r="CT1199" s="18"/>
      <c r="CZ1199" s="34" t="s">
        <v>87</v>
      </c>
    </row>
    <row r="1200" spans="4:104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L1200" s="30"/>
      <c r="AM1200" s="21"/>
      <c r="AN1200" s="23"/>
      <c r="AX1200" s="40"/>
      <c r="AZ1200" s="40"/>
      <c r="BB1200" s="18"/>
      <c r="BD1200" s="18"/>
      <c r="BE1200" s="18"/>
      <c r="BL1200" s="18"/>
      <c r="BO1200" s="18"/>
      <c r="BZ1200" s="18"/>
      <c r="CD1200" s="18"/>
      <c r="CI1200" s="18"/>
      <c r="CT1200" s="18"/>
      <c r="CZ1200" s="34" t="s">
        <v>87</v>
      </c>
    </row>
    <row r="1201" spans="4:104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L1201" s="30"/>
      <c r="AM1201" s="21"/>
      <c r="AN1201" s="23"/>
      <c r="AX1201" s="40"/>
      <c r="AZ1201" s="40"/>
      <c r="BB1201" s="18"/>
      <c r="BD1201" s="18"/>
      <c r="BE1201" s="18"/>
      <c r="BL1201" s="18"/>
      <c r="BO1201" s="18"/>
      <c r="BZ1201" s="18"/>
      <c r="CD1201" s="18"/>
      <c r="CI1201" s="18"/>
      <c r="CT1201" s="18"/>
      <c r="CZ1201" s="34" t="s">
        <v>87</v>
      </c>
    </row>
    <row r="1202" spans="4:104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L1202" s="30"/>
      <c r="AM1202" s="21"/>
      <c r="AN1202" s="23"/>
      <c r="AX1202" s="40"/>
      <c r="AZ1202" s="40"/>
      <c r="BB1202" s="18"/>
      <c r="BD1202" s="18"/>
      <c r="BE1202" s="18"/>
      <c r="BL1202" s="18"/>
      <c r="BO1202" s="18"/>
      <c r="BZ1202" s="18"/>
      <c r="CD1202" s="18"/>
      <c r="CI1202" s="18"/>
      <c r="CT1202" s="18"/>
      <c r="CZ1202" s="34" t="s">
        <v>87</v>
      </c>
    </row>
    <row r="1203" spans="4:104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L1203" s="30"/>
      <c r="AM1203" s="21"/>
      <c r="AN1203" s="23"/>
      <c r="AX1203" s="40"/>
      <c r="AZ1203" s="40"/>
      <c r="BB1203" s="18"/>
      <c r="BD1203" s="18"/>
      <c r="BE1203" s="18"/>
      <c r="BL1203" s="18"/>
      <c r="BO1203" s="18"/>
      <c r="BZ1203" s="18"/>
      <c r="CD1203" s="18"/>
      <c r="CI1203" s="18"/>
      <c r="CT1203" s="18"/>
      <c r="CZ1203" s="34" t="s">
        <v>87</v>
      </c>
    </row>
    <row r="1204" spans="4:104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L1204" s="30"/>
      <c r="AM1204" s="21"/>
      <c r="AN1204" s="23"/>
      <c r="AX1204" s="40"/>
      <c r="AZ1204" s="40"/>
      <c r="BB1204" s="18"/>
      <c r="BD1204" s="18"/>
      <c r="BE1204" s="18"/>
      <c r="BL1204" s="18"/>
      <c r="BO1204" s="18"/>
      <c r="BZ1204" s="18"/>
      <c r="CD1204" s="18"/>
      <c r="CI1204" s="18"/>
      <c r="CT1204" s="18"/>
      <c r="CZ1204" s="34" t="s">
        <v>87</v>
      </c>
    </row>
    <row r="1205" spans="4:104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L1205" s="30"/>
      <c r="AM1205" s="21"/>
      <c r="AN1205" s="23"/>
      <c r="AX1205" s="40"/>
      <c r="AZ1205" s="40"/>
      <c r="BB1205" s="18"/>
      <c r="BD1205" s="18"/>
      <c r="BE1205" s="18"/>
      <c r="BL1205" s="18"/>
      <c r="BO1205" s="18"/>
      <c r="BZ1205" s="18"/>
      <c r="CD1205" s="18"/>
      <c r="CI1205" s="18"/>
      <c r="CT1205" s="18"/>
      <c r="CZ1205" s="34" t="s">
        <v>87</v>
      </c>
    </row>
    <row r="1206" spans="4:104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L1206" s="30"/>
      <c r="AM1206" s="21"/>
      <c r="AN1206" s="23"/>
      <c r="AX1206" s="40"/>
      <c r="AZ1206" s="40"/>
      <c r="BB1206" s="18"/>
      <c r="BD1206" s="18"/>
      <c r="BE1206" s="18"/>
      <c r="BL1206" s="18"/>
      <c r="BO1206" s="18"/>
      <c r="BZ1206" s="18"/>
      <c r="CD1206" s="18"/>
      <c r="CI1206" s="18"/>
      <c r="CT1206" s="18"/>
      <c r="CZ1206" s="34" t="s">
        <v>87</v>
      </c>
    </row>
    <row r="1207" spans="4:104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L1207" s="30"/>
      <c r="AM1207" s="21"/>
      <c r="AN1207" s="23"/>
      <c r="AX1207" s="40"/>
      <c r="AZ1207" s="40"/>
      <c r="BB1207" s="18"/>
      <c r="BD1207" s="18"/>
      <c r="BE1207" s="18"/>
      <c r="BL1207" s="18"/>
      <c r="BO1207" s="18"/>
      <c r="BZ1207" s="18"/>
      <c r="CD1207" s="18"/>
      <c r="CI1207" s="18"/>
      <c r="CT1207" s="18"/>
      <c r="CZ1207" s="34" t="s">
        <v>87</v>
      </c>
    </row>
    <row r="1208" spans="4:104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L1208" s="30"/>
      <c r="AM1208" s="21"/>
      <c r="AN1208" s="23"/>
      <c r="AX1208" s="40"/>
      <c r="AZ1208" s="40"/>
      <c r="BB1208" s="18"/>
      <c r="BD1208" s="18"/>
      <c r="BE1208" s="18"/>
      <c r="BL1208" s="18"/>
      <c r="BO1208" s="18"/>
      <c r="BZ1208" s="18"/>
      <c r="CD1208" s="18"/>
      <c r="CI1208" s="18"/>
      <c r="CT1208" s="18"/>
      <c r="CZ1208" s="34" t="s">
        <v>87</v>
      </c>
    </row>
    <row r="1209" spans="4:104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L1209" s="30"/>
      <c r="AM1209" s="21"/>
      <c r="AN1209" s="23"/>
      <c r="AX1209" s="40"/>
      <c r="AZ1209" s="40"/>
      <c r="BB1209" s="18"/>
      <c r="BD1209" s="18"/>
      <c r="BE1209" s="18"/>
      <c r="BL1209" s="18"/>
      <c r="BO1209" s="18"/>
      <c r="BZ1209" s="18"/>
      <c r="CD1209" s="18"/>
      <c r="CI1209" s="18"/>
      <c r="CT1209" s="18"/>
      <c r="CZ1209" s="34" t="s">
        <v>87</v>
      </c>
    </row>
    <row r="1210" spans="4:104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L1210" s="30"/>
      <c r="AM1210" s="21"/>
      <c r="AN1210" s="23"/>
      <c r="AX1210" s="40"/>
      <c r="AZ1210" s="40"/>
      <c r="BB1210" s="18"/>
      <c r="BD1210" s="18"/>
      <c r="BE1210" s="18"/>
      <c r="BL1210" s="18"/>
      <c r="BO1210" s="18"/>
      <c r="BZ1210" s="18"/>
      <c r="CD1210" s="18"/>
      <c r="CI1210" s="18"/>
      <c r="CT1210" s="18"/>
      <c r="CZ1210" s="34" t="s">
        <v>87</v>
      </c>
    </row>
    <row r="1211" spans="4:104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L1211" s="30"/>
      <c r="AM1211" s="21"/>
      <c r="AN1211" s="23"/>
      <c r="AX1211" s="40"/>
      <c r="AZ1211" s="40"/>
      <c r="BB1211" s="18"/>
      <c r="BD1211" s="18"/>
      <c r="BE1211" s="18"/>
      <c r="BL1211" s="18"/>
      <c r="BO1211" s="18"/>
      <c r="BZ1211" s="18"/>
      <c r="CD1211" s="18"/>
      <c r="CI1211" s="18"/>
      <c r="CT1211" s="18"/>
      <c r="CZ1211" s="34" t="s">
        <v>87</v>
      </c>
    </row>
    <row r="1212" spans="4:104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L1212" s="30"/>
      <c r="AM1212" s="21"/>
      <c r="AN1212" s="23"/>
      <c r="AX1212" s="40"/>
      <c r="AZ1212" s="40"/>
      <c r="BB1212" s="18"/>
      <c r="BD1212" s="18"/>
      <c r="BE1212" s="18"/>
      <c r="BL1212" s="18"/>
      <c r="BO1212" s="18"/>
      <c r="BZ1212" s="18"/>
      <c r="CD1212" s="18"/>
      <c r="CI1212" s="18"/>
      <c r="CT1212" s="18"/>
      <c r="CZ1212" s="34" t="s">
        <v>87</v>
      </c>
    </row>
    <row r="1213" spans="4:104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L1213" s="30"/>
      <c r="AM1213" s="21"/>
      <c r="AN1213" s="23"/>
      <c r="AX1213" s="40"/>
      <c r="AZ1213" s="40"/>
      <c r="BB1213" s="18"/>
      <c r="BD1213" s="18"/>
      <c r="BE1213" s="18"/>
      <c r="BL1213" s="18"/>
      <c r="BO1213" s="18"/>
      <c r="BZ1213" s="18"/>
      <c r="CD1213" s="18"/>
      <c r="CI1213" s="18"/>
      <c r="CT1213" s="18"/>
      <c r="CZ1213" s="34" t="s">
        <v>87</v>
      </c>
    </row>
    <row r="1214" spans="4:104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L1214" s="30"/>
      <c r="AM1214" s="21"/>
      <c r="AN1214" s="23"/>
      <c r="AX1214" s="40"/>
      <c r="AZ1214" s="40"/>
      <c r="BB1214" s="18"/>
      <c r="BD1214" s="18"/>
      <c r="BE1214" s="18"/>
      <c r="BL1214" s="18"/>
      <c r="BO1214" s="18"/>
      <c r="BZ1214" s="18"/>
      <c r="CD1214" s="18"/>
      <c r="CI1214" s="18"/>
      <c r="CT1214" s="18"/>
      <c r="CZ1214" s="34" t="s">
        <v>87</v>
      </c>
    </row>
    <row r="1215" spans="4:104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L1215" s="30"/>
      <c r="AM1215" s="21"/>
      <c r="AN1215" s="23"/>
      <c r="AX1215" s="40"/>
      <c r="AZ1215" s="40"/>
      <c r="BB1215" s="18"/>
      <c r="BD1215" s="18"/>
      <c r="BE1215" s="18"/>
      <c r="BL1215" s="18"/>
      <c r="BO1215" s="18"/>
      <c r="BZ1215" s="18"/>
      <c r="CD1215" s="18"/>
      <c r="CI1215" s="18"/>
      <c r="CT1215" s="18"/>
      <c r="CZ1215" s="34" t="s">
        <v>87</v>
      </c>
    </row>
    <row r="1216" spans="4:104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L1216" s="30"/>
      <c r="AM1216" s="21"/>
      <c r="AN1216" s="23"/>
      <c r="AX1216" s="40"/>
      <c r="AZ1216" s="40"/>
      <c r="BB1216" s="18"/>
      <c r="BD1216" s="18"/>
      <c r="BE1216" s="18"/>
      <c r="BL1216" s="18"/>
      <c r="BO1216" s="18"/>
      <c r="BZ1216" s="18"/>
      <c r="CD1216" s="18"/>
      <c r="CI1216" s="18"/>
      <c r="CT1216" s="18"/>
      <c r="CZ1216" s="34" t="s">
        <v>87</v>
      </c>
    </row>
    <row r="1217" spans="4:104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L1217" s="30"/>
      <c r="AM1217" s="21"/>
      <c r="AN1217" s="23"/>
      <c r="AX1217" s="40"/>
      <c r="AZ1217" s="40"/>
      <c r="BB1217" s="18"/>
      <c r="BD1217" s="18"/>
      <c r="BE1217" s="18"/>
      <c r="BL1217" s="18"/>
      <c r="BO1217" s="18"/>
      <c r="BZ1217" s="18"/>
      <c r="CD1217" s="18"/>
      <c r="CI1217" s="18"/>
      <c r="CT1217" s="18"/>
      <c r="CZ1217" s="34" t="s">
        <v>87</v>
      </c>
    </row>
    <row r="1218" spans="4:104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L1218" s="30"/>
      <c r="AM1218" s="21"/>
      <c r="AN1218" s="23"/>
      <c r="AX1218" s="40"/>
      <c r="AZ1218" s="40"/>
      <c r="BB1218" s="18"/>
      <c r="BD1218" s="18"/>
      <c r="BE1218" s="18"/>
      <c r="BL1218" s="18"/>
      <c r="BO1218" s="18"/>
      <c r="BZ1218" s="18"/>
      <c r="CD1218" s="18"/>
      <c r="CI1218" s="18"/>
      <c r="CT1218" s="18"/>
      <c r="CZ1218" s="34" t="s">
        <v>87</v>
      </c>
    </row>
    <row r="1219" spans="4:104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L1219" s="30"/>
      <c r="AM1219" s="21"/>
      <c r="AN1219" s="23"/>
      <c r="AX1219" s="40"/>
      <c r="AZ1219" s="40"/>
      <c r="BB1219" s="18"/>
      <c r="BD1219" s="18"/>
      <c r="BE1219" s="18"/>
      <c r="BL1219" s="18"/>
      <c r="BO1219" s="18"/>
      <c r="BZ1219" s="18"/>
      <c r="CD1219" s="18"/>
      <c r="CI1219" s="18"/>
      <c r="CT1219" s="18"/>
      <c r="CZ1219" s="34" t="s">
        <v>87</v>
      </c>
    </row>
    <row r="1220" spans="4:104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L1220" s="30"/>
      <c r="AM1220" s="21"/>
      <c r="AN1220" s="23"/>
      <c r="AX1220" s="40"/>
      <c r="AZ1220" s="40"/>
      <c r="BB1220" s="18"/>
      <c r="BD1220" s="18"/>
      <c r="BE1220" s="18"/>
      <c r="BL1220" s="18"/>
      <c r="BO1220" s="18"/>
      <c r="BZ1220" s="18"/>
      <c r="CD1220" s="18"/>
      <c r="CI1220" s="18"/>
      <c r="CT1220" s="18"/>
      <c r="CZ1220" s="34" t="s">
        <v>87</v>
      </c>
    </row>
    <row r="1221" spans="4:104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L1221" s="30"/>
      <c r="AM1221" s="21"/>
      <c r="AN1221" s="23"/>
      <c r="AX1221" s="40"/>
      <c r="AZ1221" s="40"/>
      <c r="BB1221" s="18"/>
      <c r="BD1221" s="18"/>
      <c r="BE1221" s="18"/>
      <c r="BL1221" s="18"/>
      <c r="BO1221" s="18"/>
      <c r="BZ1221" s="18"/>
      <c r="CD1221" s="18"/>
      <c r="CI1221" s="18"/>
      <c r="CT1221" s="18"/>
      <c r="CZ1221" s="34" t="s">
        <v>87</v>
      </c>
    </row>
    <row r="1222" spans="4:104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L1222" s="30"/>
      <c r="AM1222" s="21"/>
      <c r="AN1222" s="23"/>
      <c r="AX1222" s="40"/>
      <c r="AZ1222" s="40"/>
      <c r="BB1222" s="18"/>
      <c r="BD1222" s="18"/>
      <c r="BE1222" s="18"/>
      <c r="BL1222" s="18"/>
      <c r="BO1222" s="18"/>
      <c r="BZ1222" s="18"/>
      <c r="CD1222" s="18"/>
      <c r="CI1222" s="18"/>
      <c r="CT1222" s="18"/>
      <c r="CZ1222" s="34" t="s">
        <v>87</v>
      </c>
    </row>
    <row r="1223" spans="4:104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L1223" s="30"/>
      <c r="AM1223" s="21"/>
      <c r="AN1223" s="23"/>
      <c r="AX1223" s="40"/>
      <c r="AZ1223" s="40"/>
      <c r="BB1223" s="18"/>
      <c r="BD1223" s="18"/>
      <c r="BE1223" s="18"/>
      <c r="BL1223" s="18"/>
      <c r="BO1223" s="18"/>
      <c r="BZ1223" s="18"/>
      <c r="CD1223" s="18"/>
      <c r="CI1223" s="18"/>
      <c r="CT1223" s="18"/>
      <c r="CZ1223" s="34" t="s">
        <v>87</v>
      </c>
    </row>
    <row r="1224" spans="4:104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L1224" s="30"/>
      <c r="AM1224" s="21"/>
      <c r="AN1224" s="23"/>
      <c r="AX1224" s="40"/>
      <c r="AZ1224" s="40"/>
      <c r="BB1224" s="18"/>
      <c r="BD1224" s="18"/>
      <c r="BE1224" s="18"/>
      <c r="BL1224" s="18"/>
      <c r="BO1224" s="18"/>
      <c r="BZ1224" s="18"/>
      <c r="CD1224" s="18"/>
      <c r="CI1224" s="18"/>
      <c r="CT1224" s="18"/>
      <c r="CZ1224" s="34" t="s">
        <v>87</v>
      </c>
    </row>
    <row r="1225" spans="4:104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L1225" s="30"/>
      <c r="AM1225" s="21"/>
      <c r="AN1225" s="23"/>
      <c r="AX1225" s="40"/>
      <c r="AZ1225" s="40"/>
      <c r="BB1225" s="18"/>
      <c r="BD1225" s="18"/>
      <c r="BE1225" s="18"/>
      <c r="BL1225" s="18"/>
      <c r="BO1225" s="18"/>
      <c r="BZ1225" s="18"/>
      <c r="CD1225" s="18"/>
      <c r="CI1225" s="18"/>
      <c r="CT1225" s="18"/>
      <c r="CZ1225" s="34" t="s">
        <v>87</v>
      </c>
    </row>
    <row r="1226" spans="4:104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L1226" s="30"/>
      <c r="AM1226" s="21"/>
      <c r="AN1226" s="23"/>
      <c r="AX1226" s="40"/>
      <c r="AZ1226" s="40"/>
      <c r="BB1226" s="18"/>
      <c r="BD1226" s="18"/>
      <c r="BE1226" s="18"/>
      <c r="BL1226" s="18"/>
      <c r="BO1226" s="18"/>
      <c r="BZ1226" s="18"/>
      <c r="CD1226" s="18"/>
      <c r="CI1226" s="18"/>
      <c r="CT1226" s="18"/>
      <c r="CZ1226" s="34" t="s">
        <v>87</v>
      </c>
    </row>
    <row r="1227" spans="4:104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L1227" s="30"/>
      <c r="AM1227" s="21"/>
      <c r="AN1227" s="23"/>
      <c r="AX1227" s="40"/>
      <c r="AZ1227" s="40"/>
      <c r="BB1227" s="18"/>
      <c r="BD1227" s="18"/>
      <c r="BE1227" s="18"/>
      <c r="BL1227" s="18"/>
      <c r="BO1227" s="18"/>
      <c r="BZ1227" s="18"/>
      <c r="CD1227" s="18"/>
      <c r="CI1227" s="18"/>
      <c r="CT1227" s="18"/>
      <c r="CZ1227" s="34" t="s">
        <v>87</v>
      </c>
    </row>
    <row r="1228" spans="4:104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L1228" s="30"/>
      <c r="AM1228" s="21"/>
      <c r="AN1228" s="23"/>
      <c r="AX1228" s="40"/>
      <c r="AZ1228" s="40"/>
      <c r="BB1228" s="18"/>
      <c r="BD1228" s="18"/>
      <c r="BE1228" s="18"/>
      <c r="BL1228" s="18"/>
      <c r="BO1228" s="18"/>
      <c r="BZ1228" s="18"/>
      <c r="CD1228" s="18"/>
      <c r="CI1228" s="18"/>
      <c r="CT1228" s="18"/>
      <c r="CZ1228" s="34" t="s">
        <v>87</v>
      </c>
    </row>
    <row r="1229" spans="4:104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L1229" s="30"/>
      <c r="AM1229" s="21"/>
      <c r="AN1229" s="23"/>
      <c r="AX1229" s="40"/>
      <c r="AZ1229" s="40"/>
      <c r="BB1229" s="18"/>
      <c r="BD1229" s="18"/>
      <c r="BE1229" s="18"/>
      <c r="BL1229" s="18"/>
      <c r="BO1229" s="18"/>
      <c r="BZ1229" s="18"/>
      <c r="CD1229" s="18"/>
      <c r="CI1229" s="18"/>
      <c r="CT1229" s="18"/>
      <c r="CZ1229" s="34" t="s">
        <v>87</v>
      </c>
    </row>
    <row r="1230" spans="4:104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L1230" s="30"/>
      <c r="AM1230" s="21"/>
      <c r="AN1230" s="23"/>
      <c r="AX1230" s="40"/>
      <c r="AZ1230" s="40"/>
      <c r="BB1230" s="18"/>
      <c r="BD1230" s="18"/>
      <c r="BE1230" s="18"/>
      <c r="BL1230" s="18"/>
      <c r="BO1230" s="18"/>
      <c r="BZ1230" s="18"/>
      <c r="CD1230" s="18"/>
      <c r="CI1230" s="18"/>
      <c r="CT1230" s="18"/>
      <c r="CZ1230" s="34" t="s">
        <v>87</v>
      </c>
    </row>
    <row r="1231" spans="4:104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L1231" s="30"/>
      <c r="AM1231" s="21"/>
      <c r="AN1231" s="23"/>
      <c r="AX1231" s="40"/>
      <c r="AZ1231" s="40"/>
      <c r="BB1231" s="18"/>
      <c r="BD1231" s="18"/>
      <c r="BE1231" s="18"/>
      <c r="BL1231" s="18"/>
      <c r="BO1231" s="18"/>
      <c r="BZ1231" s="18"/>
      <c r="CD1231" s="18"/>
      <c r="CI1231" s="18"/>
      <c r="CT1231" s="18"/>
      <c r="CZ1231" s="34" t="s">
        <v>87</v>
      </c>
    </row>
    <row r="1232" spans="4:104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L1232" s="30"/>
      <c r="AM1232" s="21"/>
      <c r="AN1232" s="23"/>
      <c r="AX1232" s="40"/>
      <c r="AZ1232" s="40"/>
      <c r="BB1232" s="18"/>
      <c r="BD1232" s="18"/>
      <c r="BE1232" s="18"/>
      <c r="BL1232" s="18"/>
      <c r="BO1232" s="18"/>
      <c r="BZ1232" s="18"/>
      <c r="CD1232" s="18"/>
      <c r="CI1232" s="18"/>
      <c r="CT1232" s="18"/>
      <c r="CZ1232" s="34" t="s">
        <v>87</v>
      </c>
    </row>
    <row r="1233" spans="4:104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L1233" s="30"/>
      <c r="AM1233" s="21"/>
      <c r="AN1233" s="23"/>
      <c r="AX1233" s="40"/>
      <c r="AZ1233" s="40"/>
      <c r="BB1233" s="18"/>
      <c r="BD1233" s="18"/>
      <c r="BE1233" s="18"/>
      <c r="BL1233" s="18"/>
      <c r="BO1233" s="18"/>
      <c r="BZ1233" s="18"/>
      <c r="CD1233" s="18"/>
      <c r="CI1233" s="18"/>
      <c r="CT1233" s="18"/>
      <c r="CZ1233" s="34" t="s">
        <v>87</v>
      </c>
    </row>
    <row r="1234" spans="4:104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L1234" s="30"/>
      <c r="AM1234" s="21"/>
      <c r="AN1234" s="23"/>
      <c r="AX1234" s="40"/>
      <c r="AZ1234" s="40"/>
      <c r="BB1234" s="18"/>
      <c r="BD1234" s="18"/>
      <c r="BE1234" s="18"/>
      <c r="BL1234" s="18"/>
      <c r="BO1234" s="18"/>
      <c r="BZ1234" s="18"/>
      <c r="CD1234" s="18"/>
      <c r="CI1234" s="18"/>
      <c r="CT1234" s="18"/>
      <c r="CZ1234" s="34" t="s">
        <v>87</v>
      </c>
    </row>
    <row r="1235" spans="4:104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L1235" s="30"/>
      <c r="AM1235" s="21"/>
      <c r="AN1235" s="23"/>
      <c r="AX1235" s="40"/>
      <c r="AZ1235" s="40"/>
      <c r="BB1235" s="18"/>
      <c r="BD1235" s="18"/>
      <c r="BE1235" s="18"/>
      <c r="BL1235" s="18"/>
      <c r="BO1235" s="18"/>
      <c r="BZ1235" s="18"/>
      <c r="CD1235" s="18"/>
      <c r="CI1235" s="18"/>
      <c r="CT1235" s="18"/>
      <c r="CZ1235" s="34" t="s">
        <v>87</v>
      </c>
    </row>
    <row r="1236" spans="4:104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L1236" s="30"/>
      <c r="AM1236" s="21"/>
      <c r="AN1236" s="23"/>
      <c r="AX1236" s="40"/>
      <c r="AZ1236" s="40"/>
      <c r="BB1236" s="18"/>
      <c r="BD1236" s="18"/>
      <c r="BE1236" s="18"/>
      <c r="BL1236" s="18"/>
      <c r="BO1236" s="18"/>
      <c r="BZ1236" s="18"/>
      <c r="CD1236" s="18"/>
      <c r="CI1236" s="18"/>
      <c r="CT1236" s="18"/>
      <c r="CZ1236" s="34" t="s">
        <v>87</v>
      </c>
    </row>
    <row r="1237" spans="4:104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L1237" s="30"/>
      <c r="AM1237" s="21"/>
      <c r="AN1237" s="23"/>
      <c r="AX1237" s="40"/>
      <c r="AZ1237" s="40"/>
      <c r="BB1237" s="18"/>
      <c r="BD1237" s="18"/>
      <c r="BE1237" s="18"/>
      <c r="BL1237" s="18"/>
      <c r="BO1237" s="18"/>
      <c r="BZ1237" s="18"/>
      <c r="CD1237" s="18"/>
      <c r="CI1237" s="18"/>
      <c r="CT1237" s="18"/>
      <c r="CZ1237" s="34" t="s">
        <v>87</v>
      </c>
    </row>
    <row r="1238" spans="4:104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L1238" s="30"/>
      <c r="AM1238" s="21"/>
      <c r="AN1238" s="23"/>
      <c r="AX1238" s="40"/>
      <c r="AZ1238" s="40"/>
      <c r="BB1238" s="18"/>
      <c r="BD1238" s="18"/>
      <c r="BE1238" s="18"/>
      <c r="BL1238" s="18"/>
      <c r="BO1238" s="18"/>
      <c r="BZ1238" s="18"/>
      <c r="CD1238" s="18"/>
      <c r="CI1238" s="18"/>
      <c r="CT1238" s="18"/>
      <c r="CZ1238" s="34" t="s">
        <v>87</v>
      </c>
    </row>
    <row r="1239" spans="4:104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L1239" s="30"/>
      <c r="AM1239" s="21"/>
      <c r="AN1239" s="23"/>
      <c r="AX1239" s="40"/>
      <c r="AZ1239" s="40"/>
      <c r="BB1239" s="18"/>
      <c r="BD1239" s="18"/>
      <c r="BE1239" s="18"/>
      <c r="BL1239" s="18"/>
      <c r="BO1239" s="18"/>
      <c r="BZ1239" s="18"/>
      <c r="CD1239" s="18"/>
      <c r="CI1239" s="18"/>
      <c r="CT1239" s="18"/>
      <c r="CZ1239" s="34" t="s">
        <v>87</v>
      </c>
    </row>
    <row r="1240" spans="4:104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L1240" s="30"/>
      <c r="AM1240" s="21"/>
      <c r="AN1240" s="23"/>
      <c r="AX1240" s="40"/>
      <c r="AZ1240" s="40"/>
      <c r="BB1240" s="18"/>
      <c r="BD1240" s="18"/>
      <c r="BE1240" s="18"/>
      <c r="BL1240" s="18"/>
      <c r="BO1240" s="18"/>
      <c r="BZ1240" s="18"/>
      <c r="CD1240" s="18"/>
      <c r="CI1240" s="18"/>
      <c r="CT1240" s="18"/>
      <c r="CZ1240" s="34" t="s">
        <v>87</v>
      </c>
    </row>
    <row r="1241" spans="4:104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L1241" s="30"/>
      <c r="AM1241" s="21"/>
      <c r="AN1241" s="23"/>
      <c r="AX1241" s="40"/>
      <c r="AZ1241" s="40"/>
      <c r="BB1241" s="18"/>
      <c r="BD1241" s="18"/>
      <c r="BE1241" s="18"/>
      <c r="BL1241" s="18"/>
      <c r="BO1241" s="18"/>
      <c r="BZ1241" s="18"/>
      <c r="CD1241" s="18"/>
      <c r="CI1241" s="18"/>
      <c r="CT1241" s="18"/>
      <c r="CZ1241" s="34" t="s">
        <v>87</v>
      </c>
    </row>
    <row r="1242" spans="4:104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L1242" s="30"/>
      <c r="AM1242" s="21"/>
      <c r="AN1242" s="23"/>
      <c r="AX1242" s="40"/>
      <c r="AZ1242" s="40"/>
      <c r="BB1242" s="18"/>
      <c r="BD1242" s="18"/>
      <c r="BE1242" s="18"/>
      <c r="BL1242" s="18"/>
      <c r="BO1242" s="18"/>
      <c r="BZ1242" s="18"/>
      <c r="CD1242" s="18"/>
      <c r="CI1242" s="18"/>
      <c r="CT1242" s="18"/>
      <c r="CZ1242" s="34" t="s">
        <v>87</v>
      </c>
    </row>
    <row r="1243" spans="4:104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L1243" s="30"/>
      <c r="AM1243" s="21"/>
      <c r="AN1243" s="23"/>
      <c r="AX1243" s="40"/>
      <c r="AZ1243" s="40"/>
      <c r="BB1243" s="18"/>
      <c r="BD1243" s="18"/>
      <c r="BE1243" s="18"/>
      <c r="BL1243" s="18"/>
      <c r="BO1243" s="18"/>
      <c r="BZ1243" s="18"/>
      <c r="CD1243" s="18"/>
      <c r="CI1243" s="18"/>
      <c r="CT1243" s="18"/>
      <c r="CZ1243" s="34" t="s">
        <v>87</v>
      </c>
    </row>
    <row r="1244" spans="4:104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L1244" s="30"/>
      <c r="AM1244" s="21"/>
      <c r="AN1244" s="23"/>
      <c r="AX1244" s="40"/>
      <c r="AZ1244" s="40"/>
      <c r="BB1244" s="18"/>
      <c r="BD1244" s="18"/>
      <c r="BE1244" s="18"/>
      <c r="BL1244" s="18"/>
      <c r="BO1244" s="18"/>
      <c r="BZ1244" s="18"/>
      <c r="CD1244" s="18"/>
      <c r="CI1244" s="18"/>
      <c r="CT1244" s="18"/>
      <c r="CZ1244" s="34" t="s">
        <v>87</v>
      </c>
    </row>
    <row r="1245" spans="4:104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L1245" s="30"/>
      <c r="AM1245" s="21"/>
      <c r="AN1245" s="23"/>
      <c r="AX1245" s="40"/>
      <c r="AZ1245" s="40"/>
      <c r="BB1245" s="18"/>
      <c r="BD1245" s="18"/>
      <c r="BE1245" s="18"/>
      <c r="BL1245" s="18"/>
      <c r="BO1245" s="18"/>
      <c r="BZ1245" s="18"/>
      <c r="CD1245" s="18"/>
      <c r="CI1245" s="18"/>
      <c r="CT1245" s="18"/>
      <c r="CZ1245" s="34" t="s">
        <v>87</v>
      </c>
    </row>
    <row r="1246" spans="4:104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L1246" s="30"/>
      <c r="AM1246" s="21"/>
      <c r="AN1246" s="23"/>
      <c r="AX1246" s="40"/>
      <c r="AZ1246" s="40"/>
      <c r="BB1246" s="18"/>
      <c r="BD1246" s="18"/>
      <c r="BE1246" s="18"/>
      <c r="BL1246" s="18"/>
      <c r="BO1246" s="18"/>
      <c r="BZ1246" s="18"/>
      <c r="CD1246" s="18"/>
      <c r="CI1246" s="18"/>
      <c r="CT1246" s="18"/>
      <c r="CZ1246" s="34" t="s">
        <v>87</v>
      </c>
    </row>
    <row r="1247" spans="4:104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L1247" s="30"/>
      <c r="AM1247" s="21"/>
      <c r="AN1247" s="23"/>
      <c r="AX1247" s="40"/>
      <c r="AZ1247" s="40"/>
      <c r="BB1247" s="18"/>
      <c r="BD1247" s="18"/>
      <c r="BE1247" s="18"/>
      <c r="BL1247" s="18"/>
      <c r="BO1247" s="18"/>
      <c r="BZ1247" s="18"/>
      <c r="CD1247" s="18"/>
      <c r="CI1247" s="18"/>
      <c r="CT1247" s="18"/>
      <c r="CZ1247" s="34" t="s">
        <v>87</v>
      </c>
    </row>
    <row r="1248" spans="4:104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L1248" s="30"/>
      <c r="AM1248" s="21"/>
      <c r="AN1248" s="23"/>
      <c r="AX1248" s="40"/>
      <c r="AZ1248" s="40"/>
      <c r="BB1248" s="18"/>
      <c r="BD1248" s="18"/>
      <c r="BE1248" s="18"/>
      <c r="BL1248" s="18"/>
      <c r="BO1248" s="18"/>
      <c r="BZ1248" s="18"/>
      <c r="CD1248" s="18"/>
      <c r="CI1248" s="18"/>
      <c r="CT1248" s="18"/>
      <c r="CZ1248" s="34" t="s">
        <v>87</v>
      </c>
    </row>
    <row r="1249" spans="4:104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L1249" s="30"/>
      <c r="AM1249" s="21"/>
      <c r="AN1249" s="23"/>
      <c r="AX1249" s="40"/>
      <c r="AZ1249" s="40"/>
      <c r="BB1249" s="18"/>
      <c r="BD1249" s="18"/>
      <c r="BE1249" s="18"/>
      <c r="BL1249" s="18"/>
      <c r="BO1249" s="18"/>
      <c r="BZ1249" s="18"/>
      <c r="CD1249" s="18"/>
      <c r="CI1249" s="18"/>
      <c r="CT1249" s="18"/>
      <c r="CZ1249" s="34" t="s">
        <v>87</v>
      </c>
    </row>
    <row r="1250" spans="4:104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L1250" s="30"/>
      <c r="AM1250" s="21"/>
      <c r="AN1250" s="23"/>
      <c r="AX1250" s="40"/>
      <c r="AZ1250" s="40"/>
      <c r="BB1250" s="18"/>
      <c r="BD1250" s="18"/>
      <c r="BE1250" s="18"/>
      <c r="BL1250" s="18"/>
      <c r="BO1250" s="18"/>
      <c r="BZ1250" s="18"/>
      <c r="CD1250" s="18"/>
      <c r="CI1250" s="18"/>
      <c r="CT1250" s="18"/>
      <c r="CZ1250" s="34" t="s">
        <v>87</v>
      </c>
    </row>
    <row r="1251" spans="4:104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L1251" s="30"/>
      <c r="AM1251" s="21"/>
      <c r="AN1251" s="23"/>
      <c r="AX1251" s="40"/>
      <c r="AZ1251" s="40"/>
      <c r="BB1251" s="18"/>
      <c r="BD1251" s="18"/>
      <c r="BE1251" s="18"/>
      <c r="BL1251" s="18"/>
      <c r="BO1251" s="18"/>
      <c r="BZ1251" s="18"/>
      <c r="CD1251" s="18"/>
      <c r="CI1251" s="18"/>
      <c r="CT1251" s="18"/>
      <c r="CZ1251" s="34" t="s">
        <v>87</v>
      </c>
    </row>
    <row r="1252" spans="4:104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L1252" s="30"/>
      <c r="AM1252" s="21"/>
      <c r="AN1252" s="23"/>
      <c r="AX1252" s="40"/>
      <c r="AZ1252" s="40"/>
      <c r="BB1252" s="18"/>
      <c r="BD1252" s="18"/>
      <c r="BE1252" s="18"/>
      <c r="BL1252" s="18"/>
      <c r="BO1252" s="18"/>
      <c r="BZ1252" s="18"/>
      <c r="CD1252" s="18"/>
      <c r="CI1252" s="18"/>
      <c r="CT1252" s="18"/>
      <c r="CZ1252" s="34" t="s">
        <v>87</v>
      </c>
    </row>
    <row r="1253" spans="4:104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L1253" s="30"/>
      <c r="AM1253" s="21"/>
      <c r="AN1253" s="23"/>
      <c r="AX1253" s="40"/>
      <c r="AZ1253" s="40"/>
      <c r="BB1253" s="18"/>
      <c r="BD1253" s="18"/>
      <c r="BE1253" s="18"/>
      <c r="BL1253" s="18"/>
      <c r="BO1253" s="18"/>
      <c r="BZ1253" s="18"/>
      <c r="CD1253" s="18"/>
      <c r="CI1253" s="18"/>
      <c r="CT1253" s="18"/>
      <c r="CZ1253" s="34" t="s">
        <v>87</v>
      </c>
    </row>
    <row r="1254" spans="4:104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L1254" s="30"/>
      <c r="AM1254" s="21"/>
      <c r="AN1254" s="23"/>
      <c r="AX1254" s="40"/>
      <c r="AZ1254" s="40"/>
      <c r="BB1254" s="18"/>
      <c r="BD1254" s="18"/>
      <c r="BE1254" s="18"/>
      <c r="BL1254" s="18"/>
      <c r="BO1254" s="18"/>
      <c r="BZ1254" s="18"/>
      <c r="CD1254" s="18"/>
      <c r="CI1254" s="18"/>
      <c r="CT1254" s="18"/>
      <c r="CZ1254" s="34" t="s">
        <v>87</v>
      </c>
    </row>
    <row r="1255" spans="4:104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L1255" s="30"/>
      <c r="AM1255" s="21"/>
      <c r="AN1255" s="23"/>
      <c r="AX1255" s="40"/>
      <c r="AZ1255" s="40"/>
      <c r="BB1255" s="18"/>
      <c r="BD1255" s="18"/>
      <c r="BE1255" s="18"/>
      <c r="BL1255" s="18"/>
      <c r="BO1255" s="18"/>
      <c r="BZ1255" s="18"/>
      <c r="CD1255" s="18"/>
      <c r="CI1255" s="18"/>
      <c r="CT1255" s="18"/>
      <c r="CZ1255" s="34" t="s">
        <v>87</v>
      </c>
    </row>
    <row r="1256" spans="4:104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L1256" s="30"/>
      <c r="AM1256" s="21"/>
      <c r="AN1256" s="23"/>
      <c r="AX1256" s="40"/>
      <c r="AZ1256" s="40"/>
      <c r="BB1256" s="18"/>
      <c r="BD1256" s="18"/>
      <c r="BE1256" s="18"/>
      <c r="BL1256" s="18"/>
      <c r="BO1256" s="18"/>
      <c r="BZ1256" s="18"/>
      <c r="CD1256" s="18"/>
      <c r="CI1256" s="18"/>
      <c r="CT1256" s="18"/>
      <c r="CZ1256" s="34" t="s">
        <v>87</v>
      </c>
    </row>
    <row r="1257" spans="4:104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L1257" s="30"/>
      <c r="AM1257" s="21"/>
      <c r="AN1257" s="23"/>
      <c r="AX1257" s="40"/>
      <c r="AZ1257" s="40"/>
      <c r="BB1257" s="18"/>
      <c r="BD1257" s="18"/>
      <c r="BE1257" s="18"/>
      <c r="BL1257" s="18"/>
      <c r="BO1257" s="18"/>
      <c r="BZ1257" s="18"/>
      <c r="CD1257" s="18"/>
      <c r="CI1257" s="18"/>
      <c r="CT1257" s="18"/>
      <c r="CZ1257" s="34" t="s">
        <v>87</v>
      </c>
    </row>
    <row r="1258" spans="4:104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L1258" s="30"/>
      <c r="AM1258" s="21"/>
      <c r="AN1258" s="23"/>
      <c r="AX1258" s="40"/>
      <c r="AZ1258" s="40"/>
      <c r="BB1258" s="18"/>
      <c r="BD1258" s="18"/>
      <c r="BE1258" s="18"/>
      <c r="BL1258" s="18"/>
      <c r="BO1258" s="18"/>
      <c r="BZ1258" s="18"/>
      <c r="CD1258" s="18"/>
      <c r="CI1258" s="18"/>
      <c r="CT1258" s="18"/>
      <c r="CZ1258" s="34" t="s">
        <v>87</v>
      </c>
    </row>
    <row r="1259" spans="4:104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L1259" s="30"/>
      <c r="AM1259" s="21"/>
      <c r="AN1259" s="23"/>
      <c r="AX1259" s="40"/>
      <c r="AZ1259" s="40"/>
      <c r="BB1259" s="18"/>
      <c r="BD1259" s="18"/>
      <c r="BE1259" s="18"/>
      <c r="BL1259" s="18"/>
      <c r="BO1259" s="18"/>
      <c r="BZ1259" s="18"/>
      <c r="CD1259" s="18"/>
      <c r="CI1259" s="18"/>
      <c r="CT1259" s="18"/>
      <c r="CZ1259" s="34" t="s">
        <v>87</v>
      </c>
    </row>
    <row r="1260" spans="4:104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L1260" s="30"/>
      <c r="AM1260" s="21"/>
      <c r="AN1260" s="23"/>
      <c r="AX1260" s="40"/>
      <c r="AZ1260" s="40"/>
      <c r="BB1260" s="18"/>
      <c r="BD1260" s="18"/>
      <c r="BE1260" s="18"/>
      <c r="BL1260" s="18"/>
      <c r="BO1260" s="18"/>
      <c r="BZ1260" s="18"/>
      <c r="CD1260" s="18"/>
      <c r="CI1260" s="18"/>
      <c r="CT1260" s="18"/>
      <c r="CZ1260" s="34" t="s">
        <v>87</v>
      </c>
    </row>
    <row r="1261" spans="4:104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L1261" s="30"/>
      <c r="AM1261" s="21"/>
      <c r="AN1261" s="23"/>
      <c r="AX1261" s="40"/>
      <c r="AZ1261" s="40"/>
      <c r="BB1261" s="18"/>
      <c r="BD1261" s="18"/>
      <c r="BE1261" s="18"/>
      <c r="BL1261" s="18"/>
      <c r="BO1261" s="18"/>
      <c r="BZ1261" s="18"/>
      <c r="CD1261" s="18"/>
      <c r="CI1261" s="18"/>
      <c r="CT1261" s="18"/>
      <c r="CZ1261" s="34" t="s">
        <v>87</v>
      </c>
    </row>
    <row r="1262" spans="4:104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L1262" s="30"/>
      <c r="AM1262" s="21"/>
      <c r="AN1262" s="23"/>
      <c r="AX1262" s="40"/>
      <c r="AZ1262" s="40"/>
      <c r="BB1262" s="18"/>
      <c r="BD1262" s="18"/>
      <c r="BE1262" s="18"/>
      <c r="BL1262" s="18"/>
      <c r="BO1262" s="18"/>
      <c r="BZ1262" s="18"/>
      <c r="CD1262" s="18"/>
      <c r="CI1262" s="18"/>
      <c r="CT1262" s="18"/>
      <c r="CZ1262" s="34" t="s">
        <v>87</v>
      </c>
    </row>
    <row r="1263" spans="4:104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L1263" s="30"/>
      <c r="AM1263" s="21"/>
      <c r="AN1263" s="23"/>
      <c r="AX1263" s="40"/>
      <c r="AZ1263" s="40"/>
      <c r="BB1263" s="18"/>
      <c r="BD1263" s="18"/>
      <c r="BE1263" s="18"/>
      <c r="BL1263" s="18"/>
      <c r="BO1263" s="18"/>
      <c r="BZ1263" s="18"/>
      <c r="CD1263" s="18"/>
      <c r="CI1263" s="18"/>
      <c r="CT1263" s="18"/>
      <c r="CZ1263" s="34" t="s">
        <v>87</v>
      </c>
    </row>
    <row r="1264" spans="4:104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L1264" s="30"/>
      <c r="AM1264" s="21"/>
      <c r="AN1264" s="23"/>
      <c r="AX1264" s="40"/>
      <c r="AZ1264" s="40"/>
      <c r="BB1264" s="18"/>
      <c r="BD1264" s="18"/>
      <c r="BE1264" s="18"/>
      <c r="BL1264" s="18"/>
      <c r="BO1264" s="18"/>
      <c r="BZ1264" s="18"/>
      <c r="CD1264" s="18"/>
      <c r="CI1264" s="18"/>
      <c r="CT1264" s="18"/>
      <c r="CZ1264" s="34" t="s">
        <v>87</v>
      </c>
    </row>
    <row r="1265" spans="4:104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L1265" s="30"/>
      <c r="AM1265" s="21"/>
      <c r="AN1265" s="23"/>
      <c r="AX1265" s="40"/>
      <c r="AZ1265" s="40"/>
      <c r="BB1265" s="18"/>
      <c r="BD1265" s="18"/>
      <c r="BE1265" s="18"/>
      <c r="BL1265" s="18"/>
      <c r="BO1265" s="18"/>
      <c r="BZ1265" s="18"/>
      <c r="CD1265" s="18"/>
      <c r="CI1265" s="18"/>
      <c r="CT1265" s="18"/>
      <c r="CZ1265" s="34" t="s">
        <v>87</v>
      </c>
    </row>
    <row r="1266" spans="4:104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L1266" s="30"/>
      <c r="AM1266" s="21"/>
      <c r="AN1266" s="23"/>
      <c r="AX1266" s="40"/>
      <c r="AZ1266" s="40"/>
      <c r="BB1266" s="18"/>
      <c r="BD1266" s="18"/>
      <c r="BE1266" s="18"/>
      <c r="BL1266" s="18"/>
      <c r="BO1266" s="18"/>
      <c r="BZ1266" s="18"/>
      <c r="CD1266" s="18"/>
      <c r="CI1266" s="18"/>
      <c r="CT1266" s="18"/>
      <c r="CZ1266" s="34" t="s">
        <v>87</v>
      </c>
    </row>
    <row r="1267" spans="4:104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L1267" s="30"/>
      <c r="AM1267" s="21"/>
      <c r="AN1267" s="23"/>
      <c r="AX1267" s="40"/>
      <c r="AZ1267" s="40"/>
      <c r="BB1267" s="18"/>
      <c r="BD1267" s="18"/>
      <c r="BE1267" s="18"/>
      <c r="BL1267" s="18"/>
      <c r="BO1267" s="18"/>
      <c r="BZ1267" s="18"/>
      <c r="CD1267" s="18"/>
      <c r="CI1267" s="18"/>
      <c r="CT1267" s="18"/>
      <c r="CZ1267" s="34" t="s">
        <v>87</v>
      </c>
    </row>
    <row r="1268" spans="4:104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L1268" s="30"/>
      <c r="AM1268" s="21"/>
      <c r="AN1268" s="23"/>
      <c r="AX1268" s="40"/>
      <c r="AZ1268" s="40"/>
      <c r="BB1268" s="18"/>
      <c r="BD1268" s="18"/>
      <c r="BE1268" s="18"/>
      <c r="BL1268" s="18"/>
      <c r="BO1268" s="18"/>
      <c r="BZ1268" s="18"/>
      <c r="CD1268" s="18"/>
      <c r="CI1268" s="18"/>
      <c r="CT1268" s="18"/>
      <c r="CZ1268" s="34" t="s">
        <v>87</v>
      </c>
    </row>
    <row r="1269" spans="4:104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L1269" s="30"/>
      <c r="AM1269" s="21"/>
      <c r="AN1269" s="23"/>
      <c r="AX1269" s="40"/>
      <c r="AZ1269" s="40"/>
      <c r="BB1269" s="18"/>
      <c r="BD1269" s="18"/>
      <c r="BE1269" s="18"/>
      <c r="BL1269" s="18"/>
      <c r="BO1269" s="18"/>
      <c r="BZ1269" s="18"/>
      <c r="CD1269" s="18"/>
      <c r="CI1269" s="18"/>
      <c r="CT1269" s="18"/>
      <c r="CZ1269" s="34" t="s">
        <v>87</v>
      </c>
    </row>
    <row r="1270" spans="4:104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L1270" s="30"/>
      <c r="AM1270" s="21"/>
      <c r="AN1270" s="23"/>
      <c r="AX1270" s="40"/>
      <c r="AZ1270" s="40"/>
      <c r="BB1270" s="18"/>
      <c r="BD1270" s="18"/>
      <c r="BE1270" s="18"/>
      <c r="BL1270" s="18"/>
      <c r="BO1270" s="18"/>
      <c r="BZ1270" s="18"/>
      <c r="CD1270" s="18"/>
      <c r="CI1270" s="18"/>
      <c r="CT1270" s="18"/>
      <c r="CZ1270" s="34" t="s">
        <v>87</v>
      </c>
    </row>
    <row r="1271" spans="4:104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L1271" s="30"/>
      <c r="AM1271" s="21"/>
      <c r="AN1271" s="23"/>
      <c r="AX1271" s="40"/>
      <c r="AZ1271" s="40"/>
      <c r="BB1271" s="18"/>
      <c r="BD1271" s="18"/>
      <c r="BE1271" s="18"/>
      <c r="BL1271" s="18"/>
      <c r="BO1271" s="18"/>
      <c r="BZ1271" s="18"/>
      <c r="CD1271" s="18"/>
      <c r="CI1271" s="18"/>
      <c r="CT1271" s="18"/>
      <c r="CZ1271" s="34" t="s">
        <v>87</v>
      </c>
    </row>
    <row r="1272" spans="4:104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L1272" s="30"/>
      <c r="AM1272" s="21"/>
      <c r="AN1272" s="23"/>
      <c r="AX1272" s="40"/>
      <c r="AZ1272" s="40"/>
      <c r="BB1272" s="18"/>
      <c r="BD1272" s="18"/>
      <c r="BE1272" s="18"/>
      <c r="BL1272" s="18"/>
      <c r="BO1272" s="18"/>
      <c r="BZ1272" s="18"/>
      <c r="CD1272" s="18"/>
      <c r="CI1272" s="18"/>
      <c r="CT1272" s="18"/>
      <c r="CZ1272" s="34" t="s">
        <v>87</v>
      </c>
    </row>
    <row r="1273" spans="4:104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L1273" s="30"/>
      <c r="AM1273" s="21"/>
      <c r="AN1273" s="23"/>
      <c r="AX1273" s="40"/>
      <c r="AZ1273" s="40"/>
      <c r="BB1273" s="18"/>
      <c r="BD1273" s="18"/>
      <c r="BE1273" s="18"/>
      <c r="BL1273" s="18"/>
      <c r="BO1273" s="18"/>
      <c r="BZ1273" s="18"/>
      <c r="CD1273" s="18"/>
      <c r="CI1273" s="18"/>
      <c r="CT1273" s="18"/>
      <c r="CZ1273" s="34" t="s">
        <v>87</v>
      </c>
    </row>
    <row r="1274" spans="4:104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L1274" s="30"/>
      <c r="AM1274" s="21"/>
      <c r="AN1274" s="23"/>
      <c r="AX1274" s="40"/>
      <c r="AZ1274" s="40"/>
      <c r="BB1274" s="18"/>
      <c r="BD1274" s="18"/>
      <c r="BE1274" s="18"/>
      <c r="BL1274" s="18"/>
      <c r="BO1274" s="18"/>
      <c r="BZ1274" s="18"/>
      <c r="CD1274" s="18"/>
      <c r="CI1274" s="18"/>
      <c r="CT1274" s="18"/>
      <c r="CZ1274" s="34" t="s">
        <v>87</v>
      </c>
    </row>
    <row r="1275" spans="4:104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L1275" s="30"/>
      <c r="AM1275" s="21"/>
      <c r="AN1275" s="23"/>
      <c r="AX1275" s="40"/>
      <c r="AZ1275" s="40"/>
      <c r="BB1275" s="18"/>
      <c r="BD1275" s="18"/>
      <c r="BE1275" s="18"/>
      <c r="BL1275" s="18"/>
      <c r="BO1275" s="18"/>
      <c r="BZ1275" s="18"/>
      <c r="CD1275" s="18"/>
      <c r="CI1275" s="18"/>
      <c r="CT1275" s="18"/>
      <c r="CZ1275" s="34" t="s">
        <v>87</v>
      </c>
    </row>
    <row r="1276" spans="4:104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L1276" s="30"/>
      <c r="AM1276" s="21"/>
      <c r="AN1276" s="23"/>
      <c r="AX1276" s="40"/>
      <c r="AZ1276" s="40"/>
      <c r="BB1276" s="18"/>
      <c r="BD1276" s="18"/>
      <c r="BE1276" s="18"/>
      <c r="BL1276" s="18"/>
      <c r="BO1276" s="18"/>
      <c r="BZ1276" s="18"/>
      <c r="CD1276" s="18"/>
      <c r="CI1276" s="18"/>
      <c r="CT1276" s="18"/>
      <c r="CZ1276" s="34" t="s">
        <v>87</v>
      </c>
    </row>
    <row r="1277" spans="4:104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L1277" s="30"/>
      <c r="AM1277" s="21"/>
      <c r="AN1277" s="23"/>
      <c r="AX1277" s="40"/>
      <c r="AZ1277" s="40"/>
      <c r="BB1277" s="18"/>
      <c r="BD1277" s="18"/>
      <c r="BE1277" s="18"/>
      <c r="BL1277" s="18"/>
      <c r="BO1277" s="18"/>
      <c r="BZ1277" s="18"/>
      <c r="CD1277" s="18"/>
      <c r="CI1277" s="18"/>
      <c r="CT1277" s="18"/>
      <c r="CZ1277" s="34" t="s">
        <v>87</v>
      </c>
    </row>
    <row r="1278" spans="4:104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L1278" s="30"/>
      <c r="AM1278" s="21"/>
      <c r="AN1278" s="23"/>
      <c r="AX1278" s="40"/>
      <c r="AZ1278" s="40"/>
      <c r="BB1278" s="18"/>
      <c r="BD1278" s="18"/>
      <c r="BE1278" s="18"/>
      <c r="BL1278" s="18"/>
      <c r="BO1278" s="18"/>
      <c r="BZ1278" s="18"/>
      <c r="CD1278" s="18"/>
      <c r="CI1278" s="18"/>
      <c r="CT1278" s="18"/>
      <c r="CZ1278" s="34" t="s">
        <v>87</v>
      </c>
    </row>
    <row r="1279" spans="4:104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L1279" s="30"/>
      <c r="AM1279" s="21"/>
      <c r="AN1279" s="23"/>
      <c r="AX1279" s="40"/>
      <c r="AZ1279" s="40"/>
      <c r="BB1279" s="18"/>
      <c r="BD1279" s="18"/>
      <c r="BE1279" s="18"/>
      <c r="BL1279" s="18"/>
      <c r="BO1279" s="18"/>
      <c r="BZ1279" s="18"/>
      <c r="CD1279" s="18"/>
      <c r="CI1279" s="18"/>
      <c r="CT1279" s="18"/>
      <c r="CZ1279" s="34" t="s">
        <v>87</v>
      </c>
    </row>
    <row r="1280" spans="4:104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L1280" s="30"/>
      <c r="AM1280" s="21"/>
      <c r="AN1280" s="23"/>
      <c r="AX1280" s="40"/>
      <c r="AZ1280" s="40"/>
      <c r="BB1280" s="18"/>
      <c r="BD1280" s="18"/>
      <c r="BE1280" s="18"/>
      <c r="BL1280" s="18"/>
      <c r="BO1280" s="18"/>
      <c r="BZ1280" s="18"/>
      <c r="CD1280" s="18"/>
      <c r="CI1280" s="18"/>
      <c r="CT1280" s="18"/>
      <c r="CZ1280" s="34" t="s">
        <v>87</v>
      </c>
    </row>
    <row r="1281" spans="4:104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L1281" s="30"/>
      <c r="AM1281" s="21"/>
      <c r="AN1281" s="23"/>
      <c r="AX1281" s="40"/>
      <c r="AZ1281" s="40"/>
      <c r="BB1281" s="18"/>
      <c r="BD1281" s="18"/>
      <c r="BE1281" s="18"/>
      <c r="BL1281" s="18"/>
      <c r="BO1281" s="18"/>
      <c r="BZ1281" s="18"/>
      <c r="CD1281" s="18"/>
      <c r="CI1281" s="18"/>
      <c r="CT1281" s="18"/>
      <c r="CZ1281" s="34" t="s">
        <v>87</v>
      </c>
    </row>
    <row r="1282" spans="4:104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L1282" s="30"/>
      <c r="AM1282" s="21"/>
      <c r="AN1282" s="23"/>
      <c r="AX1282" s="40"/>
      <c r="AZ1282" s="40"/>
      <c r="BB1282" s="18"/>
      <c r="BD1282" s="18"/>
      <c r="BE1282" s="18"/>
      <c r="BL1282" s="18"/>
      <c r="BO1282" s="18"/>
      <c r="BZ1282" s="18"/>
      <c r="CD1282" s="18"/>
      <c r="CI1282" s="18"/>
      <c r="CT1282" s="18"/>
      <c r="CZ1282" s="34" t="s">
        <v>87</v>
      </c>
    </row>
    <row r="1283" spans="4:104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L1283" s="30"/>
      <c r="AM1283" s="21"/>
      <c r="AN1283" s="23"/>
      <c r="AX1283" s="40"/>
      <c r="AZ1283" s="40"/>
      <c r="BB1283" s="18"/>
      <c r="BD1283" s="18"/>
      <c r="BE1283" s="18"/>
      <c r="BL1283" s="18"/>
      <c r="BO1283" s="18"/>
      <c r="BZ1283" s="18"/>
      <c r="CD1283" s="18"/>
      <c r="CI1283" s="18"/>
      <c r="CT1283" s="18"/>
      <c r="CZ1283" s="34" t="s">
        <v>87</v>
      </c>
    </row>
    <row r="1284" spans="4:104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L1284" s="30"/>
      <c r="AM1284" s="21"/>
      <c r="AN1284" s="23"/>
      <c r="AX1284" s="40"/>
      <c r="AZ1284" s="40"/>
      <c r="BB1284" s="18"/>
      <c r="BD1284" s="18"/>
      <c r="BE1284" s="18"/>
      <c r="BL1284" s="18"/>
      <c r="BO1284" s="18"/>
      <c r="BZ1284" s="18"/>
      <c r="CD1284" s="18"/>
      <c r="CI1284" s="18"/>
      <c r="CT1284" s="18"/>
      <c r="CZ1284" s="34" t="s">
        <v>87</v>
      </c>
    </row>
    <row r="1285" spans="4:104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L1285" s="30"/>
      <c r="AM1285" s="21"/>
      <c r="AN1285" s="23"/>
      <c r="AX1285" s="40"/>
      <c r="AZ1285" s="40"/>
      <c r="BB1285" s="18"/>
      <c r="BD1285" s="18"/>
      <c r="BE1285" s="18"/>
      <c r="BL1285" s="18"/>
      <c r="BO1285" s="18"/>
      <c r="BZ1285" s="18"/>
      <c r="CD1285" s="18"/>
      <c r="CI1285" s="18"/>
      <c r="CT1285" s="18"/>
      <c r="CZ1285" s="34" t="s">
        <v>87</v>
      </c>
    </row>
    <row r="1286" spans="4:104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L1286" s="30"/>
      <c r="AM1286" s="21"/>
      <c r="AN1286" s="23"/>
      <c r="AX1286" s="40"/>
      <c r="AZ1286" s="40"/>
      <c r="BB1286" s="18"/>
      <c r="BD1286" s="18"/>
      <c r="BE1286" s="18"/>
      <c r="BL1286" s="18"/>
      <c r="BO1286" s="18"/>
      <c r="BZ1286" s="18"/>
      <c r="CD1286" s="18"/>
      <c r="CI1286" s="18"/>
      <c r="CT1286" s="18"/>
      <c r="CZ1286" s="34" t="s">
        <v>87</v>
      </c>
    </row>
    <row r="1287" spans="4:104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L1287" s="30"/>
      <c r="AM1287" s="21"/>
      <c r="AN1287" s="23"/>
      <c r="AX1287" s="40"/>
      <c r="AZ1287" s="40"/>
      <c r="BB1287" s="18"/>
      <c r="BD1287" s="18"/>
      <c r="BE1287" s="18"/>
      <c r="BL1287" s="18"/>
      <c r="BO1287" s="18"/>
      <c r="BZ1287" s="18"/>
      <c r="CD1287" s="18"/>
      <c r="CI1287" s="18"/>
      <c r="CT1287" s="18"/>
      <c r="CZ1287" s="34" t="s">
        <v>87</v>
      </c>
    </row>
    <row r="1288" spans="4:104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L1288" s="30"/>
      <c r="AM1288" s="21"/>
      <c r="AN1288" s="23"/>
      <c r="AX1288" s="40"/>
      <c r="AZ1288" s="40"/>
      <c r="BB1288" s="18"/>
      <c r="BD1288" s="18"/>
      <c r="BE1288" s="18"/>
      <c r="BL1288" s="18"/>
      <c r="BO1288" s="18"/>
      <c r="BZ1288" s="18"/>
      <c r="CD1288" s="18"/>
      <c r="CI1288" s="18"/>
      <c r="CT1288" s="18"/>
      <c r="CZ1288" s="34" t="s">
        <v>87</v>
      </c>
    </row>
    <row r="1289" spans="4:104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L1289" s="30"/>
      <c r="AM1289" s="21"/>
      <c r="AN1289" s="23"/>
      <c r="AX1289" s="40"/>
      <c r="AZ1289" s="40"/>
      <c r="BB1289" s="18"/>
      <c r="BD1289" s="18"/>
      <c r="BE1289" s="18"/>
      <c r="BL1289" s="18"/>
      <c r="BO1289" s="18"/>
      <c r="BZ1289" s="18"/>
      <c r="CD1289" s="18"/>
      <c r="CI1289" s="18"/>
      <c r="CT1289" s="18"/>
      <c r="CZ1289" s="34" t="s">
        <v>87</v>
      </c>
    </row>
    <row r="1290" spans="4:104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L1290" s="30"/>
      <c r="AM1290" s="21"/>
      <c r="AN1290" s="23"/>
      <c r="AX1290" s="40"/>
      <c r="AZ1290" s="40"/>
      <c r="BB1290" s="18"/>
      <c r="BD1290" s="18"/>
      <c r="BE1290" s="18"/>
      <c r="BL1290" s="18"/>
      <c r="BO1290" s="18"/>
      <c r="BZ1290" s="18"/>
      <c r="CD1290" s="18"/>
      <c r="CI1290" s="18"/>
      <c r="CT1290" s="18"/>
      <c r="CZ1290" s="34" t="s">
        <v>87</v>
      </c>
    </row>
    <row r="1291" spans="4:104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L1291" s="30"/>
      <c r="AM1291" s="21"/>
      <c r="AN1291" s="23"/>
      <c r="AX1291" s="40"/>
      <c r="AZ1291" s="40"/>
      <c r="BB1291" s="18"/>
      <c r="BD1291" s="18"/>
      <c r="BE1291" s="18"/>
      <c r="BL1291" s="18"/>
      <c r="BO1291" s="18"/>
      <c r="BZ1291" s="18"/>
      <c r="CD1291" s="18"/>
      <c r="CI1291" s="18"/>
      <c r="CT1291" s="18"/>
      <c r="CZ1291" s="34" t="s">
        <v>87</v>
      </c>
    </row>
    <row r="1292" spans="4:104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L1292" s="30"/>
      <c r="AM1292" s="21"/>
      <c r="AN1292" s="23"/>
      <c r="AX1292" s="40"/>
      <c r="AZ1292" s="40"/>
      <c r="BB1292" s="18"/>
      <c r="BD1292" s="18"/>
      <c r="BE1292" s="18"/>
      <c r="BL1292" s="18"/>
      <c r="BO1292" s="18"/>
      <c r="BZ1292" s="18"/>
      <c r="CD1292" s="18"/>
      <c r="CI1292" s="18"/>
      <c r="CT1292" s="18"/>
      <c r="CZ1292" s="34" t="s">
        <v>87</v>
      </c>
    </row>
    <row r="1293" spans="4:104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L1293" s="30"/>
      <c r="AM1293" s="21"/>
      <c r="AN1293" s="23"/>
      <c r="AX1293" s="40"/>
      <c r="AZ1293" s="40"/>
      <c r="BB1293" s="18"/>
      <c r="BD1293" s="18"/>
      <c r="BE1293" s="18"/>
      <c r="BL1293" s="18"/>
      <c r="BO1293" s="18"/>
      <c r="BZ1293" s="18"/>
      <c r="CD1293" s="18"/>
      <c r="CI1293" s="18"/>
      <c r="CT1293" s="18"/>
      <c r="CZ1293" s="34" t="s">
        <v>87</v>
      </c>
    </row>
    <row r="1294" spans="4:104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L1294" s="30"/>
      <c r="AM1294" s="21"/>
      <c r="AN1294" s="23"/>
      <c r="AX1294" s="40"/>
      <c r="AZ1294" s="40"/>
      <c r="BB1294" s="18"/>
      <c r="BD1294" s="18"/>
      <c r="BE1294" s="18"/>
      <c r="BL1294" s="18"/>
      <c r="BO1294" s="18"/>
      <c r="BZ1294" s="18"/>
      <c r="CD1294" s="18"/>
      <c r="CI1294" s="18"/>
      <c r="CT1294" s="18"/>
      <c r="CZ1294" s="34" t="s">
        <v>87</v>
      </c>
    </row>
    <row r="1295" spans="4:104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L1295" s="30"/>
      <c r="AM1295" s="21"/>
      <c r="AN1295" s="23"/>
      <c r="AX1295" s="40"/>
      <c r="AZ1295" s="40"/>
      <c r="BB1295" s="18"/>
      <c r="BD1295" s="18"/>
      <c r="BE1295" s="18"/>
      <c r="BL1295" s="18"/>
      <c r="BO1295" s="18"/>
      <c r="BZ1295" s="18"/>
      <c r="CD1295" s="18"/>
      <c r="CI1295" s="18"/>
      <c r="CT1295" s="18"/>
      <c r="CZ1295" s="34" t="s">
        <v>87</v>
      </c>
    </row>
    <row r="1296" spans="4:104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L1296" s="30"/>
      <c r="AM1296" s="21"/>
      <c r="AN1296" s="23"/>
      <c r="AX1296" s="40"/>
      <c r="AZ1296" s="40"/>
      <c r="BB1296" s="18"/>
      <c r="BD1296" s="18"/>
      <c r="BE1296" s="18"/>
      <c r="BL1296" s="18"/>
      <c r="BO1296" s="18"/>
      <c r="BZ1296" s="18"/>
      <c r="CD1296" s="18"/>
      <c r="CI1296" s="18"/>
      <c r="CT1296" s="18"/>
      <c r="CZ1296" s="34" t="s">
        <v>87</v>
      </c>
    </row>
    <row r="1297" spans="4:104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L1297" s="30"/>
      <c r="AM1297" s="21"/>
      <c r="AN1297" s="23"/>
      <c r="AX1297" s="40"/>
      <c r="AZ1297" s="40"/>
      <c r="BB1297" s="18"/>
      <c r="BD1297" s="18"/>
      <c r="BE1297" s="18"/>
      <c r="BL1297" s="18"/>
      <c r="BO1297" s="18"/>
      <c r="BZ1297" s="18"/>
      <c r="CD1297" s="18"/>
      <c r="CI1297" s="18"/>
      <c r="CT1297" s="18"/>
      <c r="CZ1297" s="34" t="s">
        <v>87</v>
      </c>
    </row>
    <row r="1298" spans="4:104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L1298" s="30"/>
      <c r="AM1298" s="21"/>
      <c r="AN1298" s="23"/>
      <c r="AX1298" s="40"/>
      <c r="AZ1298" s="40"/>
      <c r="BB1298" s="18"/>
      <c r="BD1298" s="18"/>
      <c r="BE1298" s="18"/>
      <c r="BL1298" s="18"/>
      <c r="BO1298" s="18"/>
      <c r="BZ1298" s="18"/>
      <c r="CD1298" s="18"/>
      <c r="CI1298" s="18"/>
      <c r="CT1298" s="18"/>
      <c r="CZ1298" s="34" t="s">
        <v>87</v>
      </c>
    </row>
    <row r="1299" spans="4:104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L1299" s="30"/>
      <c r="AM1299" s="21"/>
      <c r="AN1299" s="23"/>
      <c r="AX1299" s="40"/>
      <c r="AZ1299" s="40"/>
      <c r="BB1299" s="18"/>
      <c r="BD1299" s="18"/>
      <c r="BE1299" s="18"/>
      <c r="BL1299" s="18"/>
      <c r="BO1299" s="18"/>
      <c r="BZ1299" s="18"/>
      <c r="CD1299" s="18"/>
      <c r="CI1299" s="18"/>
      <c r="CT1299" s="18"/>
      <c r="CZ1299" s="34" t="s">
        <v>87</v>
      </c>
    </row>
    <row r="1300" spans="4:104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L1300" s="30"/>
      <c r="AM1300" s="21"/>
      <c r="AN1300" s="23"/>
      <c r="AX1300" s="40"/>
      <c r="AZ1300" s="40"/>
      <c r="BB1300" s="18"/>
      <c r="BD1300" s="18"/>
      <c r="BE1300" s="18"/>
      <c r="BL1300" s="18"/>
      <c r="BO1300" s="18"/>
      <c r="BZ1300" s="18"/>
      <c r="CD1300" s="18"/>
      <c r="CI1300" s="18"/>
      <c r="CT1300" s="18"/>
      <c r="CZ1300" s="34" t="s">
        <v>87</v>
      </c>
    </row>
    <row r="1301" spans="4:104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L1301" s="30"/>
      <c r="AM1301" s="21"/>
      <c r="AN1301" s="23"/>
      <c r="AX1301" s="40"/>
      <c r="AZ1301" s="40"/>
      <c r="BB1301" s="18"/>
      <c r="BD1301" s="18"/>
      <c r="BE1301" s="18"/>
      <c r="BL1301" s="18"/>
      <c r="BO1301" s="18"/>
      <c r="BZ1301" s="18"/>
      <c r="CD1301" s="18"/>
      <c r="CI1301" s="18"/>
      <c r="CT1301" s="18"/>
      <c r="CZ1301" s="34" t="s">
        <v>87</v>
      </c>
    </row>
    <row r="1302" spans="4:104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L1302" s="30"/>
      <c r="AM1302" s="21"/>
      <c r="AN1302" s="23"/>
      <c r="AX1302" s="40"/>
      <c r="AZ1302" s="40"/>
      <c r="BB1302" s="18"/>
      <c r="BD1302" s="18"/>
      <c r="BE1302" s="18"/>
      <c r="BL1302" s="18"/>
      <c r="BO1302" s="18"/>
      <c r="BZ1302" s="18"/>
      <c r="CD1302" s="18"/>
      <c r="CI1302" s="18"/>
      <c r="CT1302" s="18"/>
      <c r="CZ1302" s="34" t="s">
        <v>87</v>
      </c>
    </row>
    <row r="1303" spans="4:104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L1303" s="30"/>
      <c r="AM1303" s="21"/>
      <c r="AN1303" s="23"/>
      <c r="AX1303" s="40"/>
      <c r="AZ1303" s="40"/>
      <c r="BB1303" s="18"/>
      <c r="BD1303" s="18"/>
      <c r="BE1303" s="18"/>
      <c r="BL1303" s="18"/>
      <c r="BO1303" s="18"/>
      <c r="BZ1303" s="18"/>
      <c r="CD1303" s="18"/>
      <c r="CI1303" s="18"/>
      <c r="CT1303" s="18"/>
      <c r="CZ1303" s="34" t="s">
        <v>87</v>
      </c>
    </row>
    <row r="1304" spans="4:104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L1304" s="30"/>
      <c r="AM1304" s="21"/>
      <c r="AN1304" s="23"/>
      <c r="AX1304" s="40"/>
      <c r="AZ1304" s="40"/>
      <c r="BB1304" s="18"/>
      <c r="BD1304" s="18"/>
      <c r="BE1304" s="18"/>
      <c r="BL1304" s="18"/>
      <c r="BO1304" s="18"/>
      <c r="BZ1304" s="18"/>
      <c r="CD1304" s="18"/>
      <c r="CI1304" s="18"/>
      <c r="CT1304" s="18"/>
      <c r="CZ1304" s="34" t="s">
        <v>87</v>
      </c>
    </row>
    <row r="1305" spans="4:104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L1305" s="30"/>
      <c r="AM1305" s="21"/>
      <c r="AN1305" s="23"/>
      <c r="AX1305" s="40"/>
      <c r="AZ1305" s="40"/>
      <c r="BB1305" s="18"/>
      <c r="BD1305" s="18"/>
      <c r="BE1305" s="18"/>
      <c r="BL1305" s="18"/>
      <c r="BO1305" s="18"/>
      <c r="BZ1305" s="18"/>
      <c r="CD1305" s="18"/>
      <c r="CI1305" s="18"/>
      <c r="CT1305" s="18"/>
      <c r="CZ1305" s="34" t="s">
        <v>87</v>
      </c>
    </row>
    <row r="1306" spans="4:104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L1306" s="30"/>
      <c r="AM1306" s="21"/>
      <c r="AN1306" s="23"/>
      <c r="AX1306" s="40"/>
      <c r="AZ1306" s="40"/>
      <c r="BB1306" s="18"/>
      <c r="BD1306" s="18"/>
      <c r="BE1306" s="18"/>
      <c r="BL1306" s="18"/>
      <c r="BO1306" s="18"/>
      <c r="BZ1306" s="18"/>
      <c r="CD1306" s="18"/>
      <c r="CI1306" s="18"/>
      <c r="CT1306" s="18"/>
      <c r="CZ1306" s="34" t="s">
        <v>87</v>
      </c>
    </row>
    <row r="1307" spans="4:104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L1307" s="30"/>
      <c r="AM1307" s="21"/>
      <c r="AN1307" s="23"/>
      <c r="AX1307" s="40"/>
      <c r="AZ1307" s="40"/>
      <c r="BB1307" s="18"/>
      <c r="BD1307" s="18"/>
      <c r="BE1307" s="18"/>
      <c r="BL1307" s="18"/>
      <c r="BO1307" s="18"/>
      <c r="BZ1307" s="18"/>
      <c r="CD1307" s="18"/>
      <c r="CI1307" s="18"/>
      <c r="CT1307" s="18"/>
      <c r="CZ1307" s="34" t="s">
        <v>87</v>
      </c>
    </row>
    <row r="1308" spans="4:104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L1308" s="30"/>
      <c r="AM1308" s="21"/>
      <c r="AN1308" s="23"/>
      <c r="AX1308" s="40"/>
      <c r="AZ1308" s="40"/>
      <c r="BB1308" s="18"/>
      <c r="BD1308" s="18"/>
      <c r="BE1308" s="18"/>
      <c r="BL1308" s="18"/>
      <c r="BO1308" s="18"/>
      <c r="BZ1308" s="18"/>
      <c r="CD1308" s="18"/>
      <c r="CI1308" s="18"/>
      <c r="CT1308" s="18"/>
      <c r="CZ1308" s="34" t="s">
        <v>87</v>
      </c>
    </row>
    <row r="1309" spans="4:104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L1309" s="30"/>
      <c r="AM1309" s="21"/>
      <c r="AN1309" s="23"/>
      <c r="AX1309" s="40"/>
      <c r="AZ1309" s="40"/>
      <c r="BB1309" s="18"/>
      <c r="BD1309" s="18"/>
      <c r="BE1309" s="18"/>
      <c r="BL1309" s="18"/>
      <c r="BO1309" s="18"/>
      <c r="BZ1309" s="18"/>
      <c r="CD1309" s="18"/>
      <c r="CI1309" s="18"/>
      <c r="CT1309" s="18"/>
      <c r="CZ1309" s="34" t="s">
        <v>87</v>
      </c>
    </row>
    <row r="1310" spans="4:104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L1310" s="30"/>
      <c r="AM1310" s="21"/>
      <c r="AN1310" s="23"/>
      <c r="AX1310" s="40"/>
      <c r="AZ1310" s="40"/>
      <c r="BB1310" s="18"/>
      <c r="BD1310" s="18"/>
      <c r="BE1310" s="18"/>
      <c r="BL1310" s="18"/>
      <c r="BO1310" s="18"/>
      <c r="BZ1310" s="18"/>
      <c r="CD1310" s="18"/>
      <c r="CI1310" s="18"/>
      <c r="CT1310" s="18"/>
      <c r="CZ1310" s="34" t="s">
        <v>87</v>
      </c>
    </row>
    <row r="1311" spans="4:104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L1311" s="30"/>
      <c r="AM1311" s="21"/>
      <c r="AN1311" s="23"/>
      <c r="AX1311" s="40"/>
      <c r="AZ1311" s="40"/>
      <c r="BB1311" s="18"/>
      <c r="BD1311" s="18"/>
      <c r="BE1311" s="18"/>
      <c r="BL1311" s="18"/>
      <c r="BO1311" s="18"/>
      <c r="BZ1311" s="18"/>
      <c r="CD1311" s="18"/>
      <c r="CI1311" s="18"/>
      <c r="CT1311" s="18"/>
      <c r="CZ1311" s="34" t="s">
        <v>87</v>
      </c>
    </row>
    <row r="1312" spans="4:104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L1312" s="30"/>
      <c r="AM1312" s="21"/>
      <c r="AN1312" s="23"/>
      <c r="AX1312" s="40"/>
      <c r="AZ1312" s="40"/>
      <c r="BB1312" s="18"/>
      <c r="BD1312" s="18"/>
      <c r="BE1312" s="18"/>
      <c r="BL1312" s="18"/>
      <c r="BO1312" s="18"/>
      <c r="BZ1312" s="18"/>
      <c r="CD1312" s="18"/>
      <c r="CI1312" s="18"/>
      <c r="CT1312" s="18"/>
      <c r="CZ1312" s="34" t="s">
        <v>87</v>
      </c>
    </row>
    <row r="1313" spans="4:104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L1313" s="30"/>
      <c r="AM1313" s="21"/>
      <c r="AN1313" s="23"/>
      <c r="AX1313" s="40"/>
      <c r="AZ1313" s="40"/>
      <c r="BB1313" s="18"/>
      <c r="BD1313" s="18"/>
      <c r="BE1313" s="18"/>
      <c r="BL1313" s="18"/>
      <c r="BO1313" s="18"/>
      <c r="BZ1313" s="18"/>
      <c r="CD1313" s="18"/>
      <c r="CI1313" s="18"/>
      <c r="CT1313" s="18"/>
      <c r="CZ1313" s="34" t="s">
        <v>87</v>
      </c>
    </row>
    <row r="1314" spans="4:104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L1314" s="30"/>
      <c r="AM1314" s="21"/>
      <c r="AN1314" s="23"/>
      <c r="AX1314" s="40"/>
      <c r="AZ1314" s="40"/>
      <c r="BB1314" s="18"/>
      <c r="BD1314" s="18"/>
      <c r="BE1314" s="18"/>
      <c r="BL1314" s="18"/>
      <c r="BO1314" s="18"/>
      <c r="BZ1314" s="18"/>
      <c r="CD1314" s="18"/>
      <c r="CI1314" s="18"/>
      <c r="CT1314" s="18"/>
      <c r="CZ1314" s="34" t="s">
        <v>87</v>
      </c>
    </row>
    <row r="1315" spans="4:104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L1315" s="30"/>
      <c r="AM1315" s="21"/>
      <c r="AN1315" s="23"/>
      <c r="AX1315" s="40"/>
      <c r="AZ1315" s="40"/>
      <c r="BB1315" s="18"/>
      <c r="BD1315" s="18"/>
      <c r="BE1315" s="18"/>
      <c r="BL1315" s="18"/>
      <c r="BO1315" s="18"/>
      <c r="BZ1315" s="18"/>
      <c r="CD1315" s="18"/>
      <c r="CI1315" s="18"/>
      <c r="CT1315" s="18"/>
      <c r="CZ1315" s="34" t="s">
        <v>87</v>
      </c>
    </row>
    <row r="1316" spans="4:104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L1316" s="30"/>
      <c r="AM1316" s="21"/>
      <c r="AN1316" s="23"/>
      <c r="AX1316" s="40"/>
      <c r="AZ1316" s="40"/>
      <c r="BB1316" s="18"/>
      <c r="BD1316" s="18"/>
      <c r="BE1316" s="18"/>
      <c r="BL1316" s="18"/>
      <c r="BO1316" s="18"/>
      <c r="BZ1316" s="18"/>
      <c r="CD1316" s="18"/>
      <c r="CI1316" s="18"/>
      <c r="CT1316" s="18"/>
      <c r="CZ1316" s="34" t="s">
        <v>87</v>
      </c>
    </row>
    <row r="1317" spans="4:104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L1317" s="30"/>
      <c r="AM1317" s="21"/>
      <c r="AN1317" s="23"/>
      <c r="AX1317" s="40"/>
      <c r="AZ1317" s="40"/>
      <c r="BB1317" s="18"/>
      <c r="BD1317" s="18"/>
      <c r="BE1317" s="18"/>
      <c r="BL1317" s="18"/>
      <c r="BO1317" s="18"/>
      <c r="BZ1317" s="18"/>
      <c r="CD1317" s="18"/>
      <c r="CI1317" s="18"/>
      <c r="CT1317" s="18"/>
      <c r="CZ1317" s="34" t="s">
        <v>87</v>
      </c>
    </row>
    <row r="1318" spans="4:104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L1318" s="30"/>
      <c r="AM1318" s="21"/>
      <c r="AN1318" s="23"/>
      <c r="AX1318" s="40"/>
      <c r="AZ1318" s="40"/>
      <c r="BB1318" s="18"/>
      <c r="BD1318" s="18"/>
      <c r="BE1318" s="18"/>
      <c r="BL1318" s="18"/>
      <c r="BO1318" s="18"/>
      <c r="BZ1318" s="18"/>
      <c r="CD1318" s="18"/>
      <c r="CI1318" s="18"/>
      <c r="CT1318" s="18"/>
      <c r="CZ1318" s="34" t="s">
        <v>87</v>
      </c>
    </row>
    <row r="1319" spans="4:104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L1319" s="30"/>
      <c r="AM1319" s="21"/>
      <c r="AN1319" s="23"/>
      <c r="AX1319" s="40"/>
      <c r="AZ1319" s="40"/>
      <c r="BB1319" s="18"/>
      <c r="BD1319" s="18"/>
      <c r="BE1319" s="18"/>
      <c r="BL1319" s="18"/>
      <c r="BO1319" s="18"/>
      <c r="BZ1319" s="18"/>
      <c r="CD1319" s="18"/>
      <c r="CI1319" s="18"/>
      <c r="CT1319" s="18"/>
      <c r="CZ1319" s="34" t="s">
        <v>87</v>
      </c>
    </row>
    <row r="1320" spans="4:104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L1320" s="30"/>
      <c r="AM1320" s="21"/>
      <c r="AN1320" s="23"/>
      <c r="AX1320" s="40"/>
      <c r="AZ1320" s="40"/>
      <c r="BB1320" s="18"/>
      <c r="BD1320" s="18"/>
      <c r="BE1320" s="18"/>
      <c r="BL1320" s="18"/>
      <c r="BO1320" s="18"/>
      <c r="BZ1320" s="18"/>
      <c r="CD1320" s="18"/>
      <c r="CI1320" s="18"/>
      <c r="CT1320" s="18"/>
      <c r="CZ1320" s="34" t="s">
        <v>87</v>
      </c>
    </row>
    <row r="1321" spans="4:104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L1321" s="30"/>
      <c r="AM1321" s="21"/>
      <c r="AN1321" s="23"/>
      <c r="AX1321" s="40"/>
      <c r="AZ1321" s="40"/>
      <c r="BB1321" s="18"/>
      <c r="BD1321" s="18"/>
      <c r="BE1321" s="18"/>
      <c r="BL1321" s="18"/>
      <c r="BO1321" s="18"/>
      <c r="BZ1321" s="18"/>
      <c r="CD1321" s="18"/>
      <c r="CI1321" s="18"/>
      <c r="CT1321" s="18"/>
      <c r="CZ1321" s="34" t="s">
        <v>87</v>
      </c>
    </row>
    <row r="1322" spans="4:104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L1322" s="30"/>
      <c r="AM1322" s="21"/>
      <c r="AN1322" s="23"/>
      <c r="AX1322" s="40"/>
      <c r="AZ1322" s="40"/>
      <c r="BB1322" s="18"/>
      <c r="BD1322" s="18"/>
      <c r="BE1322" s="18"/>
      <c r="BL1322" s="18"/>
      <c r="BO1322" s="18"/>
      <c r="BZ1322" s="18"/>
      <c r="CD1322" s="18"/>
      <c r="CI1322" s="18"/>
      <c r="CT1322" s="18"/>
      <c r="CZ1322" s="34" t="s">
        <v>87</v>
      </c>
    </row>
    <row r="1323" spans="4:104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L1323" s="30"/>
      <c r="AM1323" s="21"/>
      <c r="AN1323" s="23"/>
      <c r="AX1323" s="40"/>
      <c r="AZ1323" s="40"/>
      <c r="BB1323" s="18"/>
      <c r="BD1323" s="18"/>
      <c r="BE1323" s="18"/>
      <c r="BL1323" s="18"/>
      <c r="BO1323" s="18"/>
      <c r="BZ1323" s="18"/>
      <c r="CD1323" s="18"/>
      <c r="CI1323" s="18"/>
      <c r="CT1323" s="18"/>
      <c r="CZ1323" s="34" t="s">
        <v>87</v>
      </c>
    </row>
    <row r="1324" spans="4:104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L1324" s="30"/>
      <c r="AM1324" s="21"/>
      <c r="AN1324" s="23"/>
      <c r="AX1324" s="40"/>
      <c r="AZ1324" s="40"/>
      <c r="BB1324" s="18"/>
      <c r="BD1324" s="18"/>
      <c r="BE1324" s="18"/>
      <c r="BL1324" s="18"/>
      <c r="BO1324" s="18"/>
      <c r="BZ1324" s="18"/>
      <c r="CD1324" s="18"/>
      <c r="CI1324" s="18"/>
      <c r="CT1324" s="18"/>
      <c r="CZ1324" s="34" t="s">
        <v>87</v>
      </c>
    </row>
    <row r="1325" spans="4:104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L1325" s="30"/>
      <c r="AM1325" s="21"/>
      <c r="AN1325" s="23"/>
      <c r="AX1325" s="40"/>
      <c r="AZ1325" s="40"/>
      <c r="BB1325" s="18"/>
      <c r="BD1325" s="18"/>
      <c r="BE1325" s="18"/>
      <c r="BL1325" s="18"/>
      <c r="BO1325" s="18"/>
      <c r="BZ1325" s="18"/>
      <c r="CD1325" s="18"/>
      <c r="CI1325" s="18"/>
      <c r="CT1325" s="18"/>
      <c r="CZ1325" s="34" t="s">
        <v>87</v>
      </c>
    </row>
    <row r="1326" spans="4:104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L1326" s="30"/>
      <c r="AM1326" s="21"/>
      <c r="AN1326" s="23"/>
      <c r="AX1326" s="40"/>
      <c r="AZ1326" s="40"/>
      <c r="BB1326" s="18"/>
      <c r="BD1326" s="18"/>
      <c r="BE1326" s="18"/>
      <c r="BL1326" s="18"/>
      <c r="BO1326" s="18"/>
      <c r="BZ1326" s="18"/>
      <c r="CD1326" s="18"/>
      <c r="CI1326" s="18"/>
      <c r="CT1326" s="18"/>
      <c r="CZ1326" s="34" t="s">
        <v>87</v>
      </c>
    </row>
    <row r="1327" spans="4:104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L1327" s="30"/>
      <c r="AM1327" s="21"/>
      <c r="AN1327" s="23"/>
      <c r="AX1327" s="40"/>
      <c r="AZ1327" s="40"/>
      <c r="BB1327" s="18"/>
      <c r="BD1327" s="18"/>
      <c r="BE1327" s="18"/>
      <c r="BL1327" s="18"/>
      <c r="BO1327" s="18"/>
      <c r="BZ1327" s="18"/>
      <c r="CD1327" s="18"/>
      <c r="CI1327" s="18"/>
      <c r="CT1327" s="18"/>
      <c r="CZ1327" s="34" t="s">
        <v>87</v>
      </c>
    </row>
    <row r="1328" spans="4:104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L1328" s="30"/>
      <c r="AM1328" s="21"/>
      <c r="AN1328" s="23"/>
      <c r="AX1328" s="40"/>
      <c r="AZ1328" s="40"/>
      <c r="BB1328" s="18"/>
      <c r="BD1328" s="18"/>
      <c r="BE1328" s="18"/>
      <c r="BL1328" s="18"/>
      <c r="BO1328" s="18"/>
      <c r="BZ1328" s="18"/>
      <c r="CD1328" s="18"/>
      <c r="CI1328" s="18"/>
      <c r="CT1328" s="18"/>
      <c r="CZ1328" s="34" t="s">
        <v>87</v>
      </c>
    </row>
    <row r="1329" spans="4:104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L1329" s="30"/>
      <c r="AM1329" s="21"/>
      <c r="AN1329" s="23"/>
      <c r="AX1329" s="40"/>
      <c r="AZ1329" s="40"/>
      <c r="BB1329" s="18"/>
      <c r="BD1329" s="18"/>
      <c r="BE1329" s="18"/>
      <c r="BL1329" s="18"/>
      <c r="BO1329" s="18"/>
      <c r="BZ1329" s="18"/>
      <c r="CD1329" s="18"/>
      <c r="CI1329" s="18"/>
      <c r="CT1329" s="18"/>
      <c r="CZ1329" s="34" t="s">
        <v>87</v>
      </c>
    </row>
    <row r="1330" spans="4:104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L1330" s="30"/>
      <c r="AM1330" s="21"/>
      <c r="AN1330" s="23"/>
      <c r="AX1330" s="40"/>
      <c r="AZ1330" s="40"/>
      <c r="BB1330" s="18"/>
      <c r="BD1330" s="18"/>
      <c r="BE1330" s="18"/>
      <c r="BL1330" s="18"/>
      <c r="BO1330" s="18"/>
      <c r="BZ1330" s="18"/>
      <c r="CD1330" s="18"/>
      <c r="CI1330" s="18"/>
      <c r="CT1330" s="18"/>
      <c r="CZ1330" s="34" t="s">
        <v>87</v>
      </c>
    </row>
    <row r="1331" spans="4:104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L1331" s="30"/>
      <c r="AM1331" s="21"/>
      <c r="AN1331" s="23"/>
      <c r="AX1331" s="40"/>
      <c r="AZ1331" s="40"/>
      <c r="BB1331" s="18"/>
      <c r="BD1331" s="18"/>
      <c r="BE1331" s="18"/>
      <c r="BL1331" s="18"/>
      <c r="BO1331" s="18"/>
      <c r="BZ1331" s="18"/>
      <c r="CD1331" s="18"/>
      <c r="CI1331" s="18"/>
      <c r="CT1331" s="18"/>
      <c r="CZ1331" s="34" t="s">
        <v>87</v>
      </c>
    </row>
    <row r="1332" spans="4:104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L1332" s="30"/>
      <c r="AM1332" s="21"/>
      <c r="AN1332" s="23"/>
      <c r="AX1332" s="40"/>
      <c r="AZ1332" s="40"/>
      <c r="BB1332" s="18"/>
      <c r="BD1332" s="18"/>
      <c r="BE1332" s="18"/>
      <c r="BL1332" s="18"/>
      <c r="BO1332" s="18"/>
      <c r="BZ1332" s="18"/>
      <c r="CD1332" s="18"/>
      <c r="CI1332" s="18"/>
      <c r="CT1332" s="18"/>
      <c r="CZ1332" s="34" t="s">
        <v>87</v>
      </c>
    </row>
    <row r="1333" spans="4:104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L1333" s="30"/>
      <c r="AM1333" s="21"/>
      <c r="AN1333" s="23"/>
      <c r="AX1333" s="40"/>
      <c r="AZ1333" s="40"/>
      <c r="BB1333" s="18"/>
      <c r="BD1333" s="18"/>
      <c r="BE1333" s="18"/>
      <c r="BL1333" s="18"/>
      <c r="BO1333" s="18"/>
      <c r="BZ1333" s="18"/>
      <c r="CD1333" s="18"/>
      <c r="CI1333" s="18"/>
      <c r="CT1333" s="18"/>
      <c r="CZ1333" s="34" t="s">
        <v>87</v>
      </c>
    </row>
    <row r="1334" spans="4:104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L1334" s="30"/>
      <c r="AM1334" s="21"/>
      <c r="AN1334" s="23"/>
      <c r="AX1334" s="40"/>
      <c r="AZ1334" s="40"/>
      <c r="BB1334" s="18"/>
      <c r="BD1334" s="18"/>
      <c r="BE1334" s="18"/>
      <c r="BL1334" s="18"/>
      <c r="BO1334" s="18"/>
      <c r="BZ1334" s="18"/>
      <c r="CD1334" s="18"/>
      <c r="CI1334" s="18"/>
      <c r="CT1334" s="18"/>
      <c r="CZ1334" s="34" t="s">
        <v>87</v>
      </c>
    </row>
    <row r="1335" spans="4:104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L1335" s="30"/>
      <c r="AM1335" s="21"/>
      <c r="AN1335" s="23"/>
      <c r="AX1335" s="40"/>
      <c r="AZ1335" s="40"/>
      <c r="BB1335" s="18"/>
      <c r="BD1335" s="18"/>
      <c r="BE1335" s="18"/>
      <c r="BL1335" s="18"/>
      <c r="BO1335" s="18"/>
      <c r="BZ1335" s="18"/>
      <c r="CD1335" s="18"/>
      <c r="CI1335" s="18"/>
      <c r="CT1335" s="18"/>
      <c r="CZ1335" s="34" t="s">
        <v>87</v>
      </c>
    </row>
    <row r="1336" spans="4:104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L1336" s="30"/>
      <c r="AM1336" s="21"/>
      <c r="AN1336" s="23"/>
      <c r="AX1336" s="40"/>
      <c r="AZ1336" s="40"/>
      <c r="BB1336" s="18"/>
      <c r="BD1336" s="18"/>
      <c r="BE1336" s="18"/>
      <c r="BL1336" s="18"/>
      <c r="BO1336" s="18"/>
      <c r="BZ1336" s="18"/>
      <c r="CD1336" s="18"/>
      <c r="CI1336" s="18"/>
      <c r="CT1336" s="18"/>
      <c r="CZ1336" s="34" t="s">
        <v>87</v>
      </c>
    </row>
    <row r="1337" spans="4:104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L1337" s="30"/>
      <c r="AM1337" s="21"/>
      <c r="AN1337" s="23"/>
      <c r="AX1337" s="40"/>
      <c r="AZ1337" s="40"/>
      <c r="BB1337" s="18"/>
      <c r="BD1337" s="18"/>
      <c r="BE1337" s="18"/>
      <c r="BL1337" s="18"/>
      <c r="BO1337" s="18"/>
      <c r="BZ1337" s="18"/>
      <c r="CD1337" s="18"/>
      <c r="CI1337" s="18"/>
      <c r="CT1337" s="18"/>
      <c r="CZ1337" s="34" t="s">
        <v>87</v>
      </c>
    </row>
    <row r="1338" spans="4:104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L1338" s="30"/>
      <c r="AM1338" s="21"/>
      <c r="AN1338" s="23"/>
      <c r="AX1338" s="40"/>
      <c r="AZ1338" s="40"/>
      <c r="BB1338" s="18"/>
      <c r="BD1338" s="18"/>
      <c r="BE1338" s="18"/>
      <c r="BL1338" s="18"/>
      <c r="BO1338" s="18"/>
      <c r="BZ1338" s="18"/>
      <c r="CD1338" s="18"/>
      <c r="CI1338" s="18"/>
      <c r="CT1338" s="18"/>
      <c r="CZ1338" s="34" t="s">
        <v>87</v>
      </c>
    </row>
    <row r="1339" spans="4:104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L1339" s="30"/>
      <c r="AM1339" s="21"/>
      <c r="AN1339" s="23"/>
      <c r="AX1339" s="40"/>
      <c r="AZ1339" s="40"/>
      <c r="BB1339" s="18"/>
      <c r="BD1339" s="18"/>
      <c r="BE1339" s="18"/>
      <c r="BL1339" s="18"/>
      <c r="BO1339" s="18"/>
      <c r="BZ1339" s="18"/>
      <c r="CD1339" s="18"/>
      <c r="CI1339" s="18"/>
      <c r="CT1339" s="18"/>
      <c r="CZ1339" s="34" t="s">
        <v>87</v>
      </c>
    </row>
    <row r="1340" spans="4:104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L1340" s="30"/>
      <c r="AM1340" s="21"/>
      <c r="AN1340" s="23"/>
      <c r="AX1340" s="40"/>
      <c r="AZ1340" s="40"/>
      <c r="BB1340" s="18"/>
      <c r="BD1340" s="18"/>
      <c r="BE1340" s="18"/>
      <c r="BL1340" s="18"/>
      <c r="BO1340" s="18"/>
      <c r="BZ1340" s="18"/>
      <c r="CD1340" s="18"/>
      <c r="CI1340" s="18"/>
      <c r="CT1340" s="18"/>
      <c r="CZ1340" s="34" t="s">
        <v>87</v>
      </c>
    </row>
    <row r="1341" spans="4:104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L1341" s="30"/>
      <c r="AM1341" s="21"/>
      <c r="AN1341" s="23"/>
      <c r="AX1341" s="40"/>
      <c r="AZ1341" s="40"/>
      <c r="BB1341" s="18"/>
      <c r="BD1341" s="18"/>
      <c r="BE1341" s="18"/>
      <c r="BL1341" s="18"/>
      <c r="BO1341" s="18"/>
      <c r="BZ1341" s="18"/>
      <c r="CD1341" s="18"/>
      <c r="CI1341" s="18"/>
      <c r="CT1341" s="18"/>
      <c r="CZ1341" s="34" t="s">
        <v>87</v>
      </c>
    </row>
    <row r="1342" spans="4:104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L1342" s="30"/>
      <c r="AM1342" s="21"/>
      <c r="AN1342" s="23"/>
      <c r="AX1342" s="40"/>
      <c r="AZ1342" s="40"/>
      <c r="BB1342" s="18"/>
      <c r="BD1342" s="18"/>
      <c r="BE1342" s="18"/>
      <c r="BL1342" s="18"/>
      <c r="BO1342" s="18"/>
      <c r="BZ1342" s="18"/>
      <c r="CD1342" s="18"/>
      <c r="CI1342" s="18"/>
      <c r="CT1342" s="18"/>
      <c r="CZ1342" s="34" t="s">
        <v>87</v>
      </c>
    </row>
    <row r="1343" spans="4:104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L1343" s="30"/>
      <c r="AM1343" s="21"/>
      <c r="AN1343" s="23"/>
      <c r="AX1343" s="40"/>
      <c r="AZ1343" s="40"/>
      <c r="BB1343" s="18"/>
      <c r="BD1343" s="18"/>
      <c r="BE1343" s="18"/>
      <c r="BL1343" s="18"/>
      <c r="BO1343" s="18"/>
      <c r="BZ1343" s="18"/>
      <c r="CD1343" s="18"/>
      <c r="CI1343" s="18"/>
      <c r="CT1343" s="18"/>
      <c r="CZ1343" s="34" t="s">
        <v>87</v>
      </c>
    </row>
    <row r="1344" spans="4:104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L1344" s="30"/>
      <c r="AM1344" s="21"/>
      <c r="AN1344" s="23"/>
      <c r="AX1344" s="40"/>
      <c r="AZ1344" s="40"/>
      <c r="BB1344" s="18"/>
      <c r="BD1344" s="18"/>
      <c r="BE1344" s="18"/>
      <c r="BL1344" s="18"/>
      <c r="BO1344" s="18"/>
      <c r="BZ1344" s="18"/>
      <c r="CD1344" s="18"/>
      <c r="CI1344" s="18"/>
      <c r="CT1344" s="18"/>
      <c r="CZ1344" s="34" t="s">
        <v>87</v>
      </c>
    </row>
    <row r="1345" spans="4:104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L1345" s="30"/>
      <c r="AM1345" s="21"/>
      <c r="AN1345" s="23"/>
      <c r="AX1345" s="40"/>
      <c r="AZ1345" s="40"/>
      <c r="BB1345" s="18"/>
      <c r="BD1345" s="18"/>
      <c r="BE1345" s="18"/>
      <c r="BL1345" s="18"/>
      <c r="BO1345" s="18"/>
      <c r="BZ1345" s="18"/>
      <c r="CD1345" s="18"/>
      <c r="CI1345" s="18"/>
      <c r="CT1345" s="18"/>
      <c r="CZ1345" s="34" t="s">
        <v>87</v>
      </c>
    </row>
    <row r="1346" spans="4:104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L1346" s="30"/>
      <c r="AM1346" s="21"/>
      <c r="AN1346" s="23"/>
      <c r="AX1346" s="40"/>
      <c r="AZ1346" s="40"/>
      <c r="BB1346" s="18"/>
      <c r="BD1346" s="18"/>
      <c r="BE1346" s="18"/>
      <c r="BL1346" s="18"/>
      <c r="BO1346" s="18"/>
      <c r="BZ1346" s="18"/>
      <c r="CD1346" s="18"/>
      <c r="CI1346" s="18"/>
      <c r="CT1346" s="18"/>
      <c r="CZ1346" s="34" t="s">
        <v>87</v>
      </c>
    </row>
    <row r="1347" spans="4:104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L1347" s="30"/>
      <c r="AM1347" s="21"/>
      <c r="AN1347" s="23"/>
      <c r="AX1347" s="40"/>
      <c r="AZ1347" s="40"/>
      <c r="BB1347" s="18"/>
      <c r="BD1347" s="18"/>
      <c r="BE1347" s="18"/>
      <c r="BL1347" s="18"/>
      <c r="BO1347" s="18"/>
      <c r="BZ1347" s="18"/>
      <c r="CD1347" s="18"/>
      <c r="CI1347" s="18"/>
      <c r="CT1347" s="18"/>
      <c r="CZ1347" s="34" t="s">
        <v>87</v>
      </c>
    </row>
    <row r="1348" spans="4:104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L1348" s="30"/>
      <c r="AM1348" s="21"/>
      <c r="AN1348" s="23"/>
      <c r="AX1348" s="40"/>
      <c r="AZ1348" s="40"/>
      <c r="BB1348" s="18"/>
      <c r="BD1348" s="18"/>
      <c r="BE1348" s="18"/>
      <c r="BL1348" s="18"/>
      <c r="BO1348" s="18"/>
      <c r="BZ1348" s="18"/>
      <c r="CD1348" s="18"/>
      <c r="CI1348" s="18"/>
      <c r="CT1348" s="18"/>
      <c r="CZ1348" s="34" t="s">
        <v>87</v>
      </c>
    </row>
    <row r="1349" spans="4:104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L1349" s="30"/>
      <c r="AM1349" s="21"/>
      <c r="AN1349" s="23"/>
      <c r="AX1349" s="40"/>
      <c r="AZ1349" s="40"/>
      <c r="BB1349" s="18"/>
      <c r="BD1349" s="18"/>
      <c r="BE1349" s="18"/>
      <c r="BL1349" s="18"/>
      <c r="BO1349" s="18"/>
      <c r="BZ1349" s="18"/>
      <c r="CD1349" s="18"/>
      <c r="CI1349" s="18"/>
      <c r="CT1349" s="18"/>
      <c r="CZ1349" s="34" t="s">
        <v>87</v>
      </c>
    </row>
    <row r="1350" spans="4:104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L1350" s="30"/>
      <c r="AM1350" s="21"/>
      <c r="AN1350" s="23"/>
      <c r="AX1350" s="40"/>
      <c r="AZ1350" s="40"/>
      <c r="BB1350" s="18"/>
      <c r="BD1350" s="18"/>
      <c r="BE1350" s="18"/>
      <c r="BL1350" s="18"/>
      <c r="BO1350" s="18"/>
      <c r="BZ1350" s="18"/>
      <c r="CD1350" s="18"/>
      <c r="CI1350" s="18"/>
      <c r="CT1350" s="18"/>
      <c r="CZ1350" s="34" t="s">
        <v>87</v>
      </c>
    </row>
    <row r="1351" spans="4:104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L1351" s="30"/>
      <c r="AM1351" s="21"/>
      <c r="AN1351" s="23"/>
      <c r="AX1351" s="40"/>
      <c r="AZ1351" s="40"/>
      <c r="BB1351" s="18"/>
      <c r="BD1351" s="18"/>
      <c r="BE1351" s="18"/>
      <c r="BL1351" s="18"/>
      <c r="BO1351" s="18"/>
      <c r="BZ1351" s="18"/>
      <c r="CD1351" s="18"/>
      <c r="CI1351" s="18"/>
      <c r="CT1351" s="18"/>
      <c r="CZ1351" s="34" t="s">
        <v>87</v>
      </c>
    </row>
    <row r="1352" spans="4:104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L1352" s="30"/>
      <c r="AM1352" s="21"/>
      <c r="AN1352" s="23"/>
      <c r="AX1352" s="40"/>
      <c r="AZ1352" s="40"/>
      <c r="BB1352" s="18"/>
      <c r="BD1352" s="18"/>
      <c r="BE1352" s="18"/>
      <c r="BL1352" s="18"/>
      <c r="BO1352" s="18"/>
      <c r="BZ1352" s="18"/>
      <c r="CD1352" s="18"/>
      <c r="CI1352" s="18"/>
      <c r="CT1352" s="18"/>
      <c r="CZ1352" s="34" t="s">
        <v>87</v>
      </c>
    </row>
    <row r="1353" spans="4:104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L1353" s="30"/>
      <c r="AM1353" s="21"/>
      <c r="AN1353" s="23"/>
      <c r="AX1353" s="40"/>
      <c r="AZ1353" s="40"/>
      <c r="BB1353" s="18"/>
      <c r="BD1353" s="18"/>
      <c r="BE1353" s="18"/>
      <c r="BL1353" s="18"/>
      <c r="BO1353" s="18"/>
      <c r="BZ1353" s="18"/>
      <c r="CD1353" s="18"/>
      <c r="CI1353" s="18"/>
      <c r="CT1353" s="18"/>
      <c r="CZ1353" s="34" t="s">
        <v>87</v>
      </c>
    </row>
    <row r="1354" spans="4:104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L1354" s="30"/>
      <c r="AM1354" s="21"/>
      <c r="AN1354" s="23"/>
      <c r="AX1354" s="40"/>
      <c r="AZ1354" s="40"/>
      <c r="BB1354" s="18"/>
      <c r="BD1354" s="18"/>
      <c r="BE1354" s="18"/>
      <c r="BL1354" s="18"/>
      <c r="BO1354" s="18"/>
      <c r="BZ1354" s="18"/>
      <c r="CD1354" s="18"/>
      <c r="CI1354" s="18"/>
      <c r="CT1354" s="18"/>
      <c r="CZ1354" s="34" t="s">
        <v>87</v>
      </c>
    </row>
    <row r="1355" spans="4:104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L1355" s="30"/>
      <c r="AM1355" s="21"/>
      <c r="AN1355" s="23"/>
      <c r="AX1355" s="40"/>
      <c r="AZ1355" s="40"/>
      <c r="BB1355" s="18"/>
      <c r="BD1355" s="18"/>
      <c r="BE1355" s="18"/>
      <c r="BL1355" s="18"/>
      <c r="BO1355" s="18"/>
      <c r="BZ1355" s="18"/>
      <c r="CD1355" s="18"/>
      <c r="CI1355" s="18"/>
      <c r="CT1355" s="18"/>
      <c r="CZ1355" s="34" t="s">
        <v>87</v>
      </c>
    </row>
    <row r="1356" spans="4:104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L1356" s="30"/>
      <c r="AM1356" s="21"/>
      <c r="AN1356" s="23"/>
      <c r="AX1356" s="40"/>
      <c r="AZ1356" s="40"/>
      <c r="BB1356" s="18"/>
      <c r="BD1356" s="18"/>
      <c r="BE1356" s="18"/>
      <c r="BL1356" s="18"/>
      <c r="BO1356" s="18"/>
      <c r="BZ1356" s="18"/>
      <c r="CD1356" s="18"/>
      <c r="CI1356" s="18"/>
      <c r="CT1356" s="18"/>
      <c r="CZ1356" s="34" t="s">
        <v>87</v>
      </c>
    </row>
    <row r="1357" spans="4:104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L1357" s="30"/>
      <c r="AM1357" s="21"/>
      <c r="AN1357" s="23"/>
      <c r="AX1357" s="40"/>
      <c r="AZ1357" s="40"/>
      <c r="BB1357" s="18"/>
      <c r="BD1357" s="18"/>
      <c r="BE1357" s="18"/>
      <c r="BL1357" s="18"/>
      <c r="BO1357" s="18"/>
      <c r="BZ1357" s="18"/>
      <c r="CD1357" s="18"/>
      <c r="CI1357" s="18"/>
      <c r="CT1357" s="18"/>
      <c r="CZ1357" s="34" t="s">
        <v>87</v>
      </c>
    </row>
    <row r="1358" spans="4:104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L1358" s="30"/>
      <c r="AM1358" s="21"/>
      <c r="AN1358" s="23"/>
      <c r="AX1358" s="40"/>
      <c r="AZ1358" s="40"/>
      <c r="BB1358" s="18"/>
      <c r="BD1358" s="18"/>
      <c r="BE1358" s="18"/>
      <c r="BL1358" s="18"/>
      <c r="BO1358" s="18"/>
      <c r="BZ1358" s="18"/>
      <c r="CD1358" s="18"/>
      <c r="CI1358" s="18"/>
      <c r="CT1358" s="18"/>
      <c r="CZ1358" s="34" t="s">
        <v>87</v>
      </c>
    </row>
    <row r="1359" spans="4:104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L1359" s="30"/>
      <c r="AM1359" s="21"/>
      <c r="AN1359" s="23"/>
      <c r="AX1359" s="40"/>
      <c r="AZ1359" s="40"/>
      <c r="BB1359" s="18"/>
      <c r="BD1359" s="18"/>
      <c r="BE1359" s="18"/>
      <c r="BL1359" s="18"/>
      <c r="BO1359" s="18"/>
      <c r="BZ1359" s="18"/>
      <c r="CD1359" s="18"/>
      <c r="CI1359" s="18"/>
      <c r="CT1359" s="18"/>
      <c r="CZ1359" s="34" t="s">
        <v>87</v>
      </c>
    </row>
    <row r="1360" spans="4:104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L1360" s="30"/>
      <c r="AM1360" s="21"/>
      <c r="AN1360" s="23"/>
      <c r="AX1360" s="40"/>
      <c r="AZ1360" s="40"/>
      <c r="BB1360" s="18"/>
      <c r="BD1360" s="18"/>
      <c r="BE1360" s="18"/>
      <c r="BL1360" s="18"/>
      <c r="BO1360" s="18"/>
      <c r="BZ1360" s="18"/>
      <c r="CD1360" s="18"/>
      <c r="CI1360" s="18"/>
      <c r="CT1360" s="18"/>
      <c r="CZ1360" s="34" t="s">
        <v>87</v>
      </c>
    </row>
    <row r="1361" spans="4:104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L1361" s="30"/>
      <c r="AM1361" s="21"/>
      <c r="AN1361" s="23"/>
      <c r="AX1361" s="40"/>
      <c r="AZ1361" s="40"/>
      <c r="BB1361" s="18"/>
      <c r="BD1361" s="18"/>
      <c r="BE1361" s="18"/>
      <c r="BL1361" s="18"/>
      <c r="BO1361" s="18"/>
      <c r="BZ1361" s="18"/>
      <c r="CD1361" s="18"/>
      <c r="CI1361" s="18"/>
      <c r="CT1361" s="18"/>
      <c r="CZ1361" s="34" t="s">
        <v>87</v>
      </c>
    </row>
    <row r="1362" spans="4:104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L1362" s="30"/>
      <c r="AM1362" s="21"/>
      <c r="AN1362" s="23"/>
      <c r="AX1362" s="40"/>
      <c r="AZ1362" s="40"/>
      <c r="BB1362" s="18"/>
      <c r="BD1362" s="18"/>
      <c r="BE1362" s="18"/>
      <c r="BL1362" s="18"/>
      <c r="BO1362" s="18"/>
      <c r="BZ1362" s="18"/>
      <c r="CD1362" s="18"/>
      <c r="CI1362" s="18"/>
      <c r="CT1362" s="18"/>
      <c r="CZ1362" s="34" t="s">
        <v>87</v>
      </c>
    </row>
    <row r="1363" spans="4:104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L1363" s="30"/>
      <c r="AM1363" s="21"/>
      <c r="AN1363" s="23"/>
      <c r="AX1363" s="40"/>
      <c r="AZ1363" s="40"/>
      <c r="BB1363" s="18"/>
      <c r="BD1363" s="18"/>
      <c r="BE1363" s="18"/>
      <c r="BL1363" s="18"/>
      <c r="BO1363" s="18"/>
      <c r="BZ1363" s="18"/>
      <c r="CD1363" s="18"/>
      <c r="CI1363" s="18"/>
      <c r="CT1363" s="18"/>
      <c r="CZ1363" s="34" t="s">
        <v>87</v>
      </c>
    </row>
    <row r="1364" spans="4:104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L1364" s="30"/>
      <c r="AM1364" s="21"/>
      <c r="AN1364" s="23"/>
      <c r="AX1364" s="40"/>
      <c r="AZ1364" s="40"/>
      <c r="BB1364" s="18"/>
      <c r="BD1364" s="18"/>
      <c r="BE1364" s="18"/>
      <c r="BL1364" s="18"/>
      <c r="BO1364" s="18"/>
      <c r="BZ1364" s="18"/>
      <c r="CD1364" s="18"/>
      <c r="CI1364" s="18"/>
      <c r="CT1364" s="18"/>
      <c r="CZ1364" s="34" t="s">
        <v>87</v>
      </c>
    </row>
    <row r="1365" spans="4:104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L1365" s="30"/>
      <c r="AM1365" s="21"/>
      <c r="AN1365" s="23"/>
      <c r="AX1365" s="40"/>
      <c r="AZ1365" s="40"/>
      <c r="BB1365" s="18"/>
      <c r="BD1365" s="18"/>
      <c r="BE1365" s="18"/>
      <c r="BL1365" s="18"/>
      <c r="BO1365" s="18"/>
      <c r="BZ1365" s="18"/>
      <c r="CD1365" s="18"/>
      <c r="CI1365" s="18"/>
      <c r="CT1365" s="18"/>
      <c r="CZ1365" s="34" t="s">
        <v>87</v>
      </c>
    </row>
    <row r="1366" spans="4:104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L1366" s="30"/>
      <c r="AM1366" s="21"/>
      <c r="AN1366" s="23"/>
      <c r="AX1366" s="40"/>
      <c r="AZ1366" s="40"/>
      <c r="BB1366" s="18"/>
      <c r="BD1366" s="18"/>
      <c r="BE1366" s="18"/>
      <c r="BL1366" s="18"/>
      <c r="BO1366" s="18"/>
      <c r="BZ1366" s="18"/>
      <c r="CD1366" s="18"/>
      <c r="CI1366" s="18"/>
      <c r="CT1366" s="18"/>
      <c r="CZ1366" s="34" t="s">
        <v>87</v>
      </c>
    </row>
    <row r="1367" spans="4:104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L1367" s="30"/>
      <c r="AM1367" s="21"/>
      <c r="AN1367" s="23"/>
      <c r="AX1367" s="40"/>
      <c r="AZ1367" s="40"/>
      <c r="BB1367" s="18"/>
      <c r="BD1367" s="18"/>
      <c r="BE1367" s="18"/>
      <c r="BL1367" s="18"/>
      <c r="BO1367" s="18"/>
      <c r="BZ1367" s="18"/>
      <c r="CD1367" s="18"/>
      <c r="CI1367" s="18"/>
      <c r="CT1367" s="18"/>
      <c r="CZ1367" s="34" t="s">
        <v>87</v>
      </c>
    </row>
    <row r="1368" spans="4:104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L1368" s="30"/>
      <c r="AM1368" s="21"/>
      <c r="AN1368" s="23"/>
      <c r="AX1368" s="40"/>
      <c r="AZ1368" s="40"/>
      <c r="BB1368" s="18"/>
      <c r="BD1368" s="18"/>
      <c r="BE1368" s="18"/>
      <c r="BL1368" s="18"/>
      <c r="BO1368" s="18"/>
      <c r="BZ1368" s="18"/>
      <c r="CD1368" s="18"/>
      <c r="CI1368" s="18"/>
      <c r="CT1368" s="18"/>
      <c r="CZ1368" s="34" t="s">
        <v>87</v>
      </c>
    </row>
    <row r="1369" spans="4:104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L1369" s="30"/>
      <c r="AM1369" s="21"/>
      <c r="AN1369" s="23"/>
      <c r="AX1369" s="40"/>
      <c r="AZ1369" s="40"/>
      <c r="BB1369" s="18"/>
      <c r="BD1369" s="18"/>
      <c r="BE1369" s="18"/>
      <c r="BL1369" s="18"/>
      <c r="BO1369" s="18"/>
      <c r="BZ1369" s="18"/>
      <c r="CD1369" s="18"/>
      <c r="CI1369" s="18"/>
      <c r="CT1369" s="18"/>
      <c r="CZ1369" s="34" t="s">
        <v>87</v>
      </c>
    </row>
    <row r="1370" spans="4:104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L1370" s="30"/>
      <c r="AM1370" s="21"/>
      <c r="AN1370" s="23"/>
      <c r="AX1370" s="40"/>
      <c r="AZ1370" s="40"/>
      <c r="BB1370" s="18"/>
      <c r="BD1370" s="18"/>
      <c r="BE1370" s="18"/>
      <c r="BL1370" s="18"/>
      <c r="BO1370" s="18"/>
      <c r="BZ1370" s="18"/>
      <c r="CD1370" s="18"/>
      <c r="CI1370" s="18"/>
      <c r="CT1370" s="18"/>
      <c r="CZ1370" s="34" t="s">
        <v>87</v>
      </c>
    </row>
    <row r="1371" spans="4:104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L1371" s="30"/>
      <c r="AM1371" s="21"/>
      <c r="AN1371" s="23"/>
      <c r="AX1371" s="40"/>
      <c r="AZ1371" s="40"/>
      <c r="BB1371" s="18"/>
      <c r="BD1371" s="18"/>
      <c r="BE1371" s="18"/>
      <c r="BL1371" s="18"/>
      <c r="BO1371" s="18"/>
      <c r="BZ1371" s="18"/>
      <c r="CD1371" s="18"/>
      <c r="CI1371" s="18"/>
      <c r="CT1371" s="18"/>
      <c r="CZ1371" s="34" t="s">
        <v>87</v>
      </c>
    </row>
    <row r="1372" spans="4:104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L1372" s="30"/>
      <c r="AM1372" s="21"/>
      <c r="AN1372" s="23"/>
      <c r="AX1372" s="40"/>
      <c r="AZ1372" s="40"/>
      <c r="BB1372" s="18"/>
      <c r="BD1372" s="18"/>
      <c r="BE1372" s="18"/>
      <c r="BL1372" s="18"/>
      <c r="BO1372" s="18"/>
      <c r="BZ1372" s="18"/>
      <c r="CD1372" s="18"/>
      <c r="CI1372" s="18"/>
      <c r="CT1372" s="18"/>
      <c r="CZ1372" s="34" t="s">
        <v>87</v>
      </c>
    </row>
    <row r="1373" spans="4:104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L1373" s="30"/>
      <c r="AM1373" s="21"/>
      <c r="AN1373" s="23"/>
      <c r="AX1373" s="40"/>
      <c r="AZ1373" s="40"/>
      <c r="BB1373" s="18"/>
      <c r="BD1373" s="18"/>
      <c r="BE1373" s="18"/>
      <c r="BL1373" s="18"/>
      <c r="BO1373" s="18"/>
      <c r="BZ1373" s="18"/>
      <c r="CD1373" s="18"/>
      <c r="CI1373" s="18"/>
      <c r="CT1373" s="18"/>
      <c r="CZ1373" s="34" t="s">
        <v>87</v>
      </c>
    </row>
    <row r="1374" spans="4:104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L1374" s="30"/>
      <c r="AM1374" s="21"/>
      <c r="AN1374" s="23"/>
      <c r="AX1374" s="40"/>
      <c r="AZ1374" s="40"/>
      <c r="BB1374" s="18"/>
      <c r="BD1374" s="18"/>
      <c r="BE1374" s="18"/>
      <c r="BL1374" s="18"/>
      <c r="BO1374" s="18"/>
      <c r="BZ1374" s="18"/>
      <c r="CD1374" s="18"/>
      <c r="CI1374" s="18"/>
      <c r="CT1374" s="18"/>
      <c r="CZ1374" s="34" t="s">
        <v>87</v>
      </c>
    </row>
    <row r="1375" spans="4:104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L1375" s="30"/>
      <c r="AM1375" s="21"/>
      <c r="AN1375" s="23"/>
      <c r="AX1375" s="40"/>
      <c r="AZ1375" s="40"/>
      <c r="BB1375" s="18"/>
      <c r="BD1375" s="18"/>
      <c r="BE1375" s="18"/>
      <c r="BL1375" s="18"/>
      <c r="BO1375" s="18"/>
      <c r="BZ1375" s="18"/>
      <c r="CD1375" s="18"/>
      <c r="CI1375" s="18"/>
      <c r="CT1375" s="18"/>
      <c r="CZ1375" s="34" t="s">
        <v>87</v>
      </c>
    </row>
    <row r="1376" spans="4:104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L1376" s="30"/>
      <c r="AM1376" s="21"/>
      <c r="AN1376" s="23"/>
      <c r="AX1376" s="40"/>
      <c r="AZ1376" s="40"/>
      <c r="BB1376" s="18"/>
      <c r="BD1376" s="18"/>
      <c r="BE1376" s="18"/>
      <c r="BL1376" s="18"/>
      <c r="BO1376" s="18"/>
      <c r="BZ1376" s="18"/>
      <c r="CD1376" s="18"/>
      <c r="CI1376" s="18"/>
      <c r="CT1376" s="18"/>
      <c r="CZ1376" s="34" t="s">
        <v>87</v>
      </c>
    </row>
    <row r="1377" spans="4:104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L1377" s="30"/>
      <c r="AM1377" s="21"/>
      <c r="AN1377" s="23"/>
      <c r="AX1377" s="40"/>
      <c r="AZ1377" s="40"/>
      <c r="BB1377" s="18"/>
      <c r="BD1377" s="18"/>
      <c r="BE1377" s="18"/>
      <c r="BL1377" s="18"/>
      <c r="BO1377" s="18"/>
      <c r="BZ1377" s="18"/>
      <c r="CD1377" s="18"/>
      <c r="CI1377" s="18"/>
      <c r="CT1377" s="18"/>
      <c r="CZ1377" s="34" t="s">
        <v>87</v>
      </c>
    </row>
    <row r="1378" spans="4:104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L1378" s="30"/>
      <c r="AM1378" s="21"/>
      <c r="AN1378" s="23"/>
      <c r="AX1378" s="40"/>
      <c r="AZ1378" s="40"/>
      <c r="BB1378" s="18"/>
      <c r="BD1378" s="18"/>
      <c r="BE1378" s="18"/>
      <c r="BL1378" s="18"/>
      <c r="BO1378" s="18"/>
      <c r="BZ1378" s="18"/>
      <c r="CD1378" s="18"/>
      <c r="CI1378" s="18"/>
      <c r="CT1378" s="18"/>
      <c r="CZ1378" s="34" t="s">
        <v>87</v>
      </c>
    </row>
    <row r="1379" spans="4:104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L1379" s="30"/>
      <c r="AM1379" s="21"/>
      <c r="AN1379" s="23"/>
      <c r="AX1379" s="40"/>
      <c r="AZ1379" s="40"/>
      <c r="BB1379" s="18"/>
      <c r="BD1379" s="18"/>
      <c r="BE1379" s="18"/>
      <c r="BL1379" s="18"/>
      <c r="BO1379" s="18"/>
      <c r="BZ1379" s="18"/>
      <c r="CD1379" s="18"/>
      <c r="CI1379" s="18"/>
      <c r="CT1379" s="18"/>
      <c r="CZ1379" s="34" t="s">
        <v>87</v>
      </c>
    </row>
    <row r="1380" spans="4:104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L1380" s="30"/>
      <c r="AM1380" s="21"/>
      <c r="AN1380" s="23"/>
      <c r="AX1380" s="40"/>
      <c r="AZ1380" s="40"/>
      <c r="BB1380" s="18"/>
      <c r="BD1380" s="18"/>
      <c r="BE1380" s="18"/>
      <c r="BL1380" s="18"/>
      <c r="BO1380" s="18"/>
      <c r="BZ1380" s="18"/>
      <c r="CD1380" s="18"/>
      <c r="CI1380" s="18"/>
      <c r="CT1380" s="18"/>
      <c r="CZ1380" s="34" t="s">
        <v>87</v>
      </c>
    </row>
    <row r="1381" spans="4:104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L1381" s="30"/>
      <c r="AM1381" s="21"/>
      <c r="AN1381" s="23"/>
      <c r="AX1381" s="40"/>
      <c r="AZ1381" s="40"/>
      <c r="BB1381" s="18"/>
      <c r="BD1381" s="18"/>
      <c r="BE1381" s="18"/>
      <c r="BL1381" s="18"/>
      <c r="BO1381" s="18"/>
      <c r="BZ1381" s="18"/>
      <c r="CD1381" s="18"/>
      <c r="CI1381" s="18"/>
      <c r="CT1381" s="18"/>
      <c r="CZ1381" s="34" t="s">
        <v>87</v>
      </c>
    </row>
    <row r="1382" spans="4:104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L1382" s="30"/>
      <c r="AM1382" s="21"/>
      <c r="AN1382" s="23"/>
      <c r="AX1382" s="40"/>
      <c r="AZ1382" s="40"/>
      <c r="BB1382" s="18"/>
      <c r="BD1382" s="18"/>
      <c r="BE1382" s="18"/>
      <c r="BL1382" s="18"/>
      <c r="BO1382" s="18"/>
      <c r="BZ1382" s="18"/>
      <c r="CD1382" s="18"/>
      <c r="CI1382" s="18"/>
      <c r="CT1382" s="18"/>
      <c r="CZ1382" s="34" t="s">
        <v>87</v>
      </c>
    </row>
    <row r="1383" spans="4:104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L1383" s="30"/>
      <c r="AM1383" s="21"/>
      <c r="AN1383" s="23"/>
      <c r="AX1383" s="40"/>
      <c r="AZ1383" s="40"/>
      <c r="BB1383" s="18"/>
      <c r="BD1383" s="18"/>
      <c r="BE1383" s="18"/>
      <c r="BL1383" s="18"/>
      <c r="BO1383" s="18"/>
      <c r="BZ1383" s="18"/>
      <c r="CD1383" s="18"/>
      <c r="CI1383" s="18"/>
      <c r="CT1383" s="18"/>
      <c r="CZ1383" s="34" t="s">
        <v>87</v>
      </c>
    </row>
    <row r="1384" spans="4:104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L1384" s="30"/>
      <c r="AM1384" s="21"/>
      <c r="AN1384" s="23"/>
      <c r="AX1384" s="40"/>
      <c r="AZ1384" s="40"/>
      <c r="BB1384" s="18"/>
      <c r="BD1384" s="18"/>
      <c r="BE1384" s="18"/>
      <c r="BL1384" s="18"/>
      <c r="BO1384" s="18"/>
      <c r="BZ1384" s="18"/>
      <c r="CD1384" s="18"/>
      <c r="CI1384" s="18"/>
      <c r="CT1384" s="18"/>
      <c r="CZ1384" s="34" t="s">
        <v>87</v>
      </c>
    </row>
    <row r="1385" spans="4:104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L1385" s="30"/>
      <c r="AM1385" s="21"/>
      <c r="AN1385" s="23"/>
      <c r="AX1385" s="40"/>
      <c r="AZ1385" s="40"/>
      <c r="BB1385" s="18"/>
      <c r="BD1385" s="18"/>
      <c r="BE1385" s="18"/>
      <c r="BL1385" s="18"/>
      <c r="BO1385" s="18"/>
      <c r="BZ1385" s="18"/>
      <c r="CD1385" s="18"/>
      <c r="CI1385" s="18"/>
      <c r="CT1385" s="18"/>
      <c r="CZ1385" s="34" t="s">
        <v>87</v>
      </c>
    </row>
    <row r="1386" spans="4:104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L1386" s="30"/>
      <c r="AM1386" s="21"/>
      <c r="AN1386" s="23"/>
      <c r="AX1386" s="40"/>
      <c r="AZ1386" s="40"/>
      <c r="BB1386" s="18"/>
      <c r="BD1386" s="18"/>
      <c r="BE1386" s="18"/>
      <c r="BL1386" s="18"/>
      <c r="BO1386" s="18"/>
      <c r="BZ1386" s="18"/>
      <c r="CD1386" s="18"/>
      <c r="CI1386" s="18"/>
      <c r="CT1386" s="18"/>
      <c r="CZ1386" s="34" t="s">
        <v>87</v>
      </c>
    </row>
    <row r="1387" spans="4:104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L1387" s="30"/>
      <c r="AM1387" s="21"/>
      <c r="AN1387" s="23"/>
      <c r="AX1387" s="40"/>
      <c r="AZ1387" s="40"/>
      <c r="BB1387" s="18"/>
      <c r="BD1387" s="18"/>
      <c r="BE1387" s="18"/>
      <c r="BL1387" s="18"/>
      <c r="BO1387" s="18"/>
      <c r="BZ1387" s="18"/>
      <c r="CD1387" s="18"/>
      <c r="CI1387" s="18"/>
      <c r="CT1387" s="18"/>
      <c r="CZ1387" s="34" t="s">
        <v>87</v>
      </c>
    </row>
    <row r="1388" spans="4:104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L1388" s="30"/>
      <c r="AM1388" s="21"/>
      <c r="AN1388" s="23"/>
      <c r="AX1388" s="40"/>
      <c r="AZ1388" s="40"/>
      <c r="BB1388" s="18"/>
      <c r="BD1388" s="18"/>
      <c r="BE1388" s="18"/>
      <c r="BL1388" s="18"/>
      <c r="BO1388" s="18"/>
      <c r="BZ1388" s="18"/>
      <c r="CD1388" s="18"/>
      <c r="CI1388" s="18"/>
      <c r="CT1388" s="18"/>
      <c r="CZ1388" s="34" t="s">
        <v>87</v>
      </c>
    </row>
    <row r="1389" spans="4:104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L1389" s="30"/>
      <c r="AM1389" s="21"/>
      <c r="AN1389" s="23"/>
      <c r="AX1389" s="40"/>
      <c r="AZ1389" s="40"/>
      <c r="BB1389" s="18"/>
      <c r="BD1389" s="18"/>
      <c r="BE1389" s="18"/>
      <c r="BL1389" s="18"/>
      <c r="BO1389" s="18"/>
      <c r="BZ1389" s="18"/>
      <c r="CD1389" s="18"/>
      <c r="CI1389" s="18"/>
      <c r="CT1389" s="18"/>
      <c r="CZ1389" s="34" t="s">
        <v>87</v>
      </c>
    </row>
    <row r="1390" spans="4:104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L1390" s="30"/>
      <c r="AM1390" s="21"/>
      <c r="AN1390" s="23"/>
      <c r="AX1390" s="40"/>
      <c r="AZ1390" s="40"/>
      <c r="BB1390" s="18"/>
      <c r="BD1390" s="18"/>
      <c r="BE1390" s="18"/>
      <c r="BL1390" s="18"/>
      <c r="BO1390" s="18"/>
      <c r="BZ1390" s="18"/>
      <c r="CD1390" s="18"/>
      <c r="CI1390" s="18"/>
      <c r="CT1390" s="18"/>
      <c r="CZ1390" s="34" t="s">
        <v>87</v>
      </c>
    </row>
    <row r="1391" spans="4:104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L1391" s="30"/>
      <c r="AM1391" s="21"/>
      <c r="AN1391" s="23"/>
      <c r="AX1391" s="40"/>
      <c r="AZ1391" s="40"/>
      <c r="BB1391" s="18"/>
      <c r="BD1391" s="18"/>
      <c r="BE1391" s="18"/>
      <c r="BL1391" s="18"/>
      <c r="BO1391" s="18"/>
      <c r="BZ1391" s="18"/>
      <c r="CD1391" s="18"/>
      <c r="CI1391" s="18"/>
      <c r="CT1391" s="18"/>
      <c r="CZ1391" s="34" t="s">
        <v>87</v>
      </c>
    </row>
    <row r="1392" spans="4:104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L1392" s="30"/>
      <c r="AM1392" s="21"/>
      <c r="AN1392" s="23"/>
      <c r="AX1392" s="40"/>
      <c r="AZ1392" s="40"/>
      <c r="BB1392" s="18"/>
      <c r="BD1392" s="18"/>
      <c r="BE1392" s="18"/>
      <c r="BL1392" s="18"/>
      <c r="BO1392" s="18"/>
      <c r="BZ1392" s="18"/>
      <c r="CD1392" s="18"/>
      <c r="CI1392" s="18"/>
      <c r="CT1392" s="18"/>
      <c r="CZ1392" s="34" t="s">
        <v>87</v>
      </c>
    </row>
    <row r="1393" spans="4:104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L1393" s="30"/>
      <c r="AM1393" s="21"/>
      <c r="AN1393" s="23"/>
      <c r="AX1393" s="40"/>
      <c r="AZ1393" s="40"/>
      <c r="BB1393" s="18"/>
      <c r="BD1393" s="18"/>
      <c r="BE1393" s="18"/>
      <c r="BL1393" s="18"/>
      <c r="BO1393" s="18"/>
      <c r="BZ1393" s="18"/>
      <c r="CD1393" s="18"/>
      <c r="CI1393" s="18"/>
      <c r="CT1393" s="18"/>
      <c r="CZ1393" s="34" t="s">
        <v>87</v>
      </c>
    </row>
    <row r="1394" spans="4:104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L1394" s="30"/>
      <c r="AM1394" s="21"/>
      <c r="AN1394" s="23"/>
      <c r="AX1394" s="40"/>
      <c r="AZ1394" s="40"/>
      <c r="BB1394" s="18"/>
      <c r="BD1394" s="18"/>
      <c r="BE1394" s="18"/>
      <c r="BL1394" s="18"/>
      <c r="BO1394" s="18"/>
      <c r="BZ1394" s="18"/>
      <c r="CD1394" s="18"/>
      <c r="CI1394" s="18"/>
      <c r="CT1394" s="18"/>
      <c r="CZ1394" s="34" t="s">
        <v>87</v>
      </c>
    </row>
    <row r="1395" spans="4:104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L1395" s="30"/>
      <c r="AM1395" s="21"/>
      <c r="AN1395" s="23"/>
      <c r="AX1395" s="40"/>
      <c r="AZ1395" s="40"/>
      <c r="BB1395" s="18"/>
      <c r="BD1395" s="18"/>
      <c r="BE1395" s="18"/>
      <c r="BL1395" s="18"/>
      <c r="BO1395" s="18"/>
      <c r="BZ1395" s="18"/>
      <c r="CD1395" s="18"/>
      <c r="CI1395" s="18"/>
      <c r="CT1395" s="18"/>
      <c r="CZ1395" s="34" t="s">
        <v>87</v>
      </c>
    </row>
    <row r="1396" spans="4:104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L1396" s="30"/>
      <c r="AM1396" s="21"/>
      <c r="AN1396" s="23"/>
      <c r="AX1396" s="40"/>
      <c r="AZ1396" s="40"/>
      <c r="BB1396" s="18"/>
      <c r="BD1396" s="18"/>
      <c r="BE1396" s="18"/>
      <c r="BL1396" s="18"/>
      <c r="BO1396" s="18"/>
      <c r="BZ1396" s="18"/>
      <c r="CD1396" s="18"/>
      <c r="CI1396" s="18"/>
      <c r="CT1396" s="18"/>
      <c r="CZ1396" s="34" t="s">
        <v>87</v>
      </c>
    </row>
    <row r="1397" spans="4:104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L1397" s="30"/>
      <c r="AM1397" s="21"/>
      <c r="AN1397" s="23"/>
      <c r="AX1397" s="40"/>
      <c r="AZ1397" s="40"/>
      <c r="BB1397" s="18"/>
      <c r="BD1397" s="18"/>
      <c r="BE1397" s="18"/>
      <c r="BL1397" s="18"/>
      <c r="BO1397" s="18"/>
      <c r="BZ1397" s="18"/>
      <c r="CD1397" s="18"/>
      <c r="CI1397" s="18"/>
      <c r="CT1397" s="18"/>
      <c r="CZ1397" s="34" t="s">
        <v>87</v>
      </c>
    </row>
    <row r="1398" spans="4:104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L1398" s="30"/>
      <c r="AM1398" s="21"/>
      <c r="AN1398" s="23"/>
      <c r="AX1398" s="40"/>
      <c r="AZ1398" s="40"/>
      <c r="BB1398" s="18"/>
      <c r="BD1398" s="18"/>
      <c r="BE1398" s="18"/>
      <c r="BL1398" s="18"/>
      <c r="BO1398" s="18"/>
      <c r="BZ1398" s="18"/>
      <c r="CD1398" s="18"/>
      <c r="CI1398" s="18"/>
      <c r="CT1398" s="18"/>
      <c r="CZ1398" s="34" t="s">
        <v>87</v>
      </c>
    </row>
    <row r="1399" spans="4:104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L1399" s="30"/>
      <c r="AM1399" s="21"/>
      <c r="AN1399" s="23"/>
      <c r="AX1399" s="40"/>
      <c r="AZ1399" s="40"/>
      <c r="BB1399" s="18"/>
      <c r="BD1399" s="18"/>
      <c r="BE1399" s="18"/>
      <c r="BL1399" s="18"/>
      <c r="BO1399" s="18"/>
      <c r="BZ1399" s="18"/>
      <c r="CD1399" s="18"/>
      <c r="CI1399" s="18"/>
      <c r="CT1399" s="18"/>
      <c r="CZ1399" s="34" t="s">
        <v>87</v>
      </c>
    </row>
    <row r="1400" spans="4:104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L1400" s="30"/>
      <c r="AM1400" s="21"/>
      <c r="AN1400" s="23"/>
      <c r="AX1400" s="40"/>
      <c r="AZ1400" s="40"/>
      <c r="BB1400" s="18"/>
      <c r="BD1400" s="18"/>
      <c r="BE1400" s="18"/>
      <c r="BL1400" s="18"/>
      <c r="BO1400" s="18"/>
      <c r="BZ1400" s="18"/>
      <c r="CD1400" s="18"/>
      <c r="CI1400" s="18"/>
      <c r="CT1400" s="18"/>
      <c r="CZ1400" s="34" t="s">
        <v>87</v>
      </c>
    </row>
    <row r="1401" spans="4:104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L1401" s="30"/>
      <c r="AM1401" s="21"/>
      <c r="AN1401" s="23"/>
      <c r="AX1401" s="40"/>
      <c r="AZ1401" s="40"/>
      <c r="BB1401" s="18"/>
      <c r="BD1401" s="18"/>
      <c r="BE1401" s="18"/>
      <c r="BL1401" s="18"/>
      <c r="BO1401" s="18"/>
      <c r="BZ1401" s="18"/>
      <c r="CD1401" s="18"/>
      <c r="CI1401" s="18"/>
      <c r="CT1401" s="18"/>
      <c r="CZ1401" s="34" t="s">
        <v>87</v>
      </c>
    </row>
    <row r="1402" spans="4:104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L1402" s="30"/>
      <c r="AM1402" s="21"/>
      <c r="AN1402" s="23"/>
      <c r="AX1402" s="40"/>
      <c r="AZ1402" s="40"/>
      <c r="BB1402" s="18"/>
      <c r="BD1402" s="18"/>
      <c r="BE1402" s="18"/>
      <c r="BL1402" s="18"/>
      <c r="BO1402" s="18"/>
      <c r="BZ1402" s="18"/>
      <c r="CD1402" s="18"/>
      <c r="CI1402" s="18"/>
      <c r="CT1402" s="18"/>
      <c r="CZ1402" s="34" t="s">
        <v>87</v>
      </c>
    </row>
    <row r="1403" spans="4:104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L1403" s="30"/>
      <c r="AM1403" s="21"/>
      <c r="AN1403" s="23"/>
      <c r="AX1403" s="40"/>
      <c r="AZ1403" s="40"/>
      <c r="BB1403" s="18"/>
      <c r="BD1403" s="18"/>
      <c r="BE1403" s="18"/>
      <c r="BL1403" s="18"/>
      <c r="BO1403" s="18"/>
      <c r="BZ1403" s="18"/>
      <c r="CD1403" s="18"/>
      <c r="CI1403" s="18"/>
      <c r="CT1403" s="18"/>
      <c r="CZ1403" s="34" t="s">
        <v>87</v>
      </c>
    </row>
    <row r="1404" spans="4:104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L1404" s="30"/>
      <c r="AM1404" s="21"/>
      <c r="AN1404" s="23"/>
      <c r="AX1404" s="40"/>
      <c r="AZ1404" s="40"/>
      <c r="BB1404" s="18"/>
      <c r="BD1404" s="18"/>
      <c r="BE1404" s="18"/>
      <c r="BL1404" s="18"/>
      <c r="BO1404" s="18"/>
      <c r="BZ1404" s="18"/>
      <c r="CD1404" s="18"/>
      <c r="CI1404" s="18"/>
      <c r="CT1404" s="18"/>
      <c r="CZ1404" s="34" t="s">
        <v>87</v>
      </c>
    </row>
    <row r="1405" spans="4:104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L1405" s="30"/>
      <c r="AM1405" s="21"/>
      <c r="AN1405" s="23"/>
      <c r="AX1405" s="40"/>
      <c r="AZ1405" s="40"/>
      <c r="BB1405" s="18"/>
      <c r="BD1405" s="18"/>
      <c r="BE1405" s="18"/>
      <c r="BL1405" s="18"/>
      <c r="BO1405" s="18"/>
      <c r="BZ1405" s="18"/>
      <c r="CD1405" s="18"/>
      <c r="CI1405" s="18"/>
      <c r="CT1405" s="18"/>
      <c r="CZ1405" s="34" t="s">
        <v>87</v>
      </c>
    </row>
    <row r="1406" spans="4:104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L1406" s="30"/>
      <c r="AM1406" s="21"/>
      <c r="AN1406" s="23"/>
      <c r="AX1406" s="40"/>
      <c r="AZ1406" s="40"/>
      <c r="BB1406" s="18"/>
      <c r="BD1406" s="18"/>
      <c r="BE1406" s="18"/>
      <c r="BL1406" s="18"/>
      <c r="BO1406" s="18"/>
      <c r="BZ1406" s="18"/>
      <c r="CD1406" s="18"/>
      <c r="CI1406" s="18"/>
      <c r="CT1406" s="18"/>
      <c r="CZ1406" s="34" t="s">
        <v>87</v>
      </c>
    </row>
    <row r="1407" spans="4:104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L1407" s="30"/>
      <c r="AM1407" s="21"/>
      <c r="AN1407" s="23"/>
      <c r="AX1407" s="40"/>
      <c r="AZ1407" s="40"/>
      <c r="BB1407" s="18"/>
      <c r="BD1407" s="18"/>
      <c r="BE1407" s="18"/>
      <c r="BL1407" s="18"/>
      <c r="BO1407" s="18"/>
      <c r="BZ1407" s="18"/>
      <c r="CD1407" s="18"/>
      <c r="CI1407" s="18"/>
      <c r="CT1407" s="18"/>
      <c r="CZ1407" s="34" t="s">
        <v>87</v>
      </c>
    </row>
    <row r="1408" spans="4:104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L1408" s="30"/>
      <c r="AM1408" s="21"/>
      <c r="AN1408" s="23"/>
      <c r="AX1408" s="40"/>
      <c r="AZ1408" s="40"/>
      <c r="BB1408" s="18"/>
      <c r="BD1408" s="18"/>
      <c r="BE1408" s="18"/>
      <c r="BL1408" s="18"/>
      <c r="BO1408" s="18"/>
      <c r="BZ1408" s="18"/>
      <c r="CD1408" s="18"/>
      <c r="CI1408" s="18"/>
      <c r="CT1408" s="18"/>
      <c r="CZ1408" s="34" t="s">
        <v>87</v>
      </c>
    </row>
    <row r="1409" spans="4:104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L1409" s="30"/>
      <c r="AM1409" s="21"/>
      <c r="AN1409" s="23"/>
      <c r="AX1409" s="40"/>
      <c r="AZ1409" s="40"/>
      <c r="BB1409" s="18"/>
      <c r="BD1409" s="18"/>
      <c r="BE1409" s="18"/>
      <c r="BL1409" s="18"/>
      <c r="BO1409" s="18"/>
      <c r="BZ1409" s="18"/>
      <c r="CD1409" s="18"/>
      <c r="CI1409" s="18"/>
      <c r="CT1409" s="18"/>
      <c r="CZ1409" s="34" t="s">
        <v>87</v>
      </c>
    </row>
    <row r="1410" spans="4:104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L1410" s="30"/>
      <c r="AM1410" s="21"/>
      <c r="AN1410" s="23"/>
      <c r="AX1410" s="40"/>
      <c r="AZ1410" s="40"/>
      <c r="BB1410" s="18"/>
      <c r="BD1410" s="18"/>
      <c r="BE1410" s="18"/>
      <c r="BL1410" s="18"/>
      <c r="BO1410" s="18"/>
      <c r="BZ1410" s="18"/>
      <c r="CD1410" s="18"/>
      <c r="CI1410" s="18"/>
      <c r="CT1410" s="18"/>
      <c r="CZ1410" s="34" t="s">
        <v>87</v>
      </c>
    </row>
    <row r="1411" spans="4:104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L1411" s="30"/>
      <c r="AM1411" s="21"/>
      <c r="AN1411" s="23"/>
      <c r="AX1411" s="40"/>
      <c r="AZ1411" s="40"/>
      <c r="BB1411" s="18"/>
      <c r="BD1411" s="18"/>
      <c r="BE1411" s="18"/>
      <c r="BL1411" s="18"/>
      <c r="BO1411" s="18"/>
      <c r="BZ1411" s="18"/>
      <c r="CD1411" s="18"/>
      <c r="CI1411" s="18"/>
      <c r="CT1411" s="18"/>
      <c r="CZ1411" s="34" t="s">
        <v>87</v>
      </c>
    </row>
    <row r="1412" spans="4:104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L1412" s="30"/>
      <c r="AM1412" s="21"/>
      <c r="AN1412" s="23"/>
      <c r="AX1412" s="40"/>
      <c r="AZ1412" s="40"/>
      <c r="BB1412" s="18"/>
      <c r="BD1412" s="18"/>
      <c r="BE1412" s="18"/>
      <c r="BL1412" s="18"/>
      <c r="BO1412" s="18"/>
      <c r="BZ1412" s="18"/>
      <c r="CD1412" s="18"/>
      <c r="CI1412" s="18"/>
      <c r="CT1412" s="18"/>
      <c r="CZ1412" s="34" t="s">
        <v>87</v>
      </c>
    </row>
    <row r="1413" spans="4:104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L1413" s="30"/>
      <c r="AM1413" s="21"/>
      <c r="AN1413" s="23"/>
      <c r="AX1413" s="40"/>
      <c r="AZ1413" s="40"/>
      <c r="BB1413" s="18"/>
      <c r="BD1413" s="18"/>
      <c r="BE1413" s="18"/>
      <c r="BL1413" s="18"/>
      <c r="BO1413" s="18"/>
      <c r="BZ1413" s="18"/>
      <c r="CD1413" s="18"/>
      <c r="CI1413" s="18"/>
      <c r="CT1413" s="18"/>
      <c r="CZ1413" s="34" t="s">
        <v>87</v>
      </c>
    </row>
    <row r="1414" spans="4:104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L1414" s="30"/>
      <c r="AM1414" s="21"/>
      <c r="AN1414" s="23"/>
      <c r="AX1414" s="40"/>
      <c r="AZ1414" s="40"/>
      <c r="BB1414" s="18"/>
      <c r="BD1414" s="18"/>
      <c r="BE1414" s="18"/>
      <c r="BL1414" s="18"/>
      <c r="BO1414" s="18"/>
      <c r="BZ1414" s="18"/>
      <c r="CD1414" s="18"/>
      <c r="CI1414" s="18"/>
      <c r="CT1414" s="18"/>
      <c r="CZ1414" s="34" t="s">
        <v>87</v>
      </c>
    </row>
    <row r="1415" spans="4:104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L1415" s="30"/>
      <c r="AM1415" s="21"/>
      <c r="AN1415" s="23"/>
      <c r="AX1415" s="40"/>
      <c r="AZ1415" s="40"/>
      <c r="BB1415" s="18"/>
      <c r="BD1415" s="18"/>
      <c r="BE1415" s="18"/>
      <c r="BL1415" s="18"/>
      <c r="BO1415" s="18"/>
      <c r="BZ1415" s="18"/>
      <c r="CD1415" s="18"/>
      <c r="CI1415" s="18"/>
      <c r="CT1415" s="18"/>
      <c r="CZ1415" s="34" t="s">
        <v>87</v>
      </c>
    </row>
    <row r="1416" spans="4:104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L1416" s="30"/>
      <c r="AM1416" s="21"/>
      <c r="AN1416" s="23"/>
      <c r="AX1416" s="40"/>
      <c r="AZ1416" s="40"/>
      <c r="BB1416" s="18"/>
      <c r="BD1416" s="18"/>
      <c r="BE1416" s="18"/>
      <c r="BL1416" s="18"/>
      <c r="BO1416" s="18"/>
      <c r="BZ1416" s="18"/>
      <c r="CD1416" s="18"/>
      <c r="CI1416" s="18"/>
      <c r="CT1416" s="18"/>
      <c r="CZ1416" s="34" t="s">
        <v>87</v>
      </c>
    </row>
    <row r="1417" spans="4:104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L1417" s="30"/>
      <c r="AM1417" s="21"/>
      <c r="AN1417" s="23"/>
      <c r="AX1417" s="40"/>
      <c r="AZ1417" s="40"/>
      <c r="BB1417" s="18"/>
      <c r="BD1417" s="18"/>
      <c r="BE1417" s="18"/>
      <c r="BL1417" s="18"/>
      <c r="BO1417" s="18"/>
      <c r="BZ1417" s="18"/>
      <c r="CD1417" s="18"/>
      <c r="CI1417" s="18"/>
      <c r="CT1417" s="18"/>
      <c r="CZ1417" s="34" t="s">
        <v>87</v>
      </c>
    </row>
    <row r="1418" spans="4:104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L1418" s="30"/>
      <c r="AM1418" s="21"/>
      <c r="AN1418" s="23"/>
      <c r="AX1418" s="40"/>
      <c r="AZ1418" s="40"/>
      <c r="BB1418" s="18"/>
      <c r="BD1418" s="18"/>
      <c r="BE1418" s="18"/>
      <c r="BL1418" s="18"/>
      <c r="BO1418" s="18"/>
      <c r="BZ1418" s="18"/>
      <c r="CD1418" s="18"/>
      <c r="CI1418" s="18"/>
      <c r="CT1418" s="18"/>
      <c r="CZ1418" s="34" t="s">
        <v>87</v>
      </c>
    </row>
    <row r="1419" spans="4:104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L1419" s="30"/>
      <c r="AM1419" s="21"/>
      <c r="AN1419" s="23"/>
      <c r="AX1419" s="40"/>
      <c r="AZ1419" s="40"/>
      <c r="BB1419" s="18"/>
      <c r="BD1419" s="18"/>
      <c r="BE1419" s="18"/>
      <c r="BL1419" s="18"/>
      <c r="BO1419" s="18"/>
      <c r="BZ1419" s="18"/>
      <c r="CD1419" s="18"/>
      <c r="CI1419" s="18"/>
      <c r="CT1419" s="18"/>
      <c r="CZ1419" s="34" t="s">
        <v>87</v>
      </c>
    </row>
    <row r="1420" spans="4:104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L1420" s="30"/>
      <c r="AM1420" s="21"/>
      <c r="AN1420" s="23"/>
      <c r="AX1420" s="40"/>
      <c r="AZ1420" s="40"/>
      <c r="BB1420" s="18"/>
      <c r="BD1420" s="18"/>
      <c r="BE1420" s="18"/>
      <c r="BL1420" s="18"/>
      <c r="BO1420" s="18"/>
      <c r="BZ1420" s="18"/>
      <c r="CD1420" s="18"/>
      <c r="CI1420" s="18"/>
      <c r="CT1420" s="18"/>
      <c r="CZ1420" s="34" t="s">
        <v>87</v>
      </c>
    </row>
    <row r="1421" spans="4:104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L1421" s="30"/>
      <c r="AM1421" s="21"/>
      <c r="AN1421" s="23"/>
      <c r="AX1421" s="40"/>
      <c r="AZ1421" s="40"/>
      <c r="BB1421" s="18"/>
      <c r="BD1421" s="18"/>
      <c r="BE1421" s="18"/>
      <c r="BL1421" s="18"/>
      <c r="BO1421" s="18"/>
      <c r="BZ1421" s="18"/>
      <c r="CD1421" s="18"/>
      <c r="CI1421" s="18"/>
      <c r="CT1421" s="18"/>
      <c r="CZ1421" s="34" t="s">
        <v>87</v>
      </c>
    </row>
    <row r="1422" spans="4:104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L1422" s="30"/>
      <c r="AM1422" s="21"/>
      <c r="AN1422" s="23"/>
      <c r="AX1422" s="40"/>
      <c r="AZ1422" s="40"/>
      <c r="BB1422" s="18"/>
      <c r="BD1422" s="18"/>
      <c r="BE1422" s="18"/>
      <c r="BL1422" s="18"/>
      <c r="BO1422" s="18"/>
      <c r="BZ1422" s="18"/>
      <c r="CD1422" s="18"/>
      <c r="CI1422" s="18"/>
      <c r="CT1422" s="18"/>
      <c r="CZ1422" s="34" t="s">
        <v>87</v>
      </c>
    </row>
    <row r="1423" spans="4:104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L1423" s="30"/>
      <c r="AM1423" s="21"/>
      <c r="AN1423" s="23"/>
      <c r="AX1423" s="40"/>
      <c r="AZ1423" s="40"/>
      <c r="BB1423" s="18"/>
      <c r="BD1423" s="18"/>
      <c r="BE1423" s="18"/>
      <c r="BL1423" s="18"/>
      <c r="BO1423" s="18"/>
      <c r="BZ1423" s="18"/>
      <c r="CD1423" s="18"/>
      <c r="CI1423" s="18"/>
      <c r="CT1423" s="18"/>
      <c r="CZ1423" s="34" t="s">
        <v>87</v>
      </c>
    </row>
    <row r="1424" spans="4:104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L1424" s="30"/>
      <c r="AM1424" s="21"/>
      <c r="AN1424" s="23"/>
      <c r="AX1424" s="40"/>
      <c r="AZ1424" s="40"/>
      <c r="BB1424" s="18"/>
      <c r="BD1424" s="18"/>
      <c r="BE1424" s="18"/>
      <c r="BL1424" s="18"/>
      <c r="BO1424" s="18"/>
      <c r="BZ1424" s="18"/>
      <c r="CD1424" s="18"/>
      <c r="CI1424" s="18"/>
      <c r="CT1424" s="18"/>
      <c r="CZ1424" s="34" t="s">
        <v>87</v>
      </c>
    </row>
    <row r="1425" spans="4:104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L1425" s="30"/>
      <c r="AM1425" s="21"/>
      <c r="AN1425" s="23"/>
      <c r="AX1425" s="40"/>
      <c r="AZ1425" s="40"/>
      <c r="BB1425" s="18"/>
      <c r="BD1425" s="18"/>
      <c r="BE1425" s="18"/>
      <c r="BL1425" s="18"/>
      <c r="BO1425" s="18"/>
      <c r="BZ1425" s="18"/>
      <c r="CD1425" s="18"/>
      <c r="CI1425" s="18"/>
      <c r="CT1425" s="18"/>
      <c r="CZ1425" s="34" t="s">
        <v>87</v>
      </c>
    </row>
    <row r="1426" spans="4:104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L1426" s="30"/>
      <c r="AM1426" s="21"/>
      <c r="AN1426" s="23"/>
      <c r="AX1426" s="40"/>
      <c r="AZ1426" s="40"/>
      <c r="BB1426" s="18"/>
      <c r="BD1426" s="18"/>
      <c r="BE1426" s="18"/>
      <c r="BL1426" s="18"/>
      <c r="BO1426" s="18"/>
      <c r="BZ1426" s="18"/>
      <c r="CD1426" s="18"/>
      <c r="CI1426" s="18"/>
      <c r="CT1426" s="18"/>
      <c r="CZ1426" s="34" t="s">
        <v>87</v>
      </c>
    </row>
    <row r="1427" spans="4:104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L1427" s="30"/>
      <c r="AM1427" s="21"/>
      <c r="AN1427" s="23"/>
      <c r="AX1427" s="40"/>
      <c r="AZ1427" s="40"/>
      <c r="BB1427" s="18"/>
      <c r="BD1427" s="18"/>
      <c r="BE1427" s="18"/>
      <c r="BL1427" s="18"/>
      <c r="BO1427" s="18"/>
      <c r="BZ1427" s="18"/>
      <c r="CD1427" s="18"/>
      <c r="CI1427" s="18"/>
      <c r="CT1427" s="18"/>
      <c r="CZ1427" s="34" t="s">
        <v>87</v>
      </c>
    </row>
    <row r="1428" spans="4:104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L1428" s="30"/>
      <c r="AM1428" s="21"/>
      <c r="AN1428" s="23"/>
      <c r="AX1428" s="40"/>
      <c r="AZ1428" s="40"/>
      <c r="BB1428" s="18"/>
      <c r="BD1428" s="18"/>
      <c r="BE1428" s="18"/>
      <c r="BL1428" s="18"/>
      <c r="BO1428" s="18"/>
      <c r="BZ1428" s="18"/>
      <c r="CD1428" s="18"/>
      <c r="CI1428" s="18"/>
      <c r="CT1428" s="18"/>
      <c r="CZ1428" s="34" t="s">
        <v>87</v>
      </c>
    </row>
    <row r="1429" spans="4:104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L1429" s="30"/>
      <c r="AM1429" s="21"/>
      <c r="AN1429" s="23"/>
      <c r="AX1429" s="40"/>
      <c r="AZ1429" s="40"/>
      <c r="BB1429" s="18"/>
      <c r="BD1429" s="18"/>
      <c r="BE1429" s="18"/>
      <c r="BL1429" s="18"/>
      <c r="BO1429" s="18"/>
      <c r="BZ1429" s="18"/>
      <c r="CD1429" s="18"/>
      <c r="CI1429" s="18"/>
      <c r="CT1429" s="18"/>
      <c r="CZ1429" s="34" t="s">
        <v>87</v>
      </c>
    </row>
    <row r="1430" spans="4:104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L1430" s="30"/>
      <c r="AM1430" s="21"/>
      <c r="AN1430" s="23"/>
      <c r="AX1430" s="40"/>
      <c r="AZ1430" s="40"/>
      <c r="BB1430" s="18"/>
      <c r="BD1430" s="18"/>
      <c r="BE1430" s="18"/>
      <c r="BL1430" s="18"/>
      <c r="BO1430" s="18"/>
      <c r="BZ1430" s="18"/>
      <c r="CD1430" s="18"/>
      <c r="CI1430" s="18"/>
      <c r="CT1430" s="18"/>
      <c r="CZ1430" s="34" t="s">
        <v>87</v>
      </c>
    </row>
    <row r="1431" spans="4:104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L1431" s="30"/>
      <c r="AM1431" s="21"/>
      <c r="AN1431" s="23"/>
      <c r="AX1431" s="40"/>
      <c r="AZ1431" s="40"/>
      <c r="BB1431" s="18"/>
      <c r="BD1431" s="18"/>
      <c r="BE1431" s="18"/>
      <c r="BL1431" s="18"/>
      <c r="BO1431" s="18"/>
      <c r="BZ1431" s="18"/>
      <c r="CD1431" s="18"/>
      <c r="CI1431" s="18"/>
      <c r="CT1431" s="18"/>
      <c r="CZ1431" s="34" t="s">
        <v>87</v>
      </c>
    </row>
    <row r="1432" spans="4:104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L1432" s="30"/>
      <c r="AM1432" s="21"/>
      <c r="AN1432" s="23"/>
      <c r="AX1432" s="40"/>
      <c r="AZ1432" s="40"/>
      <c r="BB1432" s="18"/>
      <c r="BD1432" s="18"/>
      <c r="BE1432" s="18"/>
      <c r="BL1432" s="18"/>
      <c r="BO1432" s="18"/>
      <c r="BZ1432" s="18"/>
      <c r="CD1432" s="18"/>
      <c r="CI1432" s="18"/>
      <c r="CT1432" s="18"/>
      <c r="CZ1432" s="34" t="s">
        <v>87</v>
      </c>
    </row>
    <row r="1433" spans="4:104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L1433" s="30"/>
      <c r="AM1433" s="21"/>
      <c r="AN1433" s="23"/>
      <c r="AX1433" s="40"/>
      <c r="AZ1433" s="40"/>
      <c r="BB1433" s="18"/>
      <c r="BD1433" s="18"/>
      <c r="BE1433" s="18"/>
      <c r="BL1433" s="18"/>
      <c r="BO1433" s="18"/>
      <c r="BZ1433" s="18"/>
      <c r="CD1433" s="18"/>
      <c r="CI1433" s="18"/>
      <c r="CT1433" s="18"/>
      <c r="CZ1433" s="34" t="s">
        <v>87</v>
      </c>
    </row>
    <row r="1434" spans="4:104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L1434" s="30"/>
      <c r="AM1434" s="21"/>
      <c r="AN1434" s="23"/>
      <c r="AX1434" s="40"/>
      <c r="AZ1434" s="40"/>
      <c r="BB1434" s="18"/>
      <c r="BD1434" s="18"/>
      <c r="BE1434" s="18"/>
      <c r="BL1434" s="18"/>
      <c r="BO1434" s="18"/>
      <c r="BZ1434" s="18"/>
      <c r="CD1434" s="18"/>
      <c r="CI1434" s="18"/>
      <c r="CT1434" s="18"/>
      <c r="CZ1434" s="34" t="s">
        <v>87</v>
      </c>
    </row>
    <row r="1435" spans="4:104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L1435" s="30"/>
      <c r="AM1435" s="21"/>
      <c r="AN1435" s="23"/>
      <c r="AX1435" s="40"/>
      <c r="AZ1435" s="40"/>
      <c r="BB1435" s="18"/>
      <c r="BD1435" s="18"/>
      <c r="BE1435" s="18"/>
      <c r="BL1435" s="18"/>
      <c r="BO1435" s="18"/>
      <c r="BZ1435" s="18"/>
      <c r="CD1435" s="18"/>
      <c r="CI1435" s="18"/>
      <c r="CT1435" s="18"/>
      <c r="CZ1435" s="34" t="s">
        <v>87</v>
      </c>
    </row>
    <row r="1436" spans="4:104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L1436" s="30"/>
      <c r="AM1436" s="21"/>
      <c r="AN1436" s="23"/>
      <c r="AX1436" s="40"/>
      <c r="AZ1436" s="40"/>
      <c r="BB1436" s="18"/>
      <c r="BD1436" s="18"/>
      <c r="BE1436" s="18"/>
      <c r="BL1436" s="18"/>
      <c r="BO1436" s="18"/>
      <c r="BZ1436" s="18"/>
      <c r="CD1436" s="18"/>
      <c r="CI1436" s="18"/>
      <c r="CT1436" s="18"/>
      <c r="CZ1436" s="34" t="s">
        <v>87</v>
      </c>
    </row>
    <row r="1437" spans="4:104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L1437" s="30"/>
      <c r="AM1437" s="21"/>
      <c r="AN1437" s="23"/>
      <c r="AX1437" s="40"/>
      <c r="AZ1437" s="40"/>
      <c r="BB1437" s="18"/>
      <c r="BD1437" s="18"/>
      <c r="BE1437" s="18"/>
      <c r="BL1437" s="18"/>
      <c r="BO1437" s="18"/>
      <c r="BZ1437" s="18"/>
      <c r="CD1437" s="18"/>
      <c r="CI1437" s="18"/>
      <c r="CT1437" s="18"/>
      <c r="CZ1437" s="34" t="s">
        <v>87</v>
      </c>
    </row>
    <row r="1438" spans="4:104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L1438" s="30"/>
      <c r="AM1438" s="21"/>
      <c r="AN1438" s="23"/>
      <c r="AX1438" s="40"/>
      <c r="AZ1438" s="40"/>
      <c r="BB1438" s="18"/>
      <c r="BD1438" s="18"/>
      <c r="BE1438" s="18"/>
      <c r="BL1438" s="18"/>
      <c r="BO1438" s="18"/>
      <c r="BZ1438" s="18"/>
      <c r="CD1438" s="18"/>
      <c r="CI1438" s="18"/>
      <c r="CT1438" s="18"/>
      <c r="CZ1438" s="34" t="s">
        <v>87</v>
      </c>
    </row>
    <row r="1439" spans="4:104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L1439" s="30"/>
      <c r="AM1439" s="21"/>
      <c r="AN1439" s="23"/>
      <c r="AX1439" s="40"/>
      <c r="AZ1439" s="40"/>
      <c r="BB1439" s="18"/>
      <c r="BD1439" s="18"/>
      <c r="BE1439" s="18"/>
      <c r="BL1439" s="18"/>
      <c r="BO1439" s="18"/>
      <c r="BZ1439" s="18"/>
      <c r="CD1439" s="18"/>
      <c r="CI1439" s="18"/>
      <c r="CT1439" s="18"/>
      <c r="CZ1439" s="34" t="s">
        <v>87</v>
      </c>
    </row>
    <row r="1440" spans="4:104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L1440" s="30"/>
      <c r="AM1440" s="21"/>
      <c r="AN1440" s="23"/>
      <c r="AX1440" s="40"/>
      <c r="AZ1440" s="40"/>
      <c r="BB1440" s="18"/>
      <c r="BD1440" s="18"/>
      <c r="BE1440" s="18"/>
      <c r="BL1440" s="18"/>
      <c r="BO1440" s="18"/>
      <c r="BZ1440" s="18"/>
      <c r="CD1440" s="18"/>
      <c r="CI1440" s="18"/>
      <c r="CT1440" s="18"/>
      <c r="CZ1440" s="34" t="s">
        <v>87</v>
      </c>
    </row>
    <row r="1441" spans="4:104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L1441" s="30"/>
      <c r="AM1441" s="21"/>
      <c r="AN1441" s="23"/>
      <c r="AX1441" s="40"/>
      <c r="AZ1441" s="40"/>
      <c r="BB1441" s="18"/>
      <c r="BD1441" s="18"/>
      <c r="BE1441" s="18"/>
      <c r="BL1441" s="18"/>
      <c r="BO1441" s="18"/>
      <c r="BZ1441" s="18"/>
      <c r="CD1441" s="18"/>
      <c r="CI1441" s="18"/>
      <c r="CT1441" s="18"/>
      <c r="CZ1441" s="34" t="s">
        <v>87</v>
      </c>
    </row>
    <row r="1442" spans="4:104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L1442" s="30"/>
      <c r="AM1442" s="21"/>
      <c r="AN1442" s="23"/>
      <c r="AX1442" s="40"/>
      <c r="AZ1442" s="40"/>
      <c r="BB1442" s="18"/>
      <c r="BD1442" s="18"/>
      <c r="BE1442" s="18"/>
      <c r="BL1442" s="18"/>
      <c r="BO1442" s="18"/>
      <c r="BZ1442" s="18"/>
      <c r="CD1442" s="18"/>
      <c r="CI1442" s="18"/>
      <c r="CT1442" s="18"/>
      <c r="CZ1442" s="34" t="s">
        <v>87</v>
      </c>
    </row>
    <row r="1443" spans="4:104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L1443" s="30"/>
      <c r="AM1443" s="21"/>
      <c r="AN1443" s="23"/>
      <c r="AX1443" s="40"/>
      <c r="AZ1443" s="40"/>
      <c r="BB1443" s="18"/>
      <c r="BD1443" s="18"/>
      <c r="BE1443" s="18"/>
      <c r="BL1443" s="18"/>
      <c r="BO1443" s="18"/>
      <c r="BZ1443" s="18"/>
      <c r="CD1443" s="18"/>
      <c r="CI1443" s="18"/>
      <c r="CT1443" s="18"/>
      <c r="CZ1443" s="34" t="s">
        <v>87</v>
      </c>
    </row>
    <row r="1444" spans="4:104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L1444" s="30"/>
      <c r="AM1444" s="21"/>
      <c r="AN1444" s="23"/>
      <c r="AX1444" s="40"/>
      <c r="AZ1444" s="40"/>
      <c r="BB1444" s="18"/>
      <c r="BD1444" s="18"/>
      <c r="BE1444" s="18"/>
      <c r="BL1444" s="18"/>
      <c r="BO1444" s="18"/>
      <c r="BZ1444" s="18"/>
      <c r="CD1444" s="18"/>
      <c r="CI1444" s="18"/>
      <c r="CT1444" s="18"/>
      <c r="CZ1444" s="34" t="s">
        <v>87</v>
      </c>
    </row>
    <row r="1445" spans="4:104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L1445" s="30"/>
      <c r="AM1445" s="21"/>
      <c r="AN1445" s="23"/>
      <c r="AX1445" s="40"/>
      <c r="AZ1445" s="40"/>
      <c r="BB1445" s="18"/>
      <c r="BD1445" s="18"/>
      <c r="BE1445" s="18"/>
      <c r="BL1445" s="18"/>
      <c r="BO1445" s="18"/>
      <c r="BZ1445" s="18"/>
      <c r="CD1445" s="18"/>
      <c r="CI1445" s="18"/>
      <c r="CT1445" s="18"/>
      <c r="CZ1445" s="34" t="s">
        <v>87</v>
      </c>
    </row>
    <row r="1446" spans="4:104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L1446" s="30"/>
      <c r="AM1446" s="21"/>
      <c r="AN1446" s="23"/>
      <c r="AX1446" s="40"/>
      <c r="AZ1446" s="40"/>
      <c r="BB1446" s="18"/>
      <c r="BD1446" s="18"/>
      <c r="BE1446" s="18"/>
      <c r="BL1446" s="18"/>
      <c r="BO1446" s="18"/>
      <c r="BZ1446" s="18"/>
      <c r="CD1446" s="18"/>
      <c r="CI1446" s="18"/>
      <c r="CT1446" s="18"/>
      <c r="CZ1446" s="34" t="s">
        <v>87</v>
      </c>
    </row>
    <row r="1447" spans="4:104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L1447" s="30"/>
      <c r="AM1447" s="21"/>
      <c r="AN1447" s="23"/>
      <c r="AX1447" s="40"/>
      <c r="AZ1447" s="40"/>
      <c r="BB1447" s="18"/>
      <c r="BD1447" s="18"/>
      <c r="BE1447" s="18"/>
      <c r="BL1447" s="18"/>
      <c r="BO1447" s="18"/>
      <c r="BZ1447" s="18"/>
      <c r="CD1447" s="18"/>
      <c r="CI1447" s="18"/>
      <c r="CT1447" s="18"/>
      <c r="CZ1447" s="34" t="s">
        <v>87</v>
      </c>
    </row>
    <row r="1448" spans="4:104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L1448" s="30"/>
      <c r="AM1448" s="21"/>
      <c r="AN1448" s="23"/>
      <c r="AX1448" s="40"/>
      <c r="AZ1448" s="40"/>
      <c r="BB1448" s="18"/>
      <c r="BD1448" s="18"/>
      <c r="BE1448" s="18"/>
      <c r="BL1448" s="18"/>
      <c r="BO1448" s="18"/>
      <c r="BZ1448" s="18"/>
      <c r="CD1448" s="18"/>
      <c r="CI1448" s="18"/>
      <c r="CT1448" s="18"/>
      <c r="CZ1448" s="34" t="s">
        <v>87</v>
      </c>
    </row>
    <row r="1449" spans="4:104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L1449" s="30"/>
      <c r="AM1449" s="21"/>
      <c r="AN1449" s="23"/>
      <c r="AX1449" s="40"/>
      <c r="AZ1449" s="40"/>
      <c r="BB1449" s="18"/>
      <c r="BD1449" s="18"/>
      <c r="BE1449" s="18"/>
      <c r="BL1449" s="18"/>
      <c r="BO1449" s="18"/>
      <c r="BZ1449" s="18"/>
      <c r="CD1449" s="18"/>
      <c r="CI1449" s="18"/>
      <c r="CT1449" s="18"/>
      <c r="CZ1449" s="34" t="s">
        <v>87</v>
      </c>
    </row>
    <row r="1450" spans="4:104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L1450" s="30"/>
      <c r="AM1450" s="21"/>
      <c r="AN1450" s="23"/>
      <c r="AX1450" s="40"/>
      <c r="AZ1450" s="40"/>
      <c r="BB1450" s="18"/>
      <c r="BD1450" s="18"/>
      <c r="BE1450" s="18"/>
      <c r="BL1450" s="18"/>
      <c r="BO1450" s="18"/>
      <c r="BZ1450" s="18"/>
      <c r="CD1450" s="18"/>
      <c r="CI1450" s="18"/>
      <c r="CT1450" s="18"/>
      <c r="CZ1450" s="34" t="s">
        <v>87</v>
      </c>
    </row>
    <row r="1451" spans="4:104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L1451" s="30"/>
      <c r="AM1451" s="21"/>
      <c r="AN1451" s="23"/>
      <c r="AX1451" s="40"/>
      <c r="AZ1451" s="40"/>
      <c r="BB1451" s="18"/>
      <c r="BD1451" s="18"/>
      <c r="BE1451" s="18"/>
      <c r="BL1451" s="18"/>
      <c r="BO1451" s="18"/>
      <c r="BZ1451" s="18"/>
      <c r="CD1451" s="18"/>
      <c r="CI1451" s="18"/>
      <c r="CT1451" s="18"/>
      <c r="CZ1451" s="34" t="s">
        <v>87</v>
      </c>
    </row>
    <row r="1452" spans="4:104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L1452" s="30"/>
      <c r="AM1452" s="21"/>
      <c r="AN1452" s="23"/>
      <c r="AX1452" s="40"/>
      <c r="AZ1452" s="40"/>
      <c r="BB1452" s="18"/>
      <c r="BD1452" s="18"/>
      <c r="BE1452" s="18"/>
      <c r="BL1452" s="18"/>
      <c r="BO1452" s="18"/>
      <c r="BZ1452" s="18"/>
      <c r="CD1452" s="18"/>
      <c r="CI1452" s="18"/>
      <c r="CT1452" s="18"/>
      <c r="CZ1452" s="34" t="s">
        <v>87</v>
      </c>
    </row>
    <row r="1453" spans="4:104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L1453" s="30"/>
      <c r="AM1453" s="21"/>
      <c r="AN1453" s="23"/>
      <c r="AX1453" s="40"/>
      <c r="AZ1453" s="40"/>
      <c r="BB1453" s="18"/>
      <c r="BD1453" s="18"/>
      <c r="BE1453" s="18"/>
      <c r="BL1453" s="18"/>
      <c r="BO1453" s="18"/>
      <c r="BZ1453" s="18"/>
      <c r="CD1453" s="18"/>
      <c r="CI1453" s="18"/>
      <c r="CT1453" s="18"/>
      <c r="CZ1453" s="34" t="s">
        <v>87</v>
      </c>
    </row>
    <row r="1454" spans="4:104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L1454" s="30"/>
      <c r="AM1454" s="21"/>
      <c r="AN1454" s="23"/>
      <c r="AX1454" s="40"/>
      <c r="AZ1454" s="40"/>
      <c r="BB1454" s="18"/>
      <c r="BD1454" s="18"/>
      <c r="BE1454" s="18"/>
      <c r="BL1454" s="18"/>
      <c r="BO1454" s="18"/>
      <c r="BZ1454" s="18"/>
      <c r="CD1454" s="18"/>
      <c r="CI1454" s="18"/>
      <c r="CT1454" s="18"/>
      <c r="CZ1454" s="34" t="s">
        <v>87</v>
      </c>
    </row>
    <row r="1455" spans="4:104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L1455" s="30"/>
      <c r="AM1455" s="21"/>
      <c r="AN1455" s="23"/>
      <c r="AX1455" s="40"/>
      <c r="AZ1455" s="40"/>
      <c r="BB1455" s="18"/>
      <c r="BD1455" s="18"/>
      <c r="BE1455" s="18"/>
      <c r="BL1455" s="18"/>
      <c r="BO1455" s="18"/>
      <c r="BZ1455" s="18"/>
      <c r="CD1455" s="18"/>
      <c r="CI1455" s="18"/>
      <c r="CT1455" s="18"/>
      <c r="CZ1455" s="34" t="s">
        <v>87</v>
      </c>
    </row>
    <row r="1456" spans="4:104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L1456" s="30"/>
      <c r="AM1456" s="21"/>
      <c r="AN1456" s="23"/>
      <c r="AX1456" s="40"/>
      <c r="AZ1456" s="40"/>
      <c r="BB1456" s="18"/>
      <c r="BD1456" s="18"/>
      <c r="BE1456" s="18"/>
      <c r="BL1456" s="18"/>
      <c r="BO1456" s="18"/>
      <c r="BZ1456" s="18"/>
      <c r="CD1456" s="18"/>
      <c r="CI1456" s="18"/>
      <c r="CT1456" s="18"/>
      <c r="CZ1456" s="34" t="s">
        <v>87</v>
      </c>
    </row>
    <row r="1457" spans="4:104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L1457" s="30"/>
      <c r="AM1457" s="21"/>
      <c r="AN1457" s="23"/>
      <c r="AX1457" s="40"/>
      <c r="AZ1457" s="40"/>
      <c r="BB1457" s="18"/>
      <c r="BD1457" s="18"/>
      <c r="BE1457" s="18"/>
      <c r="BL1457" s="18"/>
      <c r="BO1457" s="18"/>
      <c r="BZ1457" s="18"/>
      <c r="CD1457" s="18"/>
      <c r="CI1457" s="18"/>
      <c r="CT1457" s="18"/>
      <c r="CZ1457" s="34" t="s">
        <v>87</v>
      </c>
    </row>
    <row r="1458" spans="4:104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L1458" s="30"/>
      <c r="AM1458" s="21"/>
      <c r="AN1458" s="23"/>
      <c r="AX1458" s="40"/>
      <c r="AZ1458" s="40"/>
      <c r="BB1458" s="18"/>
      <c r="BD1458" s="18"/>
      <c r="BE1458" s="18"/>
      <c r="BL1458" s="18"/>
      <c r="BO1458" s="18"/>
      <c r="BZ1458" s="18"/>
      <c r="CD1458" s="18"/>
      <c r="CI1458" s="18"/>
      <c r="CT1458" s="18"/>
      <c r="CZ1458" s="34" t="s">
        <v>87</v>
      </c>
    </row>
    <row r="1459" spans="4:104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L1459" s="30"/>
      <c r="AM1459" s="21"/>
      <c r="AN1459" s="23"/>
      <c r="AX1459" s="40"/>
      <c r="AZ1459" s="40"/>
      <c r="BB1459" s="18"/>
      <c r="BD1459" s="18"/>
      <c r="BE1459" s="18"/>
      <c r="BL1459" s="18"/>
      <c r="BO1459" s="18"/>
      <c r="BZ1459" s="18"/>
      <c r="CD1459" s="18"/>
      <c r="CI1459" s="18"/>
      <c r="CT1459" s="18"/>
      <c r="CZ1459" s="34" t="s">
        <v>87</v>
      </c>
    </row>
    <row r="1460" spans="4:104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L1460" s="30"/>
      <c r="AM1460" s="21"/>
      <c r="AN1460" s="23"/>
      <c r="AX1460" s="40"/>
      <c r="AZ1460" s="40"/>
      <c r="BB1460" s="18"/>
      <c r="BD1460" s="18"/>
      <c r="BE1460" s="18"/>
      <c r="BL1460" s="18"/>
      <c r="BO1460" s="18"/>
      <c r="BZ1460" s="18"/>
      <c r="CD1460" s="18"/>
      <c r="CI1460" s="18"/>
      <c r="CT1460" s="18"/>
      <c r="CZ1460" s="34" t="s">
        <v>87</v>
      </c>
    </row>
    <row r="1461" spans="4:104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L1461" s="30"/>
      <c r="AM1461" s="21"/>
      <c r="AN1461" s="23"/>
      <c r="AX1461" s="40"/>
      <c r="AZ1461" s="40"/>
      <c r="BB1461" s="18"/>
      <c r="BD1461" s="18"/>
      <c r="BE1461" s="18"/>
      <c r="BL1461" s="18"/>
      <c r="BO1461" s="18"/>
      <c r="BZ1461" s="18"/>
      <c r="CD1461" s="18"/>
      <c r="CI1461" s="18"/>
      <c r="CT1461" s="18"/>
      <c r="CZ1461" s="34" t="s">
        <v>87</v>
      </c>
    </row>
    <row r="1462" spans="4:104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L1462" s="30"/>
      <c r="AM1462" s="21"/>
      <c r="AN1462" s="23"/>
      <c r="AX1462" s="40"/>
      <c r="AZ1462" s="40"/>
      <c r="BB1462" s="18"/>
      <c r="BD1462" s="18"/>
      <c r="BE1462" s="18"/>
      <c r="BL1462" s="18"/>
      <c r="BO1462" s="18"/>
      <c r="BZ1462" s="18"/>
      <c r="CD1462" s="18"/>
      <c r="CI1462" s="18"/>
      <c r="CT1462" s="18"/>
      <c r="CZ1462" s="34" t="s">
        <v>87</v>
      </c>
    </row>
    <row r="1463" spans="4:104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L1463" s="30"/>
      <c r="AM1463" s="21"/>
      <c r="AN1463" s="23"/>
      <c r="AX1463" s="40"/>
      <c r="AZ1463" s="40"/>
      <c r="BB1463" s="18"/>
      <c r="BD1463" s="18"/>
      <c r="BE1463" s="18"/>
      <c r="BL1463" s="18"/>
      <c r="BO1463" s="18"/>
      <c r="BZ1463" s="18"/>
      <c r="CD1463" s="18"/>
      <c r="CI1463" s="18"/>
      <c r="CT1463" s="18"/>
      <c r="CZ1463" s="34" t="s">
        <v>87</v>
      </c>
    </row>
    <row r="1464" spans="4:104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L1464" s="30"/>
      <c r="AM1464" s="21"/>
      <c r="AN1464" s="23"/>
      <c r="AX1464" s="40"/>
      <c r="AZ1464" s="40"/>
      <c r="BB1464" s="18"/>
      <c r="BD1464" s="18"/>
      <c r="BE1464" s="18"/>
      <c r="BL1464" s="18"/>
      <c r="BO1464" s="18"/>
      <c r="BZ1464" s="18"/>
      <c r="CD1464" s="18"/>
      <c r="CI1464" s="18"/>
      <c r="CT1464" s="18"/>
      <c r="CZ1464" s="34" t="s">
        <v>87</v>
      </c>
    </row>
    <row r="1465" spans="4:104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L1465" s="30"/>
      <c r="AM1465" s="21"/>
      <c r="AN1465" s="23"/>
      <c r="AX1465" s="40"/>
      <c r="AZ1465" s="40"/>
      <c r="BB1465" s="18"/>
      <c r="BD1465" s="18"/>
      <c r="BE1465" s="18"/>
      <c r="BL1465" s="18"/>
      <c r="BO1465" s="18"/>
      <c r="BZ1465" s="18"/>
      <c r="CD1465" s="18"/>
      <c r="CI1465" s="18"/>
      <c r="CT1465" s="18"/>
      <c r="CZ1465" s="34" t="s">
        <v>87</v>
      </c>
    </row>
    <row r="1466" spans="4:104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L1466" s="30"/>
      <c r="AM1466" s="21"/>
      <c r="AN1466" s="23"/>
      <c r="AX1466" s="40"/>
      <c r="AZ1466" s="40"/>
      <c r="BB1466" s="18"/>
      <c r="BD1466" s="18"/>
      <c r="BE1466" s="18"/>
      <c r="BL1466" s="18"/>
      <c r="BO1466" s="18"/>
      <c r="BZ1466" s="18"/>
      <c r="CD1466" s="18"/>
      <c r="CI1466" s="18"/>
      <c r="CT1466" s="18"/>
      <c r="CZ1466" s="34" t="s">
        <v>87</v>
      </c>
    </row>
    <row r="1467" spans="4:104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L1467" s="30"/>
      <c r="AM1467" s="21"/>
      <c r="AN1467" s="23"/>
      <c r="AX1467" s="40"/>
      <c r="AZ1467" s="40"/>
      <c r="BB1467" s="18"/>
      <c r="BD1467" s="18"/>
      <c r="BE1467" s="18"/>
      <c r="BL1467" s="18"/>
      <c r="BO1467" s="18"/>
      <c r="BZ1467" s="18"/>
      <c r="CD1467" s="18"/>
      <c r="CI1467" s="18"/>
      <c r="CT1467" s="18"/>
      <c r="CZ1467" s="34" t="s">
        <v>87</v>
      </c>
    </row>
    <row r="1468" spans="4:104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L1468" s="30"/>
      <c r="AM1468" s="21"/>
      <c r="AN1468" s="23"/>
      <c r="AX1468" s="40"/>
      <c r="AZ1468" s="40"/>
      <c r="BB1468" s="18"/>
      <c r="BD1468" s="18"/>
      <c r="BE1468" s="18"/>
      <c r="BL1468" s="18"/>
      <c r="BO1468" s="18"/>
      <c r="BZ1468" s="18"/>
      <c r="CD1468" s="18"/>
      <c r="CI1468" s="18"/>
      <c r="CT1468" s="18"/>
      <c r="CZ1468" s="34" t="s">
        <v>87</v>
      </c>
    </row>
    <row r="1469" spans="4:104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L1469" s="30"/>
      <c r="AM1469" s="21"/>
      <c r="AN1469" s="23"/>
      <c r="AX1469" s="40"/>
      <c r="AZ1469" s="40"/>
      <c r="BB1469" s="18"/>
      <c r="BD1469" s="18"/>
      <c r="BE1469" s="18"/>
      <c r="BL1469" s="18"/>
      <c r="BO1469" s="18"/>
      <c r="BZ1469" s="18"/>
      <c r="CD1469" s="18"/>
      <c r="CI1469" s="18"/>
      <c r="CT1469" s="18"/>
      <c r="CZ1469" s="34" t="s">
        <v>87</v>
      </c>
    </row>
    <row r="1470" spans="4:104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L1470" s="30"/>
      <c r="AM1470" s="21"/>
      <c r="AN1470" s="23"/>
      <c r="AX1470" s="40"/>
      <c r="AZ1470" s="40"/>
      <c r="BB1470" s="18"/>
      <c r="BD1470" s="18"/>
      <c r="BE1470" s="18"/>
      <c r="BL1470" s="18"/>
      <c r="BO1470" s="18"/>
      <c r="BZ1470" s="18"/>
      <c r="CD1470" s="18"/>
      <c r="CI1470" s="18"/>
      <c r="CT1470" s="18"/>
      <c r="CZ1470" s="34" t="s">
        <v>87</v>
      </c>
    </row>
    <row r="1471" spans="4:104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L1471" s="30"/>
      <c r="AM1471" s="21"/>
      <c r="AN1471" s="23"/>
      <c r="AX1471" s="40"/>
      <c r="AZ1471" s="40"/>
      <c r="BB1471" s="18"/>
      <c r="BD1471" s="18"/>
      <c r="BE1471" s="18"/>
      <c r="BL1471" s="18"/>
      <c r="BO1471" s="18"/>
      <c r="BZ1471" s="18"/>
      <c r="CD1471" s="18"/>
      <c r="CI1471" s="18"/>
      <c r="CT1471" s="18"/>
      <c r="CZ1471" s="34" t="s">
        <v>87</v>
      </c>
    </row>
    <row r="1472" spans="4:104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L1472" s="30"/>
      <c r="AM1472" s="21"/>
      <c r="AN1472" s="23"/>
      <c r="AX1472" s="40"/>
      <c r="AZ1472" s="40"/>
      <c r="BB1472" s="18"/>
      <c r="BD1472" s="18"/>
      <c r="BE1472" s="18"/>
      <c r="BL1472" s="18"/>
      <c r="BO1472" s="18"/>
      <c r="BZ1472" s="18"/>
      <c r="CD1472" s="18"/>
      <c r="CI1472" s="18"/>
      <c r="CT1472" s="18"/>
      <c r="CZ1472" s="34" t="s">
        <v>87</v>
      </c>
    </row>
    <row r="1473" spans="4:104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L1473" s="30"/>
      <c r="AM1473" s="21"/>
      <c r="AN1473" s="23"/>
      <c r="AX1473" s="40"/>
      <c r="AZ1473" s="40"/>
      <c r="BB1473" s="18"/>
      <c r="BD1473" s="18"/>
      <c r="BE1473" s="18"/>
      <c r="BL1473" s="18"/>
      <c r="BO1473" s="18"/>
      <c r="BZ1473" s="18"/>
      <c r="CD1473" s="18"/>
      <c r="CI1473" s="18"/>
      <c r="CT1473" s="18"/>
      <c r="CZ1473" s="34" t="s">
        <v>87</v>
      </c>
    </row>
    <row r="1474" spans="4:104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L1474" s="30"/>
      <c r="AM1474" s="21"/>
      <c r="AN1474" s="23"/>
      <c r="AX1474" s="40"/>
      <c r="AZ1474" s="40"/>
      <c r="BB1474" s="18"/>
      <c r="BD1474" s="18"/>
      <c r="BE1474" s="18"/>
      <c r="BL1474" s="18"/>
      <c r="BO1474" s="18"/>
      <c r="BZ1474" s="18"/>
      <c r="CD1474" s="18"/>
      <c r="CI1474" s="18"/>
      <c r="CT1474" s="18"/>
      <c r="CZ1474" s="34" t="s">
        <v>87</v>
      </c>
    </row>
    <row r="1475" spans="4:104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L1475" s="30"/>
      <c r="AM1475" s="21"/>
      <c r="AN1475" s="23"/>
      <c r="AX1475" s="40"/>
      <c r="AZ1475" s="40"/>
      <c r="BB1475" s="18"/>
      <c r="BD1475" s="18"/>
      <c r="BE1475" s="18"/>
      <c r="BL1475" s="18"/>
      <c r="BO1475" s="18"/>
      <c r="BZ1475" s="18"/>
      <c r="CD1475" s="18"/>
      <c r="CI1475" s="18"/>
      <c r="CT1475" s="18"/>
      <c r="CZ1475" s="34" t="s">
        <v>87</v>
      </c>
    </row>
    <row r="1476" spans="4:104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L1476" s="30"/>
      <c r="AM1476" s="21"/>
      <c r="AN1476" s="23"/>
      <c r="AX1476" s="40"/>
      <c r="AZ1476" s="40"/>
      <c r="BB1476" s="18"/>
      <c r="BD1476" s="18"/>
      <c r="BE1476" s="18"/>
      <c r="BL1476" s="18"/>
      <c r="BO1476" s="18"/>
      <c r="BZ1476" s="18"/>
      <c r="CD1476" s="18"/>
      <c r="CI1476" s="18"/>
      <c r="CT1476" s="18"/>
      <c r="CZ1476" s="34" t="s">
        <v>87</v>
      </c>
    </row>
    <row r="1477" spans="4:104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L1477" s="30"/>
      <c r="AM1477" s="21"/>
      <c r="AN1477" s="23"/>
      <c r="AX1477" s="40"/>
      <c r="AZ1477" s="40"/>
      <c r="BB1477" s="18"/>
      <c r="BD1477" s="18"/>
      <c r="BE1477" s="18"/>
      <c r="BL1477" s="18"/>
      <c r="BO1477" s="18"/>
      <c r="BZ1477" s="18"/>
      <c r="CD1477" s="18"/>
      <c r="CI1477" s="18"/>
      <c r="CT1477" s="18"/>
      <c r="CZ1477" s="34" t="s">
        <v>87</v>
      </c>
    </row>
    <row r="1478" spans="4:104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L1478" s="30"/>
      <c r="AM1478" s="21"/>
      <c r="AN1478" s="23"/>
      <c r="AX1478" s="40"/>
      <c r="AZ1478" s="40"/>
      <c r="BB1478" s="18"/>
      <c r="BD1478" s="18"/>
      <c r="BE1478" s="18"/>
      <c r="BL1478" s="18"/>
      <c r="BO1478" s="18"/>
      <c r="BZ1478" s="18"/>
      <c r="CD1478" s="18"/>
      <c r="CI1478" s="18"/>
      <c r="CT1478" s="18"/>
      <c r="CZ1478" s="34" t="s">
        <v>87</v>
      </c>
    </row>
    <row r="1479" spans="4:104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L1479" s="30"/>
      <c r="AM1479" s="21"/>
      <c r="AN1479" s="23"/>
      <c r="AX1479" s="40"/>
      <c r="AZ1479" s="40"/>
      <c r="BB1479" s="18"/>
      <c r="BD1479" s="18"/>
      <c r="BE1479" s="18"/>
      <c r="BL1479" s="18"/>
      <c r="BO1479" s="18"/>
      <c r="BZ1479" s="18"/>
      <c r="CD1479" s="18"/>
      <c r="CI1479" s="18"/>
      <c r="CT1479" s="18"/>
      <c r="CZ1479" s="34" t="s">
        <v>87</v>
      </c>
    </row>
    <row r="1480" spans="4:104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L1480" s="30"/>
      <c r="AM1480" s="21"/>
      <c r="AN1480" s="23"/>
      <c r="AX1480" s="40"/>
      <c r="AZ1480" s="40"/>
      <c r="BB1480" s="18"/>
      <c r="BD1480" s="18"/>
      <c r="BE1480" s="18"/>
      <c r="BL1480" s="18"/>
      <c r="BO1480" s="18"/>
      <c r="BZ1480" s="18"/>
      <c r="CD1480" s="18"/>
      <c r="CI1480" s="18"/>
      <c r="CT1480" s="18"/>
      <c r="CZ1480" s="34" t="s">
        <v>87</v>
      </c>
    </row>
    <row r="1481" spans="4:104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L1481" s="30"/>
      <c r="AM1481" s="21"/>
      <c r="AN1481" s="23"/>
      <c r="AX1481" s="40"/>
      <c r="AZ1481" s="40"/>
      <c r="BB1481" s="18"/>
      <c r="BD1481" s="18"/>
      <c r="BE1481" s="18"/>
      <c r="BL1481" s="18"/>
      <c r="BO1481" s="18"/>
      <c r="BZ1481" s="18"/>
      <c r="CD1481" s="18"/>
      <c r="CI1481" s="18"/>
      <c r="CT1481" s="18"/>
      <c r="CZ1481" s="34" t="s">
        <v>87</v>
      </c>
    </row>
    <row r="1482" spans="4:104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L1482" s="30"/>
      <c r="AM1482" s="21"/>
      <c r="AN1482" s="23"/>
      <c r="AX1482" s="40"/>
      <c r="AZ1482" s="40"/>
      <c r="BB1482" s="18"/>
      <c r="BD1482" s="18"/>
      <c r="BE1482" s="18"/>
      <c r="BL1482" s="18"/>
      <c r="BO1482" s="18"/>
      <c r="BZ1482" s="18"/>
      <c r="CD1482" s="18"/>
      <c r="CI1482" s="18"/>
      <c r="CT1482" s="18"/>
      <c r="CZ1482" s="34" t="s">
        <v>87</v>
      </c>
    </row>
    <row r="1483" spans="4:104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L1483" s="30"/>
      <c r="AM1483" s="21"/>
      <c r="AN1483" s="23"/>
      <c r="AX1483" s="40"/>
      <c r="AZ1483" s="40"/>
      <c r="BB1483" s="18"/>
      <c r="BD1483" s="18"/>
      <c r="BE1483" s="18"/>
      <c r="BL1483" s="18"/>
      <c r="BO1483" s="18"/>
      <c r="BZ1483" s="18"/>
      <c r="CD1483" s="18"/>
      <c r="CI1483" s="18"/>
      <c r="CT1483" s="18"/>
      <c r="CZ1483" s="34" t="s">
        <v>87</v>
      </c>
    </row>
    <row r="1484" spans="4:104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L1484" s="30"/>
      <c r="AM1484" s="21"/>
      <c r="AN1484" s="23"/>
      <c r="AX1484" s="40"/>
      <c r="AZ1484" s="40"/>
      <c r="BB1484" s="18"/>
      <c r="BD1484" s="18"/>
      <c r="BE1484" s="18"/>
      <c r="BL1484" s="18"/>
      <c r="BO1484" s="18"/>
      <c r="BZ1484" s="18"/>
      <c r="CD1484" s="18"/>
      <c r="CI1484" s="18"/>
      <c r="CT1484" s="18"/>
      <c r="CZ1484" s="34" t="s">
        <v>87</v>
      </c>
    </row>
    <row r="1485" spans="4:104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L1485" s="30"/>
      <c r="AM1485" s="21"/>
      <c r="AN1485" s="23"/>
      <c r="AX1485" s="40"/>
      <c r="AZ1485" s="40"/>
      <c r="BB1485" s="18"/>
      <c r="BD1485" s="18"/>
      <c r="BE1485" s="18"/>
      <c r="BL1485" s="18"/>
      <c r="BO1485" s="18"/>
      <c r="BZ1485" s="18"/>
      <c r="CD1485" s="18"/>
      <c r="CI1485" s="18"/>
      <c r="CT1485" s="18"/>
      <c r="CZ1485" s="34" t="s">
        <v>87</v>
      </c>
    </row>
    <row r="1486" spans="4:104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L1486" s="30"/>
      <c r="AM1486" s="21"/>
      <c r="AN1486" s="23"/>
      <c r="AX1486" s="40"/>
      <c r="AZ1486" s="40"/>
      <c r="BB1486" s="18"/>
      <c r="BD1486" s="18"/>
      <c r="BE1486" s="18"/>
      <c r="BL1486" s="18"/>
      <c r="BO1486" s="18"/>
      <c r="BZ1486" s="18"/>
      <c r="CD1486" s="18"/>
      <c r="CI1486" s="18"/>
      <c r="CT1486" s="18"/>
      <c r="CZ1486" s="34" t="s">
        <v>87</v>
      </c>
    </row>
    <row r="1487" spans="4:104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L1487" s="30"/>
      <c r="AM1487" s="21"/>
      <c r="AN1487" s="23"/>
      <c r="AX1487" s="40"/>
      <c r="AZ1487" s="40"/>
      <c r="BB1487" s="18"/>
      <c r="BD1487" s="18"/>
      <c r="BE1487" s="18"/>
      <c r="BL1487" s="18"/>
      <c r="BO1487" s="18"/>
      <c r="BZ1487" s="18"/>
      <c r="CD1487" s="18"/>
      <c r="CI1487" s="18"/>
      <c r="CT1487" s="18"/>
      <c r="CZ1487" s="34" t="s">
        <v>87</v>
      </c>
    </row>
    <row r="1488" spans="4:104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L1488" s="30"/>
      <c r="AM1488" s="21"/>
      <c r="AN1488" s="23"/>
      <c r="AX1488" s="40"/>
      <c r="AZ1488" s="40"/>
      <c r="BB1488" s="18"/>
      <c r="BD1488" s="18"/>
      <c r="BE1488" s="18"/>
      <c r="BL1488" s="18"/>
      <c r="BO1488" s="18"/>
      <c r="BZ1488" s="18"/>
      <c r="CD1488" s="18"/>
      <c r="CI1488" s="18"/>
      <c r="CT1488" s="18"/>
      <c r="CZ1488" s="34" t="s">
        <v>87</v>
      </c>
    </row>
    <row r="1489" spans="4:104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L1489" s="30"/>
      <c r="AM1489" s="21"/>
      <c r="AN1489" s="23"/>
      <c r="AX1489" s="40"/>
      <c r="AZ1489" s="40"/>
      <c r="BB1489" s="18"/>
      <c r="BD1489" s="18"/>
      <c r="BE1489" s="18"/>
      <c r="BL1489" s="18"/>
      <c r="BO1489" s="18"/>
      <c r="BZ1489" s="18"/>
      <c r="CD1489" s="18"/>
      <c r="CI1489" s="18"/>
      <c r="CT1489" s="18"/>
      <c r="CZ1489" s="34" t="s">
        <v>87</v>
      </c>
    </row>
    <row r="1490" spans="4:104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L1490" s="30"/>
      <c r="AM1490" s="21"/>
      <c r="AN1490" s="23"/>
      <c r="AX1490" s="40"/>
      <c r="AZ1490" s="40"/>
      <c r="BB1490" s="18"/>
      <c r="BD1490" s="18"/>
      <c r="BE1490" s="18"/>
      <c r="BL1490" s="18"/>
      <c r="BO1490" s="18"/>
      <c r="BZ1490" s="18"/>
      <c r="CD1490" s="18"/>
      <c r="CI1490" s="18"/>
      <c r="CT1490" s="18"/>
      <c r="CZ1490" s="34" t="s">
        <v>87</v>
      </c>
    </row>
    <row r="1491" spans="4:104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L1491" s="30"/>
      <c r="AM1491" s="21"/>
      <c r="AN1491" s="23"/>
      <c r="AX1491" s="40"/>
      <c r="AZ1491" s="40"/>
      <c r="BB1491" s="18"/>
      <c r="BD1491" s="18"/>
      <c r="BE1491" s="18"/>
      <c r="BL1491" s="18"/>
      <c r="BO1491" s="18"/>
      <c r="BZ1491" s="18"/>
      <c r="CD1491" s="18"/>
      <c r="CI1491" s="18"/>
      <c r="CT1491" s="18"/>
      <c r="CZ1491" s="34" t="s">
        <v>87</v>
      </c>
    </row>
    <row r="1492" spans="4:104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L1492" s="30"/>
      <c r="AM1492" s="21"/>
      <c r="AN1492" s="23"/>
      <c r="AX1492" s="40"/>
      <c r="AZ1492" s="40"/>
      <c r="BB1492" s="18"/>
      <c r="BD1492" s="18"/>
      <c r="BE1492" s="18"/>
      <c r="BL1492" s="18"/>
      <c r="BO1492" s="18"/>
      <c r="BZ1492" s="18"/>
      <c r="CD1492" s="18"/>
      <c r="CI1492" s="18"/>
      <c r="CT1492" s="18"/>
      <c r="CZ1492" s="34" t="s">
        <v>87</v>
      </c>
    </row>
    <row r="1493" spans="4:104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L1493" s="30"/>
      <c r="AM1493" s="21"/>
      <c r="AN1493" s="23"/>
      <c r="AX1493" s="40"/>
      <c r="AZ1493" s="40"/>
      <c r="BB1493" s="18"/>
      <c r="BD1493" s="18"/>
      <c r="BE1493" s="18"/>
      <c r="BL1493" s="18"/>
      <c r="BO1493" s="18"/>
      <c r="BZ1493" s="18"/>
      <c r="CD1493" s="18"/>
      <c r="CI1493" s="18"/>
      <c r="CT1493" s="18"/>
      <c r="CZ1493" s="34" t="s">
        <v>87</v>
      </c>
    </row>
    <row r="1494" spans="4:104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L1494" s="30"/>
      <c r="AM1494" s="21"/>
      <c r="AN1494" s="23"/>
      <c r="AX1494" s="40"/>
      <c r="AZ1494" s="40"/>
      <c r="BB1494" s="18"/>
      <c r="BD1494" s="18"/>
      <c r="BE1494" s="18"/>
      <c r="BL1494" s="18"/>
      <c r="BO1494" s="18"/>
      <c r="BZ1494" s="18"/>
      <c r="CD1494" s="18"/>
      <c r="CI1494" s="18"/>
      <c r="CT1494" s="18"/>
      <c r="CZ1494" s="34" t="s">
        <v>87</v>
      </c>
    </row>
    <row r="1495" spans="4:104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L1495" s="30"/>
      <c r="AM1495" s="21"/>
      <c r="AN1495" s="23"/>
      <c r="AX1495" s="40"/>
      <c r="AZ1495" s="40"/>
      <c r="BB1495" s="18"/>
      <c r="BD1495" s="18"/>
      <c r="BE1495" s="18"/>
      <c r="BL1495" s="18"/>
      <c r="BO1495" s="18"/>
      <c r="BZ1495" s="18"/>
      <c r="CD1495" s="18"/>
      <c r="CI1495" s="18"/>
      <c r="CT1495" s="18"/>
      <c r="CZ1495" s="34" t="s">
        <v>87</v>
      </c>
    </row>
    <row r="1496" spans="4:104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L1496" s="30"/>
      <c r="AM1496" s="21"/>
      <c r="AN1496" s="23"/>
      <c r="AX1496" s="40"/>
      <c r="AZ1496" s="40"/>
      <c r="BB1496" s="18"/>
      <c r="BD1496" s="18"/>
      <c r="BE1496" s="18"/>
      <c r="BL1496" s="18"/>
      <c r="BO1496" s="18"/>
      <c r="BZ1496" s="18"/>
      <c r="CD1496" s="18"/>
      <c r="CI1496" s="18"/>
      <c r="CT1496" s="18"/>
      <c r="CZ1496" s="34" t="s">
        <v>87</v>
      </c>
    </row>
    <row r="1497" spans="4:104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L1497" s="30"/>
      <c r="AM1497" s="21"/>
      <c r="AN1497" s="23"/>
      <c r="AX1497" s="40"/>
      <c r="AZ1497" s="40"/>
      <c r="BB1497" s="18"/>
      <c r="BD1497" s="18"/>
      <c r="BE1497" s="18"/>
      <c r="BL1497" s="18"/>
      <c r="BO1497" s="18"/>
      <c r="BZ1497" s="18"/>
      <c r="CD1497" s="18"/>
      <c r="CI1497" s="18"/>
      <c r="CT1497" s="18"/>
      <c r="CZ1497" s="34" t="s">
        <v>87</v>
      </c>
    </row>
    <row r="1498" spans="4:104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L1498" s="30"/>
      <c r="AM1498" s="21"/>
      <c r="AN1498" s="23"/>
      <c r="AX1498" s="40"/>
      <c r="AZ1498" s="40"/>
      <c r="BB1498" s="18"/>
      <c r="BD1498" s="18"/>
      <c r="BE1498" s="18"/>
      <c r="BL1498" s="18"/>
      <c r="BO1498" s="18"/>
      <c r="BZ1498" s="18"/>
      <c r="CD1498" s="18"/>
      <c r="CI1498" s="18"/>
      <c r="CT1498" s="18"/>
      <c r="CZ1498" s="34" t="s">
        <v>87</v>
      </c>
    </row>
    <row r="1499" spans="4:104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L1499" s="30"/>
      <c r="AM1499" s="21"/>
      <c r="AN1499" s="23"/>
      <c r="AX1499" s="40"/>
      <c r="AZ1499" s="40"/>
      <c r="BB1499" s="18"/>
      <c r="BD1499" s="18"/>
      <c r="BE1499" s="18"/>
      <c r="BL1499" s="18"/>
      <c r="BO1499" s="18"/>
      <c r="BZ1499" s="18"/>
      <c r="CD1499" s="18"/>
      <c r="CI1499" s="18"/>
      <c r="CT1499" s="18"/>
      <c r="CZ1499" s="34" t="s">
        <v>87</v>
      </c>
    </row>
    <row r="1500" spans="4:104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L1500" s="30"/>
      <c r="AM1500" s="21"/>
      <c r="AN1500" s="23"/>
      <c r="AX1500" s="40"/>
      <c r="AZ1500" s="40"/>
      <c r="BB1500" s="18"/>
      <c r="BD1500" s="18"/>
      <c r="BE1500" s="18"/>
      <c r="BL1500" s="18"/>
      <c r="BO1500" s="18"/>
      <c r="BZ1500" s="18"/>
      <c r="CD1500" s="18"/>
      <c r="CI1500" s="18"/>
      <c r="CT1500" s="18"/>
      <c r="CZ1500" s="34" t="s">
        <v>87</v>
      </c>
    </row>
    <row r="1501" spans="4:104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L1501" s="30"/>
      <c r="AM1501" s="21"/>
      <c r="AN1501" s="23"/>
      <c r="AX1501" s="40"/>
      <c r="AZ1501" s="40"/>
      <c r="BB1501" s="18"/>
      <c r="BD1501" s="18"/>
      <c r="BE1501" s="18"/>
      <c r="BL1501" s="18"/>
      <c r="BO1501" s="18"/>
      <c r="BZ1501" s="18"/>
      <c r="CD1501" s="18"/>
      <c r="CI1501" s="18"/>
      <c r="CT1501" s="18"/>
      <c r="CZ1501" s="34" t="s">
        <v>87</v>
      </c>
    </row>
    <row r="1502" spans="4:104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L1502" s="30"/>
      <c r="AM1502" s="21"/>
      <c r="AN1502" s="23"/>
      <c r="AX1502" s="40"/>
      <c r="AZ1502" s="40"/>
      <c r="BB1502" s="18"/>
      <c r="BD1502" s="18"/>
      <c r="BE1502" s="18"/>
      <c r="BL1502" s="18"/>
      <c r="BO1502" s="18"/>
      <c r="BZ1502" s="18"/>
      <c r="CD1502" s="18"/>
      <c r="CI1502" s="18"/>
      <c r="CT1502" s="18"/>
      <c r="CZ1502" s="34" t="s">
        <v>87</v>
      </c>
    </row>
    <row r="1503" spans="4:104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L1503" s="30"/>
      <c r="AM1503" s="21"/>
      <c r="AN1503" s="23"/>
      <c r="AX1503" s="40"/>
      <c r="AZ1503" s="40"/>
      <c r="BB1503" s="18"/>
      <c r="BD1503" s="18"/>
      <c r="BE1503" s="18"/>
      <c r="BL1503" s="18"/>
      <c r="BO1503" s="18"/>
      <c r="BZ1503" s="18"/>
      <c r="CD1503" s="18"/>
      <c r="CI1503" s="18"/>
      <c r="CT1503" s="18"/>
      <c r="CZ1503" s="34" t="s">
        <v>87</v>
      </c>
    </row>
    <row r="1504" spans="4:104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L1504" s="30"/>
      <c r="AM1504" s="21"/>
      <c r="AN1504" s="23"/>
      <c r="AX1504" s="40"/>
      <c r="AZ1504" s="40"/>
      <c r="BB1504" s="18"/>
      <c r="BD1504" s="18"/>
      <c r="BE1504" s="18"/>
      <c r="BL1504" s="18"/>
      <c r="BO1504" s="18"/>
      <c r="BZ1504" s="18"/>
      <c r="CD1504" s="18"/>
      <c r="CI1504" s="18"/>
      <c r="CT1504" s="18"/>
      <c r="CZ1504" s="34" t="s">
        <v>87</v>
      </c>
    </row>
    <row r="1505" spans="4:104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L1505" s="30"/>
      <c r="AM1505" s="21"/>
      <c r="AN1505" s="23"/>
      <c r="AX1505" s="40"/>
      <c r="AZ1505" s="40"/>
      <c r="BB1505" s="18"/>
      <c r="BD1505" s="18"/>
      <c r="BE1505" s="18"/>
      <c r="BL1505" s="18"/>
      <c r="BO1505" s="18"/>
      <c r="BZ1505" s="18"/>
      <c r="CD1505" s="18"/>
      <c r="CI1505" s="18"/>
      <c r="CT1505" s="18"/>
      <c r="CZ1505" s="34" t="s">
        <v>87</v>
      </c>
    </row>
    <row r="1506" spans="4:104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L1506" s="30"/>
      <c r="AM1506" s="21"/>
      <c r="AN1506" s="23"/>
      <c r="AX1506" s="40"/>
      <c r="AZ1506" s="40"/>
      <c r="BB1506" s="18"/>
      <c r="BD1506" s="18"/>
      <c r="BE1506" s="18"/>
      <c r="BL1506" s="18"/>
      <c r="BO1506" s="18"/>
      <c r="BZ1506" s="18"/>
      <c r="CD1506" s="18"/>
      <c r="CI1506" s="18"/>
      <c r="CT1506" s="18"/>
      <c r="CZ1506" s="34" t="s">
        <v>87</v>
      </c>
    </row>
    <row r="1507" spans="4:104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L1507" s="30"/>
      <c r="AM1507" s="21"/>
      <c r="AN1507" s="23"/>
      <c r="AX1507" s="40"/>
      <c r="AZ1507" s="40"/>
      <c r="BB1507" s="18"/>
      <c r="BD1507" s="18"/>
      <c r="BE1507" s="18"/>
      <c r="BL1507" s="18"/>
      <c r="BO1507" s="18"/>
      <c r="BZ1507" s="18"/>
      <c r="CD1507" s="18"/>
      <c r="CI1507" s="18"/>
      <c r="CT1507" s="18"/>
      <c r="CZ1507" s="34" t="s">
        <v>87</v>
      </c>
    </row>
    <row r="1508" spans="4:104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L1508" s="30"/>
      <c r="AM1508" s="21"/>
      <c r="AN1508" s="23"/>
      <c r="AX1508" s="40"/>
      <c r="AZ1508" s="40"/>
      <c r="BB1508" s="18"/>
      <c r="BD1508" s="18"/>
      <c r="BE1508" s="18"/>
      <c r="BL1508" s="18"/>
      <c r="BO1508" s="18"/>
      <c r="BZ1508" s="18"/>
      <c r="CD1508" s="18"/>
      <c r="CI1508" s="18"/>
      <c r="CT1508" s="18"/>
      <c r="CZ1508" s="34" t="s">
        <v>87</v>
      </c>
    </row>
    <row r="1509" spans="4:104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L1509" s="30"/>
      <c r="AM1509" s="21"/>
      <c r="AN1509" s="23"/>
      <c r="AX1509" s="40"/>
      <c r="AZ1509" s="40"/>
      <c r="BB1509" s="18"/>
      <c r="BD1509" s="18"/>
      <c r="BE1509" s="18"/>
      <c r="BL1509" s="18"/>
      <c r="BO1509" s="18"/>
      <c r="BZ1509" s="18"/>
      <c r="CD1509" s="18"/>
      <c r="CI1509" s="18"/>
      <c r="CT1509" s="18"/>
      <c r="CZ1509" s="34" t="s">
        <v>87</v>
      </c>
    </row>
    <row r="1510" spans="4:104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L1510" s="30"/>
      <c r="AM1510" s="21"/>
      <c r="AN1510" s="23"/>
      <c r="AX1510" s="40"/>
      <c r="AZ1510" s="40"/>
      <c r="BB1510" s="18"/>
      <c r="BD1510" s="18"/>
      <c r="BE1510" s="18"/>
      <c r="BL1510" s="18"/>
      <c r="BO1510" s="18"/>
      <c r="BZ1510" s="18"/>
      <c r="CD1510" s="18"/>
      <c r="CI1510" s="18"/>
      <c r="CT1510" s="18"/>
      <c r="CZ1510" s="34" t="s">
        <v>87</v>
      </c>
    </row>
    <row r="1511" spans="4:104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L1511" s="30"/>
      <c r="AM1511" s="21"/>
      <c r="AN1511" s="23"/>
      <c r="AX1511" s="40"/>
      <c r="AZ1511" s="40"/>
      <c r="BB1511" s="18"/>
      <c r="BD1511" s="18"/>
      <c r="BE1511" s="18"/>
      <c r="BL1511" s="18"/>
      <c r="BO1511" s="18"/>
      <c r="BZ1511" s="18"/>
      <c r="CD1511" s="18"/>
      <c r="CI1511" s="18"/>
      <c r="CT1511" s="18"/>
      <c r="CZ1511" s="34" t="s">
        <v>87</v>
      </c>
    </row>
    <row r="1512" spans="4:104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L1512" s="30"/>
      <c r="AM1512" s="21"/>
      <c r="AN1512" s="23"/>
      <c r="AX1512" s="40"/>
      <c r="AZ1512" s="40"/>
      <c r="BB1512" s="18"/>
      <c r="BD1512" s="18"/>
      <c r="BE1512" s="18"/>
      <c r="BL1512" s="18"/>
      <c r="BO1512" s="18"/>
      <c r="BZ1512" s="18"/>
      <c r="CD1512" s="18"/>
      <c r="CI1512" s="18"/>
      <c r="CT1512" s="18"/>
      <c r="CZ1512" s="34" t="s">
        <v>87</v>
      </c>
    </row>
    <row r="1513" spans="4:104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L1513" s="30"/>
      <c r="AM1513" s="21"/>
      <c r="AN1513" s="23"/>
      <c r="AX1513" s="40"/>
      <c r="AZ1513" s="40"/>
      <c r="BB1513" s="18"/>
      <c r="BD1513" s="18"/>
      <c r="BE1513" s="18"/>
      <c r="BL1513" s="18"/>
      <c r="BO1513" s="18"/>
      <c r="BZ1513" s="18"/>
      <c r="CD1513" s="18"/>
      <c r="CI1513" s="18"/>
      <c r="CT1513" s="18"/>
      <c r="CZ1513" s="34" t="s">
        <v>87</v>
      </c>
    </row>
    <row r="1514" spans="4:104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L1514" s="30"/>
      <c r="AM1514" s="21"/>
      <c r="AN1514" s="23"/>
      <c r="AX1514" s="40"/>
      <c r="AZ1514" s="40"/>
      <c r="BB1514" s="18"/>
      <c r="BD1514" s="18"/>
      <c r="BE1514" s="18"/>
      <c r="BL1514" s="18"/>
      <c r="BO1514" s="18"/>
      <c r="BZ1514" s="18"/>
      <c r="CD1514" s="18"/>
      <c r="CI1514" s="18"/>
      <c r="CT1514" s="18"/>
      <c r="CZ1514" s="34" t="s">
        <v>87</v>
      </c>
    </row>
    <row r="1515" spans="4:104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L1515" s="30"/>
      <c r="AM1515" s="21"/>
      <c r="AN1515" s="23"/>
      <c r="AX1515" s="40"/>
      <c r="AZ1515" s="40"/>
      <c r="BB1515" s="18"/>
      <c r="BD1515" s="18"/>
      <c r="BE1515" s="18"/>
      <c r="BL1515" s="18"/>
      <c r="BO1515" s="18"/>
      <c r="BZ1515" s="18"/>
      <c r="CD1515" s="18"/>
      <c r="CI1515" s="18"/>
      <c r="CT1515" s="18"/>
      <c r="CZ1515" s="34" t="s">
        <v>87</v>
      </c>
    </row>
    <row r="1516" spans="4:104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L1516" s="30"/>
      <c r="AM1516" s="21"/>
      <c r="AN1516" s="23"/>
      <c r="AX1516" s="40"/>
      <c r="AZ1516" s="40"/>
      <c r="BB1516" s="18"/>
      <c r="BD1516" s="18"/>
      <c r="BE1516" s="18"/>
      <c r="BL1516" s="18"/>
      <c r="BO1516" s="18"/>
      <c r="BZ1516" s="18"/>
      <c r="CD1516" s="18"/>
      <c r="CI1516" s="18"/>
      <c r="CT1516" s="18"/>
      <c r="CZ1516" s="34" t="s">
        <v>87</v>
      </c>
    </row>
    <row r="1517" spans="4:104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L1517" s="30"/>
      <c r="AM1517" s="21"/>
      <c r="AN1517" s="23"/>
      <c r="AX1517" s="40"/>
      <c r="AZ1517" s="40"/>
      <c r="BB1517" s="18"/>
      <c r="BD1517" s="18"/>
      <c r="BE1517" s="18"/>
      <c r="BL1517" s="18"/>
      <c r="BO1517" s="18"/>
      <c r="BZ1517" s="18"/>
      <c r="CD1517" s="18"/>
      <c r="CI1517" s="18"/>
      <c r="CT1517" s="18"/>
      <c r="CZ1517" s="34" t="s">
        <v>87</v>
      </c>
    </row>
    <row r="1518" spans="4:104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L1518" s="30"/>
      <c r="AM1518" s="21"/>
      <c r="AN1518" s="23"/>
      <c r="AX1518" s="40"/>
      <c r="AZ1518" s="40"/>
      <c r="BB1518" s="18"/>
      <c r="BD1518" s="18"/>
      <c r="BE1518" s="18"/>
      <c r="BL1518" s="18"/>
      <c r="BO1518" s="18"/>
      <c r="BZ1518" s="18"/>
      <c r="CD1518" s="18"/>
      <c r="CI1518" s="18"/>
      <c r="CT1518" s="18"/>
      <c r="CZ1518" s="34" t="s">
        <v>87</v>
      </c>
    </row>
    <row r="1519" spans="4:104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L1519" s="30"/>
      <c r="AM1519" s="21"/>
      <c r="AN1519" s="23"/>
      <c r="AX1519" s="40"/>
      <c r="AZ1519" s="40"/>
      <c r="BB1519" s="18"/>
      <c r="BD1519" s="18"/>
      <c r="BE1519" s="18"/>
      <c r="BL1519" s="18"/>
      <c r="BO1519" s="18"/>
      <c r="BZ1519" s="18"/>
      <c r="CD1519" s="18"/>
      <c r="CI1519" s="18"/>
      <c r="CT1519" s="18"/>
      <c r="CZ1519" s="34" t="s">
        <v>87</v>
      </c>
    </row>
    <row r="1520" spans="4:104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L1520" s="30"/>
      <c r="AM1520" s="21"/>
      <c r="AN1520" s="23"/>
      <c r="AX1520" s="40"/>
      <c r="AZ1520" s="40"/>
      <c r="BB1520" s="18"/>
      <c r="BD1520" s="18"/>
      <c r="BE1520" s="18"/>
      <c r="BL1520" s="18"/>
      <c r="BO1520" s="18"/>
      <c r="BZ1520" s="18"/>
      <c r="CD1520" s="18"/>
      <c r="CI1520" s="18"/>
      <c r="CT1520" s="18"/>
      <c r="CZ1520" s="34" t="s">
        <v>87</v>
      </c>
    </row>
    <row r="1521" spans="4:104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L1521" s="30"/>
      <c r="AM1521" s="21"/>
      <c r="AN1521" s="23"/>
      <c r="AX1521" s="40"/>
      <c r="AZ1521" s="40"/>
      <c r="BB1521" s="18"/>
      <c r="BD1521" s="18"/>
      <c r="BE1521" s="18"/>
      <c r="BL1521" s="18"/>
      <c r="BO1521" s="18"/>
      <c r="BZ1521" s="18"/>
      <c r="CD1521" s="18"/>
      <c r="CI1521" s="18"/>
      <c r="CT1521" s="18"/>
      <c r="CZ1521" s="34" t="s">
        <v>87</v>
      </c>
    </row>
    <row r="1522" spans="4:104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L1522" s="30"/>
      <c r="AM1522" s="21"/>
      <c r="AN1522" s="23"/>
      <c r="AX1522" s="40"/>
      <c r="AZ1522" s="40"/>
      <c r="BB1522" s="18"/>
      <c r="BD1522" s="18"/>
      <c r="BE1522" s="18"/>
      <c r="BL1522" s="18"/>
      <c r="BO1522" s="18"/>
      <c r="BZ1522" s="18"/>
      <c r="CD1522" s="18"/>
      <c r="CI1522" s="18"/>
      <c r="CT1522" s="18"/>
      <c r="CZ1522" s="34" t="s">
        <v>87</v>
      </c>
    </row>
    <row r="1523" spans="4:104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L1523" s="30"/>
      <c r="AM1523" s="21"/>
      <c r="AN1523" s="23"/>
      <c r="AX1523" s="40"/>
      <c r="AZ1523" s="40"/>
      <c r="BB1523" s="18"/>
      <c r="BD1523" s="18"/>
      <c r="BE1523" s="18"/>
      <c r="BL1523" s="18"/>
      <c r="BO1523" s="18"/>
      <c r="BZ1523" s="18"/>
      <c r="CD1523" s="18"/>
      <c r="CI1523" s="18"/>
      <c r="CT1523" s="18"/>
      <c r="CZ1523" s="34" t="s">
        <v>87</v>
      </c>
    </row>
    <row r="1524" spans="4:104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L1524" s="30"/>
      <c r="AM1524" s="21"/>
      <c r="AN1524" s="23"/>
      <c r="AX1524" s="40"/>
      <c r="AZ1524" s="40"/>
      <c r="BB1524" s="18"/>
      <c r="BD1524" s="18"/>
      <c r="BE1524" s="18"/>
      <c r="BL1524" s="18"/>
      <c r="BO1524" s="18"/>
      <c r="BZ1524" s="18"/>
      <c r="CD1524" s="18"/>
      <c r="CI1524" s="18"/>
      <c r="CT1524" s="18"/>
      <c r="CZ1524" s="34" t="s">
        <v>87</v>
      </c>
    </row>
    <row r="1525" spans="4:104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L1525" s="30"/>
      <c r="AM1525" s="21"/>
      <c r="AN1525" s="23"/>
      <c r="AX1525" s="40"/>
      <c r="AZ1525" s="40"/>
      <c r="BB1525" s="18"/>
      <c r="BD1525" s="18"/>
      <c r="BE1525" s="18"/>
      <c r="BL1525" s="18"/>
      <c r="BO1525" s="18"/>
      <c r="BZ1525" s="18"/>
      <c r="CD1525" s="18"/>
      <c r="CI1525" s="18"/>
      <c r="CT1525" s="18"/>
      <c r="CZ1525" s="34" t="s">
        <v>87</v>
      </c>
    </row>
    <row r="1526" spans="4:104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L1526" s="30"/>
      <c r="AM1526" s="21"/>
      <c r="AN1526" s="23"/>
      <c r="AX1526" s="40"/>
      <c r="AZ1526" s="40"/>
      <c r="BB1526" s="18"/>
      <c r="BD1526" s="18"/>
      <c r="BE1526" s="18"/>
      <c r="BL1526" s="18"/>
      <c r="BO1526" s="18"/>
      <c r="BZ1526" s="18"/>
      <c r="CD1526" s="18"/>
      <c r="CI1526" s="18"/>
      <c r="CT1526" s="18"/>
      <c r="CZ1526" s="34" t="s">
        <v>87</v>
      </c>
    </row>
    <row r="1527" spans="4:104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L1527" s="30"/>
      <c r="AM1527" s="21"/>
      <c r="AN1527" s="23"/>
      <c r="AX1527" s="40"/>
      <c r="AZ1527" s="40"/>
      <c r="BB1527" s="18"/>
      <c r="BD1527" s="18"/>
      <c r="BE1527" s="18"/>
      <c r="BL1527" s="18"/>
      <c r="BO1527" s="18"/>
      <c r="BZ1527" s="18"/>
      <c r="CD1527" s="18"/>
      <c r="CI1527" s="18"/>
      <c r="CT1527" s="18"/>
      <c r="CZ1527" s="34" t="s">
        <v>87</v>
      </c>
    </row>
    <row r="1528" spans="4:104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L1528" s="30"/>
      <c r="AM1528" s="21"/>
      <c r="AN1528" s="23"/>
      <c r="AX1528" s="40"/>
      <c r="AZ1528" s="40"/>
      <c r="BB1528" s="18"/>
      <c r="BD1528" s="18"/>
      <c r="BE1528" s="18"/>
      <c r="BL1528" s="18"/>
      <c r="BO1528" s="18"/>
      <c r="BZ1528" s="18"/>
      <c r="CD1528" s="18"/>
      <c r="CI1528" s="18"/>
      <c r="CT1528" s="18"/>
      <c r="CZ1528" s="34" t="s">
        <v>87</v>
      </c>
    </row>
    <row r="1529" spans="4:104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L1529" s="30"/>
      <c r="AM1529" s="21"/>
      <c r="AN1529" s="23"/>
      <c r="AX1529" s="40"/>
      <c r="AZ1529" s="40"/>
      <c r="BB1529" s="18"/>
      <c r="BD1529" s="18"/>
      <c r="BE1529" s="18"/>
      <c r="BL1529" s="18"/>
      <c r="BO1529" s="18"/>
      <c r="BZ1529" s="18"/>
      <c r="CD1529" s="18"/>
      <c r="CI1529" s="18"/>
      <c r="CT1529" s="18"/>
      <c r="CZ1529" s="34" t="s">
        <v>87</v>
      </c>
    </row>
    <row r="1530" spans="4:104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L1530" s="30"/>
      <c r="AM1530" s="21"/>
      <c r="AN1530" s="23"/>
      <c r="AX1530" s="40"/>
      <c r="AZ1530" s="40"/>
      <c r="BB1530" s="18"/>
      <c r="BD1530" s="18"/>
      <c r="BE1530" s="18"/>
      <c r="BL1530" s="18"/>
      <c r="BO1530" s="18"/>
      <c r="BZ1530" s="18"/>
      <c r="CD1530" s="18"/>
      <c r="CI1530" s="18"/>
      <c r="CT1530" s="18"/>
      <c r="CZ1530" s="34" t="s">
        <v>87</v>
      </c>
    </row>
    <row r="1531" spans="4:104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L1531" s="30"/>
      <c r="AM1531" s="21"/>
      <c r="AN1531" s="23"/>
      <c r="AX1531" s="40"/>
      <c r="AZ1531" s="40"/>
      <c r="BB1531" s="18"/>
      <c r="BD1531" s="18"/>
      <c r="BE1531" s="18"/>
      <c r="BL1531" s="18"/>
      <c r="BO1531" s="18"/>
      <c r="BZ1531" s="18"/>
      <c r="CD1531" s="18"/>
      <c r="CI1531" s="18"/>
      <c r="CT1531" s="18"/>
      <c r="CZ1531" s="34" t="s">
        <v>87</v>
      </c>
    </row>
    <row r="1532" spans="4:104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L1532" s="30"/>
      <c r="AM1532" s="21"/>
      <c r="AN1532" s="23"/>
      <c r="AX1532" s="40"/>
      <c r="AZ1532" s="40"/>
      <c r="BB1532" s="18"/>
      <c r="BD1532" s="18"/>
      <c r="BE1532" s="18"/>
      <c r="BL1532" s="18"/>
      <c r="BO1532" s="18"/>
      <c r="BZ1532" s="18"/>
      <c r="CD1532" s="18"/>
      <c r="CI1532" s="18"/>
      <c r="CT1532" s="18"/>
      <c r="CZ1532" s="34" t="s">
        <v>87</v>
      </c>
    </row>
    <row r="1533" spans="4:104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L1533" s="30"/>
      <c r="AM1533" s="21"/>
      <c r="AN1533" s="23"/>
      <c r="AX1533" s="40"/>
      <c r="AZ1533" s="40"/>
      <c r="BB1533" s="18"/>
      <c r="BD1533" s="18"/>
      <c r="BE1533" s="18"/>
      <c r="BL1533" s="18"/>
      <c r="BO1533" s="18"/>
      <c r="BZ1533" s="18"/>
      <c r="CD1533" s="18"/>
      <c r="CI1533" s="18"/>
      <c r="CT1533" s="18"/>
      <c r="CZ1533" s="34" t="s">
        <v>87</v>
      </c>
    </row>
    <row r="1534" spans="4:104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L1534" s="30"/>
      <c r="AM1534" s="21"/>
      <c r="AN1534" s="23"/>
      <c r="AX1534" s="40"/>
      <c r="AZ1534" s="40"/>
      <c r="BB1534" s="18"/>
      <c r="BD1534" s="18"/>
      <c r="BE1534" s="18"/>
      <c r="BL1534" s="18"/>
      <c r="BO1534" s="18"/>
      <c r="BZ1534" s="18"/>
      <c r="CD1534" s="18"/>
      <c r="CI1534" s="18"/>
      <c r="CT1534" s="18"/>
      <c r="CZ1534" s="34" t="s">
        <v>87</v>
      </c>
    </row>
    <row r="1535" spans="4:104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L1535" s="30"/>
      <c r="AM1535" s="21"/>
      <c r="AN1535" s="23"/>
      <c r="AX1535" s="40"/>
      <c r="AZ1535" s="40"/>
      <c r="BB1535" s="18"/>
      <c r="BD1535" s="18"/>
      <c r="BE1535" s="18"/>
      <c r="BL1535" s="18"/>
      <c r="BO1535" s="18"/>
      <c r="BZ1535" s="18"/>
      <c r="CD1535" s="18"/>
      <c r="CI1535" s="18"/>
      <c r="CT1535" s="18"/>
      <c r="CZ1535" s="34" t="s">
        <v>87</v>
      </c>
    </row>
    <row r="1536" spans="4:104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L1536" s="30"/>
      <c r="AM1536" s="21"/>
      <c r="AN1536" s="23"/>
      <c r="AX1536" s="40"/>
      <c r="AZ1536" s="40"/>
      <c r="BB1536" s="18"/>
      <c r="BD1536" s="18"/>
      <c r="BE1536" s="18"/>
      <c r="BL1536" s="18"/>
      <c r="BO1536" s="18"/>
      <c r="BZ1536" s="18"/>
      <c r="CD1536" s="18"/>
      <c r="CI1536" s="18"/>
      <c r="CT1536" s="18"/>
      <c r="CZ1536" s="34" t="s">
        <v>87</v>
      </c>
    </row>
    <row r="1537" spans="4:104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L1537" s="30"/>
      <c r="AM1537" s="21"/>
      <c r="AN1537" s="23"/>
      <c r="AX1537" s="40"/>
      <c r="AZ1537" s="40"/>
      <c r="BB1537" s="18"/>
      <c r="BD1537" s="18"/>
      <c r="BE1537" s="18"/>
      <c r="BL1537" s="18"/>
      <c r="BO1537" s="18"/>
      <c r="BZ1537" s="18"/>
      <c r="CD1537" s="18"/>
      <c r="CI1537" s="18"/>
      <c r="CT1537" s="18"/>
      <c r="CZ1537" s="34" t="s">
        <v>87</v>
      </c>
    </row>
    <row r="1538" spans="4:104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L1538" s="30"/>
      <c r="AM1538" s="21"/>
      <c r="AN1538" s="23"/>
      <c r="AX1538" s="40"/>
      <c r="AZ1538" s="40"/>
      <c r="BB1538" s="18"/>
      <c r="BD1538" s="18"/>
      <c r="BE1538" s="18"/>
      <c r="BL1538" s="18"/>
      <c r="BO1538" s="18"/>
      <c r="BZ1538" s="18"/>
      <c r="CD1538" s="18"/>
      <c r="CI1538" s="18"/>
      <c r="CT1538" s="18"/>
      <c r="CZ1538" s="34" t="s">
        <v>87</v>
      </c>
    </row>
    <row r="1539" spans="4:104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L1539" s="30"/>
      <c r="AM1539" s="21"/>
      <c r="AN1539" s="23"/>
      <c r="AX1539" s="40"/>
      <c r="AZ1539" s="40"/>
      <c r="BB1539" s="18"/>
      <c r="BD1539" s="18"/>
      <c r="BE1539" s="18"/>
      <c r="BL1539" s="18"/>
      <c r="BO1539" s="18"/>
      <c r="BZ1539" s="18"/>
      <c r="CD1539" s="18"/>
      <c r="CI1539" s="18"/>
      <c r="CT1539" s="18"/>
      <c r="CZ1539" s="34" t="s">
        <v>87</v>
      </c>
    </row>
    <row r="1540" spans="4:104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L1540" s="30"/>
      <c r="AM1540" s="21"/>
      <c r="AN1540" s="23"/>
      <c r="AX1540" s="40"/>
      <c r="AZ1540" s="40"/>
      <c r="BB1540" s="18"/>
      <c r="BD1540" s="18"/>
      <c r="BE1540" s="18"/>
      <c r="BL1540" s="18"/>
      <c r="BO1540" s="18"/>
      <c r="BZ1540" s="18"/>
      <c r="CD1540" s="18"/>
      <c r="CI1540" s="18"/>
      <c r="CT1540" s="18"/>
      <c r="CZ1540" s="34" t="s">
        <v>87</v>
      </c>
    </row>
    <row r="1541" spans="4:104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L1541" s="30"/>
      <c r="AM1541" s="21"/>
      <c r="AN1541" s="23"/>
      <c r="AX1541" s="40"/>
      <c r="AZ1541" s="40"/>
      <c r="BB1541" s="18"/>
      <c r="BD1541" s="18"/>
      <c r="BE1541" s="18"/>
      <c r="BL1541" s="18"/>
      <c r="BO1541" s="18"/>
      <c r="BZ1541" s="18"/>
      <c r="CD1541" s="18"/>
      <c r="CI1541" s="18"/>
      <c r="CT1541" s="18"/>
      <c r="CZ1541" s="34" t="s">
        <v>87</v>
      </c>
    </row>
    <row r="1542" spans="4:104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L1542" s="30"/>
      <c r="AM1542" s="21"/>
      <c r="AN1542" s="23"/>
      <c r="AX1542" s="40"/>
      <c r="AZ1542" s="40"/>
      <c r="BB1542" s="18"/>
      <c r="BD1542" s="18"/>
      <c r="BE1542" s="18"/>
      <c r="BL1542" s="18"/>
      <c r="BO1542" s="18"/>
      <c r="BZ1542" s="18"/>
      <c r="CD1542" s="18"/>
      <c r="CI1542" s="18"/>
      <c r="CT1542" s="18"/>
      <c r="CZ1542" s="34" t="s">
        <v>87</v>
      </c>
    </row>
    <row r="1543" spans="4:104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L1543" s="30"/>
      <c r="AM1543" s="21"/>
      <c r="AN1543" s="23"/>
      <c r="AX1543" s="40"/>
      <c r="AZ1543" s="40"/>
      <c r="BB1543" s="18"/>
      <c r="BD1543" s="18"/>
      <c r="BE1543" s="18"/>
      <c r="BL1543" s="18"/>
      <c r="BO1543" s="18"/>
      <c r="BZ1543" s="18"/>
      <c r="CD1543" s="18"/>
      <c r="CI1543" s="18"/>
      <c r="CT1543" s="18"/>
      <c r="CZ1543" s="34" t="s">
        <v>87</v>
      </c>
    </row>
    <row r="1544" spans="4:104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L1544" s="30"/>
      <c r="AM1544" s="21"/>
      <c r="AN1544" s="23"/>
      <c r="AX1544" s="40"/>
      <c r="AZ1544" s="40"/>
      <c r="BB1544" s="18"/>
      <c r="BD1544" s="18"/>
      <c r="BE1544" s="18"/>
      <c r="BL1544" s="18"/>
      <c r="BO1544" s="18"/>
      <c r="BZ1544" s="18"/>
      <c r="CD1544" s="18"/>
      <c r="CI1544" s="18"/>
      <c r="CT1544" s="18"/>
      <c r="CZ1544" s="34" t="s">
        <v>87</v>
      </c>
    </row>
    <row r="1545" spans="4:104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L1545" s="30"/>
      <c r="AM1545" s="21"/>
      <c r="AN1545" s="23"/>
      <c r="AX1545" s="40"/>
      <c r="AZ1545" s="40"/>
      <c r="BB1545" s="18"/>
      <c r="BD1545" s="18"/>
      <c r="BE1545" s="18"/>
      <c r="BL1545" s="18"/>
      <c r="BO1545" s="18"/>
      <c r="BZ1545" s="18"/>
      <c r="CD1545" s="18"/>
      <c r="CI1545" s="18"/>
      <c r="CT1545" s="18"/>
      <c r="CZ1545" s="34" t="s">
        <v>87</v>
      </c>
    </row>
    <row r="1546" spans="4:104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L1546" s="30"/>
      <c r="AM1546" s="21"/>
      <c r="AN1546" s="23"/>
      <c r="AX1546" s="40"/>
      <c r="AZ1546" s="40"/>
      <c r="BB1546" s="18"/>
      <c r="BD1546" s="18"/>
      <c r="BE1546" s="18"/>
      <c r="BL1546" s="18"/>
      <c r="BO1546" s="18"/>
      <c r="BZ1546" s="18"/>
      <c r="CD1546" s="18"/>
      <c r="CI1546" s="18"/>
      <c r="CT1546" s="18"/>
      <c r="CZ1546" s="34" t="s">
        <v>87</v>
      </c>
    </row>
    <row r="1547" spans="4:104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L1547" s="30"/>
      <c r="AM1547" s="21"/>
      <c r="AN1547" s="23"/>
      <c r="AX1547" s="40"/>
      <c r="AZ1547" s="40"/>
      <c r="BB1547" s="18"/>
      <c r="BD1547" s="18"/>
      <c r="BE1547" s="18"/>
      <c r="BL1547" s="18"/>
      <c r="BO1547" s="18"/>
      <c r="BZ1547" s="18"/>
      <c r="CD1547" s="18"/>
      <c r="CI1547" s="18"/>
      <c r="CT1547" s="18"/>
      <c r="CZ1547" s="34" t="s">
        <v>87</v>
      </c>
    </row>
    <row r="1548" spans="4:104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L1548" s="30"/>
      <c r="AM1548" s="21"/>
      <c r="AN1548" s="23"/>
      <c r="AX1548" s="40"/>
      <c r="AZ1548" s="40"/>
      <c r="BB1548" s="18"/>
      <c r="BD1548" s="18"/>
      <c r="BE1548" s="18"/>
      <c r="BL1548" s="18"/>
      <c r="BO1548" s="18"/>
      <c r="BZ1548" s="18"/>
      <c r="CD1548" s="18"/>
      <c r="CI1548" s="18"/>
      <c r="CT1548" s="18"/>
      <c r="CZ1548" s="34" t="s">
        <v>87</v>
      </c>
    </row>
    <row r="1549" spans="4:104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L1549" s="30"/>
      <c r="AM1549" s="21"/>
      <c r="AN1549" s="23"/>
      <c r="AX1549" s="40"/>
      <c r="AZ1549" s="40"/>
      <c r="BB1549" s="18"/>
      <c r="BD1549" s="18"/>
      <c r="BE1549" s="18"/>
      <c r="BL1549" s="18"/>
      <c r="BO1549" s="18"/>
      <c r="BZ1549" s="18"/>
      <c r="CD1549" s="18"/>
      <c r="CI1549" s="18"/>
      <c r="CT1549" s="18"/>
      <c r="CZ1549" s="34" t="s">
        <v>87</v>
      </c>
    </row>
    <row r="1550" spans="4:104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L1550" s="30"/>
      <c r="AM1550" s="21"/>
      <c r="AN1550" s="23"/>
      <c r="AX1550" s="40"/>
      <c r="AZ1550" s="40"/>
      <c r="BB1550" s="18"/>
      <c r="BD1550" s="18"/>
      <c r="BE1550" s="18"/>
      <c r="BL1550" s="18"/>
      <c r="BO1550" s="18"/>
      <c r="BZ1550" s="18"/>
      <c r="CD1550" s="18"/>
      <c r="CI1550" s="18"/>
      <c r="CT1550" s="18"/>
      <c r="CZ1550" s="34" t="s">
        <v>87</v>
      </c>
    </row>
    <row r="1551" spans="4:104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L1551" s="30"/>
      <c r="AM1551" s="21"/>
      <c r="AN1551" s="23"/>
      <c r="AX1551" s="40"/>
      <c r="AZ1551" s="40"/>
      <c r="BB1551" s="18"/>
      <c r="BD1551" s="18"/>
      <c r="BE1551" s="18"/>
      <c r="BL1551" s="18"/>
      <c r="BO1551" s="18"/>
      <c r="BZ1551" s="18"/>
      <c r="CD1551" s="18"/>
      <c r="CI1551" s="18"/>
      <c r="CT1551" s="18"/>
      <c r="CZ1551" s="34" t="s">
        <v>87</v>
      </c>
    </row>
    <row r="1552" spans="4:104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L1552" s="30"/>
      <c r="AM1552" s="21"/>
      <c r="AN1552" s="23"/>
      <c r="AX1552" s="40"/>
      <c r="AZ1552" s="40"/>
      <c r="BB1552" s="18"/>
      <c r="BD1552" s="18"/>
      <c r="BE1552" s="18"/>
      <c r="BL1552" s="18"/>
      <c r="BO1552" s="18"/>
      <c r="BZ1552" s="18"/>
      <c r="CD1552" s="18"/>
      <c r="CI1552" s="18"/>
      <c r="CT1552" s="18"/>
      <c r="CZ1552" s="34" t="s">
        <v>87</v>
      </c>
    </row>
    <row r="1553" spans="4:104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L1553" s="30"/>
      <c r="AM1553" s="21"/>
      <c r="AN1553" s="23"/>
      <c r="AX1553" s="40"/>
      <c r="AZ1553" s="40"/>
      <c r="BB1553" s="18"/>
      <c r="BD1553" s="18"/>
      <c r="BE1553" s="18"/>
      <c r="BL1553" s="18"/>
      <c r="BO1553" s="18"/>
      <c r="BZ1553" s="18"/>
      <c r="CD1553" s="18"/>
      <c r="CI1553" s="18"/>
      <c r="CT1553" s="18"/>
      <c r="CZ1553" s="34" t="s">
        <v>87</v>
      </c>
    </row>
    <row r="1554" spans="4:104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L1554" s="30"/>
      <c r="AM1554" s="21"/>
      <c r="AN1554" s="23"/>
      <c r="AX1554" s="40"/>
      <c r="AZ1554" s="40"/>
      <c r="BB1554" s="18"/>
      <c r="BD1554" s="18"/>
      <c r="BE1554" s="18"/>
      <c r="BL1554" s="18"/>
      <c r="BO1554" s="18"/>
      <c r="BZ1554" s="18"/>
      <c r="CD1554" s="18"/>
      <c r="CI1554" s="18"/>
      <c r="CT1554" s="18"/>
      <c r="CZ1554" s="34" t="s">
        <v>87</v>
      </c>
    </row>
    <row r="1555" spans="4:104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L1555" s="30"/>
      <c r="AM1555" s="21"/>
      <c r="AN1555" s="23"/>
      <c r="AX1555" s="40"/>
      <c r="AZ1555" s="40"/>
      <c r="BB1555" s="18"/>
      <c r="BD1555" s="18"/>
      <c r="BE1555" s="18"/>
      <c r="BL1555" s="18"/>
      <c r="BO1555" s="18"/>
      <c r="BZ1555" s="18"/>
      <c r="CD1555" s="18"/>
      <c r="CI1555" s="18"/>
      <c r="CT1555" s="18"/>
      <c r="CZ1555" s="34" t="s">
        <v>87</v>
      </c>
    </row>
    <row r="1556" spans="4:104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L1556" s="30"/>
      <c r="AM1556" s="21"/>
      <c r="AN1556" s="23"/>
      <c r="AX1556" s="40"/>
      <c r="AZ1556" s="40"/>
      <c r="BB1556" s="18"/>
      <c r="BD1556" s="18"/>
      <c r="BE1556" s="18"/>
      <c r="BL1556" s="18"/>
      <c r="BO1556" s="18"/>
      <c r="BZ1556" s="18"/>
      <c r="CD1556" s="18"/>
      <c r="CI1556" s="18"/>
      <c r="CT1556" s="18"/>
      <c r="CZ1556" s="34" t="s">
        <v>87</v>
      </c>
    </row>
    <row r="1557" spans="4:104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L1557" s="30"/>
      <c r="AM1557" s="21"/>
      <c r="AN1557" s="23"/>
      <c r="AX1557" s="40"/>
      <c r="AZ1557" s="40"/>
      <c r="BB1557" s="18"/>
      <c r="BD1557" s="18"/>
      <c r="BE1557" s="18"/>
      <c r="BL1557" s="18"/>
      <c r="BO1557" s="18"/>
      <c r="BZ1557" s="18"/>
      <c r="CD1557" s="18"/>
      <c r="CI1557" s="18"/>
      <c r="CT1557" s="18"/>
      <c r="CZ1557" s="34" t="s">
        <v>87</v>
      </c>
    </row>
    <row r="1558" spans="4:104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L1558" s="30"/>
      <c r="AM1558" s="21"/>
      <c r="AN1558" s="23"/>
      <c r="AX1558" s="40"/>
      <c r="AZ1558" s="40"/>
      <c r="BB1558" s="18"/>
      <c r="BD1558" s="18"/>
      <c r="BE1558" s="18"/>
      <c r="BL1558" s="18"/>
      <c r="BO1558" s="18"/>
      <c r="BZ1558" s="18"/>
      <c r="CD1558" s="18"/>
      <c r="CI1558" s="18"/>
      <c r="CT1558" s="18"/>
      <c r="CZ1558" s="34" t="s">
        <v>87</v>
      </c>
    </row>
    <row r="1559" spans="4:104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L1559" s="30"/>
      <c r="AM1559" s="21"/>
      <c r="AN1559" s="23"/>
      <c r="AX1559" s="40"/>
      <c r="AZ1559" s="40"/>
      <c r="BB1559" s="18"/>
      <c r="BD1559" s="18"/>
      <c r="BE1559" s="18"/>
      <c r="BL1559" s="18"/>
      <c r="BO1559" s="18"/>
      <c r="BZ1559" s="18"/>
      <c r="CD1559" s="18"/>
      <c r="CI1559" s="18"/>
      <c r="CT1559" s="18"/>
      <c r="CZ1559" s="34" t="s">
        <v>87</v>
      </c>
    </row>
    <row r="1560" spans="4:104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L1560" s="30"/>
      <c r="AM1560" s="21"/>
      <c r="AN1560" s="23"/>
      <c r="AX1560" s="40"/>
      <c r="AZ1560" s="40"/>
      <c r="BB1560" s="18"/>
      <c r="BD1560" s="18"/>
      <c r="BE1560" s="18"/>
      <c r="BL1560" s="18"/>
      <c r="BO1560" s="18"/>
      <c r="BZ1560" s="18"/>
      <c r="CD1560" s="18"/>
      <c r="CI1560" s="18"/>
      <c r="CT1560" s="18"/>
      <c r="CZ1560" s="34" t="s">
        <v>87</v>
      </c>
    </row>
    <row r="1561" spans="4:104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L1561" s="30"/>
      <c r="AM1561" s="21"/>
      <c r="AN1561" s="23"/>
      <c r="AX1561" s="40"/>
      <c r="AZ1561" s="40"/>
      <c r="BB1561" s="18"/>
      <c r="BD1561" s="18"/>
      <c r="BE1561" s="18"/>
      <c r="BL1561" s="18"/>
      <c r="BO1561" s="18"/>
      <c r="BZ1561" s="18"/>
      <c r="CD1561" s="18"/>
      <c r="CI1561" s="18"/>
      <c r="CT1561" s="18"/>
      <c r="CZ1561" s="34" t="s">
        <v>87</v>
      </c>
    </row>
    <row r="1562" spans="4:104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L1562" s="30"/>
      <c r="AM1562" s="21"/>
      <c r="AN1562" s="23"/>
      <c r="AX1562" s="40"/>
      <c r="AZ1562" s="40"/>
      <c r="BB1562" s="18"/>
      <c r="BD1562" s="18"/>
      <c r="BE1562" s="18"/>
      <c r="BL1562" s="18"/>
      <c r="BO1562" s="18"/>
      <c r="BZ1562" s="18"/>
      <c r="CD1562" s="18"/>
      <c r="CI1562" s="18"/>
      <c r="CT1562" s="18"/>
      <c r="CZ1562" s="34" t="s">
        <v>87</v>
      </c>
    </row>
    <row r="1563" spans="4:104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L1563" s="30"/>
      <c r="AM1563" s="21"/>
      <c r="AN1563" s="23"/>
      <c r="AX1563" s="40"/>
      <c r="AZ1563" s="40"/>
      <c r="BB1563" s="18"/>
      <c r="BD1563" s="18"/>
      <c r="BE1563" s="18"/>
      <c r="BL1563" s="18"/>
      <c r="BO1563" s="18"/>
      <c r="BZ1563" s="18"/>
      <c r="CD1563" s="18"/>
      <c r="CI1563" s="18"/>
      <c r="CT1563" s="18"/>
      <c r="CZ1563" s="34" t="s">
        <v>87</v>
      </c>
    </row>
    <row r="1564" spans="4:104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L1564" s="30"/>
      <c r="AM1564" s="21"/>
      <c r="AN1564" s="23"/>
      <c r="AX1564" s="40"/>
      <c r="AZ1564" s="40"/>
      <c r="BB1564" s="18"/>
      <c r="BD1564" s="18"/>
      <c r="BE1564" s="18"/>
      <c r="BL1564" s="18"/>
      <c r="BO1564" s="18"/>
      <c r="BZ1564" s="18"/>
      <c r="CD1564" s="18"/>
      <c r="CI1564" s="18"/>
      <c r="CT1564" s="18"/>
      <c r="CZ1564" s="34" t="s">
        <v>87</v>
      </c>
    </row>
    <row r="1565" spans="4:104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L1565" s="30"/>
      <c r="AM1565" s="21"/>
      <c r="AN1565" s="23"/>
      <c r="AX1565" s="40"/>
      <c r="AZ1565" s="40"/>
      <c r="BB1565" s="18"/>
      <c r="BD1565" s="18"/>
      <c r="BE1565" s="18"/>
      <c r="BL1565" s="18"/>
      <c r="BO1565" s="18"/>
      <c r="BZ1565" s="18"/>
      <c r="CD1565" s="18"/>
      <c r="CI1565" s="18"/>
      <c r="CT1565" s="18"/>
      <c r="CZ1565" s="34" t="s">
        <v>87</v>
      </c>
    </row>
    <row r="1566" spans="4:104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L1566" s="30"/>
      <c r="AM1566" s="21"/>
      <c r="AN1566" s="23"/>
      <c r="AX1566" s="40"/>
      <c r="AZ1566" s="40"/>
      <c r="BB1566" s="18"/>
      <c r="BD1566" s="18"/>
      <c r="BE1566" s="18"/>
      <c r="BL1566" s="18"/>
      <c r="BO1566" s="18"/>
      <c r="BZ1566" s="18"/>
      <c r="CD1566" s="18"/>
      <c r="CI1566" s="18"/>
      <c r="CT1566" s="18"/>
      <c r="CZ1566" s="34" t="s">
        <v>87</v>
      </c>
    </row>
    <row r="1567" spans="4:104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L1567" s="30"/>
      <c r="AM1567" s="21"/>
      <c r="AN1567" s="23"/>
      <c r="AX1567" s="40"/>
      <c r="AZ1567" s="40"/>
      <c r="BB1567" s="18"/>
      <c r="BD1567" s="18"/>
      <c r="BE1567" s="18"/>
      <c r="BL1567" s="18"/>
      <c r="BO1567" s="18"/>
      <c r="BZ1567" s="18"/>
      <c r="CD1567" s="18"/>
      <c r="CI1567" s="18"/>
      <c r="CT1567" s="18"/>
      <c r="CZ1567" s="34" t="s">
        <v>87</v>
      </c>
    </row>
    <row r="1568" spans="4:104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L1568" s="30"/>
      <c r="AM1568" s="21"/>
      <c r="AN1568" s="23"/>
      <c r="AX1568" s="40"/>
      <c r="AZ1568" s="40"/>
      <c r="BB1568" s="18"/>
      <c r="BD1568" s="18"/>
      <c r="BE1568" s="18"/>
      <c r="BL1568" s="18"/>
      <c r="BO1568" s="18"/>
      <c r="BZ1568" s="18"/>
      <c r="CD1568" s="18"/>
      <c r="CI1568" s="18"/>
      <c r="CT1568" s="18"/>
      <c r="CZ1568" s="34" t="s">
        <v>87</v>
      </c>
    </row>
    <row r="1569" spans="4:104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L1569" s="30"/>
      <c r="AM1569" s="21"/>
      <c r="AN1569" s="23"/>
      <c r="AX1569" s="40"/>
      <c r="AZ1569" s="40"/>
      <c r="BB1569" s="18"/>
      <c r="BD1569" s="18"/>
      <c r="BE1569" s="18"/>
      <c r="BL1569" s="18"/>
      <c r="BO1569" s="18"/>
      <c r="BZ1569" s="18"/>
      <c r="CD1569" s="18"/>
      <c r="CI1569" s="18"/>
      <c r="CT1569" s="18"/>
      <c r="CZ1569" s="34" t="s">
        <v>87</v>
      </c>
    </row>
    <row r="1570" spans="4:104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L1570" s="30"/>
      <c r="AM1570" s="21"/>
      <c r="AN1570" s="23"/>
      <c r="AX1570" s="40"/>
      <c r="AZ1570" s="40"/>
      <c r="BB1570" s="18"/>
      <c r="BD1570" s="18"/>
      <c r="BE1570" s="18"/>
      <c r="BL1570" s="18"/>
      <c r="BO1570" s="18"/>
      <c r="BZ1570" s="18"/>
      <c r="CD1570" s="18"/>
      <c r="CI1570" s="18"/>
      <c r="CT1570" s="18"/>
      <c r="CZ1570" s="34" t="s">
        <v>87</v>
      </c>
    </row>
    <row r="1571" spans="4:104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L1571" s="30"/>
      <c r="AM1571" s="21"/>
      <c r="AN1571" s="23"/>
      <c r="AX1571" s="40"/>
      <c r="AZ1571" s="40"/>
      <c r="BB1571" s="18"/>
      <c r="BD1571" s="18"/>
      <c r="BE1571" s="18"/>
      <c r="BL1571" s="18"/>
      <c r="BO1571" s="18"/>
      <c r="BZ1571" s="18"/>
      <c r="CD1571" s="18"/>
      <c r="CI1571" s="18"/>
      <c r="CT1571" s="18"/>
      <c r="CZ1571" s="34" t="s">
        <v>87</v>
      </c>
    </row>
    <row r="1572" spans="4:104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L1572" s="30"/>
      <c r="AM1572" s="21"/>
      <c r="AN1572" s="23"/>
      <c r="AX1572" s="40"/>
      <c r="AZ1572" s="40"/>
      <c r="BB1572" s="18"/>
      <c r="BD1572" s="18"/>
      <c r="BE1572" s="18"/>
      <c r="BL1572" s="18"/>
      <c r="BO1572" s="18"/>
      <c r="BZ1572" s="18"/>
      <c r="CD1572" s="18"/>
      <c r="CI1572" s="18"/>
      <c r="CT1572" s="18"/>
      <c r="CZ1572" s="34" t="s">
        <v>87</v>
      </c>
    </row>
    <row r="1573" spans="4:104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L1573" s="30"/>
      <c r="AM1573" s="21"/>
      <c r="AN1573" s="23"/>
      <c r="AX1573" s="40"/>
      <c r="AZ1573" s="40"/>
      <c r="BB1573" s="18"/>
      <c r="BD1573" s="18"/>
      <c r="BE1573" s="18"/>
      <c r="BL1573" s="18"/>
      <c r="BO1573" s="18"/>
      <c r="BZ1573" s="18"/>
      <c r="CD1573" s="18"/>
      <c r="CI1573" s="18"/>
      <c r="CT1573" s="18"/>
      <c r="CZ1573" s="34" t="s">
        <v>87</v>
      </c>
    </row>
    <row r="1574" spans="4:104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L1574" s="30"/>
      <c r="AM1574" s="21"/>
      <c r="AN1574" s="23"/>
      <c r="AX1574" s="40"/>
      <c r="AZ1574" s="40"/>
      <c r="BB1574" s="18"/>
      <c r="BD1574" s="18"/>
      <c r="BE1574" s="18"/>
      <c r="BL1574" s="18"/>
      <c r="BO1574" s="18"/>
      <c r="BZ1574" s="18"/>
      <c r="CD1574" s="18"/>
      <c r="CI1574" s="18"/>
      <c r="CT1574" s="18"/>
      <c r="CZ1574" s="34" t="s">
        <v>87</v>
      </c>
    </row>
    <row r="1575" spans="4:104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L1575" s="30"/>
      <c r="AM1575" s="21"/>
      <c r="AN1575" s="23"/>
      <c r="AX1575" s="40"/>
      <c r="AZ1575" s="40"/>
      <c r="BB1575" s="18"/>
      <c r="BD1575" s="18"/>
      <c r="BE1575" s="18"/>
      <c r="BL1575" s="18"/>
      <c r="BO1575" s="18"/>
      <c r="BZ1575" s="18"/>
      <c r="CD1575" s="18"/>
      <c r="CI1575" s="18"/>
      <c r="CT1575" s="18"/>
      <c r="CZ1575" s="34" t="s">
        <v>87</v>
      </c>
    </row>
    <row r="1576" spans="4:104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L1576" s="30"/>
      <c r="AM1576" s="21"/>
      <c r="AN1576" s="23"/>
      <c r="AX1576" s="40"/>
      <c r="AZ1576" s="40"/>
      <c r="BB1576" s="18"/>
      <c r="BD1576" s="18"/>
      <c r="BE1576" s="18"/>
      <c r="BL1576" s="18"/>
      <c r="BO1576" s="18"/>
      <c r="BZ1576" s="18"/>
      <c r="CD1576" s="18"/>
      <c r="CI1576" s="18"/>
      <c r="CT1576" s="18"/>
      <c r="CZ1576" s="34" t="s">
        <v>87</v>
      </c>
    </row>
    <row r="1577" spans="4:104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L1577" s="30"/>
      <c r="AM1577" s="21"/>
      <c r="AN1577" s="23"/>
      <c r="AX1577" s="40"/>
      <c r="AZ1577" s="40"/>
      <c r="BB1577" s="18"/>
      <c r="BD1577" s="18"/>
      <c r="BE1577" s="18"/>
      <c r="BL1577" s="18"/>
      <c r="BO1577" s="18"/>
      <c r="BZ1577" s="18"/>
      <c r="CD1577" s="18"/>
      <c r="CI1577" s="18"/>
      <c r="CT1577" s="18"/>
      <c r="CZ1577" s="34" t="s">
        <v>87</v>
      </c>
    </row>
    <row r="1578" spans="4:104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L1578" s="30"/>
      <c r="AM1578" s="21"/>
      <c r="AN1578" s="23"/>
      <c r="AX1578" s="40"/>
      <c r="AZ1578" s="40"/>
      <c r="BB1578" s="18"/>
      <c r="BD1578" s="18"/>
      <c r="BE1578" s="18"/>
      <c r="BL1578" s="18"/>
      <c r="BO1578" s="18"/>
      <c r="BZ1578" s="18"/>
      <c r="CD1578" s="18"/>
      <c r="CI1578" s="18"/>
      <c r="CT1578" s="18"/>
      <c r="CZ1578" s="34" t="s">
        <v>87</v>
      </c>
    </row>
    <row r="1579" spans="4:104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L1579" s="30"/>
      <c r="AM1579" s="21"/>
      <c r="AN1579" s="23"/>
      <c r="AX1579" s="40"/>
      <c r="AZ1579" s="40"/>
      <c r="BB1579" s="18"/>
      <c r="BD1579" s="18"/>
      <c r="BE1579" s="18"/>
      <c r="BL1579" s="18"/>
      <c r="BO1579" s="18"/>
      <c r="BZ1579" s="18"/>
      <c r="CD1579" s="18"/>
      <c r="CI1579" s="18"/>
      <c r="CT1579" s="18"/>
      <c r="CZ1579" s="34" t="s">
        <v>87</v>
      </c>
    </row>
    <row r="1580" spans="4:104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L1580" s="30"/>
      <c r="AM1580" s="21"/>
      <c r="AN1580" s="23"/>
      <c r="AX1580" s="40"/>
      <c r="AZ1580" s="40"/>
      <c r="BB1580" s="18"/>
      <c r="BD1580" s="18"/>
      <c r="BE1580" s="18"/>
      <c r="BL1580" s="18"/>
      <c r="BO1580" s="18"/>
      <c r="BZ1580" s="18"/>
      <c r="CD1580" s="18"/>
      <c r="CI1580" s="18"/>
      <c r="CT1580" s="18"/>
      <c r="CZ1580" s="34" t="s">
        <v>87</v>
      </c>
    </row>
    <row r="1581" spans="4:104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L1581" s="30"/>
      <c r="AM1581" s="21"/>
      <c r="AN1581" s="23"/>
      <c r="AX1581" s="40"/>
      <c r="AZ1581" s="40"/>
      <c r="BB1581" s="18"/>
      <c r="BD1581" s="18"/>
      <c r="BE1581" s="18"/>
      <c r="BL1581" s="18"/>
      <c r="BO1581" s="18"/>
      <c r="BZ1581" s="18"/>
      <c r="CD1581" s="18"/>
      <c r="CI1581" s="18"/>
      <c r="CT1581" s="18"/>
      <c r="CZ1581" s="34" t="s">
        <v>87</v>
      </c>
    </row>
    <row r="1582" spans="4:104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L1582" s="30"/>
      <c r="AM1582" s="21"/>
      <c r="AN1582" s="23"/>
      <c r="AX1582" s="40"/>
      <c r="AZ1582" s="40"/>
      <c r="BB1582" s="18"/>
      <c r="BD1582" s="18"/>
      <c r="BE1582" s="18"/>
      <c r="BL1582" s="18"/>
      <c r="BO1582" s="18"/>
      <c r="BZ1582" s="18"/>
      <c r="CD1582" s="18"/>
      <c r="CI1582" s="18"/>
      <c r="CT1582" s="18"/>
      <c r="CZ1582" s="34" t="s">
        <v>87</v>
      </c>
    </row>
    <row r="1583" spans="4:104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L1583" s="30"/>
      <c r="AM1583" s="21"/>
      <c r="AN1583" s="23"/>
      <c r="AX1583" s="40"/>
      <c r="AZ1583" s="40"/>
      <c r="BB1583" s="18"/>
      <c r="BD1583" s="18"/>
      <c r="BE1583" s="18"/>
      <c r="BL1583" s="18"/>
      <c r="BO1583" s="18"/>
      <c r="BZ1583" s="18"/>
      <c r="CD1583" s="18"/>
      <c r="CI1583" s="18"/>
      <c r="CT1583" s="18"/>
      <c r="CZ1583" s="34" t="s">
        <v>87</v>
      </c>
    </row>
    <row r="1584" spans="4:104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L1584" s="30"/>
      <c r="AM1584" s="21"/>
      <c r="AN1584" s="23"/>
      <c r="AX1584" s="40"/>
      <c r="AZ1584" s="40"/>
      <c r="BB1584" s="18"/>
      <c r="BD1584" s="18"/>
      <c r="BE1584" s="18"/>
      <c r="BL1584" s="18"/>
      <c r="BO1584" s="18"/>
      <c r="BZ1584" s="18"/>
      <c r="CD1584" s="18"/>
      <c r="CI1584" s="18"/>
      <c r="CT1584" s="18"/>
      <c r="CZ1584" s="34" t="s">
        <v>87</v>
      </c>
    </row>
    <row r="1585" spans="4:104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L1585" s="30"/>
      <c r="AM1585" s="21"/>
      <c r="AN1585" s="23"/>
      <c r="AX1585" s="40"/>
      <c r="AZ1585" s="40"/>
      <c r="BB1585" s="18"/>
      <c r="BD1585" s="18"/>
      <c r="BE1585" s="18"/>
      <c r="BL1585" s="18"/>
      <c r="BO1585" s="18"/>
      <c r="BZ1585" s="18"/>
      <c r="CD1585" s="18"/>
      <c r="CI1585" s="18"/>
      <c r="CT1585" s="18"/>
      <c r="CZ1585" s="34" t="s">
        <v>87</v>
      </c>
    </row>
    <row r="1586" spans="4:104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L1586" s="30"/>
      <c r="AM1586" s="21"/>
      <c r="AN1586" s="23"/>
      <c r="AX1586" s="40"/>
      <c r="AZ1586" s="40"/>
      <c r="BB1586" s="18"/>
      <c r="BD1586" s="18"/>
      <c r="BE1586" s="18"/>
      <c r="BL1586" s="18"/>
      <c r="BO1586" s="18"/>
      <c r="BZ1586" s="18"/>
      <c r="CD1586" s="18"/>
      <c r="CI1586" s="18"/>
      <c r="CT1586" s="18"/>
      <c r="CZ1586" s="34" t="s">
        <v>87</v>
      </c>
    </row>
    <row r="1587" spans="4:104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L1587" s="30"/>
      <c r="AM1587" s="21"/>
      <c r="AN1587" s="23"/>
      <c r="AX1587" s="40"/>
      <c r="AZ1587" s="40"/>
      <c r="BB1587" s="18"/>
      <c r="BD1587" s="18"/>
      <c r="BE1587" s="18"/>
      <c r="BL1587" s="18"/>
      <c r="BO1587" s="18"/>
      <c r="BZ1587" s="18"/>
      <c r="CD1587" s="18"/>
      <c r="CI1587" s="18"/>
      <c r="CT1587" s="18"/>
      <c r="CZ1587" s="34" t="s">
        <v>87</v>
      </c>
    </row>
    <row r="1588" spans="4:104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L1588" s="30"/>
      <c r="AM1588" s="21"/>
      <c r="AN1588" s="23"/>
      <c r="AX1588" s="40"/>
      <c r="AZ1588" s="40"/>
      <c r="BB1588" s="18"/>
      <c r="BD1588" s="18"/>
      <c r="BE1588" s="18"/>
      <c r="BL1588" s="18"/>
      <c r="BO1588" s="18"/>
      <c r="BZ1588" s="18"/>
      <c r="CD1588" s="18"/>
      <c r="CI1588" s="18"/>
      <c r="CT1588" s="18"/>
      <c r="CZ1588" s="34" t="s">
        <v>87</v>
      </c>
    </row>
    <row r="1589" spans="4:104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L1589" s="30"/>
      <c r="AM1589" s="21"/>
      <c r="AN1589" s="23"/>
      <c r="AX1589" s="40"/>
      <c r="AZ1589" s="40"/>
      <c r="BB1589" s="18"/>
      <c r="BD1589" s="18"/>
      <c r="BE1589" s="18"/>
      <c r="BL1589" s="18"/>
      <c r="BO1589" s="18"/>
      <c r="BZ1589" s="18"/>
      <c r="CD1589" s="18"/>
      <c r="CI1589" s="18"/>
      <c r="CT1589" s="18"/>
      <c r="CZ1589" s="34" t="s">
        <v>87</v>
      </c>
    </row>
    <row r="1590" spans="4:104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L1590" s="30"/>
      <c r="AM1590" s="21"/>
      <c r="AN1590" s="23"/>
      <c r="AX1590" s="40"/>
      <c r="AZ1590" s="40"/>
      <c r="BB1590" s="18"/>
      <c r="BD1590" s="18"/>
      <c r="BE1590" s="18"/>
      <c r="BL1590" s="18"/>
      <c r="BO1590" s="18"/>
      <c r="BZ1590" s="18"/>
      <c r="CD1590" s="18"/>
      <c r="CI1590" s="18"/>
      <c r="CT1590" s="18"/>
      <c r="CZ1590" s="34" t="s">
        <v>87</v>
      </c>
    </row>
    <row r="1591" spans="4:104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L1591" s="30"/>
      <c r="AM1591" s="21"/>
      <c r="AN1591" s="23"/>
      <c r="AX1591" s="40"/>
      <c r="AZ1591" s="40"/>
      <c r="BB1591" s="18"/>
      <c r="BD1591" s="18"/>
      <c r="BE1591" s="18"/>
      <c r="BL1591" s="18"/>
      <c r="BO1591" s="18"/>
      <c r="BZ1591" s="18"/>
      <c r="CD1591" s="18"/>
      <c r="CI1591" s="18"/>
      <c r="CT1591" s="18"/>
      <c r="CZ1591" s="34" t="s">
        <v>87</v>
      </c>
    </row>
    <row r="1592" spans="4:104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L1592" s="30"/>
      <c r="AM1592" s="21"/>
      <c r="AN1592" s="23"/>
      <c r="AX1592" s="40"/>
      <c r="AZ1592" s="40"/>
      <c r="BB1592" s="18"/>
      <c r="BD1592" s="18"/>
      <c r="BE1592" s="18"/>
      <c r="BL1592" s="18"/>
      <c r="BO1592" s="18"/>
      <c r="BZ1592" s="18"/>
      <c r="CD1592" s="18"/>
      <c r="CI1592" s="18"/>
      <c r="CT1592" s="18"/>
      <c r="CZ1592" s="34" t="s">
        <v>87</v>
      </c>
    </row>
    <row r="1593" spans="4:104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L1593" s="30"/>
      <c r="AM1593" s="21"/>
      <c r="AN1593" s="23"/>
      <c r="AX1593" s="40"/>
      <c r="AZ1593" s="40"/>
      <c r="BB1593" s="18"/>
      <c r="BD1593" s="18"/>
      <c r="BE1593" s="18"/>
      <c r="BL1593" s="18"/>
      <c r="BO1593" s="18"/>
      <c r="BZ1593" s="18"/>
      <c r="CD1593" s="18"/>
      <c r="CI1593" s="18"/>
      <c r="CT1593" s="18"/>
      <c r="CZ1593" s="34" t="s">
        <v>87</v>
      </c>
    </row>
    <row r="1594" spans="4:104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L1594" s="30"/>
      <c r="AM1594" s="21"/>
      <c r="AN1594" s="23"/>
      <c r="AX1594" s="40"/>
      <c r="AZ1594" s="40"/>
      <c r="BB1594" s="18"/>
      <c r="BD1594" s="18"/>
      <c r="BE1594" s="18"/>
      <c r="BL1594" s="18"/>
      <c r="BO1594" s="18"/>
      <c r="BZ1594" s="18"/>
      <c r="CD1594" s="18"/>
      <c r="CI1594" s="18"/>
      <c r="CT1594" s="18"/>
      <c r="CZ1594" s="34" t="s">
        <v>87</v>
      </c>
    </row>
    <row r="1595" spans="4:104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L1595" s="30"/>
      <c r="AM1595" s="21"/>
      <c r="AN1595" s="23"/>
      <c r="AX1595" s="40"/>
      <c r="AZ1595" s="40"/>
      <c r="BB1595" s="18"/>
      <c r="BD1595" s="18"/>
      <c r="BE1595" s="18"/>
      <c r="BL1595" s="18"/>
      <c r="BO1595" s="18"/>
      <c r="BZ1595" s="18"/>
      <c r="CD1595" s="18"/>
      <c r="CI1595" s="18"/>
      <c r="CT1595" s="18"/>
      <c r="CZ1595" s="34" t="s">
        <v>87</v>
      </c>
    </row>
    <row r="1596" spans="4:104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L1596" s="30"/>
      <c r="AM1596" s="21"/>
      <c r="AN1596" s="23"/>
      <c r="AX1596" s="40"/>
      <c r="AZ1596" s="40"/>
      <c r="BB1596" s="18"/>
      <c r="BD1596" s="18"/>
      <c r="BE1596" s="18"/>
      <c r="BL1596" s="18"/>
      <c r="BO1596" s="18"/>
      <c r="BZ1596" s="18"/>
      <c r="CD1596" s="18"/>
      <c r="CI1596" s="18"/>
      <c r="CT1596" s="18"/>
      <c r="CZ1596" s="34" t="s">
        <v>87</v>
      </c>
    </row>
    <row r="1597" spans="4:104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L1597" s="30"/>
      <c r="AM1597" s="21"/>
      <c r="AN1597" s="23"/>
      <c r="AX1597" s="40"/>
      <c r="AZ1597" s="40"/>
      <c r="BB1597" s="18"/>
      <c r="BD1597" s="18"/>
      <c r="BE1597" s="18"/>
      <c r="BL1597" s="18"/>
      <c r="BO1597" s="18"/>
      <c r="BZ1597" s="18"/>
      <c r="CD1597" s="18"/>
      <c r="CI1597" s="18"/>
      <c r="CT1597" s="18"/>
      <c r="CZ1597" s="34" t="s">
        <v>87</v>
      </c>
    </row>
    <row r="1598" spans="4:104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L1598" s="30"/>
      <c r="AM1598" s="21"/>
      <c r="AN1598" s="23"/>
      <c r="AX1598" s="40"/>
      <c r="AZ1598" s="40"/>
      <c r="BB1598" s="18"/>
      <c r="BD1598" s="18"/>
      <c r="BE1598" s="18"/>
      <c r="BL1598" s="18"/>
      <c r="BO1598" s="18"/>
      <c r="BZ1598" s="18"/>
      <c r="CD1598" s="18"/>
      <c r="CI1598" s="18"/>
      <c r="CT1598" s="18"/>
      <c r="CZ1598" s="34" t="s">
        <v>87</v>
      </c>
    </row>
    <row r="1599" spans="4:104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L1599" s="30"/>
      <c r="AM1599" s="21"/>
      <c r="AN1599" s="23"/>
      <c r="AX1599" s="40"/>
      <c r="AZ1599" s="40"/>
      <c r="BB1599" s="18"/>
      <c r="BD1599" s="18"/>
      <c r="BE1599" s="18"/>
      <c r="BL1599" s="18"/>
      <c r="BO1599" s="18"/>
      <c r="BZ1599" s="18"/>
      <c r="CD1599" s="18"/>
      <c r="CI1599" s="18"/>
      <c r="CT1599" s="18"/>
      <c r="CZ1599" s="34" t="s">
        <v>87</v>
      </c>
    </row>
    <row r="1600" spans="4:104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L1600" s="30"/>
      <c r="AM1600" s="21"/>
      <c r="AN1600" s="23"/>
      <c r="AX1600" s="40"/>
      <c r="AZ1600" s="40"/>
      <c r="BB1600" s="18"/>
      <c r="BD1600" s="18"/>
      <c r="BE1600" s="18"/>
      <c r="BL1600" s="18"/>
      <c r="BO1600" s="18"/>
      <c r="BZ1600" s="18"/>
      <c r="CD1600" s="18"/>
      <c r="CI1600" s="18"/>
      <c r="CT1600" s="18"/>
      <c r="CZ1600" s="34" t="s">
        <v>87</v>
      </c>
    </row>
    <row r="1601" spans="4:104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L1601" s="30"/>
      <c r="AM1601" s="21"/>
      <c r="AN1601" s="23"/>
      <c r="AX1601" s="40"/>
      <c r="AZ1601" s="40"/>
      <c r="BB1601" s="18"/>
      <c r="BD1601" s="18"/>
      <c r="BE1601" s="18"/>
      <c r="BL1601" s="18"/>
      <c r="BO1601" s="18"/>
      <c r="BZ1601" s="18"/>
      <c r="CD1601" s="18"/>
      <c r="CI1601" s="18"/>
      <c r="CT1601" s="18"/>
      <c r="CZ1601" s="34" t="s">
        <v>87</v>
      </c>
    </row>
    <row r="1602" spans="4:104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L1602" s="30"/>
      <c r="AM1602" s="21"/>
      <c r="AN1602" s="23"/>
      <c r="AX1602" s="40"/>
      <c r="AZ1602" s="40"/>
      <c r="BB1602" s="18"/>
      <c r="BD1602" s="18"/>
      <c r="BE1602" s="18"/>
      <c r="BL1602" s="18"/>
      <c r="BO1602" s="18"/>
      <c r="BZ1602" s="18"/>
      <c r="CD1602" s="18"/>
      <c r="CI1602" s="18"/>
      <c r="CT1602" s="18"/>
      <c r="CZ1602" s="34" t="s">
        <v>87</v>
      </c>
    </row>
    <row r="1603" spans="4:104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L1603" s="30"/>
      <c r="AM1603" s="21"/>
      <c r="AN1603" s="23"/>
      <c r="AX1603" s="40"/>
      <c r="AZ1603" s="40"/>
      <c r="BB1603" s="18"/>
      <c r="BD1603" s="18"/>
      <c r="BE1603" s="18"/>
      <c r="BL1603" s="18"/>
      <c r="BO1603" s="18"/>
      <c r="BZ1603" s="18"/>
      <c r="CD1603" s="18"/>
      <c r="CI1603" s="18"/>
      <c r="CT1603" s="18"/>
      <c r="CZ1603" s="34" t="s">
        <v>87</v>
      </c>
    </row>
    <row r="1604" spans="4:104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L1604" s="30"/>
      <c r="AM1604" s="21"/>
      <c r="AN1604" s="23"/>
      <c r="AX1604" s="40"/>
      <c r="AZ1604" s="40"/>
      <c r="BB1604" s="18"/>
      <c r="BD1604" s="18"/>
      <c r="BE1604" s="18"/>
      <c r="BL1604" s="18"/>
      <c r="BO1604" s="18"/>
      <c r="BZ1604" s="18"/>
      <c r="CD1604" s="18"/>
      <c r="CI1604" s="18"/>
      <c r="CT1604" s="18"/>
      <c r="CZ1604" s="34" t="s">
        <v>87</v>
      </c>
    </row>
    <row r="1605" spans="4:104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L1605" s="30"/>
      <c r="AM1605" s="21"/>
      <c r="AN1605" s="23"/>
      <c r="AX1605" s="40"/>
      <c r="AZ1605" s="40"/>
      <c r="BB1605" s="18"/>
      <c r="BD1605" s="18"/>
      <c r="BE1605" s="18"/>
      <c r="BL1605" s="18"/>
      <c r="BO1605" s="18"/>
      <c r="BZ1605" s="18"/>
      <c r="CD1605" s="18"/>
      <c r="CI1605" s="18"/>
      <c r="CT1605" s="18"/>
      <c r="CZ1605" s="34" t="s">
        <v>87</v>
      </c>
    </row>
    <row r="1606" spans="4:104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L1606" s="30"/>
      <c r="AM1606" s="21"/>
      <c r="AN1606" s="23"/>
      <c r="AX1606" s="40"/>
      <c r="AZ1606" s="40"/>
      <c r="BB1606" s="18"/>
      <c r="BD1606" s="18"/>
      <c r="BE1606" s="18"/>
      <c r="BL1606" s="18"/>
      <c r="BO1606" s="18"/>
      <c r="BZ1606" s="18"/>
      <c r="CD1606" s="18"/>
      <c r="CI1606" s="18"/>
      <c r="CT1606" s="18"/>
      <c r="CZ1606" s="34" t="s">
        <v>87</v>
      </c>
    </row>
    <row r="1607" spans="4:104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L1607" s="30"/>
      <c r="AM1607" s="21"/>
      <c r="AN1607" s="23"/>
      <c r="AX1607" s="40"/>
      <c r="AZ1607" s="40"/>
      <c r="BB1607" s="18"/>
      <c r="BD1607" s="18"/>
      <c r="BE1607" s="18"/>
      <c r="BL1607" s="18"/>
      <c r="BO1607" s="18"/>
      <c r="BZ1607" s="18"/>
      <c r="CD1607" s="18"/>
      <c r="CI1607" s="18"/>
      <c r="CT1607" s="18"/>
      <c r="CZ1607" s="34" t="s">
        <v>87</v>
      </c>
    </row>
    <row r="1608" spans="4:104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L1608" s="30"/>
      <c r="AM1608" s="21"/>
      <c r="AN1608" s="23"/>
      <c r="AX1608" s="40"/>
      <c r="AZ1608" s="40"/>
      <c r="BB1608" s="18"/>
      <c r="BD1608" s="18"/>
      <c r="BE1608" s="18"/>
      <c r="BL1608" s="18"/>
      <c r="BO1608" s="18"/>
      <c r="BZ1608" s="18"/>
      <c r="CD1608" s="18"/>
      <c r="CI1608" s="18"/>
      <c r="CT1608" s="18"/>
      <c r="CZ1608" s="34" t="s">
        <v>87</v>
      </c>
    </row>
    <row r="1609" spans="4:104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L1609" s="30"/>
      <c r="AM1609" s="21"/>
      <c r="AN1609" s="23"/>
      <c r="AX1609" s="40"/>
      <c r="AZ1609" s="40"/>
      <c r="BB1609" s="18"/>
      <c r="BD1609" s="18"/>
      <c r="BE1609" s="18"/>
      <c r="BL1609" s="18"/>
      <c r="BO1609" s="18"/>
      <c r="BZ1609" s="18"/>
      <c r="CD1609" s="18"/>
      <c r="CI1609" s="18"/>
      <c r="CT1609" s="18"/>
      <c r="CZ1609" s="34" t="s">
        <v>87</v>
      </c>
    </row>
    <row r="1610" spans="4:104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L1610" s="30"/>
      <c r="AM1610" s="21"/>
      <c r="AN1610" s="23"/>
      <c r="AX1610" s="40"/>
      <c r="AZ1610" s="40"/>
      <c r="BB1610" s="18"/>
      <c r="BD1610" s="18"/>
      <c r="BE1610" s="18"/>
      <c r="BL1610" s="18"/>
      <c r="BO1610" s="18"/>
      <c r="BZ1610" s="18"/>
      <c r="CD1610" s="18"/>
      <c r="CI1610" s="18"/>
      <c r="CT1610" s="18"/>
      <c r="CZ1610" s="34" t="s">
        <v>87</v>
      </c>
    </row>
    <row r="1611" spans="4:104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L1611" s="30"/>
      <c r="AM1611" s="21"/>
      <c r="AN1611" s="23"/>
      <c r="AX1611" s="40"/>
      <c r="AZ1611" s="40"/>
      <c r="BB1611" s="18"/>
      <c r="BD1611" s="18"/>
      <c r="BE1611" s="18"/>
      <c r="BL1611" s="18"/>
      <c r="BO1611" s="18"/>
      <c r="BZ1611" s="18"/>
      <c r="CD1611" s="18"/>
      <c r="CI1611" s="18"/>
      <c r="CT1611" s="18"/>
      <c r="CZ1611" s="34" t="s">
        <v>87</v>
      </c>
    </row>
    <row r="1612" spans="4:104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L1612" s="30"/>
      <c r="AM1612" s="21"/>
      <c r="AN1612" s="23"/>
      <c r="AX1612" s="40"/>
      <c r="AZ1612" s="40"/>
      <c r="BB1612" s="18"/>
      <c r="BD1612" s="18"/>
      <c r="BE1612" s="18"/>
      <c r="BL1612" s="18"/>
      <c r="BO1612" s="18"/>
      <c r="BZ1612" s="18"/>
      <c r="CD1612" s="18"/>
      <c r="CI1612" s="18"/>
      <c r="CT1612" s="18"/>
      <c r="CZ1612" s="34" t="s">
        <v>87</v>
      </c>
    </row>
    <row r="1613" spans="4:104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L1613" s="30"/>
      <c r="AM1613" s="21"/>
      <c r="AN1613" s="23"/>
      <c r="AX1613" s="40"/>
      <c r="AZ1613" s="40"/>
      <c r="BB1613" s="18"/>
      <c r="BD1613" s="18"/>
      <c r="BE1613" s="18"/>
      <c r="BL1613" s="18"/>
      <c r="BO1613" s="18"/>
      <c r="BZ1613" s="18"/>
      <c r="CD1613" s="18"/>
      <c r="CI1613" s="18"/>
      <c r="CT1613" s="18"/>
      <c r="CZ1613" s="34" t="s">
        <v>87</v>
      </c>
    </row>
    <row r="1614" spans="4:104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L1614" s="30"/>
      <c r="AM1614" s="21"/>
      <c r="AN1614" s="23"/>
      <c r="AX1614" s="40"/>
      <c r="AZ1614" s="40"/>
      <c r="BB1614" s="18"/>
      <c r="BD1614" s="18"/>
      <c r="BE1614" s="18"/>
      <c r="BL1614" s="18"/>
      <c r="BO1614" s="18"/>
      <c r="BZ1614" s="18"/>
      <c r="CD1614" s="18"/>
      <c r="CI1614" s="18"/>
      <c r="CT1614" s="18"/>
      <c r="CZ1614" s="34" t="s">
        <v>87</v>
      </c>
    </row>
    <row r="1615" spans="4:104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L1615" s="30"/>
      <c r="AM1615" s="21"/>
      <c r="AN1615" s="23"/>
      <c r="AX1615" s="40"/>
      <c r="AZ1615" s="40"/>
      <c r="BB1615" s="18"/>
      <c r="BD1615" s="18"/>
      <c r="BE1615" s="18"/>
      <c r="BL1615" s="18"/>
      <c r="BO1615" s="18"/>
      <c r="BZ1615" s="18"/>
      <c r="CD1615" s="18"/>
      <c r="CI1615" s="18"/>
      <c r="CT1615" s="18"/>
      <c r="CZ1615" s="34" t="s">
        <v>87</v>
      </c>
    </row>
    <row r="1616" spans="4:104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L1616" s="30"/>
      <c r="AM1616" s="21"/>
      <c r="AN1616" s="23"/>
      <c r="AX1616" s="40"/>
      <c r="AZ1616" s="40"/>
      <c r="BB1616" s="18"/>
      <c r="BD1616" s="18"/>
      <c r="BE1616" s="18"/>
      <c r="BL1616" s="18"/>
      <c r="BO1616" s="18"/>
      <c r="BZ1616" s="18"/>
      <c r="CD1616" s="18"/>
      <c r="CI1616" s="18"/>
      <c r="CT1616" s="18"/>
      <c r="CZ1616" s="34" t="s">
        <v>87</v>
      </c>
    </row>
    <row r="1617" spans="4:104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L1617" s="30"/>
      <c r="AM1617" s="21"/>
      <c r="AN1617" s="23"/>
      <c r="AX1617" s="40"/>
      <c r="AZ1617" s="40"/>
      <c r="BB1617" s="18"/>
      <c r="BD1617" s="18"/>
      <c r="BE1617" s="18"/>
      <c r="BL1617" s="18"/>
      <c r="BO1617" s="18"/>
      <c r="BZ1617" s="18"/>
      <c r="CD1617" s="18"/>
      <c r="CI1617" s="18"/>
      <c r="CT1617" s="18"/>
      <c r="CZ1617" s="34" t="s">
        <v>87</v>
      </c>
    </row>
    <row r="1618" spans="4:104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L1618" s="30"/>
      <c r="AM1618" s="21"/>
      <c r="AN1618" s="23"/>
      <c r="AX1618" s="40"/>
      <c r="AZ1618" s="40"/>
      <c r="BB1618" s="18"/>
      <c r="BD1618" s="18"/>
      <c r="BE1618" s="18"/>
      <c r="BL1618" s="18"/>
      <c r="BO1618" s="18"/>
      <c r="BZ1618" s="18"/>
      <c r="CD1618" s="18"/>
      <c r="CI1618" s="18"/>
      <c r="CT1618" s="18"/>
      <c r="CZ1618" s="34" t="s">
        <v>87</v>
      </c>
    </row>
    <row r="1619" spans="4:104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L1619" s="30"/>
      <c r="AM1619" s="21"/>
      <c r="AN1619" s="23"/>
      <c r="AX1619" s="40"/>
      <c r="AZ1619" s="40"/>
      <c r="BB1619" s="18"/>
      <c r="BD1619" s="18"/>
      <c r="BE1619" s="18"/>
      <c r="BL1619" s="18"/>
      <c r="BO1619" s="18"/>
      <c r="BZ1619" s="18"/>
      <c r="CD1619" s="18"/>
      <c r="CI1619" s="18"/>
      <c r="CT1619" s="18"/>
      <c r="CZ1619" s="34" t="s">
        <v>87</v>
      </c>
    </row>
    <row r="1620" spans="4:104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L1620" s="30"/>
      <c r="AM1620" s="21"/>
      <c r="AN1620" s="23"/>
      <c r="AX1620" s="40"/>
      <c r="AZ1620" s="40"/>
      <c r="BB1620" s="18"/>
      <c r="BD1620" s="18"/>
      <c r="BE1620" s="18"/>
      <c r="BL1620" s="18"/>
      <c r="BO1620" s="18"/>
      <c r="BZ1620" s="18"/>
      <c r="CD1620" s="18"/>
      <c r="CI1620" s="18"/>
      <c r="CT1620" s="18"/>
      <c r="CZ1620" s="34" t="s">
        <v>87</v>
      </c>
    </row>
    <row r="1621" spans="4:104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L1621" s="30"/>
      <c r="AM1621" s="21"/>
      <c r="AN1621" s="23"/>
      <c r="AX1621" s="40"/>
      <c r="AZ1621" s="40"/>
      <c r="BB1621" s="18"/>
      <c r="BD1621" s="18"/>
      <c r="BE1621" s="18"/>
      <c r="BL1621" s="18"/>
      <c r="BO1621" s="18"/>
      <c r="BZ1621" s="18"/>
      <c r="CD1621" s="18"/>
      <c r="CI1621" s="18"/>
      <c r="CT1621" s="18"/>
      <c r="CZ1621" s="34" t="s">
        <v>87</v>
      </c>
    </row>
    <row r="1622" spans="4:104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L1622" s="30"/>
      <c r="AM1622" s="21"/>
      <c r="AN1622" s="23"/>
      <c r="AX1622" s="40"/>
      <c r="AZ1622" s="40"/>
      <c r="BB1622" s="18"/>
      <c r="BD1622" s="18"/>
      <c r="BE1622" s="18"/>
      <c r="BL1622" s="18"/>
      <c r="BO1622" s="18"/>
      <c r="BZ1622" s="18"/>
      <c r="CD1622" s="18"/>
      <c r="CI1622" s="18"/>
      <c r="CT1622" s="18"/>
      <c r="CZ1622" s="34" t="s">
        <v>87</v>
      </c>
    </row>
    <row r="1623" spans="4:104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L1623" s="30"/>
      <c r="AM1623" s="21"/>
      <c r="AN1623" s="23"/>
      <c r="AX1623" s="40"/>
      <c r="AZ1623" s="40"/>
      <c r="BB1623" s="18"/>
      <c r="BD1623" s="18"/>
      <c r="BE1623" s="18"/>
      <c r="BL1623" s="18"/>
      <c r="BO1623" s="18"/>
      <c r="BZ1623" s="18"/>
      <c r="CD1623" s="18"/>
      <c r="CI1623" s="18"/>
      <c r="CT1623" s="18"/>
      <c r="CZ1623" s="34" t="s">
        <v>87</v>
      </c>
    </row>
    <row r="1624" spans="4:104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L1624" s="30"/>
      <c r="AM1624" s="21"/>
      <c r="AN1624" s="23"/>
      <c r="AX1624" s="40"/>
      <c r="AZ1624" s="40"/>
      <c r="BB1624" s="18"/>
      <c r="BD1624" s="18"/>
      <c r="BE1624" s="18"/>
      <c r="BL1624" s="18"/>
      <c r="BO1624" s="18"/>
      <c r="BZ1624" s="18"/>
      <c r="CD1624" s="18"/>
      <c r="CI1624" s="18"/>
      <c r="CT1624" s="18"/>
      <c r="CZ1624" s="34" t="s">
        <v>87</v>
      </c>
    </row>
    <row r="1625" spans="4:104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L1625" s="30"/>
      <c r="AM1625" s="21"/>
      <c r="AN1625" s="23"/>
      <c r="AX1625" s="40"/>
      <c r="AZ1625" s="40"/>
      <c r="BB1625" s="18"/>
      <c r="BD1625" s="18"/>
      <c r="BE1625" s="18"/>
      <c r="BL1625" s="18"/>
      <c r="BO1625" s="18"/>
      <c r="BZ1625" s="18"/>
      <c r="CD1625" s="18"/>
      <c r="CI1625" s="18"/>
      <c r="CT1625" s="18"/>
      <c r="CZ1625" s="34" t="s">
        <v>87</v>
      </c>
    </row>
    <row r="1626" spans="4:104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L1626" s="30"/>
      <c r="AM1626" s="21"/>
      <c r="AN1626" s="23"/>
      <c r="AX1626" s="40"/>
      <c r="AZ1626" s="40"/>
      <c r="BB1626" s="18"/>
      <c r="BD1626" s="18"/>
      <c r="BE1626" s="18"/>
      <c r="BL1626" s="18"/>
      <c r="BO1626" s="18"/>
      <c r="BZ1626" s="18"/>
      <c r="CD1626" s="18"/>
      <c r="CI1626" s="18"/>
      <c r="CT1626" s="18"/>
      <c r="CZ1626" s="34" t="s">
        <v>87</v>
      </c>
    </row>
    <row r="1627" spans="4:104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L1627" s="30"/>
      <c r="AM1627" s="21"/>
      <c r="AN1627" s="23"/>
      <c r="AX1627" s="40"/>
      <c r="AZ1627" s="40"/>
      <c r="BB1627" s="18"/>
      <c r="BD1627" s="18"/>
      <c r="BE1627" s="18"/>
      <c r="BL1627" s="18"/>
      <c r="BO1627" s="18"/>
      <c r="BZ1627" s="18"/>
      <c r="CD1627" s="18"/>
      <c r="CI1627" s="18"/>
      <c r="CT1627" s="18"/>
      <c r="CZ1627" s="34" t="s">
        <v>87</v>
      </c>
    </row>
    <row r="1628" spans="4:104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L1628" s="30"/>
      <c r="AM1628" s="21"/>
      <c r="AN1628" s="23"/>
      <c r="AX1628" s="40"/>
      <c r="AZ1628" s="40"/>
      <c r="BB1628" s="18"/>
      <c r="BD1628" s="18"/>
      <c r="BE1628" s="18"/>
      <c r="BL1628" s="18"/>
      <c r="BO1628" s="18"/>
      <c r="BZ1628" s="18"/>
      <c r="CD1628" s="18"/>
      <c r="CI1628" s="18"/>
      <c r="CT1628" s="18"/>
      <c r="CZ1628" s="34" t="s">
        <v>87</v>
      </c>
    </row>
    <row r="1629" spans="4:104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L1629" s="30"/>
      <c r="AM1629" s="21"/>
      <c r="AN1629" s="23"/>
      <c r="AX1629" s="40"/>
      <c r="AZ1629" s="40"/>
      <c r="BB1629" s="18"/>
      <c r="BD1629" s="18"/>
      <c r="BE1629" s="18"/>
      <c r="BL1629" s="18"/>
      <c r="BO1629" s="18"/>
      <c r="BZ1629" s="18"/>
      <c r="CD1629" s="18"/>
      <c r="CI1629" s="18"/>
      <c r="CT1629" s="18"/>
      <c r="CZ1629" s="34" t="s">
        <v>87</v>
      </c>
    </row>
    <row r="1630" spans="4:104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L1630" s="30"/>
      <c r="AM1630" s="21"/>
      <c r="AN1630" s="23"/>
      <c r="AX1630" s="40"/>
      <c r="AZ1630" s="40"/>
      <c r="BB1630" s="18"/>
      <c r="BD1630" s="18"/>
      <c r="BE1630" s="18"/>
      <c r="BL1630" s="18"/>
      <c r="BO1630" s="18"/>
      <c r="BZ1630" s="18"/>
      <c r="CD1630" s="18"/>
      <c r="CI1630" s="18"/>
      <c r="CT1630" s="18"/>
      <c r="CZ1630" s="34" t="s">
        <v>87</v>
      </c>
    </row>
    <row r="1631" spans="4:104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L1631" s="30"/>
      <c r="AM1631" s="21"/>
      <c r="AN1631" s="23"/>
      <c r="AX1631" s="40"/>
      <c r="AZ1631" s="40"/>
      <c r="BB1631" s="18"/>
      <c r="BD1631" s="18"/>
      <c r="BE1631" s="18"/>
      <c r="BL1631" s="18"/>
      <c r="BO1631" s="18"/>
      <c r="BZ1631" s="18"/>
      <c r="CD1631" s="18"/>
      <c r="CI1631" s="18"/>
      <c r="CT1631" s="18"/>
      <c r="CZ1631" s="34" t="s">
        <v>87</v>
      </c>
    </row>
    <row r="1632" spans="4:104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L1632" s="30"/>
      <c r="AM1632" s="21"/>
      <c r="AN1632" s="23"/>
      <c r="AX1632" s="40"/>
      <c r="AZ1632" s="40"/>
      <c r="BB1632" s="18"/>
      <c r="BD1632" s="18"/>
      <c r="BE1632" s="18"/>
      <c r="BL1632" s="18"/>
      <c r="BO1632" s="18"/>
      <c r="BZ1632" s="18"/>
      <c r="CD1632" s="18"/>
      <c r="CI1632" s="18"/>
      <c r="CT1632" s="18"/>
      <c r="CZ1632" s="34" t="s">
        <v>87</v>
      </c>
    </row>
    <row r="1633" spans="4:104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L1633" s="30"/>
      <c r="AM1633" s="21"/>
      <c r="AN1633" s="23"/>
      <c r="AX1633" s="40"/>
      <c r="AZ1633" s="40"/>
      <c r="BB1633" s="18"/>
      <c r="BD1633" s="18"/>
      <c r="BE1633" s="18"/>
      <c r="BL1633" s="18"/>
      <c r="BO1633" s="18"/>
      <c r="BZ1633" s="18"/>
      <c r="CD1633" s="18"/>
      <c r="CI1633" s="18"/>
      <c r="CT1633" s="18"/>
      <c r="CZ1633" s="34" t="s">
        <v>87</v>
      </c>
    </row>
    <row r="1634" spans="4:104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L1634" s="30"/>
      <c r="AM1634" s="21"/>
      <c r="AN1634" s="23"/>
      <c r="AX1634" s="40"/>
      <c r="AZ1634" s="40"/>
      <c r="BB1634" s="18"/>
      <c r="BD1634" s="18"/>
      <c r="BE1634" s="18"/>
      <c r="BL1634" s="18"/>
      <c r="BO1634" s="18"/>
      <c r="BZ1634" s="18"/>
      <c r="CD1634" s="18"/>
      <c r="CI1634" s="18"/>
      <c r="CT1634" s="18"/>
      <c r="CZ1634" s="34" t="s">
        <v>87</v>
      </c>
    </row>
    <row r="1635" spans="4:104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L1635" s="30"/>
      <c r="AM1635" s="21"/>
      <c r="AN1635" s="23"/>
      <c r="AX1635" s="40"/>
      <c r="AZ1635" s="40"/>
      <c r="BB1635" s="18"/>
      <c r="BD1635" s="18"/>
      <c r="BE1635" s="18"/>
      <c r="BL1635" s="18"/>
      <c r="BO1635" s="18"/>
      <c r="BZ1635" s="18"/>
      <c r="CD1635" s="18"/>
      <c r="CI1635" s="18"/>
      <c r="CT1635" s="18"/>
      <c r="CZ1635" s="34" t="s">
        <v>87</v>
      </c>
    </row>
    <row r="1636" spans="4:104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L1636" s="30"/>
      <c r="AM1636" s="21"/>
      <c r="AN1636" s="23"/>
      <c r="AX1636" s="40"/>
      <c r="AZ1636" s="40"/>
      <c r="BB1636" s="18"/>
      <c r="BD1636" s="18"/>
      <c r="BE1636" s="18"/>
      <c r="BL1636" s="18"/>
      <c r="BO1636" s="18"/>
      <c r="BZ1636" s="18"/>
      <c r="CD1636" s="18"/>
      <c r="CI1636" s="18"/>
      <c r="CT1636" s="18"/>
      <c r="CZ1636" s="34" t="s">
        <v>87</v>
      </c>
    </row>
    <row r="1637" spans="4:104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L1637" s="30"/>
      <c r="AM1637" s="21"/>
      <c r="AN1637" s="23"/>
      <c r="AX1637" s="40"/>
      <c r="AZ1637" s="40"/>
      <c r="BB1637" s="18"/>
      <c r="BD1637" s="18"/>
      <c r="BE1637" s="18"/>
      <c r="BL1637" s="18"/>
      <c r="BO1637" s="18"/>
      <c r="BZ1637" s="18"/>
      <c r="CD1637" s="18"/>
      <c r="CI1637" s="18"/>
      <c r="CT1637" s="18"/>
      <c r="CZ1637" s="34" t="s">
        <v>87</v>
      </c>
    </row>
    <row r="1638" spans="4:104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L1638" s="30"/>
      <c r="AM1638" s="21"/>
      <c r="AN1638" s="23"/>
      <c r="AX1638" s="40"/>
      <c r="AZ1638" s="40"/>
      <c r="BB1638" s="18"/>
      <c r="BD1638" s="18"/>
      <c r="BE1638" s="18"/>
      <c r="BL1638" s="18"/>
      <c r="BO1638" s="18"/>
      <c r="BZ1638" s="18"/>
      <c r="CD1638" s="18"/>
      <c r="CI1638" s="18"/>
      <c r="CT1638" s="18"/>
      <c r="CZ1638" s="34" t="s">
        <v>87</v>
      </c>
    </row>
    <row r="1639" spans="4:104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L1639" s="30"/>
      <c r="AM1639" s="21"/>
      <c r="AN1639" s="23"/>
      <c r="AX1639" s="40"/>
      <c r="AZ1639" s="40"/>
      <c r="BB1639" s="18"/>
      <c r="BD1639" s="18"/>
      <c r="BE1639" s="18"/>
      <c r="BL1639" s="18"/>
      <c r="BO1639" s="18"/>
      <c r="BZ1639" s="18"/>
      <c r="CD1639" s="18"/>
      <c r="CI1639" s="18"/>
      <c r="CT1639" s="18"/>
      <c r="CZ1639" s="34" t="s">
        <v>87</v>
      </c>
    </row>
    <row r="1640" spans="4:104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L1640" s="30"/>
      <c r="AM1640" s="21"/>
      <c r="AN1640" s="23"/>
      <c r="AX1640" s="40"/>
      <c r="AZ1640" s="40"/>
      <c r="BB1640" s="18"/>
      <c r="BD1640" s="18"/>
      <c r="BE1640" s="18"/>
      <c r="BL1640" s="18"/>
      <c r="BO1640" s="18"/>
      <c r="BZ1640" s="18"/>
      <c r="CD1640" s="18"/>
      <c r="CI1640" s="18"/>
      <c r="CT1640" s="18"/>
      <c r="CZ1640" s="34" t="s">
        <v>87</v>
      </c>
    </row>
    <row r="1641" spans="4:104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L1641" s="30"/>
      <c r="AM1641" s="21"/>
      <c r="AN1641" s="23"/>
      <c r="AX1641" s="40"/>
      <c r="AZ1641" s="40"/>
      <c r="BB1641" s="18"/>
      <c r="BD1641" s="18"/>
      <c r="BE1641" s="18"/>
      <c r="BL1641" s="18"/>
      <c r="BO1641" s="18"/>
      <c r="BZ1641" s="18"/>
      <c r="CD1641" s="18"/>
      <c r="CI1641" s="18"/>
      <c r="CT1641" s="18"/>
      <c r="CZ1641" s="34" t="s">
        <v>87</v>
      </c>
    </row>
    <row r="1642" spans="4:104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L1642" s="30"/>
      <c r="AM1642" s="21"/>
      <c r="AN1642" s="23"/>
      <c r="AX1642" s="40"/>
      <c r="AZ1642" s="40"/>
      <c r="BB1642" s="18"/>
      <c r="BD1642" s="18"/>
      <c r="BE1642" s="18"/>
      <c r="BL1642" s="18"/>
      <c r="BO1642" s="18"/>
      <c r="BZ1642" s="18"/>
      <c r="CD1642" s="18"/>
      <c r="CI1642" s="18"/>
      <c r="CT1642" s="18"/>
      <c r="CZ1642" s="34" t="s">
        <v>87</v>
      </c>
    </row>
    <row r="1643" spans="4:104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L1643" s="30"/>
      <c r="AM1643" s="21"/>
      <c r="AN1643" s="23"/>
      <c r="AX1643" s="40"/>
      <c r="AZ1643" s="40"/>
      <c r="BB1643" s="18"/>
      <c r="BD1643" s="18"/>
      <c r="BE1643" s="18"/>
      <c r="BL1643" s="18"/>
      <c r="BO1643" s="18"/>
      <c r="BZ1643" s="18"/>
      <c r="CD1643" s="18"/>
      <c r="CI1643" s="18"/>
      <c r="CT1643" s="18"/>
      <c r="CZ1643" s="34" t="s">
        <v>87</v>
      </c>
    </row>
    <row r="1644" spans="4:104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L1644" s="30"/>
      <c r="AM1644" s="21"/>
      <c r="AN1644" s="23"/>
      <c r="AX1644" s="40"/>
      <c r="AZ1644" s="40"/>
      <c r="BB1644" s="18"/>
      <c r="BD1644" s="18"/>
      <c r="BE1644" s="18"/>
      <c r="BL1644" s="18"/>
      <c r="BO1644" s="18"/>
      <c r="BZ1644" s="18"/>
      <c r="CD1644" s="18"/>
      <c r="CI1644" s="18"/>
      <c r="CT1644" s="18"/>
      <c r="CZ1644" s="34" t="s">
        <v>87</v>
      </c>
    </row>
    <row r="1645" spans="4:104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L1645" s="30"/>
      <c r="AM1645" s="21"/>
      <c r="AN1645" s="23"/>
      <c r="AX1645" s="40"/>
      <c r="AZ1645" s="40"/>
      <c r="BB1645" s="18"/>
      <c r="BD1645" s="18"/>
      <c r="BE1645" s="18"/>
      <c r="BL1645" s="18"/>
      <c r="BO1645" s="18"/>
      <c r="BZ1645" s="18"/>
      <c r="CD1645" s="18"/>
      <c r="CI1645" s="18"/>
      <c r="CT1645" s="18"/>
      <c r="CZ1645" s="34" t="s">
        <v>87</v>
      </c>
    </row>
    <row r="1646" spans="4:104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L1646" s="30"/>
      <c r="AM1646" s="21"/>
      <c r="AN1646" s="23"/>
      <c r="AX1646" s="40"/>
      <c r="AZ1646" s="40"/>
      <c r="BB1646" s="18"/>
      <c r="BD1646" s="18"/>
      <c r="BE1646" s="18"/>
      <c r="BL1646" s="18"/>
      <c r="BO1646" s="18"/>
      <c r="BZ1646" s="18"/>
      <c r="CD1646" s="18"/>
      <c r="CI1646" s="18"/>
      <c r="CT1646" s="18"/>
      <c r="CZ1646" s="34" t="s">
        <v>87</v>
      </c>
    </row>
    <row r="1647" spans="4:104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L1647" s="30"/>
      <c r="AM1647" s="21"/>
      <c r="AN1647" s="23"/>
      <c r="AX1647" s="40"/>
      <c r="AZ1647" s="40"/>
      <c r="BB1647" s="18"/>
      <c r="BD1647" s="18"/>
      <c r="BE1647" s="18"/>
      <c r="BL1647" s="18"/>
      <c r="BO1647" s="18"/>
      <c r="BZ1647" s="18"/>
      <c r="CD1647" s="18"/>
      <c r="CI1647" s="18"/>
      <c r="CT1647" s="18"/>
      <c r="CZ1647" s="34" t="s">
        <v>87</v>
      </c>
    </row>
    <row r="1648" spans="4:104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L1648" s="30"/>
      <c r="AM1648" s="21"/>
      <c r="AN1648" s="23"/>
      <c r="AX1648" s="40"/>
      <c r="AZ1648" s="40"/>
      <c r="BB1648" s="18"/>
      <c r="BD1648" s="18"/>
      <c r="BE1648" s="18"/>
      <c r="BL1648" s="18"/>
      <c r="BO1648" s="18"/>
      <c r="BZ1648" s="18"/>
      <c r="CD1648" s="18"/>
      <c r="CI1648" s="18"/>
      <c r="CT1648" s="18"/>
      <c r="CZ1648" s="34" t="s">
        <v>87</v>
      </c>
    </row>
    <row r="1649" spans="4:104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L1649" s="30"/>
      <c r="AM1649" s="21"/>
      <c r="AN1649" s="23"/>
      <c r="AX1649" s="40"/>
      <c r="AZ1649" s="40"/>
      <c r="BB1649" s="18"/>
      <c r="BD1649" s="18"/>
      <c r="BE1649" s="18"/>
      <c r="BL1649" s="18"/>
      <c r="BO1649" s="18"/>
      <c r="BZ1649" s="18"/>
      <c r="CD1649" s="18"/>
      <c r="CI1649" s="18"/>
      <c r="CT1649" s="18"/>
      <c r="CZ1649" s="34" t="s">
        <v>87</v>
      </c>
    </row>
    <row r="1650" spans="4:104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L1650" s="30"/>
      <c r="AM1650" s="21"/>
      <c r="AN1650" s="23"/>
      <c r="AX1650" s="40"/>
      <c r="AZ1650" s="40"/>
      <c r="BB1650" s="18"/>
      <c r="BD1650" s="18"/>
      <c r="BE1650" s="18"/>
      <c r="BL1650" s="18"/>
      <c r="BO1650" s="18"/>
      <c r="BZ1650" s="18"/>
      <c r="CD1650" s="18"/>
      <c r="CI1650" s="18"/>
      <c r="CT1650" s="18"/>
      <c r="CZ1650" s="34" t="s">
        <v>87</v>
      </c>
    </row>
    <row r="1651" spans="4:104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L1651" s="30"/>
      <c r="AM1651" s="21"/>
      <c r="AN1651" s="23"/>
      <c r="AX1651" s="40"/>
      <c r="AZ1651" s="40"/>
      <c r="BB1651" s="18"/>
      <c r="BD1651" s="18"/>
      <c r="BE1651" s="18"/>
      <c r="BL1651" s="18"/>
      <c r="BO1651" s="18"/>
      <c r="BZ1651" s="18"/>
      <c r="CD1651" s="18"/>
      <c r="CI1651" s="18"/>
      <c r="CT1651" s="18"/>
      <c r="CZ1651" s="34" t="s">
        <v>87</v>
      </c>
    </row>
    <row r="1652" spans="4:104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L1652" s="30"/>
      <c r="AM1652" s="21"/>
      <c r="AN1652" s="23"/>
      <c r="AX1652" s="40"/>
      <c r="AZ1652" s="40"/>
      <c r="BB1652" s="18"/>
      <c r="BD1652" s="18"/>
      <c r="BE1652" s="18"/>
      <c r="BL1652" s="18"/>
      <c r="BO1652" s="18"/>
      <c r="BZ1652" s="18"/>
      <c r="CD1652" s="18"/>
      <c r="CI1652" s="18"/>
      <c r="CT1652" s="18"/>
      <c r="CZ1652" s="34" t="s">
        <v>87</v>
      </c>
    </row>
    <row r="1653" spans="4:104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L1653" s="30"/>
      <c r="AM1653" s="21"/>
      <c r="AN1653" s="23"/>
      <c r="AX1653" s="40"/>
      <c r="AZ1653" s="40"/>
      <c r="BB1653" s="18"/>
      <c r="BD1653" s="18"/>
      <c r="BE1653" s="18"/>
      <c r="BL1653" s="18"/>
      <c r="BO1653" s="18"/>
      <c r="BZ1653" s="18"/>
      <c r="CD1653" s="18"/>
      <c r="CI1653" s="18"/>
      <c r="CT1653" s="18"/>
      <c r="CZ1653" s="34" t="s">
        <v>87</v>
      </c>
    </row>
    <row r="1654" spans="4:104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L1654" s="30"/>
      <c r="AM1654" s="21"/>
      <c r="AN1654" s="23"/>
      <c r="AX1654" s="40"/>
      <c r="AZ1654" s="40"/>
      <c r="BB1654" s="18"/>
      <c r="BD1654" s="18"/>
      <c r="BE1654" s="18"/>
      <c r="BL1654" s="18"/>
      <c r="BO1654" s="18"/>
      <c r="BZ1654" s="18"/>
      <c r="CD1654" s="18"/>
      <c r="CI1654" s="18"/>
      <c r="CT1654" s="18"/>
      <c r="CZ1654" s="34" t="s">
        <v>87</v>
      </c>
    </row>
    <row r="1655" spans="4:104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L1655" s="30"/>
      <c r="AM1655" s="21"/>
      <c r="AN1655" s="23"/>
      <c r="AX1655" s="40"/>
      <c r="AZ1655" s="40"/>
      <c r="BB1655" s="18"/>
      <c r="BD1655" s="18"/>
      <c r="BE1655" s="18"/>
      <c r="BL1655" s="18"/>
      <c r="BO1655" s="18"/>
      <c r="BZ1655" s="18"/>
      <c r="CD1655" s="18"/>
      <c r="CI1655" s="18"/>
      <c r="CT1655" s="18"/>
      <c r="CZ1655" s="34" t="s">
        <v>87</v>
      </c>
    </row>
    <row r="1656" spans="4:104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L1656" s="30"/>
      <c r="AM1656" s="21"/>
      <c r="AN1656" s="23"/>
      <c r="AX1656" s="40"/>
      <c r="AZ1656" s="40"/>
      <c r="BB1656" s="18"/>
      <c r="BD1656" s="18"/>
      <c r="BE1656" s="18"/>
      <c r="BL1656" s="18"/>
      <c r="BO1656" s="18"/>
      <c r="BZ1656" s="18"/>
      <c r="CD1656" s="18"/>
      <c r="CI1656" s="18"/>
      <c r="CT1656" s="18"/>
      <c r="CZ1656" s="34" t="s">
        <v>87</v>
      </c>
    </row>
    <row r="1657" spans="4:104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L1657" s="30"/>
      <c r="AM1657" s="21"/>
      <c r="AN1657" s="23"/>
      <c r="AX1657" s="40"/>
      <c r="AZ1657" s="40"/>
      <c r="BB1657" s="18"/>
      <c r="BD1657" s="18"/>
      <c r="BE1657" s="18"/>
      <c r="BL1657" s="18"/>
      <c r="BO1657" s="18"/>
      <c r="BZ1657" s="18"/>
      <c r="CD1657" s="18"/>
      <c r="CI1657" s="18"/>
      <c r="CT1657" s="18"/>
      <c r="CZ1657" s="34" t="s">
        <v>87</v>
      </c>
    </row>
    <row r="1658" spans="4:104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L1658" s="30"/>
      <c r="AM1658" s="21"/>
      <c r="AN1658" s="23"/>
      <c r="AX1658" s="40"/>
      <c r="AZ1658" s="40"/>
      <c r="BB1658" s="18"/>
      <c r="BD1658" s="18"/>
      <c r="BE1658" s="18"/>
      <c r="BL1658" s="18"/>
      <c r="BO1658" s="18"/>
      <c r="BZ1658" s="18"/>
      <c r="CD1658" s="18"/>
      <c r="CI1658" s="18"/>
      <c r="CT1658" s="18"/>
      <c r="CZ1658" s="34" t="s">
        <v>87</v>
      </c>
    </row>
    <row r="1659" spans="4:104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L1659" s="30"/>
      <c r="AM1659" s="21"/>
      <c r="AN1659" s="23"/>
      <c r="AX1659" s="40"/>
      <c r="AZ1659" s="40"/>
      <c r="BB1659" s="18"/>
      <c r="BD1659" s="18"/>
      <c r="BE1659" s="18"/>
      <c r="BL1659" s="18"/>
      <c r="BO1659" s="18"/>
      <c r="BZ1659" s="18"/>
      <c r="CD1659" s="18"/>
      <c r="CI1659" s="18"/>
      <c r="CT1659" s="18"/>
      <c r="CZ1659" s="34" t="s">
        <v>87</v>
      </c>
    </row>
    <row r="1660" spans="4:104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L1660" s="30"/>
      <c r="AM1660" s="21"/>
      <c r="AN1660" s="23"/>
      <c r="AX1660" s="40"/>
      <c r="AZ1660" s="40"/>
      <c r="BB1660" s="18"/>
      <c r="BD1660" s="18"/>
      <c r="BE1660" s="18"/>
      <c r="BL1660" s="18"/>
      <c r="BO1660" s="18"/>
      <c r="BZ1660" s="18"/>
      <c r="CD1660" s="18"/>
      <c r="CI1660" s="18"/>
      <c r="CT1660" s="18"/>
      <c r="CZ1660" s="34" t="s">
        <v>87</v>
      </c>
    </row>
    <row r="1661" spans="4:104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L1661" s="30"/>
      <c r="AM1661" s="21"/>
      <c r="AN1661" s="23"/>
      <c r="AX1661" s="40"/>
      <c r="AZ1661" s="40"/>
      <c r="BB1661" s="18"/>
      <c r="BD1661" s="18"/>
      <c r="BE1661" s="18"/>
      <c r="BL1661" s="18"/>
      <c r="BO1661" s="18"/>
      <c r="BZ1661" s="18"/>
      <c r="CD1661" s="18"/>
      <c r="CI1661" s="18"/>
      <c r="CT1661" s="18"/>
      <c r="CZ1661" s="34" t="s">
        <v>87</v>
      </c>
    </row>
    <row r="1662" spans="4:104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L1662" s="30"/>
      <c r="AM1662" s="21"/>
      <c r="AN1662" s="23"/>
      <c r="AX1662" s="40"/>
      <c r="AZ1662" s="40"/>
      <c r="BB1662" s="18"/>
      <c r="BD1662" s="18"/>
      <c r="BE1662" s="18"/>
      <c r="BL1662" s="18"/>
      <c r="BO1662" s="18"/>
      <c r="BZ1662" s="18"/>
      <c r="CD1662" s="18"/>
      <c r="CI1662" s="18"/>
      <c r="CT1662" s="18"/>
      <c r="CZ1662" s="34" t="s">
        <v>87</v>
      </c>
    </row>
    <row r="1663" spans="4:104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L1663" s="30"/>
      <c r="AM1663" s="21"/>
      <c r="AN1663" s="23"/>
      <c r="AX1663" s="40"/>
      <c r="AZ1663" s="40"/>
      <c r="BB1663" s="18"/>
      <c r="BD1663" s="18"/>
      <c r="BE1663" s="18"/>
      <c r="BL1663" s="18"/>
      <c r="BO1663" s="18"/>
      <c r="BZ1663" s="18"/>
      <c r="CD1663" s="18"/>
      <c r="CI1663" s="18"/>
      <c r="CT1663" s="18"/>
      <c r="CZ1663" s="34" t="s">
        <v>87</v>
      </c>
    </row>
    <row r="1664" spans="4:104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L1664" s="30"/>
      <c r="AM1664" s="21"/>
      <c r="AN1664" s="23"/>
      <c r="AX1664" s="40"/>
      <c r="AZ1664" s="40"/>
      <c r="BB1664" s="18"/>
      <c r="BD1664" s="18"/>
      <c r="BE1664" s="18"/>
      <c r="BL1664" s="18"/>
      <c r="BO1664" s="18"/>
      <c r="BZ1664" s="18"/>
      <c r="CD1664" s="18"/>
      <c r="CI1664" s="18"/>
      <c r="CT1664" s="18"/>
      <c r="CZ1664" s="34" t="s">
        <v>87</v>
      </c>
    </row>
    <row r="1665" spans="4:104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L1665" s="30"/>
      <c r="AM1665" s="21"/>
      <c r="AN1665" s="23"/>
      <c r="AX1665" s="40"/>
      <c r="AZ1665" s="40"/>
      <c r="BB1665" s="18"/>
      <c r="BD1665" s="18"/>
      <c r="BE1665" s="18"/>
      <c r="BL1665" s="18"/>
      <c r="BO1665" s="18"/>
      <c r="BZ1665" s="18"/>
      <c r="CD1665" s="18"/>
      <c r="CI1665" s="18"/>
      <c r="CT1665" s="18"/>
      <c r="CZ1665" s="34" t="s">
        <v>87</v>
      </c>
    </row>
    <row r="1666" spans="4:104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L1666" s="30"/>
      <c r="AM1666" s="21"/>
      <c r="AN1666" s="23"/>
      <c r="AX1666" s="40"/>
      <c r="AZ1666" s="40"/>
      <c r="BB1666" s="18"/>
      <c r="BD1666" s="18"/>
      <c r="BE1666" s="18"/>
      <c r="BL1666" s="18"/>
      <c r="BO1666" s="18"/>
      <c r="BZ1666" s="18"/>
      <c r="CD1666" s="18"/>
      <c r="CI1666" s="18"/>
      <c r="CT1666" s="18"/>
      <c r="CZ1666" s="34" t="s">
        <v>87</v>
      </c>
    </row>
    <row r="1667" spans="4:104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L1667" s="30"/>
      <c r="AM1667" s="21"/>
      <c r="AN1667" s="23"/>
      <c r="AX1667" s="40"/>
      <c r="AZ1667" s="40"/>
      <c r="BB1667" s="18"/>
      <c r="BD1667" s="18"/>
      <c r="BE1667" s="18"/>
      <c r="BL1667" s="18"/>
      <c r="BO1667" s="18"/>
      <c r="BZ1667" s="18"/>
      <c r="CD1667" s="18"/>
      <c r="CI1667" s="18"/>
      <c r="CT1667" s="18"/>
      <c r="CZ1667" s="34" t="s">
        <v>87</v>
      </c>
    </row>
    <row r="1668" spans="4:104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L1668" s="30"/>
      <c r="AM1668" s="21"/>
      <c r="AN1668" s="23"/>
      <c r="AX1668" s="40"/>
      <c r="AZ1668" s="40"/>
      <c r="BB1668" s="18"/>
      <c r="BD1668" s="18"/>
      <c r="BE1668" s="18"/>
      <c r="BL1668" s="18"/>
      <c r="BO1668" s="18"/>
      <c r="BZ1668" s="18"/>
      <c r="CD1668" s="18"/>
      <c r="CI1668" s="18"/>
      <c r="CT1668" s="18"/>
      <c r="CZ1668" s="34" t="s">
        <v>87</v>
      </c>
    </row>
    <row r="1669" spans="4:104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L1669" s="30"/>
      <c r="AM1669" s="21"/>
      <c r="AN1669" s="23"/>
      <c r="AX1669" s="40"/>
      <c r="AZ1669" s="40"/>
      <c r="BB1669" s="18"/>
      <c r="BD1669" s="18"/>
      <c r="BE1669" s="18"/>
      <c r="BL1669" s="18"/>
      <c r="BO1669" s="18"/>
      <c r="BZ1669" s="18"/>
      <c r="CD1669" s="18"/>
      <c r="CI1669" s="18"/>
      <c r="CT1669" s="18"/>
      <c r="CZ1669" s="34" t="s">
        <v>87</v>
      </c>
    </row>
    <row r="1670" spans="4:104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L1670" s="30"/>
      <c r="AM1670" s="21"/>
      <c r="AN1670" s="23"/>
      <c r="AX1670" s="40"/>
      <c r="AZ1670" s="40"/>
      <c r="BB1670" s="18"/>
      <c r="BD1670" s="18"/>
      <c r="BE1670" s="18"/>
      <c r="BL1670" s="18"/>
      <c r="BO1670" s="18"/>
      <c r="BZ1670" s="18"/>
      <c r="CD1670" s="18"/>
      <c r="CI1670" s="18"/>
      <c r="CT1670" s="18"/>
      <c r="CZ1670" s="34" t="s">
        <v>87</v>
      </c>
    </row>
    <row r="1671" spans="4:104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L1671" s="30"/>
      <c r="AM1671" s="21"/>
      <c r="AN1671" s="23"/>
      <c r="AX1671" s="40"/>
      <c r="AZ1671" s="40"/>
      <c r="BB1671" s="18"/>
      <c r="BD1671" s="18"/>
      <c r="BE1671" s="18"/>
      <c r="BL1671" s="18"/>
      <c r="BO1671" s="18"/>
      <c r="BZ1671" s="18"/>
      <c r="CD1671" s="18"/>
      <c r="CI1671" s="18"/>
      <c r="CT1671" s="18"/>
      <c r="CZ1671" s="34" t="s">
        <v>87</v>
      </c>
    </row>
    <row r="1672" spans="4:104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L1672" s="30"/>
      <c r="AM1672" s="21"/>
      <c r="AN1672" s="23"/>
      <c r="AX1672" s="40"/>
      <c r="AZ1672" s="40"/>
      <c r="BB1672" s="18"/>
      <c r="BD1672" s="18"/>
      <c r="BE1672" s="18"/>
      <c r="BL1672" s="18"/>
      <c r="BO1672" s="18"/>
      <c r="BZ1672" s="18"/>
      <c r="CD1672" s="18"/>
      <c r="CI1672" s="18"/>
      <c r="CT1672" s="18"/>
      <c r="CZ1672" s="34" t="s">
        <v>87</v>
      </c>
    </row>
    <row r="1673" spans="4:104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L1673" s="30"/>
      <c r="AM1673" s="21"/>
      <c r="AN1673" s="23"/>
      <c r="AX1673" s="40"/>
      <c r="AZ1673" s="40"/>
      <c r="BB1673" s="18"/>
      <c r="BD1673" s="18"/>
      <c r="BE1673" s="18"/>
      <c r="BL1673" s="18"/>
      <c r="BO1673" s="18"/>
      <c r="BZ1673" s="18"/>
      <c r="CD1673" s="18"/>
      <c r="CI1673" s="18"/>
      <c r="CT1673" s="18"/>
      <c r="CZ1673" s="34" t="s">
        <v>87</v>
      </c>
    </row>
    <row r="1674" spans="4:104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L1674" s="30"/>
      <c r="AM1674" s="21"/>
      <c r="AN1674" s="23"/>
      <c r="AX1674" s="40"/>
      <c r="AZ1674" s="40"/>
      <c r="BB1674" s="18"/>
      <c r="BD1674" s="18"/>
      <c r="BE1674" s="18"/>
      <c r="BL1674" s="18"/>
      <c r="BO1674" s="18"/>
      <c r="BZ1674" s="18"/>
      <c r="CD1674" s="18"/>
      <c r="CI1674" s="18"/>
      <c r="CT1674" s="18"/>
      <c r="CZ1674" s="34" t="s">
        <v>87</v>
      </c>
    </row>
    <row r="1675" spans="4:104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L1675" s="30"/>
      <c r="AM1675" s="21"/>
      <c r="AN1675" s="23"/>
      <c r="AX1675" s="40"/>
      <c r="AZ1675" s="40"/>
      <c r="BB1675" s="18"/>
      <c r="BD1675" s="18"/>
      <c r="BE1675" s="18"/>
      <c r="BL1675" s="18"/>
      <c r="BO1675" s="18"/>
      <c r="BZ1675" s="18"/>
      <c r="CD1675" s="18"/>
      <c r="CI1675" s="18"/>
      <c r="CT1675" s="18"/>
      <c r="CZ1675" s="34" t="s">
        <v>87</v>
      </c>
    </row>
    <row r="1676" spans="4:104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L1676" s="30"/>
      <c r="AM1676" s="21"/>
      <c r="AN1676" s="23"/>
      <c r="AX1676" s="40"/>
      <c r="AZ1676" s="40"/>
      <c r="BB1676" s="18"/>
      <c r="BD1676" s="18"/>
      <c r="BE1676" s="18"/>
      <c r="BL1676" s="18"/>
      <c r="BO1676" s="18"/>
      <c r="BZ1676" s="18"/>
      <c r="CD1676" s="18"/>
      <c r="CI1676" s="18"/>
      <c r="CT1676" s="18"/>
      <c r="CZ1676" s="34" t="s">
        <v>87</v>
      </c>
    </row>
    <row r="1677" spans="4:104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L1677" s="30"/>
      <c r="AM1677" s="21"/>
      <c r="AN1677" s="23"/>
      <c r="AX1677" s="40"/>
      <c r="AZ1677" s="40"/>
      <c r="BB1677" s="18"/>
      <c r="BD1677" s="18"/>
      <c r="BE1677" s="18"/>
      <c r="BL1677" s="18"/>
      <c r="BO1677" s="18"/>
      <c r="BZ1677" s="18"/>
      <c r="CD1677" s="18"/>
      <c r="CI1677" s="18"/>
      <c r="CT1677" s="18"/>
      <c r="CZ1677" s="34" t="s">
        <v>87</v>
      </c>
    </row>
    <row r="1678" spans="4:104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L1678" s="30"/>
      <c r="AM1678" s="21"/>
      <c r="AN1678" s="23"/>
      <c r="AX1678" s="40"/>
      <c r="AZ1678" s="40"/>
      <c r="BB1678" s="18"/>
      <c r="BD1678" s="18"/>
      <c r="BE1678" s="18"/>
      <c r="BL1678" s="18"/>
      <c r="BO1678" s="18"/>
      <c r="BZ1678" s="18"/>
      <c r="CD1678" s="18"/>
      <c r="CI1678" s="18"/>
      <c r="CT1678" s="18"/>
      <c r="CZ1678" s="34" t="s">
        <v>87</v>
      </c>
    </row>
    <row r="1679" spans="4:104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L1679" s="30"/>
      <c r="AM1679" s="21"/>
      <c r="AN1679" s="23"/>
      <c r="AX1679" s="40"/>
      <c r="AZ1679" s="40"/>
      <c r="BB1679" s="18"/>
      <c r="BD1679" s="18"/>
      <c r="BE1679" s="18"/>
      <c r="BL1679" s="18"/>
      <c r="BO1679" s="18"/>
      <c r="BZ1679" s="18"/>
      <c r="CD1679" s="18"/>
      <c r="CI1679" s="18"/>
      <c r="CT1679" s="18"/>
      <c r="CZ1679" s="34" t="s">
        <v>87</v>
      </c>
    </row>
    <row r="1680" spans="4:104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L1680" s="30"/>
      <c r="AM1680" s="21"/>
      <c r="AN1680" s="23"/>
      <c r="AX1680" s="40"/>
      <c r="AZ1680" s="40"/>
      <c r="BB1680" s="18"/>
      <c r="BD1680" s="18"/>
      <c r="BE1680" s="18"/>
      <c r="BL1680" s="18"/>
      <c r="BO1680" s="18"/>
      <c r="BZ1680" s="18"/>
      <c r="CD1680" s="18"/>
      <c r="CI1680" s="18"/>
      <c r="CT1680" s="18"/>
      <c r="CZ1680" s="34" t="s">
        <v>87</v>
      </c>
    </row>
    <row r="1681" spans="4:104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L1681" s="30"/>
      <c r="AM1681" s="21"/>
      <c r="AN1681" s="23"/>
      <c r="AX1681" s="40"/>
      <c r="AZ1681" s="40"/>
      <c r="BB1681" s="18"/>
      <c r="BD1681" s="18"/>
      <c r="BE1681" s="18"/>
      <c r="BL1681" s="18"/>
      <c r="BO1681" s="18"/>
      <c r="BZ1681" s="18"/>
      <c r="CD1681" s="18"/>
      <c r="CI1681" s="18"/>
      <c r="CT1681" s="18"/>
      <c r="CZ1681" s="34" t="s">
        <v>87</v>
      </c>
    </row>
    <row r="1682" spans="4:104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L1682" s="30"/>
      <c r="AM1682" s="21"/>
      <c r="AN1682" s="23"/>
      <c r="AX1682" s="40"/>
      <c r="AZ1682" s="40"/>
      <c r="BB1682" s="18"/>
      <c r="BD1682" s="18"/>
      <c r="BE1682" s="18"/>
      <c r="BL1682" s="18"/>
      <c r="BO1682" s="18"/>
      <c r="BZ1682" s="18"/>
      <c r="CD1682" s="18"/>
      <c r="CI1682" s="18"/>
      <c r="CT1682" s="18"/>
      <c r="CZ1682" s="34" t="s">
        <v>87</v>
      </c>
    </row>
    <row r="1683" spans="4:104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L1683" s="30"/>
      <c r="AM1683" s="21"/>
      <c r="AN1683" s="23"/>
      <c r="AX1683" s="40"/>
      <c r="AZ1683" s="40"/>
      <c r="BB1683" s="18"/>
      <c r="BD1683" s="18"/>
      <c r="BE1683" s="18"/>
      <c r="BL1683" s="18"/>
      <c r="BO1683" s="18"/>
      <c r="BZ1683" s="18"/>
      <c r="CD1683" s="18"/>
      <c r="CI1683" s="18"/>
      <c r="CT1683" s="18"/>
      <c r="CZ1683" s="34" t="s">
        <v>87</v>
      </c>
    </row>
    <row r="1684" spans="4:104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L1684" s="30"/>
      <c r="AM1684" s="21"/>
      <c r="AN1684" s="23"/>
      <c r="AX1684" s="40"/>
      <c r="AZ1684" s="40"/>
      <c r="BB1684" s="18"/>
      <c r="BD1684" s="18"/>
      <c r="BE1684" s="18"/>
      <c r="BL1684" s="18"/>
      <c r="BO1684" s="18"/>
      <c r="BZ1684" s="18"/>
      <c r="CD1684" s="18"/>
      <c r="CI1684" s="18"/>
      <c r="CT1684" s="18"/>
      <c r="CZ1684" s="34" t="s">
        <v>87</v>
      </c>
    </row>
    <row r="1685" spans="4:104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L1685" s="30"/>
      <c r="AM1685" s="21"/>
      <c r="AN1685" s="23"/>
      <c r="AX1685" s="40"/>
      <c r="AZ1685" s="40"/>
      <c r="BB1685" s="18"/>
      <c r="BD1685" s="18"/>
      <c r="BE1685" s="18"/>
      <c r="BL1685" s="18"/>
      <c r="BO1685" s="18"/>
      <c r="BZ1685" s="18"/>
      <c r="CD1685" s="18"/>
      <c r="CI1685" s="18"/>
      <c r="CT1685" s="18"/>
      <c r="CZ1685" s="34" t="s">
        <v>87</v>
      </c>
    </row>
  </sheetData>
  <autoFilter ref="A1:CY1685" xr:uid="{F86BA332-B4D6-4ECB-8AB8-D681D68E9092}"/>
  <conditionalFormatting sqref="A84:B84 A88:B88 A100:B100 A115:B115 A121:B121 BR121:BR123 BA122:BQ123 A136:B137 D137:M137 A138:M142 A267:B267 BA124:BR135 A347:B347 A383:B383 BS121:CD135 A434:B434 N137:O142 P1:R479 A503:B503 D503:M503 BS503:CI504 A504:M517 D121:O121 A122:O135 D84:O84 D88:O88 D100:O100 D115:O115 D136:O136 D267:O267 A143:O266 A116:O120 A101:O114 A89:O99 A85:O87 A1:O83 A268:O346 D347:O347 A348:O382 D383:O383 A384:O433 D434:O434 A435:O479 S122:AZ135 S121:BQ121 S1:CD120 S136:CD346 N503:BR517 A502:CI502 CE1:XFD346 CJ502:XFD504 BS505:XFD517 S347:XFD479 A480:XFD501 A518:XFD1048576">
    <cfRule type="containsBlanks" dxfId="33" priority="19">
      <formula>LEN(TRIM(A1))=0</formula>
    </cfRule>
  </conditionalFormatting>
  <conditionalFormatting sqref="Y19:Y34">
    <cfRule type="containsBlanks" dxfId="32" priority="18">
      <formula>LEN(TRIM(Y19))=0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I104"/>
  <sheetViews>
    <sheetView workbookViewId="0">
      <selection activeCell="I12" sqref="I12"/>
    </sheetView>
  </sheetViews>
  <sheetFormatPr defaultRowHeight="15" x14ac:dyDescent="0.25"/>
  <cols>
    <col min="1" max="1" width="35.5703125" style="174" bestFit="1" customWidth="1"/>
    <col min="3" max="3" width="14.85546875" bestFit="1" customWidth="1"/>
    <col min="4" max="4" width="17.5703125" style="42" bestFit="1" customWidth="1"/>
    <col min="5" max="5" width="13.85546875" bestFit="1" customWidth="1"/>
  </cols>
  <sheetData>
    <row r="1" spans="1:9" x14ac:dyDescent="0.25">
      <c r="A1" s="173" t="s">
        <v>336</v>
      </c>
      <c r="B1" s="96" t="s">
        <v>345</v>
      </c>
      <c r="C1" s="96" t="s">
        <v>366</v>
      </c>
      <c r="D1" s="182" t="s">
        <v>369</v>
      </c>
      <c r="E1" s="183" t="s">
        <v>370</v>
      </c>
      <c r="F1" s="183" t="s">
        <v>371</v>
      </c>
      <c r="G1" s="183" t="s">
        <v>374</v>
      </c>
      <c r="H1" s="95" t="s">
        <v>337</v>
      </c>
      <c r="I1" s="94" t="s">
        <v>338</v>
      </c>
    </row>
    <row r="2" spans="1:9" x14ac:dyDescent="0.25">
      <c r="A2" s="175" t="s">
        <v>0</v>
      </c>
      <c r="B2" t="s">
        <v>363</v>
      </c>
      <c r="C2">
        <v>1</v>
      </c>
      <c r="D2" s="42" t="b">
        <v>0</v>
      </c>
      <c r="E2" t="b">
        <v>0</v>
      </c>
      <c r="H2" t="b">
        <v>0</v>
      </c>
    </row>
    <row r="3" spans="1:9" x14ac:dyDescent="0.25">
      <c r="A3" s="175" t="s">
        <v>1</v>
      </c>
      <c r="B3" t="s">
        <v>363</v>
      </c>
      <c r="C3">
        <v>2</v>
      </c>
      <c r="D3" s="42" t="b">
        <v>0</v>
      </c>
      <c r="E3" t="b">
        <v>0</v>
      </c>
      <c r="H3" t="b">
        <v>0</v>
      </c>
    </row>
    <row r="4" spans="1:9" x14ac:dyDescent="0.25">
      <c r="A4" s="175" t="s">
        <v>341</v>
      </c>
      <c r="B4" t="s">
        <v>364</v>
      </c>
      <c r="C4">
        <v>3</v>
      </c>
      <c r="D4" s="42" t="b">
        <v>0</v>
      </c>
      <c r="E4" t="b">
        <v>0</v>
      </c>
      <c r="H4" t="b">
        <v>0</v>
      </c>
    </row>
    <row r="5" spans="1:9" x14ac:dyDescent="0.25">
      <c r="A5" s="176" t="s">
        <v>91</v>
      </c>
      <c r="B5" t="s">
        <v>365</v>
      </c>
      <c r="C5">
        <v>4</v>
      </c>
      <c r="D5" s="42" t="b">
        <v>1</v>
      </c>
      <c r="E5" t="b">
        <v>0</v>
      </c>
      <c r="H5" t="b">
        <v>0</v>
      </c>
    </row>
    <row r="6" spans="1:9" x14ac:dyDescent="0.25">
      <c r="A6" s="175" t="s">
        <v>92</v>
      </c>
      <c r="B6" t="s">
        <v>365</v>
      </c>
      <c r="C6">
        <v>5</v>
      </c>
      <c r="D6" s="42" t="b">
        <v>1</v>
      </c>
      <c r="E6" t="b">
        <v>0</v>
      </c>
      <c r="H6" t="b">
        <v>0</v>
      </c>
    </row>
    <row r="7" spans="1:9" x14ac:dyDescent="0.25">
      <c r="A7" s="175" t="s">
        <v>88</v>
      </c>
      <c r="B7" t="s">
        <v>365</v>
      </c>
      <c r="C7">
        <v>6</v>
      </c>
      <c r="D7" s="42" t="b">
        <v>1</v>
      </c>
      <c r="E7" t="b">
        <v>1</v>
      </c>
      <c r="G7" t="s">
        <v>375</v>
      </c>
      <c r="H7" t="b">
        <v>0</v>
      </c>
    </row>
    <row r="8" spans="1:9" x14ac:dyDescent="0.25">
      <c r="A8" s="175" t="s">
        <v>89</v>
      </c>
      <c r="B8" t="s">
        <v>365</v>
      </c>
      <c r="C8">
        <v>7</v>
      </c>
      <c r="D8" s="42" t="b">
        <v>0</v>
      </c>
      <c r="E8" t="b">
        <v>0</v>
      </c>
      <c r="H8" t="b">
        <v>0</v>
      </c>
    </row>
    <row r="9" spans="1:9" x14ac:dyDescent="0.25">
      <c r="A9" s="175" t="s">
        <v>90</v>
      </c>
      <c r="B9" t="s">
        <v>365</v>
      </c>
      <c r="C9">
        <v>7</v>
      </c>
      <c r="D9" s="42" t="b">
        <v>0</v>
      </c>
      <c r="E9" t="b">
        <v>0</v>
      </c>
      <c r="H9" t="b">
        <v>0</v>
      </c>
    </row>
    <row r="10" spans="1:9" x14ac:dyDescent="0.25">
      <c r="A10" s="176" t="s">
        <v>93</v>
      </c>
      <c r="B10" t="s">
        <v>365</v>
      </c>
      <c r="C10">
        <v>8</v>
      </c>
      <c r="D10" s="42" t="b">
        <v>1</v>
      </c>
      <c r="E10" t="b">
        <v>0</v>
      </c>
      <c r="H10" t="b">
        <v>1</v>
      </c>
    </row>
    <row r="11" spans="1:9" x14ac:dyDescent="0.25">
      <c r="A11" s="175" t="s">
        <v>94</v>
      </c>
      <c r="B11" t="s">
        <v>365</v>
      </c>
      <c r="C11">
        <v>9</v>
      </c>
      <c r="D11" s="42" t="b">
        <v>0</v>
      </c>
      <c r="E11" t="b">
        <v>0</v>
      </c>
      <c r="H11" t="b">
        <v>1</v>
      </c>
    </row>
    <row r="12" spans="1:9" x14ac:dyDescent="0.25">
      <c r="A12" s="175" t="s">
        <v>95</v>
      </c>
      <c r="B12" t="s">
        <v>365</v>
      </c>
      <c r="C12">
        <v>9</v>
      </c>
      <c r="D12" s="42" t="b">
        <v>1</v>
      </c>
      <c r="E12" t="b">
        <v>0</v>
      </c>
      <c r="H12" t="b">
        <v>0</v>
      </c>
    </row>
    <row r="13" spans="1:9" x14ac:dyDescent="0.25">
      <c r="A13" s="175" t="s">
        <v>96</v>
      </c>
      <c r="B13" t="s">
        <v>365</v>
      </c>
      <c r="C13">
        <v>10</v>
      </c>
      <c r="D13" s="42" t="b">
        <v>0</v>
      </c>
      <c r="E13" t="b">
        <v>0</v>
      </c>
      <c r="H13" t="b">
        <v>0</v>
      </c>
    </row>
    <row r="14" spans="1:9" x14ac:dyDescent="0.25">
      <c r="A14" s="175" t="s">
        <v>97</v>
      </c>
      <c r="B14" t="s">
        <v>365</v>
      </c>
      <c r="C14">
        <v>10</v>
      </c>
      <c r="D14" s="42" t="b">
        <v>0</v>
      </c>
      <c r="E14" t="b">
        <v>0</v>
      </c>
      <c r="H14" t="b">
        <v>0</v>
      </c>
    </row>
    <row r="15" spans="1:9" x14ac:dyDescent="0.25">
      <c r="A15" s="177" t="s">
        <v>43</v>
      </c>
      <c r="B15" t="s">
        <v>346</v>
      </c>
      <c r="C15">
        <v>11</v>
      </c>
      <c r="D15" s="42" t="b">
        <v>1</v>
      </c>
      <c r="E15" t="b">
        <v>1</v>
      </c>
      <c r="F15">
        <v>1</v>
      </c>
      <c r="H15" t="b">
        <v>1</v>
      </c>
    </row>
    <row r="16" spans="1:9" x14ac:dyDescent="0.25">
      <c r="A16" s="177" t="s">
        <v>44</v>
      </c>
      <c r="B16" t="s">
        <v>346</v>
      </c>
      <c r="C16">
        <v>11</v>
      </c>
      <c r="D16" s="42" t="b">
        <v>1</v>
      </c>
      <c r="E16" t="b">
        <v>1</v>
      </c>
      <c r="F16">
        <v>1</v>
      </c>
      <c r="H16" t="b">
        <v>0</v>
      </c>
    </row>
    <row r="17" spans="1:8" x14ac:dyDescent="0.25">
      <c r="A17" s="177" t="s">
        <v>41</v>
      </c>
      <c r="B17" t="s">
        <v>346</v>
      </c>
      <c r="C17">
        <v>12</v>
      </c>
      <c r="D17" s="42" t="b">
        <v>1</v>
      </c>
      <c r="E17" t="b">
        <v>1</v>
      </c>
      <c r="F17">
        <v>1</v>
      </c>
      <c r="H17" t="b">
        <v>1</v>
      </c>
    </row>
    <row r="18" spans="1:8" x14ac:dyDescent="0.25">
      <c r="A18" s="177" t="s">
        <v>45</v>
      </c>
      <c r="B18" t="s">
        <v>346</v>
      </c>
      <c r="C18">
        <v>12</v>
      </c>
      <c r="D18" s="42" t="b">
        <v>1</v>
      </c>
      <c r="E18" t="b">
        <v>1</v>
      </c>
      <c r="F18">
        <v>1</v>
      </c>
      <c r="H18" t="b">
        <v>1</v>
      </c>
    </row>
    <row r="19" spans="1:8" x14ac:dyDescent="0.25">
      <c r="A19" s="177" t="s">
        <v>40</v>
      </c>
      <c r="B19" t="s">
        <v>346</v>
      </c>
      <c r="C19">
        <v>12</v>
      </c>
      <c r="D19" s="42" t="b">
        <v>1</v>
      </c>
      <c r="E19" t="b">
        <v>1</v>
      </c>
      <c r="F19">
        <v>1</v>
      </c>
      <c r="H19" t="b">
        <v>1</v>
      </c>
    </row>
    <row r="20" spans="1:8" x14ac:dyDescent="0.25">
      <c r="A20" s="177" t="s">
        <v>42</v>
      </c>
      <c r="B20" t="s">
        <v>346</v>
      </c>
      <c r="C20">
        <v>12</v>
      </c>
      <c r="D20" s="42" t="b">
        <v>1</v>
      </c>
      <c r="E20" t="b">
        <v>1</v>
      </c>
      <c r="F20">
        <v>1</v>
      </c>
      <c r="H20" t="b">
        <v>1</v>
      </c>
    </row>
    <row r="21" spans="1:8" x14ac:dyDescent="0.25">
      <c r="A21" s="177" t="s">
        <v>289</v>
      </c>
      <c r="B21" t="s">
        <v>346</v>
      </c>
      <c r="C21">
        <v>12</v>
      </c>
      <c r="D21" s="42" t="b">
        <v>1</v>
      </c>
      <c r="E21" t="b">
        <v>1</v>
      </c>
      <c r="F21">
        <v>1</v>
      </c>
      <c r="H21" t="b">
        <v>0</v>
      </c>
    </row>
    <row r="22" spans="1:8" x14ac:dyDescent="0.25">
      <c r="A22" s="177" t="s">
        <v>99</v>
      </c>
      <c r="B22" t="s">
        <v>363</v>
      </c>
      <c r="C22">
        <v>13</v>
      </c>
      <c r="D22" s="42" t="b">
        <v>1</v>
      </c>
      <c r="E22" t="b">
        <v>1</v>
      </c>
      <c r="G22" t="s">
        <v>375</v>
      </c>
      <c r="H22" t="b">
        <v>0</v>
      </c>
    </row>
    <row r="23" spans="1:8" x14ac:dyDescent="0.25">
      <c r="A23" s="177" t="s">
        <v>100</v>
      </c>
      <c r="B23" t="s">
        <v>363</v>
      </c>
      <c r="C23">
        <v>13</v>
      </c>
      <c r="D23" s="42" t="b">
        <v>0</v>
      </c>
      <c r="E23" t="b">
        <v>0</v>
      </c>
      <c r="H23" t="b">
        <v>0</v>
      </c>
    </row>
    <row r="24" spans="1:8" x14ac:dyDescent="0.25">
      <c r="A24" s="177" t="s">
        <v>98</v>
      </c>
      <c r="B24" t="s">
        <v>363</v>
      </c>
      <c r="C24">
        <v>13</v>
      </c>
      <c r="D24" s="42" t="b">
        <v>0</v>
      </c>
      <c r="E24" t="b">
        <v>0</v>
      </c>
      <c r="H24" t="b">
        <v>0</v>
      </c>
    </row>
    <row r="25" spans="1:8" x14ac:dyDescent="0.25">
      <c r="A25" s="178" t="s">
        <v>148</v>
      </c>
      <c r="B25" t="s">
        <v>363</v>
      </c>
      <c r="C25">
        <v>14</v>
      </c>
      <c r="D25" s="42" t="b">
        <v>1</v>
      </c>
      <c r="E25" t="b">
        <v>1</v>
      </c>
      <c r="G25" t="s">
        <v>375</v>
      </c>
      <c r="H25" t="b">
        <v>1</v>
      </c>
    </row>
    <row r="26" spans="1:8" x14ac:dyDescent="0.25">
      <c r="A26" s="178" t="s">
        <v>31</v>
      </c>
      <c r="B26" t="s">
        <v>365</v>
      </c>
      <c r="C26">
        <v>15</v>
      </c>
      <c r="D26" s="42" t="b">
        <v>1</v>
      </c>
      <c r="E26" t="b">
        <v>1</v>
      </c>
      <c r="G26" t="s">
        <v>375</v>
      </c>
      <c r="H26" t="b">
        <v>1</v>
      </c>
    </row>
    <row r="27" spans="1:8" x14ac:dyDescent="0.25">
      <c r="A27" s="178" t="s">
        <v>46</v>
      </c>
      <c r="B27" t="s">
        <v>365</v>
      </c>
      <c r="C27">
        <v>16</v>
      </c>
      <c r="D27" s="42" t="b">
        <v>1</v>
      </c>
      <c r="E27" t="b">
        <v>1</v>
      </c>
      <c r="G27" t="s">
        <v>375</v>
      </c>
      <c r="H27" t="b">
        <v>1</v>
      </c>
    </row>
    <row r="28" spans="1:8" x14ac:dyDescent="0.25">
      <c r="A28" s="178" t="s">
        <v>206</v>
      </c>
      <c r="B28" t="s">
        <v>346</v>
      </c>
      <c r="C28">
        <v>17</v>
      </c>
      <c r="D28" s="42" t="b">
        <v>1</v>
      </c>
      <c r="E28" t="b">
        <v>1</v>
      </c>
      <c r="F28">
        <v>1</v>
      </c>
      <c r="H28" t="b">
        <v>1</v>
      </c>
    </row>
    <row r="29" spans="1:8" x14ac:dyDescent="0.25">
      <c r="A29" s="178" t="s">
        <v>207</v>
      </c>
      <c r="B29" t="s">
        <v>346</v>
      </c>
      <c r="C29">
        <v>17</v>
      </c>
      <c r="D29" s="42" t="b">
        <v>1</v>
      </c>
      <c r="E29" t="b">
        <v>1</v>
      </c>
      <c r="F29">
        <v>1</v>
      </c>
      <c r="H29" t="b">
        <v>0</v>
      </c>
    </row>
    <row r="30" spans="1:8" x14ac:dyDescent="0.25">
      <c r="A30" s="178" t="s">
        <v>132</v>
      </c>
      <c r="B30" t="s">
        <v>346</v>
      </c>
      <c r="C30">
        <v>18</v>
      </c>
      <c r="D30" s="42" t="b">
        <v>1</v>
      </c>
      <c r="E30" t="b">
        <v>1</v>
      </c>
      <c r="F30">
        <v>1</v>
      </c>
      <c r="H30" t="b">
        <v>0</v>
      </c>
    </row>
    <row r="31" spans="1:8" x14ac:dyDescent="0.25">
      <c r="A31" s="178" t="s">
        <v>131</v>
      </c>
      <c r="B31" t="s">
        <v>346</v>
      </c>
      <c r="C31">
        <v>18</v>
      </c>
      <c r="D31" s="42" t="b">
        <v>1</v>
      </c>
      <c r="E31" t="b">
        <v>1</v>
      </c>
      <c r="F31">
        <v>1</v>
      </c>
      <c r="H31" t="b">
        <v>1</v>
      </c>
    </row>
    <row r="32" spans="1:8" x14ac:dyDescent="0.25">
      <c r="A32" s="178" t="s">
        <v>146</v>
      </c>
      <c r="B32" t="s">
        <v>346</v>
      </c>
      <c r="C32">
        <v>18</v>
      </c>
      <c r="D32" s="42" t="b">
        <v>1</v>
      </c>
      <c r="E32" t="b">
        <v>1</v>
      </c>
      <c r="F32">
        <v>1</v>
      </c>
      <c r="H32" t="b">
        <v>1</v>
      </c>
    </row>
    <row r="33" spans="1:8" x14ac:dyDescent="0.25">
      <c r="A33" s="178" t="s">
        <v>141</v>
      </c>
      <c r="B33" t="s">
        <v>346</v>
      </c>
      <c r="C33">
        <v>18</v>
      </c>
      <c r="D33" s="42" t="b">
        <v>1</v>
      </c>
      <c r="E33" t="b">
        <v>1</v>
      </c>
      <c r="F33">
        <v>1</v>
      </c>
      <c r="H33" t="b">
        <v>1</v>
      </c>
    </row>
    <row r="34" spans="1:8" x14ac:dyDescent="0.25">
      <c r="A34" s="178" t="s">
        <v>47</v>
      </c>
      <c r="B34" t="s">
        <v>346</v>
      </c>
      <c r="C34">
        <v>19</v>
      </c>
      <c r="D34" s="42" t="b">
        <v>1</v>
      </c>
      <c r="E34" t="b">
        <v>1</v>
      </c>
      <c r="F34">
        <v>1</v>
      </c>
      <c r="H34" t="b">
        <v>1</v>
      </c>
    </row>
    <row r="35" spans="1:8" x14ac:dyDescent="0.25">
      <c r="A35" s="178" t="s">
        <v>48</v>
      </c>
      <c r="B35" t="s">
        <v>346</v>
      </c>
      <c r="C35">
        <v>19</v>
      </c>
      <c r="D35" s="42" t="b">
        <v>1</v>
      </c>
      <c r="E35" t="b">
        <v>1</v>
      </c>
      <c r="F35">
        <v>1</v>
      </c>
      <c r="H35" t="b">
        <v>1</v>
      </c>
    </row>
    <row r="36" spans="1:8" x14ac:dyDescent="0.25">
      <c r="A36" s="178" t="s">
        <v>49</v>
      </c>
      <c r="B36" t="s">
        <v>346</v>
      </c>
      <c r="C36">
        <v>19</v>
      </c>
      <c r="D36" s="42" t="b">
        <v>1</v>
      </c>
      <c r="E36" t="b">
        <v>1</v>
      </c>
      <c r="F36">
        <v>1</v>
      </c>
      <c r="H36" t="b">
        <v>0</v>
      </c>
    </row>
    <row r="37" spans="1:8" x14ac:dyDescent="0.25">
      <c r="A37" s="178" t="s">
        <v>50</v>
      </c>
      <c r="B37" t="s">
        <v>346</v>
      </c>
      <c r="C37">
        <v>20</v>
      </c>
      <c r="D37" s="42" t="b">
        <v>1</v>
      </c>
      <c r="E37" t="b">
        <v>1</v>
      </c>
      <c r="F37">
        <v>1</v>
      </c>
      <c r="H37" t="b">
        <v>1</v>
      </c>
    </row>
    <row r="38" spans="1:8" x14ac:dyDescent="0.25">
      <c r="A38" s="178" t="s">
        <v>52</v>
      </c>
      <c r="B38" t="s">
        <v>346</v>
      </c>
      <c r="C38">
        <v>20</v>
      </c>
      <c r="D38" s="42" t="b">
        <v>1</v>
      </c>
      <c r="E38" t="b">
        <v>1</v>
      </c>
      <c r="F38">
        <v>1</v>
      </c>
      <c r="H38" t="b">
        <v>0</v>
      </c>
    </row>
    <row r="39" spans="1:8" x14ac:dyDescent="0.25">
      <c r="A39" s="178" t="s">
        <v>51</v>
      </c>
      <c r="B39" t="s">
        <v>346</v>
      </c>
      <c r="C39">
        <v>20</v>
      </c>
      <c r="D39" s="42" t="b">
        <v>1</v>
      </c>
      <c r="E39" t="b">
        <v>1</v>
      </c>
      <c r="F39">
        <v>1</v>
      </c>
      <c r="H39" t="b">
        <v>1</v>
      </c>
    </row>
    <row r="40" spans="1:8" x14ac:dyDescent="0.25">
      <c r="A40" s="178" t="s">
        <v>66</v>
      </c>
      <c r="B40" t="s">
        <v>365</v>
      </c>
      <c r="C40">
        <v>21</v>
      </c>
      <c r="D40" s="42" t="b">
        <v>0</v>
      </c>
      <c r="E40" t="b">
        <v>0</v>
      </c>
      <c r="H40" t="b">
        <v>0</v>
      </c>
    </row>
    <row r="41" spans="1:8" x14ac:dyDescent="0.25">
      <c r="A41" s="178" t="s">
        <v>65</v>
      </c>
      <c r="B41" t="s">
        <v>365</v>
      </c>
      <c r="C41">
        <v>21</v>
      </c>
      <c r="D41" s="42" t="b">
        <v>1</v>
      </c>
      <c r="E41" t="b">
        <v>1</v>
      </c>
      <c r="G41" t="s">
        <v>375</v>
      </c>
      <c r="H41" t="b">
        <v>1</v>
      </c>
    </row>
    <row r="42" spans="1:8" x14ac:dyDescent="0.25">
      <c r="A42" s="179" t="s">
        <v>112</v>
      </c>
      <c r="B42" t="s">
        <v>367</v>
      </c>
      <c r="C42">
        <v>22</v>
      </c>
      <c r="D42" s="42" t="b">
        <v>1</v>
      </c>
      <c r="E42" t="b">
        <v>0</v>
      </c>
      <c r="H42" t="b">
        <v>0</v>
      </c>
    </row>
    <row r="43" spans="1:8" x14ac:dyDescent="0.25">
      <c r="A43" s="179" t="s">
        <v>108</v>
      </c>
      <c r="B43" t="s">
        <v>367</v>
      </c>
      <c r="C43">
        <v>22</v>
      </c>
      <c r="D43" s="42" t="b">
        <v>1</v>
      </c>
      <c r="E43" t="b">
        <v>0</v>
      </c>
      <c r="H43" t="b">
        <v>1</v>
      </c>
    </row>
    <row r="44" spans="1:8" x14ac:dyDescent="0.25">
      <c r="A44" s="179" t="s">
        <v>109</v>
      </c>
      <c r="B44" t="s">
        <v>367</v>
      </c>
      <c r="C44">
        <v>22</v>
      </c>
      <c r="D44" s="42" t="b">
        <v>1</v>
      </c>
      <c r="E44" t="b">
        <v>0</v>
      </c>
      <c r="H44" t="b">
        <v>1</v>
      </c>
    </row>
    <row r="45" spans="1:8" x14ac:dyDescent="0.25">
      <c r="A45" s="179" t="s">
        <v>110</v>
      </c>
      <c r="B45" t="s">
        <v>367</v>
      </c>
      <c r="C45">
        <v>22</v>
      </c>
      <c r="D45" s="42" t="b">
        <v>1</v>
      </c>
      <c r="E45" t="b">
        <v>1</v>
      </c>
      <c r="G45">
        <v>0.5</v>
      </c>
      <c r="H45" t="b">
        <v>1</v>
      </c>
    </row>
    <row r="46" spans="1:8" x14ac:dyDescent="0.25">
      <c r="A46" s="179" t="s">
        <v>113</v>
      </c>
      <c r="B46" t="s">
        <v>367</v>
      </c>
      <c r="C46">
        <v>23</v>
      </c>
      <c r="D46" s="42" t="b">
        <v>1</v>
      </c>
      <c r="E46" t="b">
        <v>1</v>
      </c>
      <c r="G46">
        <v>0.5</v>
      </c>
      <c r="H46" t="b">
        <v>1</v>
      </c>
    </row>
    <row r="47" spans="1:8" x14ac:dyDescent="0.25">
      <c r="A47" s="179" t="s">
        <v>114</v>
      </c>
      <c r="B47" t="s">
        <v>367</v>
      </c>
      <c r="C47">
        <v>23</v>
      </c>
      <c r="D47" s="42" t="b">
        <v>1</v>
      </c>
      <c r="E47" t="b">
        <v>0</v>
      </c>
      <c r="H47" t="b">
        <v>0</v>
      </c>
    </row>
    <row r="48" spans="1:8" x14ac:dyDescent="0.25">
      <c r="A48" s="179" t="s">
        <v>102</v>
      </c>
      <c r="B48" t="s">
        <v>367</v>
      </c>
      <c r="C48">
        <v>24</v>
      </c>
      <c r="D48" s="42" t="b">
        <v>1</v>
      </c>
      <c r="E48" t="b">
        <v>1</v>
      </c>
      <c r="G48">
        <v>0.5</v>
      </c>
      <c r="H48" t="b">
        <v>1</v>
      </c>
    </row>
    <row r="49" spans="1:8" x14ac:dyDescent="0.25">
      <c r="A49" s="179" t="s">
        <v>101</v>
      </c>
      <c r="B49" t="s">
        <v>367</v>
      </c>
      <c r="C49">
        <v>24</v>
      </c>
      <c r="D49" s="42" t="b">
        <v>1</v>
      </c>
      <c r="E49" t="b">
        <v>0</v>
      </c>
      <c r="H49" t="b">
        <v>0</v>
      </c>
    </row>
    <row r="50" spans="1:8" x14ac:dyDescent="0.25">
      <c r="A50" s="179" t="s">
        <v>32</v>
      </c>
      <c r="B50" t="s">
        <v>367</v>
      </c>
      <c r="C50">
        <v>25</v>
      </c>
      <c r="D50" s="42" t="b">
        <v>1</v>
      </c>
      <c r="E50" t="b">
        <v>1</v>
      </c>
      <c r="G50">
        <v>0.5</v>
      </c>
      <c r="H50" t="b">
        <v>1</v>
      </c>
    </row>
    <row r="51" spans="1:8" x14ac:dyDescent="0.25">
      <c r="A51" s="179" t="s">
        <v>33</v>
      </c>
      <c r="B51" t="s">
        <v>367</v>
      </c>
      <c r="C51">
        <v>25</v>
      </c>
      <c r="D51" s="42" t="b">
        <v>1</v>
      </c>
      <c r="E51" t="b">
        <v>0</v>
      </c>
      <c r="H51" t="b">
        <v>0</v>
      </c>
    </row>
    <row r="52" spans="1:8" x14ac:dyDescent="0.25">
      <c r="A52" s="179" t="s">
        <v>34</v>
      </c>
      <c r="B52" t="s">
        <v>367</v>
      </c>
      <c r="C52">
        <v>26</v>
      </c>
      <c r="D52" s="42" t="b">
        <v>1</v>
      </c>
      <c r="E52" t="b">
        <v>1</v>
      </c>
      <c r="G52">
        <v>0.5</v>
      </c>
      <c r="H52" t="b">
        <v>1</v>
      </c>
    </row>
    <row r="53" spans="1:8" x14ac:dyDescent="0.25">
      <c r="A53" s="179" t="s">
        <v>35</v>
      </c>
      <c r="B53" t="s">
        <v>367</v>
      </c>
      <c r="C53">
        <v>26</v>
      </c>
      <c r="D53" s="42" t="b">
        <v>1</v>
      </c>
      <c r="E53" t="b">
        <v>0</v>
      </c>
      <c r="H53" t="b">
        <v>0</v>
      </c>
    </row>
    <row r="54" spans="1:8" x14ac:dyDescent="0.25">
      <c r="A54" s="179" t="s">
        <v>53</v>
      </c>
      <c r="B54" t="s">
        <v>367</v>
      </c>
      <c r="C54">
        <v>27</v>
      </c>
      <c r="D54" s="42" t="b">
        <v>1</v>
      </c>
      <c r="E54" t="b">
        <v>1</v>
      </c>
      <c r="G54">
        <v>0.5</v>
      </c>
      <c r="H54" t="b">
        <v>1</v>
      </c>
    </row>
    <row r="55" spans="1:8" x14ac:dyDescent="0.25">
      <c r="A55" s="179" t="s">
        <v>54</v>
      </c>
      <c r="B55" t="s">
        <v>367</v>
      </c>
      <c r="C55">
        <v>27</v>
      </c>
      <c r="D55" s="42" t="b">
        <v>1</v>
      </c>
      <c r="E55" t="b">
        <v>0</v>
      </c>
      <c r="H55" t="b">
        <v>0</v>
      </c>
    </row>
    <row r="56" spans="1:8" x14ac:dyDescent="0.25">
      <c r="A56" s="179" t="s">
        <v>237</v>
      </c>
      <c r="B56" t="s">
        <v>367</v>
      </c>
      <c r="C56">
        <v>28</v>
      </c>
      <c r="D56" s="42" t="b">
        <v>1</v>
      </c>
      <c r="E56" t="b">
        <v>1</v>
      </c>
      <c r="G56">
        <v>0.5</v>
      </c>
      <c r="H56" t="b">
        <v>1</v>
      </c>
    </row>
    <row r="57" spans="1:8" x14ac:dyDescent="0.25">
      <c r="A57" s="179" t="s">
        <v>236</v>
      </c>
      <c r="B57" t="s">
        <v>367</v>
      </c>
      <c r="C57">
        <v>28</v>
      </c>
      <c r="D57" s="42" t="b">
        <v>1</v>
      </c>
      <c r="E57" t="b">
        <v>0</v>
      </c>
      <c r="H57" t="b">
        <v>0</v>
      </c>
    </row>
    <row r="58" spans="1:8" x14ac:dyDescent="0.25">
      <c r="A58" s="179" t="s">
        <v>36</v>
      </c>
      <c r="B58" t="s">
        <v>364</v>
      </c>
      <c r="C58">
        <v>29</v>
      </c>
      <c r="D58" s="42" t="b">
        <v>1</v>
      </c>
      <c r="E58" t="b">
        <v>0</v>
      </c>
      <c r="H58" t="b">
        <v>0</v>
      </c>
    </row>
    <row r="59" spans="1:8" x14ac:dyDescent="0.25">
      <c r="A59" s="179" t="s">
        <v>58</v>
      </c>
      <c r="B59" t="s">
        <v>346</v>
      </c>
      <c r="C59">
        <v>30</v>
      </c>
      <c r="D59" s="42" t="b">
        <v>1</v>
      </c>
      <c r="E59" t="b">
        <v>1</v>
      </c>
      <c r="F59">
        <v>1</v>
      </c>
      <c r="H59" t="b">
        <v>0</v>
      </c>
    </row>
    <row r="60" spans="1:8" x14ac:dyDescent="0.25">
      <c r="A60" s="179" t="s">
        <v>59</v>
      </c>
      <c r="B60" t="s">
        <v>346</v>
      </c>
      <c r="C60">
        <v>30</v>
      </c>
      <c r="D60" s="42" t="b">
        <v>1</v>
      </c>
      <c r="E60" t="b">
        <v>1</v>
      </c>
      <c r="F60">
        <v>1</v>
      </c>
      <c r="H60" t="b">
        <v>1</v>
      </c>
    </row>
    <row r="61" spans="1:8" x14ac:dyDescent="0.25">
      <c r="A61" s="179" t="s">
        <v>60</v>
      </c>
      <c r="B61" t="s">
        <v>346</v>
      </c>
      <c r="C61">
        <v>30</v>
      </c>
      <c r="D61" s="42" t="b">
        <v>1</v>
      </c>
      <c r="E61" t="b">
        <v>1</v>
      </c>
      <c r="F61">
        <v>1</v>
      </c>
      <c r="H61" t="b">
        <v>1</v>
      </c>
    </row>
    <row r="62" spans="1:8" x14ac:dyDescent="0.25">
      <c r="A62" s="179" t="s">
        <v>61</v>
      </c>
      <c r="B62" t="s">
        <v>346</v>
      </c>
      <c r="C62">
        <v>30</v>
      </c>
      <c r="D62" s="42" t="b">
        <v>1</v>
      </c>
      <c r="E62" t="b">
        <v>1</v>
      </c>
      <c r="F62">
        <v>1</v>
      </c>
      <c r="H62" t="b">
        <v>1</v>
      </c>
    </row>
    <row r="63" spans="1:8" x14ac:dyDescent="0.25">
      <c r="A63" s="179" t="s">
        <v>62</v>
      </c>
      <c r="B63" t="s">
        <v>346</v>
      </c>
      <c r="C63">
        <v>30</v>
      </c>
      <c r="D63" s="42" t="b">
        <v>1</v>
      </c>
      <c r="E63" t="b">
        <v>1</v>
      </c>
      <c r="F63">
        <v>1</v>
      </c>
      <c r="H63" t="b">
        <v>1</v>
      </c>
    </row>
    <row r="64" spans="1:8" x14ac:dyDescent="0.25">
      <c r="A64" s="179" t="s">
        <v>63</v>
      </c>
      <c r="B64" t="s">
        <v>346</v>
      </c>
      <c r="C64">
        <v>30</v>
      </c>
      <c r="D64" s="42" t="b">
        <v>1</v>
      </c>
      <c r="E64" t="b">
        <v>1</v>
      </c>
      <c r="F64">
        <v>1</v>
      </c>
      <c r="H64" t="b">
        <v>1</v>
      </c>
    </row>
    <row r="65" spans="1:8" x14ac:dyDescent="0.25">
      <c r="A65" s="179" t="s">
        <v>64</v>
      </c>
      <c r="B65" t="s">
        <v>346</v>
      </c>
      <c r="C65">
        <v>30</v>
      </c>
      <c r="D65" s="42" t="b">
        <v>1</v>
      </c>
      <c r="E65" t="b">
        <v>1</v>
      </c>
      <c r="F65">
        <v>1</v>
      </c>
      <c r="H65" t="b">
        <v>1</v>
      </c>
    </row>
    <row r="66" spans="1:8" x14ac:dyDescent="0.25">
      <c r="A66" s="179" t="s">
        <v>57</v>
      </c>
      <c r="B66" t="s">
        <v>346</v>
      </c>
      <c r="C66">
        <v>31</v>
      </c>
      <c r="D66" s="42" t="b">
        <v>1</v>
      </c>
      <c r="E66" t="b">
        <v>1</v>
      </c>
      <c r="F66">
        <v>1</v>
      </c>
      <c r="H66" t="b">
        <v>0</v>
      </c>
    </row>
    <row r="67" spans="1:8" x14ac:dyDescent="0.25">
      <c r="A67" s="179" t="s">
        <v>56</v>
      </c>
      <c r="B67" t="s">
        <v>346</v>
      </c>
      <c r="C67">
        <v>31</v>
      </c>
      <c r="D67" s="42" t="b">
        <v>1</v>
      </c>
      <c r="E67" t="b">
        <v>1</v>
      </c>
      <c r="F67">
        <v>1</v>
      </c>
      <c r="H67" t="b">
        <v>1</v>
      </c>
    </row>
    <row r="68" spans="1:8" x14ac:dyDescent="0.25">
      <c r="A68" s="179" t="s">
        <v>55</v>
      </c>
      <c r="B68" t="s">
        <v>346</v>
      </c>
      <c r="C68">
        <v>31</v>
      </c>
      <c r="D68" s="42" t="b">
        <v>1</v>
      </c>
      <c r="E68" t="b">
        <v>1</v>
      </c>
      <c r="F68">
        <v>1</v>
      </c>
      <c r="H68" t="b">
        <v>1</v>
      </c>
    </row>
    <row r="69" spans="1:8" x14ac:dyDescent="0.25">
      <c r="A69" s="179" t="s">
        <v>67</v>
      </c>
      <c r="B69" t="s">
        <v>365</v>
      </c>
      <c r="C69">
        <v>32</v>
      </c>
      <c r="D69" s="42" t="b">
        <v>1</v>
      </c>
      <c r="E69" t="b">
        <v>1</v>
      </c>
      <c r="G69" t="s">
        <v>375</v>
      </c>
      <c r="H69" t="b">
        <v>1</v>
      </c>
    </row>
    <row r="70" spans="1:8" x14ac:dyDescent="0.25">
      <c r="A70" s="179" t="s">
        <v>68</v>
      </c>
      <c r="B70" t="s">
        <v>365</v>
      </c>
      <c r="C70">
        <v>33</v>
      </c>
      <c r="D70" s="42" t="b">
        <v>1</v>
      </c>
      <c r="E70" t="b">
        <v>1</v>
      </c>
      <c r="G70" t="s">
        <v>375</v>
      </c>
      <c r="H70" t="b">
        <v>1</v>
      </c>
    </row>
    <row r="71" spans="1:8" x14ac:dyDescent="0.25">
      <c r="A71" s="179" t="s">
        <v>69</v>
      </c>
      <c r="B71" t="s">
        <v>365</v>
      </c>
      <c r="C71">
        <v>34</v>
      </c>
      <c r="D71" s="42" t="b">
        <v>1</v>
      </c>
      <c r="E71" t="b">
        <v>1</v>
      </c>
      <c r="G71" t="s">
        <v>375</v>
      </c>
      <c r="H71" t="b">
        <v>1</v>
      </c>
    </row>
    <row r="72" spans="1:8" x14ac:dyDescent="0.25">
      <c r="A72" s="180" t="s">
        <v>70</v>
      </c>
      <c r="B72" t="s">
        <v>346</v>
      </c>
      <c r="C72">
        <v>35</v>
      </c>
      <c r="D72" s="42" t="b">
        <v>1</v>
      </c>
      <c r="E72" t="b">
        <v>1</v>
      </c>
      <c r="F72">
        <v>1</v>
      </c>
      <c r="H72" t="b">
        <v>1</v>
      </c>
    </row>
    <row r="73" spans="1:8" x14ac:dyDescent="0.25">
      <c r="A73" s="180" t="s">
        <v>244</v>
      </c>
      <c r="B73" t="s">
        <v>346</v>
      </c>
      <c r="C73">
        <v>35</v>
      </c>
      <c r="D73" s="42" t="b">
        <v>1</v>
      </c>
      <c r="E73" t="b">
        <v>1</v>
      </c>
      <c r="F73">
        <v>1</v>
      </c>
      <c r="H73" t="b">
        <v>1</v>
      </c>
    </row>
    <row r="74" spans="1:8" x14ac:dyDescent="0.25">
      <c r="A74" s="180" t="s">
        <v>275</v>
      </c>
      <c r="B74" t="s">
        <v>346</v>
      </c>
      <c r="C74">
        <v>35</v>
      </c>
      <c r="D74" s="42" t="b">
        <v>1</v>
      </c>
      <c r="E74" t="b">
        <v>1</v>
      </c>
      <c r="F74">
        <v>1</v>
      </c>
      <c r="H74" t="b">
        <v>1</v>
      </c>
    </row>
    <row r="75" spans="1:8" x14ac:dyDescent="0.25">
      <c r="A75" s="180" t="s">
        <v>164</v>
      </c>
      <c r="B75" t="s">
        <v>346</v>
      </c>
      <c r="C75">
        <v>35</v>
      </c>
      <c r="D75" s="42" t="b">
        <v>1</v>
      </c>
      <c r="E75" t="b">
        <v>1</v>
      </c>
      <c r="F75">
        <v>1</v>
      </c>
      <c r="H75" t="b">
        <v>1</v>
      </c>
    </row>
    <row r="76" spans="1:8" x14ac:dyDescent="0.25">
      <c r="A76" s="180" t="s">
        <v>134</v>
      </c>
      <c r="B76" t="s">
        <v>346</v>
      </c>
      <c r="C76">
        <v>35</v>
      </c>
      <c r="D76" s="42" t="b">
        <v>1</v>
      </c>
      <c r="E76" t="b">
        <v>1</v>
      </c>
      <c r="F76">
        <v>1</v>
      </c>
      <c r="H76" t="b">
        <v>1</v>
      </c>
    </row>
    <row r="77" spans="1:8" x14ac:dyDescent="0.25">
      <c r="A77" s="180" t="s">
        <v>144</v>
      </c>
      <c r="B77" t="s">
        <v>346</v>
      </c>
      <c r="C77">
        <v>35</v>
      </c>
      <c r="D77" s="42" t="b">
        <v>1</v>
      </c>
      <c r="E77" t="b">
        <v>1</v>
      </c>
      <c r="F77">
        <v>1</v>
      </c>
      <c r="H77" t="b">
        <v>1</v>
      </c>
    </row>
    <row r="78" spans="1:8" x14ac:dyDescent="0.25">
      <c r="A78" s="180" t="s">
        <v>143</v>
      </c>
      <c r="B78" t="s">
        <v>346</v>
      </c>
      <c r="C78">
        <v>35</v>
      </c>
      <c r="D78" s="42" t="b">
        <v>1</v>
      </c>
      <c r="E78" t="b">
        <v>1</v>
      </c>
      <c r="F78">
        <v>1</v>
      </c>
      <c r="H78" t="b">
        <v>1</v>
      </c>
    </row>
    <row r="79" spans="1:8" x14ac:dyDescent="0.25">
      <c r="A79" s="180" t="s">
        <v>71</v>
      </c>
      <c r="B79" t="s">
        <v>346</v>
      </c>
      <c r="C79">
        <v>35</v>
      </c>
      <c r="D79" s="42" t="b">
        <v>1</v>
      </c>
      <c r="E79" t="b">
        <v>1</v>
      </c>
      <c r="F79">
        <v>1</v>
      </c>
      <c r="H79" t="b">
        <v>0</v>
      </c>
    </row>
    <row r="80" spans="1:8" x14ac:dyDescent="0.25">
      <c r="A80" s="180" t="s">
        <v>72</v>
      </c>
      <c r="B80" t="s">
        <v>346</v>
      </c>
      <c r="C80">
        <v>36</v>
      </c>
      <c r="D80" s="42" t="b">
        <v>1</v>
      </c>
      <c r="E80" t="b">
        <v>1</v>
      </c>
      <c r="F80">
        <v>1</v>
      </c>
      <c r="H80" t="b">
        <v>1</v>
      </c>
    </row>
    <row r="81" spans="1:8" x14ac:dyDescent="0.25">
      <c r="A81" s="180" t="s">
        <v>73</v>
      </c>
      <c r="B81" t="s">
        <v>346</v>
      </c>
      <c r="C81">
        <v>36</v>
      </c>
      <c r="D81" s="42" t="b">
        <v>1</v>
      </c>
      <c r="E81" t="b">
        <v>1</v>
      </c>
      <c r="F81">
        <v>1</v>
      </c>
      <c r="H81" t="b">
        <v>1</v>
      </c>
    </row>
    <row r="82" spans="1:8" x14ac:dyDescent="0.25">
      <c r="A82" s="180" t="s">
        <v>128</v>
      </c>
      <c r="B82" t="s">
        <v>346</v>
      </c>
      <c r="C82">
        <v>36</v>
      </c>
      <c r="D82" s="42" t="b">
        <v>1</v>
      </c>
      <c r="E82" t="b">
        <v>1</v>
      </c>
      <c r="F82">
        <v>1</v>
      </c>
      <c r="H82" t="b">
        <v>1</v>
      </c>
    </row>
    <row r="83" spans="1:8" x14ac:dyDescent="0.25">
      <c r="A83" s="180" t="s">
        <v>129</v>
      </c>
      <c r="B83" t="s">
        <v>346</v>
      </c>
      <c r="C83">
        <v>36</v>
      </c>
      <c r="D83" s="42" t="b">
        <v>1</v>
      </c>
      <c r="E83" t="b">
        <v>1</v>
      </c>
      <c r="F83">
        <v>1</v>
      </c>
      <c r="H83" t="b">
        <v>0</v>
      </c>
    </row>
    <row r="84" spans="1:8" x14ac:dyDescent="0.25">
      <c r="A84" s="180" t="s">
        <v>137</v>
      </c>
      <c r="B84" t="s">
        <v>346</v>
      </c>
      <c r="C84">
        <v>37</v>
      </c>
      <c r="D84" s="42" t="b">
        <v>1</v>
      </c>
      <c r="E84" t="b">
        <v>1</v>
      </c>
      <c r="F84">
        <v>1</v>
      </c>
      <c r="H84" t="b">
        <v>0</v>
      </c>
    </row>
    <row r="85" spans="1:8" x14ac:dyDescent="0.25">
      <c r="A85" s="180" t="s">
        <v>147</v>
      </c>
      <c r="B85" t="s">
        <v>346</v>
      </c>
      <c r="C85">
        <v>37</v>
      </c>
      <c r="D85" s="42" t="b">
        <v>1</v>
      </c>
      <c r="E85" t="b">
        <v>1</v>
      </c>
      <c r="F85">
        <v>1</v>
      </c>
      <c r="H85" t="b">
        <v>0</v>
      </c>
    </row>
    <row r="86" spans="1:8" x14ac:dyDescent="0.25">
      <c r="A86" s="180" t="s">
        <v>165</v>
      </c>
      <c r="B86" t="s">
        <v>346</v>
      </c>
      <c r="C86">
        <v>37</v>
      </c>
      <c r="D86" s="42" t="b">
        <v>1</v>
      </c>
      <c r="E86" t="b">
        <v>1</v>
      </c>
      <c r="F86">
        <v>1</v>
      </c>
      <c r="H86" t="b">
        <v>0</v>
      </c>
    </row>
    <row r="87" spans="1:8" x14ac:dyDescent="0.25">
      <c r="A87" s="180" t="s">
        <v>327</v>
      </c>
      <c r="B87" t="s">
        <v>346</v>
      </c>
      <c r="C87">
        <v>37</v>
      </c>
      <c r="D87" s="42" t="b">
        <v>1</v>
      </c>
      <c r="E87" t="b">
        <v>1</v>
      </c>
      <c r="F87">
        <v>1</v>
      </c>
      <c r="H87" t="b">
        <v>0</v>
      </c>
    </row>
    <row r="88" spans="1:8" x14ac:dyDescent="0.25">
      <c r="A88" s="180" t="s">
        <v>138</v>
      </c>
      <c r="B88" t="s">
        <v>346</v>
      </c>
      <c r="C88">
        <v>37</v>
      </c>
      <c r="D88" s="42" t="b">
        <v>1</v>
      </c>
      <c r="E88" t="b">
        <v>1</v>
      </c>
      <c r="F88">
        <v>1</v>
      </c>
      <c r="H88" t="b">
        <v>0</v>
      </c>
    </row>
    <row r="89" spans="1:8" x14ac:dyDescent="0.25">
      <c r="A89" s="180" t="s">
        <v>74</v>
      </c>
      <c r="B89" t="s">
        <v>346</v>
      </c>
      <c r="C89">
        <v>38</v>
      </c>
      <c r="D89" s="42" t="b">
        <v>1</v>
      </c>
      <c r="E89" t="b">
        <v>1</v>
      </c>
      <c r="F89">
        <v>1</v>
      </c>
      <c r="H89" t="b">
        <v>0</v>
      </c>
    </row>
    <row r="90" spans="1:8" x14ac:dyDescent="0.25">
      <c r="A90" s="180" t="s">
        <v>75</v>
      </c>
      <c r="B90" t="s">
        <v>346</v>
      </c>
      <c r="C90">
        <v>38</v>
      </c>
      <c r="D90" s="42" t="b">
        <v>1</v>
      </c>
      <c r="E90" t="b">
        <v>1</v>
      </c>
      <c r="F90">
        <v>1</v>
      </c>
      <c r="H90" t="b">
        <v>0</v>
      </c>
    </row>
    <row r="91" spans="1:8" x14ac:dyDescent="0.25">
      <c r="A91" s="180" t="s">
        <v>76</v>
      </c>
      <c r="B91" t="s">
        <v>346</v>
      </c>
      <c r="C91">
        <v>38</v>
      </c>
      <c r="D91" s="42" t="b">
        <v>1</v>
      </c>
      <c r="E91" t="b">
        <v>1</v>
      </c>
      <c r="F91">
        <v>1</v>
      </c>
      <c r="H91" t="b">
        <v>0</v>
      </c>
    </row>
    <row r="92" spans="1:8" x14ac:dyDescent="0.25">
      <c r="A92" s="180" t="s">
        <v>111</v>
      </c>
      <c r="B92" t="s">
        <v>346</v>
      </c>
      <c r="C92">
        <v>38</v>
      </c>
      <c r="D92" s="42" t="b">
        <v>1</v>
      </c>
      <c r="E92" t="b">
        <v>1</v>
      </c>
      <c r="F92">
        <v>1</v>
      </c>
      <c r="H92" t="b">
        <v>0</v>
      </c>
    </row>
    <row r="93" spans="1:8" x14ac:dyDescent="0.25">
      <c r="A93" s="180" t="s">
        <v>77</v>
      </c>
      <c r="B93" t="s">
        <v>346</v>
      </c>
      <c r="C93">
        <v>38</v>
      </c>
      <c r="D93" s="42" t="b">
        <v>1</v>
      </c>
      <c r="E93" t="b">
        <v>1</v>
      </c>
      <c r="F93">
        <v>1</v>
      </c>
      <c r="H93" t="b">
        <v>0</v>
      </c>
    </row>
    <row r="94" spans="1:8" x14ac:dyDescent="0.25">
      <c r="A94" s="180" t="s">
        <v>78</v>
      </c>
      <c r="B94" t="s">
        <v>346</v>
      </c>
      <c r="C94">
        <v>38</v>
      </c>
      <c r="D94" s="42" t="b">
        <v>1</v>
      </c>
      <c r="E94" t="b">
        <v>1</v>
      </c>
      <c r="F94">
        <v>1</v>
      </c>
      <c r="H94" t="b">
        <v>0</v>
      </c>
    </row>
    <row r="95" spans="1:8" x14ac:dyDescent="0.25">
      <c r="A95" s="180" t="s">
        <v>79</v>
      </c>
      <c r="B95" t="s">
        <v>346</v>
      </c>
      <c r="C95">
        <v>38</v>
      </c>
      <c r="D95" s="42" t="b">
        <v>1</v>
      </c>
      <c r="E95" t="b">
        <v>1</v>
      </c>
      <c r="F95">
        <v>1</v>
      </c>
      <c r="H95" t="b">
        <v>0</v>
      </c>
    </row>
    <row r="96" spans="1:8" x14ac:dyDescent="0.25">
      <c r="A96" s="180" t="s">
        <v>80</v>
      </c>
      <c r="B96" t="s">
        <v>346</v>
      </c>
      <c r="C96">
        <v>38</v>
      </c>
      <c r="D96" s="42" t="b">
        <v>1</v>
      </c>
      <c r="E96" t="b">
        <v>1</v>
      </c>
      <c r="F96">
        <v>1</v>
      </c>
      <c r="H96" t="b">
        <v>0</v>
      </c>
    </row>
    <row r="97" spans="1:8" x14ac:dyDescent="0.25">
      <c r="A97" s="180" t="s">
        <v>82</v>
      </c>
      <c r="B97" t="s">
        <v>346</v>
      </c>
      <c r="C97">
        <v>38</v>
      </c>
      <c r="D97" s="42" t="b">
        <v>1</v>
      </c>
      <c r="E97" t="b">
        <v>1</v>
      </c>
      <c r="F97">
        <v>1</v>
      </c>
      <c r="H97" t="b">
        <v>0</v>
      </c>
    </row>
    <row r="98" spans="1:8" x14ac:dyDescent="0.25">
      <c r="A98" s="180" t="s">
        <v>145</v>
      </c>
      <c r="B98" t="s">
        <v>346</v>
      </c>
      <c r="C98">
        <v>38</v>
      </c>
      <c r="D98" s="42" t="b">
        <v>1</v>
      </c>
      <c r="E98" t="b">
        <v>1</v>
      </c>
      <c r="F98">
        <v>1</v>
      </c>
      <c r="H98" t="b">
        <v>0</v>
      </c>
    </row>
    <row r="99" spans="1:8" x14ac:dyDescent="0.25">
      <c r="A99" s="180" t="s">
        <v>81</v>
      </c>
      <c r="B99" t="s">
        <v>346</v>
      </c>
      <c r="C99">
        <v>38</v>
      </c>
      <c r="D99" s="42" t="b">
        <v>1</v>
      </c>
      <c r="E99" t="b">
        <v>1</v>
      </c>
      <c r="F99">
        <v>1</v>
      </c>
      <c r="H99" t="b">
        <v>0</v>
      </c>
    </row>
    <row r="100" spans="1:8" x14ac:dyDescent="0.25">
      <c r="A100" s="180" t="s">
        <v>83</v>
      </c>
      <c r="B100" t="s">
        <v>365</v>
      </c>
      <c r="C100">
        <v>39</v>
      </c>
      <c r="D100" s="42" t="b">
        <v>1</v>
      </c>
      <c r="E100" t="b">
        <v>1</v>
      </c>
      <c r="G100" t="s">
        <v>375</v>
      </c>
      <c r="H100" t="b">
        <v>0</v>
      </c>
    </row>
    <row r="101" spans="1:8" x14ac:dyDescent="0.25">
      <c r="A101" s="181" t="s">
        <v>84</v>
      </c>
      <c r="B101" t="s">
        <v>363</v>
      </c>
      <c r="C101">
        <v>40</v>
      </c>
      <c r="D101" s="42" t="b">
        <v>1</v>
      </c>
      <c r="E101" t="b">
        <v>1</v>
      </c>
      <c r="G101" t="s">
        <v>375</v>
      </c>
      <c r="H101" t="b">
        <v>1</v>
      </c>
    </row>
    <row r="102" spans="1:8" x14ac:dyDescent="0.25">
      <c r="A102" s="181" t="s">
        <v>85</v>
      </c>
      <c r="B102" t="s">
        <v>346</v>
      </c>
      <c r="C102">
        <v>41</v>
      </c>
      <c r="D102" s="42" t="b">
        <v>1</v>
      </c>
      <c r="E102" t="b">
        <v>1</v>
      </c>
      <c r="F102">
        <v>1</v>
      </c>
      <c r="H102" t="b">
        <v>1</v>
      </c>
    </row>
    <row r="103" spans="1:8" x14ac:dyDescent="0.25">
      <c r="A103" s="181" t="s">
        <v>368</v>
      </c>
      <c r="B103" t="s">
        <v>346</v>
      </c>
      <c r="C103">
        <v>41</v>
      </c>
      <c r="D103" s="42" t="b">
        <v>1</v>
      </c>
      <c r="E103" t="b">
        <v>1</v>
      </c>
      <c r="F103">
        <v>1</v>
      </c>
      <c r="H103" t="b">
        <v>0</v>
      </c>
    </row>
    <row r="104" spans="1:8" x14ac:dyDescent="0.25">
      <c r="A104" s="181" t="s">
        <v>86</v>
      </c>
      <c r="B104" t="s">
        <v>363</v>
      </c>
      <c r="C104">
        <v>42</v>
      </c>
      <c r="D104" s="42" t="b">
        <v>1</v>
      </c>
      <c r="E104" t="b">
        <v>1</v>
      </c>
      <c r="G104" t="s">
        <v>375</v>
      </c>
      <c r="H104" t="b">
        <v>0</v>
      </c>
    </row>
  </sheetData>
  <conditionalFormatting sqref="A2:A4 A11:A14 A6:A9">
    <cfRule type="containsBlanks" dxfId="19" priority="8">
      <formula>LEN(TRIM(A2))=0</formula>
    </cfRule>
  </conditionalFormatting>
  <conditionalFormatting sqref="A10">
    <cfRule type="containsBlanks" dxfId="18" priority="7">
      <formula>LEN(TRIM(A10))=0</formula>
    </cfRule>
  </conditionalFormatting>
  <conditionalFormatting sqref="A5">
    <cfRule type="containsBlanks" dxfId="17" priority="6">
      <formula>LEN(TRIM(A5))=0</formula>
    </cfRule>
  </conditionalFormatting>
  <conditionalFormatting sqref="A15:A24">
    <cfRule type="containsBlanks" dxfId="16" priority="5">
      <formula>LEN(TRIM(A15))=0</formula>
    </cfRule>
  </conditionalFormatting>
  <conditionalFormatting sqref="A25:A41">
    <cfRule type="containsBlanks" dxfId="15" priority="4">
      <formula>LEN(TRIM(A25))=0</formula>
    </cfRule>
  </conditionalFormatting>
  <conditionalFormatting sqref="A42:A71">
    <cfRule type="containsBlanks" dxfId="14" priority="3">
      <formula>LEN(TRIM(A42))=0</formula>
    </cfRule>
  </conditionalFormatting>
  <conditionalFormatting sqref="A72:A100">
    <cfRule type="containsBlanks" dxfId="13" priority="2">
      <formula>LEN(TRIM(A72))=0</formula>
    </cfRule>
  </conditionalFormatting>
  <conditionalFormatting sqref="A101:A104">
    <cfRule type="containsBlanks" dxfId="12" priority="1">
      <formula>LEN(TRIM(A101))=0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103</v>
      </c>
      <c r="B1" s="48" t="s">
        <v>105</v>
      </c>
      <c r="C1" s="36" t="s">
        <v>104</v>
      </c>
    </row>
    <row r="2" spans="1:8" x14ac:dyDescent="0.25">
      <c r="A2" s="27"/>
      <c r="B2" t="s">
        <v>122</v>
      </c>
      <c r="C2" s="34" t="s">
        <v>115</v>
      </c>
    </row>
    <row r="3" spans="1:8" x14ac:dyDescent="0.25">
      <c r="A3" s="46"/>
      <c r="B3" t="s">
        <v>123</v>
      </c>
      <c r="C3" s="34" t="s">
        <v>116</v>
      </c>
    </row>
    <row r="4" spans="1:8" x14ac:dyDescent="0.25">
      <c r="A4" s="20"/>
      <c r="B4" t="s">
        <v>106</v>
      </c>
      <c r="C4" s="34" t="s">
        <v>117</v>
      </c>
    </row>
    <row r="5" spans="1:8" x14ac:dyDescent="0.25">
      <c r="A5" s="22"/>
      <c r="B5" t="s">
        <v>127</v>
      </c>
      <c r="C5" s="34" t="s">
        <v>118</v>
      </c>
      <c r="H5" s="77" t="s">
        <v>379</v>
      </c>
    </row>
    <row r="6" spans="1:8" x14ac:dyDescent="0.25">
      <c r="A6" s="24"/>
      <c r="B6" t="s">
        <v>124</v>
      </c>
      <c r="C6" s="34" t="s">
        <v>119</v>
      </c>
    </row>
    <row r="7" spans="1:8" x14ac:dyDescent="0.25">
      <c r="A7" s="26"/>
      <c r="B7" t="s">
        <v>126</v>
      </c>
      <c r="C7" s="34" t="s">
        <v>120</v>
      </c>
      <c r="H7" s="77" t="s">
        <v>372</v>
      </c>
    </row>
    <row r="8" spans="1:8" x14ac:dyDescent="0.25">
      <c r="A8" s="45"/>
      <c r="B8" t="s">
        <v>125</v>
      </c>
      <c r="C8" s="34" t="s">
        <v>121</v>
      </c>
      <c r="H8" t="s">
        <v>378</v>
      </c>
    </row>
    <row r="21" spans="8:8" x14ac:dyDescent="0.25">
      <c r="H21" s="77" t="s">
        <v>373</v>
      </c>
    </row>
    <row r="22" spans="8:8" x14ac:dyDescent="0.25">
      <c r="H22" t="s">
        <v>376</v>
      </c>
    </row>
    <row r="23" spans="8:8" x14ac:dyDescent="0.25">
      <c r="H23" t="s">
        <v>377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438"/>
  <sheetViews>
    <sheetView workbookViewId="0"/>
  </sheetViews>
  <sheetFormatPr defaultRowHeight="15" x14ac:dyDescent="0.25"/>
  <cols>
    <col min="1" max="1" width="17.28515625" bestFit="1" customWidth="1"/>
    <col min="9" max="10" width="12" bestFit="1" customWidth="1"/>
  </cols>
  <sheetData>
    <row r="3" spans="1:18" x14ac:dyDescent="0.25">
      <c r="A3" s="75" t="s">
        <v>133</v>
      </c>
    </row>
    <row r="5" spans="1:18" x14ac:dyDescent="0.25">
      <c r="B5" t="s">
        <v>175</v>
      </c>
      <c r="D5" t="s">
        <v>178</v>
      </c>
      <c r="K5" t="s">
        <v>176</v>
      </c>
      <c r="P5" t="s">
        <v>177</v>
      </c>
    </row>
    <row r="7" spans="1:18" x14ac:dyDescent="0.25">
      <c r="C7" t="s">
        <v>158</v>
      </c>
      <c r="D7" t="s">
        <v>156</v>
      </c>
      <c r="E7" t="s">
        <v>171</v>
      </c>
      <c r="F7" t="s">
        <v>172</v>
      </c>
      <c r="G7" t="s">
        <v>155</v>
      </c>
      <c r="H7" s="73" t="s">
        <v>160</v>
      </c>
      <c r="K7" t="s">
        <v>161</v>
      </c>
      <c r="L7" t="s">
        <v>162</v>
      </c>
      <c r="M7" t="s">
        <v>163</v>
      </c>
      <c r="N7" t="s">
        <v>160</v>
      </c>
      <c r="P7" t="s">
        <v>161</v>
      </c>
      <c r="Q7" t="s">
        <v>160</v>
      </c>
      <c r="R7" t="s">
        <v>162</v>
      </c>
    </row>
    <row r="8" spans="1:18" x14ac:dyDescent="0.25">
      <c r="B8" t="s">
        <v>166</v>
      </c>
      <c r="C8">
        <v>3</v>
      </c>
      <c r="D8" t="s">
        <v>157</v>
      </c>
      <c r="E8">
        <v>2004</v>
      </c>
      <c r="F8" t="s">
        <v>173</v>
      </c>
      <c r="G8">
        <v>0.33400000000000002</v>
      </c>
      <c r="H8">
        <v>5.8000000000000003E-2</v>
      </c>
      <c r="K8" s="71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4">
        <f t="shared" ref="P8:P55" si="3">M8</f>
        <v>10.082582613601465</v>
      </c>
      <c r="Q8" s="74">
        <f t="shared" ref="Q8:Q55" si="4">IF(N8&gt;0,N8,-N8)</f>
        <v>1.7508676394876794</v>
      </c>
      <c r="R8" s="74">
        <f t="shared" ref="R8:R55" si="5">P8/Q8</f>
        <v>5.7586206896551726</v>
      </c>
    </row>
    <row r="9" spans="1:18" x14ac:dyDescent="0.25">
      <c r="B9" t="s">
        <v>167</v>
      </c>
      <c r="C9">
        <v>5</v>
      </c>
      <c r="D9" t="s">
        <v>157</v>
      </c>
      <c r="E9">
        <v>2004</v>
      </c>
      <c r="F9" t="s">
        <v>173</v>
      </c>
      <c r="G9">
        <v>0.56899999999999995</v>
      </c>
      <c r="H9">
        <v>2.1000000000000001E-2</v>
      </c>
      <c r="K9" s="71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4">
        <f t="shared" si="3"/>
        <v>9.4270241253097353</v>
      </c>
      <c r="Q9" s="74">
        <f t="shared" si="4"/>
        <v>0.34792180427329433</v>
      </c>
      <c r="R9" s="74">
        <f t="shared" si="5"/>
        <v>27.095238095238091</v>
      </c>
    </row>
    <row r="10" spans="1:18" x14ac:dyDescent="0.25">
      <c r="B10" t="s">
        <v>168</v>
      </c>
      <c r="C10" s="72" t="s">
        <v>170</v>
      </c>
      <c r="D10" t="s">
        <v>157</v>
      </c>
      <c r="E10">
        <v>2004</v>
      </c>
      <c r="F10" t="s">
        <v>173</v>
      </c>
      <c r="G10">
        <v>1.0569999999999999</v>
      </c>
      <c r="H10">
        <v>8.7999999999999995E-2</v>
      </c>
      <c r="K10" s="72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4">
        <f t="shared" si="3"/>
        <v>21.983605455815258</v>
      </c>
      <c r="Q10" s="74">
        <f t="shared" si="4"/>
        <v>1.8302339452334369</v>
      </c>
      <c r="R10" s="74">
        <f t="shared" si="5"/>
        <v>12.011363636363637</v>
      </c>
    </row>
    <row r="11" spans="1:18" x14ac:dyDescent="0.25">
      <c r="B11" t="s">
        <v>169</v>
      </c>
      <c r="C11" s="72" t="s">
        <v>170</v>
      </c>
      <c r="D11" t="s">
        <v>157</v>
      </c>
      <c r="E11">
        <v>2004</v>
      </c>
      <c r="F11" t="s">
        <v>173</v>
      </c>
      <c r="G11">
        <v>1.252</v>
      </c>
      <c r="H11">
        <v>0.28199999999999997</v>
      </c>
      <c r="K11" s="71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4">
        <f t="shared" si="3"/>
        <v>9.3160555453772211</v>
      </c>
      <c r="Q11" s="74">
        <f t="shared" si="4"/>
        <v>2.0983447793900765</v>
      </c>
      <c r="R11" s="74">
        <f t="shared" si="5"/>
        <v>4.4397163120567384</v>
      </c>
    </row>
    <row r="12" spans="1:18" x14ac:dyDescent="0.25">
      <c r="B12" t="s">
        <v>166</v>
      </c>
      <c r="C12">
        <v>3</v>
      </c>
      <c r="D12" t="s">
        <v>157</v>
      </c>
      <c r="E12">
        <v>2006</v>
      </c>
      <c r="F12" t="s">
        <v>173</v>
      </c>
      <c r="G12">
        <v>0.33300000000000002</v>
      </c>
      <c r="H12">
        <v>4.2000000000000003E-2</v>
      </c>
      <c r="K12" s="71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4">
        <f t="shared" si="3"/>
        <v>10.055068845243875</v>
      </c>
      <c r="Q12" s="74">
        <f t="shared" si="4"/>
        <v>1.2682068813821104</v>
      </c>
      <c r="R12" s="74">
        <f t="shared" si="5"/>
        <v>7.9285714285714288</v>
      </c>
    </row>
    <row r="13" spans="1:18" x14ac:dyDescent="0.25">
      <c r="B13" t="s">
        <v>167</v>
      </c>
      <c r="C13">
        <v>5</v>
      </c>
      <c r="D13" t="s">
        <v>157</v>
      </c>
      <c r="E13">
        <v>2006</v>
      </c>
      <c r="F13" t="s">
        <v>173</v>
      </c>
      <c r="G13">
        <v>0.56000000000000005</v>
      </c>
      <c r="H13">
        <v>1.4E-2</v>
      </c>
      <c r="K13" s="71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4">
        <f t="shared" si="3"/>
        <v>9.3011973943858628</v>
      </c>
      <c r="Q13" s="74">
        <f t="shared" si="4"/>
        <v>0.23252993485964657</v>
      </c>
      <c r="R13" s="74">
        <f t="shared" si="5"/>
        <v>40</v>
      </c>
    </row>
    <row r="14" spans="1:18" x14ac:dyDescent="0.25">
      <c r="B14" t="s">
        <v>168</v>
      </c>
      <c r="C14" s="72" t="s">
        <v>170</v>
      </c>
      <c r="D14" t="s">
        <v>157</v>
      </c>
      <c r="E14">
        <v>2006</v>
      </c>
      <c r="F14" t="s">
        <v>173</v>
      </c>
      <c r="G14">
        <v>0.90600000000000003</v>
      </c>
      <c r="H14">
        <v>4.5999999999999999E-2</v>
      </c>
      <c r="K14" s="72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4">
        <f t="shared" si="3"/>
        <v>16.017240098185415</v>
      </c>
      <c r="Q14" s="74">
        <f t="shared" si="4"/>
        <v>0.81323735597850888</v>
      </c>
      <c r="R14" s="74">
        <f t="shared" si="5"/>
        <v>19.695652173913043</v>
      </c>
    </row>
    <row r="15" spans="1:18" x14ac:dyDescent="0.25">
      <c r="B15" t="s">
        <v>169</v>
      </c>
      <c r="C15" s="72" t="s">
        <v>170</v>
      </c>
      <c r="D15" t="s">
        <v>157</v>
      </c>
      <c r="E15">
        <v>2006</v>
      </c>
      <c r="F15" t="s">
        <v>173</v>
      </c>
      <c r="G15">
        <v>1.002</v>
      </c>
      <c r="H15">
        <v>8.5999999999999993E-2</v>
      </c>
      <c r="K15" s="71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4">
        <f t="shared" si="3"/>
        <v>4.690018626419179</v>
      </c>
      <c r="Q15" s="74">
        <f t="shared" si="4"/>
        <v>0.40253652881442054</v>
      </c>
      <c r="R15" s="74">
        <f t="shared" si="5"/>
        <v>11.651162790697676</v>
      </c>
    </row>
    <row r="16" spans="1:18" x14ac:dyDescent="0.25">
      <c r="B16" t="s">
        <v>166</v>
      </c>
      <c r="C16">
        <v>3</v>
      </c>
      <c r="D16" t="s">
        <v>157</v>
      </c>
      <c r="E16">
        <v>2008</v>
      </c>
      <c r="F16" t="s">
        <v>173</v>
      </c>
      <c r="G16">
        <v>0.19400000000000001</v>
      </c>
      <c r="H16">
        <v>3.2000000000000001E-2</v>
      </c>
      <c r="K16" s="71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4">
        <f t="shared" si="3"/>
        <v>6.0884511510989503</v>
      </c>
      <c r="Q16" s="74">
        <f t="shared" si="4"/>
        <v>1.0042806022431259</v>
      </c>
      <c r="R16" s="74">
        <f t="shared" si="5"/>
        <v>6.0625</v>
      </c>
    </row>
    <row r="17" spans="2:18" x14ac:dyDescent="0.25">
      <c r="B17" t="s">
        <v>167</v>
      </c>
      <c r="C17">
        <v>5</v>
      </c>
      <c r="D17" t="s">
        <v>157</v>
      </c>
      <c r="E17">
        <v>2008</v>
      </c>
      <c r="F17" t="s">
        <v>173</v>
      </c>
      <c r="G17">
        <v>0.52800000000000002</v>
      </c>
      <c r="H17">
        <v>0.01</v>
      </c>
      <c r="K17" s="71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4">
        <f t="shared" si="3"/>
        <v>8.8490569773641781</v>
      </c>
      <c r="Q17" s="74">
        <f t="shared" si="4"/>
        <v>0.16759577608644274</v>
      </c>
      <c r="R17" s="74">
        <f t="shared" si="5"/>
        <v>52.800000000000004</v>
      </c>
    </row>
    <row r="18" spans="2:18" x14ac:dyDescent="0.25">
      <c r="B18" t="s">
        <v>168</v>
      </c>
      <c r="C18" s="72" t="s">
        <v>170</v>
      </c>
      <c r="D18" t="s">
        <v>157</v>
      </c>
      <c r="E18">
        <v>2008</v>
      </c>
      <c r="F18" t="s">
        <v>173</v>
      </c>
      <c r="G18">
        <v>0.86799999999999999</v>
      </c>
      <c r="H18">
        <v>3.1E-2</v>
      </c>
      <c r="K18" s="72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4">
        <f t="shared" si="3"/>
        <v>15.758369027902241</v>
      </c>
      <c r="Q18" s="74">
        <f t="shared" si="4"/>
        <v>0.56279889385365145</v>
      </c>
      <c r="R18" s="74">
        <f t="shared" si="5"/>
        <v>28</v>
      </c>
    </row>
    <row r="19" spans="2:18" x14ac:dyDescent="0.25">
      <c r="B19" t="s">
        <v>169</v>
      </c>
      <c r="C19" s="72" t="s">
        <v>170</v>
      </c>
      <c r="D19" t="s">
        <v>157</v>
      </c>
      <c r="E19">
        <v>2008</v>
      </c>
      <c r="F19" t="s">
        <v>173</v>
      </c>
      <c r="G19">
        <v>0.96099999999999997</v>
      </c>
      <c r="H19">
        <v>4.3999999999999997E-2</v>
      </c>
      <c r="K19" s="71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4">
        <f t="shared" si="3"/>
        <v>4.5466403094810204</v>
      </c>
      <c r="Q19" s="74">
        <f t="shared" si="4"/>
        <v>0.20817083623014038</v>
      </c>
      <c r="R19" s="74">
        <f t="shared" si="5"/>
        <v>21.84090909090909</v>
      </c>
    </row>
    <row r="20" spans="2:18" x14ac:dyDescent="0.25">
      <c r="B20" t="s">
        <v>166</v>
      </c>
      <c r="C20">
        <v>3</v>
      </c>
      <c r="D20" t="s">
        <v>159</v>
      </c>
      <c r="E20">
        <v>2004</v>
      </c>
      <c r="F20" t="s">
        <v>173</v>
      </c>
      <c r="G20">
        <v>0.157</v>
      </c>
      <c r="H20">
        <v>5.6000000000000001E-2</v>
      </c>
      <c r="K20" s="71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4">
        <f t="shared" si="3"/>
        <v>4.9811001507905184</v>
      </c>
      <c r="Q20" s="74">
        <f t="shared" si="4"/>
        <v>1.7766981429571278</v>
      </c>
      <c r="R20" s="74">
        <f t="shared" si="5"/>
        <v>2.8035714285714284</v>
      </c>
    </row>
    <row r="21" spans="2:18" x14ac:dyDescent="0.25">
      <c r="B21" t="s">
        <v>167</v>
      </c>
      <c r="C21">
        <v>5</v>
      </c>
      <c r="D21" t="s">
        <v>159</v>
      </c>
      <c r="E21">
        <v>2004</v>
      </c>
      <c r="F21" t="s">
        <v>173</v>
      </c>
      <c r="G21">
        <v>0.49199999999999999</v>
      </c>
      <c r="H21">
        <v>0.02</v>
      </c>
      <c r="K21" s="71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4">
        <f t="shared" si="3"/>
        <v>8.3312525606173082</v>
      </c>
      <c r="Q21" s="74">
        <f t="shared" si="4"/>
        <v>0.3386688032771264</v>
      </c>
      <c r="R21" s="74">
        <f t="shared" si="5"/>
        <v>24.599999999999998</v>
      </c>
    </row>
    <row r="22" spans="2:18" x14ac:dyDescent="0.25">
      <c r="B22" t="s">
        <v>168</v>
      </c>
      <c r="C22" s="72" t="s">
        <v>170</v>
      </c>
      <c r="D22" t="s">
        <v>159</v>
      </c>
      <c r="E22">
        <v>2004</v>
      </c>
      <c r="F22" t="s">
        <v>173</v>
      </c>
      <c r="G22">
        <v>1.0049999999999999</v>
      </c>
      <c r="H22">
        <v>9.6000000000000002E-2</v>
      </c>
      <c r="K22" s="72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4">
        <f t="shared" si="3"/>
        <v>23.004064973479643</v>
      </c>
      <c r="Q22" s="74">
        <f t="shared" si="4"/>
        <v>2.1974032213473094</v>
      </c>
      <c r="R22" s="74">
        <f t="shared" si="5"/>
        <v>10.46875</v>
      </c>
    </row>
    <row r="23" spans="2:18" x14ac:dyDescent="0.25">
      <c r="B23" t="s">
        <v>169</v>
      </c>
      <c r="C23" s="72" t="s">
        <v>170</v>
      </c>
      <c r="D23" t="s">
        <v>159</v>
      </c>
      <c r="E23">
        <v>2004</v>
      </c>
      <c r="F23" t="s">
        <v>173</v>
      </c>
      <c r="G23">
        <v>0.95</v>
      </c>
      <c r="H23">
        <v>0.69899999999999995</v>
      </c>
      <c r="K23" s="71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4">
        <f t="shared" si="3"/>
        <v>-2.7888895238820988</v>
      </c>
      <c r="Q23" s="74">
        <f t="shared" si="4"/>
        <v>2.052035554940618</v>
      </c>
      <c r="R23" s="74">
        <f t="shared" si="5"/>
        <v>-1.3590844062947067</v>
      </c>
    </row>
    <row r="24" spans="2:18" x14ac:dyDescent="0.25">
      <c r="B24" t="s">
        <v>166</v>
      </c>
      <c r="C24">
        <v>3</v>
      </c>
      <c r="D24" t="s">
        <v>159</v>
      </c>
      <c r="E24">
        <v>2006</v>
      </c>
      <c r="F24" t="s">
        <v>173</v>
      </c>
      <c r="G24">
        <v>0.187</v>
      </c>
      <c r="H24">
        <v>4.2000000000000003E-2</v>
      </c>
      <c r="K24" s="71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4">
        <f t="shared" si="3"/>
        <v>5.8807249810217455</v>
      </c>
      <c r="Q24" s="74">
        <f t="shared" si="4"/>
        <v>1.3208045411920499</v>
      </c>
      <c r="R24" s="74">
        <f t="shared" si="5"/>
        <v>4.4523809523809517</v>
      </c>
    </row>
    <row r="25" spans="2:18" x14ac:dyDescent="0.25">
      <c r="B25" t="s">
        <v>167</v>
      </c>
      <c r="C25">
        <v>5</v>
      </c>
      <c r="D25" t="s">
        <v>159</v>
      </c>
      <c r="E25">
        <v>2006</v>
      </c>
      <c r="F25" t="s">
        <v>173</v>
      </c>
      <c r="G25">
        <v>0.43099999999999999</v>
      </c>
      <c r="H25">
        <v>1.4999999999999999E-2</v>
      </c>
      <c r="K25" s="71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4">
        <f t="shared" si="3"/>
        <v>7.4305815657685015</v>
      </c>
      <c r="Q25" s="74">
        <f t="shared" si="4"/>
        <v>0.25860492688289449</v>
      </c>
      <c r="R25" s="74">
        <f t="shared" si="5"/>
        <v>28.733333333333331</v>
      </c>
    </row>
    <row r="26" spans="2:18" x14ac:dyDescent="0.25">
      <c r="B26" t="s">
        <v>168</v>
      </c>
      <c r="C26" s="72" t="s">
        <v>170</v>
      </c>
      <c r="D26" t="s">
        <v>159</v>
      </c>
      <c r="E26">
        <v>2006</v>
      </c>
      <c r="F26" t="s">
        <v>173</v>
      </c>
      <c r="G26">
        <v>0.68</v>
      </c>
      <c r="H26">
        <v>5.0999999999999997E-2</v>
      </c>
      <c r="K26" s="72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4">
        <f t="shared" si="3"/>
        <v>11.758668567588092</v>
      </c>
      <c r="Q26" s="74">
        <f t="shared" si="4"/>
        <v>0.88190014256910676</v>
      </c>
      <c r="R26" s="74">
        <f t="shared" si="5"/>
        <v>13.333333333333336</v>
      </c>
    </row>
    <row r="27" spans="2:18" x14ac:dyDescent="0.25">
      <c r="B27" t="s">
        <v>169</v>
      </c>
      <c r="C27" s="72" t="s">
        <v>170</v>
      </c>
      <c r="D27" t="s">
        <v>159</v>
      </c>
      <c r="E27">
        <v>2006</v>
      </c>
      <c r="F27" t="s">
        <v>173</v>
      </c>
      <c r="G27">
        <v>0.94299999999999995</v>
      </c>
      <c r="H27">
        <v>0.14099999999999999</v>
      </c>
      <c r="K27" s="71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4">
        <f t="shared" si="3"/>
        <v>12.383272776690379</v>
      </c>
      <c r="Q27" s="74">
        <f t="shared" si="4"/>
        <v>1.8515816134818064</v>
      </c>
      <c r="R27" s="74">
        <f t="shared" si="5"/>
        <v>6.6879432624113475</v>
      </c>
    </row>
    <row r="28" spans="2:18" x14ac:dyDescent="0.25">
      <c r="B28" t="s">
        <v>166</v>
      </c>
      <c r="C28">
        <v>3</v>
      </c>
      <c r="D28" t="s">
        <v>159</v>
      </c>
      <c r="E28">
        <v>2008</v>
      </c>
      <c r="F28" t="s">
        <v>173</v>
      </c>
      <c r="G28">
        <v>0.13500000000000001</v>
      </c>
      <c r="H28">
        <v>3.3000000000000002E-2</v>
      </c>
      <c r="K28" s="71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4">
        <f t="shared" si="3"/>
        <v>4.3114431330610214</v>
      </c>
      <c r="Q28" s="74">
        <f t="shared" si="4"/>
        <v>1.0539083214149163</v>
      </c>
      <c r="R28" s="74">
        <f t="shared" si="5"/>
        <v>4.0909090909090908</v>
      </c>
    </row>
    <row r="29" spans="2:18" x14ac:dyDescent="0.25">
      <c r="B29" t="s">
        <v>167</v>
      </c>
      <c r="C29">
        <v>5</v>
      </c>
      <c r="D29" t="s">
        <v>159</v>
      </c>
      <c r="E29">
        <v>2008</v>
      </c>
      <c r="F29" t="s">
        <v>173</v>
      </c>
      <c r="G29">
        <v>0.39200000000000002</v>
      </c>
      <c r="H29">
        <v>1.0999999999999999E-2</v>
      </c>
      <c r="K29" s="71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4">
        <f t="shared" si="3"/>
        <v>6.8385160164647019</v>
      </c>
      <c r="Q29" s="74">
        <f t="shared" si="4"/>
        <v>0.19189713311508089</v>
      </c>
      <c r="R29" s="74">
        <f t="shared" si="5"/>
        <v>35.63636363636364</v>
      </c>
    </row>
    <row r="30" spans="2:18" x14ac:dyDescent="0.25">
      <c r="B30" t="s">
        <v>168</v>
      </c>
      <c r="C30" s="72" t="s">
        <v>170</v>
      </c>
      <c r="D30" t="s">
        <v>159</v>
      </c>
      <c r="E30">
        <v>2008</v>
      </c>
      <c r="F30" t="s">
        <v>173</v>
      </c>
      <c r="G30">
        <v>0.63700000000000001</v>
      </c>
      <c r="H30">
        <v>3.2000000000000001E-2</v>
      </c>
      <c r="K30" s="72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4">
        <f t="shared" si="3"/>
        <v>11.579568022107001</v>
      </c>
      <c r="Q30" s="74">
        <f t="shared" si="4"/>
        <v>0.58170514396769868</v>
      </c>
      <c r="R30" s="74">
        <f t="shared" si="5"/>
        <v>19.906249999999996</v>
      </c>
    </row>
    <row r="31" spans="2:18" x14ac:dyDescent="0.25">
      <c r="B31" t="s">
        <v>169</v>
      </c>
      <c r="C31" s="72" t="s">
        <v>170</v>
      </c>
      <c r="D31" t="s">
        <v>159</v>
      </c>
      <c r="E31">
        <v>2008</v>
      </c>
      <c r="F31" t="s">
        <v>173</v>
      </c>
      <c r="G31">
        <v>0.71599999999999997</v>
      </c>
      <c r="H31">
        <v>6.8000000000000005E-2</v>
      </c>
      <c r="K31" s="71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4">
        <f t="shared" si="3"/>
        <v>3.8749247893831162</v>
      </c>
      <c r="Q31" s="74">
        <f t="shared" si="4"/>
        <v>0.36800961686878764</v>
      </c>
      <c r="R31" s="74">
        <f t="shared" si="5"/>
        <v>10.52941176470588</v>
      </c>
    </row>
    <row r="32" spans="2:18" x14ac:dyDescent="0.25">
      <c r="B32" t="s">
        <v>166</v>
      </c>
      <c r="C32">
        <v>3</v>
      </c>
      <c r="D32" t="s">
        <v>157</v>
      </c>
      <c r="E32">
        <v>2004</v>
      </c>
      <c r="F32" t="s">
        <v>174</v>
      </c>
      <c r="G32">
        <v>0.35</v>
      </c>
      <c r="H32">
        <v>6.6000000000000003E-2</v>
      </c>
      <c r="K32" s="71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4">
        <f t="shared" si="3"/>
        <v>10.520944959211608</v>
      </c>
      <c r="Q32" s="74">
        <f t="shared" si="4"/>
        <v>1.9839496208799032</v>
      </c>
      <c r="R32" s="74">
        <f t="shared" si="5"/>
        <v>5.3030303030303028</v>
      </c>
    </row>
    <row r="33" spans="2:18" x14ac:dyDescent="0.25">
      <c r="B33" t="s">
        <v>167</v>
      </c>
      <c r="C33">
        <v>5</v>
      </c>
      <c r="D33" t="s">
        <v>157</v>
      </c>
      <c r="E33">
        <v>2004</v>
      </c>
      <c r="F33" t="s">
        <v>174</v>
      </c>
      <c r="G33">
        <v>0.53</v>
      </c>
      <c r="H33">
        <v>2.4E-2</v>
      </c>
      <c r="K33" s="71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4">
        <f t="shared" si="3"/>
        <v>8.8775365880074055</v>
      </c>
      <c r="Q33" s="74">
        <f t="shared" si="4"/>
        <v>0.40200165681542965</v>
      </c>
      <c r="R33" s="74">
        <f t="shared" si="5"/>
        <v>22.083333333333336</v>
      </c>
    </row>
    <row r="34" spans="2:18" x14ac:dyDescent="0.25">
      <c r="B34" t="s">
        <v>168</v>
      </c>
      <c r="C34" s="72" t="s">
        <v>170</v>
      </c>
      <c r="D34" t="s">
        <v>157</v>
      </c>
      <c r="E34">
        <v>2004</v>
      </c>
      <c r="F34" t="s">
        <v>174</v>
      </c>
      <c r="G34">
        <v>0.97</v>
      </c>
      <c r="H34">
        <v>9.1999999999999998E-2</v>
      </c>
      <c r="K34" s="72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4">
        <f t="shared" si="3"/>
        <v>19.999999999999996</v>
      </c>
      <c r="Q34" s="74">
        <f t="shared" si="4"/>
        <v>1.8969072164948451</v>
      </c>
      <c r="R34" s="74">
        <f t="shared" si="5"/>
        <v>10.543478260869565</v>
      </c>
    </row>
    <row r="35" spans="2:18" x14ac:dyDescent="0.25">
      <c r="B35" t="s">
        <v>169</v>
      </c>
      <c r="C35" s="72" t="s">
        <v>170</v>
      </c>
      <c r="D35" t="s">
        <v>157</v>
      </c>
      <c r="E35">
        <v>2004</v>
      </c>
      <c r="F35" t="s">
        <v>174</v>
      </c>
      <c r="G35">
        <v>1.1479999999999999</v>
      </c>
      <c r="H35">
        <v>0.28599999999999998</v>
      </c>
      <c r="K35" s="71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4">
        <f t="shared" si="3"/>
        <v>8.5357084097210656</v>
      </c>
      <c r="Q35" s="74">
        <f t="shared" si="4"/>
        <v>2.1264918163590809</v>
      </c>
      <c r="R35" s="74">
        <f t="shared" si="5"/>
        <v>4.0139860139860142</v>
      </c>
    </row>
    <row r="36" spans="2:18" x14ac:dyDescent="0.25">
      <c r="B36" t="s">
        <v>166</v>
      </c>
      <c r="C36">
        <v>3</v>
      </c>
      <c r="D36" t="s">
        <v>157</v>
      </c>
      <c r="E36">
        <v>2006</v>
      </c>
      <c r="F36" t="s">
        <v>174</v>
      </c>
      <c r="G36">
        <v>0.34200000000000003</v>
      </c>
      <c r="H36">
        <v>4.5999999999999999E-2</v>
      </c>
      <c r="K36" s="71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4">
        <f t="shared" si="3"/>
        <v>10.302199320664297</v>
      </c>
      <c r="Q36" s="74">
        <f t="shared" si="4"/>
        <v>1.3856759320191743</v>
      </c>
      <c r="R36" s="74">
        <f t="shared" si="5"/>
        <v>7.4347826086956532</v>
      </c>
    </row>
    <row r="37" spans="2:18" x14ac:dyDescent="0.25">
      <c r="B37" t="s">
        <v>167</v>
      </c>
      <c r="C37">
        <v>5</v>
      </c>
      <c r="D37" t="s">
        <v>157</v>
      </c>
      <c r="E37">
        <v>2006</v>
      </c>
      <c r="F37" t="s">
        <v>174</v>
      </c>
      <c r="G37">
        <v>0.52400000000000002</v>
      </c>
      <c r="H37">
        <v>1.4999999999999999E-2</v>
      </c>
      <c r="K37" s="71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4">
        <f t="shared" si="3"/>
        <v>8.7920081740137324</v>
      </c>
      <c r="Q37" s="74">
        <f t="shared" si="4"/>
        <v>0.25167962330191979</v>
      </c>
      <c r="R37" s="74">
        <f t="shared" si="5"/>
        <v>34.933333333333337</v>
      </c>
    </row>
    <row r="38" spans="2:18" x14ac:dyDescent="0.25">
      <c r="B38" t="s">
        <v>168</v>
      </c>
      <c r="C38" s="72" t="s">
        <v>170</v>
      </c>
      <c r="D38" t="s">
        <v>157</v>
      </c>
      <c r="E38">
        <v>2006</v>
      </c>
      <c r="F38" t="s">
        <v>174</v>
      </c>
      <c r="G38">
        <v>0.84899999999999998</v>
      </c>
      <c r="H38">
        <v>4.7E-2</v>
      </c>
      <c r="K38" s="72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4">
        <f t="shared" si="3"/>
        <v>15.108644332213373</v>
      </c>
      <c r="Q38" s="74">
        <f t="shared" si="4"/>
        <v>0.83640316091169442</v>
      </c>
      <c r="R38" s="74">
        <f t="shared" si="5"/>
        <v>18.063829787234042</v>
      </c>
    </row>
    <row r="39" spans="2:18" x14ac:dyDescent="0.25">
      <c r="B39" t="s">
        <v>169</v>
      </c>
      <c r="C39" s="72" t="s">
        <v>170</v>
      </c>
      <c r="D39" t="s">
        <v>157</v>
      </c>
      <c r="E39">
        <v>2006</v>
      </c>
      <c r="F39" t="s">
        <v>174</v>
      </c>
      <c r="G39">
        <v>0.92300000000000004</v>
      </c>
      <c r="H39">
        <v>8.5999999999999993E-2</v>
      </c>
      <c r="K39" s="71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4">
        <f t="shared" si="3"/>
        <v>3.6339712642529332</v>
      </c>
      <c r="Q39" s="74">
        <f t="shared" si="4"/>
        <v>0.33859320555336098</v>
      </c>
      <c r="R39" s="74">
        <f t="shared" si="5"/>
        <v>10.732558139534886</v>
      </c>
    </row>
    <row r="40" spans="2:18" x14ac:dyDescent="0.25">
      <c r="B40" t="s">
        <v>166</v>
      </c>
      <c r="C40">
        <v>3</v>
      </c>
      <c r="D40" t="s">
        <v>157</v>
      </c>
      <c r="E40">
        <v>2008</v>
      </c>
      <c r="F40" t="s">
        <v>174</v>
      </c>
      <c r="G40">
        <v>0.189</v>
      </c>
      <c r="H40">
        <v>3.4000000000000002E-2</v>
      </c>
      <c r="K40" s="71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4">
        <f t="shared" si="3"/>
        <v>5.9401584624788173</v>
      </c>
      <c r="Q40" s="74">
        <f t="shared" si="4"/>
        <v>1.0685999350490993</v>
      </c>
      <c r="R40" s="74">
        <f t="shared" si="5"/>
        <v>5.5588235294117654</v>
      </c>
    </row>
    <row r="41" spans="2:18" x14ac:dyDescent="0.25">
      <c r="B41" t="s">
        <v>167</v>
      </c>
      <c r="C41">
        <v>5</v>
      </c>
      <c r="D41" t="s">
        <v>157</v>
      </c>
      <c r="E41">
        <v>2008</v>
      </c>
      <c r="F41" t="s">
        <v>174</v>
      </c>
      <c r="G41">
        <v>0.502</v>
      </c>
      <c r="H41">
        <v>1.0999999999999999E-2</v>
      </c>
      <c r="K41" s="71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4">
        <f t="shared" si="3"/>
        <v>8.476080955730648</v>
      </c>
      <c r="Q41" s="74">
        <f t="shared" si="4"/>
        <v>0.18573085759569147</v>
      </c>
      <c r="R41" s="74">
        <f t="shared" si="5"/>
        <v>45.63636363636364</v>
      </c>
    </row>
    <row r="42" spans="2:18" x14ac:dyDescent="0.25">
      <c r="B42" t="s">
        <v>168</v>
      </c>
      <c r="C42" s="72" t="s">
        <v>170</v>
      </c>
      <c r="D42" t="s">
        <v>157</v>
      </c>
      <c r="E42">
        <v>2008</v>
      </c>
      <c r="F42" t="s">
        <v>174</v>
      </c>
      <c r="G42">
        <v>0.82699999999999996</v>
      </c>
      <c r="H42">
        <v>3.1E-2</v>
      </c>
      <c r="K42" s="72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4">
        <f t="shared" si="3"/>
        <v>15.108644332213373</v>
      </c>
      <c r="Q42" s="74">
        <f t="shared" si="4"/>
        <v>0.56634579721718814</v>
      </c>
      <c r="R42" s="74">
        <f t="shared" si="5"/>
        <v>26.677419354838708</v>
      </c>
    </row>
    <row r="43" spans="2:18" x14ac:dyDescent="0.25">
      <c r="B43" t="s">
        <v>169</v>
      </c>
      <c r="C43" s="72" t="s">
        <v>170</v>
      </c>
      <c r="D43" t="s">
        <v>157</v>
      </c>
      <c r="E43">
        <v>2008</v>
      </c>
      <c r="F43" t="s">
        <v>174</v>
      </c>
      <c r="G43">
        <v>0.89300000000000002</v>
      </c>
      <c r="H43">
        <v>4.3999999999999997E-2</v>
      </c>
      <c r="K43" s="71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4">
        <f t="shared" si="3"/>
        <v>3.2472759931224449</v>
      </c>
      <c r="Q43" s="74">
        <f t="shared" si="4"/>
        <v>0.16000016091532762</v>
      </c>
      <c r="R43" s="74">
        <f t="shared" si="5"/>
        <v>20.295454545454547</v>
      </c>
    </row>
    <row r="44" spans="2:18" x14ac:dyDescent="0.25">
      <c r="B44" t="s">
        <v>166</v>
      </c>
      <c r="C44">
        <v>3</v>
      </c>
      <c r="D44" t="s">
        <v>159</v>
      </c>
      <c r="E44">
        <v>2004</v>
      </c>
      <c r="F44" t="s">
        <v>174</v>
      </c>
      <c r="G44">
        <v>0.14199999999999999</v>
      </c>
      <c r="H44">
        <v>6.0999999999999999E-2</v>
      </c>
      <c r="K44" s="71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4">
        <f t="shared" si="3"/>
        <v>4.5254472798147649</v>
      </c>
      <c r="Q44" s="74">
        <f t="shared" si="4"/>
        <v>1.9440301694978921</v>
      </c>
      <c r="R44" s="74">
        <f t="shared" si="5"/>
        <v>2.3278688524590163</v>
      </c>
    </row>
    <row r="45" spans="2:18" x14ac:dyDescent="0.25">
      <c r="B45" t="s">
        <v>167</v>
      </c>
      <c r="C45">
        <v>5</v>
      </c>
      <c r="D45" t="s">
        <v>159</v>
      </c>
      <c r="E45">
        <v>2004</v>
      </c>
      <c r="F45" t="s">
        <v>174</v>
      </c>
      <c r="G45">
        <v>0.42899999999999999</v>
      </c>
      <c r="H45">
        <v>2.1999999999999999E-2</v>
      </c>
      <c r="K45" s="71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4">
        <f t="shared" si="3"/>
        <v>7.4005352510223332</v>
      </c>
      <c r="Q45" s="74">
        <f t="shared" si="4"/>
        <v>0.37951462825755555</v>
      </c>
      <c r="R45" s="74">
        <f t="shared" si="5"/>
        <v>19.5</v>
      </c>
    </row>
    <row r="46" spans="2:18" x14ac:dyDescent="0.25">
      <c r="B46" t="s">
        <v>168</v>
      </c>
      <c r="C46" s="72" t="s">
        <v>170</v>
      </c>
      <c r="D46" t="s">
        <v>159</v>
      </c>
      <c r="E46">
        <v>2004</v>
      </c>
      <c r="F46" t="s">
        <v>174</v>
      </c>
      <c r="G46">
        <v>0.91300000000000003</v>
      </c>
      <c r="H46">
        <v>9.5000000000000001E-2</v>
      </c>
      <c r="K46" s="72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4">
        <f t="shared" si="3"/>
        <v>21.819538662728476</v>
      </c>
      <c r="Q46" s="74">
        <f t="shared" si="4"/>
        <v>2.2703791598676943</v>
      </c>
      <c r="R46" s="74">
        <f t="shared" si="5"/>
        <v>9.6105263157894747</v>
      </c>
    </row>
    <row r="47" spans="2:18" x14ac:dyDescent="0.25">
      <c r="B47" t="s">
        <v>169</v>
      </c>
      <c r="C47" s="72" t="s">
        <v>170</v>
      </c>
      <c r="D47" t="s">
        <v>159</v>
      </c>
      <c r="E47">
        <v>2004</v>
      </c>
      <c r="F47" t="s">
        <v>174</v>
      </c>
      <c r="G47">
        <v>0.88400000000000001</v>
      </c>
      <c r="H47">
        <v>0.68200000000000005</v>
      </c>
      <c r="K47" s="71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4">
        <f t="shared" si="3"/>
        <v>-1.4606677513999022</v>
      </c>
      <c r="Q47" s="74">
        <f t="shared" si="4"/>
        <v>1.1268952561705128</v>
      </c>
      <c r="R47" s="74">
        <f t="shared" si="5"/>
        <v>-1.2961876832844574</v>
      </c>
    </row>
    <row r="48" spans="2:18" x14ac:dyDescent="0.25">
      <c r="B48" t="s">
        <v>166</v>
      </c>
      <c r="C48">
        <v>3</v>
      </c>
      <c r="D48" t="s">
        <v>159</v>
      </c>
      <c r="E48">
        <v>2006</v>
      </c>
      <c r="F48" t="s">
        <v>174</v>
      </c>
      <c r="G48">
        <v>0.182</v>
      </c>
      <c r="H48">
        <v>4.4999999999999998E-2</v>
      </c>
      <c r="K48" s="71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4">
        <f t="shared" si="3"/>
        <v>5.7318486246754397</v>
      </c>
      <c r="Q48" s="74">
        <f t="shared" si="4"/>
        <v>1.4172153192878836</v>
      </c>
      <c r="R48" s="74">
        <f t="shared" si="5"/>
        <v>4.0444444444444443</v>
      </c>
    </row>
    <row r="49" spans="1:18" x14ac:dyDescent="0.25">
      <c r="B49" t="s">
        <v>167</v>
      </c>
      <c r="C49">
        <v>5</v>
      </c>
      <c r="D49" t="s">
        <v>159</v>
      </c>
      <c r="E49">
        <v>2006</v>
      </c>
      <c r="F49" t="s">
        <v>174</v>
      </c>
      <c r="G49">
        <v>0.37</v>
      </c>
      <c r="H49">
        <v>1.6E-2</v>
      </c>
      <c r="K49" s="71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4">
        <f t="shared" si="3"/>
        <v>6.498652656427617</v>
      </c>
      <c r="Q49" s="74">
        <f t="shared" si="4"/>
        <v>0.28102281757524833</v>
      </c>
      <c r="R49" s="74">
        <f t="shared" si="5"/>
        <v>23.124999999999996</v>
      </c>
    </row>
    <row r="50" spans="1:18" x14ac:dyDescent="0.25">
      <c r="B50" t="s">
        <v>168</v>
      </c>
      <c r="C50" s="72" t="s">
        <v>170</v>
      </c>
      <c r="D50" t="s">
        <v>159</v>
      </c>
      <c r="E50">
        <v>2006</v>
      </c>
      <c r="F50" t="s">
        <v>174</v>
      </c>
      <c r="G50">
        <v>0.57999999999999996</v>
      </c>
      <c r="H50">
        <v>5.0999999999999997E-2</v>
      </c>
      <c r="K50" s="72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4">
        <f t="shared" si="3"/>
        <v>10.000000000000009</v>
      </c>
      <c r="Q50" s="74">
        <f t="shared" si="4"/>
        <v>0.87931034482758696</v>
      </c>
      <c r="R50" s="74">
        <f t="shared" si="5"/>
        <v>11.372549019607844</v>
      </c>
    </row>
    <row r="51" spans="1:18" x14ac:dyDescent="0.25">
      <c r="B51" t="s">
        <v>169</v>
      </c>
      <c r="C51" s="72" t="s">
        <v>170</v>
      </c>
      <c r="D51" t="s">
        <v>159</v>
      </c>
      <c r="E51">
        <v>2006</v>
      </c>
      <c r="F51" t="s">
        <v>174</v>
      </c>
      <c r="G51">
        <v>0.83299999999999996</v>
      </c>
      <c r="H51">
        <v>1.37E-2</v>
      </c>
      <c r="K51" s="71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4">
        <f t="shared" si="3"/>
        <v>11.937482551645772</v>
      </c>
      <c r="Q51" s="74">
        <f t="shared" si="4"/>
        <v>0.19633074544723539</v>
      </c>
      <c r="R51" s="74">
        <f t="shared" si="5"/>
        <v>60.802919708029194</v>
      </c>
    </row>
    <row r="52" spans="1:18" x14ac:dyDescent="0.25">
      <c r="B52" t="s">
        <v>166</v>
      </c>
      <c r="C52">
        <v>3</v>
      </c>
      <c r="D52" t="s">
        <v>159</v>
      </c>
      <c r="E52">
        <v>2008</v>
      </c>
      <c r="F52" t="s">
        <v>174</v>
      </c>
      <c r="G52">
        <v>0.14199999999999999</v>
      </c>
      <c r="H52">
        <v>3.5999999999999997E-2</v>
      </c>
      <c r="K52" s="71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4">
        <f t="shared" si="3"/>
        <v>4.5254472798147649</v>
      </c>
      <c r="Q52" s="74">
        <f t="shared" si="4"/>
        <v>1.1472964934741658</v>
      </c>
      <c r="R52" s="74">
        <f t="shared" si="5"/>
        <v>3.9444444444444442</v>
      </c>
    </row>
    <row r="53" spans="1:18" x14ac:dyDescent="0.25">
      <c r="B53" t="s">
        <v>167</v>
      </c>
      <c r="C53">
        <v>5</v>
      </c>
      <c r="D53" t="s">
        <v>159</v>
      </c>
      <c r="E53">
        <v>2008</v>
      </c>
      <c r="F53" t="s">
        <v>174</v>
      </c>
      <c r="G53">
        <v>0.36299999999999999</v>
      </c>
      <c r="H53">
        <v>1.2999999999999999E-2</v>
      </c>
      <c r="K53" s="71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4">
        <f t="shared" si="3"/>
        <v>6.3895988043532581</v>
      </c>
      <c r="Q53" s="74">
        <f t="shared" si="4"/>
        <v>0.22882860731843624</v>
      </c>
      <c r="R53" s="74">
        <f t="shared" si="5"/>
        <v>27.923076923076923</v>
      </c>
    </row>
    <row r="54" spans="1:18" x14ac:dyDescent="0.25">
      <c r="B54" t="s">
        <v>168</v>
      </c>
      <c r="C54" s="72" t="s">
        <v>170</v>
      </c>
      <c r="D54" t="s">
        <v>159</v>
      </c>
      <c r="E54">
        <v>2008</v>
      </c>
      <c r="F54" t="s">
        <v>174</v>
      </c>
      <c r="G54">
        <v>0.58199999999999996</v>
      </c>
      <c r="H54">
        <v>3.3000000000000002E-2</v>
      </c>
      <c r="K54" s="72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4">
        <f t="shared" si="3"/>
        <v>10.408333018844186</v>
      </c>
      <c r="Q54" s="74">
        <f t="shared" si="4"/>
        <v>0.59016321240869107</v>
      </c>
      <c r="R54" s="74">
        <f t="shared" si="5"/>
        <v>17.636363636363633</v>
      </c>
    </row>
    <row r="55" spans="1:18" x14ac:dyDescent="0.25">
      <c r="B55" t="s">
        <v>169</v>
      </c>
      <c r="C55" s="72" t="s">
        <v>170</v>
      </c>
      <c r="D55" t="s">
        <v>159</v>
      </c>
      <c r="E55">
        <v>2008</v>
      </c>
      <c r="F55" t="s">
        <v>174</v>
      </c>
      <c r="G55">
        <v>0.64400000000000002</v>
      </c>
      <c r="H55">
        <v>6.8000000000000005E-2</v>
      </c>
      <c r="K55" s="71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4">
        <f t="shared" si="3"/>
        <v>3.0533842239060194</v>
      </c>
      <c r="Q55" s="74">
        <f t="shared" si="4"/>
        <v>0.32240702985343062</v>
      </c>
      <c r="R55" s="74">
        <f t="shared" si="5"/>
        <v>9.4705882352941178</v>
      </c>
    </row>
    <row r="59" spans="1:18" x14ac:dyDescent="0.25">
      <c r="A59" s="76" t="s">
        <v>179</v>
      </c>
    </row>
    <row r="62" spans="1:18" x14ac:dyDescent="0.25">
      <c r="B62" t="s">
        <v>175</v>
      </c>
      <c r="D62" t="s">
        <v>188</v>
      </c>
      <c r="H62" t="s">
        <v>176</v>
      </c>
      <c r="N62" t="s">
        <v>177</v>
      </c>
    </row>
    <row r="64" spans="1:18" x14ac:dyDescent="0.25">
      <c r="C64" t="s">
        <v>158</v>
      </c>
      <c r="D64" t="s">
        <v>185</v>
      </c>
      <c r="E64" t="s">
        <v>155</v>
      </c>
      <c r="F64" s="73" t="s">
        <v>160</v>
      </c>
      <c r="H64" t="s">
        <v>161</v>
      </c>
      <c r="I64" t="s">
        <v>88</v>
      </c>
      <c r="J64" t="s">
        <v>163</v>
      </c>
      <c r="K64" t="s">
        <v>189</v>
      </c>
      <c r="N64" t="s">
        <v>161</v>
      </c>
      <c r="O64" t="s">
        <v>160</v>
      </c>
      <c r="P64" t="s">
        <v>162</v>
      </c>
    </row>
    <row r="65" spans="2:16" x14ac:dyDescent="0.25">
      <c r="B65" t="s">
        <v>184</v>
      </c>
      <c r="C65">
        <v>3</v>
      </c>
      <c r="D65" t="s">
        <v>186</v>
      </c>
      <c r="E65">
        <v>0.16400000000000001</v>
      </c>
      <c r="F65">
        <v>8.9999999999999993E-3</v>
      </c>
      <c r="H65" s="71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4">
        <f>J65</f>
        <v>5.4666666666666668</v>
      </c>
      <c r="O65" s="74">
        <f>K65</f>
        <v>0.29999999999999993</v>
      </c>
      <c r="P65" s="74">
        <f>N65/O65</f>
        <v>18.222222222222225</v>
      </c>
    </row>
    <row r="66" spans="2:16" x14ac:dyDescent="0.25">
      <c r="B66" t="s">
        <v>180</v>
      </c>
      <c r="C66">
        <v>3</v>
      </c>
      <c r="D66" t="s">
        <v>186</v>
      </c>
      <c r="E66">
        <v>0.34899999999999998</v>
      </c>
      <c r="F66">
        <v>8.9999999999999993E-3</v>
      </c>
      <c r="H66" s="71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4">
        <f>J66</f>
        <v>6.1666666666666652</v>
      </c>
      <c r="O66" s="74">
        <f t="shared" ref="O66:O70" si="8">K66</f>
        <v>0.15902578796561601</v>
      </c>
      <c r="P66" s="74">
        <f t="shared" ref="P66:P70" si="9">N66/O66</f>
        <v>38.777777777777779</v>
      </c>
    </row>
    <row r="67" spans="2:16" x14ac:dyDescent="0.25">
      <c r="B67" t="s">
        <v>181</v>
      </c>
      <c r="C67" s="72" t="s">
        <v>170</v>
      </c>
      <c r="D67" t="s">
        <v>186</v>
      </c>
      <c r="E67">
        <v>0.57599999999999996</v>
      </c>
      <c r="F67">
        <v>0.01</v>
      </c>
      <c r="H67" s="71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4">
        <f>J67</f>
        <v>11.35</v>
      </c>
      <c r="O67" s="74">
        <f t="shared" si="8"/>
        <v>0.19704861111111113</v>
      </c>
      <c r="P67" s="74">
        <f t="shared" si="9"/>
        <v>57.599999999999994</v>
      </c>
    </row>
    <row r="68" spans="2:16" x14ac:dyDescent="0.25">
      <c r="B68" t="s">
        <v>182</v>
      </c>
      <c r="C68" s="72" t="s">
        <v>170</v>
      </c>
      <c r="D68" t="s">
        <v>186</v>
      </c>
      <c r="E68">
        <v>0.82</v>
      </c>
      <c r="F68">
        <v>1.2999999999999999E-2</v>
      </c>
      <c r="H68" s="71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4">
        <f>J68</f>
        <v>12.2</v>
      </c>
      <c r="O68" s="74">
        <f t="shared" si="8"/>
        <v>0.19341463414634147</v>
      </c>
      <c r="P68" s="74">
        <f t="shared" si="9"/>
        <v>63.076923076923073</v>
      </c>
    </row>
    <row r="69" spans="2:16" x14ac:dyDescent="0.25">
      <c r="B69" t="s">
        <v>183</v>
      </c>
      <c r="C69">
        <v>3</v>
      </c>
      <c r="D69" t="s">
        <v>186</v>
      </c>
      <c r="E69">
        <v>1.296</v>
      </c>
      <c r="F69">
        <v>1.2999999999999999E-2</v>
      </c>
      <c r="H69" s="71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4">
        <f>J69</f>
        <v>15.866666666666671</v>
      </c>
      <c r="O69" s="74">
        <f t="shared" si="8"/>
        <v>0.15915637860082307</v>
      </c>
      <c r="P69" s="74">
        <f t="shared" si="9"/>
        <v>99.692307692307693</v>
      </c>
    </row>
    <row r="70" spans="2:16" x14ac:dyDescent="0.25">
      <c r="B70" t="s">
        <v>184</v>
      </c>
      <c r="C70">
        <v>3</v>
      </c>
      <c r="D70" t="s">
        <v>190</v>
      </c>
      <c r="E70">
        <v>0.13900000000000001</v>
      </c>
      <c r="F70">
        <v>0.01</v>
      </c>
      <c r="H70" s="71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4">
        <f t="shared" ref="N70:N79" si="13">J70</f>
        <v>4.6333333333333337</v>
      </c>
      <c r="O70" s="74">
        <f t="shared" si="8"/>
        <v>0.33333333333333337</v>
      </c>
      <c r="P70" s="74">
        <f t="shared" si="9"/>
        <v>13.9</v>
      </c>
    </row>
    <row r="71" spans="2:16" x14ac:dyDescent="0.25">
      <c r="B71" t="s">
        <v>180</v>
      </c>
      <c r="C71">
        <v>3</v>
      </c>
      <c r="D71" t="s">
        <v>190</v>
      </c>
      <c r="E71">
        <v>0.313</v>
      </c>
      <c r="F71">
        <v>1.0999999999999999E-2</v>
      </c>
      <c r="H71" s="71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4">
        <f t="shared" si="13"/>
        <v>5.8</v>
      </c>
      <c r="O71" s="74">
        <f t="shared" ref="O71:O79" si="15">K71</f>
        <v>0.20383386581469645</v>
      </c>
      <c r="P71" s="74">
        <f t="shared" ref="P71:P79" si="16">N71/O71</f>
        <v>28.454545454545457</v>
      </c>
    </row>
    <row r="72" spans="2:16" x14ac:dyDescent="0.25">
      <c r="B72" t="s">
        <v>181</v>
      </c>
      <c r="C72" s="72" t="s">
        <v>170</v>
      </c>
      <c r="D72" t="s">
        <v>190</v>
      </c>
      <c r="E72">
        <v>0.51900000000000002</v>
      </c>
      <c r="F72">
        <v>1.2E-2</v>
      </c>
      <c r="H72" s="71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4">
        <f t="shared" si="13"/>
        <v>10.3</v>
      </c>
      <c r="O72" s="74">
        <f t="shared" si="15"/>
        <v>0.23815028901734106</v>
      </c>
      <c r="P72" s="74">
        <f t="shared" si="16"/>
        <v>43.25</v>
      </c>
    </row>
    <row r="73" spans="2:16" x14ac:dyDescent="0.25">
      <c r="B73" t="s">
        <v>182</v>
      </c>
      <c r="C73" s="72" t="s">
        <v>170</v>
      </c>
      <c r="D73" t="s">
        <v>190</v>
      </c>
      <c r="E73">
        <v>0.71099999999999997</v>
      </c>
      <c r="F73">
        <v>1.7000000000000001E-2</v>
      </c>
      <c r="H73" s="71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4">
        <f t="shared" si="13"/>
        <v>9.5999999999999979</v>
      </c>
      <c r="O73" s="74">
        <f t="shared" si="15"/>
        <v>0.22953586497890291</v>
      </c>
      <c r="P73" s="74">
        <f t="shared" si="16"/>
        <v>41.823529411764703</v>
      </c>
    </row>
    <row r="74" spans="2:16" x14ac:dyDescent="0.25">
      <c r="B74" t="s">
        <v>183</v>
      </c>
      <c r="C74">
        <v>3</v>
      </c>
      <c r="D74" t="s">
        <v>190</v>
      </c>
      <c r="E74">
        <v>1.204</v>
      </c>
      <c r="F74">
        <v>1.9E-2</v>
      </c>
      <c r="H74" s="71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4">
        <f t="shared" si="13"/>
        <v>16.433333333333334</v>
      </c>
      <c r="O74" s="74">
        <f t="shared" si="15"/>
        <v>0.25933001107419712</v>
      </c>
      <c r="P74" s="74">
        <f t="shared" si="16"/>
        <v>63.368421052631582</v>
      </c>
    </row>
    <row r="75" spans="2:16" x14ac:dyDescent="0.25">
      <c r="B75" t="s">
        <v>184</v>
      </c>
      <c r="C75">
        <v>3</v>
      </c>
      <c r="D75" t="s">
        <v>191</v>
      </c>
      <c r="E75">
        <v>0.19800000000000001</v>
      </c>
      <c r="F75">
        <v>0.02</v>
      </c>
      <c r="H75" s="71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4">
        <f t="shared" si="13"/>
        <v>6.6000000000000005</v>
      </c>
      <c r="O75" s="74">
        <f t="shared" si="15"/>
        <v>0.66666666666666674</v>
      </c>
      <c r="P75" s="74">
        <f t="shared" si="16"/>
        <v>9.9</v>
      </c>
    </row>
    <row r="76" spans="2:16" x14ac:dyDescent="0.25">
      <c r="B76" t="s">
        <v>180</v>
      </c>
      <c r="C76">
        <v>3</v>
      </c>
      <c r="D76" t="s">
        <v>191</v>
      </c>
      <c r="E76">
        <v>0.38400000000000001</v>
      </c>
      <c r="F76">
        <v>1.9E-2</v>
      </c>
      <c r="H76" s="71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4">
        <f t="shared" si="13"/>
        <v>6.2</v>
      </c>
      <c r="O76" s="74">
        <f t="shared" si="15"/>
        <v>0.30677083333333333</v>
      </c>
      <c r="P76" s="74">
        <f t="shared" si="16"/>
        <v>20.210526315789476</v>
      </c>
    </row>
    <row r="77" spans="2:16" x14ac:dyDescent="0.25">
      <c r="B77" t="s">
        <v>181</v>
      </c>
      <c r="C77" s="72" t="s">
        <v>170</v>
      </c>
      <c r="D77" t="s">
        <v>191</v>
      </c>
      <c r="E77">
        <v>0.63900000000000001</v>
      </c>
      <c r="F77">
        <v>1.9E-2</v>
      </c>
      <c r="H77" s="71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4">
        <f t="shared" si="13"/>
        <v>12.75</v>
      </c>
      <c r="O77" s="74">
        <f t="shared" si="15"/>
        <v>0.37910798122065725</v>
      </c>
      <c r="P77" s="74">
        <f t="shared" si="16"/>
        <v>33.631578947368425</v>
      </c>
    </row>
    <row r="78" spans="2:16" x14ac:dyDescent="0.25">
      <c r="B78" t="s">
        <v>182</v>
      </c>
      <c r="C78" s="72" t="s">
        <v>170</v>
      </c>
      <c r="D78" t="s">
        <v>191</v>
      </c>
      <c r="E78">
        <v>0.93200000000000005</v>
      </c>
      <c r="F78">
        <v>2.3E-2</v>
      </c>
      <c r="H78" s="71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4">
        <f t="shared" si="13"/>
        <v>14.650000000000002</v>
      </c>
      <c r="O78" s="74">
        <f t="shared" si="15"/>
        <v>0.36153433476394847</v>
      </c>
      <c r="P78" s="74">
        <f t="shared" si="16"/>
        <v>40.521739130434788</v>
      </c>
    </row>
    <row r="79" spans="2:16" x14ac:dyDescent="0.25">
      <c r="B79" t="s">
        <v>183</v>
      </c>
      <c r="C79">
        <v>3</v>
      </c>
      <c r="D79" t="s">
        <v>191</v>
      </c>
      <c r="E79">
        <v>1.3859999999999999</v>
      </c>
      <c r="F79">
        <v>2.1999999999999999E-2</v>
      </c>
      <c r="H79" s="71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4">
        <f t="shared" si="13"/>
        <v>15.133333333333329</v>
      </c>
      <c r="O79" s="74">
        <f t="shared" si="15"/>
        <v>0.24021164021164015</v>
      </c>
      <c r="P79" s="74">
        <f t="shared" si="16"/>
        <v>63</v>
      </c>
    </row>
    <row r="82" spans="1:9" x14ac:dyDescent="0.25">
      <c r="B82" t="s">
        <v>192</v>
      </c>
    </row>
    <row r="84" spans="1:9" x14ac:dyDescent="0.25">
      <c r="B84" s="77" t="s">
        <v>198</v>
      </c>
      <c r="C84" s="77" t="s">
        <v>158</v>
      </c>
      <c r="D84" s="77" t="s">
        <v>193</v>
      </c>
      <c r="E84" s="77" t="s">
        <v>201</v>
      </c>
      <c r="F84" s="77" t="s">
        <v>196</v>
      </c>
    </row>
    <row r="85" spans="1:9" x14ac:dyDescent="0.25">
      <c r="B85" t="s">
        <v>197</v>
      </c>
      <c r="C85">
        <v>0</v>
      </c>
      <c r="D85" t="s">
        <v>194</v>
      </c>
      <c r="E85" s="33">
        <v>0.39100000000000001</v>
      </c>
      <c r="F85" s="9">
        <v>46965</v>
      </c>
      <c r="H85" t="s">
        <v>202</v>
      </c>
      <c r="I85" s="9"/>
    </row>
    <row r="86" spans="1:9" x14ac:dyDescent="0.25">
      <c r="B86" t="s">
        <v>184</v>
      </c>
      <c r="C86">
        <v>5</v>
      </c>
      <c r="D86" t="s">
        <v>194</v>
      </c>
      <c r="E86" s="33">
        <v>0.14299999999999999</v>
      </c>
      <c r="F86" s="9">
        <v>46965</v>
      </c>
      <c r="H86" s="78">
        <f>C85*E85+C86*E86+C87*E87+C88*E88</f>
        <v>6.134999999999998</v>
      </c>
      <c r="I86" s="9"/>
    </row>
    <row r="87" spans="1:9" x14ac:dyDescent="0.25">
      <c r="B87" t="s">
        <v>181</v>
      </c>
      <c r="C87">
        <v>10</v>
      </c>
      <c r="D87" t="s">
        <v>194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199</v>
      </c>
      <c r="C88" s="72" t="s">
        <v>204</v>
      </c>
      <c r="D88" t="s">
        <v>194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197</v>
      </c>
      <c r="C89">
        <v>0</v>
      </c>
      <c r="D89" t="s">
        <v>195</v>
      </c>
      <c r="E89">
        <v>0.32600000000000001</v>
      </c>
      <c r="F89" s="9">
        <v>99900</v>
      </c>
      <c r="G89" s="33"/>
      <c r="H89" s="33" t="s">
        <v>203</v>
      </c>
      <c r="I89" s="9"/>
    </row>
    <row r="90" spans="1:9" x14ac:dyDescent="0.25">
      <c r="B90" t="s">
        <v>184</v>
      </c>
      <c r="C90">
        <v>5</v>
      </c>
      <c r="D90" t="s">
        <v>195</v>
      </c>
      <c r="E90">
        <v>0.127</v>
      </c>
      <c r="F90" s="9">
        <v>99900</v>
      </c>
      <c r="G90" s="33"/>
      <c r="H90" s="78">
        <f>C89*E89+C90*E90+C91*E91+C92*E92</f>
        <v>7.0349999999999993</v>
      </c>
    </row>
    <row r="91" spans="1:9" x14ac:dyDescent="0.25">
      <c r="B91" t="s">
        <v>181</v>
      </c>
      <c r="C91">
        <v>10</v>
      </c>
      <c r="D91" t="s">
        <v>195</v>
      </c>
      <c r="E91">
        <v>0.36099999999999999</v>
      </c>
      <c r="F91" s="9">
        <v>99900</v>
      </c>
      <c r="I91" s="9"/>
    </row>
    <row r="92" spans="1:9" x14ac:dyDescent="0.25">
      <c r="B92" t="s">
        <v>199</v>
      </c>
      <c r="C92" s="72" t="s">
        <v>204</v>
      </c>
      <c r="D92" t="s">
        <v>195</v>
      </c>
      <c r="E92">
        <v>0.18599999999999994</v>
      </c>
      <c r="F92" s="9">
        <v>99900</v>
      </c>
      <c r="I92" s="9"/>
    </row>
    <row r="93" spans="1:9" x14ac:dyDescent="0.25">
      <c r="C93" s="72"/>
      <c r="I93" s="9"/>
    </row>
    <row r="94" spans="1:9" x14ac:dyDescent="0.25">
      <c r="C94" s="72"/>
      <c r="I94" s="9"/>
    </row>
    <row r="95" spans="1:9" x14ac:dyDescent="0.25">
      <c r="I95" s="9"/>
    </row>
    <row r="96" spans="1:9" x14ac:dyDescent="0.25">
      <c r="A96" s="76" t="s">
        <v>205</v>
      </c>
    </row>
    <row r="98" spans="2:17" x14ac:dyDescent="0.25">
      <c r="B98" t="s">
        <v>175</v>
      </c>
      <c r="D98" s="77" t="s">
        <v>208</v>
      </c>
      <c r="I98" t="s">
        <v>176</v>
      </c>
      <c r="O98" t="s">
        <v>177</v>
      </c>
    </row>
    <row r="100" spans="2:17" x14ac:dyDescent="0.25">
      <c r="C100" t="s">
        <v>158</v>
      </c>
      <c r="D100" t="s">
        <v>171</v>
      </c>
      <c r="E100" t="s">
        <v>156</v>
      </c>
      <c r="F100" t="s">
        <v>155</v>
      </c>
      <c r="G100" s="73" t="s">
        <v>209</v>
      </c>
      <c r="I100" t="s">
        <v>161</v>
      </c>
      <c r="J100" t="s">
        <v>163</v>
      </c>
      <c r="K100" t="s">
        <v>160</v>
      </c>
      <c r="O100" t="s">
        <v>161</v>
      </c>
      <c r="P100" t="s">
        <v>160</v>
      </c>
      <c r="Q100" t="s">
        <v>162</v>
      </c>
    </row>
    <row r="101" spans="2:17" x14ac:dyDescent="0.25">
      <c r="B101" t="s">
        <v>184</v>
      </c>
      <c r="C101">
        <v>6</v>
      </c>
      <c r="D101">
        <v>1992</v>
      </c>
      <c r="E101" t="s">
        <v>159</v>
      </c>
      <c r="F101">
        <v>0.21299999999999999</v>
      </c>
      <c r="G101">
        <v>4.12</v>
      </c>
      <c r="I101" s="71">
        <f>(F101)/C101</f>
        <v>3.5499999999999997E-2</v>
      </c>
      <c r="J101">
        <f>I101*100</f>
        <v>3.55</v>
      </c>
      <c r="K101">
        <f>J101/G101</f>
        <v>0.86165048543689315</v>
      </c>
      <c r="O101" s="74">
        <f t="shared" ref="O101:P104" si="19">J101</f>
        <v>3.55</v>
      </c>
      <c r="P101" s="74">
        <f t="shared" si="19"/>
        <v>0.86165048543689315</v>
      </c>
      <c r="Q101" s="74">
        <f>O101/P101</f>
        <v>4.12</v>
      </c>
    </row>
    <row r="102" spans="2:17" x14ac:dyDescent="0.25">
      <c r="B102" t="s">
        <v>180</v>
      </c>
      <c r="C102">
        <v>4</v>
      </c>
      <c r="D102">
        <v>1992</v>
      </c>
      <c r="E102" t="s">
        <v>159</v>
      </c>
      <c r="F102">
        <v>0.36499999999999999</v>
      </c>
      <c r="G102">
        <v>6.66</v>
      </c>
      <c r="I102" s="71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4">
        <f t="shared" si="19"/>
        <v>3.8</v>
      </c>
      <c r="P102" s="74">
        <f t="shared" si="19"/>
        <v>0.57057057057057048</v>
      </c>
      <c r="Q102" s="74">
        <f t="shared" ref="Q102:Q105" si="21">O102/P102</f>
        <v>6.660000000000001</v>
      </c>
    </row>
    <row r="103" spans="2:17" x14ac:dyDescent="0.25">
      <c r="B103" t="s">
        <v>181</v>
      </c>
      <c r="C103" s="72" t="s">
        <v>200</v>
      </c>
      <c r="D103">
        <v>1992</v>
      </c>
      <c r="E103" t="s">
        <v>159</v>
      </c>
      <c r="F103">
        <v>0.72899999999999998</v>
      </c>
      <c r="G103">
        <v>6.03</v>
      </c>
      <c r="I103" s="71">
        <f>(F103-F102)/C103</f>
        <v>7.2800000000000004E-2</v>
      </c>
      <c r="J103">
        <f>I103*100</f>
        <v>7.28</v>
      </c>
      <c r="K103">
        <f t="shared" si="20"/>
        <v>1.2072968490878939</v>
      </c>
      <c r="O103" s="74">
        <f t="shared" si="19"/>
        <v>7.28</v>
      </c>
      <c r="P103" s="74">
        <f t="shared" si="19"/>
        <v>1.2072968490878939</v>
      </c>
      <c r="Q103" s="74">
        <f t="shared" si="21"/>
        <v>6.03</v>
      </c>
    </row>
    <row r="104" spans="2:17" x14ac:dyDescent="0.25">
      <c r="B104" t="s">
        <v>199</v>
      </c>
      <c r="C104" s="72" t="s">
        <v>187</v>
      </c>
      <c r="D104">
        <v>1992</v>
      </c>
      <c r="E104" t="s">
        <v>159</v>
      </c>
      <c r="F104">
        <v>1.413</v>
      </c>
      <c r="G104">
        <v>3.38</v>
      </c>
      <c r="I104" s="71">
        <f>(F104-F103)/C104</f>
        <v>0.114</v>
      </c>
      <c r="J104">
        <f>I104*100</f>
        <v>11.4</v>
      </c>
      <c r="K104">
        <f t="shared" si="20"/>
        <v>3.3727810650887577</v>
      </c>
      <c r="O104" s="74">
        <f t="shared" si="19"/>
        <v>11.4</v>
      </c>
      <c r="P104" s="74">
        <f t="shared" si="19"/>
        <v>3.3727810650887577</v>
      </c>
      <c r="Q104" s="74">
        <f t="shared" si="21"/>
        <v>3.38</v>
      </c>
    </row>
    <row r="105" spans="2:17" x14ac:dyDescent="0.25">
      <c r="B105" t="s">
        <v>184</v>
      </c>
      <c r="C105">
        <v>6</v>
      </c>
      <c r="D105">
        <v>1992</v>
      </c>
      <c r="E105" t="s">
        <v>157</v>
      </c>
      <c r="F105">
        <v>2.4E-2</v>
      </c>
      <c r="G105">
        <v>0.48</v>
      </c>
      <c r="I105" s="71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4">
        <f t="shared" ref="O105:O116" si="24">J105</f>
        <v>0.4</v>
      </c>
      <c r="P105" s="74">
        <f t="shared" ref="P105:P116" si="25">K105</f>
        <v>0.83333333333333337</v>
      </c>
      <c r="Q105" s="74">
        <f t="shared" si="21"/>
        <v>0.48</v>
      </c>
    </row>
    <row r="106" spans="2:17" x14ac:dyDescent="0.25">
      <c r="B106" t="s">
        <v>180</v>
      </c>
      <c r="C106">
        <v>4</v>
      </c>
      <c r="D106">
        <v>1992</v>
      </c>
      <c r="E106" t="s">
        <v>157</v>
      </c>
      <c r="F106">
        <v>0.193</v>
      </c>
      <c r="G106">
        <v>4.01</v>
      </c>
      <c r="I106" s="71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4">
        <f t="shared" si="24"/>
        <v>4.2250000000000005</v>
      </c>
      <c r="P106" s="74">
        <f t="shared" si="25"/>
        <v>1.0536159600997508</v>
      </c>
      <c r="Q106" s="74">
        <f t="shared" ref="Q106:Q116" si="27">O106/P106</f>
        <v>4.01</v>
      </c>
    </row>
    <row r="107" spans="2:17" x14ac:dyDescent="0.25">
      <c r="B107" t="s">
        <v>181</v>
      </c>
      <c r="C107" s="72" t="s">
        <v>200</v>
      </c>
      <c r="D107">
        <v>1992</v>
      </c>
      <c r="E107" t="s">
        <v>157</v>
      </c>
      <c r="F107">
        <v>0.56299999999999994</v>
      </c>
      <c r="G107">
        <v>6.66</v>
      </c>
      <c r="I107" s="71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4">
        <f t="shared" si="24"/>
        <v>7.3999999999999986</v>
      </c>
      <c r="P107" s="74">
        <f t="shared" si="25"/>
        <v>1.1111111111111109</v>
      </c>
      <c r="Q107" s="74">
        <f t="shared" si="27"/>
        <v>6.66</v>
      </c>
    </row>
    <row r="108" spans="2:17" x14ac:dyDescent="0.25">
      <c r="B108" t="s">
        <v>199</v>
      </c>
      <c r="C108" s="72" t="s">
        <v>187</v>
      </c>
      <c r="D108">
        <v>1992</v>
      </c>
      <c r="E108" t="s">
        <v>157</v>
      </c>
      <c r="F108">
        <v>1.357</v>
      </c>
      <c r="G108">
        <v>5.93</v>
      </c>
      <c r="I108" s="71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4">
        <f t="shared" si="24"/>
        <v>13.233333333333333</v>
      </c>
      <c r="P108" s="74">
        <f t="shared" si="25"/>
        <v>2.2315907813378302</v>
      </c>
      <c r="Q108" s="74">
        <f t="shared" si="27"/>
        <v>5.93</v>
      </c>
    </row>
    <row r="109" spans="2:17" x14ac:dyDescent="0.25">
      <c r="B109" t="s">
        <v>184</v>
      </c>
      <c r="C109">
        <v>6</v>
      </c>
      <c r="D109">
        <v>1999</v>
      </c>
      <c r="E109" t="s">
        <v>159</v>
      </c>
      <c r="F109">
        <v>0.3</v>
      </c>
      <c r="G109">
        <v>4.37</v>
      </c>
      <c r="I109" s="71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4">
        <f t="shared" si="24"/>
        <v>5</v>
      </c>
      <c r="P109" s="74">
        <f t="shared" si="25"/>
        <v>1.1441647597254003</v>
      </c>
      <c r="Q109" s="74">
        <f t="shared" si="27"/>
        <v>4.37</v>
      </c>
    </row>
    <row r="110" spans="2:17" x14ac:dyDescent="0.25">
      <c r="B110" t="s">
        <v>180</v>
      </c>
      <c r="C110">
        <v>4</v>
      </c>
      <c r="D110">
        <v>1999</v>
      </c>
      <c r="E110" t="s">
        <v>159</v>
      </c>
      <c r="F110">
        <v>0.46100000000000002</v>
      </c>
      <c r="G110">
        <v>6.68</v>
      </c>
      <c r="I110" s="71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4">
        <f t="shared" si="24"/>
        <v>4.0250000000000004</v>
      </c>
      <c r="P110" s="74">
        <f t="shared" si="25"/>
        <v>0.60254491017964085</v>
      </c>
      <c r="Q110" s="74">
        <f t="shared" si="27"/>
        <v>6.6799999999999988</v>
      </c>
    </row>
    <row r="111" spans="2:17" x14ac:dyDescent="0.25">
      <c r="B111" t="s">
        <v>181</v>
      </c>
      <c r="C111" s="72" t="s">
        <v>200</v>
      </c>
      <c r="D111">
        <v>1999</v>
      </c>
      <c r="E111" t="s">
        <v>159</v>
      </c>
      <c r="F111">
        <v>1.075</v>
      </c>
      <c r="G111">
        <v>5.43</v>
      </c>
      <c r="I111" s="71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4">
        <f t="shared" si="24"/>
        <v>12.279999999999998</v>
      </c>
      <c r="P111" s="74">
        <f t="shared" si="25"/>
        <v>2.2615101289134434</v>
      </c>
      <c r="Q111" s="74">
        <f t="shared" si="27"/>
        <v>5.43</v>
      </c>
    </row>
    <row r="112" spans="2:17" x14ac:dyDescent="0.25">
      <c r="B112" t="s">
        <v>199</v>
      </c>
      <c r="C112" s="72" t="s">
        <v>187</v>
      </c>
      <c r="D112">
        <v>1999</v>
      </c>
      <c r="E112" t="s">
        <v>159</v>
      </c>
      <c r="F112">
        <v>2.1760000000000002</v>
      </c>
      <c r="G112">
        <v>3.47</v>
      </c>
      <c r="I112" s="71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4">
        <f t="shared" si="24"/>
        <v>18.350000000000001</v>
      </c>
      <c r="P112" s="74">
        <f t="shared" si="25"/>
        <v>5.2881844380403455</v>
      </c>
      <c r="Q112" s="74">
        <f t="shared" si="27"/>
        <v>3.4700000000000006</v>
      </c>
    </row>
    <row r="113" spans="2:18" x14ac:dyDescent="0.25">
      <c r="B113" t="s">
        <v>184</v>
      </c>
      <c r="C113">
        <v>6</v>
      </c>
      <c r="D113">
        <v>1999</v>
      </c>
      <c r="E113" t="s">
        <v>157</v>
      </c>
      <c r="F113">
        <v>7.8E-2</v>
      </c>
      <c r="G113">
        <v>0.91</v>
      </c>
      <c r="I113" s="71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4">
        <f t="shared" si="24"/>
        <v>1.3</v>
      </c>
      <c r="P113" s="74">
        <f t="shared" si="25"/>
        <v>1.4285714285714286</v>
      </c>
      <c r="Q113" s="74">
        <f t="shared" si="27"/>
        <v>0.91</v>
      </c>
    </row>
    <row r="114" spans="2:18" x14ac:dyDescent="0.25">
      <c r="B114" t="s">
        <v>180</v>
      </c>
      <c r="C114">
        <v>4</v>
      </c>
      <c r="D114">
        <v>1999</v>
      </c>
      <c r="E114" t="s">
        <v>157</v>
      </c>
      <c r="F114">
        <v>0.30099999999999999</v>
      </c>
      <c r="G114">
        <v>3.86</v>
      </c>
      <c r="I114" s="71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4">
        <f t="shared" si="24"/>
        <v>5.5749999999999993</v>
      </c>
      <c r="P114" s="74">
        <f t="shared" si="25"/>
        <v>1.4443005181347148</v>
      </c>
      <c r="Q114" s="74">
        <f t="shared" si="27"/>
        <v>3.86</v>
      </c>
    </row>
    <row r="115" spans="2:18" x14ac:dyDescent="0.25">
      <c r="B115" t="s">
        <v>181</v>
      </c>
      <c r="C115" s="72" t="s">
        <v>200</v>
      </c>
      <c r="D115">
        <v>1999</v>
      </c>
      <c r="E115" t="s">
        <v>157</v>
      </c>
      <c r="F115">
        <v>0.58599999999999997</v>
      </c>
      <c r="G115">
        <v>4.28</v>
      </c>
      <c r="I115" s="71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4">
        <f t="shared" si="24"/>
        <v>5.6999999999999993</v>
      </c>
      <c r="P115" s="74">
        <f t="shared" si="25"/>
        <v>1.3317757009345792</v>
      </c>
      <c r="Q115" s="74">
        <f t="shared" si="27"/>
        <v>4.28</v>
      </c>
    </row>
    <row r="116" spans="2:18" x14ac:dyDescent="0.25">
      <c r="B116" t="s">
        <v>199</v>
      </c>
      <c r="C116" s="72" t="s">
        <v>187</v>
      </c>
      <c r="D116">
        <v>1999</v>
      </c>
      <c r="E116" t="s">
        <v>157</v>
      </c>
      <c r="F116">
        <v>1.718</v>
      </c>
      <c r="G116">
        <v>4.6500000000000004</v>
      </c>
      <c r="I116" s="71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4">
        <f t="shared" si="24"/>
        <v>18.866666666666667</v>
      </c>
      <c r="P116" s="74">
        <f t="shared" si="25"/>
        <v>4.0573476702508957</v>
      </c>
      <c r="Q116" s="74">
        <f t="shared" si="27"/>
        <v>4.6500000000000004</v>
      </c>
    </row>
    <row r="118" spans="2:18" x14ac:dyDescent="0.25">
      <c r="D118" s="77" t="s">
        <v>210</v>
      </c>
      <c r="F118" t="s">
        <v>211</v>
      </c>
    </row>
    <row r="120" spans="2:18" x14ac:dyDescent="0.25">
      <c r="C120" t="s">
        <v>158</v>
      </c>
      <c r="D120" t="s">
        <v>171</v>
      </c>
      <c r="E120" t="s">
        <v>156</v>
      </c>
      <c r="F120" t="s">
        <v>212</v>
      </c>
      <c r="G120" t="s">
        <v>155</v>
      </c>
      <c r="H120" s="73" t="s">
        <v>209</v>
      </c>
      <c r="J120" t="s">
        <v>161</v>
      </c>
      <c r="K120" t="s">
        <v>163</v>
      </c>
      <c r="L120" t="s">
        <v>160</v>
      </c>
      <c r="P120" t="s">
        <v>161</v>
      </c>
      <c r="Q120" t="s">
        <v>160</v>
      </c>
      <c r="R120" t="s">
        <v>162</v>
      </c>
    </row>
    <row r="121" spans="2:18" x14ac:dyDescent="0.25">
      <c r="B121" t="s">
        <v>184</v>
      </c>
      <c r="C121">
        <v>6</v>
      </c>
      <c r="D121">
        <v>1992</v>
      </c>
      <c r="E121" t="s">
        <v>159</v>
      </c>
      <c r="F121" t="s">
        <v>213</v>
      </c>
      <c r="G121">
        <v>0.193</v>
      </c>
      <c r="H121">
        <v>3.67</v>
      </c>
      <c r="J121" s="71">
        <f>(G121)/C121</f>
        <v>3.216666666666667E-2</v>
      </c>
      <c r="K121">
        <f>J121*100</f>
        <v>3.2166666666666668</v>
      </c>
      <c r="L121">
        <f>K121/H121</f>
        <v>0.87647593097184384</v>
      </c>
      <c r="P121" s="74">
        <f t="shared" ref="P121:Q124" si="32">K121</f>
        <v>3.2166666666666668</v>
      </c>
      <c r="Q121" s="74">
        <f t="shared" si="32"/>
        <v>0.87647593097184384</v>
      </c>
      <c r="R121" s="74">
        <f>P121/Q121</f>
        <v>3.67</v>
      </c>
    </row>
    <row r="122" spans="2:18" x14ac:dyDescent="0.25">
      <c r="B122" t="s">
        <v>180</v>
      </c>
      <c r="C122">
        <v>4</v>
      </c>
      <c r="D122">
        <v>1992</v>
      </c>
      <c r="E122" t="s">
        <v>159</v>
      </c>
      <c r="F122" t="s">
        <v>213</v>
      </c>
      <c r="G122">
        <v>0.34</v>
      </c>
      <c r="H122">
        <v>5.96</v>
      </c>
      <c r="J122" s="71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4">
        <f t="shared" si="32"/>
        <v>3.6750000000000007</v>
      </c>
      <c r="Q122" s="74">
        <f t="shared" si="32"/>
        <v>0.61661073825503365</v>
      </c>
      <c r="R122" s="74">
        <f t="shared" ref="R122:R136" si="34">P122/Q122</f>
        <v>5.96</v>
      </c>
    </row>
    <row r="123" spans="2:18" x14ac:dyDescent="0.25">
      <c r="B123" t="s">
        <v>181</v>
      </c>
      <c r="C123" s="72" t="s">
        <v>200</v>
      </c>
      <c r="D123">
        <v>1992</v>
      </c>
      <c r="E123" t="s">
        <v>159</v>
      </c>
      <c r="F123" t="s">
        <v>213</v>
      </c>
      <c r="G123">
        <v>0.69</v>
      </c>
      <c r="H123">
        <v>5.54</v>
      </c>
      <c r="J123" s="71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4">
        <f t="shared" si="32"/>
        <v>6.9999999999999982</v>
      </c>
      <c r="Q123" s="74">
        <f t="shared" si="32"/>
        <v>1.2635379061371839</v>
      </c>
      <c r="R123" s="74">
        <f t="shared" si="34"/>
        <v>5.54</v>
      </c>
    </row>
    <row r="124" spans="2:18" x14ac:dyDescent="0.25">
      <c r="B124" t="s">
        <v>199</v>
      </c>
      <c r="C124" s="72" t="s">
        <v>187</v>
      </c>
      <c r="D124">
        <v>1992</v>
      </c>
      <c r="E124" t="s">
        <v>159</v>
      </c>
      <c r="F124" t="s">
        <v>213</v>
      </c>
      <c r="G124">
        <v>1.367</v>
      </c>
      <c r="H124">
        <v>3.26</v>
      </c>
      <c r="J124" s="71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4">
        <f t="shared" si="32"/>
        <v>11.283333333333335</v>
      </c>
      <c r="Q124" s="74">
        <f t="shared" si="32"/>
        <v>3.4611451942740294</v>
      </c>
      <c r="R124" s="74">
        <f t="shared" si="34"/>
        <v>3.26</v>
      </c>
    </row>
    <row r="125" spans="2:18" x14ac:dyDescent="0.25">
      <c r="B125" t="s">
        <v>184</v>
      </c>
      <c r="C125">
        <v>6</v>
      </c>
      <c r="D125">
        <v>1992</v>
      </c>
      <c r="E125" t="s">
        <v>157</v>
      </c>
      <c r="F125" t="s">
        <v>214</v>
      </c>
      <c r="G125">
        <v>0.20200000000000001</v>
      </c>
      <c r="H125">
        <v>3.88</v>
      </c>
      <c r="J125" s="71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4">
        <f t="shared" ref="P125:P136" si="36">K125</f>
        <v>3.3666666666666671</v>
      </c>
      <c r="Q125" s="74">
        <f t="shared" ref="Q125:Q136" si="37">L125</f>
        <v>0.86769759450171835</v>
      </c>
      <c r="R125" s="74">
        <f t="shared" si="34"/>
        <v>3.88</v>
      </c>
    </row>
    <row r="126" spans="2:18" x14ac:dyDescent="0.25">
      <c r="B126" t="s">
        <v>180</v>
      </c>
      <c r="C126">
        <v>4</v>
      </c>
      <c r="D126">
        <v>1992</v>
      </c>
      <c r="E126" t="s">
        <v>157</v>
      </c>
      <c r="F126" t="s">
        <v>214</v>
      </c>
      <c r="G126">
        <v>0.34599999999999997</v>
      </c>
      <c r="H126">
        <v>6.2</v>
      </c>
      <c r="J126" s="71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4">
        <f t="shared" si="36"/>
        <v>3.5999999999999992</v>
      </c>
      <c r="Q126" s="74">
        <f t="shared" si="37"/>
        <v>0.5806451612903224</v>
      </c>
      <c r="R126" s="74">
        <f t="shared" si="34"/>
        <v>6.2</v>
      </c>
    </row>
    <row r="127" spans="2:18" x14ac:dyDescent="0.25">
      <c r="B127" t="s">
        <v>181</v>
      </c>
      <c r="C127" s="72" t="s">
        <v>200</v>
      </c>
      <c r="D127">
        <v>1992</v>
      </c>
      <c r="E127" t="s">
        <v>157</v>
      </c>
      <c r="F127" t="s">
        <v>214</v>
      </c>
      <c r="G127">
        <v>0.69299999999999995</v>
      </c>
      <c r="H127">
        <v>5.63</v>
      </c>
      <c r="J127" s="71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4">
        <f t="shared" si="36"/>
        <v>6.9399999999999986</v>
      </c>
      <c r="Q127" s="74">
        <f t="shared" si="37"/>
        <v>1.2326820603907636</v>
      </c>
      <c r="R127" s="74">
        <f t="shared" si="34"/>
        <v>5.63</v>
      </c>
    </row>
    <row r="128" spans="2:18" x14ac:dyDescent="0.25">
      <c r="B128" t="s">
        <v>199</v>
      </c>
      <c r="C128" s="72" t="s">
        <v>187</v>
      </c>
      <c r="D128">
        <v>1992</v>
      </c>
      <c r="E128" t="s">
        <v>157</v>
      </c>
      <c r="F128" t="s">
        <v>214</v>
      </c>
      <c r="G128">
        <v>1.3819999999999999</v>
      </c>
      <c r="H128">
        <v>3.31</v>
      </c>
      <c r="J128" s="71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4">
        <f t="shared" si="36"/>
        <v>11.483333333333333</v>
      </c>
      <c r="Q128" s="74">
        <f t="shared" si="37"/>
        <v>3.4692849949647528</v>
      </c>
      <c r="R128" s="74">
        <f t="shared" si="34"/>
        <v>3.31</v>
      </c>
    </row>
    <row r="129" spans="2:18" x14ac:dyDescent="0.25">
      <c r="B129" t="s">
        <v>184</v>
      </c>
      <c r="C129">
        <v>6</v>
      </c>
      <c r="D129">
        <v>1999</v>
      </c>
      <c r="E129" t="s">
        <v>159</v>
      </c>
      <c r="F129" t="s">
        <v>213</v>
      </c>
      <c r="G129">
        <v>1.7000000000000001E-2</v>
      </c>
      <c r="H129">
        <v>0.34</v>
      </c>
      <c r="J129" s="71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4">
        <f t="shared" si="36"/>
        <v>0.28333333333333333</v>
      </c>
      <c r="Q129" s="74">
        <f t="shared" si="37"/>
        <v>0.83333333333333326</v>
      </c>
      <c r="R129" s="74">
        <f t="shared" si="34"/>
        <v>0.34</v>
      </c>
    </row>
    <row r="130" spans="2:18" x14ac:dyDescent="0.25">
      <c r="B130" t="s">
        <v>180</v>
      </c>
      <c r="C130">
        <v>4</v>
      </c>
      <c r="D130">
        <v>1999</v>
      </c>
      <c r="E130" t="s">
        <v>159</v>
      </c>
      <c r="F130" t="s">
        <v>213</v>
      </c>
      <c r="G130">
        <v>0.188</v>
      </c>
      <c r="H130">
        <v>3.85</v>
      </c>
      <c r="J130" s="71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4">
        <f t="shared" si="36"/>
        <v>4.2749999999999995</v>
      </c>
      <c r="Q130" s="74">
        <f t="shared" si="37"/>
        <v>1.1103896103896103</v>
      </c>
      <c r="R130" s="74">
        <f t="shared" si="34"/>
        <v>3.85</v>
      </c>
    </row>
    <row r="131" spans="2:18" x14ac:dyDescent="0.25">
      <c r="B131" t="s">
        <v>181</v>
      </c>
      <c r="C131" s="72" t="s">
        <v>200</v>
      </c>
      <c r="D131">
        <v>1999</v>
      </c>
      <c r="E131" t="s">
        <v>159</v>
      </c>
      <c r="F131" t="s">
        <v>213</v>
      </c>
      <c r="G131">
        <v>0.56299999999999994</v>
      </c>
      <c r="H131">
        <v>6.52</v>
      </c>
      <c r="J131" s="71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4">
        <f t="shared" si="36"/>
        <v>7.4999999999999982</v>
      </c>
      <c r="Q131" s="74">
        <f t="shared" si="37"/>
        <v>1.1503067484662575</v>
      </c>
      <c r="R131" s="74">
        <f t="shared" si="34"/>
        <v>6.52</v>
      </c>
    </row>
    <row r="132" spans="2:18" x14ac:dyDescent="0.25">
      <c r="B132" t="s">
        <v>199</v>
      </c>
      <c r="C132" s="72" t="s">
        <v>187</v>
      </c>
      <c r="D132">
        <v>1999</v>
      </c>
      <c r="E132" t="s">
        <v>159</v>
      </c>
      <c r="F132" t="s">
        <v>213</v>
      </c>
      <c r="G132">
        <v>1.367</v>
      </c>
      <c r="H132">
        <v>5.95</v>
      </c>
      <c r="J132" s="71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4">
        <f t="shared" si="36"/>
        <v>13.4</v>
      </c>
      <c r="Q132" s="74">
        <f t="shared" si="37"/>
        <v>2.2521008403361344</v>
      </c>
      <c r="R132" s="74">
        <f t="shared" si="34"/>
        <v>5.95</v>
      </c>
    </row>
    <row r="133" spans="2:18" x14ac:dyDescent="0.25">
      <c r="B133" t="s">
        <v>184</v>
      </c>
      <c r="C133">
        <v>6</v>
      </c>
      <c r="D133">
        <v>1999</v>
      </c>
      <c r="E133" t="s">
        <v>157</v>
      </c>
      <c r="F133" t="s">
        <v>214</v>
      </c>
      <c r="G133">
        <v>2.3E-2</v>
      </c>
      <c r="H133">
        <v>0.45</v>
      </c>
      <c r="J133" s="71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4">
        <f t="shared" si="36"/>
        <v>0.3833333333333333</v>
      </c>
      <c r="Q133" s="74">
        <f t="shared" si="37"/>
        <v>0.85185185185185175</v>
      </c>
      <c r="R133" s="74">
        <f t="shared" si="34"/>
        <v>0.45</v>
      </c>
    </row>
    <row r="134" spans="2:18" x14ac:dyDescent="0.25">
      <c r="B134" t="s">
        <v>180</v>
      </c>
      <c r="C134">
        <v>4</v>
      </c>
      <c r="D134">
        <v>1999</v>
      </c>
      <c r="E134" t="s">
        <v>157</v>
      </c>
      <c r="F134" t="s">
        <v>214</v>
      </c>
      <c r="G134">
        <v>0.193</v>
      </c>
      <c r="H134">
        <v>4</v>
      </c>
      <c r="J134" s="71">
        <f>(G134-G133)/C134</f>
        <v>4.2500000000000003E-2</v>
      </c>
      <c r="K134">
        <f t="shared" si="35"/>
        <v>4.25</v>
      </c>
      <c r="L134">
        <f t="shared" si="33"/>
        <v>1.0625</v>
      </c>
      <c r="P134" s="74">
        <f t="shared" si="36"/>
        <v>4.25</v>
      </c>
      <c r="Q134" s="74">
        <f t="shared" si="37"/>
        <v>1.0625</v>
      </c>
      <c r="R134" s="74">
        <f t="shared" si="34"/>
        <v>4</v>
      </c>
    </row>
    <row r="135" spans="2:18" x14ac:dyDescent="0.25">
      <c r="B135" t="s">
        <v>181</v>
      </c>
      <c r="C135" s="72" t="s">
        <v>200</v>
      </c>
      <c r="D135">
        <v>1999</v>
      </c>
      <c r="E135" t="s">
        <v>157</v>
      </c>
      <c r="F135" t="s">
        <v>214</v>
      </c>
      <c r="G135">
        <v>0.55900000000000005</v>
      </c>
      <c r="H135">
        <v>6.57</v>
      </c>
      <c r="J135" s="71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4">
        <f t="shared" si="36"/>
        <v>7.3200000000000012</v>
      </c>
      <c r="Q135" s="74">
        <f t="shared" si="37"/>
        <v>1.1141552511415527</v>
      </c>
      <c r="R135" s="74">
        <f t="shared" si="34"/>
        <v>6.57</v>
      </c>
    </row>
    <row r="136" spans="2:18" x14ac:dyDescent="0.25">
      <c r="B136" t="s">
        <v>199</v>
      </c>
      <c r="C136" s="72" t="s">
        <v>187</v>
      </c>
      <c r="D136">
        <v>1999</v>
      </c>
      <c r="E136" t="s">
        <v>157</v>
      </c>
      <c r="F136" t="s">
        <v>214</v>
      </c>
      <c r="G136">
        <v>1.339</v>
      </c>
      <c r="H136">
        <v>5.82</v>
      </c>
      <c r="J136" s="71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4">
        <f t="shared" si="36"/>
        <v>12.999999999999998</v>
      </c>
      <c r="Q136" s="74">
        <f t="shared" si="37"/>
        <v>2.2336769759450168</v>
      </c>
      <c r="R136" s="74">
        <f t="shared" si="34"/>
        <v>5.82</v>
      </c>
    </row>
    <row r="137" spans="2:18" x14ac:dyDescent="0.25">
      <c r="B137" t="s">
        <v>184</v>
      </c>
      <c r="C137">
        <v>6</v>
      </c>
      <c r="D137">
        <v>1992</v>
      </c>
      <c r="E137" t="s">
        <v>159</v>
      </c>
      <c r="F137" t="s">
        <v>213</v>
      </c>
      <c r="G137">
        <v>0.29899999999999999</v>
      </c>
      <c r="H137">
        <v>4.24</v>
      </c>
      <c r="J137" s="71">
        <f>(G137)/C137</f>
        <v>4.9833333333333334E-2</v>
      </c>
      <c r="K137">
        <f>J137*100</f>
        <v>4.9833333333333334</v>
      </c>
      <c r="L137">
        <f>K137/H137</f>
        <v>1.175314465408805</v>
      </c>
      <c r="P137" s="74">
        <f t="shared" ref="P137:Q140" si="38">K137</f>
        <v>4.9833333333333334</v>
      </c>
      <c r="Q137" s="74">
        <f t="shared" si="38"/>
        <v>1.175314465408805</v>
      </c>
      <c r="R137" s="74">
        <f>P137/Q137</f>
        <v>4.24</v>
      </c>
    </row>
    <row r="138" spans="2:18" x14ac:dyDescent="0.25">
      <c r="B138" t="s">
        <v>180</v>
      </c>
      <c r="C138">
        <v>4</v>
      </c>
      <c r="D138">
        <v>1992</v>
      </c>
      <c r="E138" t="s">
        <v>159</v>
      </c>
      <c r="F138" t="s">
        <v>213</v>
      </c>
      <c r="G138">
        <v>0.46500000000000002</v>
      </c>
      <c r="H138">
        <v>6.45</v>
      </c>
      <c r="J138" s="71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4">
        <f t="shared" si="38"/>
        <v>4.1500000000000012</v>
      </c>
      <c r="Q138" s="74">
        <f t="shared" si="38"/>
        <v>0.64341085271317844</v>
      </c>
      <c r="R138" s="74">
        <f t="shared" ref="R138:R152" si="40">P138/Q138</f>
        <v>6.45</v>
      </c>
    </row>
    <row r="139" spans="2:18" x14ac:dyDescent="0.25">
      <c r="B139" t="s">
        <v>181</v>
      </c>
      <c r="C139" s="72" t="s">
        <v>200</v>
      </c>
      <c r="D139">
        <v>1992</v>
      </c>
      <c r="E139" t="s">
        <v>159</v>
      </c>
      <c r="F139" t="s">
        <v>213</v>
      </c>
      <c r="G139">
        <v>1.081</v>
      </c>
      <c r="H139">
        <v>5.37</v>
      </c>
      <c r="J139" s="71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4">
        <f t="shared" si="38"/>
        <v>12.319999999999997</v>
      </c>
      <c r="Q139" s="74">
        <f t="shared" si="38"/>
        <v>2.294227188081936</v>
      </c>
      <c r="R139" s="74">
        <f t="shared" si="40"/>
        <v>5.37</v>
      </c>
    </row>
    <row r="140" spans="2:18" x14ac:dyDescent="0.25">
      <c r="B140" t="s">
        <v>199</v>
      </c>
      <c r="C140" s="72" t="s">
        <v>187</v>
      </c>
      <c r="D140">
        <v>1992</v>
      </c>
      <c r="E140" t="s">
        <v>159</v>
      </c>
      <c r="F140" t="s">
        <v>213</v>
      </c>
      <c r="G140">
        <v>2.1869999999999998</v>
      </c>
      <c r="H140">
        <v>3.47</v>
      </c>
      <c r="J140" s="71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4">
        <f t="shared" si="38"/>
        <v>18.433333333333334</v>
      </c>
      <c r="Q140" s="74">
        <f t="shared" si="38"/>
        <v>5.3121998078770414</v>
      </c>
      <c r="R140" s="74">
        <f t="shared" si="40"/>
        <v>3.47</v>
      </c>
    </row>
    <row r="141" spans="2:18" x14ac:dyDescent="0.25">
      <c r="B141" t="s">
        <v>184</v>
      </c>
      <c r="C141">
        <v>6</v>
      </c>
      <c r="D141">
        <v>1992</v>
      </c>
      <c r="E141" t="s">
        <v>157</v>
      </c>
      <c r="F141" t="s">
        <v>214</v>
      </c>
      <c r="G141">
        <v>0.3</v>
      </c>
      <c r="H141">
        <v>4.33</v>
      </c>
      <c r="J141" s="71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4">
        <f t="shared" ref="P141:P152" si="42">K141</f>
        <v>5</v>
      </c>
      <c r="Q141" s="74">
        <f t="shared" ref="Q141:Q152" si="43">L141</f>
        <v>1.1547344110854503</v>
      </c>
      <c r="R141" s="74">
        <f t="shared" si="40"/>
        <v>4.33</v>
      </c>
    </row>
    <row r="142" spans="2:18" x14ac:dyDescent="0.25">
      <c r="B142" t="s">
        <v>180</v>
      </c>
      <c r="C142">
        <v>4</v>
      </c>
      <c r="D142">
        <v>1992</v>
      </c>
      <c r="E142" t="s">
        <v>157</v>
      </c>
      <c r="F142" t="s">
        <v>214</v>
      </c>
      <c r="G142">
        <v>0.46200000000000002</v>
      </c>
      <c r="H142">
        <v>6.53</v>
      </c>
      <c r="J142" s="71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4">
        <f t="shared" si="42"/>
        <v>4.0500000000000007</v>
      </c>
      <c r="Q142" s="74">
        <f t="shared" si="43"/>
        <v>0.62021439509954068</v>
      </c>
      <c r="R142" s="74">
        <f t="shared" si="40"/>
        <v>6.53</v>
      </c>
    </row>
    <row r="143" spans="2:18" x14ac:dyDescent="0.25">
      <c r="B143" t="s">
        <v>181</v>
      </c>
      <c r="C143" s="72" t="s">
        <v>200</v>
      </c>
      <c r="D143">
        <v>1992</v>
      </c>
      <c r="E143" t="s">
        <v>157</v>
      </c>
      <c r="F143" t="s">
        <v>214</v>
      </c>
      <c r="G143">
        <v>1.08</v>
      </c>
      <c r="H143">
        <v>5.38</v>
      </c>
      <c r="J143" s="71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4">
        <f t="shared" si="42"/>
        <v>12.360000000000001</v>
      </c>
      <c r="Q143" s="74">
        <f t="shared" si="43"/>
        <v>2.2973977695167287</v>
      </c>
      <c r="R143" s="74">
        <f t="shared" si="40"/>
        <v>5.3800000000000008</v>
      </c>
    </row>
    <row r="144" spans="2:18" x14ac:dyDescent="0.25">
      <c r="B144" t="s">
        <v>199</v>
      </c>
      <c r="C144" s="72" t="s">
        <v>187</v>
      </c>
      <c r="D144">
        <v>1992</v>
      </c>
      <c r="E144" t="s">
        <v>157</v>
      </c>
      <c r="F144" t="s">
        <v>214</v>
      </c>
      <c r="G144">
        <v>2.206</v>
      </c>
      <c r="H144">
        <v>3.48</v>
      </c>
      <c r="J144" s="71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4">
        <f t="shared" si="42"/>
        <v>18.766666666666666</v>
      </c>
      <c r="Q144" s="74">
        <f t="shared" si="43"/>
        <v>5.3927203065134099</v>
      </c>
      <c r="R144" s="74">
        <f t="shared" si="40"/>
        <v>3.48</v>
      </c>
    </row>
    <row r="145" spans="2:18" x14ac:dyDescent="0.25">
      <c r="B145" t="s">
        <v>184</v>
      </c>
      <c r="C145">
        <v>6</v>
      </c>
      <c r="D145">
        <v>1999</v>
      </c>
      <c r="E145" t="s">
        <v>159</v>
      </c>
      <c r="F145" t="s">
        <v>213</v>
      </c>
      <c r="G145">
        <v>8.0000000000000002E-3</v>
      </c>
      <c r="H145">
        <v>0.09</v>
      </c>
      <c r="J145" s="71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4">
        <f t="shared" si="42"/>
        <v>0.13333333333333333</v>
      </c>
      <c r="Q145" s="74">
        <f t="shared" si="43"/>
        <v>1.4814814814814816</v>
      </c>
      <c r="R145" s="74">
        <f t="shared" si="40"/>
        <v>0.09</v>
      </c>
    </row>
    <row r="146" spans="2:18" x14ac:dyDescent="0.25">
      <c r="B146" t="s">
        <v>180</v>
      </c>
      <c r="C146">
        <v>4</v>
      </c>
      <c r="D146">
        <v>1999</v>
      </c>
      <c r="E146" t="s">
        <v>159</v>
      </c>
      <c r="F146" t="s">
        <v>213</v>
      </c>
      <c r="G146">
        <v>0.22</v>
      </c>
      <c r="H146">
        <v>2.76</v>
      </c>
      <c r="J146" s="71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4">
        <f t="shared" si="42"/>
        <v>5.3</v>
      </c>
      <c r="Q146" s="74">
        <f t="shared" si="43"/>
        <v>1.9202898550724639</v>
      </c>
      <c r="R146" s="74">
        <f t="shared" si="40"/>
        <v>2.76</v>
      </c>
    </row>
    <row r="147" spans="2:18" x14ac:dyDescent="0.25">
      <c r="B147" t="s">
        <v>181</v>
      </c>
      <c r="C147" s="72" t="s">
        <v>200</v>
      </c>
      <c r="D147">
        <v>1999</v>
      </c>
      <c r="E147" t="s">
        <v>159</v>
      </c>
      <c r="F147" t="s">
        <v>213</v>
      </c>
      <c r="G147">
        <v>0.49099999999999999</v>
      </c>
      <c r="H147">
        <v>3.5</v>
      </c>
      <c r="J147" s="71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4">
        <f t="shared" si="42"/>
        <v>5.4200000000000008</v>
      </c>
      <c r="Q147" s="74">
        <f t="shared" si="43"/>
        <v>1.5485714285714287</v>
      </c>
      <c r="R147" s="74">
        <f t="shared" si="40"/>
        <v>3.5</v>
      </c>
    </row>
    <row r="148" spans="2:18" x14ac:dyDescent="0.25">
      <c r="B148" t="s">
        <v>199</v>
      </c>
      <c r="C148" s="72" t="s">
        <v>187</v>
      </c>
      <c r="D148">
        <v>1999</v>
      </c>
      <c r="E148" t="s">
        <v>159</v>
      </c>
      <c r="F148" t="s">
        <v>213</v>
      </c>
      <c r="G148">
        <v>1.571</v>
      </c>
      <c r="H148">
        <v>4.24</v>
      </c>
      <c r="J148" s="71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4">
        <f t="shared" si="42"/>
        <v>18.000000000000004</v>
      </c>
      <c r="Q148" s="74">
        <f t="shared" si="43"/>
        <v>4.2452830188679256</v>
      </c>
      <c r="R148" s="74">
        <f t="shared" si="40"/>
        <v>4.24</v>
      </c>
    </row>
    <row r="149" spans="2:18" x14ac:dyDescent="0.25">
      <c r="B149" t="s">
        <v>184</v>
      </c>
      <c r="C149">
        <v>6</v>
      </c>
      <c r="D149">
        <v>1999</v>
      </c>
      <c r="E149" t="s">
        <v>157</v>
      </c>
      <c r="F149" t="s">
        <v>214</v>
      </c>
      <c r="G149">
        <v>3.3000000000000002E-2</v>
      </c>
      <c r="H149">
        <v>0.38</v>
      </c>
      <c r="J149" s="71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4">
        <f t="shared" si="42"/>
        <v>0.55000000000000004</v>
      </c>
      <c r="Q149" s="74">
        <f t="shared" si="43"/>
        <v>1.4473684210526316</v>
      </c>
      <c r="R149" s="74">
        <f t="shared" si="40"/>
        <v>0.38</v>
      </c>
    </row>
    <row r="150" spans="2:18" x14ac:dyDescent="0.25">
      <c r="B150" t="s">
        <v>180</v>
      </c>
      <c r="C150">
        <v>4</v>
      </c>
      <c r="D150">
        <v>1999</v>
      </c>
      <c r="E150" t="s">
        <v>157</v>
      </c>
      <c r="F150" t="s">
        <v>214</v>
      </c>
      <c r="G150">
        <v>0.255</v>
      </c>
      <c r="H150">
        <v>3.25</v>
      </c>
      <c r="J150" s="71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4">
        <f t="shared" si="42"/>
        <v>5.55</v>
      </c>
      <c r="Q150" s="74">
        <f t="shared" si="43"/>
        <v>1.7076923076923076</v>
      </c>
      <c r="R150" s="74">
        <f t="shared" si="40"/>
        <v>3.25</v>
      </c>
    </row>
    <row r="151" spans="2:18" x14ac:dyDescent="0.25">
      <c r="B151" t="s">
        <v>181</v>
      </c>
      <c r="C151" s="72" t="s">
        <v>200</v>
      </c>
      <c r="D151">
        <v>1999</v>
      </c>
      <c r="E151" t="s">
        <v>157</v>
      </c>
      <c r="F151" t="s">
        <v>214</v>
      </c>
      <c r="G151">
        <v>0.54</v>
      </c>
      <c r="H151">
        <v>3.91</v>
      </c>
      <c r="J151" s="71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4">
        <f t="shared" si="42"/>
        <v>5.7000000000000011</v>
      </c>
      <c r="Q151" s="74">
        <f t="shared" si="43"/>
        <v>1.4578005115089516</v>
      </c>
      <c r="R151" s="74">
        <f t="shared" si="40"/>
        <v>3.91</v>
      </c>
    </row>
    <row r="152" spans="2:18" x14ac:dyDescent="0.25">
      <c r="B152" t="s">
        <v>199</v>
      </c>
      <c r="C152" s="72" t="s">
        <v>187</v>
      </c>
      <c r="D152">
        <v>1999</v>
      </c>
      <c r="E152" t="s">
        <v>157</v>
      </c>
      <c r="F152" t="s">
        <v>214</v>
      </c>
      <c r="G152">
        <v>1.6339999999999999</v>
      </c>
      <c r="H152">
        <v>4.43</v>
      </c>
      <c r="J152" s="71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4">
        <f t="shared" si="42"/>
        <v>18.233333333333331</v>
      </c>
      <c r="Q152" s="74">
        <f t="shared" si="43"/>
        <v>4.115876598946576</v>
      </c>
      <c r="R152" s="74">
        <f t="shared" si="40"/>
        <v>4.43</v>
      </c>
    </row>
    <row r="155" spans="2:18" x14ac:dyDescent="0.25">
      <c r="B155" s="77" t="s">
        <v>215</v>
      </c>
    </row>
    <row r="157" spans="2:18" x14ac:dyDescent="0.25">
      <c r="C157" t="s">
        <v>216</v>
      </c>
      <c r="D157" t="s">
        <v>219</v>
      </c>
      <c r="E157" t="s">
        <v>217</v>
      </c>
      <c r="H157" s="77" t="s">
        <v>224</v>
      </c>
    </row>
    <row r="158" spans="2:18" x14ac:dyDescent="0.25">
      <c r="B158" t="s">
        <v>197</v>
      </c>
      <c r="C158">
        <v>0</v>
      </c>
      <c r="D158" t="s">
        <v>220</v>
      </c>
      <c r="E158">
        <v>0.26250000000000001</v>
      </c>
      <c r="H158" t="s">
        <v>220</v>
      </c>
    </row>
    <row r="159" spans="2:18" x14ac:dyDescent="0.25">
      <c r="B159" t="s">
        <v>184</v>
      </c>
      <c r="C159">
        <v>6</v>
      </c>
      <c r="D159" t="s">
        <v>220</v>
      </c>
      <c r="E159">
        <v>0.25</v>
      </c>
      <c r="H159" s="79">
        <f>C158*E158+C159*E159+C160*E160+C161*E161+C162*E162</f>
        <v>9.8249999999999993</v>
      </c>
    </row>
    <row r="160" spans="2:18" x14ac:dyDescent="0.25">
      <c r="B160" t="s">
        <v>180</v>
      </c>
      <c r="C160">
        <v>10</v>
      </c>
      <c r="D160" t="s">
        <v>220</v>
      </c>
      <c r="E160">
        <v>0.1125</v>
      </c>
    </row>
    <row r="161" spans="2:10" x14ac:dyDescent="0.25">
      <c r="B161" t="s">
        <v>181</v>
      </c>
      <c r="C161" s="72" t="s">
        <v>204</v>
      </c>
      <c r="D161" t="s">
        <v>220</v>
      </c>
      <c r="E161">
        <v>0.1125</v>
      </c>
    </row>
    <row r="162" spans="2:10" x14ac:dyDescent="0.25">
      <c r="B162" t="s">
        <v>199</v>
      </c>
      <c r="C162" s="72" t="s">
        <v>218</v>
      </c>
      <c r="D162" t="s">
        <v>220</v>
      </c>
      <c r="E162">
        <v>0.26250000000000001</v>
      </c>
    </row>
    <row r="163" spans="2:10" x14ac:dyDescent="0.25">
      <c r="B163" t="s">
        <v>197</v>
      </c>
      <c r="C163">
        <v>0</v>
      </c>
      <c r="D163" t="s">
        <v>221</v>
      </c>
      <c r="E163">
        <v>0.17</v>
      </c>
      <c r="H163" t="s">
        <v>221</v>
      </c>
    </row>
    <row r="164" spans="2:10" x14ac:dyDescent="0.25">
      <c r="B164" t="s">
        <v>184</v>
      </c>
      <c r="C164">
        <v>6</v>
      </c>
      <c r="D164" t="s">
        <v>221</v>
      </c>
      <c r="E164">
        <v>0.2</v>
      </c>
      <c r="H164" s="79">
        <f>C163*E163+C164*E164+C165*E165+C166*E166+C167*E167</f>
        <v>10.520000000000001</v>
      </c>
    </row>
    <row r="165" spans="2:10" x14ac:dyDescent="0.25">
      <c r="B165" t="s">
        <v>180</v>
      </c>
      <c r="C165">
        <v>10</v>
      </c>
      <c r="D165" t="s">
        <v>221</v>
      </c>
      <c r="E165">
        <v>0.23</v>
      </c>
    </row>
    <row r="166" spans="2:10" x14ac:dyDescent="0.25">
      <c r="B166" t="s">
        <v>181</v>
      </c>
      <c r="C166" s="72" t="s">
        <v>204</v>
      </c>
      <c r="D166" t="s">
        <v>221</v>
      </c>
      <c r="E166">
        <v>0.23</v>
      </c>
    </row>
    <row r="167" spans="2:10" x14ac:dyDescent="0.25">
      <c r="B167" t="s">
        <v>199</v>
      </c>
      <c r="C167" s="72" t="s">
        <v>218</v>
      </c>
      <c r="D167" t="s">
        <v>221</v>
      </c>
      <c r="E167">
        <v>0.17</v>
      </c>
    </row>
    <row r="168" spans="2:10" x14ac:dyDescent="0.25">
      <c r="B168" t="s">
        <v>197</v>
      </c>
      <c r="C168">
        <v>0</v>
      </c>
      <c r="D168" t="s">
        <v>222</v>
      </c>
      <c r="E168">
        <v>0.1925</v>
      </c>
      <c r="H168" t="s">
        <v>222</v>
      </c>
    </row>
    <row r="169" spans="2:10" x14ac:dyDescent="0.25">
      <c r="B169" t="s">
        <v>184</v>
      </c>
      <c r="C169">
        <v>6</v>
      </c>
      <c r="D169" t="s">
        <v>222</v>
      </c>
      <c r="E169">
        <v>0.28999999999999998</v>
      </c>
      <c r="H169" s="79">
        <f>C168*E168+C169*E169+C170*E170+C171*E171+C172*E172</f>
        <v>9.8450000000000006</v>
      </c>
    </row>
    <row r="170" spans="2:10" x14ac:dyDescent="0.25">
      <c r="B170" t="s">
        <v>180</v>
      </c>
      <c r="C170">
        <v>10</v>
      </c>
      <c r="D170" t="s">
        <v>222</v>
      </c>
      <c r="E170">
        <v>0.16250000000000001</v>
      </c>
    </row>
    <row r="171" spans="2:10" x14ac:dyDescent="0.25">
      <c r="B171" t="s">
        <v>181</v>
      </c>
      <c r="C171" s="72" t="s">
        <v>204</v>
      </c>
      <c r="D171" t="s">
        <v>222</v>
      </c>
      <c r="E171">
        <v>0.16250000000000001</v>
      </c>
    </row>
    <row r="172" spans="2:10" x14ac:dyDescent="0.25">
      <c r="B172" t="s">
        <v>199</v>
      </c>
      <c r="C172" s="72" t="s">
        <v>218</v>
      </c>
      <c r="D172" t="s">
        <v>222</v>
      </c>
      <c r="E172">
        <v>0.1925</v>
      </c>
    </row>
    <row r="173" spans="2:10" x14ac:dyDescent="0.25">
      <c r="B173" t="s">
        <v>197</v>
      </c>
      <c r="C173">
        <v>0</v>
      </c>
      <c r="D173" t="s">
        <v>223</v>
      </c>
      <c r="E173">
        <v>0.12</v>
      </c>
      <c r="H173" t="s">
        <v>223</v>
      </c>
      <c r="J173" s="78"/>
    </row>
    <row r="174" spans="2:10" x14ac:dyDescent="0.25">
      <c r="B174" t="s">
        <v>184</v>
      </c>
      <c r="C174">
        <v>6</v>
      </c>
      <c r="D174" t="s">
        <v>223</v>
      </c>
      <c r="E174">
        <v>0.23</v>
      </c>
      <c r="H174" s="79">
        <f>C173*E173+C174*E174+C175*E175+C176*E176+C177*E177</f>
        <v>10.525</v>
      </c>
    </row>
    <row r="175" spans="2:10" x14ac:dyDescent="0.25">
      <c r="B175" t="s">
        <v>180</v>
      </c>
      <c r="C175">
        <v>10</v>
      </c>
      <c r="D175" t="s">
        <v>223</v>
      </c>
      <c r="E175">
        <v>0.26500000000000001</v>
      </c>
    </row>
    <row r="176" spans="2:10" x14ac:dyDescent="0.25">
      <c r="B176" t="s">
        <v>181</v>
      </c>
      <c r="C176" s="72" t="s">
        <v>204</v>
      </c>
      <c r="D176" t="s">
        <v>223</v>
      </c>
      <c r="E176">
        <v>0.26500000000000001</v>
      </c>
    </row>
    <row r="177" spans="1:15" x14ac:dyDescent="0.25">
      <c r="B177" t="s">
        <v>199</v>
      </c>
      <c r="C177" s="72" t="s">
        <v>218</v>
      </c>
      <c r="D177" t="s">
        <v>223</v>
      </c>
      <c r="E177">
        <v>0.12</v>
      </c>
    </row>
    <row r="181" spans="1:15" x14ac:dyDescent="0.25">
      <c r="A181" s="76" t="s">
        <v>226</v>
      </c>
      <c r="C181" t="s">
        <v>230</v>
      </c>
    </row>
    <row r="183" spans="1:15" x14ac:dyDescent="0.25">
      <c r="C183" t="s">
        <v>216</v>
      </c>
      <c r="D183" t="s">
        <v>155</v>
      </c>
      <c r="E183" s="73" t="s">
        <v>160</v>
      </c>
      <c r="G183" t="s">
        <v>161</v>
      </c>
      <c r="H183" t="s">
        <v>163</v>
      </c>
      <c r="I183" t="s">
        <v>229</v>
      </c>
      <c r="M183" t="s">
        <v>161</v>
      </c>
      <c r="N183" t="s">
        <v>160</v>
      </c>
      <c r="O183" t="s">
        <v>162</v>
      </c>
    </row>
    <row r="184" spans="1:15" x14ac:dyDescent="0.25">
      <c r="B184" t="s">
        <v>228</v>
      </c>
      <c r="C184">
        <v>5</v>
      </c>
      <c r="D184">
        <v>0.498</v>
      </c>
      <c r="E184">
        <v>2.9000000000000001E-2</v>
      </c>
      <c r="G184" s="71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4">
        <f t="shared" ref="M184:M185" si="45">H184</f>
        <v>12.908542468081457</v>
      </c>
      <c r="N184" s="74">
        <f t="shared" ref="N184:N195" si="46">M184/O184</f>
        <v>0.75170227223767516</v>
      </c>
      <c r="O184" s="74">
        <f t="shared" ref="O184:O195" si="47">I184</f>
        <v>17.172413793103448</v>
      </c>
    </row>
    <row r="185" spans="1:15" x14ac:dyDescent="0.25">
      <c r="B185" t="s">
        <v>227</v>
      </c>
      <c r="C185">
        <v>3</v>
      </c>
      <c r="D185">
        <v>0.25600000000000001</v>
      </c>
      <c r="E185">
        <v>2.7E-2</v>
      </c>
      <c r="G185" s="71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4">
        <f t="shared" si="45"/>
        <v>9.7250909313234697</v>
      </c>
      <c r="N185" s="74">
        <f t="shared" si="46"/>
        <v>1.0256931841630224</v>
      </c>
      <c r="O185" s="74">
        <f t="shared" si="47"/>
        <v>9.481481481481481</v>
      </c>
    </row>
    <row r="186" spans="1:15" x14ac:dyDescent="0.25">
      <c r="B186" t="s">
        <v>180</v>
      </c>
      <c r="C186">
        <v>3</v>
      </c>
      <c r="D186">
        <v>0.254</v>
      </c>
      <c r="E186">
        <v>6.2E-2</v>
      </c>
      <c r="G186" s="71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4">
        <f t="shared" ref="M186:M188" si="50">H186</f>
        <v>9.6390601422601403</v>
      </c>
      <c r="N186" s="74">
        <f t="shared" si="46"/>
        <v>2.352841452047751</v>
      </c>
      <c r="O186" s="74">
        <f t="shared" si="47"/>
        <v>4.096774193548387</v>
      </c>
    </row>
    <row r="187" spans="1:15" x14ac:dyDescent="0.25">
      <c r="B187" t="s">
        <v>228</v>
      </c>
      <c r="C187">
        <v>5</v>
      </c>
      <c r="D187">
        <v>0.497</v>
      </c>
      <c r="E187">
        <v>2.9000000000000001E-2</v>
      </c>
      <c r="G187" s="71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4">
        <f t="shared" si="50"/>
        <v>12.875650374401223</v>
      </c>
      <c r="N187" s="74">
        <f t="shared" si="46"/>
        <v>0.7512954946833712</v>
      </c>
      <c r="O187" s="74">
        <f t="shared" si="47"/>
        <v>17.137931034482758</v>
      </c>
    </row>
    <row r="188" spans="1:15" x14ac:dyDescent="0.25">
      <c r="B188" t="s">
        <v>227</v>
      </c>
      <c r="C188">
        <v>3</v>
      </c>
      <c r="D188">
        <v>0.245</v>
      </c>
      <c r="E188">
        <v>2.7E-2</v>
      </c>
      <c r="G188" s="71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4">
        <f t="shared" si="50"/>
        <v>9.2540437734962193</v>
      </c>
      <c r="N188" s="74">
        <f t="shared" si="46"/>
        <v>1.0198333954465222</v>
      </c>
      <c r="O188" s="74">
        <f t="shared" si="47"/>
        <v>9.0740740740740744</v>
      </c>
    </row>
    <row r="189" spans="1:15" x14ac:dyDescent="0.25">
      <c r="B189" t="s">
        <v>180</v>
      </c>
      <c r="C189">
        <v>3</v>
      </c>
      <c r="D189">
        <v>0.27</v>
      </c>
      <c r="E189">
        <v>6.3E-2</v>
      </c>
      <c r="G189" s="71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4">
        <f t="shared" ref="M189:M195" si="52">H189</f>
        <v>10.33214835777491</v>
      </c>
      <c r="N189" s="74">
        <f t="shared" si="46"/>
        <v>2.4108346168141459</v>
      </c>
      <c r="O189" s="74">
        <f t="shared" si="47"/>
        <v>4.2857142857142856</v>
      </c>
    </row>
    <row r="190" spans="1:15" x14ac:dyDescent="0.25">
      <c r="B190" t="s">
        <v>228</v>
      </c>
      <c r="C190">
        <v>5</v>
      </c>
      <c r="D190">
        <v>0.47099999999999997</v>
      </c>
      <c r="E190">
        <v>2.8000000000000001E-2</v>
      </c>
      <c r="G190" s="71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4">
        <f t="shared" si="52"/>
        <v>12.03189975348813</v>
      </c>
      <c r="N190" s="74">
        <f t="shared" si="46"/>
        <v>0.71527217218188466</v>
      </c>
      <c r="O190" s="74">
        <f t="shared" si="47"/>
        <v>16.821428571428569</v>
      </c>
    </row>
    <row r="191" spans="1:15" x14ac:dyDescent="0.25">
      <c r="B191" t="s">
        <v>227</v>
      </c>
      <c r="C191">
        <v>3</v>
      </c>
      <c r="D191">
        <v>0.216</v>
      </c>
      <c r="E191">
        <v>2.8000000000000001E-2</v>
      </c>
      <c r="G191" s="71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4">
        <f t="shared" si="52"/>
        <v>8.0367459666890557</v>
      </c>
      <c r="N191" s="74">
        <f t="shared" si="46"/>
        <v>1.041800403089322</v>
      </c>
      <c r="O191" s="74">
        <f t="shared" si="47"/>
        <v>7.7142857142857144</v>
      </c>
    </row>
    <row r="192" spans="1:15" x14ac:dyDescent="0.25">
      <c r="B192" t="s">
        <v>180</v>
      </c>
      <c r="C192">
        <v>3</v>
      </c>
      <c r="D192">
        <v>0.24199999999999999</v>
      </c>
      <c r="E192">
        <v>6.3E-2</v>
      </c>
      <c r="G192" s="71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4">
        <f t="shared" si="52"/>
        <v>9.1264730938731624</v>
      </c>
      <c r="N192" s="74">
        <f t="shared" si="46"/>
        <v>2.3759000203058234</v>
      </c>
      <c r="O192" s="74">
        <f t="shared" si="47"/>
        <v>3.8412698412698409</v>
      </c>
    </row>
    <row r="193" spans="2:15" x14ac:dyDescent="0.25">
      <c r="B193" t="s">
        <v>228</v>
      </c>
      <c r="C193">
        <v>5</v>
      </c>
      <c r="D193">
        <v>0.42</v>
      </c>
      <c r="E193">
        <v>0.03</v>
      </c>
      <c r="G193" s="71">
        <f t="shared" si="48"/>
        <v>0.10439231112372674</v>
      </c>
      <c r="H193">
        <f t="shared" si="44"/>
        <v>10.439231112372674</v>
      </c>
      <c r="I193">
        <f>D193/E193</f>
        <v>14</v>
      </c>
      <c r="M193" s="74">
        <f t="shared" si="52"/>
        <v>10.439231112372674</v>
      </c>
      <c r="N193" s="74">
        <f t="shared" si="46"/>
        <v>0.74565936516947673</v>
      </c>
      <c r="O193" s="74">
        <f t="shared" si="47"/>
        <v>14</v>
      </c>
    </row>
    <row r="194" spans="2:15" x14ac:dyDescent="0.25">
      <c r="B194" t="s">
        <v>227</v>
      </c>
      <c r="C194">
        <v>3</v>
      </c>
      <c r="D194">
        <v>0.20899999999999999</v>
      </c>
      <c r="E194">
        <v>2.9000000000000001E-2</v>
      </c>
      <c r="G194" s="71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4">
        <f t="shared" si="52"/>
        <v>7.7481666176751602</v>
      </c>
      <c r="N194" s="74">
        <f t="shared" si="46"/>
        <v>1.0751044589118646</v>
      </c>
      <c r="O194" s="74">
        <f t="shared" si="47"/>
        <v>7.206896551724137</v>
      </c>
    </row>
    <row r="195" spans="2:15" x14ac:dyDescent="0.25">
      <c r="B195" t="s">
        <v>180</v>
      </c>
      <c r="C195">
        <v>3</v>
      </c>
      <c r="D195">
        <v>0.23400000000000001</v>
      </c>
      <c r="E195">
        <v>6.4000000000000001E-2</v>
      </c>
      <c r="G195" s="71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4">
        <f t="shared" si="52"/>
        <v>8.7881497402592608</v>
      </c>
      <c r="N195" s="74">
        <f t="shared" si="46"/>
        <v>2.4035965101563792</v>
      </c>
      <c r="O195" s="74">
        <f t="shared" si="47"/>
        <v>3.65625</v>
      </c>
    </row>
    <row r="198" spans="2:15" x14ac:dyDescent="0.25">
      <c r="C198" t="s">
        <v>231</v>
      </c>
    </row>
    <row r="200" spans="2:15" x14ac:dyDescent="0.25">
      <c r="C200" t="s">
        <v>216</v>
      </c>
      <c r="D200" t="s">
        <v>155</v>
      </c>
      <c r="E200" s="73" t="s">
        <v>160</v>
      </c>
      <c r="G200" t="s">
        <v>161</v>
      </c>
      <c r="H200" t="s">
        <v>163</v>
      </c>
      <c r="I200" t="s">
        <v>229</v>
      </c>
      <c r="M200" t="s">
        <v>161</v>
      </c>
      <c r="N200" t="s">
        <v>160</v>
      </c>
      <c r="O200" t="s">
        <v>162</v>
      </c>
    </row>
    <row r="201" spans="2:15" x14ac:dyDescent="0.25">
      <c r="B201" t="s">
        <v>228</v>
      </c>
      <c r="C201">
        <v>5</v>
      </c>
      <c r="D201">
        <v>0.42</v>
      </c>
      <c r="E201">
        <v>0.03</v>
      </c>
      <c r="G201" s="71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4">
        <f t="shared" ref="M201:M212" si="56">H201</f>
        <v>10.439231112372674</v>
      </c>
      <c r="N201" s="74">
        <f t="shared" ref="N201:N212" si="57">M201/O201</f>
        <v>0.74565936516947673</v>
      </c>
      <c r="O201" s="74">
        <f t="shared" ref="O201:O212" si="58">I201</f>
        <v>14</v>
      </c>
    </row>
    <row r="202" spans="2:15" x14ac:dyDescent="0.25">
      <c r="B202" t="s">
        <v>227</v>
      </c>
      <c r="C202">
        <v>3</v>
      </c>
      <c r="D202">
        <v>0.20899999999999999</v>
      </c>
      <c r="E202">
        <v>2.9000000000000001E-2</v>
      </c>
      <c r="G202" s="71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4">
        <f t="shared" si="56"/>
        <v>7.7481666176751602</v>
      </c>
      <c r="N202" s="74">
        <f t="shared" si="57"/>
        <v>1.0751044589118646</v>
      </c>
      <c r="O202" s="74">
        <f t="shared" si="58"/>
        <v>7.206896551724137</v>
      </c>
    </row>
    <row r="203" spans="2:15" x14ac:dyDescent="0.25">
      <c r="B203" t="s">
        <v>180</v>
      </c>
      <c r="C203">
        <v>3</v>
      </c>
      <c r="D203">
        <v>0.23400000000000001</v>
      </c>
      <c r="E203">
        <v>6.4000000000000001E-2</v>
      </c>
      <c r="G203" s="71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4">
        <f t="shared" si="56"/>
        <v>8.7881497402592608</v>
      </c>
      <c r="N203" s="74">
        <f t="shared" si="57"/>
        <v>2.4035965101563792</v>
      </c>
      <c r="O203" s="74">
        <f t="shared" si="58"/>
        <v>3.65625</v>
      </c>
    </row>
    <row r="204" spans="2:15" x14ac:dyDescent="0.25">
      <c r="B204" t="s">
        <v>228</v>
      </c>
      <c r="C204">
        <v>5</v>
      </c>
      <c r="D204">
        <v>0.379</v>
      </c>
      <c r="E204">
        <v>0.17699999999999999</v>
      </c>
      <c r="G204" s="71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4">
        <f t="shared" si="56"/>
        <v>9.2164607148686351</v>
      </c>
      <c r="N204" s="74">
        <f t="shared" si="57"/>
        <v>4.3042573787117373</v>
      </c>
      <c r="O204" s="74">
        <f t="shared" si="58"/>
        <v>2.1412429378531073</v>
      </c>
    </row>
    <row r="205" spans="2:15" x14ac:dyDescent="0.25">
      <c r="B205" t="s">
        <v>227</v>
      </c>
      <c r="C205">
        <v>3</v>
      </c>
      <c r="D205">
        <v>0.28799999999999998</v>
      </c>
      <c r="E205">
        <v>0.121</v>
      </c>
      <c r="G205" s="71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4">
        <f t="shared" si="56"/>
        <v>11.125243470779484</v>
      </c>
      <c r="N205" s="74">
        <f t="shared" si="57"/>
        <v>4.6741474304316579</v>
      </c>
      <c r="O205" s="74">
        <f t="shared" si="58"/>
        <v>2.3801652892561984</v>
      </c>
    </row>
    <row r="206" spans="2:15" x14ac:dyDescent="0.25">
      <c r="B206" t="s">
        <v>180</v>
      </c>
      <c r="C206">
        <v>3</v>
      </c>
      <c r="D206">
        <v>0.192</v>
      </c>
      <c r="E206">
        <v>8.6999999999999994E-2</v>
      </c>
      <c r="G206" s="71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4">
        <f t="shared" si="56"/>
        <v>7.0556838988300159</v>
      </c>
      <c r="N206" s="74">
        <f t="shared" si="57"/>
        <v>3.1971067666573503</v>
      </c>
      <c r="O206" s="74">
        <f t="shared" si="58"/>
        <v>2.2068965517241383</v>
      </c>
    </row>
    <row r="207" spans="2:15" x14ac:dyDescent="0.25">
      <c r="B207" t="s">
        <v>228</v>
      </c>
      <c r="C207">
        <v>5</v>
      </c>
      <c r="D207">
        <v>0.36199999999999999</v>
      </c>
      <c r="E207">
        <v>0.16700000000000001</v>
      </c>
      <c r="G207" s="71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4">
        <f t="shared" si="56"/>
        <v>8.7239788392070352</v>
      </c>
      <c r="N207" s="74">
        <f t="shared" si="57"/>
        <v>4.0245979727833561</v>
      </c>
      <c r="O207" s="74">
        <f t="shared" si="58"/>
        <v>2.1676646706586826</v>
      </c>
    </row>
    <row r="208" spans="2:15" x14ac:dyDescent="0.25">
      <c r="B208" t="s">
        <v>227</v>
      </c>
      <c r="C208">
        <v>3</v>
      </c>
      <c r="D208">
        <v>0.30099999999999999</v>
      </c>
      <c r="E208">
        <v>0.124</v>
      </c>
      <c r="G208" s="71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4">
        <f t="shared" si="56"/>
        <v>11.706978051267185</v>
      </c>
      <c r="N208" s="74">
        <f t="shared" si="57"/>
        <v>4.8228082337446212</v>
      </c>
      <c r="O208" s="74">
        <f t="shared" si="58"/>
        <v>2.4274193548387095</v>
      </c>
    </row>
    <row r="209" spans="1:22" x14ac:dyDescent="0.25">
      <c r="B209" t="s">
        <v>180</v>
      </c>
      <c r="C209">
        <v>3</v>
      </c>
      <c r="D209">
        <v>0.19</v>
      </c>
      <c r="E209">
        <v>8.8999999999999996E-2</v>
      </c>
      <c r="G209" s="71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4">
        <f t="shared" si="56"/>
        <v>6.9749865885750495</v>
      </c>
      <c r="N209" s="74">
        <f t="shared" si="57"/>
        <v>3.2672305599114702</v>
      </c>
      <c r="O209" s="74">
        <f t="shared" si="58"/>
        <v>2.1348314606741576</v>
      </c>
    </row>
    <row r="210" spans="1:22" x14ac:dyDescent="0.25">
      <c r="B210" t="s">
        <v>228</v>
      </c>
      <c r="C210">
        <v>5</v>
      </c>
      <c r="D210">
        <v>0.373</v>
      </c>
      <c r="E210">
        <v>0.17699999999999999</v>
      </c>
      <c r="G210" s="71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4">
        <f t="shared" si="56"/>
        <v>9.0416867966555046</v>
      </c>
      <c r="N210" s="74">
        <f t="shared" si="57"/>
        <v>4.2905591501555609</v>
      </c>
      <c r="O210" s="74">
        <f t="shared" si="58"/>
        <v>2.1073446327683616</v>
      </c>
    </row>
    <row r="211" spans="1:22" x14ac:dyDescent="0.25">
      <c r="B211" t="s">
        <v>227</v>
      </c>
      <c r="C211">
        <v>3</v>
      </c>
      <c r="D211">
        <v>0.28699999999999998</v>
      </c>
      <c r="E211">
        <v>0.122</v>
      </c>
      <c r="G211" s="71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4">
        <f t="shared" si="56"/>
        <v>11.080807115855862</v>
      </c>
      <c r="N211" s="74">
        <f t="shared" si="57"/>
        <v>4.7103082513394252</v>
      </c>
      <c r="O211" s="74">
        <f t="shared" si="58"/>
        <v>2.3524590163934427</v>
      </c>
    </row>
    <row r="212" spans="1:22" x14ac:dyDescent="0.25">
      <c r="B212" t="s">
        <v>180</v>
      </c>
      <c r="C212">
        <v>3</v>
      </c>
      <c r="D212">
        <v>0.19700000000000001</v>
      </c>
      <c r="E212">
        <v>8.7999999999999995E-2</v>
      </c>
      <c r="G212" s="71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4">
        <f t="shared" si="56"/>
        <v>7.258134690196945</v>
      </c>
      <c r="N212" s="74">
        <f t="shared" si="57"/>
        <v>3.2422124504433052</v>
      </c>
      <c r="O212" s="74">
        <f t="shared" si="58"/>
        <v>2.2386363636363638</v>
      </c>
    </row>
    <row r="216" spans="1:22" x14ac:dyDescent="0.25">
      <c r="A216" s="76" t="s">
        <v>232</v>
      </c>
    </row>
    <row r="217" spans="1:22" x14ac:dyDescent="0.25">
      <c r="C217" t="s">
        <v>208</v>
      </c>
    </row>
    <row r="219" spans="1:22" x14ac:dyDescent="0.25">
      <c r="C219" t="s">
        <v>158</v>
      </c>
      <c r="D219" t="s">
        <v>238</v>
      </c>
      <c r="E219" t="s">
        <v>240</v>
      </c>
      <c r="F219" t="s">
        <v>155</v>
      </c>
      <c r="G219" s="73" t="s">
        <v>160</v>
      </c>
      <c r="I219" t="s">
        <v>161</v>
      </c>
      <c r="J219" t="s">
        <v>163</v>
      </c>
      <c r="K219" t="s">
        <v>242</v>
      </c>
      <c r="O219" t="s">
        <v>161</v>
      </c>
      <c r="P219" t="s">
        <v>160</v>
      </c>
      <c r="Q219" t="s">
        <v>162</v>
      </c>
    </row>
    <row r="220" spans="1:22" x14ac:dyDescent="0.25">
      <c r="B220" t="s">
        <v>233</v>
      </c>
      <c r="C220">
        <v>0</v>
      </c>
      <c r="D220" t="s">
        <v>239</v>
      </c>
      <c r="E220">
        <v>1</v>
      </c>
      <c r="F220">
        <v>-0.1295</v>
      </c>
      <c r="G220">
        <v>0.2034</v>
      </c>
      <c r="I220" s="71" t="s">
        <v>87</v>
      </c>
      <c r="J220" s="71" t="s">
        <v>87</v>
      </c>
      <c r="K220" s="71" t="s">
        <v>87</v>
      </c>
      <c r="O220" s="74" t="s">
        <v>87</v>
      </c>
      <c r="P220" s="74" t="s">
        <v>87</v>
      </c>
      <c r="Q220" s="74" t="s">
        <v>87</v>
      </c>
      <c r="T220" t="s">
        <v>243</v>
      </c>
    </row>
    <row r="221" spans="1:22" x14ac:dyDescent="0.25">
      <c r="B221" t="s">
        <v>37</v>
      </c>
      <c r="C221">
        <v>6</v>
      </c>
      <c r="D221" t="s">
        <v>239</v>
      </c>
      <c r="E221">
        <v>1</v>
      </c>
      <c r="F221">
        <v>-3.0599999999999999E-2</v>
      </c>
      <c r="G221">
        <v>0.20449999999999999</v>
      </c>
      <c r="I221" s="71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4">
        <f t="shared" ref="O221" si="64">J221</f>
        <v>1.5842461862563662</v>
      </c>
      <c r="P221" s="74">
        <f>IF(K221&gt;0,J221/K221,-J221/K221)</f>
        <v>10.587527617301532</v>
      </c>
      <c r="Q221" s="74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239</v>
      </c>
      <c r="E222">
        <v>1</v>
      </c>
      <c r="F222">
        <v>5.1900000000000002E-2</v>
      </c>
      <c r="G222">
        <v>0.20599999999999999</v>
      </c>
      <c r="I222" s="71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4">
        <f t="shared" ref="O222:O224" si="68">J222</f>
        <v>1.3299863552695745</v>
      </c>
      <c r="P222" s="74">
        <f t="shared" ref="P222:P224" si="69">IF(K222&gt;0,J222/K222,-J222/K222)</f>
        <v>5.2789439149428192</v>
      </c>
      <c r="Q222" s="74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234</v>
      </c>
      <c r="C223">
        <v>4</v>
      </c>
      <c r="D223" t="s">
        <v>239</v>
      </c>
      <c r="E223">
        <v>1</v>
      </c>
      <c r="F223">
        <v>0.183</v>
      </c>
      <c r="G223">
        <v>0.215</v>
      </c>
      <c r="I223" s="71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4">
        <f t="shared" si="68"/>
        <v>3.1276806632076326</v>
      </c>
      <c r="P223" s="74">
        <f t="shared" si="69"/>
        <v>3.6745975004898415</v>
      </c>
      <c r="Q223" s="74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235</v>
      </c>
      <c r="C224">
        <v>5</v>
      </c>
      <c r="D224" t="s">
        <v>239</v>
      </c>
      <c r="E224">
        <v>1</v>
      </c>
      <c r="F224">
        <v>0.43319999999999997</v>
      </c>
      <c r="G224">
        <v>0.307</v>
      </c>
      <c r="I224" s="71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4">
        <f t="shared" si="68"/>
        <v>4.5673010915691981</v>
      </c>
      <c r="P224" s="74">
        <f t="shared" si="69"/>
        <v>3.2367530819754013</v>
      </c>
      <c r="Q224" s="74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233</v>
      </c>
      <c r="C225">
        <v>0</v>
      </c>
      <c r="D225" t="s">
        <v>239</v>
      </c>
      <c r="E225">
        <v>2</v>
      </c>
      <c r="F225">
        <v>-0.14269999999999999</v>
      </c>
      <c r="G225">
        <v>0.18940000000000001</v>
      </c>
      <c r="I225" s="71" t="s">
        <v>87</v>
      </c>
      <c r="J225" s="71" t="s">
        <v>87</v>
      </c>
      <c r="K225" s="71" t="s">
        <v>87</v>
      </c>
      <c r="O225" s="74" t="s">
        <v>87</v>
      </c>
      <c r="P225" s="74" t="s">
        <v>87</v>
      </c>
      <c r="Q225" s="74" t="s">
        <v>87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239</v>
      </c>
      <c r="E226">
        <v>2</v>
      </c>
      <c r="F226">
        <v>-7.0999999999999994E-2</v>
      </c>
      <c r="G226">
        <v>0.18740000000000001</v>
      </c>
      <c r="I226" s="71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4">
        <f t="shared" ref="O226:O229" si="74">J226</f>
        <v>1.1607883405032826</v>
      </c>
      <c r="P226" s="74">
        <f t="shared" ref="P226:P229" si="75">IF(K226&gt;0,J226/K226,-J226/K226)</f>
        <v>3.0638272536664113</v>
      </c>
      <c r="Q226" s="74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239</v>
      </c>
      <c r="E227">
        <v>2</v>
      </c>
      <c r="F227">
        <v>0.11609999999999999</v>
      </c>
      <c r="G227">
        <v>0.1875</v>
      </c>
      <c r="I227" s="71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4">
        <f t="shared" si="74"/>
        <v>2.8998047811499505</v>
      </c>
      <c r="P227" s="74">
        <f t="shared" si="75"/>
        <v>4.6831472563791197</v>
      </c>
      <c r="Q227" s="74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234</v>
      </c>
      <c r="C228">
        <v>4</v>
      </c>
      <c r="D228" t="s">
        <v>239</v>
      </c>
      <c r="E228">
        <v>2</v>
      </c>
      <c r="F228">
        <v>0.52880000000000005</v>
      </c>
      <c r="G228">
        <v>0.1885</v>
      </c>
      <c r="I228" s="71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4">
        <f t="shared" si="74"/>
        <v>9.0215836453789056</v>
      </c>
      <c r="P228" s="74">
        <f t="shared" si="75"/>
        <v>3.2159011292623365</v>
      </c>
      <c r="Q228" s="74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235</v>
      </c>
      <c r="C229">
        <v>5</v>
      </c>
      <c r="D229" t="s">
        <v>239</v>
      </c>
      <c r="E229">
        <v>2</v>
      </c>
      <c r="F229">
        <v>1.2135</v>
      </c>
      <c r="G229">
        <v>0.22620000000000001</v>
      </c>
      <c r="I229" s="71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4">
        <f t="shared" si="74"/>
        <v>10.99528104162324</v>
      </c>
      <c r="P229" s="74">
        <f t="shared" si="75"/>
        <v>2.0495530050392889</v>
      </c>
      <c r="Q229" s="74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233</v>
      </c>
      <c r="C230">
        <v>0</v>
      </c>
      <c r="D230" t="s">
        <v>241</v>
      </c>
      <c r="E230">
        <v>1</v>
      </c>
      <c r="F230">
        <v>-0.1411</v>
      </c>
      <c r="G230">
        <v>0.20330000000000001</v>
      </c>
      <c r="I230" s="71" t="s">
        <v>87</v>
      </c>
      <c r="J230" s="71" t="s">
        <v>87</v>
      </c>
      <c r="K230" s="71" t="s">
        <v>87</v>
      </c>
      <c r="O230" s="74" t="s">
        <v>87</v>
      </c>
      <c r="P230" s="74" t="s">
        <v>87</v>
      </c>
      <c r="Q230" s="74" t="s">
        <v>87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241</v>
      </c>
      <c r="E231">
        <v>1</v>
      </c>
      <c r="F231">
        <v>-5.45E-2</v>
      </c>
      <c r="G231">
        <v>0.2044</v>
      </c>
      <c r="I231" s="71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4">
        <f t="shared" ref="O231:O234" si="80">J231</f>
        <v>1.3938506841181253</v>
      </c>
      <c r="P231" s="74">
        <f t="shared" ref="P231:P234" si="81">IF(K231&gt;0,J231/K231,-J231/K231)</f>
        <v>5.2275794464907301</v>
      </c>
      <c r="Q231" s="74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241</v>
      </c>
      <c r="E232">
        <v>1</v>
      </c>
      <c r="F232">
        <v>3.2300000000000002E-2</v>
      </c>
      <c r="G232">
        <v>0.20619999999999999</v>
      </c>
      <c r="I232" s="71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4">
        <f t="shared" si="80"/>
        <v>1.3969608772428366</v>
      </c>
      <c r="P232" s="74">
        <f t="shared" si="81"/>
        <v>8.9180598417174259</v>
      </c>
      <c r="Q232" s="74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234</v>
      </c>
      <c r="C233">
        <v>4</v>
      </c>
      <c r="D233" t="s">
        <v>241</v>
      </c>
      <c r="E233">
        <v>1</v>
      </c>
      <c r="F233">
        <v>0.16650000000000001</v>
      </c>
      <c r="G233">
        <v>0.2152</v>
      </c>
      <c r="I233" s="71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4">
        <f t="shared" si="80"/>
        <v>3.1982685342211381</v>
      </c>
      <c r="P233" s="74">
        <f t="shared" si="81"/>
        <v>4.1337380694557888</v>
      </c>
      <c r="Q233" s="74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235</v>
      </c>
      <c r="C234">
        <v>5</v>
      </c>
      <c r="D234" t="s">
        <v>241</v>
      </c>
      <c r="E234">
        <v>1</v>
      </c>
      <c r="F234">
        <v>0.40610000000000002</v>
      </c>
      <c r="G234">
        <v>0.30759999999999998</v>
      </c>
      <c r="I234" s="71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4">
        <f t="shared" si="80"/>
        <v>4.3893788765642316</v>
      </c>
      <c r="P234" s="74">
        <f t="shared" si="81"/>
        <v>3.3247302202195459</v>
      </c>
      <c r="Q234" s="74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233</v>
      </c>
      <c r="C235">
        <v>0</v>
      </c>
      <c r="D235" t="s">
        <v>241</v>
      </c>
      <c r="E235">
        <v>2</v>
      </c>
      <c r="F235">
        <v>-0.14399999999999999</v>
      </c>
      <c r="G235">
        <v>0.18920000000000001</v>
      </c>
      <c r="I235" s="71" t="s">
        <v>87</v>
      </c>
      <c r="J235" s="71" t="s">
        <v>87</v>
      </c>
      <c r="K235" s="71" t="s">
        <v>87</v>
      </c>
      <c r="O235" s="74" t="s">
        <v>87</v>
      </c>
      <c r="P235" s="74" t="s">
        <v>87</v>
      </c>
      <c r="Q235" s="74" t="s">
        <v>87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241</v>
      </c>
      <c r="E236">
        <v>2</v>
      </c>
      <c r="F236">
        <v>-6.6900000000000001E-2</v>
      </c>
      <c r="G236">
        <v>0.18720000000000001</v>
      </c>
      <c r="I236" s="71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4">
        <f t="shared" ref="O236:O239" si="86">J236</f>
        <v>1.2455640711427574</v>
      </c>
      <c r="P236" s="74">
        <f t="shared" ref="P236:P239" si="87">IF(K236&gt;0,J236/K236,-J236/K236)</f>
        <v>3.485345203556415</v>
      </c>
      <c r="Q236" s="74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241</v>
      </c>
      <c r="E237">
        <v>2</v>
      </c>
      <c r="F237">
        <v>0.13669999999999999</v>
      </c>
      <c r="G237">
        <v>0.18740000000000001</v>
      </c>
      <c r="I237" s="71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4">
        <f t="shared" si="86"/>
        <v>3.1368104442244027</v>
      </c>
      <c r="P237" s="74">
        <f t="shared" si="87"/>
        <v>4.3002068562374038</v>
      </c>
      <c r="Q237" s="74">
        <f t="shared" si="88"/>
        <v>0.72945570971184626</v>
      </c>
    </row>
    <row r="238" spans="2:22" x14ac:dyDescent="0.25">
      <c r="B238" t="s">
        <v>234</v>
      </c>
      <c r="C238">
        <v>4</v>
      </c>
      <c r="D238" t="s">
        <v>241</v>
      </c>
      <c r="E238">
        <v>2</v>
      </c>
      <c r="F238">
        <v>0.55030000000000001</v>
      </c>
      <c r="G238">
        <v>0.1885</v>
      </c>
      <c r="I238" s="71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4">
        <f t="shared" si="86"/>
        <v>9.0389433100003913</v>
      </c>
      <c r="P238" s="74">
        <f t="shared" si="87"/>
        <v>3.0962035506724948</v>
      </c>
      <c r="Q238" s="74">
        <f t="shared" si="88"/>
        <v>2.9193633952254641</v>
      </c>
    </row>
    <row r="239" spans="2:22" x14ac:dyDescent="0.25">
      <c r="B239" t="s">
        <v>235</v>
      </c>
      <c r="C239">
        <v>5</v>
      </c>
      <c r="D239" t="s">
        <v>241</v>
      </c>
      <c r="E239">
        <v>2</v>
      </c>
      <c r="F239">
        <v>1.2347999999999999</v>
      </c>
      <c r="G239">
        <v>0.2263</v>
      </c>
      <c r="I239" s="71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4">
        <f t="shared" si="86"/>
        <v>10.992645544450763</v>
      </c>
      <c r="P239" s="74">
        <f t="shared" si="87"/>
        <v>2.0146061602763266</v>
      </c>
      <c r="Q239" s="74">
        <f t="shared" si="88"/>
        <v>5.4564737074679623</v>
      </c>
    </row>
    <row r="242" spans="1:11" x14ac:dyDescent="0.25">
      <c r="A242" s="76" t="s">
        <v>249</v>
      </c>
    </row>
    <row r="243" spans="1:11" x14ac:dyDescent="0.25">
      <c r="C243" t="s">
        <v>250</v>
      </c>
    </row>
    <row r="245" spans="1:11" x14ac:dyDescent="0.25">
      <c r="D245" t="s">
        <v>252</v>
      </c>
      <c r="E245" t="s">
        <v>253</v>
      </c>
      <c r="F245" t="s">
        <v>254</v>
      </c>
      <c r="G245" t="s">
        <v>255</v>
      </c>
      <c r="H245" t="s">
        <v>256</v>
      </c>
      <c r="J245" t="s">
        <v>257</v>
      </c>
      <c r="K245" t="s">
        <v>258</v>
      </c>
    </row>
    <row r="246" spans="1:11" x14ac:dyDescent="0.25">
      <c r="C246" t="s">
        <v>251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3">
        <f>SUM(H246:H249)</f>
        <v>1.0002249999999999</v>
      </c>
      <c r="J250" t="s">
        <v>259</v>
      </c>
      <c r="K250">
        <f>SUM(K246:K249)</f>
        <v>7.0203000000000007</v>
      </c>
    </row>
    <row r="253" spans="1:11" x14ac:dyDescent="0.25">
      <c r="A253" s="76" t="s">
        <v>260</v>
      </c>
    </row>
    <row r="255" spans="1:11" x14ac:dyDescent="0.25">
      <c r="C255" t="s">
        <v>261</v>
      </c>
    </row>
    <row r="257" spans="2:19" x14ac:dyDescent="0.25">
      <c r="C257" t="s">
        <v>268</v>
      </c>
      <c r="D257" t="s">
        <v>271</v>
      </c>
      <c r="E257" t="s">
        <v>216</v>
      </c>
      <c r="F257" t="s">
        <v>269</v>
      </c>
      <c r="G257" t="s">
        <v>155</v>
      </c>
      <c r="H257" s="73" t="s">
        <v>160</v>
      </c>
      <c r="J257" t="s">
        <v>161</v>
      </c>
      <c r="K257" t="s">
        <v>163</v>
      </c>
      <c r="L257" t="s">
        <v>270</v>
      </c>
      <c r="M257" t="s">
        <v>229</v>
      </c>
      <c r="Q257" t="s">
        <v>161</v>
      </c>
      <c r="R257" t="s">
        <v>160</v>
      </c>
      <c r="S257" t="s">
        <v>162</v>
      </c>
    </row>
    <row r="258" spans="2:19" x14ac:dyDescent="0.25">
      <c r="B258" t="s">
        <v>262</v>
      </c>
      <c r="C258">
        <v>0</v>
      </c>
      <c r="D258">
        <v>0.7</v>
      </c>
      <c r="E258">
        <f>D258</f>
        <v>0.7</v>
      </c>
      <c r="F258" t="s">
        <v>157</v>
      </c>
      <c r="G258">
        <v>1.0999999999999999E-2</v>
      </c>
      <c r="H258">
        <v>0.03</v>
      </c>
      <c r="J258" s="84" t="s">
        <v>87</v>
      </c>
      <c r="K258" t="s">
        <v>87</v>
      </c>
      <c r="L258" t="s">
        <v>87</v>
      </c>
      <c r="M258" t="s">
        <v>87</v>
      </c>
      <c r="Q258" s="74" t="s">
        <v>87</v>
      </c>
      <c r="R258" s="74" t="s">
        <v>87</v>
      </c>
      <c r="S258" s="74" t="s">
        <v>87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157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4">
        <f t="shared" ref="Q259:Q264" si="93">K259</f>
        <v>2.7769996967160537</v>
      </c>
      <c r="R259" s="74">
        <f t="shared" ref="R259:R264" si="94">Q259/S259</f>
        <v>0.40838230834059608</v>
      </c>
      <c r="S259" s="74">
        <f t="shared" ref="S259:S264" si="95">M259</f>
        <v>6.8000000000000007</v>
      </c>
    </row>
    <row r="260" spans="2:19" x14ac:dyDescent="0.25">
      <c r="B260" t="s">
        <v>263</v>
      </c>
      <c r="C260">
        <v>8</v>
      </c>
      <c r="D260">
        <v>7.9</v>
      </c>
      <c r="E260">
        <f t="shared" ref="E260:E264" si="96">D260-D259</f>
        <v>2.9000000000000004</v>
      </c>
      <c r="F260" t="s">
        <v>157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4">
        <f t="shared" si="93"/>
        <v>4.4633839671773368</v>
      </c>
      <c r="R260" s="74">
        <f t="shared" si="94"/>
        <v>0.32940103078799532</v>
      </c>
      <c r="S260" s="74">
        <f t="shared" si="95"/>
        <v>13.55</v>
      </c>
    </row>
    <row r="261" spans="2:19" x14ac:dyDescent="0.25">
      <c r="B261" t="s">
        <v>264</v>
      </c>
      <c r="C261">
        <v>10</v>
      </c>
      <c r="D261">
        <v>9.8000000000000007</v>
      </c>
      <c r="E261">
        <f t="shared" si="96"/>
        <v>1.9000000000000004</v>
      </c>
      <c r="F261" t="s">
        <v>157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4">
        <f t="shared" si="93"/>
        <v>13.075934214887063</v>
      </c>
      <c r="R261" s="74">
        <f t="shared" si="94"/>
        <v>0.48973536385344807</v>
      </c>
      <c r="S261" s="74">
        <f t="shared" si="95"/>
        <v>26.7</v>
      </c>
    </row>
    <row r="262" spans="2:19" x14ac:dyDescent="0.25">
      <c r="B262" t="s">
        <v>265</v>
      </c>
      <c r="C262">
        <v>12</v>
      </c>
      <c r="D262">
        <v>11.7</v>
      </c>
      <c r="E262">
        <f t="shared" si="96"/>
        <v>1.8999999999999986</v>
      </c>
      <c r="F262" t="s">
        <v>157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4">
        <f t="shared" si="93"/>
        <v>11.415729668510144</v>
      </c>
      <c r="R262" s="74">
        <f t="shared" si="94"/>
        <v>0.44943817592559621</v>
      </c>
      <c r="S262" s="74">
        <f t="shared" si="95"/>
        <v>25.400000000000002</v>
      </c>
    </row>
    <row r="263" spans="2:19" x14ac:dyDescent="0.25">
      <c r="B263" t="s">
        <v>266</v>
      </c>
      <c r="C263">
        <v>14</v>
      </c>
      <c r="D263">
        <v>13.55</v>
      </c>
      <c r="E263">
        <f t="shared" si="96"/>
        <v>1.8500000000000014</v>
      </c>
      <c r="F263" t="s">
        <v>157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4">
        <f t="shared" si="93"/>
        <v>15.619533555641452</v>
      </c>
      <c r="R263" s="74">
        <f t="shared" si="94"/>
        <v>0.43793084735443316</v>
      </c>
      <c r="S263" s="74">
        <f t="shared" si="95"/>
        <v>35.666666666666671</v>
      </c>
    </row>
    <row r="264" spans="2:19" x14ac:dyDescent="0.25">
      <c r="B264" t="s">
        <v>267</v>
      </c>
      <c r="C264">
        <v>16</v>
      </c>
      <c r="D264">
        <v>15.42</v>
      </c>
      <c r="E264">
        <f t="shared" si="96"/>
        <v>1.8699999999999992</v>
      </c>
      <c r="F264" t="s">
        <v>157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4">
        <f t="shared" si="93"/>
        <v>15.109416852657521</v>
      </c>
      <c r="R264" s="74">
        <f t="shared" si="94"/>
        <v>0.3306218129684359</v>
      </c>
      <c r="S264" s="74">
        <f t="shared" si="95"/>
        <v>45.7</v>
      </c>
    </row>
    <row r="265" spans="2:19" x14ac:dyDescent="0.25">
      <c r="B265" t="s">
        <v>262</v>
      </c>
      <c r="C265">
        <v>0</v>
      </c>
      <c r="D265">
        <v>0.7</v>
      </c>
      <c r="E265">
        <f>D265</f>
        <v>0.7</v>
      </c>
      <c r="F265" t="s">
        <v>159</v>
      </c>
      <c r="G265">
        <v>0.33400000000000002</v>
      </c>
      <c r="H265">
        <v>0.14000000000000001</v>
      </c>
      <c r="J265" s="84" t="s">
        <v>87</v>
      </c>
      <c r="K265" t="s">
        <v>87</v>
      </c>
      <c r="L265" t="s">
        <v>87</v>
      </c>
      <c r="M265" t="s">
        <v>87</v>
      </c>
      <c r="Q265" s="74" t="s">
        <v>87</v>
      </c>
      <c r="R265" s="74" t="s">
        <v>87</v>
      </c>
      <c r="S265" s="74" t="s">
        <v>87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159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4">
        <f t="shared" ref="Q266:Q271" si="101">K266</f>
        <v>0.18547806908248976</v>
      </c>
      <c r="R266" s="74">
        <f t="shared" ref="R266:R271" si="102">Q266/S266</f>
        <v>7.050335959275926E-2</v>
      </c>
      <c r="S266" s="74">
        <f t="shared" ref="S266:S271" si="103">M266</f>
        <v>2.6307692307692307</v>
      </c>
    </row>
    <row r="267" spans="2:19" x14ac:dyDescent="0.25">
      <c r="B267" t="s">
        <v>263</v>
      </c>
      <c r="C267">
        <v>8</v>
      </c>
      <c r="D267">
        <v>7.9</v>
      </c>
      <c r="E267">
        <f t="shared" ref="E267:E271" si="104">D267-D266</f>
        <v>2.9000000000000004</v>
      </c>
      <c r="F267" t="s">
        <v>159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4">
        <f t="shared" si="101"/>
        <v>17.998457404788315</v>
      </c>
      <c r="R267" s="74">
        <f t="shared" si="102"/>
        <v>2.6302547355640549</v>
      </c>
      <c r="S267" s="74">
        <f t="shared" si="103"/>
        <v>6.8428571428571416</v>
      </c>
    </row>
    <row r="268" spans="2:19" x14ac:dyDescent="0.25">
      <c r="B268" t="s">
        <v>264</v>
      </c>
      <c r="C268">
        <v>10</v>
      </c>
      <c r="D268">
        <v>9.8000000000000007</v>
      </c>
      <c r="E268">
        <f t="shared" si="104"/>
        <v>1.9000000000000004</v>
      </c>
      <c r="F268" t="s">
        <v>159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4">
        <f t="shared" si="101"/>
        <v>25.814803615404159</v>
      </c>
      <c r="R268" s="74">
        <f t="shared" si="102"/>
        <v>2.0583232118594679</v>
      </c>
      <c r="S268" s="74">
        <f t="shared" si="103"/>
        <v>12.541666666666666</v>
      </c>
    </row>
    <row r="269" spans="2:19" x14ac:dyDescent="0.25">
      <c r="B269" t="s">
        <v>265</v>
      </c>
      <c r="C269">
        <v>12</v>
      </c>
      <c r="D269">
        <v>11.7</v>
      </c>
      <c r="E269">
        <f t="shared" si="104"/>
        <v>1.8999999999999986</v>
      </c>
      <c r="F269" t="s">
        <v>159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4">
        <f t="shared" si="101"/>
        <v>16.561693659668308</v>
      </c>
      <c r="R269" s="74">
        <f t="shared" si="102"/>
        <v>1.0783522730115012</v>
      </c>
      <c r="S269" s="74">
        <f t="shared" si="103"/>
        <v>15.358333333333334</v>
      </c>
    </row>
    <row r="270" spans="2:19" x14ac:dyDescent="0.25">
      <c r="B270" t="s">
        <v>266</v>
      </c>
      <c r="C270">
        <v>14</v>
      </c>
      <c r="D270">
        <v>13.55</v>
      </c>
      <c r="E270">
        <f t="shared" si="104"/>
        <v>1.8500000000000014</v>
      </c>
      <c r="F270" t="s">
        <v>159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4">
        <f t="shared" si="101"/>
        <v>22.289111751969436</v>
      </c>
      <c r="R270" s="74">
        <f t="shared" si="102"/>
        <v>1.0687891424222484</v>
      </c>
      <c r="S270" s="74">
        <f t="shared" si="103"/>
        <v>20.854545454545455</v>
      </c>
    </row>
    <row r="271" spans="2:19" x14ac:dyDescent="0.25">
      <c r="B271" t="s">
        <v>267</v>
      </c>
      <c r="C271">
        <v>16</v>
      </c>
      <c r="D271">
        <v>15.42</v>
      </c>
      <c r="E271">
        <f t="shared" si="104"/>
        <v>1.8699999999999992</v>
      </c>
      <c r="F271" t="s">
        <v>159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4">
        <f t="shared" si="101"/>
        <v>29.217759563620561</v>
      </c>
      <c r="R271" s="74">
        <f t="shared" si="102"/>
        <v>1.1048310594700108</v>
      </c>
      <c r="S271" s="74">
        <f t="shared" si="103"/>
        <v>26.445454545454545</v>
      </c>
    </row>
    <row r="273" spans="2:19" x14ac:dyDescent="0.25">
      <c r="C273" t="s">
        <v>272</v>
      </c>
    </row>
    <row r="275" spans="2:19" x14ac:dyDescent="0.25">
      <c r="C275" t="s">
        <v>268</v>
      </c>
      <c r="D275" t="s">
        <v>271</v>
      </c>
      <c r="E275" t="s">
        <v>216</v>
      </c>
      <c r="F275" t="s">
        <v>269</v>
      </c>
      <c r="G275" t="s">
        <v>155</v>
      </c>
      <c r="H275" s="73" t="s">
        <v>160</v>
      </c>
      <c r="J275" t="s">
        <v>161</v>
      </c>
      <c r="K275" t="s">
        <v>163</v>
      </c>
      <c r="L275" t="s">
        <v>270</v>
      </c>
      <c r="M275" t="s">
        <v>229</v>
      </c>
      <c r="Q275" t="s">
        <v>161</v>
      </c>
      <c r="R275" t="s">
        <v>160</v>
      </c>
      <c r="S275" t="s">
        <v>162</v>
      </c>
    </row>
    <row r="276" spans="2:19" x14ac:dyDescent="0.25">
      <c r="B276" t="s">
        <v>262</v>
      </c>
      <c r="C276">
        <v>0</v>
      </c>
      <c r="D276">
        <v>0.7</v>
      </c>
      <c r="E276">
        <f>D276</f>
        <v>0.7</v>
      </c>
      <c r="F276" t="s">
        <v>157</v>
      </c>
      <c r="G276">
        <v>0.02</v>
      </c>
      <c r="H276">
        <v>0.02</v>
      </c>
      <c r="J276" s="84" t="s">
        <v>87</v>
      </c>
      <c r="K276" t="s">
        <v>87</v>
      </c>
      <c r="L276" t="s">
        <v>87</v>
      </c>
      <c r="M276" t="s">
        <v>87</v>
      </c>
      <c r="Q276" s="74" t="s">
        <v>87</v>
      </c>
      <c r="R276" s="74" t="s">
        <v>87</v>
      </c>
      <c r="S276" s="74" t="s">
        <v>87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157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4">
        <f t="shared" ref="Q277:Q282" si="108">K277</f>
        <v>2.8618675580692976</v>
      </c>
      <c r="R277" s="74">
        <f t="shared" ref="R277:R282" si="109">Q277/S277</f>
        <v>0.38414329638514066</v>
      </c>
      <c r="S277" s="74">
        <f t="shared" ref="S277:S282" si="110">M277</f>
        <v>7.4499999999999993</v>
      </c>
    </row>
    <row r="278" spans="2:19" x14ac:dyDescent="0.25">
      <c r="B278" t="s">
        <v>263</v>
      </c>
      <c r="C278">
        <v>8</v>
      </c>
      <c r="D278">
        <v>7.9</v>
      </c>
      <c r="E278">
        <f t="shared" ref="E278:E282" si="111">D278-D277</f>
        <v>2.9000000000000004</v>
      </c>
      <c r="F278" t="s">
        <v>157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4">
        <f t="shared" si="108"/>
        <v>4.4316374840892347</v>
      </c>
      <c r="R278" s="74">
        <f t="shared" si="109"/>
        <v>0.31318992820418623</v>
      </c>
      <c r="S278" s="74">
        <f t="shared" si="110"/>
        <v>14.149999999999999</v>
      </c>
    </row>
    <row r="279" spans="2:19" x14ac:dyDescent="0.25">
      <c r="B279" t="s">
        <v>264</v>
      </c>
      <c r="C279">
        <v>10</v>
      </c>
      <c r="D279">
        <v>9.8000000000000007</v>
      </c>
      <c r="E279">
        <f t="shared" si="111"/>
        <v>1.9000000000000004</v>
      </c>
      <c r="F279" t="s">
        <v>157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4">
        <f t="shared" si="108"/>
        <v>12.461862071858331</v>
      </c>
      <c r="R279" s="74">
        <f t="shared" si="109"/>
        <v>0.46761208524796732</v>
      </c>
      <c r="S279" s="74">
        <f t="shared" si="110"/>
        <v>26.650000000000002</v>
      </c>
    </row>
    <row r="280" spans="2:19" x14ac:dyDescent="0.25">
      <c r="B280" t="s">
        <v>265</v>
      </c>
      <c r="C280">
        <v>12</v>
      </c>
      <c r="D280">
        <v>11.7</v>
      </c>
      <c r="E280">
        <f t="shared" si="111"/>
        <v>1.8999999999999986</v>
      </c>
      <c r="F280" t="s">
        <v>157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4">
        <f t="shared" si="108"/>
        <v>10.023075465215992</v>
      </c>
      <c r="R280" s="74">
        <f t="shared" si="109"/>
        <v>0.4107817813613111</v>
      </c>
      <c r="S280" s="74">
        <f t="shared" si="110"/>
        <v>24.400000000000002</v>
      </c>
    </row>
    <row r="281" spans="2:19" x14ac:dyDescent="0.25">
      <c r="B281" t="s">
        <v>266</v>
      </c>
      <c r="C281">
        <v>14</v>
      </c>
      <c r="D281">
        <v>13.55</v>
      </c>
      <c r="E281">
        <f t="shared" si="111"/>
        <v>1.8500000000000014</v>
      </c>
      <c r="F281" t="s">
        <v>157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4">
        <f t="shared" si="108"/>
        <v>13.257758507094074</v>
      </c>
      <c r="R281" s="74">
        <f t="shared" si="109"/>
        <v>0.40134485894331207</v>
      </c>
      <c r="S281" s="74">
        <f t="shared" si="110"/>
        <v>33.033333333333331</v>
      </c>
    </row>
    <row r="282" spans="2:19" x14ac:dyDescent="0.25">
      <c r="B282" t="s">
        <v>267</v>
      </c>
      <c r="C282">
        <v>16</v>
      </c>
      <c r="D282">
        <v>15.42</v>
      </c>
      <c r="E282">
        <f t="shared" si="111"/>
        <v>1.8699999999999992</v>
      </c>
      <c r="F282" t="s">
        <v>157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4">
        <f t="shared" si="108"/>
        <v>12.91474433343347</v>
      </c>
      <c r="R282" s="74">
        <f t="shared" si="109"/>
        <v>0.31094890048395196</v>
      </c>
      <c r="S282" s="74">
        <f t="shared" si="110"/>
        <v>41.533333333333331</v>
      </c>
    </row>
    <row r="283" spans="2:19" x14ac:dyDescent="0.25">
      <c r="B283" t="s">
        <v>262</v>
      </c>
      <c r="C283">
        <v>0</v>
      </c>
      <c r="D283">
        <v>0.7</v>
      </c>
      <c r="E283">
        <f>D283</f>
        <v>0.7</v>
      </c>
      <c r="F283" t="s">
        <v>159</v>
      </c>
      <c r="G283">
        <v>0.33400000000000002</v>
      </c>
      <c r="H283">
        <v>0.13</v>
      </c>
      <c r="J283" s="84" t="s">
        <v>87</v>
      </c>
      <c r="K283" t="s">
        <v>87</v>
      </c>
      <c r="L283" t="s">
        <v>87</v>
      </c>
      <c r="M283" t="s">
        <v>87</v>
      </c>
      <c r="Q283" s="74" t="s">
        <v>87</v>
      </c>
      <c r="R283" s="74" t="s">
        <v>87</v>
      </c>
      <c r="S283" s="74" t="s">
        <v>87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159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4">
        <f t="shared" ref="Q284:Q289" si="115">K284</f>
        <v>0.20858331137321162</v>
      </c>
      <c r="R284" s="74">
        <f t="shared" ref="R284:R289" si="116">Q284/S284</f>
        <v>7.2973753250103177E-2</v>
      </c>
      <c r="S284" s="74">
        <f t="shared" ref="S284:S289" si="117">M284</f>
        <v>2.8583333333333338</v>
      </c>
    </row>
    <row r="285" spans="2:19" x14ac:dyDescent="0.25">
      <c r="B285" t="s">
        <v>263</v>
      </c>
      <c r="C285">
        <v>8</v>
      </c>
      <c r="D285">
        <v>7.9</v>
      </c>
      <c r="E285">
        <f t="shared" ref="E285:E289" si="118">D285-D284</f>
        <v>2.9000000000000004</v>
      </c>
      <c r="F285" t="s">
        <v>159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4">
        <f t="shared" si="115"/>
        <v>17.973273386022946</v>
      </c>
      <c r="R285" s="74">
        <f t="shared" si="116"/>
        <v>2.6265743987924979</v>
      </c>
      <c r="S285" s="74">
        <f t="shared" si="117"/>
        <v>6.8428571428571416</v>
      </c>
    </row>
    <row r="286" spans="2:19" x14ac:dyDescent="0.25">
      <c r="B286" t="s">
        <v>264</v>
      </c>
      <c r="C286">
        <v>10</v>
      </c>
      <c r="D286">
        <v>9.8000000000000007</v>
      </c>
      <c r="E286">
        <f t="shared" si="118"/>
        <v>1.9000000000000004</v>
      </c>
      <c r="F286" t="s">
        <v>159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4">
        <f t="shared" si="115"/>
        <v>25.771992717677406</v>
      </c>
      <c r="R286" s="74">
        <f t="shared" si="116"/>
        <v>1.7135633455902533</v>
      </c>
      <c r="S286" s="74">
        <f t="shared" si="117"/>
        <v>15.04</v>
      </c>
    </row>
    <row r="287" spans="2:19" x14ac:dyDescent="0.25">
      <c r="B287" t="s">
        <v>265</v>
      </c>
      <c r="C287">
        <v>12</v>
      </c>
      <c r="D287">
        <v>11.7</v>
      </c>
      <c r="E287">
        <f t="shared" si="118"/>
        <v>1.8999999999999986</v>
      </c>
      <c r="F287" t="s">
        <v>159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4">
        <f t="shared" si="115"/>
        <v>16.561693659668308</v>
      </c>
      <c r="R287" s="74">
        <f t="shared" si="116"/>
        <v>1.3486721221228262</v>
      </c>
      <c r="S287" s="74">
        <f t="shared" si="117"/>
        <v>12.280000000000001</v>
      </c>
    </row>
    <row r="288" spans="2:19" x14ac:dyDescent="0.25">
      <c r="B288" t="s">
        <v>266</v>
      </c>
      <c r="C288">
        <v>14</v>
      </c>
      <c r="D288">
        <v>13.55</v>
      </c>
      <c r="E288">
        <f t="shared" si="118"/>
        <v>1.8500000000000014</v>
      </c>
      <c r="F288" t="s">
        <v>159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4">
        <f t="shared" si="115"/>
        <v>22.289111751969436</v>
      </c>
      <c r="R288" s="74">
        <f t="shared" si="116"/>
        <v>1.7496904122784553</v>
      </c>
      <c r="S288" s="74">
        <f t="shared" si="117"/>
        <v>12.738888888888891</v>
      </c>
    </row>
    <row r="289" spans="1:19" x14ac:dyDescent="0.25">
      <c r="B289" t="s">
        <v>267</v>
      </c>
      <c r="C289">
        <v>16</v>
      </c>
      <c r="D289">
        <v>15.42</v>
      </c>
      <c r="E289">
        <f t="shared" si="118"/>
        <v>1.8699999999999992</v>
      </c>
      <c r="F289" t="s">
        <v>159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4">
        <f t="shared" si="115"/>
        <v>29.217759563620561</v>
      </c>
      <c r="R289" s="74">
        <f t="shared" si="116"/>
        <v>2.8132643321230253</v>
      </c>
      <c r="S289" s="74">
        <f t="shared" si="117"/>
        <v>10.385714285714284</v>
      </c>
    </row>
    <row r="292" spans="1:19" x14ac:dyDescent="0.25">
      <c r="A292" s="76" t="s">
        <v>276</v>
      </c>
    </row>
    <row r="293" spans="1:19" x14ac:dyDescent="0.25">
      <c r="G293" t="s">
        <v>283</v>
      </c>
    </row>
    <row r="294" spans="1:19" x14ac:dyDescent="0.25">
      <c r="C294" t="s">
        <v>277</v>
      </c>
      <c r="D294" t="s">
        <v>278</v>
      </c>
      <c r="H294" t="s">
        <v>279</v>
      </c>
      <c r="I294" t="s">
        <v>280</v>
      </c>
      <c r="J294" t="s">
        <v>287</v>
      </c>
      <c r="K294" t="s">
        <v>286</v>
      </c>
    </row>
    <row r="295" spans="1:19" x14ac:dyDescent="0.25">
      <c r="C295" t="s">
        <v>281</v>
      </c>
      <c r="D295" t="s">
        <v>279</v>
      </c>
      <c r="E295">
        <v>9065</v>
      </c>
      <c r="G295" t="s">
        <v>197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282</v>
      </c>
      <c r="D296" t="s">
        <v>279</v>
      </c>
      <c r="E296">
        <v>55135</v>
      </c>
      <c r="G296" t="s">
        <v>284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281</v>
      </c>
      <c r="D297" t="s">
        <v>280</v>
      </c>
      <c r="E297">
        <v>3135</v>
      </c>
      <c r="G297" t="s">
        <v>285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282</v>
      </c>
      <c r="D298" t="s">
        <v>280</v>
      </c>
      <c r="E298">
        <v>24826</v>
      </c>
      <c r="G298" t="s">
        <v>199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6" t="s">
        <v>288</v>
      </c>
    </row>
    <row r="304" spans="1:19" x14ac:dyDescent="0.25">
      <c r="C304" s="77" t="s">
        <v>290</v>
      </c>
    </row>
    <row r="306" spans="3:20" x14ac:dyDescent="0.25">
      <c r="D306" t="s">
        <v>216</v>
      </c>
      <c r="E306" t="s">
        <v>36</v>
      </c>
      <c r="F306" t="s">
        <v>171</v>
      </c>
      <c r="G306" t="s">
        <v>155</v>
      </c>
      <c r="H306" s="73" t="s">
        <v>160</v>
      </c>
      <c r="K306" t="s">
        <v>161</v>
      </c>
      <c r="L306" t="s">
        <v>163</v>
      </c>
      <c r="M306" t="s">
        <v>229</v>
      </c>
      <c r="R306" t="s">
        <v>161</v>
      </c>
      <c r="S306" t="s">
        <v>160</v>
      </c>
      <c r="T306" t="s">
        <v>162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4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4">
        <f t="shared" ref="R307:R309" si="122">L307</f>
        <v>0.53426072862545748</v>
      </c>
      <c r="S307" s="74">
        <f t="shared" ref="S307:S309" si="123">R307/T307</f>
        <v>0.93000941649616686</v>
      </c>
      <c r="T307" s="74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4">
        <f t="shared" si="122"/>
        <v>5.8058332763509357</v>
      </c>
      <c r="S308" s="74">
        <f t="shared" si="123"/>
        <v>1.3636957230498712</v>
      </c>
      <c r="T308" s="74">
        <f>M308</f>
        <v>4.2574257425742568</v>
      </c>
    </row>
    <row r="309" spans="3:20" x14ac:dyDescent="0.25">
      <c r="C309" t="s">
        <v>234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4">
        <f t="shared" si="122"/>
        <v>3.7827794135901316</v>
      </c>
      <c r="S309" s="74">
        <f t="shared" si="123"/>
        <v>0.25059421982773744</v>
      </c>
      <c r="T309" s="74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4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4">
        <f t="shared" ref="R310:R324" si="127">L310</f>
        <v>2.8882691843426622</v>
      </c>
      <c r="S310" s="74">
        <f t="shared" ref="S310:S324" si="128">R310/T310</f>
        <v>0.75510305473010786</v>
      </c>
      <c r="T310" s="74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4">
        <f t="shared" si="127"/>
        <v>5.1029684358929073</v>
      </c>
      <c r="S311" s="74">
        <f t="shared" si="128"/>
        <v>0.99818544254990993</v>
      </c>
      <c r="T311" s="74">
        <f t="shared" si="129"/>
        <v>5.1122448979591839</v>
      </c>
    </row>
    <row r="312" spans="3:20" x14ac:dyDescent="0.25">
      <c r="C312" t="s">
        <v>234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4">
        <f t="shared" si="127"/>
        <v>2.6371879666879705</v>
      </c>
      <c r="S312" s="74">
        <f t="shared" si="128"/>
        <v>0.1607036417200482</v>
      </c>
      <c r="T312" s="74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4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4">
        <f t="shared" si="127"/>
        <v>1.3623697910505994</v>
      </c>
      <c r="S313" s="74">
        <f t="shared" si="128"/>
        <v>0.79795944904392246</v>
      </c>
      <c r="T313" s="74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4">
        <f t="shared" si="127"/>
        <v>4.6032590966232689</v>
      </c>
      <c r="S314" s="74">
        <f t="shared" si="128"/>
        <v>1.5384576454504082</v>
      </c>
      <c r="T314" s="74">
        <f t="shared" si="129"/>
        <v>2.9921259842519685</v>
      </c>
    </row>
    <row r="315" spans="3:20" x14ac:dyDescent="0.25">
      <c r="C315" t="s">
        <v>234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4">
        <f t="shared" si="127"/>
        <v>6.0755280859349448</v>
      </c>
      <c r="S315" s="74">
        <f t="shared" si="128"/>
        <v>0.32772558139898045</v>
      </c>
      <c r="T315" s="74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4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4">
        <f t="shared" si="127"/>
        <v>2.0538807778703427</v>
      </c>
      <c r="S316" s="74">
        <f t="shared" si="128"/>
        <v>1.1709039948606628</v>
      </c>
      <c r="T316" s="74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4">
        <f t="shared" si="127"/>
        <v>7.8648870451029085</v>
      </c>
      <c r="S317" s="74">
        <f t="shared" si="128"/>
        <v>0.9456315802029891</v>
      </c>
      <c r="T317" s="74">
        <f t="shared" si="129"/>
        <v>8.3170731707317067</v>
      </c>
    </row>
    <row r="318" spans="3:20" x14ac:dyDescent="0.25">
      <c r="C318" t="s">
        <v>234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4">
        <f t="shared" si="127"/>
        <v>9.745977902720405</v>
      </c>
      <c r="S318" s="74">
        <f t="shared" si="128"/>
        <v>1.0097873494184408</v>
      </c>
      <c r="T318" s="74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4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4">
        <f t="shared" si="127"/>
        <v>4.6140978438483859</v>
      </c>
      <c r="S319" s="74">
        <f t="shared" si="128"/>
        <v>1.0577773713170213</v>
      </c>
      <c r="T319" s="74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4">
        <f t="shared" si="127"/>
        <v>6.4739236902311426</v>
      </c>
      <c r="S320" s="74">
        <f t="shared" si="128"/>
        <v>0.59268315473947086</v>
      </c>
      <c r="T320" s="74">
        <f t="shared" si="129"/>
        <v>10.923076923076922</v>
      </c>
    </row>
    <row r="321" spans="2:20" x14ac:dyDescent="0.25">
      <c r="C321" t="s">
        <v>234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4">
        <f t="shared" si="127"/>
        <v>8.490521329106592</v>
      </c>
      <c r="S321" s="74">
        <f t="shared" si="128"/>
        <v>0.92394791050459202</v>
      </c>
      <c r="T321" s="74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4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4">
        <f t="shared" si="127"/>
        <v>2.9595585437330874</v>
      </c>
      <c r="S322" s="74">
        <f t="shared" si="128"/>
        <v>0.52781935811800285</v>
      </c>
      <c r="T322" s="74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4">
        <f t="shared" si="127"/>
        <v>5.9686029727814338</v>
      </c>
      <c r="S323" s="74">
        <f t="shared" si="128"/>
        <v>0.3333251223891901</v>
      </c>
      <c r="T323" s="74">
        <f t="shared" si="129"/>
        <v>17.906249999999996</v>
      </c>
    </row>
    <row r="324" spans="2:20" x14ac:dyDescent="0.25">
      <c r="C324" t="s">
        <v>234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4">
        <f t="shared" si="127"/>
        <v>8.6632090658934402</v>
      </c>
      <c r="S324" s="74">
        <f t="shared" si="128"/>
        <v>0.28665029997441527</v>
      </c>
      <c r="T324" s="74">
        <f t="shared" si="129"/>
        <v>30.222222222222225</v>
      </c>
    </row>
    <row r="327" spans="2:20" x14ac:dyDescent="0.25">
      <c r="B327" s="77" t="s">
        <v>303</v>
      </c>
    </row>
    <row r="329" spans="2:20" x14ac:dyDescent="0.25">
      <c r="B329" s="25"/>
      <c r="C329" s="88" t="s">
        <v>304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308</v>
      </c>
    </row>
    <row r="330" spans="2:20" x14ac:dyDescent="0.25">
      <c r="B330" s="87"/>
      <c r="C330" s="89" t="s">
        <v>305</v>
      </c>
      <c r="D330" s="86">
        <v>1988</v>
      </c>
      <c r="E330" s="86">
        <v>1998</v>
      </c>
      <c r="F330" s="86">
        <v>2006</v>
      </c>
      <c r="G330" s="86">
        <v>1987</v>
      </c>
      <c r="H330" s="86">
        <v>2001</v>
      </c>
      <c r="I330" s="86">
        <v>2006</v>
      </c>
      <c r="J330" s="86">
        <v>1988</v>
      </c>
      <c r="K330" s="86">
        <v>1994</v>
      </c>
      <c r="L330" s="86">
        <v>2002</v>
      </c>
      <c r="N330" t="s">
        <v>311</v>
      </c>
      <c r="O330" t="s">
        <v>37</v>
      </c>
      <c r="P330" t="s">
        <v>38</v>
      </c>
      <c r="Q330" t="s">
        <v>39</v>
      </c>
      <c r="S330" t="s">
        <v>309</v>
      </c>
    </row>
    <row r="331" spans="2:20" x14ac:dyDescent="0.25">
      <c r="B331" s="25" t="s">
        <v>175</v>
      </c>
      <c r="C331" s="88" t="s">
        <v>291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4">
        <v>0.3407</v>
      </c>
      <c r="O331" s="74">
        <v>7.7300000000000008E-2</v>
      </c>
      <c r="P331" s="74">
        <v>0.35670000000000002</v>
      </c>
      <c r="Q331" s="74">
        <v>0.2253</v>
      </c>
      <c r="S331" s="74">
        <v>0.63229999999999997</v>
      </c>
    </row>
    <row r="332" spans="2:20" x14ac:dyDescent="0.25">
      <c r="B332" s="25"/>
      <c r="C332" s="88" t="s">
        <v>300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4">
        <v>0.19259999999999999</v>
      </c>
      <c r="O332" s="74">
        <v>0.11460000000000001</v>
      </c>
      <c r="P332" s="74">
        <v>0.44299999999999995</v>
      </c>
      <c r="Q332" s="74">
        <v>0.24989999999999998</v>
      </c>
      <c r="S332" s="74">
        <v>0.55189999999999995</v>
      </c>
    </row>
    <row r="333" spans="2:20" x14ac:dyDescent="0.25">
      <c r="B333" s="25"/>
      <c r="C333" s="88" t="s">
        <v>184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4">
        <v>0.13970000000000002</v>
      </c>
      <c r="O333" s="74">
        <v>9.8699999999999996E-2</v>
      </c>
      <c r="P333" s="74">
        <v>0.48859999999999998</v>
      </c>
      <c r="Q333" s="74">
        <v>0.27300000000000002</v>
      </c>
      <c r="S333" s="74">
        <v>0.43890000000000001</v>
      </c>
    </row>
    <row r="334" spans="2:20" x14ac:dyDescent="0.25">
      <c r="B334" s="25"/>
      <c r="C334" s="88" t="s">
        <v>299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4">
        <v>0.28729999999999994</v>
      </c>
      <c r="O334" s="74">
        <v>0.25640000000000002</v>
      </c>
      <c r="P334" s="74">
        <v>0.43579999999999997</v>
      </c>
      <c r="Q334" s="74">
        <v>2.06E-2</v>
      </c>
      <c r="S334" s="74">
        <v>0.66709999999999992</v>
      </c>
    </row>
    <row r="335" spans="2:20" x14ac:dyDescent="0.25">
      <c r="B335" s="25"/>
      <c r="C335" s="88" t="s">
        <v>298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4">
        <v>0.1116</v>
      </c>
      <c r="O335" s="74">
        <v>0.20399999999999999</v>
      </c>
      <c r="P335" s="74">
        <v>0.62340000000000007</v>
      </c>
      <c r="Q335" s="74">
        <v>6.0999999999999999E-2</v>
      </c>
      <c r="S335" s="74">
        <v>0.49</v>
      </c>
    </row>
    <row r="336" spans="2:20" x14ac:dyDescent="0.25">
      <c r="B336" s="25"/>
      <c r="C336" s="88" t="s">
        <v>301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4">
        <v>0.1016</v>
      </c>
      <c r="O336" s="74">
        <v>0.22159999999999999</v>
      </c>
      <c r="P336" s="74">
        <v>0.54919999999999991</v>
      </c>
      <c r="Q336" s="74">
        <v>0.12759999999999999</v>
      </c>
      <c r="S336" s="74">
        <v>0.35070000000000001</v>
      </c>
    </row>
    <row r="337" spans="2:20" x14ac:dyDescent="0.25">
      <c r="B337" s="25"/>
      <c r="C337" s="88" t="s">
        <v>302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4">
        <v>0.1018</v>
      </c>
      <c r="O337" s="74">
        <v>0.53220000000000001</v>
      </c>
      <c r="P337" s="74">
        <v>0.2636</v>
      </c>
      <c r="Q337" s="74">
        <v>0.1024</v>
      </c>
      <c r="S337" s="74">
        <v>0.22370000000000001</v>
      </c>
    </row>
    <row r="338" spans="2:20" x14ac:dyDescent="0.25">
      <c r="B338" s="87"/>
      <c r="C338" s="89" t="s">
        <v>297</v>
      </c>
      <c r="D338" s="86">
        <v>22.53</v>
      </c>
      <c r="E338" s="86">
        <v>24.99</v>
      </c>
      <c r="F338" s="86">
        <v>27.3</v>
      </c>
      <c r="G338" s="86">
        <v>2.06</v>
      </c>
      <c r="H338" s="86">
        <v>6.1</v>
      </c>
      <c r="I338" s="86">
        <v>12.76</v>
      </c>
      <c r="J338" s="86">
        <v>10.24</v>
      </c>
      <c r="K338" s="86">
        <v>11.52</v>
      </c>
      <c r="L338" s="86">
        <v>14.15</v>
      </c>
      <c r="N338" s="74">
        <v>4.2699999999999995E-2</v>
      </c>
      <c r="O338" s="74">
        <v>0.50719999999999998</v>
      </c>
      <c r="P338" s="74">
        <v>0.33500000000000002</v>
      </c>
      <c r="Q338" s="74">
        <v>0.1152</v>
      </c>
      <c r="S338" s="74">
        <v>0.1943</v>
      </c>
    </row>
    <row r="339" spans="2:20" x14ac:dyDescent="0.25">
      <c r="B339" s="25" t="s">
        <v>306</v>
      </c>
      <c r="C339" s="88" t="s">
        <v>307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4">
        <v>3.5000000000000003E-2</v>
      </c>
      <c r="O339" s="74">
        <v>0.44450000000000001</v>
      </c>
      <c r="P339" s="74">
        <v>0.37890000000000001</v>
      </c>
      <c r="Q339" s="74">
        <v>0.14150000000000001</v>
      </c>
      <c r="S339" s="74">
        <v>0.27929999999999999</v>
      </c>
    </row>
    <row r="340" spans="2:20" x14ac:dyDescent="0.25">
      <c r="B340" s="25"/>
      <c r="C340" s="88" t="s">
        <v>184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8" t="s">
        <v>285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7"/>
      <c r="C342" s="89" t="s">
        <v>199</v>
      </c>
      <c r="D342" s="86">
        <f>D338/100</f>
        <v>0.2253</v>
      </c>
      <c r="E342" s="86">
        <f t="shared" ref="E342:L342" si="143">E338/100</f>
        <v>0.24989999999999998</v>
      </c>
      <c r="F342" s="86">
        <f t="shared" si="143"/>
        <v>0.27300000000000002</v>
      </c>
      <c r="G342" s="86">
        <f t="shared" si="143"/>
        <v>2.06E-2</v>
      </c>
      <c r="H342" s="86">
        <f t="shared" si="143"/>
        <v>6.0999999999999999E-2</v>
      </c>
      <c r="I342" s="86">
        <f t="shared" si="143"/>
        <v>0.12759999999999999</v>
      </c>
      <c r="J342" s="86">
        <f t="shared" si="143"/>
        <v>0.1024</v>
      </c>
      <c r="K342" s="86">
        <f t="shared" si="143"/>
        <v>0.1152</v>
      </c>
      <c r="L342" s="86">
        <f t="shared" si="143"/>
        <v>0.14150000000000001</v>
      </c>
    </row>
    <row r="343" spans="2:20" ht="15.75" thickBot="1" x14ac:dyDescent="0.3">
      <c r="B343" s="90"/>
      <c r="C343" s="91" t="s">
        <v>259</v>
      </c>
      <c r="D343" s="92">
        <f>SUM(D339:D342)</f>
        <v>1</v>
      </c>
      <c r="E343" s="92">
        <f t="shared" ref="E343:L343" si="144">SUM(E339:E342)</f>
        <v>1.0001</v>
      </c>
      <c r="F343" s="92">
        <f t="shared" si="144"/>
        <v>1</v>
      </c>
      <c r="G343" s="92">
        <f t="shared" si="144"/>
        <v>1.0001</v>
      </c>
      <c r="H343" s="92">
        <f t="shared" si="144"/>
        <v>1</v>
      </c>
      <c r="I343" s="92">
        <f t="shared" si="144"/>
        <v>0.99999999999999978</v>
      </c>
      <c r="J343" s="92">
        <f t="shared" si="144"/>
        <v>1</v>
      </c>
      <c r="K343" s="92">
        <f t="shared" si="144"/>
        <v>1.0001</v>
      </c>
      <c r="L343" s="92">
        <f t="shared" si="144"/>
        <v>0.99990000000000001</v>
      </c>
    </row>
    <row r="344" spans="2:20" x14ac:dyDescent="0.25">
      <c r="B344" s="25" t="s">
        <v>175</v>
      </c>
      <c r="C344" s="88" t="s">
        <v>310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8" t="s">
        <v>309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8"/>
    </row>
    <row r="348" spans="2:20" x14ac:dyDescent="0.25">
      <c r="B348" s="77" t="s">
        <v>318</v>
      </c>
    </row>
    <row r="350" spans="2:20" x14ac:dyDescent="0.25">
      <c r="B350" t="s">
        <v>317</v>
      </c>
      <c r="D350">
        <v>1988</v>
      </c>
      <c r="I350">
        <v>1998</v>
      </c>
      <c r="N350">
        <v>2006</v>
      </c>
    </row>
    <row r="351" spans="2:20" x14ac:dyDescent="0.25">
      <c r="D351" t="s">
        <v>312</v>
      </c>
      <c r="E351" t="s">
        <v>313</v>
      </c>
      <c r="F351" t="s">
        <v>314</v>
      </c>
      <c r="G351" t="s">
        <v>315</v>
      </c>
      <c r="H351" t="s">
        <v>316</v>
      </c>
      <c r="I351" t="s">
        <v>312</v>
      </c>
      <c r="J351" t="s">
        <v>313</v>
      </c>
      <c r="K351" t="s">
        <v>314</v>
      </c>
      <c r="L351" t="s">
        <v>315</v>
      </c>
      <c r="M351" t="s">
        <v>316</v>
      </c>
      <c r="N351" t="s">
        <v>312</v>
      </c>
      <c r="O351" t="s">
        <v>313</v>
      </c>
      <c r="P351" t="s">
        <v>314</v>
      </c>
      <c r="Q351" t="s">
        <v>315</v>
      </c>
      <c r="R351" t="s">
        <v>316</v>
      </c>
    </row>
    <row r="352" spans="2:20" x14ac:dyDescent="0.25">
      <c r="C352" t="s">
        <v>291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321</v>
      </c>
    </row>
    <row r="353" spans="2:21" x14ac:dyDescent="0.25">
      <c r="C353" t="s">
        <v>292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323</v>
      </c>
      <c r="U353" t="s">
        <v>322</v>
      </c>
    </row>
    <row r="354" spans="2:21" x14ac:dyDescent="0.25">
      <c r="C354" t="s">
        <v>184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293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294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295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296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297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4">
        <f>AVERAGE(G352:G359)</f>
        <v>0.48413098436498614</v>
      </c>
      <c r="H360" s="74">
        <f>AVERAGE(H352:H359)</f>
        <v>0.51586901563501386</v>
      </c>
      <c r="L360" s="74">
        <f>AVERAGE(L352:L359)</f>
        <v>0.53349340353090169</v>
      </c>
      <c r="M360" s="74">
        <f>AVERAGE(M352:M359)</f>
        <v>0.46650659646909842</v>
      </c>
      <c r="Q360" s="74">
        <f>AVERAGE(Q352:Q359)</f>
        <v>0.56449223027244899</v>
      </c>
      <c r="R360" s="74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319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312</v>
      </c>
      <c r="E363" t="s">
        <v>313</v>
      </c>
      <c r="F363" t="s">
        <v>314</v>
      </c>
      <c r="G363" t="s">
        <v>315</v>
      </c>
      <c r="H363" t="s">
        <v>316</v>
      </c>
      <c r="I363" t="s">
        <v>312</v>
      </c>
      <c r="J363" t="s">
        <v>313</v>
      </c>
      <c r="K363" t="s">
        <v>314</v>
      </c>
      <c r="L363" t="s">
        <v>315</v>
      </c>
      <c r="M363" t="s">
        <v>316</v>
      </c>
      <c r="N363" t="s">
        <v>312</v>
      </c>
      <c r="O363" t="s">
        <v>313</v>
      </c>
      <c r="P363" t="s">
        <v>314</v>
      </c>
      <c r="Q363" t="s">
        <v>315</v>
      </c>
      <c r="R363" t="s">
        <v>316</v>
      </c>
    </row>
    <row r="364" spans="2:21" x14ac:dyDescent="0.25">
      <c r="C364" t="s">
        <v>291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292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184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293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294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295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296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297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4">
        <f>AVERAGE(G364:G371)</f>
        <v>0.37846764192817062</v>
      </c>
      <c r="H372" s="74">
        <f>AVERAGE(H364:H371)</f>
        <v>0.62153235807182938</v>
      </c>
      <c r="L372" s="74">
        <f>AVERAGE(L364:L371)</f>
        <v>0.48841181166617514</v>
      </c>
      <c r="M372" s="74">
        <f>AVERAGE(M364:M371)</f>
        <v>0.51158818833382491</v>
      </c>
      <c r="Q372" s="74">
        <f>AVERAGE(Q364:Q371)</f>
        <v>0.53735189619964752</v>
      </c>
      <c r="R372" s="74">
        <f>AVERAGE(R364:R371)</f>
        <v>0.46264810380035254</v>
      </c>
    </row>
    <row r="374" spans="2:18" x14ac:dyDescent="0.25">
      <c r="B374" t="s">
        <v>320</v>
      </c>
      <c r="D374">
        <v>1988</v>
      </c>
      <c r="I374">
        <v>1994</v>
      </c>
      <c r="N374">
        <v>2002</v>
      </c>
    </row>
    <row r="375" spans="2:18" x14ac:dyDescent="0.25">
      <c r="D375" t="s">
        <v>312</v>
      </c>
      <c r="E375" t="s">
        <v>313</v>
      </c>
      <c r="F375" t="s">
        <v>314</v>
      </c>
      <c r="G375" t="s">
        <v>315</v>
      </c>
      <c r="H375" t="s">
        <v>316</v>
      </c>
      <c r="I375" t="s">
        <v>312</v>
      </c>
      <c r="J375" t="s">
        <v>313</v>
      </c>
      <c r="K375" t="s">
        <v>314</v>
      </c>
      <c r="L375" t="s">
        <v>315</v>
      </c>
      <c r="M375" t="s">
        <v>316</v>
      </c>
      <c r="N375" t="s">
        <v>312</v>
      </c>
      <c r="O375" t="s">
        <v>313</v>
      </c>
      <c r="P375" t="s">
        <v>314</v>
      </c>
      <c r="Q375" t="s">
        <v>315</v>
      </c>
      <c r="R375" t="s">
        <v>316</v>
      </c>
    </row>
    <row r="376" spans="2:18" x14ac:dyDescent="0.25">
      <c r="C376" t="s">
        <v>291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292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184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293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294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295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297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4">
        <f>AVERAGE(G376:G382)</f>
        <v>0.51051572274875689</v>
      </c>
      <c r="H383" s="74">
        <f>AVERAGE(H376:H382)</f>
        <v>0.48948427725124305</v>
      </c>
      <c r="L383" s="74">
        <f>AVERAGE(L376:L382)</f>
        <v>0.56925134763251983</v>
      </c>
      <c r="M383" s="74">
        <f>AVERAGE(M376:M382)</f>
        <v>0.43074865236748022</v>
      </c>
      <c r="Q383" s="74">
        <f>AVERAGE(Q376:Q382)</f>
        <v>0.58140373257125155</v>
      </c>
      <c r="R383" s="74">
        <f>AVERAGE(R376:R382)</f>
        <v>0.4185962674287485</v>
      </c>
    </row>
    <row r="386" spans="1:17" x14ac:dyDescent="0.25">
      <c r="A386" s="76" t="s">
        <v>334</v>
      </c>
    </row>
    <row r="387" spans="1:17" x14ac:dyDescent="0.25">
      <c r="D387" t="s">
        <v>216</v>
      </c>
      <c r="E387" t="s">
        <v>329</v>
      </c>
      <c r="F387" t="s">
        <v>155</v>
      </c>
      <c r="G387" s="73" t="s">
        <v>160</v>
      </c>
      <c r="I387" t="s">
        <v>161</v>
      </c>
      <c r="J387" t="s">
        <v>163</v>
      </c>
      <c r="K387" t="s">
        <v>229</v>
      </c>
      <c r="O387" t="s">
        <v>161</v>
      </c>
      <c r="P387" t="s">
        <v>160</v>
      </c>
      <c r="Q387" t="s">
        <v>162</v>
      </c>
    </row>
    <row r="388" spans="1:17" x14ac:dyDescent="0.25">
      <c r="C388" t="s">
        <v>266</v>
      </c>
      <c r="D388">
        <v>4</v>
      </c>
      <c r="E388" t="s">
        <v>330</v>
      </c>
      <c r="F388">
        <v>0.36</v>
      </c>
      <c r="G388">
        <v>8.9999999999999993E-3</v>
      </c>
      <c r="I388" s="84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4">
        <f>J388</f>
        <v>10.833235364008504</v>
      </c>
      <c r="P388" s="74">
        <f t="shared" ref="P388:P389" si="173">O388/Q388</f>
        <v>0.27083088410021261</v>
      </c>
      <c r="Q388" s="74">
        <f t="shared" ref="Q388:Q389" si="174">K388</f>
        <v>40</v>
      </c>
    </row>
    <row r="389" spans="1:17" x14ac:dyDescent="0.25">
      <c r="C389" t="s">
        <v>328</v>
      </c>
      <c r="D389">
        <v>2</v>
      </c>
      <c r="E389" t="s">
        <v>330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4">
        <f>J389</f>
        <v>14.89125293076059</v>
      </c>
      <c r="P389" s="74">
        <f t="shared" si="173"/>
        <v>0.28468571779395241</v>
      </c>
      <c r="Q389" s="74">
        <f t="shared" si="174"/>
        <v>52.307692307692314</v>
      </c>
    </row>
    <row r="390" spans="1:17" x14ac:dyDescent="0.25">
      <c r="C390" t="s">
        <v>266</v>
      </c>
      <c r="D390" s="93">
        <v>4</v>
      </c>
      <c r="E390" s="93" t="s">
        <v>330</v>
      </c>
      <c r="F390">
        <v>0.37</v>
      </c>
      <c r="G390">
        <v>6.0000000000000001E-3</v>
      </c>
      <c r="I390" s="84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4">
        <f t="shared" ref="O390:O403" si="179">J390</f>
        <v>11.193365366583114</v>
      </c>
      <c r="P390" s="74">
        <f t="shared" ref="P390:P403" si="180">O390/Q390</f>
        <v>0.18151403297161808</v>
      </c>
      <c r="Q390" s="74">
        <f t="shared" ref="Q390:Q403" si="181">K390</f>
        <v>61.666666666666664</v>
      </c>
    </row>
    <row r="391" spans="1:17" x14ac:dyDescent="0.25">
      <c r="C391" t="s">
        <v>328</v>
      </c>
      <c r="D391" s="93">
        <v>2</v>
      </c>
      <c r="E391" s="93" t="s">
        <v>330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4">
        <f t="shared" si="179"/>
        <v>14.891252930760569</v>
      </c>
      <c r="P391" s="74">
        <f t="shared" si="180"/>
        <v>0.19423373387948567</v>
      </c>
      <c r="Q391" s="74">
        <f t="shared" si="181"/>
        <v>76.666666666666671</v>
      </c>
    </row>
    <row r="392" spans="1:17" x14ac:dyDescent="0.25">
      <c r="C392" t="s">
        <v>266</v>
      </c>
      <c r="D392">
        <v>4</v>
      </c>
      <c r="E392" t="s">
        <v>330</v>
      </c>
      <c r="F392">
        <v>0.36</v>
      </c>
      <c r="G392">
        <v>6.0000000000000001E-3</v>
      </c>
      <c r="I392" s="84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4">
        <f t="shared" si="179"/>
        <v>10.833235364008504</v>
      </c>
      <c r="P392" s="74">
        <f t="shared" si="180"/>
        <v>0.18055392273347506</v>
      </c>
      <c r="Q392" s="74">
        <f t="shared" si="181"/>
        <v>60</v>
      </c>
    </row>
    <row r="393" spans="1:17" x14ac:dyDescent="0.25">
      <c r="C393" t="s">
        <v>328</v>
      </c>
      <c r="D393">
        <v>2</v>
      </c>
      <c r="E393" t="s">
        <v>330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4">
        <f t="shared" si="179"/>
        <v>14.89125293076059</v>
      </c>
      <c r="P393" s="74">
        <f t="shared" si="180"/>
        <v>0.19709011231889012</v>
      </c>
      <c r="Q393" s="74">
        <f t="shared" si="181"/>
        <v>75.555555555555571</v>
      </c>
    </row>
    <row r="394" spans="1:17" x14ac:dyDescent="0.25">
      <c r="C394" t="s">
        <v>266</v>
      </c>
      <c r="D394" s="93">
        <v>4</v>
      </c>
      <c r="E394" s="93" t="s">
        <v>330</v>
      </c>
      <c r="F394">
        <v>0.36</v>
      </c>
      <c r="G394">
        <v>6.0000000000000001E-3</v>
      </c>
      <c r="I394" s="84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4">
        <f t="shared" si="179"/>
        <v>10.833235364008504</v>
      </c>
      <c r="P394" s="74">
        <f t="shared" si="180"/>
        <v>0.18055392273347506</v>
      </c>
      <c r="Q394" s="74">
        <f t="shared" si="181"/>
        <v>60</v>
      </c>
    </row>
    <row r="395" spans="1:17" x14ac:dyDescent="0.25">
      <c r="C395" t="s">
        <v>328</v>
      </c>
      <c r="D395" s="93">
        <v>2</v>
      </c>
      <c r="E395" s="93" t="s">
        <v>330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4">
        <f t="shared" si="179"/>
        <v>14.455231422595972</v>
      </c>
      <c r="P395" s="74">
        <f t="shared" si="180"/>
        <v>0.19417475045278168</v>
      </c>
      <c r="Q395" s="74">
        <f t="shared" si="181"/>
        <v>74.444444444444457</v>
      </c>
    </row>
    <row r="396" spans="1:17" x14ac:dyDescent="0.25">
      <c r="C396" t="s">
        <v>266</v>
      </c>
      <c r="D396">
        <v>4</v>
      </c>
      <c r="E396" s="93" t="s">
        <v>331</v>
      </c>
      <c r="F396">
        <v>0.39</v>
      </c>
      <c r="G396">
        <v>1.4E-2</v>
      </c>
      <c r="I396" s="84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4">
        <f t="shared" si="179"/>
        <v>11.924519847066067</v>
      </c>
      <c r="P396" s="74">
        <f t="shared" si="180"/>
        <v>0.42805968681775625</v>
      </c>
      <c r="Q396" s="74">
        <f t="shared" si="181"/>
        <v>27.857142857142858</v>
      </c>
    </row>
    <row r="397" spans="1:17" x14ac:dyDescent="0.25">
      <c r="C397" t="s">
        <v>328</v>
      </c>
      <c r="D397">
        <v>2</v>
      </c>
      <c r="E397" s="93" t="s">
        <v>331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4">
        <f t="shared" si="179"/>
        <v>14.455231422595972</v>
      </c>
      <c r="P397" s="74">
        <f t="shared" si="180"/>
        <v>0.35105562026304504</v>
      </c>
      <c r="Q397" s="74">
        <f t="shared" si="181"/>
        <v>41.17647058823529</v>
      </c>
    </row>
    <row r="398" spans="1:17" x14ac:dyDescent="0.25">
      <c r="C398" t="s">
        <v>266</v>
      </c>
      <c r="D398" s="93">
        <v>4</v>
      </c>
      <c r="E398" s="93" t="s">
        <v>331</v>
      </c>
      <c r="F398">
        <v>0.34</v>
      </c>
      <c r="G398">
        <v>5.1999999999999998E-2</v>
      </c>
      <c r="I398" s="84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4">
        <f t="shared" si="179"/>
        <v>10.123689764089844</v>
      </c>
      <c r="P398" s="74">
        <f t="shared" si="180"/>
        <v>1.5483290227431525</v>
      </c>
      <c r="Q398" s="74">
        <f t="shared" si="181"/>
        <v>6.5384615384615392</v>
      </c>
    </row>
    <row r="399" spans="1:17" x14ac:dyDescent="0.25">
      <c r="C399" t="s">
        <v>328</v>
      </c>
      <c r="D399" s="93">
        <v>2</v>
      </c>
      <c r="E399" s="93" t="s">
        <v>331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4">
        <f t="shared" si="179"/>
        <v>15.758369027902264</v>
      </c>
      <c r="P399" s="74">
        <f t="shared" si="180"/>
        <v>0.88061473979453819</v>
      </c>
      <c r="Q399" s="74">
        <f t="shared" si="181"/>
        <v>17.894736842105264</v>
      </c>
    </row>
    <row r="400" spans="1:17" x14ac:dyDescent="0.25">
      <c r="C400" t="s">
        <v>266</v>
      </c>
      <c r="D400">
        <v>4</v>
      </c>
      <c r="E400" s="93" t="s">
        <v>332</v>
      </c>
      <c r="F400">
        <v>0.36</v>
      </c>
      <c r="G400">
        <v>8.9999999999999993E-3</v>
      </c>
      <c r="I400" s="84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4">
        <f t="shared" si="179"/>
        <v>10.833235364008504</v>
      </c>
      <c r="P400" s="74">
        <f t="shared" si="180"/>
        <v>0.27083088410021261</v>
      </c>
      <c r="Q400" s="74">
        <f t="shared" si="181"/>
        <v>40</v>
      </c>
    </row>
    <row r="401" spans="1:20" x14ac:dyDescent="0.25">
      <c r="C401" t="s">
        <v>328</v>
      </c>
      <c r="D401">
        <v>2</v>
      </c>
      <c r="E401" s="93" t="s">
        <v>332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4">
        <f t="shared" si="179"/>
        <v>14.89125293076059</v>
      </c>
      <c r="P401" s="74">
        <f t="shared" si="180"/>
        <v>0.28468571779395241</v>
      </c>
      <c r="Q401" s="74">
        <f t="shared" si="181"/>
        <v>52.307692307692314</v>
      </c>
    </row>
    <row r="402" spans="1:20" x14ac:dyDescent="0.25">
      <c r="C402" t="s">
        <v>266</v>
      </c>
      <c r="D402" s="93">
        <v>4</v>
      </c>
      <c r="E402" s="93" t="s">
        <v>333</v>
      </c>
      <c r="F402">
        <v>0.37</v>
      </c>
      <c r="G402">
        <v>8.0000000000000002E-3</v>
      </c>
      <c r="I402" s="84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4">
        <f t="shared" si="179"/>
        <v>11.193365366583114</v>
      </c>
      <c r="P402" s="74">
        <f t="shared" si="180"/>
        <v>0.2420187106288241</v>
      </c>
      <c r="Q402" s="74">
        <f t="shared" si="181"/>
        <v>46.25</v>
      </c>
    </row>
    <row r="403" spans="1:20" x14ac:dyDescent="0.25">
      <c r="C403" t="s">
        <v>328</v>
      </c>
      <c r="D403" s="93">
        <v>2</v>
      </c>
      <c r="E403" s="93" t="s">
        <v>333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4">
        <f t="shared" si="179"/>
        <v>14.891252930760569</v>
      </c>
      <c r="P403" s="74">
        <f t="shared" si="180"/>
        <v>0.25897831183931425</v>
      </c>
      <c r="Q403" s="74">
        <f t="shared" si="181"/>
        <v>57.499999999999993</v>
      </c>
    </row>
    <row r="406" spans="1:20" x14ac:dyDescent="0.25">
      <c r="A406" s="76" t="s">
        <v>348</v>
      </c>
    </row>
    <row r="407" spans="1:20" x14ac:dyDescent="0.25">
      <c r="A407" s="77"/>
      <c r="C407" s="77" t="s">
        <v>349</v>
      </c>
    </row>
    <row r="408" spans="1:20" x14ac:dyDescent="0.25">
      <c r="D408" t="s">
        <v>216</v>
      </c>
      <c r="E408" t="s">
        <v>350</v>
      </c>
    </row>
    <row r="409" spans="1:20" x14ac:dyDescent="0.25">
      <c r="C409" t="s">
        <v>351</v>
      </c>
      <c r="D409">
        <v>0</v>
      </c>
      <c r="E409">
        <v>0</v>
      </c>
    </row>
    <row r="410" spans="1:20" x14ac:dyDescent="0.25">
      <c r="C410" s="93" t="s">
        <v>184</v>
      </c>
      <c r="D410">
        <v>6</v>
      </c>
      <c r="E410">
        <v>6</v>
      </c>
    </row>
    <row r="411" spans="1:20" x14ac:dyDescent="0.25">
      <c r="C411" t="s">
        <v>352</v>
      </c>
      <c r="D411">
        <v>3</v>
      </c>
      <c r="E411">
        <v>9</v>
      </c>
      <c r="R411" s="71"/>
      <c r="S411" s="71"/>
      <c r="T411" s="71"/>
    </row>
    <row r="412" spans="1:20" x14ac:dyDescent="0.25">
      <c r="C412" t="s">
        <v>353</v>
      </c>
      <c r="D412">
        <v>3</v>
      </c>
      <c r="E412">
        <v>12</v>
      </c>
      <c r="R412" s="71"/>
      <c r="S412" s="71"/>
      <c r="T412" s="71"/>
    </row>
    <row r="413" spans="1:20" x14ac:dyDescent="0.25">
      <c r="C413" t="s">
        <v>354</v>
      </c>
      <c r="D413">
        <v>3</v>
      </c>
      <c r="E413">
        <v>12</v>
      </c>
      <c r="R413" s="71"/>
      <c r="S413" s="71"/>
      <c r="T413" s="71"/>
    </row>
    <row r="414" spans="1:20" x14ac:dyDescent="0.25">
      <c r="C414" t="s">
        <v>355</v>
      </c>
      <c r="D414">
        <v>2</v>
      </c>
      <c r="E414">
        <v>14</v>
      </c>
      <c r="R414" s="71"/>
      <c r="S414" s="71"/>
      <c r="T414" s="71"/>
    </row>
    <row r="415" spans="1:20" x14ac:dyDescent="0.25">
      <c r="C415" t="s">
        <v>356</v>
      </c>
      <c r="D415">
        <v>4</v>
      </c>
      <c r="E415">
        <v>16</v>
      </c>
      <c r="R415" s="71"/>
      <c r="S415" s="71"/>
      <c r="T415" s="71"/>
    </row>
    <row r="416" spans="1:20" x14ac:dyDescent="0.25">
      <c r="C416" t="s">
        <v>357</v>
      </c>
      <c r="D416">
        <v>4</v>
      </c>
      <c r="E416">
        <v>16</v>
      </c>
      <c r="R416" s="71"/>
      <c r="S416" s="71"/>
      <c r="T416" s="71"/>
    </row>
    <row r="417" spans="2:20" x14ac:dyDescent="0.25">
      <c r="R417" s="71"/>
      <c r="S417" s="71"/>
      <c r="T417" s="71"/>
    </row>
    <row r="418" spans="2:20" x14ac:dyDescent="0.25">
      <c r="D418" t="s">
        <v>216</v>
      </c>
      <c r="E418" t="s">
        <v>350</v>
      </c>
      <c r="F418" t="s">
        <v>361</v>
      </c>
      <c r="G418" t="s">
        <v>155</v>
      </c>
      <c r="H418" t="s">
        <v>160</v>
      </c>
      <c r="J418" t="s">
        <v>161</v>
      </c>
      <c r="K418" t="s">
        <v>163</v>
      </c>
      <c r="L418" t="s">
        <v>229</v>
      </c>
      <c r="P418" t="s">
        <v>161</v>
      </c>
      <c r="Q418" t="s">
        <v>160</v>
      </c>
      <c r="R418" t="s">
        <v>162</v>
      </c>
    </row>
    <row r="419" spans="2:20" x14ac:dyDescent="0.25">
      <c r="C419" s="84" t="s">
        <v>37</v>
      </c>
      <c r="D419">
        <v>6</v>
      </c>
      <c r="E419">
        <v>6</v>
      </c>
      <c r="F419" s="71" t="s">
        <v>194</v>
      </c>
      <c r="G419" s="71">
        <v>3.5000000000000003E-2</v>
      </c>
      <c r="H419" s="71">
        <v>2.7E-2</v>
      </c>
      <c r="I419" s="71"/>
      <c r="J419" s="84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4">
        <f>K419</f>
        <v>0.59366181332705481</v>
      </c>
      <c r="Q419" s="74">
        <f t="shared" ref="Q419:Q421" si="196">P419/R419</f>
        <v>0.45796768456658504</v>
      </c>
      <c r="R419" s="74">
        <f t="shared" ref="R419:R421" si="197">L419</f>
        <v>1.2962962962962965</v>
      </c>
    </row>
    <row r="420" spans="2:20" x14ac:dyDescent="0.25">
      <c r="C420" s="84" t="s">
        <v>358</v>
      </c>
      <c r="D420">
        <v>3</v>
      </c>
      <c r="E420">
        <v>9</v>
      </c>
      <c r="F420" s="71" t="s">
        <v>194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4">
        <f>K420</f>
        <v>1.2184273858862005</v>
      </c>
      <c r="Q420" s="74">
        <f t="shared" si="196"/>
        <v>0.50767807745258353</v>
      </c>
      <c r="R420" s="74">
        <f t="shared" si="197"/>
        <v>2.4</v>
      </c>
    </row>
    <row r="421" spans="2:20" x14ac:dyDescent="0.25">
      <c r="B421" s="77"/>
      <c r="C421" s="84" t="s">
        <v>359</v>
      </c>
      <c r="D421">
        <v>3</v>
      </c>
      <c r="E421">
        <v>12</v>
      </c>
      <c r="F421" s="71" t="s">
        <v>194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4">
        <f t="shared" ref="P421:P423" si="199">K421</f>
        <v>4.6168956617874235</v>
      </c>
      <c r="Q421" s="74">
        <f t="shared" si="196"/>
        <v>0.44679635436652493</v>
      </c>
      <c r="R421" s="74">
        <f t="shared" si="197"/>
        <v>10.333333333333332</v>
      </c>
    </row>
    <row r="422" spans="2:20" x14ac:dyDescent="0.25">
      <c r="C422" s="84" t="s">
        <v>360</v>
      </c>
      <c r="D422">
        <v>3</v>
      </c>
      <c r="E422">
        <v>12</v>
      </c>
      <c r="F422" s="71" t="s">
        <v>194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1"/>
      <c r="P422" s="74">
        <f t="shared" si="199"/>
        <v>5.1923910316379995</v>
      </c>
      <c r="Q422" s="74">
        <f t="shared" ref="Q422:Q428" si="201">P422/R422</f>
        <v>0.99007456111741521</v>
      </c>
      <c r="R422" s="74">
        <f t="shared" ref="R422:R428" si="202">L422</f>
        <v>5.2444444444444445</v>
      </c>
    </row>
    <row r="423" spans="2:20" x14ac:dyDescent="0.25">
      <c r="C423" s="84" t="s">
        <v>39</v>
      </c>
      <c r="D423">
        <v>4</v>
      </c>
      <c r="E423">
        <v>16</v>
      </c>
      <c r="F423" s="71" t="s">
        <v>194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1"/>
      <c r="P423" s="74">
        <f t="shared" si="199"/>
        <v>7.36957776560212</v>
      </c>
      <c r="Q423" s="74">
        <f t="shared" si="201"/>
        <v>0.31304401128221399</v>
      </c>
      <c r="R423" s="74">
        <f t="shared" si="202"/>
        <v>23.541666666666664</v>
      </c>
    </row>
    <row r="424" spans="2:20" x14ac:dyDescent="0.25">
      <c r="C424" s="84" t="s">
        <v>37</v>
      </c>
      <c r="D424">
        <v>6</v>
      </c>
      <c r="E424">
        <v>6</v>
      </c>
      <c r="F424" s="71" t="s">
        <v>362</v>
      </c>
      <c r="G424">
        <v>5.3999999999999999E-2</v>
      </c>
      <c r="H424">
        <v>5.7000000000000002E-2</v>
      </c>
      <c r="J424" s="84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1"/>
      <c r="P424" s="74">
        <f t="shared" ref="P424:P428" si="204">K424</f>
        <v>0.92474336925133516</v>
      </c>
      <c r="Q424" s="74">
        <f t="shared" si="201"/>
        <v>0.97611800087640943</v>
      </c>
      <c r="R424" s="74">
        <f t="shared" si="202"/>
        <v>0.94736842105263153</v>
      </c>
    </row>
    <row r="425" spans="2:20" x14ac:dyDescent="0.25">
      <c r="C425" s="84" t="s">
        <v>358</v>
      </c>
      <c r="D425">
        <v>3</v>
      </c>
      <c r="E425">
        <v>9</v>
      </c>
      <c r="F425" s="71" t="s">
        <v>362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1"/>
      <c r="P425" s="74">
        <f t="shared" si="204"/>
        <v>-0.84037586596127367</v>
      </c>
      <c r="Q425" s="74">
        <f t="shared" si="201"/>
        <v>-1.9995149914250996</v>
      </c>
      <c r="R425" s="74">
        <f t="shared" si="202"/>
        <v>0.42028985507246375</v>
      </c>
    </row>
    <row r="426" spans="2:20" x14ac:dyDescent="0.25">
      <c r="C426" s="84" t="s">
        <v>359</v>
      </c>
      <c r="D426">
        <v>3</v>
      </c>
      <c r="E426">
        <v>12</v>
      </c>
      <c r="F426" s="71" t="s">
        <v>362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1"/>
      <c r="P426" s="74">
        <f t="shared" si="204"/>
        <v>2.3764126172991284</v>
      </c>
      <c r="Q426" s="74">
        <f t="shared" si="201"/>
        <v>1.2813989603083535</v>
      </c>
      <c r="R426" s="74">
        <f t="shared" si="202"/>
        <v>1.8545454545454545</v>
      </c>
    </row>
    <row r="427" spans="2:20" x14ac:dyDescent="0.25">
      <c r="C427" s="84" t="s">
        <v>360</v>
      </c>
      <c r="D427">
        <v>3</v>
      </c>
      <c r="E427">
        <v>12</v>
      </c>
      <c r="F427" s="71" t="s">
        <v>362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1"/>
      <c r="P427" s="74">
        <f t="shared" si="204"/>
        <v>2.3127654683995136</v>
      </c>
      <c r="Q427" s="74">
        <f t="shared" si="201"/>
        <v>2.6134249792914503</v>
      </c>
      <c r="R427" s="74">
        <f t="shared" si="202"/>
        <v>0.88495575221238942</v>
      </c>
    </row>
    <row r="428" spans="2:20" x14ac:dyDescent="0.25">
      <c r="C428" s="84" t="s">
        <v>39</v>
      </c>
      <c r="D428">
        <v>4</v>
      </c>
      <c r="E428">
        <v>16</v>
      </c>
      <c r="F428" s="71" t="s">
        <v>362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1"/>
      <c r="P428" s="74">
        <f t="shared" si="204"/>
        <v>3.9364104664247002</v>
      </c>
      <c r="Q428" s="74">
        <f t="shared" si="201"/>
        <v>1.0909901667244486</v>
      </c>
      <c r="R428" s="74">
        <f t="shared" si="202"/>
        <v>3.6081081081081083</v>
      </c>
    </row>
    <row r="429" spans="2:20" x14ac:dyDescent="0.25">
      <c r="S429" s="71"/>
      <c r="T429" s="71"/>
    </row>
    <row r="432" spans="2:20" x14ac:dyDescent="0.25">
      <c r="C432" s="71"/>
    </row>
    <row r="433" spans="3:3" x14ac:dyDescent="0.25">
      <c r="C433" s="71"/>
    </row>
    <row r="434" spans="3:3" x14ac:dyDescent="0.25">
      <c r="C434" s="71"/>
    </row>
    <row r="435" spans="3:3" x14ac:dyDescent="0.25">
      <c r="C435" s="71"/>
    </row>
    <row r="436" spans="3:3" x14ac:dyDescent="0.25">
      <c r="C436" s="71"/>
    </row>
    <row r="437" spans="3:3" x14ac:dyDescent="0.25">
      <c r="C437" s="71"/>
    </row>
    <row r="438" spans="3:3" x14ac:dyDescent="0.25">
      <c r="C438" s="71"/>
    </row>
  </sheetData>
  <conditionalFormatting sqref="A3">
    <cfRule type="containsBlanks" dxfId="11" priority="19">
      <formula>LEN(TRIM(A3))=0</formula>
    </cfRule>
  </conditionalFormatting>
  <conditionalFormatting sqref="F64">
    <cfRule type="containsBlanks" dxfId="10" priority="18">
      <formula>LEN(TRIM(F64))=0</formula>
    </cfRule>
  </conditionalFormatting>
  <conditionalFormatting sqref="F89:F92">
    <cfRule type="containsBlanks" dxfId="9" priority="15">
      <formula>LEN(TRIM(F89))=0</formula>
    </cfRule>
  </conditionalFormatting>
  <conditionalFormatting sqref="G100">
    <cfRule type="containsBlanks" dxfId="8" priority="14">
      <formula>LEN(TRIM(G100))=0</formula>
    </cfRule>
  </conditionalFormatting>
  <conditionalFormatting sqref="H120">
    <cfRule type="containsBlanks" dxfId="7" priority="13">
      <formula>LEN(TRIM(H120))=0</formula>
    </cfRule>
  </conditionalFormatting>
  <conditionalFormatting sqref="E183">
    <cfRule type="containsBlanks" dxfId="6" priority="11">
      <formula>LEN(TRIM(E183))=0</formula>
    </cfRule>
  </conditionalFormatting>
  <conditionalFormatting sqref="E200">
    <cfRule type="containsBlanks" dxfId="5" priority="10">
      <formula>LEN(TRIM(E200))=0</formula>
    </cfRule>
  </conditionalFormatting>
  <conditionalFormatting sqref="G219">
    <cfRule type="containsBlanks" dxfId="4" priority="8">
      <formula>LEN(TRIM(G219))=0</formula>
    </cfRule>
  </conditionalFormatting>
  <conditionalFormatting sqref="H257">
    <cfRule type="containsBlanks" dxfId="3" priority="7">
      <formula>LEN(TRIM(H257))=0</formula>
    </cfRule>
  </conditionalFormatting>
  <conditionalFormatting sqref="H275">
    <cfRule type="containsBlanks" dxfId="2" priority="6">
      <formula>LEN(TRIM(H275))=0</formula>
    </cfRule>
  </conditionalFormatting>
  <conditionalFormatting sqref="H306">
    <cfRule type="containsBlanks" dxfId="1" priority="5">
      <formula>LEN(TRIM(H306))=0</formula>
    </cfRule>
  </conditionalFormatting>
  <conditionalFormatting sqref="G387">
    <cfRule type="containsBlanks" dxfId="0" priority="2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2023-03-19T09:16:54Z</dcterms:modified>
</cp:coreProperties>
</file>