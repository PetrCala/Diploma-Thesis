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56949D62-B919-44D7-8842-B70252D2039E}" xr6:coauthVersionLast="47" xr6:coauthVersionMax="47" xr10:uidLastSave="{00000000-0000-0000-0000-000000000000}"/>
  <bookViews>
    <workbookView xWindow="-23148" yWindow="-108" windowWidth="23256" windowHeight="12576" activeTab="1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15" i="10" l="1"/>
  <c r="Z816" i="10"/>
  <c r="Z817" i="10"/>
  <c r="Z818" i="10"/>
  <c r="Z819" i="10"/>
  <c r="Z820" i="10"/>
  <c r="Z821" i="10"/>
  <c r="Z814" i="10"/>
  <c r="W821" i="10"/>
  <c r="I818" i="10"/>
  <c r="J818" i="10" s="1"/>
  <c r="K818" i="10" s="1"/>
  <c r="I819" i="10"/>
  <c r="M819" i="10" s="1"/>
  <c r="J819" i="10"/>
  <c r="K819" i="10" s="1"/>
  <c r="I820" i="10"/>
  <c r="J820" i="10"/>
  <c r="K820" i="10" s="1"/>
  <c r="L820" i="10"/>
  <c r="M820" i="10"/>
  <c r="I821" i="10"/>
  <c r="J821" i="10" s="1"/>
  <c r="K821" i="10" s="1"/>
  <c r="W818" i="10"/>
  <c r="W819" i="10"/>
  <c r="W820" i="10"/>
  <c r="F821" i="10"/>
  <c r="G821" i="10"/>
  <c r="H821" i="10"/>
  <c r="F820" i="10"/>
  <c r="G820" i="10"/>
  <c r="H820" i="10"/>
  <c r="F819" i="10"/>
  <c r="G819" i="10"/>
  <c r="H819" i="10"/>
  <c r="F818" i="10"/>
  <c r="G818" i="10"/>
  <c r="H818" i="10"/>
  <c r="I815" i="10"/>
  <c r="J815" i="10" s="1"/>
  <c r="K815" i="10" s="1"/>
  <c r="I816" i="10"/>
  <c r="J816" i="10" s="1"/>
  <c r="K816" i="10" s="1"/>
  <c r="I817" i="10"/>
  <c r="J817" i="10" s="1"/>
  <c r="K817" i="10" s="1"/>
  <c r="W815" i="10"/>
  <c r="W816" i="10"/>
  <c r="W817" i="10"/>
  <c r="W814" i="10"/>
  <c r="F817" i="10"/>
  <c r="G817" i="10"/>
  <c r="H817" i="10"/>
  <c r="F816" i="10"/>
  <c r="G816" i="10"/>
  <c r="H816" i="10"/>
  <c r="F815" i="10"/>
  <c r="G815" i="10"/>
  <c r="H815" i="10"/>
  <c r="F814" i="10"/>
  <c r="I814" i="10" s="1"/>
  <c r="G814" i="10"/>
  <c r="H814" i="10"/>
  <c r="W813" i="10"/>
  <c r="I813" i="10" s="1"/>
  <c r="F813" i="10"/>
  <c r="G813" i="10"/>
  <c r="H813" i="10"/>
  <c r="X815" i="10"/>
  <c r="X814" i="10"/>
  <c r="X813" i="10"/>
  <c r="I808" i="10"/>
  <c r="L808" i="10" s="1"/>
  <c r="J808" i="10"/>
  <c r="K808" i="10" s="1"/>
  <c r="I809" i="10"/>
  <c r="J809" i="10" s="1"/>
  <c r="I810" i="10"/>
  <c r="J810" i="10" s="1"/>
  <c r="I811" i="10"/>
  <c r="L811" i="10" s="1"/>
  <c r="J811" i="10"/>
  <c r="K811" i="10"/>
  <c r="I812" i="10"/>
  <c r="L812" i="10" s="1"/>
  <c r="J812" i="10"/>
  <c r="K812" i="10" s="1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W812" i="10"/>
  <c r="W807" i="10"/>
  <c r="I807" i="10" s="1"/>
  <c r="F812" i="10"/>
  <c r="G812" i="10"/>
  <c r="H812" i="10"/>
  <c r="F811" i="10"/>
  <c r="G811" i="10"/>
  <c r="H811" i="10"/>
  <c r="F810" i="10"/>
  <c r="G810" i="10"/>
  <c r="H810" i="10"/>
  <c r="F809" i="10"/>
  <c r="G809" i="10"/>
  <c r="H809" i="10"/>
  <c r="F808" i="10"/>
  <c r="G808" i="10"/>
  <c r="H808" i="10"/>
  <c r="F807" i="10"/>
  <c r="G807" i="10"/>
  <c r="H807" i="10"/>
  <c r="Z804" i="10"/>
  <c r="Z805" i="10"/>
  <c r="Z806" i="10"/>
  <c r="Z803" i="10"/>
  <c r="Y804" i="10"/>
  <c r="Y805" i="10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I805" i="10"/>
  <c r="W804" i="10"/>
  <c r="I804" i="10"/>
  <c r="J804" i="10"/>
  <c r="K804" i="10" s="1"/>
  <c r="M804" i="10"/>
  <c r="W803" i="10"/>
  <c r="I803" i="10"/>
  <c r="J803" i="10" s="1"/>
  <c r="F806" i="10"/>
  <c r="G806" i="10"/>
  <c r="H806" i="10"/>
  <c r="F805" i="10"/>
  <c r="G805" i="10"/>
  <c r="H805" i="10"/>
  <c r="F804" i="10"/>
  <c r="G804" i="10"/>
  <c r="H804" i="10"/>
  <c r="F803" i="10"/>
  <c r="G803" i="10"/>
  <c r="H803" i="10"/>
  <c r="L819" i="10" l="1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L807" i="10"/>
  <c r="M807" i="10"/>
  <c r="J807" i="10"/>
  <c r="K807" i="10" s="1"/>
  <c r="L804" i="10"/>
  <c r="J805" i="10"/>
  <c r="K805" i="10" s="1"/>
  <c r="M806" i="10"/>
  <c r="L806" i="10"/>
  <c r="K803" i="10"/>
  <c r="M803" i="10"/>
  <c r="L803" i="10"/>
  <c r="L814" i="10" l="1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I802" i="10"/>
  <c r="W801" i="10"/>
  <c r="I801" i="10" s="1"/>
  <c r="F802" i="10"/>
  <c r="G802" i="10"/>
  <c r="H802" i="10"/>
  <c r="F801" i="10"/>
  <c r="G801" i="10"/>
  <c r="H801" i="10"/>
  <c r="AW798" i="10"/>
  <c r="W800" i="10"/>
  <c r="I800" i="10"/>
  <c r="J800" i="10"/>
  <c r="K800" i="10"/>
  <c r="L800" i="10"/>
  <c r="M800" i="10"/>
  <c r="W799" i="10"/>
  <c r="I799" i="10"/>
  <c r="J799" i="10"/>
  <c r="K799" i="10"/>
  <c r="L799" i="10"/>
  <c r="M799" i="10"/>
  <c r="W798" i="10"/>
  <c r="I798" i="10" s="1"/>
  <c r="F800" i="10"/>
  <c r="G800" i="10"/>
  <c r="H800" i="10"/>
  <c r="F799" i="10"/>
  <c r="G799" i="10"/>
  <c r="H799" i="10"/>
  <c r="F798" i="10"/>
  <c r="G798" i="10"/>
  <c r="H798" i="10"/>
  <c r="W797" i="10"/>
  <c r="I797" i="10" s="1"/>
  <c r="W796" i="10"/>
  <c r="I796" i="10" s="1"/>
  <c r="F797" i="10"/>
  <c r="G797" i="10"/>
  <c r="H797" i="10"/>
  <c r="F796" i="10"/>
  <c r="G796" i="10"/>
  <c r="H796" i="10"/>
  <c r="F795" i="10"/>
  <c r="AW793" i="10"/>
  <c r="W795" i="10"/>
  <c r="I795" i="10" s="1"/>
  <c r="W794" i="10"/>
  <c r="I794" i="10"/>
  <c r="J794" i="10"/>
  <c r="K794" i="10"/>
  <c r="L794" i="10"/>
  <c r="M794" i="10"/>
  <c r="W793" i="10"/>
  <c r="I793" i="10"/>
  <c r="J793" i="10"/>
  <c r="K793" i="10"/>
  <c r="L793" i="10"/>
  <c r="M793" i="10"/>
  <c r="G795" i="10"/>
  <c r="H795" i="10"/>
  <c r="F794" i="10"/>
  <c r="G794" i="10"/>
  <c r="H794" i="10"/>
  <c r="F793" i="10"/>
  <c r="G793" i="10"/>
  <c r="H793" i="10"/>
  <c r="Z785" i="10"/>
  <c r="Z786" i="10"/>
  <c r="Z787" i="10"/>
  <c r="Z788" i="10"/>
  <c r="Z789" i="10"/>
  <c r="Z790" i="10"/>
  <c r="Z791" i="10"/>
  <c r="Z792" i="10"/>
  <c r="Z784" i="10"/>
  <c r="Y785" i="10"/>
  <c r="Y786" i="10"/>
  <c r="Y787" i="10"/>
  <c r="Y788" i="10"/>
  <c r="Y789" i="10"/>
  <c r="Y790" i="10"/>
  <c r="Y791" i="10"/>
  <c r="Y792" i="10"/>
  <c r="Y784" i="10"/>
  <c r="I785" i="10"/>
  <c r="J785" i="10" s="1"/>
  <c r="K785" i="10" s="1"/>
  <c r="I786" i="10"/>
  <c r="J786" i="10"/>
  <c r="L786" i="10" s="1"/>
  <c r="K786" i="10"/>
  <c r="I787" i="10"/>
  <c r="J787" i="10" s="1"/>
  <c r="I788" i="10"/>
  <c r="J788" i="10" s="1"/>
  <c r="K788" i="10" s="1"/>
  <c r="I789" i="10"/>
  <c r="J789" i="10" s="1"/>
  <c r="I790" i="10"/>
  <c r="J790" i="10" s="1"/>
  <c r="K790" i="10" s="1"/>
  <c r="I791" i="10"/>
  <c r="L791" i="10" s="1"/>
  <c r="J791" i="10"/>
  <c r="K791" i="10" s="1"/>
  <c r="I792" i="10"/>
  <c r="J792" i="10"/>
  <c r="K792" i="10" s="1"/>
  <c r="L792" i="10"/>
  <c r="M792" i="10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G792" i="10"/>
  <c r="H792" i="10"/>
  <c r="F791" i="10"/>
  <c r="G791" i="10"/>
  <c r="H791" i="10"/>
  <c r="F790" i="10"/>
  <c r="G790" i="10"/>
  <c r="H790" i="10"/>
  <c r="W789" i="10"/>
  <c r="W788" i="10"/>
  <c r="W787" i="10"/>
  <c r="F789" i="10"/>
  <c r="G789" i="10"/>
  <c r="H789" i="10"/>
  <c r="F788" i="10"/>
  <c r="G788" i="10"/>
  <c r="H788" i="10"/>
  <c r="F787" i="10"/>
  <c r="G787" i="10"/>
  <c r="H787" i="10"/>
  <c r="W786" i="10"/>
  <c r="W785" i="10"/>
  <c r="W784" i="10"/>
  <c r="I784" i="10" s="1"/>
  <c r="F786" i="10"/>
  <c r="G786" i="10"/>
  <c r="H786" i="10"/>
  <c r="F785" i="10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0" i="10"/>
  <c r="L770" i="10" s="1"/>
  <c r="J770" i="10"/>
  <c r="K770" i="10" s="1"/>
  <c r="I771" i="10"/>
  <c r="J771" i="10" s="1"/>
  <c r="I772" i="10"/>
  <c r="M772" i="10" s="1"/>
  <c r="J772" i="10"/>
  <c r="K772" i="10" s="1"/>
  <c r="L772" i="10"/>
  <c r="I773" i="10"/>
  <c r="L773" i="10" s="1"/>
  <c r="J773" i="10"/>
  <c r="M773" i="10" s="1"/>
  <c r="K773" i="10"/>
  <c r="I774" i="10"/>
  <c r="J774" i="10"/>
  <c r="K774" i="10" s="1"/>
  <c r="M774" i="10"/>
  <c r="I775" i="10"/>
  <c r="J775" i="10" s="1"/>
  <c r="K775" i="10" s="1"/>
  <c r="I776" i="10"/>
  <c r="J776" i="10"/>
  <c r="M776" i="10" s="1"/>
  <c r="K776" i="10"/>
  <c r="L776" i="10"/>
  <c r="I777" i="10"/>
  <c r="J777" i="10" s="1"/>
  <c r="K777" i="10" s="1"/>
  <c r="I778" i="10"/>
  <c r="I779" i="10"/>
  <c r="J779" i="10" s="1"/>
  <c r="I780" i="10"/>
  <c r="M780" i="10" s="1"/>
  <c r="J780" i="10"/>
  <c r="K780" i="10" s="1"/>
  <c r="L780" i="10"/>
  <c r="I781" i="10"/>
  <c r="L781" i="10" s="1"/>
  <c r="J781" i="10"/>
  <c r="M781" i="10" s="1"/>
  <c r="K781" i="10"/>
  <c r="I782" i="10"/>
  <c r="J782" i="10"/>
  <c r="K782" i="10" s="1"/>
  <c r="M782" i="10"/>
  <c r="I783" i="10"/>
  <c r="J783" i="10" s="1"/>
  <c r="K783" i="10" s="1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70" i="10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L802" i="10" l="1"/>
  <c r="J802" i="10"/>
  <c r="K802" i="10" s="1"/>
  <c r="J801" i="10"/>
  <c r="K801" i="10" s="1"/>
  <c r="M801" i="10"/>
  <c r="J798" i="10"/>
  <c r="K798" i="10" s="1"/>
  <c r="L797" i="10"/>
  <c r="M797" i="10"/>
  <c r="J797" i="10"/>
  <c r="K797" i="10" s="1"/>
  <c r="J796" i="10"/>
  <c r="K796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J784" i="10"/>
  <c r="K784" i="10" s="1"/>
  <c r="L778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70" i="10"/>
  <c r="M783" i="10"/>
  <c r="M775" i="10"/>
  <c r="M802" i="10" l="1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<sst xmlns="http://schemas.openxmlformats.org/spreadsheetml/2006/main" count="9215" uniqueCount="520">
  <si>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</si>
  <si>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</si>
  <si>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</si>
  <si>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</si>
  <si>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</si>
  <si>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</si>
  <si>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</si>
  <si>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</si>
  <si>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</si>
  <si>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</si>
  <si>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</si>
  <si>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</si>
  <si>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</si>
  <si>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</si>
  <si>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</si>
  <si>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</si>
  <si>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</si>
  <si>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</si>
  <si>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</si>
  <si>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</si>
  <si>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</si>
  <si>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</si>
  <si>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</si>
  <si>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</si>
  <si>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</si>
  <si>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</si>
  <si>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</si>
  <si>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</si>
  <si>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</si>
  <si>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</si>
  <si>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</si>
  <si>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</si>
  <si>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</si>
  <si>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</si>
  <si>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</si>
  <si>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</si>
  <si>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</si>
  <si>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</si>
  <si>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</si>
  <si>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</si>
  <si>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</si>
  <si>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</si>
  <si>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</si>
  <si>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</si>
  <si>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</si>
  <si>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</si>
  <si>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</si>
  <si>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</si>
  <si>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</si>
  <si>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</si>
  <si>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</si>
  <si>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</si>
  <si>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</si>
  <si>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</si>
  <si>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</si>
  <si>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</si>
  <si>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</si>
  <si>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</si>
  <si>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</si>
  <si>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</si>
  <si>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</si>
  <si>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</si>
  <si>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</si>
  <si>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</si>
  <si>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</si>
  <si>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</si>
  <si>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</si>
  <si>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</si>
  <si>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</si>
  <si>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</si>
  <si>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</si>
  <si>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</si>
  <si>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</si>
  <si>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</si>
  <si>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</si>
  <si>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</si>
  <si>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</si>
  <si>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</si>
  <si>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</si>
  <si>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</si>
  <si>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</si>
  <si>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</si>
  <si>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</si>
  <si>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</si>
  <si>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</si>
  <si>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</si>
  <si>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</si>
  <si>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</si>
  <si>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</si>
  <si>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</si>
  <si>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</si>
  <si>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</si>
  <si>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</si>
  <si>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</si>
  <si>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</si>
  <si>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</si>
  <si>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</si>
  <si>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</si>
  <si>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</si>
  <si>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</si>
  <si>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</si>
  <si>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</si>
  <si>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</si>
  <si>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</si>
  <si>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</si>
  <si>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</si>
  <si>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</si>
  <si>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</si>
  <si>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</si>
  <si>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</si>
  <si>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</si>
  <si>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</si>
  <si>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</si>
  <si>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</si>
  <si>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</si>
  <si>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</si>
  <si>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</si>
  <si>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</si>
  <si>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</si>
  <si>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</si>
  <si>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</si>
  <si>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</si>
  <si>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</si>
  <si>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</si>
  <si>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</si>
  <si>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</si>
  <si>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</si>
  <si>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</si>
  <si>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</si>
  <si>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</si>
  <si>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</si>
  <si>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</si>
  <si>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</si>
  <si>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</si>
  <si>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</si>
  <si>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</si>
  <si>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</si>
  <si>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</si>
  <si>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</si>
  <si>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</si>
  <si>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</si>
  <si>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</si>
  <si>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</si>
  <si>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</si>
  <si>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</si>
  <si>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</si>
  <si>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</si>
  <si>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</si>
  <si>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</si>
  <si>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</si>
  <si>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</si>
  <si>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</si>
  <si>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</si>
  <si>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</si>
  <si>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</si>
  <si>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</si>
  <si>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</si>
  <si>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</si>
  <si>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</si>
  <si>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</si>
  <si>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</si>
  <si>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</si>
  <si>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</si>
  <si>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</si>
  <si>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</si>
  <si>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</si>
  <si>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</si>
  <si>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</si>
  <si>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</si>
  <si>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</si>
  <si>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</si>
  <si>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</si>
  <si>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</si>
  <si>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</si>
  <si>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</si>
  <si>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</si>
  <si>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</si>
  <si>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</si>
  <si>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</si>
  <si>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</si>
  <si>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</si>
  <si>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</si>
  <si>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</si>
  <si>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</si>
  <si>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</si>
  <si>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</si>
  <si>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</si>
  <si>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</si>
  <si>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</si>
  <si>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</si>
  <si>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</si>
  <si>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</si>
  <si>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</si>
  <si>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</si>
  <si>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</si>
  <si>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</si>
  <si>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</si>
  <si>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</si>
  <si>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</si>
  <si>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</si>
  <si>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</si>
  <si>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</si>
  <si>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</si>
  <si>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</si>
  <si>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</si>
  <si>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</si>
  <si>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</si>
  <si>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</si>
  <si>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</si>
  <si>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</si>
  <si>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</si>
  <si>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</si>
  <si>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</si>
  <si>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</si>
  <si>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</si>
  <si>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</si>
  <si>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</si>
  <si>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</si>
  <si>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</si>
  <si>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</si>
  <si>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</si>
  <si>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</si>
  <si>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</si>
  <si>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</si>
  <si>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</si>
  <si>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</si>
  <si>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</si>
  <si>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</si>
  <si>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</si>
  <si>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</si>
  <si>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</si>
  <si>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</si>
  <si>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</si>
  <si>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</si>
  <si>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</si>
  <si>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</si>
  <si>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</si>
  <si>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</si>
  <si>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</si>
  <si>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</si>
  <si>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</si>
  <si>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</si>
  <si>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</si>
  <si>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</si>
  <si>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</si>
  <si>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</si>
  <si>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</si>
  <si>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</si>
  <si>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</si>
  <si>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</si>
  <si>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</si>
  <si>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</si>
  <si>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</si>
  <si>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</si>
  <si>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</si>
  <si>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</si>
  <si>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</si>
  <si>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</si>
  <si>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</si>
  <si>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</si>
  <si>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</si>
  <si>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</si>
  <si>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</si>
  <si>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</si>
  <si>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</si>
  <si>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</si>
  <si>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</si>
  <si>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</si>
  <si>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</si>
  <si>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</si>
  <si>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</si>
  <si>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</si>
  <si>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</si>
  <si>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</si>
  <si>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</si>
  <si>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</si>
  <si>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</si>
  <si>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</si>
  <si>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</si>
  <si>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</si>
  <si>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</si>
  <si>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</si>
  <si>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</si>
  <si>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</si>
  <si>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</si>
  <si>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</si>
  <si>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</si>
  <si>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</si>
  <si>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</si>
  <si>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</si>
  <si>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</si>
  <si>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</si>
  <si>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</si>
  <si>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</si>
  <si>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</si>
  <si>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</si>
  <si>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</si>
  <si>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</si>
  <si>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</si>
  <si>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</si>
  <si>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</si>
  <si>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</si>
  <si>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</si>
  <si>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</si>
  <si>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</si>
  <si>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</si>
  <si>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</si>
  <si>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</si>
  <si>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</si>
  <si>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</si>
  <si>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</si>
  <si>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</si>
  <si>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</si>
  <si>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</si>
  <si>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</si>
  <si>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</si>
  <si>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</si>
  <si>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</si>
  <si>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</si>
  <si>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</si>
  <si>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</si>
  <si>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</si>
  <si>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</si>
  <si>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</si>
  <si>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</si>
  <si>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</si>
  <si>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</si>
  <si>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</si>
  <si>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</si>
  <si>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</si>
  <si>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</si>
  <si>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</si>
  <si>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</si>
  <si>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</si>
  <si>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</si>
  <si>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</si>
  <si>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</si>
  <si>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</si>
  <si>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</si>
  <si>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</si>
  <si>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</si>
  <si>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</si>
  <si>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</si>
  <si>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</si>
  <si>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</si>
  <si>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</si>
  <si>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</si>
  <si>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</si>
  <si>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</si>
  <si>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</si>
  <si>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</si>
  <si>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</si>
  <si>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</si>
  <si>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</si>
  <si>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</si>
  <si>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</si>
  <si>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</si>
  <si>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</si>
  <si>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</si>
  <si>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</si>
  <si>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</si>
  <si>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</si>
  <si>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</si>
  <si>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</si>
  <si>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</si>
  <si>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</si>
  <si>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</si>
  <si>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</si>
  <si>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</si>
  <si>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</si>
  <si>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</si>
  <si>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</si>
  <si>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</si>
  <si>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</si>
  <si>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</si>
  <si>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</si>
  <si>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</si>
  <si>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</si>
  <si>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</si>
  <si>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</si>
  <si>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</si>
  <si>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</si>
  <si>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</si>
  <si>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</si>
  <si>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</si>
  <si>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</si>
  <si>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</si>
  <si>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</si>
  <si>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</si>
  <si>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</si>
  <si>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</si>
  <si>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</si>
  <si>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</si>
  <si>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</si>
  <si>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</si>
  <si>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</si>
  <si>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</si>
  <si>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</si>
  <si>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</si>
  <si>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</si>
  <si>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</si>
  <si>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</si>
  <si>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</si>
  <si>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</si>
  <si>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</si>
  <si>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</si>
  <si>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</si>
  <si>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</si>
  <si>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</si>
  <si>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</si>
  <si>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</si>
  <si>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</si>
  <si>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</si>
  <si>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</si>
  <si>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</si>
  <si>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</si>
  <si>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</si>
  <si>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</si>
  <si>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</si>
  <si>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</si>
  <si>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</si>
  <si>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</si>
  <si>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</si>
  <si>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</si>
  <si>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</si>
  <si>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</si>
  <si>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</si>
  <si>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</si>
  <si>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</si>
  <si>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</si>
  <si>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</si>
  <si>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</si>
  <si>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</si>
  <si>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</si>
  <si>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</si>
  <si>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</si>
  <si>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</si>
  <si>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</si>
  <si>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</si>
  <si>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</si>
  <si>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</si>
  <si>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</si>
  <si>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</si>
  <si>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</si>
  <si>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</si>
  <si>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</si>
  <si>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</si>
  <si>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</si>
  <si>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</si>
  <si>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</si>
  <si>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</si>
  <si>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</si>
  <si>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</si>
  <si>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</si>
  <si>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</si>
  <si>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</si>
  <si>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</si>
  <si>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</si>
  <si>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</si>
  <si>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</si>
  <si>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</si>
  <si>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</si>
  <si>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</si>
  <si>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</si>
  <si>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</si>
  <si>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</si>
  <si>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</si>
  <si>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</si>
  <si>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</si>
  <si>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</si>
  <si>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</si>
  <si>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</si>
  <si>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</si>
  <si>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</si>
  <si>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</si>
  <si>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</si>
  <si>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</si>
  <si>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</si>
  <si>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</si>
  <si>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</si>
  <si>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</si>
  <si>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</si>
  <si>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</si>
  <si>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</si>
  <si>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</si>
  <si>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</si>
  <si>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</si>
  <si>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</si>
  <si>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</si>
  <si>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</si>
  <si>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</si>
  <si>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</si>
  <si>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</si>
  <si>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</si>
  <si>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</si>
  <si>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</si>
  <si>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</si>
  <si>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</si>
  <si>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</si>
  <si>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</si>
  <si>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</si>
  <si>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</si>
  <si>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</si>
  <si>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</si>
  <si>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</si>
  <si>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</si>
  <si>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</si>
  <si>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</si>
  <si>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</si>
  <si>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</si>
  <si>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</si>
  <si>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</si>
  <si>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</si>
  <si>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</si>
  <si>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</si>
  <si>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</si>
  <si>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</si>
  <si>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</si>
  <si>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</si>
  <si>
    <t>Instument -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</si>
</sst>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39" xfId="0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workbookViewId="0">
      <pane xSplit="4" ySplit="1" topLeftCell="BQ801" activePane="bottomRight" state="frozen"/>
      <selection pane="topRight" activeCell="E1" sqref="E1"/>
      <selection pane="bottomLeft" activeCell="A2" sqref="A2"/>
      <selection pane="bottomRight" activeCell="D822" sqref="D822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339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516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365</v>
      </c>
      <c r="CX1" s="44" t="s">
        <v>85</v>
      </c>
      <c r="CY1" s="185" t="s">
        <v>481</v>
      </c>
      <c r="CZ1" s="186" t="s">
        <v>482</v>
      </c>
      <c r="DA1" s="186" t="s">
        <v>483</v>
      </c>
      <c r="DB1" s="186" t="s">
        <v>484</v>
      </c>
      <c r="DC1" s="186" t="s">
        <v>485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332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332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332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332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332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332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332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332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332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332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332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332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332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332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332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332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333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333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333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333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333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333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333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333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333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333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333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333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333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333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333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333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333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333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333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333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333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333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333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333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337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337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337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337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337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337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337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337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337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337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337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337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337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337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337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338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338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338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338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338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338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340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341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340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341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340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341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340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341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340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341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340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341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340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341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340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341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340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341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340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341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340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341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340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341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340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341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340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341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340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341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340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341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340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341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340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341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340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341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340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341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340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341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340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341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340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341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340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341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340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341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340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341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340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341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340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341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340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341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340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341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340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341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340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341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340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341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340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341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340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341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340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341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340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341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340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341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340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341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340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341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340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341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340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341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340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341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340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341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340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341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340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341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340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341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340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341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340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341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340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341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342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342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342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342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342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342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342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342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342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342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345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345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345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345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345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345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345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345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345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345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345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345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345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345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345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345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345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346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346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346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346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346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346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346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346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346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346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346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346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346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346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346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479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341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479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341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479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341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479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341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479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341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479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341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479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341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479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341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479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341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479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341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479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341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479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341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479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341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479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341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479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341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479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341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479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341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479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341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479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341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479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341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479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341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479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341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479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341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479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341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491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492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491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492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491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492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491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492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491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492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491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492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491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492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491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492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491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492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491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492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491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492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491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492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491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492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491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492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491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492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491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492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491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492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491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492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501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502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501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502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501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502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501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502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501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502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501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502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507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507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507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507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507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507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507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507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507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507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507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507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507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507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507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507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507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507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507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507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507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507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507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507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507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507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507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507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507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507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508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509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508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509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508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509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508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509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508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509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508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509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508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509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508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509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508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509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508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509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508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509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508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509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508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509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508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509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510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511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510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511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510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511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510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511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510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511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510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511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510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4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511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510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511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510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511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512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512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512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512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512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512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512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512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512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512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513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33">
        <v>1</v>
      </c>
      <c r="AW803" s="40">
        <v>0</v>
      </c>
      <c r="AX803">
        <v>1</v>
      </c>
      <c r="AY803" s="40">
        <v>0</v>
      </c>
      <c r="BA803" s="18"/>
      <c r="BB803">
        <f>1-BC803</f>
        <v>0.86519999999999997</v>
      </c>
      <c r="BC803" s="18">
        <v>0.1348</v>
      </c>
      <c r="BD803" s="18" t="s">
        <v>514</v>
      </c>
      <c r="BK803" s="18"/>
      <c r="BN803" s="18"/>
      <c r="BQ803" s="25">
        <v>17</v>
      </c>
      <c r="BR803">
        <v>1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s="18">
        <v>0</v>
      </c>
      <c r="BZ803">
        <v>0</v>
      </c>
      <c r="CA803">
        <v>1</v>
      </c>
      <c r="CB803">
        <v>0</v>
      </c>
      <c r="CC803" s="18">
        <v>0</v>
      </c>
      <c r="CD803">
        <v>0</v>
      </c>
      <c r="CE803">
        <v>0</v>
      </c>
      <c r="CF803">
        <v>0</v>
      </c>
      <c r="CG803">
        <v>0</v>
      </c>
      <c r="CH803" s="18">
        <v>1</v>
      </c>
      <c r="CI803">
        <v>1</v>
      </c>
      <c r="CJ803">
        <v>1</v>
      </c>
      <c r="CK803">
        <v>1</v>
      </c>
      <c r="CL803">
        <v>1</v>
      </c>
      <c r="CM803">
        <v>1</v>
      </c>
      <c r="CN803">
        <v>0</v>
      </c>
      <c r="CO803">
        <v>0</v>
      </c>
      <c r="CP803">
        <v>0</v>
      </c>
      <c r="CQ803">
        <v>0</v>
      </c>
      <c r="CR803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513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6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33">
        <v>1</v>
      </c>
      <c r="AW804" s="40">
        <v>0</v>
      </c>
      <c r="AX804">
        <v>1</v>
      </c>
      <c r="AY804" s="40">
        <v>0</v>
      </c>
      <c r="BA804" s="18"/>
      <c r="BB804">
        <f t="shared" ref="BB804:BB806" si="579">1-BC804</f>
        <v>0.86519999999999997</v>
      </c>
      <c r="BC804" s="18">
        <v>0.1348</v>
      </c>
      <c r="BD804" s="18" t="s">
        <v>514</v>
      </c>
      <c r="BK804" s="18"/>
      <c r="BN804" s="18"/>
      <c r="BQ804" s="25">
        <v>17</v>
      </c>
      <c r="BR804">
        <v>1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s="18">
        <v>0</v>
      </c>
      <c r="BZ804">
        <v>0</v>
      </c>
      <c r="CA804">
        <v>1</v>
      </c>
      <c r="CB804">
        <v>0</v>
      </c>
      <c r="CC804" s="18">
        <v>0</v>
      </c>
      <c r="CD804">
        <v>0</v>
      </c>
      <c r="CE804">
        <v>0</v>
      </c>
      <c r="CF804">
        <v>0</v>
      </c>
      <c r="CG804">
        <v>0</v>
      </c>
      <c r="CH804" s="18">
        <v>1</v>
      </c>
      <c r="CI804">
        <v>1</v>
      </c>
      <c r="CJ804">
        <v>1</v>
      </c>
      <c r="CK804">
        <v>1</v>
      </c>
      <c r="CL804">
        <v>1</v>
      </c>
      <c r="CM804">
        <v>1</v>
      </c>
      <c r="CN804">
        <v>0</v>
      </c>
      <c r="CO804">
        <v>0</v>
      </c>
      <c r="CP804">
        <v>0</v>
      </c>
      <c r="CQ804">
        <v>0</v>
      </c>
      <c r="CR804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513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33">
        <v>1</v>
      </c>
      <c r="AW805" s="40">
        <v>0</v>
      </c>
      <c r="AX805">
        <v>1</v>
      </c>
      <c r="AY805" s="40">
        <v>0</v>
      </c>
      <c r="BA805" s="18"/>
      <c r="BB805">
        <f t="shared" si="579"/>
        <v>0.86519999999999997</v>
      </c>
      <c r="BC805" s="18">
        <v>0.1348</v>
      </c>
      <c r="BD805" s="18" t="s">
        <v>514</v>
      </c>
      <c r="BK805" s="18"/>
      <c r="BN805" s="18"/>
      <c r="BQ805" s="25">
        <v>17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s="18">
        <v>1</v>
      </c>
      <c r="BZ805">
        <v>0</v>
      </c>
      <c r="CA805">
        <v>1</v>
      </c>
      <c r="CB805">
        <v>0</v>
      </c>
      <c r="CC805" s="18">
        <v>0</v>
      </c>
      <c r="CD805">
        <v>0</v>
      </c>
      <c r="CE805">
        <v>0</v>
      </c>
      <c r="CF805">
        <v>0</v>
      </c>
      <c r="CG805">
        <v>0</v>
      </c>
      <c r="CH805" s="18">
        <v>1</v>
      </c>
      <c r="CI805">
        <v>1</v>
      </c>
      <c r="CJ805">
        <v>1</v>
      </c>
      <c r="CK805">
        <v>1</v>
      </c>
      <c r="CL805">
        <v>1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513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60">
        <v>1</v>
      </c>
      <c r="AW806" s="169">
        <v>0</v>
      </c>
      <c r="AX806" s="153">
        <v>1</v>
      </c>
      <c r="AY806" s="169">
        <v>0</v>
      </c>
      <c r="BA806" s="168"/>
      <c r="BB806" s="153">
        <f t="shared" si="579"/>
        <v>0.86519999999999997</v>
      </c>
      <c r="BC806" s="168">
        <v>0.1348</v>
      </c>
      <c r="BD806" s="168" t="s">
        <v>514</v>
      </c>
      <c r="BK806" s="168"/>
      <c r="BN806" s="168"/>
      <c r="BQ806" s="154">
        <v>17</v>
      </c>
      <c r="BR806" s="153">
        <v>0</v>
      </c>
      <c r="BS806" s="153">
        <v>0</v>
      </c>
      <c r="BT806" s="153">
        <v>0</v>
      </c>
      <c r="BU806" s="153">
        <v>0</v>
      </c>
      <c r="BV806" s="153">
        <v>0</v>
      </c>
      <c r="BW806" s="153">
        <v>0</v>
      </c>
      <c r="BX806" s="153">
        <v>0</v>
      </c>
      <c r="BY806" s="168">
        <v>1</v>
      </c>
      <c r="BZ806" s="153">
        <v>0</v>
      </c>
      <c r="CA806" s="153">
        <v>1</v>
      </c>
      <c r="CB806" s="153">
        <v>0</v>
      </c>
      <c r="CC806" s="168">
        <v>0</v>
      </c>
      <c r="CD806" s="153">
        <v>0</v>
      </c>
      <c r="CE806" s="153">
        <v>0</v>
      </c>
      <c r="CF806" s="153">
        <v>0</v>
      </c>
      <c r="CG806" s="153">
        <v>0</v>
      </c>
      <c r="CH806" s="168">
        <v>1</v>
      </c>
      <c r="CI806" s="153">
        <v>1</v>
      </c>
      <c r="CJ806" s="153">
        <v>1</v>
      </c>
      <c r="CK806" s="153">
        <v>1</v>
      </c>
      <c r="CL806" s="153">
        <v>1</v>
      </c>
      <c r="CM806" s="153">
        <v>1</v>
      </c>
      <c r="CN806" s="153">
        <v>0</v>
      </c>
      <c r="CO806" s="153">
        <v>0</v>
      </c>
      <c r="CP806" s="153">
        <v>0</v>
      </c>
      <c r="CQ806" s="153">
        <v>0</v>
      </c>
      <c r="CR806" s="153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>
        <v>51</v>
      </c>
      <c r="C807" s="25" t="s">
        <v>515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33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>
        <v>1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s="18">
        <v>0</v>
      </c>
      <c r="BZ807">
        <v>0</v>
      </c>
      <c r="CA807">
        <v>0</v>
      </c>
      <c r="CB807">
        <v>0</v>
      </c>
      <c r="CC807" s="18">
        <v>1</v>
      </c>
      <c r="CD807">
        <v>0</v>
      </c>
      <c r="CE807">
        <v>0</v>
      </c>
      <c r="CF807">
        <v>0</v>
      </c>
      <c r="CG807">
        <v>0</v>
      </c>
      <c r="CH807" s="18">
        <v>0</v>
      </c>
      <c r="CI807">
        <v>0</v>
      </c>
      <c r="CJ807">
        <v>0</v>
      </c>
      <c r="CK807">
        <v>1</v>
      </c>
      <c r="CL807">
        <v>1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>
        <v>51</v>
      </c>
      <c r="C808" s="25" t="s">
        <v>515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33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s="18">
        <v>0</v>
      </c>
      <c r="BZ808">
        <v>0</v>
      </c>
      <c r="CA808">
        <v>0</v>
      </c>
      <c r="CB808">
        <v>0</v>
      </c>
      <c r="CC808" s="18">
        <v>1</v>
      </c>
      <c r="CD808">
        <v>0</v>
      </c>
      <c r="CE808">
        <v>0</v>
      </c>
      <c r="CF808">
        <v>0</v>
      </c>
      <c r="CG808">
        <v>0</v>
      </c>
      <c r="CH808" s="18">
        <v>0</v>
      </c>
      <c r="CI808">
        <v>0</v>
      </c>
      <c r="CJ808">
        <v>0</v>
      </c>
      <c r="CK808">
        <v>1</v>
      </c>
      <c r="CL808">
        <v>1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>
        <v>51</v>
      </c>
      <c r="C809" s="25" t="s">
        <v>515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33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>
        <v>1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s="18">
        <v>0</v>
      </c>
      <c r="BZ809">
        <v>0</v>
      </c>
      <c r="CA809">
        <v>0</v>
      </c>
      <c r="CB809">
        <v>0</v>
      </c>
      <c r="CC809" s="18">
        <v>1</v>
      </c>
      <c r="CD809">
        <v>0</v>
      </c>
      <c r="CE809">
        <v>0</v>
      </c>
      <c r="CF809">
        <v>0</v>
      </c>
      <c r="CG809">
        <v>0</v>
      </c>
      <c r="CH809" s="18">
        <v>0</v>
      </c>
      <c r="CI809">
        <v>0</v>
      </c>
      <c r="CJ809">
        <v>0</v>
      </c>
      <c r="CK809">
        <v>1</v>
      </c>
      <c r="CL809">
        <v>1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>
        <v>51</v>
      </c>
      <c r="C810" s="25" t="s">
        <v>515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>
        <v>1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s="18">
        <v>0</v>
      </c>
      <c r="BZ810">
        <v>0</v>
      </c>
      <c r="CA810">
        <v>0</v>
      </c>
      <c r="CB810">
        <v>0</v>
      </c>
      <c r="CC810" s="18">
        <v>1</v>
      </c>
      <c r="CD810">
        <v>0</v>
      </c>
      <c r="CE810">
        <v>0</v>
      </c>
      <c r="CF810">
        <v>0</v>
      </c>
      <c r="CG810">
        <v>0</v>
      </c>
      <c r="CH810" s="18">
        <v>0</v>
      </c>
      <c r="CI810">
        <v>0</v>
      </c>
      <c r="CJ810">
        <v>0</v>
      </c>
      <c r="CK810">
        <v>1</v>
      </c>
      <c r="CL810">
        <v>1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>
        <v>51</v>
      </c>
      <c r="C811" s="25" t="s">
        <v>515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>
        <v>1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s="18">
        <v>0</v>
      </c>
      <c r="BZ811">
        <v>0</v>
      </c>
      <c r="CA811">
        <v>0</v>
      </c>
      <c r="CB811">
        <v>0</v>
      </c>
      <c r="CC811" s="18">
        <v>1</v>
      </c>
      <c r="CD811">
        <v>0</v>
      </c>
      <c r="CE811">
        <v>0</v>
      </c>
      <c r="CF811">
        <v>0</v>
      </c>
      <c r="CG811">
        <v>0</v>
      </c>
      <c r="CH811" s="18">
        <v>0</v>
      </c>
      <c r="CI811">
        <v>0</v>
      </c>
      <c r="CJ811">
        <v>0</v>
      </c>
      <c r="CK811">
        <v>1</v>
      </c>
      <c r="CL811">
        <v>1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53">
        <v>51</v>
      </c>
      <c r="C812" s="154" t="s">
        <v>515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53">
        <v>1</v>
      </c>
      <c r="BS812" s="153">
        <v>0</v>
      </c>
      <c r="BT812" s="153">
        <v>0</v>
      </c>
      <c r="BU812" s="153">
        <v>0</v>
      </c>
      <c r="BV812" s="153">
        <v>0</v>
      </c>
      <c r="BW812" s="153">
        <v>0</v>
      </c>
      <c r="BX812" s="153">
        <v>0</v>
      </c>
      <c r="BY812" s="168">
        <v>0</v>
      </c>
      <c r="BZ812" s="153">
        <v>0</v>
      </c>
      <c r="CA812" s="153">
        <v>0</v>
      </c>
      <c r="CB812" s="153">
        <v>0</v>
      </c>
      <c r="CC812" s="168">
        <v>1</v>
      </c>
      <c r="CD812" s="153">
        <v>0</v>
      </c>
      <c r="CE812" s="153">
        <v>0</v>
      </c>
      <c r="CF812" s="153">
        <v>0</v>
      </c>
      <c r="CG812" s="153">
        <v>0</v>
      </c>
      <c r="CH812" s="168">
        <v>0</v>
      </c>
      <c r="CI812" s="153">
        <v>0</v>
      </c>
      <c r="CJ812" s="153">
        <v>0</v>
      </c>
      <c r="CK812" s="153">
        <v>1</v>
      </c>
      <c r="CL812" s="153">
        <v>1</v>
      </c>
      <c r="CM812" s="153">
        <v>0</v>
      </c>
      <c r="CN812" s="153">
        <v>0</v>
      </c>
      <c r="CO812" s="153">
        <v>0</v>
      </c>
      <c r="CP812" s="153">
        <v>0</v>
      </c>
      <c r="CQ812" s="153">
        <v>0</v>
      </c>
      <c r="CR812" s="153">
        <v>0</v>
      </c>
      <c r="CS812" s="168">
        <v>0</v>
      </c>
      <c r="CY812" s="171"/>
      <c r="DD812" s="171" t="s">
        <v>86</v>
      </c>
    </row>
    <row r="813" spans="1:108" s="189" customFormat="1" x14ac:dyDescent="0.25">
      <c r="A813" s="189">
        <v>812</v>
      </c>
      <c r="B813" s="189">
        <v>52</v>
      </c>
      <c r="C813" s="190" t="s">
        <v>517</v>
      </c>
      <c r="D813" s="191">
        <v>6.9290000000000003</v>
      </c>
      <c r="E813" s="192">
        <v>0.35099999999999998</v>
      </c>
      <c r="F813" s="193">
        <f t="shared" si="558"/>
        <v>19.740740740740744</v>
      </c>
      <c r="G813" s="193">
        <f t="shared" si="542"/>
        <v>6.5780000000000003</v>
      </c>
      <c r="H813" s="194">
        <f t="shared" si="543"/>
        <v>7.28</v>
      </c>
      <c r="I813" s="195">
        <f t="shared" si="580"/>
        <v>0.27982908448508376</v>
      </c>
      <c r="J813" s="196">
        <f t="shared" si="581"/>
        <v>1.4175206906373847E-2</v>
      </c>
      <c r="K813" s="196">
        <f t="shared" si="582"/>
        <v>70.545707488075706</v>
      </c>
      <c r="L813" s="196">
        <f t="shared" si="583"/>
        <v>0.2656538775787099</v>
      </c>
      <c r="M813" s="196">
        <f t="shared" si="584"/>
        <v>0.29400429139145762</v>
      </c>
      <c r="N813" s="197">
        <v>1</v>
      </c>
      <c r="O813" s="198">
        <v>0</v>
      </c>
      <c r="P813" s="197">
        <v>0</v>
      </c>
      <c r="Q813" s="198">
        <v>0</v>
      </c>
      <c r="R813" s="198">
        <v>1</v>
      </c>
      <c r="S813" s="198">
        <v>0</v>
      </c>
      <c r="T813" s="198">
        <v>0</v>
      </c>
      <c r="U813" s="197">
        <v>4596</v>
      </c>
      <c r="V813" s="198">
        <v>8</v>
      </c>
      <c r="W813" s="198">
        <f t="shared" si="573"/>
        <v>4587</v>
      </c>
      <c r="X813" s="198">
        <f t="shared" si="559"/>
        <v>1</v>
      </c>
      <c r="Y813" s="193">
        <v>10.683</v>
      </c>
      <c r="Z813" s="193">
        <v>7.8520000000000003</v>
      </c>
      <c r="AA813" s="198">
        <v>1</v>
      </c>
      <c r="AB813" s="198">
        <v>0</v>
      </c>
      <c r="AC813" s="198">
        <v>0</v>
      </c>
      <c r="AD813" s="198">
        <v>0</v>
      </c>
      <c r="AE813" s="198">
        <v>0</v>
      </c>
      <c r="AF813" s="198">
        <v>1</v>
      </c>
      <c r="AG813" s="197">
        <v>0</v>
      </c>
      <c r="AH813" s="198">
        <v>1</v>
      </c>
      <c r="AI813" s="199">
        <v>0</v>
      </c>
      <c r="AJ813" s="198">
        <v>1</v>
      </c>
      <c r="AK813" s="199">
        <v>0</v>
      </c>
      <c r="AL813" s="200">
        <v>2008</v>
      </c>
      <c r="AM813" s="201">
        <f t="shared" si="561"/>
        <v>7.6048944808116197</v>
      </c>
      <c r="AN813" s="196" t="s">
        <v>106</v>
      </c>
      <c r="AO813" s="196" t="s">
        <v>106</v>
      </c>
      <c r="AP813" s="196" t="s">
        <v>106</v>
      </c>
      <c r="AQ813" s="202" t="s">
        <v>106</v>
      </c>
      <c r="AR813" s="196" t="s">
        <v>106</v>
      </c>
      <c r="AS813" s="202" t="s">
        <v>106</v>
      </c>
      <c r="AT813" s="203" t="s">
        <v>106</v>
      </c>
      <c r="AU813" s="204" t="s">
        <v>106</v>
      </c>
      <c r="AV813" s="189">
        <v>0.66700000000000004</v>
      </c>
      <c r="AW813" s="205">
        <v>0.33300000000000002</v>
      </c>
      <c r="AX813" s="189" t="s">
        <v>106</v>
      </c>
      <c r="AY813" s="205" t="s">
        <v>106</v>
      </c>
      <c r="BA813" s="204"/>
      <c r="BB813" s="189">
        <v>0.32400000000000001</v>
      </c>
      <c r="BC813" s="204">
        <v>0.67600000000000005</v>
      </c>
      <c r="BD813" s="204" t="s">
        <v>13</v>
      </c>
      <c r="BK813" s="204"/>
      <c r="BN813" s="204"/>
      <c r="BQ813" s="190">
        <v>35.192</v>
      </c>
      <c r="BR813" s="189">
        <v>1</v>
      </c>
      <c r="BS813" s="189">
        <v>0</v>
      </c>
      <c r="BT813" s="189">
        <v>0</v>
      </c>
      <c r="BU813" s="189">
        <v>0</v>
      </c>
      <c r="BV813" s="189">
        <v>0</v>
      </c>
      <c r="BW813" s="189">
        <v>0</v>
      </c>
      <c r="BX813" s="189">
        <v>0</v>
      </c>
      <c r="BY813" s="204">
        <v>0</v>
      </c>
      <c r="BZ813" s="189">
        <v>0</v>
      </c>
      <c r="CA813" s="189">
        <v>0</v>
      </c>
      <c r="CB813" s="189">
        <v>0</v>
      </c>
      <c r="CC813" s="204">
        <v>1</v>
      </c>
      <c r="CD813" s="189">
        <v>0</v>
      </c>
      <c r="CE813" s="189">
        <v>0</v>
      </c>
      <c r="CF813" s="189">
        <v>0</v>
      </c>
      <c r="CG813" s="189">
        <v>0</v>
      </c>
      <c r="CH813" s="204">
        <v>0</v>
      </c>
      <c r="CI813" s="189">
        <v>0</v>
      </c>
      <c r="CJ813" s="189">
        <v>0</v>
      </c>
      <c r="CK813" s="189">
        <v>1</v>
      </c>
      <c r="CL813" s="189">
        <v>1</v>
      </c>
      <c r="CM813" s="189">
        <v>0</v>
      </c>
      <c r="CN813" s="189">
        <v>0</v>
      </c>
      <c r="CO813" s="189">
        <v>0</v>
      </c>
      <c r="CP813" s="189">
        <v>0</v>
      </c>
      <c r="CQ813" s="189">
        <v>0</v>
      </c>
      <c r="CR813" s="189">
        <v>0</v>
      </c>
      <c r="CS813" s="204">
        <v>0</v>
      </c>
      <c r="CY813" s="206"/>
      <c r="DD813" s="206" t="s">
        <v>86</v>
      </c>
    </row>
    <row r="814" spans="1:108" x14ac:dyDescent="0.25">
      <c r="A814">
        <v>813</v>
      </c>
      <c r="B814">
        <v>53</v>
      </c>
      <c r="C814" s="25" t="s">
        <v>518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>
        <v>1</v>
      </c>
      <c r="AW814" s="40">
        <v>0</v>
      </c>
      <c r="AX814" t="s">
        <v>106</v>
      </c>
      <c r="AY814" s="40" t="s">
        <v>106</v>
      </c>
      <c r="BA814" s="18"/>
      <c r="BB814" t="s">
        <v>106</v>
      </c>
      <c r="BC814" s="18" t="s">
        <v>106</v>
      </c>
      <c r="BD814" s="18" t="s">
        <v>245</v>
      </c>
      <c r="BK814" s="18"/>
      <c r="BN814" s="18"/>
      <c r="BQ814" s="25">
        <v>41.44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s="18">
        <v>0</v>
      </c>
      <c r="BZ814">
        <v>0</v>
      </c>
      <c r="CA814">
        <v>0</v>
      </c>
      <c r="CB814">
        <v>1</v>
      </c>
      <c r="CC814" s="18">
        <v>0</v>
      </c>
      <c r="CD814">
        <v>0</v>
      </c>
      <c r="CE814">
        <v>0</v>
      </c>
      <c r="CF814">
        <v>0</v>
      </c>
      <c r="CG814">
        <v>0</v>
      </c>
      <c r="CH814" s="18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>
        <v>53</v>
      </c>
      <c r="C815" s="25" t="s">
        <v>518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>
        <v>1</v>
      </c>
      <c r="AW815" s="40">
        <v>0</v>
      </c>
      <c r="AX815" t="s">
        <v>106</v>
      </c>
      <c r="AY815" s="40" t="s">
        <v>106</v>
      </c>
      <c r="BA815" s="18"/>
      <c r="BB815" t="s">
        <v>106</v>
      </c>
      <c r="BC815" s="18" t="s">
        <v>106</v>
      </c>
      <c r="BD815" s="18" t="s">
        <v>245</v>
      </c>
      <c r="BK815" s="18"/>
      <c r="BN815" s="18"/>
      <c r="BQ815" s="25">
        <v>41.44</v>
      </c>
      <c r="BR815">
        <v>0</v>
      </c>
      <c r="BS815">
        <v>0</v>
      </c>
      <c r="BT815">
        <v>0</v>
      </c>
      <c r="BU815">
        <v>0</v>
      </c>
      <c r="BV815">
        <v>1</v>
      </c>
      <c r="BW815">
        <v>0</v>
      </c>
      <c r="BX815">
        <v>0</v>
      </c>
      <c r="BY815" s="18">
        <v>0</v>
      </c>
      <c r="BZ815">
        <v>0</v>
      </c>
      <c r="CA815">
        <v>1</v>
      </c>
      <c r="CB815">
        <v>0</v>
      </c>
      <c r="CC815" s="18">
        <v>0</v>
      </c>
      <c r="CD815">
        <v>0</v>
      </c>
      <c r="CE815">
        <v>0</v>
      </c>
      <c r="CF815">
        <v>0</v>
      </c>
      <c r="CG815">
        <v>0</v>
      </c>
      <c r="CH815" s="18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>
        <v>53</v>
      </c>
      <c r="C816" s="25" t="s">
        <v>518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>
        <v>1</v>
      </c>
      <c r="AW816" s="40">
        <v>0</v>
      </c>
      <c r="AX816" t="s">
        <v>106</v>
      </c>
      <c r="AY816" s="40" t="s">
        <v>106</v>
      </c>
      <c r="BA816" s="18"/>
      <c r="BB816" t="s">
        <v>106</v>
      </c>
      <c r="BC816" s="18" t="s">
        <v>106</v>
      </c>
      <c r="BD816" s="18" t="s">
        <v>245</v>
      </c>
      <c r="BK816" s="18"/>
      <c r="BN816" s="18"/>
      <c r="BQ816" s="25">
        <v>41.44</v>
      </c>
      <c r="BR816">
        <v>0</v>
      </c>
      <c r="BS816">
        <v>0</v>
      </c>
      <c r="BT816">
        <v>0</v>
      </c>
      <c r="BU816">
        <v>0</v>
      </c>
      <c r="BV816">
        <v>1</v>
      </c>
      <c r="BW816">
        <v>0</v>
      </c>
      <c r="BX816">
        <v>0</v>
      </c>
      <c r="BY816" s="18">
        <v>0</v>
      </c>
      <c r="BZ816">
        <v>0</v>
      </c>
      <c r="CA816">
        <v>1</v>
      </c>
      <c r="CB816">
        <v>0</v>
      </c>
      <c r="CC816" s="18">
        <v>0</v>
      </c>
      <c r="CD816">
        <v>0</v>
      </c>
      <c r="CE816">
        <v>0</v>
      </c>
      <c r="CF816">
        <v>0</v>
      </c>
      <c r="CG816">
        <v>0</v>
      </c>
      <c r="CH816" s="18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>
        <v>53</v>
      </c>
      <c r="C817" s="25" t="s">
        <v>518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>
        <v>1</v>
      </c>
      <c r="AW817" s="40">
        <v>0</v>
      </c>
      <c r="AX817" t="s">
        <v>106</v>
      </c>
      <c r="AY817" s="40" t="s">
        <v>106</v>
      </c>
      <c r="BA817" s="18"/>
      <c r="BB817" t="s">
        <v>106</v>
      </c>
      <c r="BC817" s="18" t="s">
        <v>106</v>
      </c>
      <c r="BD817" s="18" t="s">
        <v>245</v>
      </c>
      <c r="BK817" s="18"/>
      <c r="BN817" s="18"/>
      <c r="BQ817" s="25">
        <v>41.44</v>
      </c>
      <c r="BR817">
        <v>0</v>
      </c>
      <c r="BS817">
        <v>0</v>
      </c>
      <c r="BT817">
        <v>0</v>
      </c>
      <c r="BU817">
        <v>0</v>
      </c>
      <c r="BV817">
        <v>1</v>
      </c>
      <c r="BW817">
        <v>0</v>
      </c>
      <c r="BX817">
        <v>0</v>
      </c>
      <c r="BY817" s="18">
        <v>0</v>
      </c>
      <c r="BZ817">
        <v>0</v>
      </c>
      <c r="CA817">
        <v>1</v>
      </c>
      <c r="CB817">
        <v>0</v>
      </c>
      <c r="CC817" s="18">
        <v>0</v>
      </c>
      <c r="CD817">
        <v>0</v>
      </c>
      <c r="CE817">
        <v>0</v>
      </c>
      <c r="CF817">
        <v>0</v>
      </c>
      <c r="CG817">
        <v>0</v>
      </c>
      <c r="CH817" s="18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>
        <v>53</v>
      </c>
      <c r="C818" s="25" t="s">
        <v>518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>
        <v>1</v>
      </c>
      <c r="AW818" s="40">
        <v>0</v>
      </c>
      <c r="AX818" t="s">
        <v>106</v>
      </c>
      <c r="AY818" s="40" t="s">
        <v>106</v>
      </c>
      <c r="BA818" s="18"/>
      <c r="BB818" t="s">
        <v>106</v>
      </c>
      <c r="BC818" s="18" t="s">
        <v>106</v>
      </c>
      <c r="BD818" s="18" t="s">
        <v>245</v>
      </c>
      <c r="BK818" s="18"/>
      <c r="BN818" s="18"/>
      <c r="BQ818" s="25">
        <v>41.44</v>
      </c>
      <c r="BR818">
        <v>1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s="18">
        <v>0</v>
      </c>
      <c r="BZ818">
        <v>0</v>
      </c>
      <c r="CA818">
        <v>0</v>
      </c>
      <c r="CB818">
        <v>1</v>
      </c>
      <c r="CC818" s="18">
        <v>0</v>
      </c>
      <c r="CD818">
        <v>0</v>
      </c>
      <c r="CE818">
        <v>0</v>
      </c>
      <c r="CF818">
        <v>0</v>
      </c>
      <c r="CG818">
        <v>0</v>
      </c>
      <c r="CH818" s="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>
        <v>53</v>
      </c>
      <c r="C819" s="25" t="s">
        <v>518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>
        <v>1</v>
      </c>
      <c r="AW819" s="40">
        <v>0</v>
      </c>
      <c r="AX819" t="s">
        <v>106</v>
      </c>
      <c r="AY819" s="40" t="s">
        <v>106</v>
      </c>
      <c r="BA819" s="18"/>
      <c r="BB819" t="s">
        <v>106</v>
      </c>
      <c r="BC819" s="18" t="s">
        <v>106</v>
      </c>
      <c r="BD819" s="18" t="s">
        <v>245</v>
      </c>
      <c r="BK819" s="18"/>
      <c r="BN819" s="18"/>
      <c r="BQ819" s="25">
        <v>41.44</v>
      </c>
      <c r="BR819">
        <v>0</v>
      </c>
      <c r="BS819">
        <v>0</v>
      </c>
      <c r="BT819">
        <v>0</v>
      </c>
      <c r="BU819">
        <v>0</v>
      </c>
      <c r="BV819">
        <v>1</v>
      </c>
      <c r="BW819">
        <v>0</v>
      </c>
      <c r="BX819">
        <v>0</v>
      </c>
      <c r="BY819" s="18">
        <v>0</v>
      </c>
      <c r="BZ819">
        <v>0</v>
      </c>
      <c r="CA819">
        <v>1</v>
      </c>
      <c r="CB819">
        <v>0</v>
      </c>
      <c r="CC819" s="18">
        <v>0</v>
      </c>
      <c r="CD819">
        <v>0</v>
      </c>
      <c r="CE819">
        <v>0</v>
      </c>
      <c r="CF819">
        <v>0</v>
      </c>
      <c r="CG819">
        <v>0</v>
      </c>
      <c r="CH819" s="18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>
        <v>53</v>
      </c>
      <c r="C820" s="25" t="s">
        <v>518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>
        <v>1</v>
      </c>
      <c r="AW820" s="40">
        <v>0</v>
      </c>
      <c r="AX820" t="s">
        <v>106</v>
      </c>
      <c r="AY820" s="40" t="s">
        <v>106</v>
      </c>
      <c r="BA820" s="18"/>
      <c r="BB820" t="s">
        <v>106</v>
      </c>
      <c r="BC820" s="18" t="s">
        <v>106</v>
      </c>
      <c r="BD820" s="18" t="s">
        <v>245</v>
      </c>
      <c r="BK820" s="18"/>
      <c r="BN820" s="18"/>
      <c r="BQ820" s="25">
        <v>41.44</v>
      </c>
      <c r="BR820">
        <v>0</v>
      </c>
      <c r="BS820">
        <v>0</v>
      </c>
      <c r="BT820">
        <v>0</v>
      </c>
      <c r="BU820">
        <v>0</v>
      </c>
      <c r="BV820">
        <v>1</v>
      </c>
      <c r="BW820">
        <v>0</v>
      </c>
      <c r="BX820">
        <v>0</v>
      </c>
      <c r="BY820" s="18">
        <v>0</v>
      </c>
      <c r="BZ820">
        <v>0</v>
      </c>
      <c r="CA820">
        <v>1</v>
      </c>
      <c r="CB820">
        <v>0</v>
      </c>
      <c r="CC820" s="18">
        <v>0</v>
      </c>
      <c r="CD820">
        <v>0</v>
      </c>
      <c r="CE820">
        <v>0</v>
      </c>
      <c r="CF820">
        <v>0</v>
      </c>
      <c r="CG820">
        <v>0</v>
      </c>
      <c r="CH820" s="18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53">
        <v>53</v>
      </c>
      <c r="C821" s="154" t="s">
        <v>518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53">
        <v>1</v>
      </c>
      <c r="AW821" s="169">
        <v>0</v>
      </c>
      <c r="AX821" s="153" t="s">
        <v>106</v>
      </c>
      <c r="AY821" s="169" t="s">
        <v>106</v>
      </c>
      <c r="BA821" s="168"/>
      <c r="BB821" s="153" t="s">
        <v>106</v>
      </c>
      <c r="BC821" s="168" t="s">
        <v>106</v>
      </c>
      <c r="BD821" s="168" t="s">
        <v>245</v>
      </c>
      <c r="BK821" s="168"/>
      <c r="BN821" s="168"/>
      <c r="BQ821" s="154">
        <v>41.44</v>
      </c>
      <c r="BR821" s="153">
        <v>0</v>
      </c>
      <c r="BS821" s="153">
        <v>0</v>
      </c>
      <c r="BT821" s="153">
        <v>0</v>
      </c>
      <c r="BU821" s="153">
        <v>0</v>
      </c>
      <c r="BV821" s="153">
        <v>1</v>
      </c>
      <c r="BW821" s="153">
        <v>0</v>
      </c>
      <c r="BX821" s="153">
        <v>0</v>
      </c>
      <c r="BY821" s="168">
        <v>0</v>
      </c>
      <c r="BZ821" s="153">
        <v>0</v>
      </c>
      <c r="CA821" s="153">
        <v>1</v>
      </c>
      <c r="CB821" s="153">
        <v>0</v>
      </c>
      <c r="CC821" s="168">
        <v>0</v>
      </c>
      <c r="CD821" s="153">
        <v>0</v>
      </c>
      <c r="CE821" s="153">
        <v>0</v>
      </c>
      <c r="CF821" s="153">
        <v>0</v>
      </c>
      <c r="CG821" s="153">
        <v>0</v>
      </c>
      <c r="CH821" s="168">
        <v>0</v>
      </c>
      <c r="CI821" s="153">
        <v>0</v>
      </c>
      <c r="CJ821" s="153">
        <v>0</v>
      </c>
      <c r="CK821" s="153">
        <v>0</v>
      </c>
      <c r="CL821" s="153">
        <v>0</v>
      </c>
      <c r="CM821" s="153">
        <v>0</v>
      </c>
      <c r="CN821" s="153">
        <v>0</v>
      </c>
      <c r="CO821" s="153">
        <v>0</v>
      </c>
      <c r="CP821" s="153">
        <v>0</v>
      </c>
      <c r="CQ821" s="153">
        <v>0</v>
      </c>
      <c r="CR821" s="153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>
        <v>54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9"/>
        <v>2</v>
      </c>
      <c r="AG822" s="8"/>
      <c r="AI822" s="30"/>
      <c r="AK822" s="30"/>
      <c r="AL822" s="21"/>
      <c r="AM822" s="23" t="e">
        <f t="shared" si="561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B823">
        <v>54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9"/>
        <v>2</v>
      </c>
      <c r="AG823" s="8"/>
      <c r="AI823" s="30"/>
      <c r="AK823" s="30"/>
      <c r="AL823" s="21"/>
      <c r="AM823" s="23" t="e">
        <f t="shared" si="561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9"/>
        <v>0</v>
      </c>
      <c r="AG824" s="8"/>
      <c r="AI824" s="30"/>
      <c r="AK824" s="30"/>
      <c r="AL824" s="21"/>
      <c r="AM824" s="23" t="e">
        <f t="shared" si="561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9"/>
        <v>0</v>
      </c>
      <c r="AG825" s="8"/>
      <c r="AI825" s="30"/>
      <c r="AK825" s="30"/>
      <c r="AL825" s="21"/>
      <c r="AM825" s="23" t="e">
        <f t="shared" si="561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9"/>
        <v>0</v>
      </c>
      <c r="AG826" s="8"/>
      <c r="AI826" s="30"/>
      <c r="AK826" s="30"/>
      <c r="AL826" s="21"/>
      <c r="AM826" s="23" t="e">
        <f t="shared" si="561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9"/>
        <v>0</v>
      </c>
      <c r="AG827" s="8"/>
      <c r="AI827" s="30"/>
      <c r="AK827" s="30"/>
      <c r="AL827" s="21"/>
      <c r="AM827" s="23" t="e">
        <f t="shared" si="561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9"/>
        <v>0</v>
      </c>
      <c r="AG828" s="8"/>
      <c r="AI828" s="30"/>
      <c r="AK828" s="30"/>
      <c r="AL828" s="21"/>
      <c r="AM828" s="23" t="e">
        <f t="shared" si="561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9"/>
        <v>0</v>
      </c>
      <c r="AG829" s="8"/>
      <c r="AI829" s="30"/>
      <c r="AK829" s="30"/>
      <c r="AL829" s="21"/>
      <c r="AM829" s="23" t="e">
        <f t="shared" si="561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9"/>
        <v>0</v>
      </c>
      <c r="AG830" s="8"/>
      <c r="AI830" s="30"/>
      <c r="AK830" s="30"/>
      <c r="AL830" s="21"/>
      <c r="AM830" s="23" t="e">
        <f t="shared" si="561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9"/>
        <v>0</v>
      </c>
      <c r="AG831" s="8"/>
      <c r="AI831" s="30"/>
      <c r="AK831" s="30"/>
      <c r="AL831" s="21"/>
      <c r="AM831" s="23" t="e">
        <f t="shared" si="561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9"/>
        <v>0</v>
      </c>
      <c r="AG832" s="8"/>
      <c r="AI832" s="30"/>
      <c r="AK832" s="30"/>
      <c r="AL832" s="21"/>
      <c r="AM832" s="23" t="e">
        <f t="shared" si="561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9"/>
        <v>0</v>
      </c>
      <c r="AG833" s="8"/>
      <c r="AI833" s="30"/>
      <c r="AK833" s="30"/>
      <c r="AL833" s="21"/>
      <c r="AM833" s="23" t="e">
        <f t="shared" si="561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9"/>
        <v>0</v>
      </c>
      <c r="AG834" s="8"/>
      <c r="AI834" s="30"/>
      <c r="AK834" s="30"/>
      <c r="AL834" s="21"/>
      <c r="AM834" s="23" t="e">
        <f t="shared" si="561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600">COUNTIF(B:B,B835)</f>
        <v>0</v>
      </c>
      <c r="AG835" s="8"/>
      <c r="AI835" s="30"/>
      <c r="AK835" s="30"/>
      <c r="AL835" s="21"/>
      <c r="AM835" s="23" t="e">
        <f t="shared" ref="AM835:AM898" si="601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600"/>
        <v>0</v>
      </c>
      <c r="AG836" s="8"/>
      <c r="AI836" s="30"/>
      <c r="AK836" s="30"/>
      <c r="AL836" s="21"/>
      <c r="AM836" s="23" t="e">
        <f t="shared" si="601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600"/>
        <v>0</v>
      </c>
      <c r="AG837" s="8"/>
      <c r="AI837" s="30"/>
      <c r="AK837" s="30"/>
      <c r="AL837" s="21"/>
      <c r="AM837" s="23" t="e">
        <f t="shared" si="601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600"/>
        <v>0</v>
      </c>
      <c r="AG838" s="8"/>
      <c r="AI838" s="30"/>
      <c r="AK838" s="30"/>
      <c r="AL838" s="21"/>
      <c r="AM838" s="23" t="e">
        <f t="shared" si="601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600"/>
        <v>0</v>
      </c>
      <c r="AG839" s="8"/>
      <c r="AI839" s="30"/>
      <c r="AK839" s="30"/>
      <c r="AL839" s="21"/>
      <c r="AM839" s="23" t="e">
        <f t="shared" si="601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600"/>
        <v>0</v>
      </c>
      <c r="AG840" s="8"/>
      <c r="AI840" s="30"/>
      <c r="AK840" s="30"/>
      <c r="AL840" s="21"/>
      <c r="AM840" s="23" t="e">
        <f t="shared" si="601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600"/>
        <v>0</v>
      </c>
      <c r="AG841" s="8"/>
      <c r="AI841" s="30"/>
      <c r="AK841" s="30"/>
      <c r="AL841" s="21"/>
      <c r="AM841" s="23" t="e">
        <f t="shared" si="601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600"/>
        <v>0</v>
      </c>
      <c r="AG842" s="8"/>
      <c r="AI842" s="30"/>
      <c r="AK842" s="30"/>
      <c r="AL842" s="21"/>
      <c r="AM842" s="23" t="e">
        <f t="shared" si="601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600"/>
        <v>0</v>
      </c>
      <c r="AG843" s="8"/>
      <c r="AI843" s="30"/>
      <c r="AK843" s="30"/>
      <c r="AL843" s="21"/>
      <c r="AM843" s="23" t="e">
        <f t="shared" si="601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600"/>
        <v>0</v>
      </c>
      <c r="AG844" s="8"/>
      <c r="AI844" s="30"/>
      <c r="AK844" s="30"/>
      <c r="AL844" s="21"/>
      <c r="AM844" s="23" t="e">
        <f t="shared" si="601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600"/>
        <v>0</v>
      </c>
      <c r="AG845" s="8"/>
      <c r="AI845" s="30"/>
      <c r="AK845" s="30"/>
      <c r="AL845" s="21"/>
      <c r="AM845" s="23" t="e">
        <f t="shared" si="601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600"/>
        <v>0</v>
      </c>
      <c r="AG846" s="8"/>
      <c r="AI846" s="30"/>
      <c r="AK846" s="30"/>
      <c r="AL846" s="21"/>
      <c r="AM846" s="23" t="e">
        <f t="shared" si="601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600"/>
        <v>0</v>
      </c>
      <c r="AG847" s="8"/>
      <c r="AI847" s="30"/>
      <c r="AK847" s="30"/>
      <c r="AL847" s="21"/>
      <c r="AM847" s="23" t="e">
        <f t="shared" si="601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600"/>
        <v>0</v>
      </c>
      <c r="AG848" s="8"/>
      <c r="AI848" s="30"/>
      <c r="AK848" s="30"/>
      <c r="AL848" s="21"/>
      <c r="AM848" s="23" t="e">
        <f t="shared" si="601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00"/>
        <v>0</v>
      </c>
      <c r="AG849" s="8"/>
      <c r="AI849" s="30"/>
      <c r="AK849" s="30"/>
      <c r="AL849" s="21"/>
      <c r="AM849" s="23" t="e">
        <f t="shared" si="60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00"/>
        <v>0</v>
      </c>
      <c r="AG850" s="8"/>
      <c r="AI850" s="30"/>
      <c r="AK850" s="30"/>
      <c r="AL850" s="21"/>
      <c r="AM850" s="23" t="e">
        <f t="shared" si="60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00"/>
        <v>0</v>
      </c>
      <c r="AG851" s="8"/>
      <c r="AI851" s="30"/>
      <c r="AK851" s="30"/>
      <c r="AL851" s="21"/>
      <c r="AM851" s="23" t="e">
        <f t="shared" si="60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00"/>
        <v>0</v>
      </c>
      <c r="AG852" s="8"/>
      <c r="AI852" s="30"/>
      <c r="AK852" s="30"/>
      <c r="AL852" s="21"/>
      <c r="AM852" s="23" t="e">
        <f t="shared" si="60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00"/>
        <v>0</v>
      </c>
      <c r="AG853" s="8"/>
      <c r="AI853" s="30"/>
      <c r="AK853" s="30"/>
      <c r="AL853" s="21"/>
      <c r="AM853" s="23" t="e">
        <f t="shared" si="60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00"/>
        <v>0</v>
      </c>
      <c r="AG854" s="8"/>
      <c r="AI854" s="30"/>
      <c r="AK854" s="30"/>
      <c r="AL854" s="21"/>
      <c r="AM854" s="23" t="e">
        <f t="shared" si="60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00"/>
        <v>0</v>
      </c>
      <c r="AG855" s="8"/>
      <c r="AI855" s="30"/>
      <c r="AK855" s="30"/>
      <c r="AL855" s="21"/>
      <c r="AM855" s="23" t="e">
        <f t="shared" si="60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00"/>
        <v>0</v>
      </c>
      <c r="AG856" s="8"/>
      <c r="AI856" s="30"/>
      <c r="AK856" s="30"/>
      <c r="AL856" s="21"/>
      <c r="AM856" s="23" t="e">
        <f t="shared" si="60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00"/>
        <v>0</v>
      </c>
      <c r="AG857" s="8"/>
      <c r="AI857" s="30"/>
      <c r="AK857" s="30"/>
      <c r="AL857" s="21"/>
      <c r="AM857" s="23" t="e">
        <f t="shared" si="60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00"/>
        <v>0</v>
      </c>
      <c r="AG858" s="8"/>
      <c r="AI858" s="30"/>
      <c r="AK858" s="30"/>
      <c r="AL858" s="21"/>
      <c r="AM858" s="23" t="e">
        <f t="shared" si="60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00"/>
        <v>0</v>
      </c>
      <c r="AG859" s="8"/>
      <c r="AI859" s="30"/>
      <c r="AK859" s="30"/>
      <c r="AL859" s="21"/>
      <c r="AM859" s="23" t="e">
        <f t="shared" si="60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00"/>
        <v>0</v>
      </c>
      <c r="AG860" s="8"/>
      <c r="AI860" s="30"/>
      <c r="AK860" s="30"/>
      <c r="AL860" s="21"/>
      <c r="AM860" s="23" t="e">
        <f t="shared" si="60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00"/>
        <v>0</v>
      </c>
      <c r="AG861" s="8"/>
      <c r="AI861" s="30"/>
      <c r="AK861" s="30"/>
      <c r="AL861" s="21"/>
      <c r="AM861" s="23" t="e">
        <f t="shared" si="60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00"/>
        <v>0</v>
      </c>
      <c r="AG862" s="8"/>
      <c r="AI862" s="30"/>
      <c r="AK862" s="30"/>
      <c r="AL862" s="21"/>
      <c r="AM862" s="23" t="e">
        <f t="shared" si="60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00"/>
        <v>0</v>
      </c>
      <c r="AG863" s="8"/>
      <c r="AI863" s="30"/>
      <c r="AK863" s="30"/>
      <c r="AL863" s="21"/>
      <c r="AM863" s="23" t="e">
        <f t="shared" si="60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00"/>
        <v>0</v>
      </c>
      <c r="AG864" s="8"/>
      <c r="AI864" s="30"/>
      <c r="AK864" s="30"/>
      <c r="AL864" s="21"/>
      <c r="AM864" s="23" t="e">
        <f t="shared" si="60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00"/>
        <v>0</v>
      </c>
      <c r="AG865" s="8"/>
      <c r="AI865" s="30"/>
      <c r="AK865" s="30"/>
      <c r="AL865" s="21"/>
      <c r="AM865" s="23" t="e">
        <f t="shared" si="60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00"/>
        <v>0</v>
      </c>
      <c r="AG866" s="8"/>
      <c r="AI866" s="30"/>
      <c r="AK866" s="30"/>
      <c r="AL866" s="21"/>
      <c r="AM866" s="23" t="e">
        <f t="shared" si="60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00"/>
        <v>0</v>
      </c>
      <c r="AG867" s="8"/>
      <c r="AI867" s="30"/>
      <c r="AK867" s="30"/>
      <c r="AL867" s="21"/>
      <c r="AM867" s="23" t="e">
        <f t="shared" si="60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00"/>
        <v>0</v>
      </c>
      <c r="AG868" s="8"/>
      <c r="AI868" s="30"/>
      <c r="AK868" s="30"/>
      <c r="AL868" s="21"/>
      <c r="AM868" s="23" t="e">
        <f t="shared" si="60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00"/>
        <v>0</v>
      </c>
      <c r="AG869" s="8"/>
      <c r="AI869" s="30"/>
      <c r="AK869" s="30"/>
      <c r="AL869" s="21"/>
      <c r="AM869" s="23" t="e">
        <f t="shared" si="60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00"/>
        <v>0</v>
      </c>
      <c r="AG870" s="8"/>
      <c r="AI870" s="30"/>
      <c r="AK870" s="30"/>
      <c r="AL870" s="21"/>
      <c r="AM870" s="23" t="e">
        <f t="shared" si="60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00"/>
        <v>0</v>
      </c>
      <c r="AG871" s="8"/>
      <c r="AI871" s="30"/>
      <c r="AK871" s="30"/>
      <c r="AL871" s="21"/>
      <c r="AM871" s="23" t="e">
        <f t="shared" si="60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00"/>
        <v>0</v>
      </c>
      <c r="AG872" s="8"/>
      <c r="AI872" s="30"/>
      <c r="AK872" s="30"/>
      <c r="AL872" s="21"/>
      <c r="AM872" s="23" t="e">
        <f t="shared" si="60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00"/>
        <v>0</v>
      </c>
      <c r="AG873" s="8"/>
      <c r="AI873" s="30"/>
      <c r="AK873" s="30"/>
      <c r="AL873" s="21"/>
      <c r="AM873" s="23" t="e">
        <f t="shared" si="60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00"/>
        <v>0</v>
      </c>
      <c r="AG874" s="8"/>
      <c r="AI874" s="30"/>
      <c r="AK874" s="30"/>
      <c r="AL874" s="21"/>
      <c r="AM874" s="23" t="e">
        <f t="shared" si="60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00"/>
        <v>0</v>
      </c>
      <c r="AG875" s="8"/>
      <c r="AI875" s="30"/>
      <c r="AK875" s="30"/>
      <c r="AL875" s="21"/>
      <c r="AM875" s="23" t="e">
        <f t="shared" si="60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00"/>
        <v>0</v>
      </c>
      <c r="AG876" s="8"/>
      <c r="AI876" s="30"/>
      <c r="AK876" s="30"/>
      <c r="AL876" s="21"/>
      <c r="AM876" s="23" t="e">
        <f t="shared" si="60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00"/>
        <v>0</v>
      </c>
      <c r="AG877" s="8"/>
      <c r="AI877" s="30"/>
      <c r="AK877" s="30"/>
      <c r="AL877" s="21"/>
      <c r="AM877" s="23" t="e">
        <f t="shared" si="60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00"/>
        <v>0</v>
      </c>
      <c r="AG878" s="8"/>
      <c r="AI878" s="30"/>
      <c r="AK878" s="30"/>
      <c r="AL878" s="21"/>
      <c r="AM878" s="23" t="e">
        <f t="shared" si="60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00"/>
        <v>0</v>
      </c>
      <c r="AG879" s="8"/>
      <c r="AI879" s="30"/>
      <c r="AK879" s="30"/>
      <c r="AL879" s="21"/>
      <c r="AM879" s="23" t="e">
        <f t="shared" si="60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00"/>
        <v>0</v>
      </c>
      <c r="AG880" s="8"/>
      <c r="AI880" s="30"/>
      <c r="AK880" s="30"/>
      <c r="AL880" s="21"/>
      <c r="AM880" s="23" t="e">
        <f t="shared" si="60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00"/>
        <v>0</v>
      </c>
      <c r="AG881" s="8"/>
      <c r="AI881" s="30"/>
      <c r="AK881" s="30"/>
      <c r="AL881" s="21"/>
      <c r="AM881" s="23" t="e">
        <f t="shared" si="60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00"/>
        <v>0</v>
      </c>
      <c r="AG882" s="8"/>
      <c r="AI882" s="30"/>
      <c r="AK882" s="30"/>
      <c r="AL882" s="21"/>
      <c r="AM882" s="23" t="e">
        <f t="shared" si="60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00"/>
        <v>0</v>
      </c>
      <c r="AG883" s="8"/>
      <c r="AI883" s="30"/>
      <c r="AK883" s="30"/>
      <c r="AL883" s="21"/>
      <c r="AM883" s="23" t="e">
        <f t="shared" si="60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00"/>
        <v>0</v>
      </c>
      <c r="AG884" s="8"/>
      <c r="AI884" s="30"/>
      <c r="AK884" s="30"/>
      <c r="AL884" s="21"/>
      <c r="AM884" s="23" t="e">
        <f t="shared" si="60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00"/>
        <v>0</v>
      </c>
      <c r="AG885" s="8"/>
      <c r="AI885" s="30"/>
      <c r="AK885" s="30"/>
      <c r="AL885" s="21"/>
      <c r="AM885" s="23" t="e">
        <f t="shared" si="60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00"/>
        <v>0</v>
      </c>
      <c r="AG886" s="8"/>
      <c r="AI886" s="30"/>
      <c r="AK886" s="30"/>
      <c r="AL886" s="21"/>
      <c r="AM886" s="23" t="e">
        <f t="shared" si="60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00"/>
        <v>0</v>
      </c>
      <c r="AG887" s="8"/>
      <c r="AI887" s="30"/>
      <c r="AK887" s="30"/>
      <c r="AL887" s="21"/>
      <c r="AM887" s="23" t="e">
        <f t="shared" si="60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00"/>
        <v>0</v>
      </c>
      <c r="AG888" s="8"/>
      <c r="AI888" s="30"/>
      <c r="AK888" s="30"/>
      <c r="AL888" s="21"/>
      <c r="AM888" s="23" t="e">
        <f t="shared" si="60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00"/>
        <v>0</v>
      </c>
      <c r="AG889" s="8"/>
      <c r="AI889" s="30"/>
      <c r="AK889" s="30"/>
      <c r="AL889" s="21"/>
      <c r="AM889" s="23" t="e">
        <f t="shared" si="60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00"/>
        <v>0</v>
      </c>
      <c r="AG890" s="8"/>
      <c r="AI890" s="30"/>
      <c r="AK890" s="30"/>
      <c r="AL890" s="21"/>
      <c r="AM890" s="23" t="e">
        <f t="shared" si="60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00"/>
        <v>0</v>
      </c>
      <c r="AG891" s="8"/>
      <c r="AI891" s="30"/>
      <c r="AK891" s="30"/>
      <c r="AL891" s="21"/>
      <c r="AM891" s="23" t="e">
        <f t="shared" si="60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00"/>
        <v>0</v>
      </c>
      <c r="AG892" s="8"/>
      <c r="AI892" s="30"/>
      <c r="AK892" s="30"/>
      <c r="AL892" s="21"/>
      <c r="AM892" s="23" t="e">
        <f t="shared" si="60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00"/>
        <v>0</v>
      </c>
      <c r="AG893" s="8"/>
      <c r="AI893" s="30"/>
      <c r="AK893" s="30"/>
      <c r="AL893" s="21"/>
      <c r="AM893" s="23" t="e">
        <f t="shared" si="60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00"/>
        <v>0</v>
      </c>
      <c r="AG894" s="8"/>
      <c r="AI894" s="30"/>
      <c r="AK894" s="30"/>
      <c r="AL894" s="21"/>
      <c r="AM894" s="23" t="e">
        <f t="shared" si="60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00"/>
        <v>0</v>
      </c>
      <c r="AG895" s="8"/>
      <c r="AI895" s="30"/>
      <c r="AK895" s="30"/>
      <c r="AL895" s="21"/>
      <c r="AM895" s="23" t="e">
        <f t="shared" si="60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00"/>
        <v>0</v>
      </c>
      <c r="AG896" s="8"/>
      <c r="AI896" s="30"/>
      <c r="AK896" s="30"/>
      <c r="AL896" s="21"/>
      <c r="AM896" s="23" t="e">
        <f t="shared" si="60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00"/>
        <v>0</v>
      </c>
      <c r="AG897" s="8"/>
      <c r="AI897" s="30"/>
      <c r="AK897" s="30"/>
      <c r="AL897" s="21"/>
      <c r="AM897" s="23" t="e">
        <f t="shared" si="60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00"/>
        <v>0</v>
      </c>
      <c r="AG898" s="8"/>
      <c r="AI898" s="30"/>
      <c r="AK898" s="30"/>
      <c r="AL898" s="21"/>
      <c r="AM898" s="23" t="e">
        <f t="shared" si="60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02">COUNTIF(B:B,B899)</f>
        <v>0</v>
      </c>
      <c r="AG899" s="8"/>
      <c r="AI899" s="30"/>
      <c r="AK899" s="30"/>
      <c r="AL899" s="21"/>
      <c r="AM899" s="23" t="e">
        <f t="shared" ref="AM899:AM962" si="603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02"/>
        <v>0</v>
      </c>
      <c r="AG900" s="8"/>
      <c r="AI900" s="30"/>
      <c r="AK900" s="30"/>
      <c r="AL900" s="21"/>
      <c r="AM900" s="23" t="e">
        <f t="shared" si="603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02"/>
        <v>0</v>
      </c>
      <c r="AG901" s="8"/>
      <c r="AI901" s="30"/>
      <c r="AK901" s="30"/>
      <c r="AL901" s="21"/>
      <c r="AM901" s="23" t="e">
        <f t="shared" si="603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02"/>
        <v>0</v>
      </c>
      <c r="AG902" s="8"/>
      <c r="AI902" s="30"/>
      <c r="AK902" s="30"/>
      <c r="AL902" s="21"/>
      <c r="AM902" s="23" t="e">
        <f t="shared" si="603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02"/>
        <v>0</v>
      </c>
      <c r="AG903" s="8"/>
      <c r="AI903" s="30"/>
      <c r="AK903" s="30"/>
      <c r="AL903" s="21"/>
      <c r="AM903" s="23" t="e">
        <f t="shared" si="603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02"/>
        <v>0</v>
      </c>
      <c r="AG904" s="8"/>
      <c r="AI904" s="30"/>
      <c r="AK904" s="30"/>
      <c r="AL904" s="21"/>
      <c r="AM904" s="23" t="e">
        <f t="shared" si="603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02"/>
        <v>0</v>
      </c>
      <c r="AG905" s="8"/>
      <c r="AI905" s="30"/>
      <c r="AK905" s="30"/>
      <c r="AL905" s="21"/>
      <c r="AM905" s="23" t="e">
        <f t="shared" si="603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02"/>
        <v>0</v>
      </c>
      <c r="AG906" s="8"/>
      <c r="AI906" s="30"/>
      <c r="AK906" s="30"/>
      <c r="AL906" s="21"/>
      <c r="AM906" s="23" t="e">
        <f t="shared" si="603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02"/>
        <v>0</v>
      </c>
      <c r="AG907" s="8"/>
      <c r="AI907" s="30"/>
      <c r="AK907" s="30"/>
      <c r="AL907" s="21"/>
      <c r="AM907" s="23" t="e">
        <f t="shared" si="603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02"/>
        <v>0</v>
      </c>
      <c r="AG908" s="8"/>
      <c r="AI908" s="30"/>
      <c r="AK908" s="30"/>
      <c r="AL908" s="21"/>
      <c r="AM908" s="23" t="e">
        <f t="shared" si="603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02"/>
        <v>0</v>
      </c>
      <c r="AG909" s="8"/>
      <c r="AI909" s="30"/>
      <c r="AK909" s="30"/>
      <c r="AL909" s="21"/>
      <c r="AM909" s="23" t="e">
        <f t="shared" si="603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02"/>
        <v>0</v>
      </c>
      <c r="AG910" s="8"/>
      <c r="AI910" s="30"/>
      <c r="AK910" s="30"/>
      <c r="AL910" s="21"/>
      <c r="AM910" s="23" t="e">
        <f t="shared" si="603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02"/>
        <v>0</v>
      </c>
      <c r="AG911" s="8"/>
      <c r="AI911" s="30"/>
      <c r="AK911" s="30"/>
      <c r="AL911" s="21"/>
      <c r="AM911" s="23" t="e">
        <f t="shared" si="603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02"/>
        <v>0</v>
      </c>
      <c r="AG912" s="8"/>
      <c r="AI912" s="30"/>
      <c r="AK912" s="30"/>
      <c r="AL912" s="21"/>
      <c r="AM912" s="23" t="e">
        <f t="shared" si="603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02"/>
        <v>0</v>
      </c>
      <c r="AG913" s="8"/>
      <c r="AI913" s="30"/>
      <c r="AK913" s="30"/>
      <c r="AL913" s="21"/>
      <c r="AM913" s="23" t="e">
        <f t="shared" si="603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02"/>
        <v>0</v>
      </c>
      <c r="AG914" s="8"/>
      <c r="AI914" s="30"/>
      <c r="AK914" s="30"/>
      <c r="AL914" s="21"/>
      <c r="AM914" s="23" t="e">
        <f t="shared" si="603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02"/>
        <v>0</v>
      </c>
      <c r="AG915" s="8"/>
      <c r="AI915" s="30"/>
      <c r="AK915" s="30"/>
      <c r="AL915" s="21"/>
      <c r="AM915" s="23" t="e">
        <f t="shared" si="603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02"/>
        <v>0</v>
      </c>
      <c r="AG916" s="8"/>
      <c r="AI916" s="30"/>
      <c r="AK916" s="30"/>
      <c r="AL916" s="21"/>
      <c r="AM916" s="23" t="e">
        <f t="shared" si="603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02"/>
        <v>0</v>
      </c>
      <c r="AG917" s="8"/>
      <c r="AI917" s="30"/>
      <c r="AK917" s="30"/>
      <c r="AL917" s="21"/>
      <c r="AM917" s="23" t="e">
        <f t="shared" si="603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02"/>
        <v>0</v>
      </c>
      <c r="AG918" s="8"/>
      <c r="AI918" s="30"/>
      <c r="AK918" s="30"/>
      <c r="AL918" s="21"/>
      <c r="AM918" s="23" t="e">
        <f t="shared" si="603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02"/>
        <v>0</v>
      </c>
      <c r="AG919" s="8"/>
      <c r="AI919" s="30"/>
      <c r="AK919" s="30"/>
      <c r="AL919" s="21"/>
      <c r="AM919" s="23" t="e">
        <f t="shared" si="603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02"/>
        <v>0</v>
      </c>
      <c r="AG920" s="8"/>
      <c r="AI920" s="30"/>
      <c r="AK920" s="30"/>
      <c r="AL920" s="21"/>
      <c r="AM920" s="23" t="e">
        <f t="shared" si="603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02"/>
        <v>0</v>
      </c>
      <c r="AG921" s="8"/>
      <c r="AI921" s="30"/>
      <c r="AK921" s="30"/>
      <c r="AL921" s="21"/>
      <c r="AM921" s="23" t="e">
        <f t="shared" si="603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02"/>
        <v>0</v>
      </c>
      <c r="AG922" s="8"/>
      <c r="AI922" s="30"/>
      <c r="AK922" s="30"/>
      <c r="AL922" s="21"/>
      <c r="AM922" s="23" t="e">
        <f t="shared" si="603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02"/>
        <v>0</v>
      </c>
      <c r="AG923" s="8"/>
      <c r="AI923" s="30"/>
      <c r="AK923" s="30"/>
      <c r="AL923" s="21"/>
      <c r="AM923" s="23" t="e">
        <f t="shared" si="603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02"/>
        <v>0</v>
      </c>
      <c r="AG924" s="8"/>
      <c r="AI924" s="30"/>
      <c r="AK924" s="30"/>
      <c r="AL924" s="21"/>
      <c r="AM924" s="23" t="e">
        <f t="shared" si="603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02"/>
        <v>0</v>
      </c>
      <c r="AG925" s="8"/>
      <c r="AI925" s="30"/>
      <c r="AK925" s="30"/>
      <c r="AL925" s="21"/>
      <c r="AM925" s="23" t="e">
        <f t="shared" si="603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02"/>
        <v>0</v>
      </c>
      <c r="AG926" s="8"/>
      <c r="AI926" s="30"/>
      <c r="AK926" s="30"/>
      <c r="AL926" s="21"/>
      <c r="AM926" s="23" t="e">
        <f t="shared" si="603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02"/>
        <v>0</v>
      </c>
      <c r="AG927" s="8"/>
      <c r="AI927" s="30"/>
      <c r="AK927" s="30"/>
      <c r="AL927" s="21"/>
      <c r="AM927" s="23" t="e">
        <f t="shared" si="603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02"/>
        <v>0</v>
      </c>
      <c r="AG928" s="8"/>
      <c r="AI928" s="30"/>
      <c r="AK928" s="30"/>
      <c r="AL928" s="21"/>
      <c r="AM928" s="23" t="e">
        <f t="shared" si="603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02"/>
        <v>0</v>
      </c>
      <c r="AG929" s="8"/>
      <c r="AI929" s="30"/>
      <c r="AK929" s="30"/>
      <c r="AL929" s="21"/>
      <c r="AM929" s="23" t="e">
        <f t="shared" si="603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02"/>
        <v>0</v>
      </c>
      <c r="AG930" s="8"/>
      <c r="AI930" s="30"/>
      <c r="AK930" s="30"/>
      <c r="AL930" s="21"/>
      <c r="AM930" s="23" t="e">
        <f t="shared" si="603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02"/>
        <v>0</v>
      </c>
      <c r="AG931" s="8"/>
      <c r="AI931" s="30"/>
      <c r="AK931" s="30"/>
      <c r="AL931" s="21"/>
      <c r="AM931" s="23" t="e">
        <f t="shared" si="603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02"/>
        <v>0</v>
      </c>
      <c r="AG932" s="8"/>
      <c r="AI932" s="30"/>
      <c r="AK932" s="30"/>
      <c r="AL932" s="21"/>
      <c r="AM932" s="23" t="e">
        <f t="shared" si="603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02"/>
        <v>0</v>
      </c>
      <c r="AG933" s="8"/>
      <c r="AI933" s="30"/>
      <c r="AK933" s="30"/>
      <c r="AL933" s="21"/>
      <c r="AM933" s="23" t="e">
        <f t="shared" si="603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02"/>
        <v>0</v>
      </c>
      <c r="AG934" s="8"/>
      <c r="AI934" s="30"/>
      <c r="AK934" s="30"/>
      <c r="AL934" s="21"/>
      <c r="AM934" s="23" t="e">
        <f t="shared" si="603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02"/>
        <v>0</v>
      </c>
      <c r="AG935" s="8"/>
      <c r="AI935" s="30"/>
      <c r="AK935" s="30"/>
      <c r="AL935" s="21"/>
      <c r="AM935" s="23" t="e">
        <f t="shared" si="603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02"/>
        <v>0</v>
      </c>
      <c r="AG936" s="8"/>
      <c r="AI936" s="30"/>
      <c r="AK936" s="30"/>
      <c r="AL936" s="21"/>
      <c r="AM936" s="23" t="e">
        <f t="shared" si="603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02"/>
        <v>0</v>
      </c>
      <c r="AG937" s="8"/>
      <c r="AI937" s="30"/>
      <c r="AK937" s="30"/>
      <c r="AL937" s="21"/>
      <c r="AM937" s="23" t="e">
        <f t="shared" si="603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02"/>
        <v>0</v>
      </c>
      <c r="AG938" s="8"/>
      <c r="AI938" s="30"/>
      <c r="AK938" s="30"/>
      <c r="AL938" s="21"/>
      <c r="AM938" s="23" t="e">
        <f t="shared" si="603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02"/>
        <v>0</v>
      </c>
      <c r="AG939" s="8"/>
      <c r="AI939" s="30"/>
      <c r="AK939" s="30"/>
      <c r="AL939" s="21"/>
      <c r="AM939" s="23" t="e">
        <f t="shared" si="603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02"/>
        <v>0</v>
      </c>
      <c r="AG940" s="8"/>
      <c r="AI940" s="30"/>
      <c r="AK940" s="30"/>
      <c r="AL940" s="21"/>
      <c r="AM940" s="23" t="e">
        <f t="shared" si="603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02"/>
        <v>0</v>
      </c>
      <c r="AG941" s="8"/>
      <c r="AI941" s="30"/>
      <c r="AK941" s="30"/>
      <c r="AL941" s="21"/>
      <c r="AM941" s="23" t="e">
        <f t="shared" si="603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02"/>
        <v>0</v>
      </c>
      <c r="AG942" s="8"/>
      <c r="AI942" s="30"/>
      <c r="AK942" s="30"/>
      <c r="AL942" s="21"/>
      <c r="AM942" s="23" t="e">
        <f t="shared" si="603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02"/>
        <v>0</v>
      </c>
      <c r="AG943" s="8"/>
      <c r="AI943" s="30"/>
      <c r="AK943" s="30"/>
      <c r="AL943" s="21"/>
      <c r="AM943" s="23" t="e">
        <f t="shared" si="603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02"/>
        <v>0</v>
      </c>
      <c r="AG944" s="8"/>
      <c r="AI944" s="30"/>
      <c r="AK944" s="30"/>
      <c r="AL944" s="21"/>
      <c r="AM944" s="23" t="e">
        <f t="shared" si="603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02"/>
        <v>0</v>
      </c>
      <c r="AG945" s="8"/>
      <c r="AI945" s="30"/>
      <c r="AK945" s="30"/>
      <c r="AL945" s="21"/>
      <c r="AM945" s="23" t="e">
        <f t="shared" si="603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02"/>
        <v>0</v>
      </c>
      <c r="AG946" s="8"/>
      <c r="AI946" s="30"/>
      <c r="AK946" s="30"/>
      <c r="AL946" s="21"/>
      <c r="AM946" s="23" t="e">
        <f t="shared" si="603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02"/>
        <v>0</v>
      </c>
      <c r="AG947" s="8"/>
      <c r="AI947" s="30"/>
      <c r="AK947" s="30"/>
      <c r="AL947" s="21"/>
      <c r="AM947" s="23" t="e">
        <f t="shared" si="603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02"/>
        <v>0</v>
      </c>
      <c r="AG948" s="8"/>
      <c r="AI948" s="30"/>
      <c r="AK948" s="30"/>
      <c r="AL948" s="21"/>
      <c r="AM948" s="23" t="e">
        <f t="shared" si="603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02"/>
        <v>0</v>
      </c>
      <c r="AG949" s="8"/>
      <c r="AI949" s="30"/>
      <c r="AK949" s="30"/>
      <c r="AL949" s="21"/>
      <c r="AM949" s="23" t="e">
        <f t="shared" si="603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02"/>
        <v>0</v>
      </c>
      <c r="AG950" s="8"/>
      <c r="AI950" s="30"/>
      <c r="AK950" s="30"/>
      <c r="AL950" s="21"/>
      <c r="AM950" s="23" t="e">
        <f t="shared" si="603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02"/>
        <v>0</v>
      </c>
      <c r="AG951" s="8"/>
      <c r="AI951" s="30"/>
      <c r="AK951" s="30"/>
      <c r="AL951" s="21"/>
      <c r="AM951" s="23" t="e">
        <f t="shared" si="603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02"/>
        <v>0</v>
      </c>
      <c r="AG952" s="8"/>
      <c r="AI952" s="30"/>
      <c r="AK952" s="30"/>
      <c r="AL952" s="21"/>
      <c r="AM952" s="23" t="e">
        <f t="shared" si="603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02"/>
        <v>0</v>
      </c>
      <c r="AG953" s="8"/>
      <c r="AI953" s="30"/>
      <c r="AK953" s="30"/>
      <c r="AL953" s="21"/>
      <c r="AM953" s="23" t="e">
        <f t="shared" si="603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02"/>
        <v>0</v>
      </c>
      <c r="AG954" s="8"/>
      <c r="AI954" s="30"/>
      <c r="AK954" s="30"/>
      <c r="AL954" s="21"/>
      <c r="AM954" s="23" t="e">
        <f t="shared" si="603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02"/>
        <v>0</v>
      </c>
      <c r="AG955" s="8"/>
      <c r="AI955" s="30"/>
      <c r="AK955" s="30"/>
      <c r="AL955" s="21"/>
      <c r="AM955" s="23" t="e">
        <f t="shared" si="603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02"/>
        <v>0</v>
      </c>
      <c r="AG956" s="8"/>
      <c r="AI956" s="30"/>
      <c r="AK956" s="30"/>
      <c r="AL956" s="21"/>
      <c r="AM956" s="23" t="e">
        <f t="shared" si="603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02"/>
        <v>0</v>
      </c>
      <c r="AG957" s="8"/>
      <c r="AI957" s="30"/>
      <c r="AK957" s="30"/>
      <c r="AL957" s="21"/>
      <c r="AM957" s="23" t="e">
        <f t="shared" si="603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02"/>
        <v>0</v>
      </c>
      <c r="AG958" s="8"/>
      <c r="AI958" s="30"/>
      <c r="AK958" s="30"/>
      <c r="AL958" s="21"/>
      <c r="AM958" s="23" t="e">
        <f t="shared" si="603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02"/>
        <v>0</v>
      </c>
      <c r="AG959" s="8"/>
      <c r="AI959" s="30"/>
      <c r="AK959" s="30"/>
      <c r="AL959" s="21"/>
      <c r="AM959" s="23" t="e">
        <f t="shared" si="603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02"/>
        <v>0</v>
      </c>
      <c r="AG960" s="8"/>
      <c r="AI960" s="30"/>
      <c r="AK960" s="30"/>
      <c r="AL960" s="21"/>
      <c r="AM960" s="23" t="e">
        <f t="shared" si="603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02"/>
        <v>0</v>
      </c>
      <c r="AG961" s="8"/>
      <c r="AI961" s="30"/>
      <c r="AK961" s="30"/>
      <c r="AL961" s="21"/>
      <c r="AM961" s="23" t="e">
        <f t="shared" si="603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02"/>
        <v>0</v>
      </c>
      <c r="AG962" s="8"/>
      <c r="AI962" s="30"/>
      <c r="AK962" s="30"/>
      <c r="AL962" s="21"/>
      <c r="AM962" s="23" t="e">
        <f t="shared" si="603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04">COUNTIF(B:B,B963)</f>
        <v>0</v>
      </c>
      <c r="AG963" s="8"/>
      <c r="AI963" s="30"/>
      <c r="AK963" s="30"/>
      <c r="AL963" s="21"/>
      <c r="AM963" s="23" t="e">
        <f t="shared" ref="AM963:AM1026" si="605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04"/>
        <v>0</v>
      </c>
      <c r="AG964" s="8"/>
      <c r="AI964" s="30"/>
      <c r="AK964" s="30"/>
      <c r="AL964" s="21"/>
      <c r="AM964" s="23" t="e">
        <f t="shared" si="605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04"/>
        <v>0</v>
      </c>
      <c r="AG965" s="8"/>
      <c r="AI965" s="30"/>
      <c r="AK965" s="30"/>
      <c r="AL965" s="21"/>
      <c r="AM965" s="23" t="e">
        <f t="shared" si="605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04"/>
        <v>0</v>
      </c>
      <c r="AG966" s="8"/>
      <c r="AI966" s="30"/>
      <c r="AK966" s="30"/>
      <c r="AL966" s="21"/>
      <c r="AM966" s="23" t="e">
        <f t="shared" si="605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04"/>
        <v>0</v>
      </c>
      <c r="AG967" s="8"/>
      <c r="AI967" s="30"/>
      <c r="AK967" s="30"/>
      <c r="AL967" s="21"/>
      <c r="AM967" s="23" t="e">
        <f t="shared" si="605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04"/>
        <v>0</v>
      </c>
      <c r="AG968" s="8"/>
      <c r="AI968" s="30"/>
      <c r="AK968" s="30"/>
      <c r="AL968" s="21"/>
      <c r="AM968" s="23" t="e">
        <f t="shared" si="605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04"/>
        <v>0</v>
      </c>
      <c r="AG969" s="8"/>
      <c r="AI969" s="30"/>
      <c r="AK969" s="30"/>
      <c r="AL969" s="21"/>
      <c r="AM969" s="23" t="e">
        <f t="shared" si="605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04"/>
        <v>0</v>
      </c>
      <c r="AG970" s="8"/>
      <c r="AI970" s="30"/>
      <c r="AK970" s="30"/>
      <c r="AL970" s="21"/>
      <c r="AM970" s="23" t="e">
        <f t="shared" si="605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04"/>
        <v>0</v>
      </c>
      <c r="AG971" s="8"/>
      <c r="AI971" s="30"/>
      <c r="AK971" s="30"/>
      <c r="AL971" s="21"/>
      <c r="AM971" s="23" t="e">
        <f t="shared" si="605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04"/>
        <v>0</v>
      </c>
      <c r="AG972" s="8"/>
      <c r="AI972" s="30"/>
      <c r="AK972" s="30"/>
      <c r="AL972" s="21"/>
      <c r="AM972" s="23" t="e">
        <f t="shared" si="605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04"/>
        <v>0</v>
      </c>
      <c r="AG973" s="8"/>
      <c r="AI973" s="30"/>
      <c r="AK973" s="30"/>
      <c r="AL973" s="21"/>
      <c r="AM973" s="23" t="e">
        <f t="shared" si="605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04"/>
        <v>0</v>
      </c>
      <c r="AG974" s="8"/>
      <c r="AI974" s="30"/>
      <c r="AK974" s="30"/>
      <c r="AL974" s="21"/>
      <c r="AM974" s="23" t="e">
        <f t="shared" si="605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04"/>
        <v>0</v>
      </c>
      <c r="AG975" s="8"/>
      <c r="AI975" s="30"/>
      <c r="AK975" s="30"/>
      <c r="AL975" s="21"/>
      <c r="AM975" s="23" t="e">
        <f t="shared" si="605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04"/>
        <v>0</v>
      </c>
      <c r="AG976" s="8"/>
      <c r="AI976" s="30"/>
      <c r="AK976" s="30"/>
      <c r="AL976" s="21"/>
      <c r="AM976" s="23" t="e">
        <f t="shared" si="605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04"/>
        <v>0</v>
      </c>
      <c r="AG977" s="8"/>
      <c r="AI977" s="30"/>
      <c r="AK977" s="30"/>
      <c r="AL977" s="21"/>
      <c r="AM977" s="23" t="e">
        <f t="shared" si="605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04"/>
        <v>0</v>
      </c>
      <c r="AG978" s="8"/>
      <c r="AI978" s="30"/>
      <c r="AK978" s="30"/>
      <c r="AL978" s="21"/>
      <c r="AM978" s="23" t="e">
        <f t="shared" si="605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04"/>
        <v>0</v>
      </c>
      <c r="AG979" s="8"/>
      <c r="AI979" s="30"/>
      <c r="AK979" s="30"/>
      <c r="AL979" s="21"/>
      <c r="AM979" s="23" t="e">
        <f t="shared" si="605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04"/>
        <v>0</v>
      </c>
      <c r="AG980" s="8"/>
      <c r="AI980" s="30"/>
      <c r="AK980" s="30"/>
      <c r="AL980" s="21"/>
      <c r="AM980" s="23" t="e">
        <f t="shared" si="605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04"/>
        <v>0</v>
      </c>
      <c r="AG981" s="8"/>
      <c r="AI981" s="30"/>
      <c r="AK981" s="30"/>
      <c r="AL981" s="21"/>
      <c r="AM981" s="23" t="e">
        <f t="shared" si="605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04"/>
        <v>0</v>
      </c>
      <c r="AG982" s="8"/>
      <c r="AI982" s="30"/>
      <c r="AK982" s="30"/>
      <c r="AL982" s="21"/>
      <c r="AM982" s="23" t="e">
        <f t="shared" si="605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04"/>
        <v>0</v>
      </c>
      <c r="AG983" s="8"/>
      <c r="AI983" s="30"/>
      <c r="AK983" s="30"/>
      <c r="AL983" s="21"/>
      <c r="AM983" s="23" t="e">
        <f t="shared" si="605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04"/>
        <v>0</v>
      </c>
      <c r="AG984" s="8"/>
      <c r="AI984" s="30"/>
      <c r="AK984" s="30"/>
      <c r="AL984" s="21"/>
      <c r="AM984" s="23" t="e">
        <f t="shared" si="605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04"/>
        <v>0</v>
      </c>
      <c r="AG985" s="8"/>
      <c r="AI985" s="30"/>
      <c r="AK985" s="30"/>
      <c r="AL985" s="21"/>
      <c r="AM985" s="23" t="e">
        <f t="shared" si="605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04"/>
        <v>0</v>
      </c>
      <c r="AG986" s="8"/>
      <c r="AI986" s="30"/>
      <c r="AK986" s="30"/>
      <c r="AL986" s="21"/>
      <c r="AM986" s="23" t="e">
        <f t="shared" si="605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04"/>
        <v>0</v>
      </c>
      <c r="AG987" s="8"/>
      <c r="AI987" s="30"/>
      <c r="AK987" s="30"/>
      <c r="AL987" s="21"/>
      <c r="AM987" s="23" t="e">
        <f t="shared" si="605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04"/>
        <v>0</v>
      </c>
      <c r="AG988" s="8"/>
      <c r="AI988" s="30"/>
      <c r="AK988" s="30"/>
      <c r="AL988" s="21"/>
      <c r="AM988" s="23" t="e">
        <f t="shared" si="605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04"/>
        <v>0</v>
      </c>
      <c r="AG989" s="8"/>
      <c r="AI989" s="30"/>
      <c r="AK989" s="30"/>
      <c r="AL989" s="21"/>
      <c r="AM989" s="23" t="e">
        <f t="shared" si="605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04"/>
        <v>0</v>
      </c>
      <c r="AG990" s="8"/>
      <c r="AI990" s="30"/>
      <c r="AK990" s="30"/>
      <c r="AL990" s="21"/>
      <c r="AM990" s="23" t="e">
        <f t="shared" si="605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04"/>
        <v>0</v>
      </c>
      <c r="AG991" s="8"/>
      <c r="AI991" s="30"/>
      <c r="AK991" s="30"/>
      <c r="AL991" s="21"/>
      <c r="AM991" s="23" t="e">
        <f t="shared" si="605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04"/>
        <v>0</v>
      </c>
      <c r="AG992" s="8"/>
      <c r="AI992" s="30"/>
      <c r="AK992" s="30"/>
      <c r="AL992" s="21"/>
      <c r="AM992" s="23" t="e">
        <f t="shared" si="605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04"/>
        <v>0</v>
      </c>
      <c r="AG993" s="8"/>
      <c r="AI993" s="30"/>
      <c r="AK993" s="30"/>
      <c r="AL993" s="21"/>
      <c r="AM993" s="23" t="e">
        <f t="shared" si="605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04"/>
        <v>0</v>
      </c>
      <c r="AG994" s="8"/>
      <c r="AI994" s="30"/>
      <c r="AK994" s="30"/>
      <c r="AL994" s="21"/>
      <c r="AM994" s="23" t="e">
        <f t="shared" si="605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04"/>
        <v>0</v>
      </c>
      <c r="AG995" s="8"/>
      <c r="AI995" s="30"/>
      <c r="AK995" s="30"/>
      <c r="AL995" s="21"/>
      <c r="AM995" s="23" t="e">
        <f t="shared" si="605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04"/>
        <v>0</v>
      </c>
      <c r="AG996" s="8"/>
      <c r="AI996" s="30"/>
      <c r="AK996" s="30"/>
      <c r="AL996" s="21"/>
      <c r="AM996" s="23" t="e">
        <f t="shared" si="605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04"/>
        <v>0</v>
      </c>
      <c r="AG997" s="8"/>
      <c r="AI997" s="30"/>
      <c r="AK997" s="30"/>
      <c r="AL997" s="21"/>
      <c r="AM997" s="23" t="e">
        <f t="shared" si="605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04"/>
        <v>0</v>
      </c>
      <c r="AG998" s="8"/>
      <c r="AI998" s="30"/>
      <c r="AK998" s="30"/>
      <c r="AL998" s="21"/>
      <c r="AM998" s="23" t="e">
        <f t="shared" si="605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04"/>
        <v>0</v>
      </c>
      <c r="AG999" s="8"/>
      <c r="AI999" s="30"/>
      <c r="AK999" s="30"/>
      <c r="AL999" s="21"/>
      <c r="AM999" s="23" t="e">
        <f t="shared" si="605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04"/>
        <v>0</v>
      </c>
      <c r="AG1000" s="8"/>
      <c r="AI1000" s="30"/>
      <c r="AK1000" s="30"/>
      <c r="AL1000" s="21"/>
      <c r="AM1000" s="23" t="e">
        <f t="shared" si="605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04"/>
        <v>0</v>
      </c>
      <c r="AG1001" s="8"/>
      <c r="AI1001" s="30"/>
      <c r="AK1001" s="30"/>
      <c r="AL1001" s="21"/>
      <c r="AM1001" s="23" t="e">
        <f t="shared" si="605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04"/>
        <v>0</v>
      </c>
      <c r="AG1002" s="8"/>
      <c r="AI1002" s="30"/>
      <c r="AK1002" s="30"/>
      <c r="AL1002" s="21"/>
      <c r="AM1002" s="23" t="e">
        <f t="shared" si="605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04"/>
        <v>0</v>
      </c>
      <c r="AG1003" s="8"/>
      <c r="AI1003" s="30"/>
      <c r="AK1003" s="30"/>
      <c r="AL1003" s="21"/>
      <c r="AM1003" s="23" t="e">
        <f t="shared" si="605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04"/>
        <v>0</v>
      </c>
      <c r="AG1004" s="8"/>
      <c r="AI1004" s="30"/>
      <c r="AK1004" s="30"/>
      <c r="AL1004" s="21"/>
      <c r="AM1004" s="23" t="e">
        <f t="shared" si="605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04"/>
        <v>0</v>
      </c>
      <c r="AG1005" s="8"/>
      <c r="AI1005" s="30"/>
      <c r="AK1005" s="30"/>
      <c r="AL1005" s="21"/>
      <c r="AM1005" s="23" t="e">
        <f t="shared" si="605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04"/>
        <v>0</v>
      </c>
      <c r="AG1006" s="8"/>
      <c r="AI1006" s="30"/>
      <c r="AK1006" s="30"/>
      <c r="AL1006" s="21"/>
      <c r="AM1006" s="23" t="e">
        <f t="shared" si="605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04"/>
        <v>0</v>
      </c>
      <c r="AG1007" s="8"/>
      <c r="AI1007" s="30"/>
      <c r="AK1007" s="30"/>
      <c r="AL1007" s="21"/>
      <c r="AM1007" s="23" t="e">
        <f t="shared" si="605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04"/>
        <v>0</v>
      </c>
      <c r="AG1008" s="8"/>
      <c r="AI1008" s="30"/>
      <c r="AK1008" s="30"/>
      <c r="AL1008" s="21"/>
      <c r="AM1008" s="23" t="e">
        <f t="shared" si="605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04"/>
        <v>0</v>
      </c>
      <c r="AG1009" s="8"/>
      <c r="AI1009" s="30"/>
      <c r="AK1009" s="30"/>
      <c r="AL1009" s="21"/>
      <c r="AM1009" s="23" t="e">
        <f t="shared" si="605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04"/>
        <v>0</v>
      </c>
      <c r="AG1010" s="8"/>
      <c r="AI1010" s="30"/>
      <c r="AK1010" s="30"/>
      <c r="AL1010" s="21"/>
      <c r="AM1010" s="23" t="e">
        <f t="shared" si="605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04"/>
        <v>0</v>
      </c>
      <c r="AG1011" s="8"/>
      <c r="AI1011" s="30"/>
      <c r="AK1011" s="30"/>
      <c r="AL1011" s="21"/>
      <c r="AM1011" s="23" t="e">
        <f t="shared" si="605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04"/>
        <v>0</v>
      </c>
      <c r="AG1012" s="8"/>
      <c r="AI1012" s="30"/>
      <c r="AK1012" s="30"/>
      <c r="AL1012" s="21"/>
      <c r="AM1012" s="23" t="e">
        <f t="shared" si="605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04"/>
        <v>0</v>
      </c>
      <c r="AG1013" s="8"/>
      <c r="AI1013" s="30"/>
      <c r="AK1013" s="30"/>
      <c r="AL1013" s="21"/>
      <c r="AM1013" s="23" t="e">
        <f t="shared" si="605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04"/>
        <v>0</v>
      </c>
      <c r="AG1014" s="8"/>
      <c r="AI1014" s="30"/>
      <c r="AK1014" s="30"/>
      <c r="AL1014" s="21"/>
      <c r="AM1014" s="23" t="e">
        <f t="shared" si="605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04"/>
        <v>0</v>
      </c>
      <c r="AG1015" s="8"/>
      <c r="AI1015" s="30"/>
      <c r="AK1015" s="30"/>
      <c r="AL1015" s="21"/>
      <c r="AM1015" s="23" t="e">
        <f t="shared" si="605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04"/>
        <v>0</v>
      </c>
      <c r="AG1016" s="8"/>
      <c r="AI1016" s="30"/>
      <c r="AK1016" s="30"/>
      <c r="AL1016" s="21"/>
      <c r="AM1016" s="23" t="e">
        <f t="shared" si="605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04"/>
        <v>0</v>
      </c>
      <c r="AG1017" s="8"/>
      <c r="AI1017" s="30"/>
      <c r="AK1017" s="30"/>
      <c r="AL1017" s="21"/>
      <c r="AM1017" s="23" t="e">
        <f t="shared" si="605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04"/>
        <v>0</v>
      </c>
      <c r="AG1018" s="8"/>
      <c r="AI1018" s="30"/>
      <c r="AK1018" s="30"/>
      <c r="AL1018" s="21"/>
      <c r="AM1018" s="23" t="e">
        <f t="shared" si="605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04"/>
        <v>0</v>
      </c>
      <c r="AG1019" s="8"/>
      <c r="AI1019" s="30"/>
      <c r="AK1019" s="30"/>
      <c r="AL1019" s="21"/>
      <c r="AM1019" s="23" t="e">
        <f t="shared" si="605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04"/>
        <v>0</v>
      </c>
      <c r="AG1020" s="8"/>
      <c r="AI1020" s="30"/>
      <c r="AK1020" s="30"/>
      <c r="AL1020" s="21"/>
      <c r="AM1020" s="23" t="e">
        <f t="shared" si="605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04"/>
        <v>0</v>
      </c>
      <c r="AG1021" s="8"/>
      <c r="AI1021" s="30"/>
      <c r="AK1021" s="30"/>
      <c r="AL1021" s="21"/>
      <c r="AM1021" s="23" t="e">
        <f t="shared" si="605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04"/>
        <v>0</v>
      </c>
      <c r="AG1022" s="8"/>
      <c r="AI1022" s="30"/>
      <c r="AK1022" s="30"/>
      <c r="AL1022" s="21"/>
      <c r="AM1022" s="23" t="e">
        <f t="shared" si="605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04"/>
        <v>0</v>
      </c>
      <c r="AG1023" s="8"/>
      <c r="AI1023" s="30"/>
      <c r="AK1023" s="30"/>
      <c r="AL1023" s="21"/>
      <c r="AM1023" s="23" t="e">
        <f t="shared" si="605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04"/>
        <v>0</v>
      </c>
      <c r="AG1024" s="8"/>
      <c r="AI1024" s="30"/>
      <c r="AK1024" s="30"/>
      <c r="AL1024" s="21"/>
      <c r="AM1024" s="23" t="e">
        <f t="shared" si="605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04"/>
        <v>0</v>
      </c>
      <c r="AG1025" s="8"/>
      <c r="AI1025" s="30"/>
      <c r="AK1025" s="30"/>
      <c r="AL1025" s="21"/>
      <c r="AM1025" s="23" t="e">
        <f t="shared" si="605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04"/>
        <v>0</v>
      </c>
      <c r="AG1026" s="8"/>
      <c r="AI1026" s="30"/>
      <c r="AK1026" s="30"/>
      <c r="AL1026" s="21"/>
      <c r="AM1026" s="23" t="e">
        <f t="shared" si="605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06">COUNTIF(B:B,B1027)</f>
        <v>0</v>
      </c>
      <c r="AG1027" s="8"/>
      <c r="AI1027" s="30"/>
      <c r="AK1027" s="30"/>
      <c r="AL1027" s="21"/>
      <c r="AM1027" s="23" t="e">
        <f t="shared" ref="AM1027:AM1090" si="607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06"/>
        <v>0</v>
      </c>
      <c r="AG1028" s="8"/>
      <c r="AI1028" s="30"/>
      <c r="AK1028" s="30"/>
      <c r="AL1028" s="21"/>
      <c r="AM1028" s="23" t="e">
        <f t="shared" si="607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06"/>
        <v>0</v>
      </c>
      <c r="AG1029" s="8"/>
      <c r="AI1029" s="30"/>
      <c r="AK1029" s="30"/>
      <c r="AL1029" s="21"/>
      <c r="AM1029" s="23" t="e">
        <f t="shared" si="607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06"/>
        <v>0</v>
      </c>
      <c r="AG1030" s="8"/>
      <c r="AI1030" s="30"/>
      <c r="AK1030" s="30"/>
      <c r="AL1030" s="21"/>
      <c r="AM1030" s="23" t="e">
        <f t="shared" si="607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06"/>
        <v>0</v>
      </c>
      <c r="AG1031" s="8"/>
      <c r="AI1031" s="30"/>
      <c r="AK1031" s="30"/>
      <c r="AL1031" s="21"/>
      <c r="AM1031" s="23" t="e">
        <f t="shared" si="607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06"/>
        <v>0</v>
      </c>
      <c r="AG1032" s="8"/>
      <c r="AI1032" s="30"/>
      <c r="AK1032" s="30"/>
      <c r="AL1032" s="21"/>
      <c r="AM1032" s="23" t="e">
        <f t="shared" si="607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06"/>
        <v>0</v>
      </c>
      <c r="AG1033" s="8"/>
      <c r="AI1033" s="30"/>
      <c r="AK1033" s="30"/>
      <c r="AL1033" s="21"/>
      <c r="AM1033" s="23" t="e">
        <f t="shared" si="607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06"/>
        <v>0</v>
      </c>
      <c r="AG1034" s="8"/>
      <c r="AI1034" s="30"/>
      <c r="AK1034" s="30"/>
      <c r="AL1034" s="21"/>
      <c r="AM1034" s="23" t="e">
        <f t="shared" si="607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07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07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07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07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07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07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07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07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07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07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07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07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07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07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07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07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07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07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07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07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07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07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07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07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07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07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07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07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07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07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07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07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07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07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07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07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07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07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07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07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07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07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07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07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07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07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07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07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07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07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07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07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07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07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07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07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08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08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08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08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08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08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08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08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08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08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08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08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08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08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08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08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08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08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08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08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08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08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08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08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08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08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08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08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08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08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08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08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08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08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08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08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08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08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08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08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08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08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08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08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08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08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08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08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08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08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08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08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08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08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08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08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08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08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08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08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08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08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08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08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09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09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09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09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09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09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09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09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09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09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09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09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09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09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09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09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09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09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09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09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09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09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09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09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09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09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09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09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09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09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09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09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09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09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09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09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09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09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09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09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09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09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09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09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09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09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09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09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09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09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09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09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09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09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09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09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09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09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09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09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09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09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09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09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10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10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10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10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10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10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10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10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10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10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10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10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10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10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10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10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10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10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10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10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10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10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10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10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10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10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10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10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10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10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10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10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10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10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10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10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10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10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10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10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10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10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10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10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10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10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10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10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10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10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U741:AM755 W756:AM769 A740:AW740 AN741:AW769 AX740:CX769 A770:CX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tabSelected="1" topLeftCell="A73" workbookViewId="0">
      <selection activeCell="D85" sqref="D85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334</v>
      </c>
      <c r="B1" s="172" t="s">
        <v>378</v>
      </c>
      <c r="C1" s="95" t="s">
        <v>343</v>
      </c>
      <c r="D1" s="95" t="s">
        <v>363</v>
      </c>
      <c r="E1" s="179" t="s">
        <v>366</v>
      </c>
      <c r="F1" s="180" t="s">
        <v>367</v>
      </c>
      <c r="G1" s="180" t="s">
        <v>368</v>
      </c>
      <c r="H1" s="180" t="s">
        <v>371</v>
      </c>
      <c r="I1" s="94" t="s">
        <v>335</v>
      </c>
      <c r="J1" s="93" t="s">
        <v>336</v>
      </c>
    </row>
    <row r="2" spans="1:10" x14ac:dyDescent="0.25">
      <c r="A2" s="28" t="s">
        <v>0</v>
      </c>
      <c r="B2" s="183" t="s">
        <v>381</v>
      </c>
      <c r="C2" t="s">
        <v>361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379</v>
      </c>
      <c r="C3" t="s">
        <v>361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339</v>
      </c>
      <c r="B4" s="183" t="s">
        <v>380</v>
      </c>
      <c r="C4" t="s">
        <v>377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382</v>
      </c>
      <c r="C5" t="s">
        <v>362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383</v>
      </c>
      <c r="C6" t="s">
        <v>362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478</v>
      </c>
      <c r="C7" t="s">
        <v>362</v>
      </c>
      <c r="D7">
        <v>6</v>
      </c>
      <c r="E7" s="42" t="b">
        <v>1</v>
      </c>
      <c r="F7" t="b">
        <v>1</v>
      </c>
      <c r="H7" t="s">
        <v>372</v>
      </c>
      <c r="I7" t="b">
        <v>0</v>
      </c>
    </row>
    <row r="8" spans="1:10" x14ac:dyDescent="0.25">
      <c r="A8" s="28" t="s">
        <v>88</v>
      </c>
      <c r="B8" s="183" t="s">
        <v>384</v>
      </c>
      <c r="C8" t="s">
        <v>362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385</v>
      </c>
      <c r="C9" t="s">
        <v>362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386</v>
      </c>
      <c r="C10" t="s">
        <v>362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387</v>
      </c>
      <c r="C11" t="s">
        <v>362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388</v>
      </c>
      <c r="C12" t="s">
        <v>362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389</v>
      </c>
      <c r="C13" t="s">
        <v>362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390</v>
      </c>
      <c r="C14" t="s">
        <v>362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391</v>
      </c>
      <c r="C15" t="s">
        <v>344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392</v>
      </c>
      <c r="C16" t="s">
        <v>344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393</v>
      </c>
      <c r="C17" t="s">
        <v>344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394</v>
      </c>
      <c r="C18" t="s">
        <v>344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395</v>
      </c>
      <c r="C19" t="s">
        <v>344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396</v>
      </c>
      <c r="C20" t="s">
        <v>344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397</v>
      </c>
      <c r="C21" t="s">
        <v>344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398</v>
      </c>
      <c r="C22" t="s">
        <v>361</v>
      </c>
      <c r="D22">
        <v>13</v>
      </c>
      <c r="E22" s="42" t="b">
        <v>1</v>
      </c>
      <c r="F22" t="b">
        <v>1</v>
      </c>
      <c r="H22" t="s">
        <v>372</v>
      </c>
      <c r="I22" t="b">
        <v>0</v>
      </c>
    </row>
    <row r="23" spans="1:9" x14ac:dyDescent="0.25">
      <c r="A23" s="6" t="s">
        <v>99</v>
      </c>
      <c r="B23" s="175" t="s">
        <v>399</v>
      </c>
      <c r="C23" t="s">
        <v>361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400</v>
      </c>
      <c r="C24" t="s">
        <v>361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401</v>
      </c>
      <c r="C25" t="s">
        <v>361</v>
      </c>
      <c r="D25">
        <v>14</v>
      </c>
      <c r="E25" s="42" t="b">
        <v>1</v>
      </c>
      <c r="F25" t="b">
        <v>1</v>
      </c>
      <c r="H25" t="s">
        <v>372</v>
      </c>
      <c r="I25" t="b">
        <v>1</v>
      </c>
    </row>
    <row r="26" spans="1:9" x14ac:dyDescent="0.25">
      <c r="A26" s="2" t="s">
        <v>31</v>
      </c>
      <c r="B26" s="176" t="s">
        <v>402</v>
      </c>
      <c r="C26" t="s">
        <v>362</v>
      </c>
      <c r="D26">
        <v>15</v>
      </c>
      <c r="E26" s="42" t="b">
        <v>1</v>
      </c>
      <c r="F26" t="b">
        <v>1</v>
      </c>
      <c r="H26" t="s">
        <v>372</v>
      </c>
      <c r="I26" t="b">
        <v>1</v>
      </c>
    </row>
    <row r="27" spans="1:9" x14ac:dyDescent="0.25">
      <c r="A27" s="2" t="s">
        <v>46</v>
      </c>
      <c r="B27" s="176" t="s">
        <v>403</v>
      </c>
      <c r="C27" t="s">
        <v>362</v>
      </c>
      <c r="D27">
        <v>16</v>
      </c>
      <c r="E27" s="42" t="b">
        <v>1</v>
      </c>
      <c r="F27" t="b">
        <v>1</v>
      </c>
      <c r="H27" t="s">
        <v>372</v>
      </c>
      <c r="I27" t="b">
        <v>1</v>
      </c>
    </row>
    <row r="28" spans="1:9" x14ac:dyDescent="0.25">
      <c r="A28" s="2" t="s">
        <v>205</v>
      </c>
      <c r="B28" s="176" t="s">
        <v>404</v>
      </c>
      <c r="C28" t="s">
        <v>344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405</v>
      </c>
      <c r="C29" t="s">
        <v>344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406</v>
      </c>
      <c r="C30" t="s">
        <v>344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407</v>
      </c>
      <c r="C31" t="s">
        <v>344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408</v>
      </c>
      <c r="C32" t="s">
        <v>344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409</v>
      </c>
      <c r="C33" t="s">
        <v>344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410</v>
      </c>
      <c r="C34" t="s">
        <v>344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411</v>
      </c>
      <c r="C35" t="s">
        <v>344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412</v>
      </c>
      <c r="C36" t="s">
        <v>344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413</v>
      </c>
      <c r="C37" t="s">
        <v>344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414</v>
      </c>
      <c r="C38" t="s">
        <v>344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415</v>
      </c>
      <c r="C39" t="s">
        <v>362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416</v>
      </c>
      <c r="C40" t="s">
        <v>362</v>
      </c>
      <c r="D40">
        <v>21</v>
      </c>
      <c r="E40" s="42" t="b">
        <v>1</v>
      </c>
      <c r="F40" t="b">
        <v>1</v>
      </c>
      <c r="H40" t="s">
        <v>372</v>
      </c>
      <c r="I40" t="b">
        <v>1</v>
      </c>
    </row>
    <row r="41" spans="1:9" x14ac:dyDescent="0.25">
      <c r="A41" s="38" t="s">
        <v>111</v>
      </c>
      <c r="B41" s="184" t="s">
        <v>417</v>
      </c>
      <c r="C41" t="s">
        <v>364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418</v>
      </c>
      <c r="C42" t="s">
        <v>364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419</v>
      </c>
      <c r="C43" t="s">
        <v>364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420</v>
      </c>
      <c r="C44" t="s">
        <v>364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421</v>
      </c>
      <c r="C45" t="s">
        <v>364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422</v>
      </c>
      <c r="C46" t="s">
        <v>364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423</v>
      </c>
      <c r="C47" t="s">
        <v>364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424</v>
      </c>
      <c r="C48" t="s">
        <v>364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425</v>
      </c>
      <c r="C49" t="s">
        <v>364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426</v>
      </c>
      <c r="C50" t="s">
        <v>364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427</v>
      </c>
      <c r="C51" t="s">
        <v>364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428</v>
      </c>
      <c r="C52" t="s">
        <v>364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429</v>
      </c>
      <c r="C53" t="s">
        <v>364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430</v>
      </c>
      <c r="C54" t="s">
        <v>364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431</v>
      </c>
      <c r="C55" t="s">
        <v>364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432</v>
      </c>
      <c r="C56" t="s">
        <v>364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377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433</v>
      </c>
      <c r="C58" t="s">
        <v>344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434</v>
      </c>
      <c r="C59" t="s">
        <v>344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435</v>
      </c>
      <c r="C60" t="s">
        <v>344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436</v>
      </c>
      <c r="C61" t="s">
        <v>344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437</v>
      </c>
      <c r="C62" t="s">
        <v>344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438</v>
      </c>
      <c r="C63" t="s">
        <v>344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439</v>
      </c>
      <c r="C64" t="s">
        <v>344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440</v>
      </c>
      <c r="C65" t="s">
        <v>344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441</v>
      </c>
      <c r="C66" t="s">
        <v>344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442</v>
      </c>
      <c r="C67" t="s">
        <v>344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443</v>
      </c>
      <c r="C68" t="s">
        <v>362</v>
      </c>
      <c r="D68">
        <v>32</v>
      </c>
      <c r="E68" s="42" t="b">
        <v>1</v>
      </c>
      <c r="F68" t="b">
        <v>1</v>
      </c>
      <c r="H68" t="s">
        <v>372</v>
      </c>
      <c r="I68" t="b">
        <v>1</v>
      </c>
    </row>
    <row r="69" spans="1:9" x14ac:dyDescent="0.25">
      <c r="A69" s="38" t="s">
        <v>67</v>
      </c>
      <c r="B69" s="184" t="s">
        <v>444</v>
      </c>
      <c r="C69" t="s">
        <v>362</v>
      </c>
      <c r="D69">
        <v>33</v>
      </c>
      <c r="E69" s="42" t="b">
        <v>1</v>
      </c>
      <c r="F69" t="b">
        <v>1</v>
      </c>
      <c r="H69" t="s">
        <v>372</v>
      </c>
      <c r="I69" t="b">
        <v>1</v>
      </c>
    </row>
    <row r="70" spans="1:9" x14ac:dyDescent="0.25">
      <c r="A70" s="38" t="s">
        <v>68</v>
      </c>
      <c r="B70" s="184" t="s">
        <v>445</v>
      </c>
      <c r="C70" t="s">
        <v>362</v>
      </c>
      <c r="D70">
        <v>34</v>
      </c>
      <c r="E70" s="42" t="b">
        <v>1</v>
      </c>
      <c r="F70" t="b">
        <v>1</v>
      </c>
      <c r="H70" t="s">
        <v>372</v>
      </c>
      <c r="I70" t="b">
        <v>1</v>
      </c>
    </row>
    <row r="71" spans="1:9" x14ac:dyDescent="0.25">
      <c r="A71" s="4" t="s">
        <v>69</v>
      </c>
      <c r="B71" s="177" t="s">
        <v>446</v>
      </c>
      <c r="C71" t="s">
        <v>344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447</v>
      </c>
      <c r="C72" t="s">
        <v>344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448</v>
      </c>
      <c r="C73" t="s">
        <v>344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449</v>
      </c>
      <c r="C74" t="s">
        <v>344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450</v>
      </c>
      <c r="C75" t="s">
        <v>344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451</v>
      </c>
      <c r="C76" t="s">
        <v>344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452</v>
      </c>
      <c r="C77" t="s">
        <v>344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453</v>
      </c>
      <c r="C78" t="s">
        <v>344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454</v>
      </c>
      <c r="C79" t="s">
        <v>344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455</v>
      </c>
      <c r="C80" t="s">
        <v>344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456</v>
      </c>
      <c r="C81" t="s">
        <v>344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457</v>
      </c>
      <c r="C82" t="s">
        <v>344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458</v>
      </c>
      <c r="C83" t="s">
        <v>344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459</v>
      </c>
      <c r="C84" t="s">
        <v>344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460</v>
      </c>
      <c r="C85" t="s">
        <v>344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516</v>
      </c>
      <c r="B86" s="177" t="s">
        <v>461</v>
      </c>
      <c r="C86" t="s">
        <v>344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519</v>
      </c>
      <c r="C87" t="s">
        <v>344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462</v>
      </c>
      <c r="C88" t="s">
        <v>344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463</v>
      </c>
      <c r="C89" t="s">
        <v>344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464</v>
      </c>
      <c r="C90" t="s">
        <v>344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465</v>
      </c>
      <c r="C91" t="s">
        <v>344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466</v>
      </c>
      <c r="C92" t="s">
        <v>344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467</v>
      </c>
      <c r="C93" t="s">
        <v>344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468</v>
      </c>
      <c r="C94" t="s">
        <v>344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469</v>
      </c>
      <c r="C95" t="s">
        <v>344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470</v>
      </c>
      <c r="C96" t="s">
        <v>344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471</v>
      </c>
      <c r="C97" t="s">
        <v>344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472</v>
      </c>
      <c r="C98" t="s">
        <v>344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473</v>
      </c>
      <c r="C99" t="s">
        <v>362</v>
      </c>
      <c r="D99">
        <v>39</v>
      </c>
      <c r="E99" s="42" t="b">
        <v>1</v>
      </c>
      <c r="F99" t="b">
        <v>1</v>
      </c>
      <c r="H99" t="s">
        <v>372</v>
      </c>
      <c r="I99" t="b">
        <v>0</v>
      </c>
    </row>
    <row r="100" spans="1:9" x14ac:dyDescent="0.25">
      <c r="A100" s="44" t="s">
        <v>83</v>
      </c>
      <c r="B100" s="178" t="s">
        <v>474</v>
      </c>
      <c r="C100" t="s">
        <v>361</v>
      </c>
      <c r="D100">
        <v>40</v>
      </c>
      <c r="E100" s="42" t="b">
        <v>1</v>
      </c>
      <c r="F100" t="b">
        <v>1</v>
      </c>
      <c r="H100" t="s">
        <v>372</v>
      </c>
      <c r="I100" t="b">
        <v>1</v>
      </c>
    </row>
    <row r="101" spans="1:9" x14ac:dyDescent="0.25">
      <c r="A101" s="44" t="s">
        <v>84</v>
      </c>
      <c r="B101" s="178" t="s">
        <v>475</v>
      </c>
      <c r="C101" t="s">
        <v>344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365</v>
      </c>
      <c r="B102" s="178" t="s">
        <v>476</v>
      </c>
      <c r="C102" t="s">
        <v>344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477</v>
      </c>
      <c r="C103" t="s">
        <v>361</v>
      </c>
      <c r="D103">
        <v>42</v>
      </c>
      <c r="E103" s="42" t="b">
        <v>1</v>
      </c>
      <c r="F103" t="b">
        <v>1</v>
      </c>
      <c r="H103" t="s">
        <v>372</v>
      </c>
      <c r="I103" t="b">
        <v>0</v>
      </c>
    </row>
    <row r="104" spans="1:9" x14ac:dyDescent="0.25">
      <c r="A104" s="185" t="s">
        <v>481</v>
      </c>
      <c r="B104" s="187" t="s">
        <v>486</v>
      </c>
      <c r="C104" t="s">
        <v>362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482</v>
      </c>
      <c r="B105" s="187" t="s">
        <v>487</v>
      </c>
      <c r="C105" t="s">
        <v>362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483</v>
      </c>
      <c r="B106" s="187" t="s">
        <v>488</v>
      </c>
      <c r="C106" t="s">
        <v>362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484</v>
      </c>
      <c r="B107" s="187" t="s">
        <v>489</v>
      </c>
      <c r="C107" t="s">
        <v>362</v>
      </c>
      <c r="D107">
        <v>46</v>
      </c>
      <c r="E107" s="42" t="b">
        <v>1</v>
      </c>
      <c r="F107" t="b">
        <v>1</v>
      </c>
      <c r="H107" t="s">
        <v>372</v>
      </c>
      <c r="I107" t="b">
        <v>0</v>
      </c>
    </row>
    <row r="108" spans="1:9" x14ac:dyDescent="0.25">
      <c r="A108" s="186" t="s">
        <v>485</v>
      </c>
      <c r="B108" s="187" t="s">
        <v>490</v>
      </c>
      <c r="C108" t="s">
        <v>361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376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369</v>
      </c>
    </row>
    <row r="8" spans="1:8" x14ac:dyDescent="0.25">
      <c r="A8" s="45"/>
      <c r="B8" t="s">
        <v>124</v>
      </c>
      <c r="C8" s="34" t="s">
        <v>120</v>
      </c>
      <c r="H8" t="s">
        <v>375</v>
      </c>
    </row>
    <row r="21" spans="8:8" x14ac:dyDescent="0.25">
      <c r="H21" s="76" t="s">
        <v>370</v>
      </c>
    </row>
    <row r="22" spans="8:8" x14ac:dyDescent="0.25">
      <c r="H22" t="s">
        <v>373</v>
      </c>
    </row>
    <row r="23" spans="8:8" x14ac:dyDescent="0.25">
      <c r="H23" t="s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332</v>
      </c>
    </row>
    <row r="387" spans="1:17" x14ac:dyDescent="0.25">
      <c r="D387" t="s">
        <v>215</v>
      </c>
      <c r="E387" t="s">
        <v>327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328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326</v>
      </c>
      <c r="D389">
        <v>2</v>
      </c>
      <c r="E389" t="s">
        <v>328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328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326</v>
      </c>
      <c r="D391" s="92">
        <v>2</v>
      </c>
      <c r="E391" s="92" t="s">
        <v>328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328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326</v>
      </c>
      <c r="D393">
        <v>2</v>
      </c>
      <c r="E393" t="s">
        <v>328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328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326</v>
      </c>
      <c r="D395" s="92">
        <v>2</v>
      </c>
      <c r="E395" s="92" t="s">
        <v>328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329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326</v>
      </c>
      <c r="D397">
        <v>2</v>
      </c>
      <c r="E397" s="92" t="s">
        <v>329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329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326</v>
      </c>
      <c r="D399" s="92">
        <v>2</v>
      </c>
      <c r="E399" s="92" t="s">
        <v>329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330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326</v>
      </c>
      <c r="D401">
        <v>2</v>
      </c>
      <c r="E401" s="92" t="s">
        <v>330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331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326</v>
      </c>
      <c r="D403" s="92">
        <v>2</v>
      </c>
      <c r="E403" s="92" t="s">
        <v>331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346</v>
      </c>
    </row>
    <row r="407" spans="1:20" x14ac:dyDescent="0.25">
      <c r="A407" s="76"/>
      <c r="C407" s="76" t="s">
        <v>347</v>
      </c>
    </row>
    <row r="408" spans="1:20" x14ac:dyDescent="0.25">
      <c r="D408" t="s">
        <v>215</v>
      </c>
      <c r="E408" t="s">
        <v>348</v>
      </c>
    </row>
    <row r="409" spans="1:20" x14ac:dyDescent="0.25">
      <c r="C409" t="s">
        <v>349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350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351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352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353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354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355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348</v>
      </c>
      <c r="F418" t="s">
        <v>359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356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357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358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360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356</v>
      </c>
      <c r="D425">
        <v>3</v>
      </c>
      <c r="E425">
        <v>9</v>
      </c>
      <c r="F425" s="70" t="s">
        <v>360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357</v>
      </c>
      <c r="D426">
        <v>3</v>
      </c>
      <c r="E426">
        <v>12</v>
      </c>
      <c r="F426" s="70" t="s">
        <v>360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358</v>
      </c>
      <c r="D427">
        <v>3</v>
      </c>
      <c r="E427">
        <v>12</v>
      </c>
      <c r="F427" s="70" t="s">
        <v>360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360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479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480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480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480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480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480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480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480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480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480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480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480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480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480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480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480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480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480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480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480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480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480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480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480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480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491</v>
      </c>
      <c r="C460" s="70"/>
    </row>
    <row r="461" spans="1:19" x14ac:dyDescent="0.25">
      <c r="C461" s="70"/>
      <c r="D461" t="s">
        <v>215</v>
      </c>
      <c r="E461" t="s">
        <v>496</v>
      </c>
      <c r="F461" t="s">
        <v>497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493</v>
      </c>
      <c r="D462">
        <v>7</v>
      </c>
      <c r="E462">
        <v>7</v>
      </c>
      <c r="F462" t="s">
        <v>498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494</v>
      </c>
      <c r="D463">
        <v>4</v>
      </c>
      <c r="E463">
        <v>11</v>
      </c>
      <c r="F463" t="s">
        <v>498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495</v>
      </c>
      <c r="D464">
        <v>3</v>
      </c>
      <c r="E464">
        <v>14</v>
      </c>
      <c r="F464" t="s">
        <v>498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493</v>
      </c>
      <c r="D465">
        <v>7</v>
      </c>
      <c r="E465">
        <v>7</v>
      </c>
      <c r="F465" t="s">
        <v>499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494</v>
      </c>
      <c r="D466">
        <v>4</v>
      </c>
      <c r="E466">
        <v>11</v>
      </c>
      <c r="F466" t="s">
        <v>499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495</v>
      </c>
      <c r="D467">
        <v>3</v>
      </c>
      <c r="E467">
        <v>14</v>
      </c>
      <c r="F467" t="s">
        <v>499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493</v>
      </c>
      <c r="D468">
        <v>7</v>
      </c>
      <c r="E468">
        <v>7</v>
      </c>
      <c r="F468" t="s">
        <v>500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494</v>
      </c>
      <c r="D469">
        <v>4</v>
      </c>
      <c r="E469">
        <v>11</v>
      </c>
      <c r="F469" t="s">
        <v>500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495</v>
      </c>
      <c r="D470">
        <v>3</v>
      </c>
      <c r="E470">
        <v>14</v>
      </c>
      <c r="F470" t="s">
        <v>500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493</v>
      </c>
      <c r="D471">
        <v>7</v>
      </c>
      <c r="E471">
        <v>7</v>
      </c>
      <c r="F471" t="s">
        <v>498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494</v>
      </c>
      <c r="D472">
        <v>4</v>
      </c>
      <c r="E472">
        <v>11</v>
      </c>
      <c r="F472" t="s">
        <v>498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495</v>
      </c>
      <c r="D473">
        <v>3</v>
      </c>
      <c r="E473">
        <v>14</v>
      </c>
      <c r="F473" t="s">
        <v>498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493</v>
      </c>
      <c r="D474">
        <v>7</v>
      </c>
      <c r="E474">
        <v>7</v>
      </c>
      <c r="F474" t="s">
        <v>499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494</v>
      </c>
      <c r="D475">
        <v>4</v>
      </c>
      <c r="E475">
        <v>11</v>
      </c>
      <c r="F475" t="s">
        <v>499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495</v>
      </c>
      <c r="D476">
        <v>3</v>
      </c>
      <c r="E476">
        <v>14</v>
      </c>
      <c r="F476" t="s">
        <v>499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493</v>
      </c>
      <c r="D477">
        <v>7</v>
      </c>
      <c r="E477">
        <v>7</v>
      </c>
      <c r="F477" t="s">
        <v>500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494</v>
      </c>
      <c r="D478">
        <v>4</v>
      </c>
      <c r="E478">
        <v>11</v>
      </c>
      <c r="F478" t="s">
        <v>500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495</v>
      </c>
      <c r="D479">
        <v>3</v>
      </c>
      <c r="E479">
        <v>14</v>
      </c>
      <c r="F479" t="s">
        <v>500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501</v>
      </c>
      <c r="C482" t="s">
        <v>503</v>
      </c>
      <c r="D482" t="s">
        <v>504</v>
      </c>
      <c r="E482" t="s">
        <v>505</v>
      </c>
      <c r="F482" t="s">
        <v>506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1" priority="19">
      <formula>LEN(TRIM(A3))=0</formula>
    </cfRule>
  </conditionalFormatting>
  <conditionalFormatting sqref="F64">
    <cfRule type="containsBlanks" dxfId="10" priority="18">
      <formula>LEN(TRIM(F64))=0</formula>
    </cfRule>
  </conditionalFormatting>
  <conditionalFormatting sqref="F89:F92">
    <cfRule type="containsBlanks" dxfId="9" priority="15">
      <formula>LEN(TRIM(F89))=0</formula>
    </cfRule>
  </conditionalFormatting>
  <conditionalFormatting sqref="G100">
    <cfRule type="containsBlanks" dxfId="8" priority="14">
      <formula>LEN(TRIM(G100))=0</formula>
    </cfRule>
  </conditionalFormatting>
  <conditionalFormatting sqref="H120">
    <cfRule type="containsBlanks" dxfId="7" priority="13">
      <formula>LEN(TRIM(H120))=0</formula>
    </cfRule>
  </conditionalFormatting>
  <conditionalFormatting sqref="E183">
    <cfRule type="containsBlanks" dxfId="6" priority="11">
      <formula>LEN(TRIM(E183))=0</formula>
    </cfRule>
  </conditionalFormatting>
  <conditionalFormatting sqref="E200">
    <cfRule type="containsBlanks" dxfId="5" priority="10">
      <formula>LEN(TRIM(E200))=0</formula>
    </cfRule>
  </conditionalFormatting>
  <conditionalFormatting sqref="G219">
    <cfRule type="containsBlanks" dxfId="4" priority="8">
      <formula>LEN(TRIM(G219))=0</formula>
    </cfRule>
  </conditionalFormatting>
  <conditionalFormatting sqref="H257">
    <cfRule type="containsBlanks" dxfId="3" priority="7">
      <formula>LEN(TRIM(H257))=0</formula>
    </cfRule>
  </conditionalFormatting>
  <conditionalFormatting sqref="H275">
    <cfRule type="containsBlanks" dxfId="2" priority="6">
      <formula>LEN(TRIM(H275))=0</formula>
    </cfRule>
  </conditionalFormatting>
  <conditionalFormatting sqref="H306">
    <cfRule type="containsBlanks" dxfId="1" priority="5">
      <formula>LEN(TRIM(H306))=0</formula>
    </cfRule>
  </conditionalFormatting>
  <conditionalFormatting sqref="G387">
    <cfRule type="containsBlanks" dxfId="0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2023-03-24T22:01:01Z</dcterms:modified>
</cp:coreProperties>
</file>